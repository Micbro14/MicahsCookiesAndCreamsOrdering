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831" documentId="8_{1C27A2F0-7BE2-4A82-9CB4-9D5C02065557}" xr6:coauthVersionLast="47" xr6:coauthVersionMax="47" xr10:uidLastSave="{249DA317-4CC0-4485-9A06-DF0DB83C32CE}"/>
  <bookViews>
    <workbookView minimized="1" xWindow="2340" yWindow="2340" windowWidth="28800" windowHeight="15150" firstSheet="3" activeTab="9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Testing Flavors" sheetId="15" r:id="rId5"/>
    <sheet name="Specs" sheetId="3" r:id="rId6"/>
    <sheet name="Milk Types Nutrition Per Cup" sheetId="4" r:id="rId7"/>
    <sheet name="Solid Mix In Nutrition" sheetId="6" r:id="rId8"/>
    <sheet name="Liquid Mix In Nutrition" sheetId="5" r:id="rId9"/>
    <sheet name="Thickener Nutrition" sheetId="27" r:id="rId10"/>
    <sheet name="Sweetener Mix In Nutrition" sheetId="7" r:id="rId11"/>
    <sheet name="Recipe Converters" sheetId="9" r:id="rId12"/>
    <sheet name="Sheet1" sheetId="26" r:id="rId13"/>
    <sheet name="Ice Cream Sandwich Measurements" sheetId="14" r:id="rId14"/>
    <sheet name="Cookie Size Comparisons" sheetId="21" r:id="rId15"/>
    <sheet name="Cris Cake" sheetId="22" r:id="rId16"/>
    <sheet name="Abby Flavors" sheetId="19" r:id="rId17"/>
    <sheet name="Natalia Cake" sheetId="20" r:id="rId18"/>
    <sheet name="Kimberly Gabrielle Flavors" sheetId="18" r:id="rId19"/>
    <sheet name="Kyle Flavors" sheetId="17" r:id="rId20"/>
    <sheet name="Joey BDay Flavors" sheetId="12" r:id="rId21"/>
    <sheet name="Daniel BDay Flavors" sheetId="10" r:id="rId22"/>
    <sheet name="60th flavors " sheetId="16" r:id="rId23"/>
    <sheet name="Noah Work" sheetId="24" r:id="rId24"/>
    <sheet name="Daniel Work" sheetId="23" r:id="rId25"/>
  </sheets>
  <functionGroups builtInGroupCount="19"/>
  <externalReferences>
    <externalReference r:id="rId26"/>
    <externalReference r:id="rId27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  <definedName name="_xleta.TYPE" hidden="1" xlm="1">#NAME?</definedName>
    <definedName name="_xlpm.Dummy" hidden="1" xlm="1">#NAME?</definedName>
    <definedName name="_xlpm.I" hidden="1" xlm="1">#NAME?</definedName>
    <definedName name="_xlpm.Ic" hidden="1" xlm="1">#NAME?</definedName>
    <definedName name="_xlpm.Ice" hidden="1" xlm="1">#NAME?</definedName>
    <definedName name="_xlpm.IceC" hidden="1" xlm="1">#NAME?</definedName>
    <definedName name="_xlpm.IceCr" hidden="1" xlm="1">#NAME?</definedName>
    <definedName name="_xlpm.IceCre" hidden="1" xlm="1">#NAME?</definedName>
    <definedName name="_xlpm.IceCrea" hidden="1" xlm="1">#NAME?</definedName>
    <definedName name="_xlpm.IceCream" hidden="1" xlm="1">#NAME?</definedName>
    <definedName name="_xlpm.IceCreamA" hidden="1" xlm="1">#NAME?</definedName>
    <definedName name="_xlpm.IceCreamAm" hidden="1" xlm="1">#NAME?</definedName>
    <definedName name="_xlpm.IceCreamAmo" hidden="1" xlm="1">#NAME?</definedName>
    <definedName name="_xlpm.IceCreamAmou" hidden="1" xlm="1">#NAME?</definedName>
    <definedName name="_xlpm.IceCreamAmoun" hidden="1" xlm="1">#NAME?</definedName>
    <definedName name="_xlpm.IceCreamAmount" hidden="1" xlm="1">#NAME?</definedName>
    <definedName name="_xlpm.IceCreamAo" hidden="1" xlm="1">#NAME?</definedName>
    <definedName name="_xlpm.Liquid1" hidden="1" xlm="1">#NAME?</definedName>
    <definedName name="_xlpm.Liquid2" hidden="1" xlm="1">#NAME?</definedName>
    <definedName name="_xlpm.LiquidMix1Amount" hidden="1" xlm="1">#NAME?</definedName>
    <definedName name="_xlpm.LiquidMix2Amount" hidden="1" xlm="1">#NAME?</definedName>
    <definedName name="_xlpm.Milk1" hidden="1" xlm="1">#NAME?</definedName>
    <definedName name="_xlpm.Milk2" hidden="1" xlm="1">#NAME?</definedName>
    <definedName name="_xlpm.MilkType" hidden="1" xlm="1">#NAME?</definedName>
    <definedName name="_xlpm.Result" hidden="1" xlm="1">#NAME?</definedName>
    <definedName name="_xlpm.Solid1" hidden="1" xlm="1">#NAME?</definedName>
    <definedName name="_xlpm.Solid2" hidden="1" xlm="1">#NAME?</definedName>
    <definedName name="_xlpm.SolidMix1" hidden="1" xlm="1">#NAME?</definedName>
    <definedName name="_xlpm.SolidMix1Amount" hidden="1" xlm="1">#NAME?</definedName>
    <definedName name="_xlpm.SolidMix1Factor" hidden="1" xlm="1">#NAME?</definedName>
    <definedName name="_xlpm.SolidMix2" hidden="1" xlm="1">#NAME?</definedName>
    <definedName name="_xlpm.SolidMix2Amount" hidden="1" xlm="1">#NAME?</definedName>
    <definedName name="_xlpm.SolidMix2Factor" hidden="1" xlm="1">#NAME?</definedName>
    <definedName name="_xlpm.SolidMixAmount" hidden="1" xlm="1">#NAME?</definedName>
    <definedName name="_xlpm.Sweetener1" hidden="1" xlm="1">#NAME?</definedName>
    <definedName name="_xlpm.Sweetener2" hidden="1" xlm="1">#NAME?</definedName>
    <definedName name="_xlpm.SweetnerType1Amount" hidden="1" xlm="1">#NAME?</definedName>
    <definedName name="_xlpm.SweetnerType2Amount" hidden="1" xlm="1">#NAME?</definedName>
    <definedName name="_xlpm.SweetnerTypeAmount" hidden="1" xlm="1">#NAME?</definedName>
    <definedName name="_xlpm.T" hidden="1" xlm="1">#NAME?</definedName>
    <definedName name="_xlpm.TAmount" hidden="1" xlm="1">#NAME?</definedName>
    <definedName name="_xlpm.Th" hidden="1" xlm="1">#NAME?</definedName>
    <definedName name="_xlpm.ThAmount" hidden="1" xlm="1">#NAME?</definedName>
    <definedName name="_xlpm.Thi" hidden="1" xlm="1">#NAME?</definedName>
    <definedName name="_xlpm.ThiAmount" hidden="1" xlm="1">#NAME?</definedName>
    <definedName name="_xlpm.Thic" hidden="1" xlm="1">#NAME?</definedName>
    <definedName name="_xlpm.ThicAmount" hidden="1" xlm="1">#NAME?</definedName>
    <definedName name="_xlpm.Thick" hidden="1" xlm="1">#NAME?</definedName>
    <definedName name="_xlpm.ThickAmount" hidden="1" xlm="1">#NAME?</definedName>
    <definedName name="_xlpm.Thicke" hidden="1" xlm="1">#NAME?</definedName>
    <definedName name="_xlpm.ThickeAmount" hidden="1" xlm="1">#NAME?</definedName>
    <definedName name="_xlpm.Thicken" hidden="1" xlm="1">#NAME?</definedName>
    <definedName name="_xlpm.ThickenAmount" hidden="1" xlm="1">#NAME?</definedName>
    <definedName name="_xlpm.Thickene" hidden="1" xlm="1">#NAME?</definedName>
    <definedName name="_xlpm.ThickeneAmount" hidden="1" xlm="1">#NAME?</definedName>
    <definedName name="_xlpm.Thickener" hidden="1" xlm="1">#NAME?</definedName>
    <definedName name="_xlpm.ThickenerAmount" hidden="1" xlm="1">#NAME?</definedName>
    <definedName name="_xlpm.To" hidden="1" xlm="1">#NAME?</definedName>
    <definedName name="_xlpm.Tot" hidden="1" xlm="1">#NAME?</definedName>
    <definedName name="_xlpm.Tota" hidden="1" xlm="1">#NAME?</definedName>
    <definedName name="_xlpm.Total" hidden="1" xlm="1">#NAME?</definedName>
    <definedName name="_xlpm.TotalCalories" hidden="1" xlm="1">#NAME?</definedName>
    <definedName name="_xlpm.TotalF" hidden="1" xlm="1">#NAME?</definedName>
    <definedName name="_xlpm.TotalFa" hidden="1" xlm="1">#NAME?</definedName>
    <definedName name="_xlpm.TotalFat" hidden="1" xlm="1">#NAME?</definedName>
    <definedName name="_xlpm.TotalMilk" hidden="1" xlm="1">#NAME?</definedName>
    <definedName name="_xlpm.Totalp" hidden="1" xlm="1">#NAME?</definedName>
    <definedName name="_xlpm.Totalpr" hidden="1" xlm="1">#NAME?</definedName>
    <definedName name="_xlpm.Totalpro" hidden="1" xlm="1">#NAME?</definedName>
    <definedName name="_xlpm.TotalProt" hidden="1" xlm="1">#NAME?</definedName>
    <definedName name="_xlpm.TotalProte" hidden="1" xlm="1">#NAME?</definedName>
    <definedName name="_xlpm.TotalProtei" hidden="1" xlm="1">#NAME?</definedName>
    <definedName name="_xlpm.TotalProtein" hidden="1" xlm="1">#NAME?</definedName>
    <definedName name="_xlpm.TotalS" hidden="1" xlm="1">#NAME?</definedName>
    <definedName name="_xlpm.TotalSu" hidden="1" xlm="1">#NAME?</definedName>
    <definedName name="_xlpm.TotalSug" hidden="1" xlm="1">#NAME?</definedName>
    <definedName name="_xlpm.TotalSuga" hidden="1" xlm="1">#NAME?</definedName>
    <definedName name="_xlpm.TotalSugar" hidden="1" xlm="1">#NAME?</definedName>
    <definedName name="_xlpm.XanthanG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7" l="1"/>
  <c r="E7" i="27"/>
  <c r="D7" i="27"/>
  <c r="B7" i="27"/>
  <c r="C6" i="27"/>
  <c r="F5" i="27"/>
  <c r="E5" i="27"/>
  <c r="D5" i="27"/>
  <c r="C5" i="27"/>
  <c r="B5" i="27"/>
  <c r="G4" i="27"/>
  <c r="F4" i="27"/>
  <c r="E4" i="27"/>
  <c r="D4" i="27"/>
  <c r="C4" i="27"/>
  <c r="B4" i="27"/>
  <c r="H3" i="27"/>
  <c r="F3" i="27"/>
  <c r="W3" i="8" a="1"/>
  <c r="U4" i="8" a="1"/>
  <c r="U12" i="8" a="1"/>
  <c r="U20" i="8" a="1"/>
  <c r="U28" i="8" a="1"/>
  <c r="U36" i="8" a="1"/>
  <c r="U44" i="8" a="1"/>
  <c r="U13" i="8" a="1"/>
  <c r="U29" i="8" a="1"/>
  <c r="U37" i="8" a="1"/>
  <c r="U14" i="8" a="1"/>
  <c r="U30" i="8" a="1"/>
  <c r="U38" i="8" a="1"/>
  <c r="U15" i="8" a="1"/>
  <c r="U39" i="8" a="1"/>
  <c r="U16" i="8" a="1"/>
  <c r="U40" i="8" a="1"/>
  <c r="U17" i="8" a="1"/>
  <c r="U33" i="8" a="1"/>
  <c r="U18" i="8" a="1"/>
  <c r="U34" i="8" a="1"/>
  <c r="U11" i="8" a="1"/>
  <c r="U35" i="8" a="1"/>
  <c r="U5" i="8" a="1"/>
  <c r="U21" i="8" a="1"/>
  <c r="U45" i="8" a="1"/>
  <c r="U22" i="8" a="1"/>
  <c r="U7" i="8" a="1"/>
  <c r="U31" i="8" a="1"/>
  <c r="U8" i="8" a="1"/>
  <c r="U32" i="8" a="1"/>
  <c r="U9" i="8" a="1"/>
  <c r="U41" i="8" a="1"/>
  <c r="U10" i="8" a="1"/>
  <c r="U42" i="8" a="1"/>
  <c r="U19" i="8" a="1"/>
  <c r="U43" i="8" a="1"/>
  <c r="U6" i="8" a="1"/>
  <c r="U46" i="8" a="1"/>
  <c r="U23" i="8" a="1"/>
  <c r="U47" i="8" a="1"/>
  <c r="U24" i="8" a="1"/>
  <c r="U25" i="8" a="1"/>
  <c r="U26" i="8" a="1"/>
  <c r="U27" i="8" a="1"/>
  <c r="U3" i="8" a="1"/>
  <c r="U77" i="15" a="1"/>
  <c r="V76" i="15" a="1"/>
  <c r="AF84" i="15" a="1"/>
  <c r="Y20" i="15" a="1"/>
  <c r="Y76" i="15" a="1"/>
  <c r="Y5" i="15" a="1"/>
  <c r="Y21" i="15" a="1"/>
  <c r="Y37" i="15" a="1"/>
  <c r="Y53" i="15" a="1"/>
  <c r="Y69" i="15" a="1"/>
  <c r="Y14" i="15" a="1"/>
  <c r="Y30" i="15" a="1"/>
  <c r="Y46" i="15" a="1"/>
  <c r="Y62" i="15" a="1"/>
  <c r="Y70" i="15" a="1"/>
  <c r="Y7" i="15" a="1"/>
  <c r="Y31" i="15" a="1"/>
  <c r="Y47" i="15" a="1"/>
  <c r="Y63" i="15" a="1"/>
  <c r="Y71" i="15" a="1"/>
  <c r="Y8" i="15" a="1"/>
  <c r="Y32" i="15" a="1"/>
  <c r="Y48" i="15" a="1"/>
  <c r="Y64" i="15" a="1"/>
  <c r="Y80" i="15" a="1"/>
  <c r="Y9" i="15" a="1"/>
  <c r="Y41" i="15" a="1"/>
  <c r="Y57" i="15" a="1"/>
  <c r="Y73" i="15" a="1"/>
  <c r="Y10" i="15" a="1"/>
  <c r="Y34" i="15" a="1"/>
  <c r="Y50" i="15" a="1"/>
  <c r="Y66" i="15" a="1"/>
  <c r="Y82" i="15" a="1"/>
  <c r="Y3" i="15" a="1"/>
  <c r="Y27" i="15" a="1"/>
  <c r="Y43" i="15" a="1"/>
  <c r="Y59" i="15" a="1"/>
  <c r="Y75" i="15" a="1"/>
  <c r="Y4" i="15" a="1"/>
  <c r="Y12" i="15" a="1"/>
  <c r="Y28" i="15" a="1"/>
  <c r="Y36" i="15" a="1"/>
  <c r="Y44" i="15" a="1"/>
  <c r="Y52" i="15" a="1"/>
  <c r="Y60" i="15" a="1"/>
  <c r="Y68" i="15" a="1"/>
  <c r="Y84" i="15" a="1"/>
  <c r="Y13" i="15" a="1"/>
  <c r="Y29" i="15" a="1"/>
  <c r="Y45" i="15" a="1"/>
  <c r="Y61" i="15" a="1"/>
  <c r="Y77" i="15" a="1"/>
  <c r="Y6" i="15" a="1"/>
  <c r="Y22" i="15" a="1"/>
  <c r="Y38" i="15" a="1"/>
  <c r="Y54" i="15" a="1"/>
  <c r="Y78" i="15" a="1"/>
  <c r="Y15" i="15" a="1"/>
  <c r="Y23" i="15" a="1"/>
  <c r="Y39" i="15" a="1"/>
  <c r="Y55" i="15" a="1"/>
  <c r="Y79" i="15" a="1"/>
  <c r="Y16" i="15" a="1"/>
  <c r="Y24" i="15" a="1"/>
  <c r="Y40" i="15" a="1"/>
  <c r="Y56" i="15" a="1"/>
  <c r="Y72" i="15" a="1"/>
  <c r="Y17" i="15" a="1"/>
  <c r="Y25" i="15" a="1"/>
  <c r="Y33" i="15" a="1"/>
  <c r="Y49" i="15" a="1"/>
  <c r="Y65" i="15" a="1"/>
  <c r="Y81" i="15" a="1"/>
  <c r="Y18" i="15" a="1"/>
  <c r="Y26" i="15" a="1"/>
  <c r="Y42" i="15" a="1"/>
  <c r="Y58" i="15" a="1"/>
  <c r="Y74" i="15" a="1"/>
  <c r="Y11" i="15" a="1"/>
  <c r="Y19" i="15" a="1"/>
  <c r="Y35" i="15" a="1"/>
  <c r="Y51" i="15" a="1"/>
  <c r="Y67" i="15" a="1"/>
  <c r="Y83" i="15" a="1"/>
  <c r="X3" i="15" a="1"/>
  <c r="X11" i="15" a="1"/>
  <c r="X19" i="15" a="1"/>
  <c r="X27" i="15" a="1"/>
  <c r="X35" i="15" a="1"/>
  <c r="X43" i="15" a="1"/>
  <c r="X51" i="15" a="1"/>
  <c r="X67" i="15" a="1"/>
  <c r="X75" i="15" a="1"/>
  <c r="X83" i="15" a="1"/>
  <c r="X4" i="15" a="1"/>
  <c r="X12" i="15" a="1"/>
  <c r="X20" i="15" a="1"/>
  <c r="X28" i="15" a="1"/>
  <c r="X36" i="15" a="1"/>
  <c r="X44" i="15" a="1"/>
  <c r="X52" i="15" a="1"/>
  <c r="X76" i="15" a="1"/>
  <c r="X84" i="15" a="1"/>
  <c r="X39" i="15" a="1"/>
  <c r="X79" i="15" a="1"/>
  <c r="X8" i="15" a="1"/>
  <c r="X40" i="15" a="1"/>
  <c r="X80" i="15" a="1"/>
  <c r="X17" i="15" a="1"/>
  <c r="X33" i="15" a="1"/>
  <c r="X81" i="15" a="1"/>
  <c r="X18" i="15" a="1"/>
  <c r="X42" i="15" a="1"/>
  <c r="X82" i="15" a="1"/>
  <c r="X5" i="15" a="1"/>
  <c r="X13" i="15" a="1"/>
  <c r="X21" i="15" a="1"/>
  <c r="X29" i="15" a="1"/>
  <c r="X37" i="15" a="1"/>
  <c r="X45" i="15" a="1"/>
  <c r="X53" i="15" a="1"/>
  <c r="X69" i="15" a="1"/>
  <c r="X77" i="15" a="1"/>
  <c r="X14" i="15" a="1"/>
  <c r="X22" i="15" a="1"/>
  <c r="X30" i="15" a="1"/>
  <c r="X38" i="15" a="1"/>
  <c r="X46" i="15" a="1"/>
  <c r="X78" i="15" a="1"/>
  <c r="X7" i="15" a="1"/>
  <c r="X23" i="15" a="1"/>
  <c r="X31" i="15" a="1"/>
  <c r="X47" i="15" a="1"/>
  <c r="X16" i="15" a="1"/>
  <c r="X32" i="15" a="1"/>
  <c r="X72" i="15" a="1"/>
  <c r="X9" i="15" a="1"/>
  <c r="X41" i="15" a="1"/>
  <c r="X10" i="15" a="1"/>
  <c r="X34" i="15" a="1"/>
  <c r="X6" i="15" a="1"/>
  <c r="X15" i="15" a="1"/>
  <c r="X24" i="15" a="1"/>
  <c r="X48" i="15" a="1"/>
  <c r="X25" i="15" a="1"/>
  <c r="X49" i="15" a="1"/>
  <c r="X73" i="15" a="1"/>
  <c r="X26" i="15" a="1"/>
  <c r="X50" i="15" a="1"/>
  <c r="X74" i="15" a="1"/>
  <c r="W3" i="15" a="1"/>
  <c r="W11" i="15" a="1"/>
  <c r="W19" i="15" a="1"/>
  <c r="W27" i="15" a="1"/>
  <c r="W35" i="15" a="1"/>
  <c r="W43" i="15" a="1"/>
  <c r="W51" i="15" a="1"/>
  <c r="W75" i="15" a="1"/>
  <c r="W83" i="15" a="1"/>
  <c r="W4" i="15" a="1"/>
  <c r="W12" i="15" a="1"/>
  <c r="W20" i="15" a="1"/>
  <c r="W28" i="15" a="1"/>
  <c r="W36" i="15" a="1"/>
  <c r="W44" i="15" a="1"/>
  <c r="W52" i="15" a="1"/>
  <c r="W76" i="15" a="1"/>
  <c r="W84" i="15" a="1"/>
  <c r="W5" i="15" a="1"/>
  <c r="W13" i="15" a="1"/>
  <c r="W21" i="15" a="1"/>
  <c r="W29" i="15" a="1"/>
  <c r="W37" i="15" a="1"/>
  <c r="W45" i="15" a="1"/>
  <c r="W53" i="15" a="1"/>
  <c r="W77" i="15" a="1"/>
  <c r="W6" i="15" a="1"/>
  <c r="W14" i="15" a="1"/>
  <c r="W22" i="15" a="1"/>
  <c r="W30" i="15" a="1"/>
  <c r="W38" i="15" a="1"/>
  <c r="W46" i="15" a="1"/>
  <c r="W78" i="15" a="1"/>
  <c r="W7" i="15" a="1"/>
  <c r="W15" i="15" a="1"/>
  <c r="W23" i="15" a="1"/>
  <c r="W31" i="15" a="1"/>
  <c r="W39" i="15" a="1"/>
  <c r="W47" i="15" a="1"/>
  <c r="W79" i="15" a="1"/>
  <c r="W9" i="15" a="1"/>
  <c r="W32" i="15" a="1"/>
  <c r="W50" i="15" a="1"/>
  <c r="W73" i="15" a="1"/>
  <c r="W10" i="15" a="1"/>
  <c r="W33" i="15" a="1"/>
  <c r="W16" i="15" a="1"/>
  <c r="W34" i="15" a="1"/>
  <c r="W40" i="15" a="1"/>
  <c r="W80" i="15" a="1"/>
  <c r="W41" i="15" a="1"/>
  <c r="W81" i="15" a="1"/>
  <c r="W42" i="15" a="1"/>
  <c r="W82" i="15" a="1"/>
  <c r="W48" i="15" a="1"/>
  <c r="W26" i="15" a="1"/>
  <c r="W74" i="15" a="1"/>
  <c r="W17" i="15" a="1"/>
  <c r="W18" i="15" a="1"/>
  <c r="W24" i="15" a="1"/>
  <c r="W25" i="15" a="1"/>
  <c r="W8" i="15" a="1"/>
  <c r="W49" i="15" a="1"/>
  <c r="W72" i="15" a="1"/>
  <c r="V3" i="15" a="1"/>
  <c r="V11" i="15" a="1"/>
  <c r="V19" i="15" a="1"/>
  <c r="V27" i="15" a="1"/>
  <c r="V35" i="15" a="1"/>
  <c r="V43" i="15" a="1"/>
  <c r="V51" i="15" a="1"/>
  <c r="V75" i="15" a="1"/>
  <c r="V83" i="15" a="1"/>
  <c r="V4" i="15" a="1"/>
  <c r="V12" i="15" a="1"/>
  <c r="V20" i="15" a="1"/>
  <c r="V28" i="15" a="1"/>
  <c r="V36" i="15" a="1"/>
  <c r="V44" i="15" a="1"/>
  <c r="V52" i="15" a="1"/>
  <c r="V5" i="15" a="1"/>
  <c r="V13" i="15" a="1"/>
  <c r="V21" i="15" a="1"/>
  <c r="V29" i="15" a="1"/>
  <c r="V37" i="15" a="1"/>
  <c r="V45" i="15" a="1"/>
  <c r="V53" i="15" a="1"/>
  <c r="V77" i="15" a="1"/>
  <c r="V31" i="15" a="1"/>
  <c r="V47" i="15" a="1"/>
  <c r="V79" i="15" a="1"/>
  <c r="V8" i="15" a="1"/>
  <c r="V32" i="15" a="1"/>
  <c r="V48" i="15" a="1"/>
  <c r="V80" i="15" a="1"/>
  <c r="V9" i="15" a="1"/>
  <c r="V33" i="15" a="1"/>
  <c r="V73" i="15" a="1"/>
  <c r="V18" i="15" a="1"/>
  <c r="V42" i="15" a="1"/>
  <c r="V74" i="15" a="1"/>
  <c r="V84" i="15" a="1"/>
  <c r="V24" i="15" a="1"/>
  <c r="V41" i="15" a="1"/>
  <c r="V26" i="15" a="1"/>
  <c r="V82" i="15" a="1"/>
  <c r="V6" i="15" a="1"/>
  <c r="V14" i="15" a="1"/>
  <c r="V22" i="15" a="1"/>
  <c r="V30" i="15" a="1"/>
  <c r="V38" i="15" a="1"/>
  <c r="V46" i="15" a="1"/>
  <c r="V78" i="15" a="1"/>
  <c r="V7" i="15" a="1"/>
  <c r="V15" i="15" a="1"/>
  <c r="V23" i="15" a="1"/>
  <c r="V39" i="15" a="1"/>
  <c r="V16" i="15" a="1"/>
  <c r="V40" i="15" a="1"/>
  <c r="V72" i="15" a="1"/>
  <c r="V17" i="15" a="1"/>
  <c r="V25" i="15" a="1"/>
  <c r="V49" i="15" a="1"/>
  <c r="V81" i="15" a="1"/>
  <c r="V10" i="15" a="1"/>
  <c r="V34" i="15" a="1"/>
  <c r="V50" i="15" a="1"/>
  <c r="U3" i="15" a="1"/>
  <c r="U11" i="15" a="1"/>
  <c r="U19" i="15" a="1"/>
  <c r="U27" i="15" a="1"/>
  <c r="U35" i="15" a="1"/>
  <c r="U43" i="15" a="1"/>
  <c r="U51" i="15" a="1"/>
  <c r="U67" i="15" a="1"/>
  <c r="U75" i="15" a="1"/>
  <c r="U83" i="15" a="1"/>
  <c r="U12" i="15" a="1"/>
  <c r="U20" i="15" a="1"/>
  <c r="U28" i="15" a="1"/>
  <c r="U36" i="15" a="1"/>
  <c r="U44" i="15" a="1"/>
  <c r="U52" i="15" a="1"/>
  <c r="U76" i="15" a="1"/>
  <c r="U84" i="15" a="1"/>
  <c r="U13" i="15" a="1"/>
  <c r="U21" i="15" a="1"/>
  <c r="U29" i="15" a="1"/>
  <c r="U37" i="15" a="1"/>
  <c r="U45" i="15" a="1"/>
  <c r="U53" i="15" a="1"/>
  <c r="U61" i="15" a="1"/>
  <c r="U6" i="15" a="1"/>
  <c r="U22" i="15" a="1"/>
  <c r="U30" i="15" a="1"/>
  <c r="U46" i="15" a="1"/>
  <c r="U78" i="15" a="1"/>
  <c r="U15" i="15" a="1"/>
  <c r="U23" i="15" a="1"/>
  <c r="U39" i="15" a="1"/>
  <c r="U47" i="15" a="1"/>
  <c r="U55" i="15" a="1"/>
  <c r="U71" i="15" a="1"/>
  <c r="U8" i="15" a="1"/>
  <c r="U32" i="15" a="1"/>
  <c r="U48" i="15" a="1"/>
  <c r="U72" i="15" a="1"/>
  <c r="U9" i="15" a="1"/>
  <c r="U33" i="15" a="1"/>
  <c r="U49" i="15" a="1"/>
  <c r="U81" i="15" a="1"/>
  <c r="U18" i="15" a="1"/>
  <c r="U34" i="15" a="1"/>
  <c r="U50" i="15" a="1"/>
  <c r="U74" i="15" a="1"/>
  <c r="U82" i="15" a="1"/>
  <c r="U4" i="15" a="1"/>
  <c r="U79" i="15" a="1"/>
  <c r="U24" i="15" a="1"/>
  <c r="U56" i="15" a="1"/>
  <c r="U17" i="15" a="1"/>
  <c r="U41" i="15" a="1"/>
  <c r="U73" i="15" a="1"/>
  <c r="U10" i="15" a="1"/>
  <c r="U42" i="15" a="1"/>
  <c r="U5" i="15" a="1"/>
  <c r="U14" i="15" a="1"/>
  <c r="U38" i="15" a="1"/>
  <c r="U7" i="15" a="1"/>
  <c r="U31" i="15" a="1"/>
  <c r="U16" i="15" a="1"/>
  <c r="U40" i="15" a="1"/>
  <c r="U80" i="15" a="1"/>
  <c r="U25" i="15" a="1"/>
  <c r="U26" i="15" a="1"/>
  <c r="T3" i="15" a="1"/>
  <c r="T12" i="15" a="1"/>
  <c r="T20" i="15" a="1"/>
  <c r="T36" i="15" a="1"/>
  <c r="T44" i="15" a="1"/>
  <c r="T52" i="15" a="1"/>
  <c r="T60" i="15" a="1"/>
  <c r="T76" i="15" a="1"/>
  <c r="T84" i="15" a="1"/>
  <c r="T13" i="15" a="1"/>
  <c r="T29" i="15" a="1"/>
  <c r="T45" i="15" a="1"/>
  <c r="T77" i="15" a="1"/>
  <c r="T6" i="15" a="1"/>
  <c r="T22" i="15" a="1"/>
  <c r="T38" i="15" a="1"/>
  <c r="T70" i="15" a="1"/>
  <c r="T7" i="15" a="1"/>
  <c r="T23" i="15" a="1"/>
  <c r="T47" i="15" a="1"/>
  <c r="T79" i="15" a="1"/>
  <c r="T8" i="15" a="1"/>
  <c r="T32" i="15" a="1"/>
  <c r="T48" i="15" a="1"/>
  <c r="T80" i="15" a="1"/>
  <c r="T9" i="15" a="1"/>
  <c r="T33" i="15" a="1"/>
  <c r="T49" i="15" a="1"/>
  <c r="T81" i="15" a="1"/>
  <c r="T10" i="15" a="1"/>
  <c r="T26" i="15" a="1"/>
  <c r="T42" i="15" a="1"/>
  <c r="T82" i="15" a="1"/>
  <c r="T4" i="15" a="1"/>
  <c r="T28" i="15" a="1"/>
  <c r="T5" i="15" a="1"/>
  <c r="T21" i="15" a="1"/>
  <c r="T37" i="15" a="1"/>
  <c r="T53" i="15" a="1"/>
  <c r="T69" i="15" a="1"/>
  <c r="T14" i="15" a="1"/>
  <c r="T30" i="15" a="1"/>
  <c r="T46" i="15" a="1"/>
  <c r="T62" i="15" a="1"/>
  <c r="T78" i="15" a="1"/>
  <c r="T15" i="15" a="1"/>
  <c r="T31" i="15" a="1"/>
  <c r="T39" i="15" a="1"/>
  <c r="T16" i="15" a="1"/>
  <c r="T24" i="15" a="1"/>
  <c r="T40" i="15" a="1"/>
  <c r="T72" i="15" a="1"/>
  <c r="T17" i="15" a="1"/>
  <c r="T25" i="15" a="1"/>
  <c r="T41" i="15" a="1"/>
  <c r="T73" i="15" a="1"/>
  <c r="T18" i="15" a="1"/>
  <c r="T34" i="15" a="1"/>
  <c r="T50" i="15" a="1"/>
  <c r="T74" i="15" a="1"/>
  <c r="T11" i="15" a="1"/>
  <c r="T19" i="15" a="1"/>
  <c r="T27" i="15" a="1"/>
  <c r="T35" i="15" a="1"/>
  <c r="T51" i="15" a="1"/>
  <c r="T67" i="15" a="1"/>
  <c r="T75" i="15" a="1"/>
  <c r="T83" i="15" a="1"/>
  <c r="T43" i="15" a="1"/>
  <c r="X2" i="15" a="1"/>
  <c r="Y2" i="15" a="1"/>
  <c r="AA3" i="8" a="1"/>
  <c r="W2" i="15" a="1"/>
  <c r="Y3" i="8" a="1"/>
  <c r="V2" i="15" a="1"/>
  <c r="X3" i="8" a="1"/>
  <c r="U2" i="15" a="1"/>
  <c r="T2" i="15" a="1"/>
  <c r="V33" i="8" a="1"/>
  <c r="W33" i="8" a="1"/>
  <c r="X33" i="8" a="1"/>
  <c r="Y33" i="8" a="1"/>
  <c r="Z33" i="8" a="1"/>
  <c r="AA33" i="8" a="1"/>
  <c r="AA6" i="8" a="1"/>
  <c r="AA7" i="8" a="1"/>
  <c r="AA15" i="8" a="1"/>
  <c r="AA42" i="8" a="1"/>
  <c r="AA16" i="8" a="1"/>
  <c r="AA17" i="8" a="1"/>
  <c r="AA25" i="8" a="1"/>
  <c r="AA36" i="8" a="1"/>
  <c r="AA10" i="8" a="1"/>
  <c r="AA18" i="8" a="1"/>
  <c r="AA45" i="8" a="1"/>
  <c r="AA11" i="8" a="1"/>
  <c r="AA19" i="8" a="1"/>
  <c r="AA4" i="8" a="1"/>
  <c r="AA12" i="8" a="1"/>
  <c r="AA28" i="8" a="1"/>
  <c r="AA47" i="8" a="1"/>
  <c r="AA5" i="8" a="1"/>
  <c r="AA13" i="8" a="1"/>
  <c r="AA29" i="8" a="1"/>
  <c r="AA40" i="8" a="1"/>
  <c r="AA14" i="8" a="1"/>
  <c r="AA22" i="8" a="1"/>
  <c r="AA30" i="8" a="1"/>
  <c r="AA41" i="8" a="1"/>
  <c r="Z4" i="8" a="1"/>
  <c r="Z12" i="8" a="1"/>
  <c r="Z28" i="8" a="1"/>
  <c r="Z47" i="8" a="1"/>
  <c r="Z13" i="8" a="1"/>
  <c r="Z29" i="8" a="1"/>
  <c r="Z40" i="8" a="1"/>
  <c r="Z6" i="8" a="1"/>
  <c r="Z30" i="8" a="1"/>
  <c r="Z7" i="8" a="1"/>
  <c r="Z17" i="8" a="1"/>
  <c r="Z25" i="8" a="1"/>
  <c r="Z18" i="8" a="1"/>
  <c r="Z45" i="8" a="1"/>
  <c r="Z19" i="8" a="1"/>
  <c r="Z5" i="8" a="1"/>
  <c r="Z14" i="8" a="1"/>
  <c r="Z22" i="8" a="1"/>
  <c r="Z41" i="8" a="1"/>
  <c r="Z15" i="8" a="1"/>
  <c r="Z42" i="8" a="1"/>
  <c r="Z16" i="8" a="1"/>
  <c r="Z36" i="8" a="1"/>
  <c r="Z10" i="8" a="1"/>
  <c r="Z11" i="8" a="1"/>
  <c r="Y4" i="8" a="1"/>
  <c r="Y12" i="8" a="1"/>
  <c r="Y28" i="8" a="1"/>
  <c r="Y47" i="8" a="1"/>
  <c r="Y14" i="8" a="1"/>
  <c r="Y41" i="8" a="1"/>
  <c r="Y7" i="8" a="1"/>
  <c r="Y36" i="8" a="1"/>
  <c r="Y10" i="8" a="1"/>
  <c r="Y45" i="8" a="1"/>
  <c r="Y11" i="8" a="1"/>
  <c r="Y5" i="8" a="1"/>
  <c r="Y13" i="8" a="1"/>
  <c r="Y29" i="8" a="1"/>
  <c r="Y40" i="8" a="1"/>
  <c r="Y6" i="8" a="1"/>
  <c r="Y22" i="8" a="1"/>
  <c r="Y30" i="8" a="1"/>
  <c r="Y15" i="8" a="1"/>
  <c r="Y42" i="8" a="1"/>
  <c r="Y16" i="8" a="1"/>
  <c r="Y17" i="8" a="1"/>
  <c r="Y25" i="8" a="1"/>
  <c r="Y18" i="8" a="1"/>
  <c r="Y19" i="8" a="1"/>
  <c r="X4" i="8" a="1"/>
  <c r="X12" i="8" a="1"/>
  <c r="X28" i="8" a="1"/>
  <c r="X47" i="8" a="1"/>
  <c r="X5" i="8" a="1"/>
  <c r="X13" i="8" a="1"/>
  <c r="X29" i="8" a="1"/>
  <c r="X40" i="8" a="1"/>
  <c r="X6" i="8" a="1"/>
  <c r="X14" i="8" a="1"/>
  <c r="X22" i="8" a="1"/>
  <c r="X30" i="8" a="1"/>
  <c r="X41" i="8" a="1"/>
  <c r="X7" i="8" a="1"/>
  <c r="X15" i="8" a="1"/>
  <c r="X42" i="8" a="1"/>
  <c r="X16" i="8" a="1"/>
  <c r="X17" i="8" a="1"/>
  <c r="X36" i="8" a="1"/>
  <c r="X10" i="8" a="1"/>
  <c r="X18" i="8" a="1"/>
  <c r="X45" i="8" a="1"/>
  <c r="X11" i="8" a="1"/>
  <c r="X19" i="8" a="1"/>
  <c r="X25" i="8" a="1"/>
  <c r="W4" i="8" a="1"/>
  <c r="W12" i="8" a="1"/>
  <c r="W28" i="8" a="1"/>
  <c r="W47" i="8" a="1"/>
  <c r="W30" i="8" a="1"/>
  <c r="W15" i="8" a="1"/>
  <c r="W16" i="8" a="1"/>
  <c r="W17" i="8" a="1"/>
  <c r="W18" i="8" a="1"/>
  <c r="W19" i="8" a="1"/>
  <c r="W5" i="8" a="1"/>
  <c r="W13" i="8" a="1"/>
  <c r="W29" i="8" a="1"/>
  <c r="W40" i="8" a="1"/>
  <c r="W14" i="8" a="1"/>
  <c r="W41" i="8" a="1"/>
  <c r="W7" i="8" a="1"/>
  <c r="W42" i="8" a="1"/>
  <c r="W10" i="8" a="1"/>
  <c r="W45" i="8" a="1"/>
  <c r="W22" i="8" a="1"/>
  <c r="W36" i="8" a="1"/>
  <c r="W6" i="8" a="1"/>
  <c r="W25" i="8" a="1"/>
  <c r="W11" i="8" a="1"/>
  <c r="V4" i="8" a="1"/>
  <c r="V12" i="8" a="1"/>
  <c r="V28" i="8" a="1"/>
  <c r="V47" i="8" a="1"/>
  <c r="V29" i="8" a="1"/>
  <c r="V14" i="8" a="1"/>
  <c r="V22" i="8" a="1"/>
  <c r="V41" i="8" a="1"/>
  <c r="V7" i="8" a="1"/>
  <c r="V42" i="8" a="1"/>
  <c r="V16" i="8" a="1"/>
  <c r="V17" i="8" a="1"/>
  <c r="V36" i="8" a="1"/>
  <c r="V10" i="8" a="1"/>
  <c r="V45" i="8" a="1"/>
  <c r="V11" i="8" a="1"/>
  <c r="V5" i="8" a="1"/>
  <c r="V13" i="8" a="1"/>
  <c r="V40" i="8" a="1"/>
  <c r="V6" i="8" a="1"/>
  <c r="V30" i="8" a="1"/>
  <c r="V15" i="8" a="1"/>
  <c r="V25" i="8" a="1"/>
  <c r="V18" i="8" a="1"/>
  <c r="V19" i="8" a="1"/>
  <c r="Z3" i="8" a="1"/>
  <c r="V3" i="8" a="1"/>
  <c r="W3" i="8" l="1"/>
  <c r="U27" i="8"/>
  <c r="U26" i="8"/>
  <c r="U25" i="8"/>
  <c r="U24" i="8"/>
  <c r="U47" i="8"/>
  <c r="U23" i="8"/>
  <c r="U46" i="8"/>
  <c r="U6" i="8"/>
  <c r="U43" i="8"/>
  <c r="U19" i="8"/>
  <c r="U42" i="8"/>
  <c r="U10" i="8"/>
  <c r="U41" i="8"/>
  <c r="U9" i="8"/>
  <c r="U32" i="8"/>
  <c r="U8" i="8"/>
  <c r="U31" i="8"/>
  <c r="U7" i="8"/>
  <c r="U22" i="8"/>
  <c r="U45" i="8"/>
  <c r="U21" i="8"/>
  <c r="U5" i="8"/>
  <c r="U35" i="8"/>
  <c r="U11" i="8"/>
  <c r="U34" i="8"/>
  <c r="U18" i="8"/>
  <c r="U33" i="8"/>
  <c r="U17" i="8"/>
  <c r="U40" i="8"/>
  <c r="U16" i="8"/>
  <c r="U39" i="8"/>
  <c r="U15" i="8"/>
  <c r="U38" i="8"/>
  <c r="U30" i="8"/>
  <c r="U14" i="8"/>
  <c r="U37" i="8"/>
  <c r="U29" i="8"/>
  <c r="U13" i="8"/>
  <c r="U44" i="8"/>
  <c r="U36" i="8"/>
  <c r="U28" i="8"/>
  <c r="U20" i="8"/>
  <c r="U12" i="8"/>
  <c r="U4" i="8"/>
  <c r="U3" i="8"/>
  <c r="U77" i="15"/>
  <c r="V76" i="15"/>
  <c r="AF84" i="15"/>
  <c r="Y83" i="15"/>
  <c r="Y67" i="15"/>
  <c r="Y51" i="15"/>
  <c r="Y35" i="15"/>
  <c r="Y19" i="15"/>
  <c r="Y11" i="15"/>
  <c r="Y74" i="15"/>
  <c r="Y58" i="15"/>
  <c r="Y42" i="15"/>
  <c r="Y26" i="15"/>
  <c r="Y18" i="15"/>
  <c r="Y81" i="15"/>
  <c r="Y65" i="15"/>
  <c r="Y49" i="15"/>
  <c r="Y33" i="15"/>
  <c r="Y25" i="15"/>
  <c r="Y17" i="15"/>
  <c r="Y72" i="15"/>
  <c r="Y56" i="15"/>
  <c r="Y40" i="15"/>
  <c r="Y24" i="15"/>
  <c r="Y16" i="15"/>
  <c r="Y79" i="15"/>
  <c r="Y55" i="15"/>
  <c r="Y39" i="15"/>
  <c r="Y23" i="15"/>
  <c r="Y15" i="15"/>
  <c r="Y78" i="15"/>
  <c r="Y54" i="15"/>
  <c r="Y38" i="15"/>
  <c r="Y22" i="15"/>
  <c r="Y6" i="15"/>
  <c r="Y77" i="15"/>
  <c r="Y61" i="15"/>
  <c r="Y45" i="15"/>
  <c r="Y29" i="15"/>
  <c r="Y13" i="15"/>
  <c r="Y84" i="15"/>
  <c r="Y68" i="15"/>
  <c r="Y60" i="15"/>
  <c r="Y52" i="15"/>
  <c r="Y44" i="15"/>
  <c r="Y36" i="15"/>
  <c r="Y28" i="15"/>
  <c r="Y12" i="15"/>
  <c r="Y4" i="15"/>
  <c r="Y75" i="15"/>
  <c r="Y59" i="15"/>
  <c r="Y43" i="15"/>
  <c r="Y27" i="15"/>
  <c r="Y3" i="15"/>
  <c r="Y82" i="15"/>
  <c r="Y66" i="15"/>
  <c r="Y50" i="15"/>
  <c r="Y34" i="15"/>
  <c r="Y10" i="15"/>
  <c r="Y73" i="15"/>
  <c r="Y57" i="15"/>
  <c r="Y41" i="15"/>
  <c r="Y9" i="15"/>
  <c r="Y80" i="15"/>
  <c r="Y64" i="15"/>
  <c r="Y48" i="15"/>
  <c r="Y32" i="15"/>
  <c r="Y8" i="15"/>
  <c r="Y71" i="15"/>
  <c r="Y63" i="15"/>
  <c r="Y47" i="15"/>
  <c r="Y31" i="15"/>
  <c r="Y7" i="15"/>
  <c r="Y70" i="15"/>
  <c r="Y62" i="15"/>
  <c r="Y46" i="15"/>
  <c r="Y30" i="15"/>
  <c r="Y14" i="15"/>
  <c r="Y69" i="15"/>
  <c r="Y53" i="15"/>
  <c r="Y37" i="15"/>
  <c r="Y21" i="15"/>
  <c r="Y5" i="15"/>
  <c r="Y76" i="15"/>
  <c r="Y20" i="15"/>
  <c r="X74" i="15"/>
  <c r="X50" i="15"/>
  <c r="X26" i="15"/>
  <c r="X73" i="15"/>
  <c r="X49" i="15"/>
  <c r="X25" i="15"/>
  <c r="X48" i="15"/>
  <c r="X24" i="15"/>
  <c r="X15" i="15"/>
  <c r="X6" i="15"/>
  <c r="X34" i="15"/>
  <c r="X10" i="15"/>
  <c r="X41" i="15"/>
  <c r="X9" i="15"/>
  <c r="X72" i="15"/>
  <c r="X32" i="15"/>
  <c r="X16" i="15"/>
  <c r="X47" i="15"/>
  <c r="X31" i="15"/>
  <c r="X23" i="15"/>
  <c r="X7" i="15"/>
  <c r="X78" i="15"/>
  <c r="X46" i="15"/>
  <c r="X38" i="15"/>
  <c r="X30" i="15"/>
  <c r="X22" i="15"/>
  <c r="X14" i="15"/>
  <c r="X77" i="15"/>
  <c r="X69" i="15"/>
  <c r="X53" i="15"/>
  <c r="X45" i="15"/>
  <c r="X37" i="15"/>
  <c r="X29" i="15"/>
  <c r="X21" i="15"/>
  <c r="X13" i="15"/>
  <c r="X5" i="15"/>
  <c r="X82" i="15"/>
  <c r="X42" i="15"/>
  <c r="X18" i="15"/>
  <c r="X81" i="15"/>
  <c r="X33" i="15"/>
  <c r="X17" i="15"/>
  <c r="X80" i="15"/>
  <c r="X40" i="15"/>
  <c r="X8" i="15"/>
  <c r="X79" i="15"/>
  <c r="X39" i="15"/>
  <c r="X84" i="15"/>
  <c r="X76" i="15"/>
  <c r="X52" i="15"/>
  <c r="X44" i="15"/>
  <c r="X36" i="15"/>
  <c r="X28" i="15"/>
  <c r="X20" i="15"/>
  <c r="X12" i="15"/>
  <c r="X4" i="15"/>
  <c r="X83" i="15"/>
  <c r="X75" i="15"/>
  <c r="X67" i="15"/>
  <c r="X51" i="15"/>
  <c r="X43" i="15"/>
  <c r="X35" i="15"/>
  <c r="X27" i="15"/>
  <c r="X19" i="15"/>
  <c r="X11" i="15"/>
  <c r="X3" i="15"/>
  <c r="W72" i="15"/>
  <c r="W49" i="15"/>
  <c r="W8" i="15"/>
  <c r="W25" i="15"/>
  <c r="W24" i="15"/>
  <c r="W18" i="15"/>
  <c r="W17" i="15"/>
  <c r="W74" i="15"/>
  <c r="W26" i="15"/>
  <c r="W48" i="15"/>
  <c r="W82" i="15"/>
  <c r="W42" i="15"/>
  <c r="W81" i="15"/>
  <c r="W41" i="15"/>
  <c r="W80" i="15"/>
  <c r="W40" i="15"/>
  <c r="W34" i="15"/>
  <c r="W16" i="15"/>
  <c r="W33" i="15"/>
  <c r="W10" i="15"/>
  <c r="W73" i="15"/>
  <c r="W50" i="15"/>
  <c r="W32" i="15"/>
  <c r="W9" i="15"/>
  <c r="W79" i="15"/>
  <c r="W47" i="15"/>
  <c r="W39" i="15"/>
  <c r="W31" i="15"/>
  <c r="W23" i="15"/>
  <c r="W15" i="15"/>
  <c r="W7" i="15"/>
  <c r="W78" i="15"/>
  <c r="W46" i="15"/>
  <c r="W38" i="15"/>
  <c r="W30" i="15"/>
  <c r="W22" i="15"/>
  <c r="W14" i="15"/>
  <c r="W6" i="15"/>
  <c r="W77" i="15"/>
  <c r="W53" i="15"/>
  <c r="W45" i="15"/>
  <c r="W37" i="15"/>
  <c r="W29" i="15"/>
  <c r="W21" i="15"/>
  <c r="W13" i="15"/>
  <c r="W5" i="15"/>
  <c r="W84" i="15"/>
  <c r="W76" i="15"/>
  <c r="W52" i="15"/>
  <c r="W44" i="15"/>
  <c r="W36" i="15"/>
  <c r="W28" i="15"/>
  <c r="W20" i="15"/>
  <c r="W12" i="15"/>
  <c r="W4" i="15"/>
  <c r="W83" i="15"/>
  <c r="W75" i="15"/>
  <c r="W51" i="15"/>
  <c r="W43" i="15"/>
  <c r="W35" i="15"/>
  <c r="W27" i="15"/>
  <c r="W19" i="15"/>
  <c r="W11" i="15"/>
  <c r="W3" i="15"/>
  <c r="V50" i="15"/>
  <c r="V34" i="15"/>
  <c r="V10" i="15"/>
  <c r="V81" i="15"/>
  <c r="V49" i="15"/>
  <c r="V25" i="15"/>
  <c r="V17" i="15"/>
  <c r="V72" i="15"/>
  <c r="V40" i="15"/>
  <c r="V16" i="15"/>
  <c r="V39" i="15"/>
  <c r="V23" i="15"/>
  <c r="V15" i="15"/>
  <c r="V7" i="15"/>
  <c r="V78" i="15"/>
  <c r="V46" i="15"/>
  <c r="V38" i="15"/>
  <c r="V30" i="15"/>
  <c r="V22" i="15"/>
  <c r="V14" i="15"/>
  <c r="V6" i="15"/>
  <c r="V82" i="15"/>
  <c r="V26" i="15"/>
  <c r="V41" i="15"/>
  <c r="V24" i="15"/>
  <c r="V84" i="15"/>
  <c r="V74" i="15"/>
  <c r="V42" i="15"/>
  <c r="V18" i="15"/>
  <c r="V73" i="15"/>
  <c r="V33" i="15"/>
  <c r="V9" i="15"/>
  <c r="V80" i="15"/>
  <c r="V48" i="15"/>
  <c r="V32" i="15"/>
  <c r="V8" i="15"/>
  <c r="V79" i="15"/>
  <c r="V47" i="15"/>
  <c r="V31" i="15"/>
  <c r="V77" i="15"/>
  <c r="V53" i="15"/>
  <c r="V45" i="15"/>
  <c r="V37" i="15"/>
  <c r="V29" i="15"/>
  <c r="V21" i="15"/>
  <c r="V13" i="15"/>
  <c r="V5" i="15"/>
  <c r="V52" i="15"/>
  <c r="V44" i="15"/>
  <c r="V36" i="15"/>
  <c r="V28" i="15"/>
  <c r="V20" i="15"/>
  <c r="V12" i="15"/>
  <c r="V4" i="15"/>
  <c r="V83" i="15"/>
  <c r="V75" i="15"/>
  <c r="V51" i="15"/>
  <c r="V43" i="15"/>
  <c r="V35" i="15"/>
  <c r="V27" i="15"/>
  <c r="V19" i="15"/>
  <c r="V11" i="15"/>
  <c r="V3" i="15"/>
  <c r="U26" i="15"/>
  <c r="U25" i="15"/>
  <c r="U80" i="15"/>
  <c r="U40" i="15"/>
  <c r="U16" i="15"/>
  <c r="U31" i="15"/>
  <c r="U7" i="15"/>
  <c r="U38" i="15"/>
  <c r="U14" i="15"/>
  <c r="U5" i="15"/>
  <c r="U42" i="15"/>
  <c r="U10" i="15"/>
  <c r="U73" i="15"/>
  <c r="U41" i="15"/>
  <c r="U17" i="15"/>
  <c r="U56" i="15"/>
  <c r="U24" i="15"/>
  <c r="U79" i="15"/>
  <c r="U4" i="15"/>
  <c r="U82" i="15"/>
  <c r="U74" i="15"/>
  <c r="U50" i="15"/>
  <c r="U34" i="15"/>
  <c r="U18" i="15"/>
  <c r="U81" i="15"/>
  <c r="U49" i="15"/>
  <c r="U33" i="15"/>
  <c r="U9" i="15"/>
  <c r="U72" i="15"/>
  <c r="U48" i="15"/>
  <c r="U32" i="15"/>
  <c r="U8" i="15"/>
  <c r="U71" i="15"/>
  <c r="U55" i="15"/>
  <c r="U47" i="15"/>
  <c r="U39" i="15"/>
  <c r="U23" i="15"/>
  <c r="U15" i="15"/>
  <c r="U78" i="15"/>
  <c r="U46" i="15"/>
  <c r="U30" i="15"/>
  <c r="U22" i="15"/>
  <c r="U6" i="15"/>
  <c r="U61" i="15"/>
  <c r="U53" i="15"/>
  <c r="U45" i="15"/>
  <c r="U37" i="15"/>
  <c r="U29" i="15"/>
  <c r="U21" i="15"/>
  <c r="U13" i="15"/>
  <c r="U84" i="15"/>
  <c r="U76" i="15"/>
  <c r="U52" i="15"/>
  <c r="U44" i="15"/>
  <c r="U36" i="15"/>
  <c r="U28" i="15"/>
  <c r="U20" i="15"/>
  <c r="U12" i="15"/>
  <c r="U83" i="15"/>
  <c r="U75" i="15"/>
  <c r="U67" i="15"/>
  <c r="U51" i="15"/>
  <c r="U43" i="15"/>
  <c r="U35" i="15"/>
  <c r="U27" i="15"/>
  <c r="U19" i="15"/>
  <c r="U11" i="15"/>
  <c r="U3" i="15"/>
  <c r="T43" i="15"/>
  <c r="T83" i="15"/>
  <c r="T75" i="15"/>
  <c r="T67" i="15"/>
  <c r="T51" i="15"/>
  <c r="T35" i="15"/>
  <c r="T27" i="15"/>
  <c r="T19" i="15"/>
  <c r="T11" i="15"/>
  <c r="T74" i="15"/>
  <c r="T50" i="15"/>
  <c r="T34" i="15"/>
  <c r="T18" i="15"/>
  <c r="T73" i="15"/>
  <c r="T41" i="15"/>
  <c r="T25" i="15"/>
  <c r="T17" i="15"/>
  <c r="T72" i="15"/>
  <c r="T40" i="15"/>
  <c r="T24" i="15"/>
  <c r="T16" i="15"/>
  <c r="T39" i="15"/>
  <c r="T31" i="15"/>
  <c r="T15" i="15"/>
  <c r="T78" i="15"/>
  <c r="T62" i="15"/>
  <c r="T46" i="15"/>
  <c r="T30" i="15"/>
  <c r="T14" i="15"/>
  <c r="T69" i="15"/>
  <c r="T53" i="15"/>
  <c r="T37" i="15"/>
  <c r="T21" i="15"/>
  <c r="T5" i="15"/>
  <c r="T28" i="15"/>
  <c r="T4" i="15"/>
  <c r="T82" i="15"/>
  <c r="T42" i="15"/>
  <c r="T26" i="15"/>
  <c r="T10" i="15"/>
  <c r="T81" i="15"/>
  <c r="T49" i="15"/>
  <c r="T33" i="15"/>
  <c r="T9" i="15"/>
  <c r="T80" i="15"/>
  <c r="T48" i="15"/>
  <c r="T32" i="15"/>
  <c r="T8" i="15"/>
  <c r="T79" i="15"/>
  <c r="T47" i="15"/>
  <c r="T23" i="15"/>
  <c r="T7" i="15"/>
  <c r="T70" i="15"/>
  <c r="T38" i="15"/>
  <c r="T22" i="15"/>
  <c r="T6" i="15"/>
  <c r="T77" i="15"/>
  <c r="T45" i="15"/>
  <c r="T29" i="15"/>
  <c r="T13" i="15"/>
  <c r="T84" i="15"/>
  <c r="T76" i="15"/>
  <c r="T60" i="15"/>
  <c r="T52" i="15"/>
  <c r="T44" i="15"/>
  <c r="T36" i="15"/>
  <c r="T20" i="15"/>
  <c r="T12" i="15"/>
  <c r="T3" i="15"/>
  <c r="X2" i="15"/>
  <c r="Y2" i="15"/>
  <c r="AA3" i="8"/>
  <c r="W2" i="15"/>
  <c r="Y3" i="8"/>
  <c r="V2" i="15"/>
  <c r="X3" i="8"/>
  <c r="T2" i="15"/>
  <c r="U2" i="15"/>
  <c r="AA33" i="8"/>
  <c r="Z33" i="8"/>
  <c r="Y33" i="8"/>
  <c r="X33" i="8"/>
  <c r="W33" i="8"/>
  <c r="V33" i="8"/>
  <c r="AA41" i="8"/>
  <c r="AA30" i="8"/>
  <c r="AA22" i="8"/>
  <c r="AA14" i="8"/>
  <c r="AA40" i="8"/>
  <c r="AA29" i="8"/>
  <c r="AA13" i="8"/>
  <c r="AA5" i="8"/>
  <c r="AA47" i="8"/>
  <c r="AA28" i="8"/>
  <c r="AA12" i="8"/>
  <c r="AA4" i="8"/>
  <c r="AA19" i="8"/>
  <c r="AA11" i="8"/>
  <c r="AA45" i="8"/>
  <c r="AA18" i="8"/>
  <c r="AA10" i="8"/>
  <c r="AA36" i="8"/>
  <c r="AA25" i="8"/>
  <c r="AA17" i="8"/>
  <c r="AA16" i="8"/>
  <c r="AA42" i="8"/>
  <c r="AA15" i="8"/>
  <c r="AA7" i="8"/>
  <c r="AA6" i="8"/>
  <c r="Z11" i="8"/>
  <c r="Z10" i="8"/>
  <c r="Z36" i="8"/>
  <c r="Z16" i="8"/>
  <c r="Z42" i="8"/>
  <c r="Z15" i="8"/>
  <c r="Z41" i="8"/>
  <c r="Z22" i="8"/>
  <c r="Z14" i="8"/>
  <c r="Z5" i="8"/>
  <c r="Z19" i="8"/>
  <c r="Z45" i="8"/>
  <c r="Z18" i="8"/>
  <c r="Z25" i="8"/>
  <c r="Z17" i="8"/>
  <c r="Z7" i="8"/>
  <c r="Z30" i="8"/>
  <c r="Z6" i="8"/>
  <c r="Z40" i="8"/>
  <c r="Z29" i="8"/>
  <c r="Z13" i="8"/>
  <c r="Z47" i="8"/>
  <c r="Z28" i="8"/>
  <c r="Z12" i="8"/>
  <c r="Z4" i="8"/>
  <c r="Y19" i="8"/>
  <c r="Y18" i="8"/>
  <c r="Y25" i="8"/>
  <c r="Y17" i="8"/>
  <c r="Y16" i="8"/>
  <c r="Y42" i="8"/>
  <c r="Y15" i="8"/>
  <c r="Y30" i="8"/>
  <c r="Y22" i="8"/>
  <c r="Y6" i="8"/>
  <c r="Y40" i="8"/>
  <c r="Y29" i="8"/>
  <c r="Y13" i="8"/>
  <c r="Y5" i="8"/>
  <c r="Y11" i="8"/>
  <c r="Y45" i="8"/>
  <c r="Y10" i="8"/>
  <c r="Y36" i="8"/>
  <c r="Y7" i="8"/>
  <c r="Y41" i="8"/>
  <c r="Y14" i="8"/>
  <c r="Y47" i="8"/>
  <c r="Y28" i="8"/>
  <c r="Y12" i="8"/>
  <c r="Y4" i="8"/>
  <c r="X25" i="8"/>
  <c r="X19" i="8"/>
  <c r="X11" i="8"/>
  <c r="X45" i="8"/>
  <c r="X18" i="8"/>
  <c r="X10" i="8"/>
  <c r="X36" i="8"/>
  <c r="X17" i="8"/>
  <c r="X16" i="8"/>
  <c r="X42" i="8"/>
  <c r="X15" i="8"/>
  <c r="X7" i="8"/>
  <c r="X41" i="8"/>
  <c r="X30" i="8"/>
  <c r="X22" i="8"/>
  <c r="X14" i="8"/>
  <c r="X6" i="8"/>
  <c r="X40" i="8"/>
  <c r="X29" i="8"/>
  <c r="X13" i="8"/>
  <c r="X5" i="8"/>
  <c r="X47" i="8"/>
  <c r="X28" i="8"/>
  <c r="X12" i="8"/>
  <c r="X4" i="8"/>
  <c r="W11" i="8"/>
  <c r="W25" i="8"/>
  <c r="W6" i="8"/>
  <c r="W36" i="8"/>
  <c r="W22" i="8"/>
  <c r="W45" i="8"/>
  <c r="W10" i="8"/>
  <c r="W42" i="8"/>
  <c r="W7" i="8"/>
  <c r="W41" i="8"/>
  <c r="W14" i="8"/>
  <c r="W40" i="8"/>
  <c r="W29" i="8"/>
  <c r="W13" i="8"/>
  <c r="W5" i="8"/>
  <c r="W19" i="8"/>
  <c r="W18" i="8"/>
  <c r="W17" i="8"/>
  <c r="W16" i="8"/>
  <c r="W15" i="8"/>
  <c r="W30" i="8"/>
  <c r="W47" i="8"/>
  <c r="W28" i="8"/>
  <c r="W12" i="8"/>
  <c r="W4" i="8"/>
  <c r="V19" i="8"/>
  <c r="V18" i="8"/>
  <c r="V25" i="8"/>
  <c r="V15" i="8"/>
  <c r="V30" i="8"/>
  <c r="V6" i="8"/>
  <c r="V40" i="8"/>
  <c r="V13" i="8"/>
  <c r="V5" i="8"/>
  <c r="V11" i="8"/>
  <c r="V45" i="8"/>
  <c r="V10" i="8"/>
  <c r="V36" i="8"/>
  <c r="V17" i="8"/>
  <c r="V16" i="8"/>
  <c r="V42" i="8"/>
  <c r="V7" i="8"/>
  <c r="V41" i="8"/>
  <c r="V22" i="8"/>
  <c r="V14" i="8"/>
  <c r="V29" i="8"/>
  <c r="V47" i="8"/>
  <c r="V28" i="8"/>
  <c r="V12" i="8"/>
  <c r="V4" i="8"/>
  <c r="Z3" i="8"/>
  <c r="V3" i="8"/>
  <c r="AI8" i="8" a="1"/>
  <c r="AI26" i="8" a="1"/>
  <c r="AI24" i="8" a="1"/>
  <c r="AI23" i="8" a="1"/>
  <c r="AI46" i="8" a="1"/>
  <c r="AI34" i="8" a="1"/>
  <c r="AI32" i="8" a="1"/>
  <c r="AI27" i="8" a="1"/>
  <c r="AI31" i="8" a="1"/>
  <c r="AI38" i="8" a="1"/>
  <c r="AI37" i="8" a="1"/>
  <c r="AI21" i="8" a="1"/>
  <c r="AI39" i="8" a="1"/>
  <c r="AI35" i="8" a="1"/>
  <c r="AI44" i="8" a="1"/>
  <c r="AI43" i="8" a="1"/>
  <c r="AI20" i="8" a="1"/>
  <c r="AI9" i="8" a="1"/>
  <c r="AG8" i="8" a="1"/>
  <c r="AG26" i="8" a="1"/>
  <c r="AG24" i="8" a="1"/>
  <c r="AG37" i="8" a="1"/>
  <c r="AG23" i="8" a="1"/>
  <c r="AG46" i="8" a="1"/>
  <c r="AG34" i="8" a="1"/>
  <c r="AG9" i="8" a="1"/>
  <c r="AG39" i="8" a="1"/>
  <c r="AG27" i="8" a="1"/>
  <c r="AG31" i="8" a="1"/>
  <c r="AG38" i="8" a="1"/>
  <c r="AG44" i="8" a="1"/>
  <c r="AG21" i="8" a="1"/>
  <c r="AG35" i="8" a="1"/>
  <c r="AG43" i="8" a="1"/>
  <c r="AG20" i="8" a="1"/>
  <c r="AG32" i="8" a="1"/>
  <c r="AF8" i="8" a="1"/>
  <c r="AF37" i="8" a="1"/>
  <c r="AF27" i="8" a="1"/>
  <c r="AF31" i="8" a="1"/>
  <c r="AF38" i="8" a="1"/>
  <c r="AF26" i="8" a="1"/>
  <c r="AF24" i="8" a="1"/>
  <c r="AF21" i="8" a="1"/>
  <c r="AF23" i="8" a="1"/>
  <c r="AF46" i="8" a="1"/>
  <c r="AF9" i="8" a="1"/>
  <c r="AF35" i="8" a="1"/>
  <c r="AF44" i="8" a="1"/>
  <c r="AF43" i="8" a="1"/>
  <c r="AF34" i="8" a="1"/>
  <c r="AF20" i="8" a="1"/>
  <c r="AF39" i="8" a="1"/>
  <c r="AF32" i="8" a="1"/>
  <c r="AE8" i="8" a="1"/>
  <c r="AE24" i="8" a="1"/>
  <c r="AE20" i="8" a="1"/>
  <c r="AE39" i="8" a="1"/>
  <c r="AE27" i="8" a="1"/>
  <c r="AE31" i="8" a="1"/>
  <c r="AE38" i="8" a="1"/>
  <c r="AE26" i="8" a="1"/>
  <c r="AE37" i="8" a="1"/>
  <c r="AE35" i="8" a="1"/>
  <c r="AE44" i="8" a="1"/>
  <c r="AE43" i="8" a="1"/>
  <c r="AE21" i="8" a="1"/>
  <c r="AE23" i="8" a="1"/>
  <c r="AE46" i="8" a="1"/>
  <c r="AE34" i="8" a="1"/>
  <c r="AE9" i="8" a="1"/>
  <c r="AE32" i="8" a="1"/>
  <c r="AD8" i="8" a="1"/>
  <c r="AD37" i="8" a="1"/>
  <c r="AD27" i="8" a="1"/>
  <c r="AD31" i="8" a="1"/>
  <c r="AD38" i="8" a="1"/>
  <c r="AD34" i="8" a="1"/>
  <c r="AD39" i="8" a="1"/>
  <c r="AD26" i="8" a="1"/>
  <c r="AD24" i="8" a="1"/>
  <c r="AD21" i="8" a="1"/>
  <c r="AD46" i="8" a="1"/>
  <c r="AD9" i="8" a="1"/>
  <c r="AD32" i="8" a="1"/>
  <c r="AD23" i="8" a="1"/>
  <c r="AD35" i="8" a="1"/>
  <c r="AD44" i="8" a="1"/>
  <c r="AD43" i="8" a="1"/>
  <c r="AD20" i="8" a="1"/>
  <c r="S3" i="8" a="1"/>
  <c r="R3" i="8" a="1"/>
  <c r="Q77" i="15" a="1"/>
  <c r="Q81" i="15" a="1"/>
  <c r="R81" i="15" a="1"/>
  <c r="R77" i="15" a="1"/>
  <c r="Q80" i="15" a="1"/>
  <c r="R80" i="15" a="1"/>
  <c r="Q73" i="15" a="1"/>
  <c r="R73" i="15" a="1"/>
  <c r="Q83" i="15" a="1"/>
  <c r="R83" i="15" a="1"/>
  <c r="Q75" i="15" a="1"/>
  <c r="R75" i="15" a="1"/>
  <c r="Q72" i="15" a="1"/>
  <c r="R72" i="15" a="1"/>
  <c r="Q84" i="15" a="1"/>
  <c r="R84" i="15" a="1"/>
  <c r="Q74" i="15" a="1"/>
  <c r="R74" i="15" a="1"/>
  <c r="Q76" i="15" a="1"/>
  <c r="R76" i="15" a="1"/>
  <c r="Q82" i="15" a="1"/>
  <c r="R82" i="15" a="1"/>
  <c r="Q79" i="15" a="1"/>
  <c r="R79" i="15" a="1"/>
  <c r="Q78" i="15" a="1"/>
  <c r="R78" i="15" a="1"/>
  <c r="AI9" i="8" l="1"/>
  <c r="AI20" i="8"/>
  <c r="AI43" i="8"/>
  <c r="AI44" i="8"/>
  <c r="AI35" i="8"/>
  <c r="AI39" i="8"/>
  <c r="AI21" i="8"/>
  <c r="AI37" i="8"/>
  <c r="AI38" i="8"/>
  <c r="AI31" i="8"/>
  <c r="AI27" i="8"/>
  <c r="AI32" i="8"/>
  <c r="AI34" i="8"/>
  <c r="AI46" i="8"/>
  <c r="AI23" i="8"/>
  <c r="AI24" i="8"/>
  <c r="AI26" i="8"/>
  <c r="AI8" i="8"/>
  <c r="AG32" i="8"/>
  <c r="AG20" i="8"/>
  <c r="AG43" i="8"/>
  <c r="AG35" i="8"/>
  <c r="AG21" i="8"/>
  <c r="AG44" i="8"/>
  <c r="AG38" i="8"/>
  <c r="AG31" i="8"/>
  <c r="AG27" i="8"/>
  <c r="AG39" i="8"/>
  <c r="AG9" i="8"/>
  <c r="AG34" i="8"/>
  <c r="AG46" i="8"/>
  <c r="AG23" i="8"/>
  <c r="AG37" i="8"/>
  <c r="AG24" i="8"/>
  <c r="AG26" i="8"/>
  <c r="AG8" i="8"/>
  <c r="AF32" i="8"/>
  <c r="AF39" i="8"/>
  <c r="AF20" i="8"/>
  <c r="AF34" i="8"/>
  <c r="AF43" i="8"/>
  <c r="AF44" i="8"/>
  <c r="AF35" i="8"/>
  <c r="AF9" i="8"/>
  <c r="AF46" i="8"/>
  <c r="AF23" i="8"/>
  <c r="AF21" i="8"/>
  <c r="AF24" i="8"/>
  <c r="AF26" i="8"/>
  <c r="AF38" i="8"/>
  <c r="AF31" i="8"/>
  <c r="AF27" i="8"/>
  <c r="AF37" i="8"/>
  <c r="AF8" i="8"/>
  <c r="AE32" i="8"/>
  <c r="AE9" i="8"/>
  <c r="AE34" i="8"/>
  <c r="AE46" i="8"/>
  <c r="AE23" i="8"/>
  <c r="AE21" i="8"/>
  <c r="AE43" i="8"/>
  <c r="AE44" i="8"/>
  <c r="AE35" i="8"/>
  <c r="AE37" i="8"/>
  <c r="AE26" i="8"/>
  <c r="AE38" i="8"/>
  <c r="AE31" i="8"/>
  <c r="AE27" i="8"/>
  <c r="AE39" i="8"/>
  <c r="AE20" i="8"/>
  <c r="AE24" i="8"/>
  <c r="AE8" i="8"/>
  <c r="AD20" i="8"/>
  <c r="AD43" i="8"/>
  <c r="AD44" i="8"/>
  <c r="AD35" i="8"/>
  <c r="AD23" i="8"/>
  <c r="AD32" i="8"/>
  <c r="AD9" i="8"/>
  <c r="AD46" i="8"/>
  <c r="AD21" i="8"/>
  <c r="AD24" i="8"/>
  <c r="AD26" i="8"/>
  <c r="AD39" i="8"/>
  <c r="AD34" i="8"/>
  <c r="AD38" i="8"/>
  <c r="AD31" i="8"/>
  <c r="AD27" i="8"/>
  <c r="AD37" i="8"/>
  <c r="AD8" i="8"/>
  <c r="S3" i="8"/>
  <c r="R3" i="8"/>
  <c r="Q77" i="15"/>
  <c r="R78" i="15"/>
  <c r="Q78" i="15"/>
  <c r="R79" i="15"/>
  <c r="Q79" i="15"/>
  <c r="R82" i="15"/>
  <c r="Q82" i="15"/>
  <c r="R76" i="15"/>
  <c r="Q76" i="15"/>
  <c r="R74" i="15"/>
  <c r="Q74" i="15"/>
  <c r="R84" i="15"/>
  <c r="Q84" i="15"/>
  <c r="R72" i="15"/>
  <c r="Q72" i="15"/>
  <c r="R75" i="15"/>
  <c r="Q75" i="15"/>
  <c r="R83" i="15"/>
  <c r="Q83" i="15"/>
  <c r="R73" i="15"/>
  <c r="Q73" i="15"/>
  <c r="R80" i="15"/>
  <c r="Q80" i="15"/>
  <c r="R77" i="15"/>
  <c r="R81" i="15"/>
  <c r="Q81" i="15"/>
  <c r="AD3" i="8" a="1"/>
  <c r="AI3" i="8" a="1"/>
  <c r="AG3" i="8" a="1"/>
  <c r="AF3" i="8" a="1"/>
  <c r="AE3" i="8" a="1"/>
  <c r="AB77" i="15" a="1"/>
  <c r="AL82" i="15" a="1"/>
  <c r="AL83" i="15" a="1"/>
  <c r="AL78" i="15" a="1"/>
  <c r="AL75" i="15" a="1"/>
  <c r="AL76" i="15" a="1"/>
  <c r="AL80" i="15" a="1"/>
  <c r="AL74" i="15" a="1"/>
  <c r="AL73" i="15" a="1"/>
  <c r="AL79" i="15" a="1"/>
  <c r="AL84" i="15" a="1"/>
  <c r="AL72" i="15" a="1"/>
  <c r="AL77" i="15" a="1"/>
  <c r="AL81" i="15" a="1"/>
  <c r="AG82" i="15" a="1"/>
  <c r="AG83" i="15" a="1"/>
  <c r="AG78" i="15" a="1"/>
  <c r="AG75" i="15" a="1"/>
  <c r="AG76" i="15" a="1"/>
  <c r="AG80" i="15" a="1"/>
  <c r="AG74" i="15" a="1"/>
  <c r="AG73" i="15" a="1"/>
  <c r="AG79" i="15" a="1"/>
  <c r="AG84" i="15" a="1"/>
  <c r="AG72" i="15" a="1"/>
  <c r="AG77" i="15" a="1"/>
  <c r="AG81" i="15" a="1"/>
  <c r="AE76" i="15" a="1"/>
  <c r="AE73" i="15" a="1"/>
  <c r="AE72" i="15" a="1"/>
  <c r="AE77" i="15" a="1"/>
  <c r="AE81" i="15" a="1"/>
  <c r="AE82" i="15" a="1"/>
  <c r="AE83" i="15" a="1"/>
  <c r="AE78" i="15" a="1"/>
  <c r="AE75" i="15" a="1"/>
  <c r="AE80" i="15" a="1"/>
  <c r="AE74" i="15" a="1"/>
  <c r="AE79" i="15" a="1"/>
  <c r="AE84" i="15" a="1"/>
  <c r="AD82" i="15" a="1"/>
  <c r="AD83" i="15" a="1"/>
  <c r="AD78" i="15" a="1"/>
  <c r="AD75" i="15" a="1"/>
  <c r="AD76" i="15" a="1"/>
  <c r="AD80" i="15" a="1"/>
  <c r="AD74" i="15" a="1"/>
  <c r="AD73" i="15" a="1"/>
  <c r="AD79" i="15" a="1"/>
  <c r="AD84" i="15" a="1"/>
  <c r="AD72" i="15" a="1"/>
  <c r="AD77" i="15" a="1"/>
  <c r="AD81" i="15" a="1"/>
  <c r="AC82" i="15" a="1"/>
  <c r="AC83" i="15" a="1"/>
  <c r="AC78" i="15" a="1"/>
  <c r="AC75" i="15" a="1"/>
  <c r="AC76" i="15" a="1"/>
  <c r="AC80" i="15" a="1"/>
  <c r="AC74" i="15" a="1"/>
  <c r="AC73" i="15" a="1"/>
  <c r="AC79" i="15" a="1"/>
  <c r="AC84" i="15" a="1"/>
  <c r="AC72" i="15" a="1"/>
  <c r="AC77" i="15" a="1"/>
  <c r="AC81" i="15" a="1"/>
  <c r="AB82" i="15" a="1"/>
  <c r="AB83" i="15" a="1"/>
  <c r="AB78" i="15" a="1"/>
  <c r="AB75" i="15" a="1"/>
  <c r="AB76" i="15" a="1"/>
  <c r="AB80" i="15" a="1"/>
  <c r="AB74" i="15" a="1"/>
  <c r="AB73" i="15" a="1"/>
  <c r="AB79" i="15" a="1"/>
  <c r="AB84" i="15" a="1"/>
  <c r="AB72" i="15" a="1"/>
  <c r="AB81" i="15" a="1"/>
  <c r="AD3" i="8" l="1"/>
  <c r="AI3" i="8"/>
  <c r="AG3" i="8"/>
  <c r="AF3" i="8"/>
  <c r="AE3" i="8"/>
  <c r="AB77" i="15"/>
  <c r="AL81" i="15"/>
  <c r="AL77" i="15"/>
  <c r="AL72" i="15"/>
  <c r="AL84" i="15"/>
  <c r="AL79" i="15"/>
  <c r="AL73" i="15"/>
  <c r="AL74" i="15"/>
  <c r="AL80" i="15"/>
  <c r="AL76" i="15"/>
  <c r="AL75" i="15"/>
  <c r="AL78" i="15"/>
  <c r="AL83" i="15"/>
  <c r="AL82" i="15"/>
  <c r="AG81" i="15"/>
  <c r="AG77" i="15"/>
  <c r="AG72" i="15"/>
  <c r="AG84" i="15"/>
  <c r="AG79" i="15"/>
  <c r="AG73" i="15"/>
  <c r="AG74" i="15"/>
  <c r="AG80" i="15"/>
  <c r="AG76" i="15"/>
  <c r="AG75" i="15"/>
  <c r="AG78" i="15"/>
  <c r="AG83" i="15"/>
  <c r="AG82" i="15"/>
  <c r="AE84" i="15"/>
  <c r="AE79" i="15"/>
  <c r="AE74" i="15"/>
  <c r="AE80" i="15"/>
  <c r="AE75" i="15"/>
  <c r="AE78" i="15"/>
  <c r="AE83" i="15"/>
  <c r="AE82" i="15"/>
  <c r="AE81" i="15"/>
  <c r="AE77" i="15"/>
  <c r="AE72" i="15"/>
  <c r="AE73" i="15"/>
  <c r="AE76" i="15"/>
  <c r="AD81" i="15"/>
  <c r="AD77" i="15"/>
  <c r="AD72" i="15"/>
  <c r="AD84" i="15"/>
  <c r="AD79" i="15"/>
  <c r="AD73" i="15"/>
  <c r="AD74" i="15"/>
  <c r="AD80" i="15"/>
  <c r="AD76" i="15"/>
  <c r="AD75" i="15"/>
  <c r="AD78" i="15"/>
  <c r="AD83" i="15"/>
  <c r="AD82" i="15"/>
  <c r="AC81" i="15"/>
  <c r="AC77" i="15"/>
  <c r="AC72" i="15"/>
  <c r="AC84" i="15"/>
  <c r="AC79" i="15"/>
  <c r="AC73" i="15"/>
  <c r="AC74" i="15"/>
  <c r="AC80" i="15"/>
  <c r="AC76" i="15"/>
  <c r="AC75" i="15"/>
  <c r="AC78" i="15"/>
  <c r="AC83" i="15"/>
  <c r="AC82" i="15"/>
  <c r="AB81" i="15"/>
  <c r="AB72" i="15"/>
  <c r="AB84" i="15"/>
  <c r="AB79" i="15"/>
  <c r="AB73" i="15"/>
  <c r="AB74" i="15"/>
  <c r="AB80" i="15"/>
  <c r="AB76" i="15"/>
  <c r="AB75" i="15"/>
  <c r="AB78" i="15"/>
  <c r="AB83" i="15"/>
  <c r="AB82" i="15"/>
  <c r="S81" i="15"/>
  <c r="S77" i="15"/>
  <c r="S72" i="15"/>
  <c r="S84" i="15"/>
  <c r="S79" i="15"/>
  <c r="S73" i="15"/>
  <c r="S74" i="15"/>
  <c r="S80" i="15"/>
  <c r="S76" i="15"/>
  <c r="S78" i="15"/>
  <c r="S75" i="15"/>
  <c r="S83" i="15"/>
  <c r="S82" i="15"/>
  <c r="AH3" i="8" a="1"/>
  <c r="AM9" i="15" a="1"/>
  <c r="AM64" i="15" a="1"/>
  <c r="AM55" i="15" a="1"/>
  <c r="AM10" i="15" a="1"/>
  <c r="AM70" i="15" a="1"/>
  <c r="AM82" i="15" a="1"/>
  <c r="AM18" i="15" a="1"/>
  <c r="AM24" i="15" a="1"/>
  <c r="AM13" i="15" a="1"/>
  <c r="AM16" i="15" a="1"/>
  <c r="AM78" i="15" a="1"/>
  <c r="AM11" i="15" a="1"/>
  <c r="AM30" i="15" a="1"/>
  <c r="AM8" i="15" a="1"/>
  <c r="AM73" i="15" a="1"/>
  <c r="AM58" i="15" a="1"/>
  <c r="AM69" i="15" a="1"/>
  <c r="AM20" i="15" a="1"/>
  <c r="AM7" i="15" a="1"/>
  <c r="AM25" i="15" a="1"/>
  <c r="AM63" i="15" a="1"/>
  <c r="AM45" i="15" a="1"/>
  <c r="AM83" i="15" a="1"/>
  <c r="AM43" i="15" a="1"/>
  <c r="AM34" i="15" a="1"/>
  <c r="AM48" i="15" a="1"/>
  <c r="AM42" i="15" a="1"/>
  <c r="AM38" i="15" a="1"/>
  <c r="AM53" i="15" a="1"/>
  <c r="AM61" i="15" a="1"/>
  <c r="AM6" i="15" a="1"/>
  <c r="AM54" i="15" a="1"/>
  <c r="AM50" i="15" a="1"/>
  <c r="AM84" i="15" a="1"/>
  <c r="AM3" i="15" a="1"/>
  <c r="AM22" i="15" a="1"/>
  <c r="AM40" i="15" a="1"/>
  <c r="AM74" i="15" a="1"/>
  <c r="AM46" i="15" a="1"/>
  <c r="AM71" i="15" a="1"/>
  <c r="AM5" i="15" a="1"/>
  <c r="AM14" i="15" a="1"/>
  <c r="AM60" i="15" a="1"/>
  <c r="AM28" i="15" a="1"/>
  <c r="AM36" i="15" a="1"/>
  <c r="AM75" i="15" a="1"/>
  <c r="AM26" i="15" a="1"/>
  <c r="AM67" i="15" a="1"/>
  <c r="AM49" i="15" a="1"/>
  <c r="AM19" i="15" a="1"/>
  <c r="AM4" i="15" a="1"/>
  <c r="AM44" i="15" a="1"/>
  <c r="AM66" i="15" a="1"/>
  <c r="AM51" i="15" a="1"/>
  <c r="AM41" i="15" a="1"/>
  <c r="AM15" i="15" a="1"/>
  <c r="AM65" i="15" a="1"/>
  <c r="AM17" i="15" a="1"/>
  <c r="AM32" i="15" a="1"/>
  <c r="AM37" i="15" a="1"/>
  <c r="AM81" i="15" a="1"/>
  <c r="AM52" i="15" a="1"/>
  <c r="AM57" i="15" a="1"/>
  <c r="AM29" i="15" a="1"/>
  <c r="AM27" i="15" a="1"/>
  <c r="AM72" i="15" a="1"/>
  <c r="AM47" i="15" a="1"/>
  <c r="AM33" i="15" a="1"/>
  <c r="AM80" i="15" a="1"/>
  <c r="AM31" i="15" a="1"/>
  <c r="AM68" i="15" a="1"/>
  <c r="AM39" i="15" a="1"/>
  <c r="AM77" i="15" a="1"/>
  <c r="AM62" i="15" a="1"/>
  <c r="AM12" i="15" a="1"/>
  <c r="AM76" i="15" a="1"/>
  <c r="AM23" i="15" a="1"/>
  <c r="AM79" i="15" a="1"/>
  <c r="AM59" i="15" a="1"/>
  <c r="AM56" i="15" a="1"/>
  <c r="AM35" i="15" a="1"/>
  <c r="AM21" i="15" a="1"/>
  <c r="AK82" i="15" a="1"/>
  <c r="AK74" i="15" a="1"/>
  <c r="AK80" i="15" a="1"/>
  <c r="AK81" i="15" a="1"/>
  <c r="AK77" i="15" a="1"/>
  <c r="AK78" i="15" a="1"/>
  <c r="AK83" i="15" a="1"/>
  <c r="AK72" i="15" a="1"/>
  <c r="AK76" i="15" a="1"/>
  <c r="AK73" i="15" a="1"/>
  <c r="AK84" i="15" a="1"/>
  <c r="AK79" i="15" a="1"/>
  <c r="AK75" i="15" a="1"/>
  <c r="AJ72" i="15" a="1"/>
  <c r="AJ84" i="15" a="1"/>
  <c r="AJ79" i="15" a="1"/>
  <c r="AJ75" i="15" a="1"/>
  <c r="AJ83" i="15" a="1"/>
  <c r="AJ73" i="15" a="1"/>
  <c r="AJ80" i="15" a="1"/>
  <c r="AJ78" i="15" a="1"/>
  <c r="AJ82" i="15" a="1"/>
  <c r="AJ76" i="15" a="1"/>
  <c r="AJ74" i="15" a="1"/>
  <c r="AJ77" i="15" a="1"/>
  <c r="AJ81" i="15" a="1"/>
  <c r="AI81" i="15" a="1"/>
  <c r="AI77" i="15" a="1"/>
  <c r="AI84" i="15" a="1"/>
  <c r="AI78" i="15" a="1"/>
  <c r="AI83" i="15" a="1"/>
  <c r="AI75" i="15" a="1"/>
  <c r="AI79" i="15" a="1"/>
  <c r="AI72" i="15" a="1"/>
  <c r="AI76" i="15" a="1"/>
  <c r="AI82" i="15" a="1"/>
  <c r="AI73" i="15" a="1"/>
  <c r="AI74" i="15" a="1"/>
  <c r="AI80" i="15" a="1"/>
  <c r="AH80" i="15" a="1"/>
  <c r="AH81" i="15" a="1"/>
  <c r="AH77" i="15" a="1"/>
  <c r="AH84" i="15" a="1"/>
  <c r="AH78" i="15" a="1"/>
  <c r="AH83" i="15" a="1"/>
  <c r="AH79" i="15" a="1"/>
  <c r="AH72" i="15" a="1"/>
  <c r="AH76" i="15" a="1"/>
  <c r="AH82" i="15" a="1"/>
  <c r="AH75" i="15" a="1"/>
  <c r="AH74" i="15" a="1"/>
  <c r="AH73" i="15" a="1"/>
  <c r="AF83" i="15" a="1"/>
  <c r="AF73" i="15" a="1"/>
  <c r="AF72" i="15" a="1"/>
  <c r="AF79" i="15" a="1"/>
  <c r="AF80" i="15" a="1"/>
  <c r="AF76" i="15" a="1"/>
  <c r="AF75" i="15" a="1"/>
  <c r="AF71" i="15" a="1"/>
  <c r="AF78" i="15" a="1"/>
  <c r="AF74" i="15" a="1"/>
  <c r="AF82" i="15" a="1"/>
  <c r="AF77" i="15" a="1"/>
  <c r="AF81" i="15" a="1"/>
  <c r="Z80" i="15" a="1"/>
  <c r="Z84" i="15" a="1"/>
  <c r="Z76" i="15" a="1"/>
  <c r="Z81" i="15" a="1"/>
  <c r="Z79" i="15" a="1"/>
  <c r="Z77" i="15" a="1"/>
  <c r="Z73" i="15" a="1"/>
  <c r="Z72" i="15" a="1"/>
  <c r="Z78" i="15" a="1"/>
  <c r="Z74" i="15" a="1"/>
  <c r="Z75" i="15" a="1"/>
  <c r="Z83" i="15" a="1"/>
  <c r="Z82" i="15" a="1"/>
  <c r="AM2" i="15" a="1"/>
  <c r="AH3" i="8" l="1"/>
  <c r="AM21" i="15"/>
  <c r="AM35" i="15"/>
  <c r="AM56" i="15"/>
  <c r="AM59" i="15"/>
  <c r="AM79" i="15"/>
  <c r="AM23" i="15"/>
  <c r="AM76" i="15"/>
  <c r="AM12" i="15"/>
  <c r="AM62" i="15"/>
  <c r="AM77" i="15"/>
  <c r="AM39" i="15"/>
  <c r="AM68" i="15"/>
  <c r="AM31" i="15"/>
  <c r="AM80" i="15"/>
  <c r="AM33" i="15"/>
  <c r="AM47" i="15"/>
  <c r="AM72" i="15"/>
  <c r="AM27" i="15"/>
  <c r="AM29" i="15"/>
  <c r="AM57" i="15"/>
  <c r="AM52" i="15"/>
  <c r="AM81" i="15"/>
  <c r="AM37" i="15"/>
  <c r="AM32" i="15"/>
  <c r="AM17" i="15"/>
  <c r="AM65" i="15"/>
  <c r="AM15" i="15"/>
  <c r="AM41" i="15"/>
  <c r="AM51" i="15"/>
  <c r="AM66" i="15"/>
  <c r="AM44" i="15"/>
  <c r="AM4" i="15"/>
  <c r="AM19" i="15"/>
  <c r="AM49" i="15"/>
  <c r="AM67" i="15"/>
  <c r="AM26" i="15"/>
  <c r="AM75" i="15"/>
  <c r="AM36" i="15"/>
  <c r="AM28" i="15"/>
  <c r="AM60" i="15"/>
  <c r="AM14" i="15"/>
  <c r="AM5" i="15"/>
  <c r="AM71" i="15"/>
  <c r="AM46" i="15"/>
  <c r="AM74" i="15"/>
  <c r="AM40" i="15"/>
  <c r="AM22" i="15"/>
  <c r="AM3" i="15"/>
  <c r="AM84" i="15"/>
  <c r="AM50" i="15"/>
  <c r="AM54" i="15"/>
  <c r="AM6" i="15"/>
  <c r="AM61" i="15"/>
  <c r="AM53" i="15"/>
  <c r="AM38" i="15"/>
  <c r="AM42" i="15"/>
  <c r="AM48" i="15"/>
  <c r="AM34" i="15"/>
  <c r="AM43" i="15"/>
  <c r="AM83" i="15"/>
  <c r="AM45" i="15"/>
  <c r="AM63" i="15"/>
  <c r="AM25" i="15"/>
  <c r="AM7" i="15"/>
  <c r="AM20" i="15"/>
  <c r="AM69" i="15"/>
  <c r="AM58" i="15"/>
  <c r="AM73" i="15"/>
  <c r="AM8" i="15"/>
  <c r="AM30" i="15"/>
  <c r="AM11" i="15"/>
  <c r="AM78" i="15"/>
  <c r="AM16" i="15"/>
  <c r="AM13" i="15"/>
  <c r="AM24" i="15"/>
  <c r="AM18" i="15"/>
  <c r="AM82" i="15"/>
  <c r="AM70" i="15"/>
  <c r="AM10" i="15"/>
  <c r="AM55" i="15"/>
  <c r="AM64" i="15"/>
  <c r="AM9" i="15"/>
  <c r="AK75" i="15"/>
  <c r="AK79" i="15"/>
  <c r="AK84" i="15"/>
  <c r="AK73" i="15"/>
  <c r="AK76" i="15"/>
  <c r="AK72" i="15"/>
  <c r="AK83" i="15"/>
  <c r="AK78" i="15"/>
  <c r="AK77" i="15"/>
  <c r="AK81" i="15"/>
  <c r="AK80" i="15"/>
  <c r="AK74" i="15"/>
  <c r="AK82" i="15"/>
  <c r="AJ81" i="15"/>
  <c r="AJ77" i="15"/>
  <c r="AJ74" i="15"/>
  <c r="AJ76" i="15"/>
  <c r="AJ82" i="15"/>
  <c r="AJ78" i="15"/>
  <c r="AJ80" i="15"/>
  <c r="AJ73" i="15"/>
  <c r="AJ83" i="15"/>
  <c r="AJ75" i="15"/>
  <c r="AJ79" i="15"/>
  <c r="AJ84" i="15"/>
  <c r="AJ72" i="15"/>
  <c r="AI80" i="15"/>
  <c r="AI74" i="15"/>
  <c r="AI73" i="15"/>
  <c r="AI82" i="15"/>
  <c r="AI76" i="15"/>
  <c r="AI72" i="15"/>
  <c r="AI79" i="15"/>
  <c r="AI75" i="15"/>
  <c r="AI83" i="15"/>
  <c r="AI78" i="15"/>
  <c r="AI84" i="15"/>
  <c r="AI77" i="15"/>
  <c r="AI81" i="15"/>
  <c r="AH73" i="15"/>
  <c r="AH74" i="15"/>
  <c r="AH75" i="15"/>
  <c r="AH82" i="15"/>
  <c r="AH76" i="15"/>
  <c r="AH72" i="15"/>
  <c r="AH79" i="15"/>
  <c r="AH83" i="15"/>
  <c r="AH78" i="15"/>
  <c r="AH84" i="15"/>
  <c r="AH77" i="15"/>
  <c r="AH81" i="15"/>
  <c r="AH80" i="15"/>
  <c r="AF81" i="15"/>
  <c r="AF77" i="15"/>
  <c r="AF82" i="15"/>
  <c r="AF74" i="15"/>
  <c r="AF78" i="15"/>
  <c r="AF71" i="15"/>
  <c r="AF75" i="15"/>
  <c r="AF76" i="15"/>
  <c r="AF80" i="15"/>
  <c r="AF79" i="15"/>
  <c r="AF72" i="15"/>
  <c r="AF73" i="15"/>
  <c r="AF83" i="15"/>
  <c r="Z74" i="15"/>
  <c r="Z78" i="15"/>
  <c r="Z72" i="15"/>
  <c r="Z73" i="15"/>
  <c r="Z77" i="15"/>
  <c r="Z79" i="15"/>
  <c r="Z81" i="15"/>
  <c r="Z76" i="15"/>
  <c r="Z84" i="15"/>
  <c r="Z80" i="15"/>
  <c r="Z75" i="15"/>
  <c r="Z82" i="15"/>
  <c r="Z83" i="15"/>
  <c r="AM2" i="15"/>
  <c r="AA77" i="15" a="1"/>
  <c r="AA79" i="15" a="1"/>
  <c r="AA84" i="15" a="1"/>
  <c r="AA74" i="15" a="1"/>
  <c r="AA81" i="15" a="1"/>
  <c r="AA80" i="15" a="1"/>
  <c r="AA76" i="15" a="1"/>
  <c r="AA78" i="15" a="1"/>
  <c r="AA72" i="15" a="1"/>
  <c r="AA73" i="15" a="1"/>
  <c r="AA75" i="15" a="1"/>
  <c r="AA82" i="15" a="1"/>
  <c r="AA83" i="15" a="1"/>
  <c r="AA73" i="15" l="1"/>
  <c r="AA72" i="15"/>
  <c r="AA78" i="15"/>
  <c r="AA76" i="15"/>
  <c r="AA80" i="15"/>
  <c r="AA81" i="15"/>
  <c r="AA74" i="15"/>
  <c r="AA84" i="15"/>
  <c r="AA79" i="15"/>
  <c r="AA77" i="15"/>
  <c r="AA83" i="15"/>
  <c r="AA82" i="15"/>
  <c r="AA75" i="15"/>
  <c r="B4" i="3"/>
  <c r="F18" i="7"/>
  <c r="H9" i="11"/>
  <c r="E24" i="4"/>
  <c r="D24" i="4"/>
  <c r="C24" i="4"/>
  <c r="B24" i="4"/>
  <c r="F23" i="4"/>
  <c r="F24" i="4"/>
  <c r="E74" i="6"/>
  <c r="D74" i="6"/>
  <c r="C74" i="6"/>
  <c r="B74" i="6"/>
  <c r="F4" i="6"/>
  <c r="F5" i="6"/>
  <c r="F8" i="6"/>
  <c r="F9" i="6"/>
  <c r="F10" i="6"/>
  <c r="F11" i="6"/>
  <c r="F12" i="6"/>
  <c r="F13" i="6"/>
  <c r="F14" i="6"/>
  <c r="F15" i="6"/>
  <c r="F16" i="6"/>
  <c r="H19" i="6"/>
  <c r="F19" i="6"/>
  <c r="F20" i="6"/>
  <c r="F21" i="6"/>
  <c r="F22" i="6"/>
  <c r="F23" i="6"/>
  <c r="F24" i="6"/>
  <c r="F25" i="6"/>
  <c r="G28" i="6"/>
  <c r="F28" i="6"/>
  <c r="F29" i="6"/>
  <c r="F30" i="6"/>
  <c r="F34" i="6"/>
  <c r="F35" i="6"/>
  <c r="F37" i="6"/>
  <c r="F38" i="6"/>
  <c r="F39" i="6"/>
  <c r="F42" i="6"/>
  <c r="F43" i="6"/>
  <c r="F47" i="6"/>
  <c r="F48" i="6"/>
  <c r="F49" i="6"/>
  <c r="F50" i="6"/>
  <c r="F51" i="6"/>
  <c r="F55" i="6"/>
  <c r="F56" i="6"/>
  <c r="F57" i="6"/>
  <c r="F58" i="6"/>
  <c r="F59" i="6"/>
  <c r="F60" i="6"/>
  <c r="F61" i="6"/>
  <c r="F62" i="6"/>
  <c r="F65" i="6"/>
  <c r="F68" i="6"/>
  <c r="F72" i="6"/>
  <c r="F73" i="6"/>
  <c r="F74" i="6"/>
  <c r="G74" i="6"/>
  <c r="B8" i="6"/>
  <c r="B9" i="6"/>
  <c r="B3" i="6"/>
  <c r="B62" i="5"/>
  <c r="G62" i="5"/>
  <c r="F62" i="5"/>
  <c r="G24" i="6"/>
  <c r="G31" i="5"/>
  <c r="F31" i="5"/>
  <c r="E10" i="9"/>
  <c r="E7" i="9"/>
  <c r="E6" i="9"/>
  <c r="E5" i="9"/>
  <c r="E4" i="9"/>
  <c r="E3" i="9"/>
  <c r="E2" i="9"/>
  <c r="D10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S2" i="3"/>
  <c r="R2" i="3"/>
  <c r="Q2" i="3"/>
  <c r="V3" i="3"/>
  <c r="T2" i="3"/>
  <c r="B40" i="5"/>
  <c r="E40" i="5"/>
  <c r="G40" i="5"/>
  <c r="F40" i="5"/>
  <c r="B41" i="5"/>
  <c r="E41" i="5"/>
  <c r="G41" i="5"/>
  <c r="F41" i="5"/>
  <c r="G3" i="5"/>
  <c r="F3" i="5"/>
  <c r="G45" i="5"/>
  <c r="F45" i="5"/>
  <c r="C20" i="9"/>
  <c r="G18" i="7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G77" i="9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3" i="25"/>
  <c r="W3" i="25"/>
  <c r="X2" i="25"/>
  <c r="W2" i="25"/>
  <c r="V2" i="25"/>
  <c r="U2" i="25"/>
  <c r="T2" i="25"/>
  <c r="S2" i="25"/>
  <c r="H42" i="5"/>
  <c r="F42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F80" i="5"/>
  <c r="E80" i="5"/>
  <c r="D80" i="5"/>
  <c r="B80" i="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/>
  <c r="AL64" i="2"/>
  <c r="AL63" i="2"/>
  <c r="G33" i="5"/>
  <c r="F33" i="5"/>
  <c r="E19" i="6"/>
  <c r="D19" i="6"/>
  <c r="B19" i="6"/>
  <c r="B27" i="5"/>
  <c r="I19" i="6"/>
  <c r="C19" i="6"/>
  <c r="C27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1" i="5"/>
  <c r="E71" i="5"/>
  <c r="D71" i="5"/>
  <c r="C71" i="5"/>
  <c r="B71" i="5"/>
  <c r="F71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C77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G37" i="6"/>
  <c r="E37" i="6"/>
  <c r="D37" i="6"/>
  <c r="C37" i="6"/>
  <c r="B37" i="6"/>
  <c r="I59" i="2"/>
  <c r="H59" i="2"/>
  <c r="G59" i="2"/>
  <c r="H74" i="5"/>
  <c r="F74" i="5"/>
  <c r="G66" i="5"/>
  <c r="F66" i="5"/>
  <c r="T2" i="2"/>
  <c r="U2" i="2"/>
  <c r="R2" i="2" s="1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R6" i="2" s="1"/>
  <c r="X6" i="2"/>
  <c r="Y6" i="2"/>
  <c r="W6" i="2"/>
  <c r="T7" i="2"/>
  <c r="U7" i="2"/>
  <c r="V7" i="2"/>
  <c r="S7" i="2" s="1"/>
  <c r="W7" i="2"/>
  <c r="R7" i="2" s="1"/>
  <c r="X7" i="2"/>
  <c r="Y7" i="2"/>
  <c r="T8" i="2"/>
  <c r="U8" i="2"/>
  <c r="V8" i="2"/>
  <c r="W8" i="2"/>
  <c r="X8" i="2"/>
  <c r="Y8" i="2"/>
  <c r="T9" i="2"/>
  <c r="U9" i="2"/>
  <c r="V9" i="2"/>
  <c r="S9" i="2" s="1"/>
  <c r="W9" i="2"/>
  <c r="X9" i="2"/>
  <c r="Y9" i="2"/>
  <c r="T10" i="2"/>
  <c r="U10" i="2"/>
  <c r="V10" i="2"/>
  <c r="W10" i="2"/>
  <c r="X10" i="2"/>
  <c r="Y10" i="2"/>
  <c r="T11" i="2"/>
  <c r="U11" i="2"/>
  <c r="V11" i="2"/>
  <c r="R11" i="2" s="1"/>
  <c r="W11" i="2"/>
  <c r="X11" i="2"/>
  <c r="Y11" i="2"/>
  <c r="T12" i="2"/>
  <c r="U12" i="2"/>
  <c r="V12" i="2"/>
  <c r="R12" i="2" s="1"/>
  <c r="AE12" i="2" s="1"/>
  <c r="W12" i="2"/>
  <c r="X12" i="2"/>
  <c r="Y12" i="2"/>
  <c r="T13" i="2"/>
  <c r="U13" i="2"/>
  <c r="V13" i="2"/>
  <c r="S13" i="2" s="1"/>
  <c r="W13" i="2"/>
  <c r="X13" i="2"/>
  <c r="Y13" i="2"/>
  <c r="T14" i="2"/>
  <c r="U14" i="2"/>
  <c r="V14" i="2"/>
  <c r="R14" i="2" s="1"/>
  <c r="W14" i="2"/>
  <c r="X14" i="2"/>
  <c r="Y14" i="2"/>
  <c r="T15" i="2"/>
  <c r="U15" i="2"/>
  <c r="V15" i="2"/>
  <c r="R15" i="2" s="1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S18" i="2" s="1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R21" i="2" s="1"/>
  <c r="W21" i="2"/>
  <c r="X21" i="2"/>
  <c r="Y21" i="2"/>
  <c r="T22" i="2"/>
  <c r="U22" i="2"/>
  <c r="V22" i="2"/>
  <c r="W22" i="2"/>
  <c r="X22" i="2"/>
  <c r="Y22" i="2"/>
  <c r="T23" i="2"/>
  <c r="U23" i="2"/>
  <c r="V23" i="2"/>
  <c r="R23" i="2" s="1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/>
  <c r="X25" i="2"/>
  <c r="Y25" i="2"/>
  <c r="T26" i="2"/>
  <c r="U26" i="2"/>
  <c r="V26" i="2"/>
  <c r="W26" i="2"/>
  <c r="X26" i="2"/>
  <c r="Y26" i="2"/>
  <c r="T27" i="2"/>
  <c r="U27" i="2"/>
  <c r="V27" i="2"/>
  <c r="W27" i="2"/>
  <c r="X27" i="2"/>
  <c r="Y27" i="2"/>
  <c r="AA27" i="2" s="1"/>
  <c r="T28" i="2"/>
  <c r="U28" i="2"/>
  <c r="W28" i="2"/>
  <c r="R28" i="2" s="1"/>
  <c r="X28" i="2"/>
  <c r="Y28" i="2"/>
  <c r="T29" i="2"/>
  <c r="U29" i="2"/>
  <c r="V29" i="2"/>
  <c r="R29" i="2" s="1"/>
  <c r="W29" i="2"/>
  <c r="X29" i="2"/>
  <c r="Y29" i="2"/>
  <c r="T30" i="2"/>
  <c r="U30" i="2"/>
  <c r="V30" i="2"/>
  <c r="R30" i="2" s="1"/>
  <c r="X30" i="2"/>
  <c r="Y30" i="2"/>
  <c r="W30" i="2"/>
  <c r="S30" i="2" s="1"/>
  <c r="T31" i="2"/>
  <c r="U31" i="2"/>
  <c r="V31" i="2"/>
  <c r="S31" i="2" s="1"/>
  <c r="W31" i="2"/>
  <c r="X31" i="2"/>
  <c r="Y31" i="2"/>
  <c r="T32" i="2"/>
  <c r="U32" i="2"/>
  <c r="V32" i="2"/>
  <c r="W32" i="2"/>
  <c r="X32" i="2"/>
  <c r="Y32" i="2"/>
  <c r="T33" i="2"/>
  <c r="U33" i="2"/>
  <c r="V33" i="2"/>
  <c r="R33" i="2" s="1"/>
  <c r="AD33" i="2" s="1"/>
  <c r="W33" i="2"/>
  <c r="X33" i="2"/>
  <c r="Y33" i="2"/>
  <c r="T34" i="2"/>
  <c r="U34" i="2"/>
  <c r="V34" i="2"/>
  <c r="W34" i="2"/>
  <c r="S34" i="2" s="1"/>
  <c r="X34" i="2"/>
  <c r="Y34" i="2"/>
  <c r="T35" i="2"/>
  <c r="U35" i="2"/>
  <c r="V35" i="2"/>
  <c r="W35" i="2"/>
  <c r="S35" i="2" s="1"/>
  <c r="X35" i="2"/>
  <c r="Y35" i="2"/>
  <c r="T36" i="2"/>
  <c r="U36" i="2"/>
  <c r="V36" i="2"/>
  <c r="R36" i="2" s="1"/>
  <c r="W36" i="2"/>
  <c r="X36" i="2"/>
  <c r="Y36" i="2"/>
  <c r="T37" i="2"/>
  <c r="U37" i="2"/>
  <c r="V37" i="2"/>
  <c r="S37" i="2" s="1"/>
  <c r="W37" i="2"/>
  <c r="X37" i="2"/>
  <c r="Y37" i="2"/>
  <c r="T38" i="2"/>
  <c r="U38" i="2"/>
  <c r="V38" i="2"/>
  <c r="S38" i="2" s="1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R41" i="2" s="1"/>
  <c r="W41" i="2"/>
  <c r="X41" i="2"/>
  <c r="AE41" i="2" s="1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R44" i="2" s="1"/>
  <c r="W44" i="2"/>
  <c r="X44" i="2"/>
  <c r="Y44" i="2"/>
  <c r="T45" i="2"/>
  <c r="U45" i="2"/>
  <c r="V45" i="2"/>
  <c r="R45" i="2" s="1"/>
  <c r="W45" i="2"/>
  <c r="X45" i="2"/>
  <c r="Y45" i="2"/>
  <c r="T46" i="2"/>
  <c r="U46" i="2"/>
  <c r="V46" i="2"/>
  <c r="R46" i="2" s="1"/>
  <c r="W46" i="2"/>
  <c r="X46" i="2"/>
  <c r="Y46" i="2"/>
  <c r="T47" i="2"/>
  <c r="U47" i="2"/>
  <c r="V47" i="2"/>
  <c r="W47" i="2"/>
  <c r="X47" i="2"/>
  <c r="Y47" i="2"/>
  <c r="T48" i="2"/>
  <c r="S48" i="2" s="1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R50" i="2" s="1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Y58" i="2" s="1"/>
  <c r="L58" i="2"/>
  <c r="AK58" i="2"/>
  <c r="AM58" i="2"/>
  <c r="A59" i="2"/>
  <c r="B59" i="2"/>
  <c r="D59" i="2"/>
  <c r="L59" i="2"/>
  <c r="Q59" i="2"/>
  <c r="AK59" i="2"/>
  <c r="AM59" i="2"/>
  <c r="A60" i="2"/>
  <c r="B60" i="2"/>
  <c r="C60" i="2"/>
  <c r="D60" i="2"/>
  <c r="L60" i="2"/>
  <c r="AK60" i="2"/>
  <c r="AM60" i="2"/>
  <c r="A61" i="2"/>
  <c r="B61" i="2"/>
  <c r="C61" i="2"/>
  <c r="G61" i="2" s="1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/>
  <c r="L64" i="2"/>
  <c r="AK64" i="2"/>
  <c r="A65" i="2"/>
  <c r="B65" i="2"/>
  <c r="C65" i="2"/>
  <c r="L65" i="2"/>
  <c r="AK65" i="2"/>
  <c r="AM65" i="2"/>
  <c r="A66" i="2"/>
  <c r="B66" i="2"/>
  <c r="C66" i="2"/>
  <c r="E66" i="2" s="1"/>
  <c r="L66" i="2"/>
  <c r="AM66" i="2"/>
  <c r="A67" i="2"/>
  <c r="B67" i="2"/>
  <c r="C67" i="2"/>
  <c r="AM67" i="2"/>
  <c r="A68" i="2"/>
  <c r="B68" i="2"/>
  <c r="C68" i="2"/>
  <c r="I68" i="2" s="1"/>
  <c r="L68" i="2"/>
  <c r="AK68" i="2"/>
  <c r="AM68" i="2"/>
  <c r="A69" i="2"/>
  <c r="B69" i="2"/>
  <c r="C69" i="2"/>
  <c r="I69" i="2" s="1"/>
  <c r="L69" i="2"/>
  <c r="T69" i="2" s="1"/>
  <c r="AK69" i="2"/>
  <c r="AM69" i="2"/>
  <c r="A70" i="2"/>
  <c r="B70" i="2"/>
  <c r="C70" i="2"/>
  <c r="D70" i="2" s="1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 s="1"/>
  <c r="L76" i="2"/>
  <c r="AK76" i="2"/>
  <c r="AM76" i="2"/>
  <c r="A77" i="2"/>
  <c r="B77" i="2"/>
  <c r="C77" i="2"/>
  <c r="L77" i="2"/>
  <c r="AK77" i="2"/>
  <c r="AM77" i="2"/>
  <c r="A78" i="2"/>
  <c r="B78" i="2"/>
  <c r="C78" i="2"/>
  <c r="I78" i="2" s="1"/>
  <c r="L78" i="2"/>
  <c r="AK78" i="2"/>
  <c r="AM78" i="2"/>
  <c r="A79" i="2"/>
  <c r="B79" i="2"/>
  <c r="C79" i="2"/>
  <c r="O79" i="2" s="1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 s="1"/>
  <c r="L83" i="2"/>
  <c r="AK83" i="2"/>
  <c r="AM83" i="2"/>
  <c r="A84" i="2"/>
  <c r="B84" i="2"/>
  <c r="C84" i="2"/>
  <c r="G84" i="2"/>
  <c r="L84" i="2"/>
  <c r="AK84" i="2"/>
  <c r="AM84" i="2"/>
  <c r="A85" i="2"/>
  <c r="B85" i="2"/>
  <c r="C85" i="2"/>
  <c r="F85" i="2" s="1"/>
  <c r="L85" i="2"/>
  <c r="AK85" i="2"/>
  <c r="AM85" i="2"/>
  <c r="A86" i="2"/>
  <c r="B86" i="2"/>
  <c r="C86" i="2"/>
  <c r="N86" i="2" s="1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U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 s="1"/>
  <c r="L90" i="2"/>
  <c r="AK90" i="2"/>
  <c r="AM90" i="2"/>
  <c r="A91" i="2"/>
  <c r="B91" i="2"/>
  <c r="C91" i="2"/>
  <c r="M91" i="2" s="1"/>
  <c r="L91" i="2"/>
  <c r="AK91" i="2"/>
  <c r="AM91" i="2"/>
  <c r="A92" i="2"/>
  <c r="B92" i="2"/>
  <c r="C92" i="2"/>
  <c r="M92" i="2" s="1"/>
  <c r="T92" i="2" s="1"/>
  <c r="L92" i="2"/>
  <c r="AK92" i="2"/>
  <c r="AM92" i="2"/>
  <c r="A93" i="2"/>
  <c r="B93" i="2"/>
  <c r="C93" i="2"/>
  <c r="L93" i="2"/>
  <c r="AK93" i="2"/>
  <c r="AM93" i="2"/>
  <c r="A94" i="2"/>
  <c r="B94" i="2"/>
  <c r="C94" i="2"/>
  <c r="D94" i="2" s="1"/>
  <c r="L94" i="2"/>
  <c r="AK94" i="2"/>
  <c r="AM94" i="2"/>
  <c r="A95" i="2"/>
  <c r="B95" i="2"/>
  <c r="C95" i="2"/>
  <c r="G95" i="2"/>
  <c r="L95" i="2"/>
  <c r="AK95" i="2"/>
  <c r="AM95" i="2"/>
  <c r="A96" i="2"/>
  <c r="B96" i="2"/>
  <c r="C96" i="2"/>
  <c r="E96" i="2" s="1"/>
  <c r="L96" i="2"/>
  <c r="AK96" i="2"/>
  <c r="AM96" i="2"/>
  <c r="A97" i="2"/>
  <c r="B97" i="2"/>
  <c r="C97" i="2"/>
  <c r="L97" i="2"/>
  <c r="AK97" i="2"/>
  <c r="AM97" i="2"/>
  <c r="A98" i="2"/>
  <c r="B98" i="2"/>
  <c r="C98" i="2"/>
  <c r="Q98" i="2" s="1"/>
  <c r="Y98" i="2" s="1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J100" i="2" s="1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 s="1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 s="1"/>
  <c r="L107" i="2"/>
  <c r="AK107" i="2"/>
  <c r="AM107" i="2"/>
  <c r="A108" i="2"/>
  <c r="B108" i="2"/>
  <c r="C108" i="2"/>
  <c r="Q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/>
  <c r="L112" i="2"/>
  <c r="AK112" i="2"/>
  <c r="AM112" i="2"/>
  <c r="A113" i="2"/>
  <c r="B113" i="2"/>
  <c r="C113" i="2"/>
  <c r="D113" i="2" s="1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 s="1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 s="1"/>
  <c r="Y118" i="2" s="1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 s="1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 s="1"/>
  <c r="Y124" i="2" s="1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 s="1"/>
  <c r="L132" i="2"/>
  <c r="AK132" i="2"/>
  <c r="AM132" i="2"/>
  <c r="A133" i="2"/>
  <c r="B133" i="2"/>
  <c r="C133" i="2"/>
  <c r="D133" i="2"/>
  <c r="L133" i="2"/>
  <c r="AK133" i="2"/>
  <c r="AM133" i="2"/>
  <c r="A134" i="2"/>
  <c r="B134" i="2"/>
  <c r="C134" i="2"/>
  <c r="P134" i="2" s="1"/>
  <c r="L134" i="2"/>
  <c r="AK134" i="2"/>
  <c r="AM134" i="2"/>
  <c r="A135" i="2"/>
  <c r="B135" i="2"/>
  <c r="C135" i="2"/>
  <c r="Q135" i="2" s="1"/>
  <c r="L135" i="2"/>
  <c r="AK135" i="2"/>
  <c r="AM135" i="2"/>
  <c r="A136" i="2"/>
  <c r="B136" i="2"/>
  <c r="C136" i="2"/>
  <c r="M136" i="2" s="1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Q138" i="2" s="1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D140" i="2" s="1"/>
  <c r="L140" i="2"/>
  <c r="AK140" i="2"/>
  <c r="AM140" i="2"/>
  <c r="A141" i="2"/>
  <c r="B141" i="2"/>
  <c r="C141" i="2"/>
  <c r="N141" i="2" s="1"/>
  <c r="L141" i="2"/>
  <c r="AK141" i="2"/>
  <c r="AM141" i="2"/>
  <c r="A142" i="2"/>
  <c r="B142" i="2"/>
  <c r="C142" i="2"/>
  <c r="I144" i="2"/>
  <c r="L142" i="2"/>
  <c r="AK142" i="2"/>
  <c r="AM142" i="2"/>
  <c r="A143" i="2"/>
  <c r="B143" i="2"/>
  <c r="C143" i="2"/>
  <c r="H143" i="2"/>
  <c r="L143" i="2"/>
  <c r="AK143" i="2"/>
  <c r="AM143" i="2"/>
  <c r="A144" i="2"/>
  <c r="B144" i="2"/>
  <c r="C144" i="2"/>
  <c r="O144" i="2"/>
  <c r="M144" i="2"/>
  <c r="L144" i="2"/>
  <c r="AK144" i="2"/>
  <c r="AM144" i="2"/>
  <c r="A145" i="2"/>
  <c r="B145" i="2"/>
  <c r="C145" i="2"/>
  <c r="E145" i="2" s="1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P147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P151" i="2" s="1"/>
  <c r="L151" i="2"/>
  <c r="AK151" i="2"/>
  <c r="AM151" i="2"/>
  <c r="A152" i="2"/>
  <c r="B152" i="2"/>
  <c r="C152" i="2"/>
  <c r="E152" i="2" s="1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 s="1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O161" i="2" s="1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/>
  <c r="L163" i="2"/>
  <c r="AK163" i="2"/>
  <c r="AM163" i="2"/>
  <c r="A164" i="2"/>
  <c r="B164" i="2"/>
  <c r="C164" i="2"/>
  <c r="G164" i="2" s="1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J166" i="2" s="1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 s="1"/>
  <c r="L170" i="2"/>
  <c r="AK170" i="2"/>
  <c r="AM170" i="2"/>
  <c r="A171" i="2"/>
  <c r="B171" i="2"/>
  <c r="C171" i="2"/>
  <c r="H171" i="2" s="1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O176" i="2" s="1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M181" i="2" s="1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 s="1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/>
  <c r="L186" i="2"/>
  <c r="AK186" i="2"/>
  <c r="AM186" i="2"/>
  <c r="A187" i="2"/>
  <c r="B187" i="2"/>
  <c r="C187" i="2"/>
  <c r="P187" i="2" s="1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H190" i="2" s="1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 s="1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D196" i="2" s="1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 s="1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 s="1"/>
  <c r="L205" i="2"/>
  <c r="AK205" i="2"/>
  <c r="AM205" i="2"/>
  <c r="A206" i="2"/>
  <c r="B206" i="2"/>
  <c r="C206" i="2"/>
  <c r="H206" i="2" s="1"/>
  <c r="L206" i="2"/>
  <c r="AK206" i="2"/>
  <c r="AM206" i="2"/>
  <c r="A207" i="2"/>
  <c r="B207" i="2"/>
  <c r="C207" i="2"/>
  <c r="I209" i="2" s="1"/>
  <c r="L207" i="2"/>
  <c r="AK207" i="2"/>
  <c r="AM207" i="2"/>
  <c r="A208" i="2"/>
  <c r="B208" i="2"/>
  <c r="C208" i="2"/>
  <c r="J208" i="2" s="1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I213" i="2" s="1"/>
  <c r="O211" i="2"/>
  <c r="L211" i="2"/>
  <c r="AK211" i="2"/>
  <c r="AM211" i="2"/>
  <c r="A212" i="2"/>
  <c r="B212" i="2"/>
  <c r="C212" i="2"/>
  <c r="G212" i="2" s="1"/>
  <c r="L212" i="2"/>
  <c r="AK212" i="2"/>
  <c r="AM212" i="2"/>
  <c r="A213" i="2"/>
  <c r="B213" i="2"/>
  <c r="C213" i="2"/>
  <c r="O213" i="2" s="1"/>
  <c r="L213" i="2"/>
  <c r="AK213" i="2"/>
  <c r="AM213" i="2"/>
  <c r="A214" i="2"/>
  <c r="B214" i="2"/>
  <c r="C214" i="2"/>
  <c r="J214" i="2" s="1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M216" i="2" s="1"/>
  <c r="L216" i="2"/>
  <c r="AK216" i="2"/>
  <c r="AM216" i="2"/>
  <c r="A217" i="2"/>
  <c r="B217" i="2"/>
  <c r="C217" i="2"/>
  <c r="I219" i="2" s="1"/>
  <c r="L217" i="2"/>
  <c r="AK217" i="2"/>
  <c r="AM217" i="2"/>
  <c r="A218" i="2"/>
  <c r="B218" i="2"/>
  <c r="C218" i="2"/>
  <c r="J218" i="2" s="1"/>
  <c r="L218" i="2"/>
  <c r="AK218" i="2"/>
  <c r="AM218" i="2"/>
  <c r="A219" i="2"/>
  <c r="B219" i="2"/>
  <c r="C219" i="2"/>
  <c r="O219" i="2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E223" i="2" s="1"/>
  <c r="L223" i="2"/>
  <c r="AK223" i="2"/>
  <c r="AM223" i="2"/>
  <c r="A224" i="2"/>
  <c r="B224" i="2"/>
  <c r="C224" i="2"/>
  <c r="N224" i="2" s="1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 s="1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E228" i="2" s="1"/>
  <c r="L228" i="2"/>
  <c r="AK228" i="2"/>
  <c r="AM228" i="2"/>
  <c r="A229" i="2"/>
  <c r="B229" i="2"/>
  <c r="C229" i="2"/>
  <c r="E229" i="2" s="1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 s="1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J237" i="2" s="1"/>
  <c r="L237" i="2"/>
  <c r="AK237" i="2"/>
  <c r="AM237" i="2"/>
  <c r="A238" i="2"/>
  <c r="B238" i="2"/>
  <c r="C238" i="2"/>
  <c r="F238" i="2" s="1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L243" i="2"/>
  <c r="AK243" i="2"/>
  <c r="AM243" i="2"/>
  <c r="A244" i="2"/>
  <c r="B244" i="2"/>
  <c r="C244" i="2"/>
  <c r="O244" i="2" s="1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 s="1"/>
  <c r="L247" i="2"/>
  <c r="AK247" i="2"/>
  <c r="AM247" i="2"/>
  <c r="A248" i="2"/>
  <c r="B248" i="2"/>
  <c r="C248" i="2"/>
  <c r="F248" i="2" s="1"/>
  <c r="L248" i="2"/>
  <c r="AK248" i="2"/>
  <c r="AM248" i="2"/>
  <c r="A249" i="2"/>
  <c r="B249" i="2"/>
  <c r="C249" i="2"/>
  <c r="H249" i="2" s="1"/>
  <c r="L249" i="2"/>
  <c r="AK249" i="2"/>
  <c r="AM249" i="2"/>
  <c r="A250" i="2"/>
  <c r="B250" i="2"/>
  <c r="C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 s="1"/>
  <c r="L252" i="2"/>
  <c r="AK252" i="2"/>
  <c r="AM252" i="2"/>
  <c r="A253" i="2"/>
  <c r="B253" i="2"/>
  <c r="C253" i="2"/>
  <c r="O253" i="2"/>
  <c r="L253" i="2"/>
  <c r="Q253" i="2"/>
  <c r="AK253" i="2"/>
  <c r="AM253" i="2"/>
  <c r="A254" i="2"/>
  <c r="B254" i="2"/>
  <c r="C254" i="2"/>
  <c r="L254" i="2"/>
  <c r="AK254" i="2"/>
  <c r="AM254" i="2"/>
  <c r="A255" i="2"/>
  <c r="B255" i="2"/>
  <c r="C255" i="2"/>
  <c r="I257" i="2" s="1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 s="1"/>
  <c r="U264" i="2" s="1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/>
  <c r="L266" i="2"/>
  <c r="AK266" i="2"/>
  <c r="AM266" i="2"/>
  <c r="A267" i="2"/>
  <c r="B267" i="2"/>
  <c r="C267" i="2"/>
  <c r="H267" i="2" s="1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 s="1"/>
  <c r="L269" i="2"/>
  <c r="AK269" i="2"/>
  <c r="AM269" i="2"/>
  <c r="A270" i="2"/>
  <c r="B270" i="2"/>
  <c r="C270" i="2"/>
  <c r="L270" i="2"/>
  <c r="AK270" i="2"/>
  <c r="AM270" i="2"/>
  <c r="A271" i="2"/>
  <c r="B271" i="2"/>
  <c r="C271" i="2"/>
  <c r="O271" i="2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 s="1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M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 s="1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L286" i="2"/>
  <c r="AK286" i="2"/>
  <c r="AM286" i="2"/>
  <c r="A287" i="2"/>
  <c r="B287" i="2"/>
  <c r="C287" i="2"/>
  <c r="N287" i="2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N289" i="2" s="1"/>
  <c r="U289" i="2" s="1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 s="1"/>
  <c r="L291" i="2"/>
  <c r="AK291" i="2"/>
  <c r="AM291" i="2"/>
  <c r="A292" i="2"/>
  <c r="B292" i="2"/>
  <c r="C292" i="2"/>
  <c r="L292" i="2"/>
  <c r="AK292" i="2"/>
  <c r="AM292" i="2"/>
  <c r="A293" i="2"/>
  <c r="B293" i="2"/>
  <c r="C293" i="2"/>
  <c r="J293" i="2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 s="1"/>
  <c r="L296" i="2"/>
  <c r="AK296" i="2"/>
  <c r="AM296" i="2"/>
  <c r="A297" i="2"/>
  <c r="B297" i="2"/>
  <c r="C297" i="2"/>
  <c r="Q297" i="2" s="1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H300" i="2" s="1"/>
  <c r="P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 s="1"/>
  <c r="L302" i="2"/>
  <c r="AK302" i="2"/>
  <c r="AM302" i="2"/>
  <c r="A303" i="2"/>
  <c r="B303" i="2"/>
  <c r="C303" i="2"/>
  <c r="I305" i="2"/>
  <c r="L303" i="2"/>
  <c r="AK303" i="2"/>
  <c r="AM303" i="2"/>
  <c r="A304" i="2"/>
  <c r="B304" i="2"/>
  <c r="C304" i="2"/>
  <c r="H304" i="2" s="1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/>
  <c r="G20" i="5"/>
  <c r="F20" i="5"/>
  <c r="E16" i="5"/>
  <c r="B16" i="5"/>
  <c r="G16" i="5"/>
  <c r="F16" i="5"/>
  <c r="G9" i="5"/>
  <c r="F9" i="5"/>
  <c r="E9" i="5"/>
  <c r="B9" i="5"/>
  <c r="G19" i="4"/>
  <c r="F19" i="4"/>
  <c r="E19" i="4"/>
  <c r="D19" i="4"/>
  <c r="C19" i="4"/>
  <c r="B19" i="4"/>
  <c r="C27" i="21"/>
  <c r="X3" i="22"/>
  <c r="W3" i="22"/>
  <c r="V3" i="22"/>
  <c r="U3" i="22"/>
  <c r="T3" i="22"/>
  <c r="S3" i="22"/>
  <c r="X2" i="22"/>
  <c r="W2" i="22"/>
  <c r="V2" i="22"/>
  <c r="U2" i="22"/>
  <c r="T2" i="22"/>
  <c r="S2" i="22"/>
  <c r="G72" i="6"/>
  <c r="A54" i="2"/>
  <c r="B54" i="2"/>
  <c r="C54" i="2"/>
  <c r="L54" i="2"/>
  <c r="AM54" i="2"/>
  <c r="A55" i="2"/>
  <c r="B55" i="2"/>
  <c r="C55" i="2"/>
  <c r="L55" i="2"/>
  <c r="U55" i="2" s="1"/>
  <c r="AM55" i="2"/>
  <c r="G27" i="5"/>
  <c r="H27" i="5"/>
  <c r="C93" i="9"/>
  <c r="X3" i="20"/>
  <c r="W3" i="20"/>
  <c r="V3" i="20"/>
  <c r="E67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F17" i="4"/>
  <c r="F18" i="4"/>
  <c r="E18" i="4"/>
  <c r="D18" i="4"/>
  <c r="C18" i="4"/>
  <c r="B18" i="4"/>
  <c r="V2" i="3"/>
  <c r="G19" i="6"/>
  <c r="G48" i="6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/>
  <c r="B20" i="9"/>
  <c r="C17" i="9"/>
  <c r="G34" i="5"/>
  <c r="F34" i="5"/>
  <c r="B34" i="5"/>
  <c r="E33" i="5"/>
  <c r="B33" i="5"/>
  <c r="Q76" i="9"/>
  <c r="B34" i="6"/>
  <c r="C34" i="6"/>
  <c r="D34" i="6"/>
  <c r="E34" i="6"/>
  <c r="Q69" i="9"/>
  <c r="Q70" i="9"/>
  <c r="B23" i="6"/>
  <c r="B76" i="5"/>
  <c r="E23" i="6"/>
  <c r="E76" i="5"/>
  <c r="C76" i="5"/>
  <c r="G23" i="6"/>
  <c r="F76" i="5"/>
  <c r="G32" i="5"/>
  <c r="F32" i="5"/>
  <c r="B68" i="5"/>
  <c r="E9" i="6"/>
  <c r="E68" i="5"/>
  <c r="C9" i="6"/>
  <c r="G9" i="6"/>
  <c r="H9" i="6"/>
  <c r="G68" i="5"/>
  <c r="F68" i="5"/>
  <c r="G18" i="5"/>
  <c r="F18" i="5"/>
  <c r="B15" i="6"/>
  <c r="B67" i="5"/>
  <c r="E15" i="6"/>
  <c r="C15" i="6"/>
  <c r="G67" i="5"/>
  <c r="F67" i="5"/>
  <c r="M86" i="9"/>
  <c r="N84" i="9"/>
  <c r="N85" i="9"/>
  <c r="N83" i="9"/>
  <c r="P78" i="9"/>
  <c r="O78" i="9"/>
  <c r="E51" i="6"/>
  <c r="P76" i="9"/>
  <c r="B51" i="6"/>
  <c r="O76" i="9"/>
  <c r="P68" i="9"/>
  <c r="O69" i="9"/>
  <c r="O70" i="9"/>
  <c r="O71" i="9"/>
  <c r="O72" i="9"/>
  <c r="O74" i="9"/>
  <c r="O75" i="9"/>
  <c r="O77" i="9"/>
  <c r="O79" i="9"/>
  <c r="O68" i="9"/>
  <c r="M80" i="9"/>
  <c r="N74" i="9"/>
  <c r="G10" i="5"/>
  <c r="F10" i="5"/>
  <c r="G11" i="5"/>
  <c r="F11" i="5"/>
  <c r="E11" i="5"/>
  <c r="B11" i="5"/>
  <c r="E10" i="6"/>
  <c r="AP5" i="9"/>
  <c r="D9" i="6"/>
  <c r="H8" i="6"/>
  <c r="G8" i="6"/>
  <c r="E8" i="6"/>
  <c r="D8" i="6"/>
  <c r="C8" i="6"/>
  <c r="E26" i="5"/>
  <c r="B26" i="5"/>
  <c r="G26" i="5"/>
  <c r="F26" i="5"/>
  <c r="G23" i="5"/>
  <c r="F23" i="5"/>
  <c r="E23" i="5"/>
  <c r="D23" i="5"/>
  <c r="C23" i="5"/>
  <c r="B23" i="5"/>
  <c r="F11" i="7"/>
  <c r="G5" i="7"/>
  <c r="F5" i="7"/>
  <c r="E75" i="5"/>
  <c r="D75" i="5"/>
  <c r="C75" i="5"/>
  <c r="B75" i="5"/>
  <c r="G75" i="5"/>
  <c r="F75" i="5"/>
  <c r="G8" i="5"/>
  <c r="F8" i="5"/>
  <c r="E11" i="6"/>
  <c r="C13" i="6"/>
  <c r="G21" i="6"/>
  <c r="G20" i="6"/>
  <c r="F4" i="5"/>
  <c r="O5" i="9"/>
  <c r="G69" i="5"/>
  <c r="H69" i="5"/>
  <c r="G10" i="6"/>
  <c r="C14" i="6"/>
  <c r="G69" i="6"/>
  <c r="G64" i="6"/>
  <c r="G14" i="5"/>
  <c r="F14" i="5"/>
  <c r="F16" i="7"/>
  <c r="F2" i="7"/>
  <c r="F14" i="7"/>
  <c r="F8" i="7"/>
  <c r="AR2" i="9"/>
  <c r="I51" i="6"/>
  <c r="G53" i="6"/>
  <c r="C51" i="6"/>
  <c r="M56" i="9"/>
  <c r="N56" i="9"/>
  <c r="N51" i="9"/>
  <c r="N52" i="9"/>
  <c r="N53" i="9"/>
  <c r="N54" i="9"/>
  <c r="N55" i="9"/>
  <c r="N50" i="9"/>
  <c r="G2" i="4"/>
  <c r="F2" i="4"/>
  <c r="AR4" i="9"/>
  <c r="C4" i="9"/>
  <c r="D4" i="9"/>
  <c r="C8" i="9"/>
  <c r="G57" i="6"/>
  <c r="G9" i="4"/>
  <c r="F9" i="4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/>
  <c r="B10" i="6"/>
  <c r="C10" i="6"/>
  <c r="X10" i="9"/>
  <c r="G5" i="5"/>
  <c r="F5" i="5"/>
  <c r="E25" i="6"/>
  <c r="C25" i="6"/>
  <c r="G49" i="5"/>
  <c r="F49" i="5"/>
  <c r="D25" i="6"/>
  <c r="G12" i="4"/>
  <c r="G4" i="6"/>
  <c r="H4" i="6"/>
  <c r="B4" i="6"/>
  <c r="H3" i="6"/>
  <c r="K7" i="7"/>
  <c r="AL13" i="9"/>
  <c r="AM13" i="9"/>
  <c r="AM7" i="9"/>
  <c r="E34" i="5"/>
  <c r="D15" i="6"/>
  <c r="G37" i="5"/>
  <c r="F37" i="5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E31" i="5"/>
  <c r="B31" i="5"/>
  <c r="G58" i="5"/>
  <c r="F58" i="5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G30" i="5"/>
  <c r="F30" i="5"/>
  <c r="E30" i="5"/>
  <c r="B30" i="5"/>
  <c r="G29" i="5"/>
  <c r="F29" i="5"/>
  <c r="G28" i="5"/>
  <c r="F28" i="5"/>
  <c r="E29" i="5"/>
  <c r="B29" i="5"/>
  <c r="E28" i="5"/>
  <c r="B28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B36" i="9"/>
  <c r="C33" i="9"/>
  <c r="E36" i="5"/>
  <c r="D36" i="5"/>
  <c r="C36" i="5"/>
  <c r="B36" i="5"/>
  <c r="AH13" i="9"/>
  <c r="AI13" i="9"/>
  <c r="AI9" i="9"/>
  <c r="AI4" i="9"/>
  <c r="AI3" i="9"/>
  <c r="E11" i="7"/>
  <c r="B11" i="7"/>
  <c r="AP7" i="9"/>
  <c r="AQ4" i="9"/>
  <c r="AQ3" i="9"/>
  <c r="AR7" i="9"/>
  <c r="W5" i="9"/>
  <c r="X2" i="9"/>
  <c r="AF3" i="9"/>
  <c r="AF4" i="9"/>
  <c r="AF5" i="9"/>
  <c r="AF2" i="9"/>
  <c r="E55" i="6"/>
  <c r="D55" i="6"/>
  <c r="C55" i="6"/>
  <c r="G56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G22" i="6"/>
  <c r="B24" i="6"/>
  <c r="C24" i="6"/>
  <c r="D24" i="6"/>
  <c r="E24" i="6"/>
  <c r="B14" i="6"/>
  <c r="D14" i="6"/>
  <c r="E14" i="6"/>
  <c r="G14" i="6"/>
  <c r="D10" i="6"/>
  <c r="F7" i="5"/>
  <c r="B59" i="6"/>
  <c r="C59" i="6"/>
  <c r="D59" i="6"/>
  <c r="E59" i="6"/>
  <c r="G60" i="6"/>
  <c r="G15" i="5"/>
  <c r="F15" i="5"/>
  <c r="G65" i="5"/>
  <c r="F65" i="5"/>
  <c r="B14" i="5"/>
  <c r="C14" i="5"/>
  <c r="D14" i="5"/>
  <c r="E16" i="6"/>
  <c r="D16" i="6"/>
  <c r="C16" i="6"/>
  <c r="B16" i="6"/>
  <c r="G16" i="6"/>
  <c r="E59" i="5"/>
  <c r="B59" i="5"/>
  <c r="G59" i="5"/>
  <c r="F59" i="5"/>
  <c r="E38" i="5"/>
  <c r="B38" i="5"/>
  <c r="G38" i="5"/>
  <c r="F38" i="5"/>
  <c r="E20" i="6"/>
  <c r="B20" i="6"/>
  <c r="E15" i="5"/>
  <c r="D15" i="5"/>
  <c r="C15" i="5"/>
  <c r="B15" i="5"/>
  <c r="E13" i="6"/>
  <c r="D13" i="6"/>
  <c r="B13" i="6"/>
  <c r="G13" i="6"/>
  <c r="F35" i="5"/>
  <c r="E3" i="6"/>
  <c r="P5" i="11"/>
  <c r="G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/>
  <c r="G8" i="4"/>
  <c r="G7" i="4"/>
  <c r="G6" i="4"/>
  <c r="G5" i="4"/>
  <c r="F5" i="4"/>
  <c r="G4" i="4"/>
  <c r="F4" i="4"/>
  <c r="G3" i="4"/>
  <c r="F3" i="4"/>
  <c r="G9" i="7"/>
  <c r="F9" i="7"/>
  <c r="G15" i="7"/>
  <c r="F15" i="7"/>
  <c r="F6" i="5"/>
  <c r="F17" i="5"/>
  <c r="F54" i="5"/>
  <c r="F55" i="5"/>
  <c r="D76" i="5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H47" i="6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E5" i="6"/>
  <c r="D5" i="6"/>
  <c r="C5" i="6"/>
  <c r="B5" i="6"/>
  <c r="I42" i="6"/>
  <c r="C42" i="6"/>
  <c r="E33" i="6"/>
  <c r="D33" i="6"/>
  <c r="C33" i="6"/>
  <c r="B33" i="6"/>
  <c r="E38" i="6"/>
  <c r="D38" i="6"/>
  <c r="C38" i="6"/>
  <c r="B38" i="6"/>
  <c r="G17" i="7"/>
  <c r="F17" i="7"/>
  <c r="G4" i="7"/>
  <c r="F4" i="7"/>
  <c r="G3" i="7"/>
  <c r="F3" i="7"/>
  <c r="G50" i="6"/>
  <c r="G49" i="6"/>
  <c r="G65" i="6"/>
  <c r="G51" i="6"/>
  <c r="G68" i="6"/>
  <c r="G73" i="6"/>
  <c r="E62" i="6"/>
  <c r="D62" i="6"/>
  <c r="C62" i="6"/>
  <c r="B62" i="6"/>
  <c r="G32" i="6"/>
  <c r="G29" i="6"/>
  <c r="G39" i="6"/>
  <c r="G61" i="5"/>
  <c r="F61" i="5"/>
  <c r="G39" i="5"/>
  <c r="F39" i="5"/>
  <c r="E39" i="5"/>
  <c r="B39" i="5"/>
  <c r="G53" i="5"/>
  <c r="F53" i="5"/>
  <c r="G48" i="5"/>
  <c r="F48" i="5"/>
  <c r="G60" i="5"/>
  <c r="F60" i="5"/>
  <c r="G79" i="5"/>
  <c r="F79" i="5"/>
  <c r="G50" i="5"/>
  <c r="F50" i="5"/>
  <c r="G70" i="5"/>
  <c r="F70" i="5"/>
  <c r="F12" i="4"/>
  <c r="C12" i="4"/>
  <c r="B12" i="4"/>
  <c r="F11" i="4"/>
  <c r="E11" i="4"/>
  <c r="C11" i="4"/>
  <c r="B11" i="4"/>
  <c r="F8" i="4"/>
  <c r="F7" i="4"/>
  <c r="F6" i="4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R19" i="2"/>
  <c r="R3" i="2"/>
  <c r="R4" i="2"/>
  <c r="R10" i="2"/>
  <c r="R17" i="2"/>
  <c r="R5" i="2"/>
  <c r="Q84" i="2"/>
  <c r="M73" i="2"/>
  <c r="T73" i="2" s="1"/>
  <c r="O84" i="2"/>
  <c r="H82" i="2"/>
  <c r="Q72" i="2"/>
  <c r="M80" i="2"/>
  <c r="P84" i="2"/>
  <c r="H80" i="2"/>
  <c r="O73" i="2"/>
  <c r="W73" i="2" s="1"/>
  <c r="H84" i="2"/>
  <c r="N219" i="2"/>
  <c r="N80" i="2"/>
  <c r="H132" i="2"/>
  <c r="P132" i="2"/>
  <c r="H168" i="2"/>
  <c r="J98" i="2"/>
  <c r="G66" i="2"/>
  <c r="G98" i="2"/>
  <c r="O66" i="2"/>
  <c r="F66" i="2"/>
  <c r="Q66" i="2"/>
  <c r="Y66" i="2" s="1"/>
  <c r="E112" i="2"/>
  <c r="J132" i="2"/>
  <c r="J72" i="2"/>
  <c r="N68" i="2"/>
  <c r="T62" i="2"/>
  <c r="G83" i="2"/>
  <c r="I120" i="2"/>
  <c r="E83" i="2"/>
  <c r="J192" i="2"/>
  <c r="P90" i="2"/>
  <c r="I194" i="2"/>
  <c r="H96" i="2"/>
  <c r="I98" i="2"/>
  <c r="M96" i="2"/>
  <c r="T96" i="2" s="1"/>
  <c r="D75" i="2"/>
  <c r="N75" i="2"/>
  <c r="U75" i="2" s="1"/>
  <c r="Q75" i="2"/>
  <c r="Y75" i="2" s="1"/>
  <c r="H75" i="2"/>
  <c r="O75" i="2"/>
  <c r="J106" i="2"/>
  <c r="P106" i="2"/>
  <c r="N129" i="2"/>
  <c r="H91" i="2"/>
  <c r="M210" i="2"/>
  <c r="N109" i="2"/>
  <c r="O109" i="2"/>
  <c r="G91" i="2"/>
  <c r="H78" i="2"/>
  <c r="G78" i="2"/>
  <c r="E70" i="2"/>
  <c r="H70" i="2"/>
  <c r="H157" i="2"/>
  <c r="O94" i="2"/>
  <c r="F81" i="2"/>
  <c r="M81" i="2"/>
  <c r="T81" i="2" s="1"/>
  <c r="O210" i="2"/>
  <c r="O91" i="2"/>
  <c r="E91" i="2"/>
  <c r="F89" i="2"/>
  <c r="O89" i="2"/>
  <c r="H277" i="2"/>
  <c r="D269" i="2"/>
  <c r="Q235" i="2"/>
  <c r="N225" i="2"/>
  <c r="I210" i="2"/>
  <c r="F210" i="2"/>
  <c r="F113" i="2"/>
  <c r="M113" i="2"/>
  <c r="D103" i="2"/>
  <c r="I105" i="2"/>
  <c r="N103" i="2"/>
  <c r="P142" i="2"/>
  <c r="M135" i="2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Q96" i="2"/>
  <c r="Y96" i="2" s="1"/>
  <c r="I80" i="2"/>
  <c r="N240" i="2"/>
  <c r="M174" i="2"/>
  <c r="G277" i="2"/>
  <c r="G159" i="2"/>
  <c r="H121" i="2"/>
  <c r="F121" i="2"/>
  <c r="D286" i="2"/>
  <c r="F266" i="2"/>
  <c r="H248" i="2"/>
  <c r="P204" i="2"/>
  <c r="P188" i="2"/>
  <c r="H187" i="2"/>
  <c r="F159" i="2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E107" i="2"/>
  <c r="N98" i="2"/>
  <c r="U98" i="2" s="1"/>
  <c r="P92" i="2"/>
  <c r="Q92" i="2"/>
  <c r="Y92" i="2" s="1"/>
  <c r="J156" i="2"/>
  <c r="P93" i="2"/>
  <c r="E69" i="2"/>
  <c r="F69" i="2"/>
  <c r="G69" i="2"/>
  <c r="H69" i="2"/>
  <c r="J69" i="2"/>
  <c r="X69" i="2" s="1"/>
  <c r="G107" i="2"/>
  <c r="H107" i="2"/>
  <c r="P107" i="2"/>
  <c r="J99" i="2"/>
  <c r="O61" i="2"/>
  <c r="P61" i="2"/>
  <c r="Q61" i="2"/>
  <c r="Y61" i="2" s="1"/>
  <c r="D132" i="2"/>
  <c r="Q60" i="2"/>
  <c r="Y60" i="2" s="1"/>
  <c r="J59" i="2"/>
  <c r="M58" i="2"/>
  <c r="M57" i="2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Q57" i="2"/>
  <c r="Y57" i="2" s="1"/>
  <c r="N59" i="2"/>
  <c r="U59" i="2" s="1"/>
  <c r="M59" i="2"/>
  <c r="P57" i="2"/>
  <c r="H64" i="2"/>
  <c r="M63" i="2"/>
  <c r="N57" i="2"/>
  <c r="E27" i="5"/>
  <c r="S14" i="2"/>
  <c r="S5" i="2"/>
  <c r="S12" i="2"/>
  <c r="S11" i="2"/>
  <c r="S3" i="2"/>
  <c r="AA3" i="2" s="1"/>
  <c r="S26" i="2"/>
  <c r="S10" i="2"/>
  <c r="D257" i="2"/>
  <c r="P232" i="2"/>
  <c r="D232" i="2"/>
  <c r="F232" i="2"/>
  <c r="H295" i="2"/>
  <c r="Q295" i="2"/>
  <c r="Y295" i="2" s="1"/>
  <c r="D276" i="2"/>
  <c r="G253" i="2"/>
  <c r="N242" i="2"/>
  <c r="M242" i="2"/>
  <c r="G291" i="2"/>
  <c r="G243" i="2"/>
  <c r="F243" i="2"/>
  <c r="N253" i="2"/>
  <c r="E253" i="2"/>
  <c r="M297" i="2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F296" i="2"/>
  <c r="H293" i="2"/>
  <c r="N300" i="2"/>
  <c r="U300" i="2" s="1"/>
  <c r="F297" i="2"/>
  <c r="E297" i="2"/>
  <c r="J297" i="2"/>
  <c r="D294" i="2"/>
  <c r="O292" i="2"/>
  <c r="H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D267" i="2"/>
  <c r="G295" i="2"/>
  <c r="D226" i="2"/>
  <c r="G226" i="2"/>
  <c r="O285" i="2"/>
  <c r="G276" i="2"/>
  <c r="P247" i="2"/>
  <c r="J247" i="2"/>
  <c r="M247" i="2"/>
  <c r="Q247" i="2"/>
  <c r="G247" i="2"/>
  <c r="N247" i="2"/>
  <c r="D245" i="2"/>
  <c r="J245" i="2"/>
  <c r="H199" i="2"/>
  <c r="G199" i="2"/>
  <c r="N283" i="2"/>
  <c r="Q208" i="2"/>
  <c r="M208" i="2"/>
  <c r="T208" i="2" s="1"/>
  <c r="F208" i="2"/>
  <c r="N208" i="2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I251" i="2"/>
  <c r="N203" i="2"/>
  <c r="P203" i="2"/>
  <c r="G224" i="2"/>
  <c r="O224" i="2"/>
  <c r="F224" i="2"/>
  <c r="E263" i="2"/>
  <c r="G263" i="2"/>
  <c r="E208" i="2"/>
  <c r="F239" i="2"/>
  <c r="J239" i="2"/>
  <c r="M219" i="2"/>
  <c r="H219" i="2"/>
  <c r="Q219" i="2"/>
  <c r="D219" i="2"/>
  <c r="P219" i="2"/>
  <c r="F200" i="2"/>
  <c r="D200" i="2"/>
  <c r="J200" i="2"/>
  <c r="G200" i="2"/>
  <c r="H200" i="2"/>
  <c r="N180" i="2"/>
  <c r="U180" i="2" s="1"/>
  <c r="Q180" i="2"/>
  <c r="Y180" i="2" s="1"/>
  <c r="J180" i="2"/>
  <c r="O180" i="2"/>
  <c r="F180" i="2"/>
  <c r="I182" i="2"/>
  <c r="N197" i="2"/>
  <c r="U197" i="2" s="1"/>
  <c r="E272" i="2"/>
  <c r="G272" i="2"/>
  <c r="F272" i="2"/>
  <c r="D251" i="2"/>
  <c r="J251" i="2"/>
  <c r="Q251" i="2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G216" i="2"/>
  <c r="D216" i="2"/>
  <c r="P216" i="2"/>
  <c r="D211" i="2"/>
  <c r="J211" i="2"/>
  <c r="Q211" i="2"/>
  <c r="Y211" i="2" s="1"/>
  <c r="E211" i="2"/>
  <c r="G206" i="2"/>
  <c r="E206" i="2"/>
  <c r="O206" i="2"/>
  <c r="P206" i="2"/>
  <c r="F197" i="2"/>
  <c r="P197" i="2"/>
  <c r="D197" i="2"/>
  <c r="E197" i="2"/>
  <c r="O197" i="2"/>
  <c r="Q197" i="2"/>
  <c r="Y197" i="2" s="1"/>
  <c r="M187" i="2"/>
  <c r="T187" i="2" s="1"/>
  <c r="O187" i="2"/>
  <c r="F187" i="2"/>
  <c r="Q187" i="2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E225" i="2"/>
  <c r="F225" i="2"/>
  <c r="O225" i="2"/>
  <c r="D209" i="2"/>
  <c r="J209" i="2"/>
  <c r="O209" i="2"/>
  <c r="W209" i="2" s="1"/>
  <c r="Q209" i="2"/>
  <c r="Y209" i="2" s="1"/>
  <c r="D207" i="2"/>
  <c r="P198" i="2"/>
  <c r="J198" i="2"/>
  <c r="E198" i="2"/>
  <c r="N198" i="2"/>
  <c r="U198" i="2" s="1"/>
  <c r="G198" i="2"/>
  <c r="J147" i="2"/>
  <c r="X147" i="2" s="1"/>
  <c r="F147" i="2"/>
  <c r="E147" i="2"/>
  <c r="M147" i="2"/>
  <c r="T147" i="2" s="1"/>
  <c r="O147" i="2"/>
  <c r="W147" i="2" s="1"/>
  <c r="D176" i="2"/>
  <c r="P176" i="2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T271" i="2" s="1"/>
  <c r="F271" i="2"/>
  <c r="H271" i="2"/>
  <c r="V271" i="2" s="1"/>
  <c r="J228" i="2"/>
  <c r="I230" i="2"/>
  <c r="P214" i="2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F166" i="2"/>
  <c r="O166" i="2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F134" i="2"/>
  <c r="I136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M177" i="2"/>
  <c r="T177" i="2" s="1"/>
  <c r="I171" i="2"/>
  <c r="M140" i="2"/>
  <c r="Q140" i="2"/>
  <c r="Y140" i="2" s="1"/>
  <c r="I142" i="2"/>
  <c r="E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W192" i="2" s="1"/>
  <c r="P190" i="2"/>
  <c r="M190" i="2"/>
  <c r="T190" i="2" s="1"/>
  <c r="F190" i="2"/>
  <c r="E179" i="2"/>
  <c r="Q179" i="2"/>
  <c r="Y179" i="2" s="1"/>
  <c r="J179" i="2"/>
  <c r="Q175" i="2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F229" i="2"/>
  <c r="M229" i="2"/>
  <c r="T229" i="2" s="1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F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W176" i="2" s="1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I138" i="2"/>
  <c r="Y138" i="2"/>
  <c r="G138" i="2"/>
  <c r="Q146" i="2"/>
  <c r="Y146" i="2" s="1"/>
  <c r="P146" i="2"/>
  <c r="G146" i="2"/>
  <c r="I148" i="2"/>
  <c r="F86" i="2"/>
  <c r="I88" i="2"/>
  <c r="E86" i="2"/>
  <c r="M86" i="2"/>
  <c r="T86" i="2" s="1"/>
  <c r="U86" i="2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N100" i="2"/>
  <c r="U100" i="2" s="1"/>
  <c r="P100" i="2"/>
  <c r="X100" i="2" s="1"/>
  <c r="D100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M171" i="2"/>
  <c r="T171" i="2" s="1"/>
  <c r="N107" i="2"/>
  <c r="U107" i="2" s="1"/>
  <c r="M107" i="2"/>
  <c r="T107" i="2" s="1"/>
  <c r="J107" i="2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V129" i="2" s="1"/>
  <c r="M129" i="2"/>
  <c r="T129" i="2" s="1"/>
  <c r="Q129" i="2"/>
  <c r="Y129" i="2" s="1"/>
  <c r="J129" i="2"/>
  <c r="P129" i="2"/>
  <c r="J97" i="2"/>
  <c r="H97" i="2"/>
  <c r="D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Q70" i="2"/>
  <c r="Y70" i="2" s="1"/>
  <c r="P71" i="2"/>
  <c r="Q71" i="2"/>
  <c r="Y71" i="2" s="1"/>
  <c r="J71" i="2"/>
  <c r="D71" i="2"/>
  <c r="E71" i="2"/>
  <c r="G71" i="2"/>
  <c r="H71" i="2"/>
  <c r="U71" i="2"/>
  <c r="M65" i="2"/>
  <c r="G65" i="2"/>
  <c r="H65" i="2"/>
  <c r="P65" i="2"/>
  <c r="Q65" i="2"/>
  <c r="Y65" i="2" s="1"/>
  <c r="E65" i="2"/>
  <c r="F65" i="2"/>
  <c r="M149" i="2"/>
  <c r="T149" i="2" s="1"/>
  <c r="I151" i="2"/>
  <c r="P87" i="2"/>
  <c r="J87" i="2"/>
  <c r="Q87" i="2"/>
  <c r="Y87" i="2" s="1"/>
  <c r="F87" i="2"/>
  <c r="G87" i="2"/>
  <c r="M87" i="2"/>
  <c r="T87" i="2" s="1"/>
  <c r="I89" i="2"/>
  <c r="W89" i="2" s="1"/>
  <c r="P121" i="2"/>
  <c r="Q121" i="2"/>
  <c r="Y121" i="2" s="1"/>
  <c r="D121" i="2"/>
  <c r="N110" i="2"/>
  <c r="U110" i="2" s="1"/>
  <c r="P110" i="2"/>
  <c r="Q68" i="2"/>
  <c r="Y68" i="2" s="1"/>
  <c r="G120" i="2"/>
  <c r="G113" i="2"/>
  <c r="H113" i="2"/>
  <c r="E113" i="2"/>
  <c r="H103" i="2"/>
  <c r="J103" i="2"/>
  <c r="J81" i="2"/>
  <c r="O81" i="2"/>
  <c r="D81" i="2"/>
  <c r="E81" i="2"/>
  <c r="G81" i="2"/>
  <c r="N81" i="2"/>
  <c r="U81" i="2" s="1"/>
  <c r="U80" i="2"/>
  <c r="O68" i="2"/>
  <c r="T60" i="2"/>
  <c r="N60" i="2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F62" i="2"/>
  <c r="G62" i="2"/>
  <c r="Q80" i="2"/>
  <c r="Y80" i="2" s="1"/>
  <c r="P80" i="2"/>
  <c r="I82" i="2"/>
  <c r="E80" i="2"/>
  <c r="J80" i="2"/>
  <c r="O78" i="2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J117" i="2"/>
  <c r="P94" i="2"/>
  <c r="G94" i="2"/>
  <c r="Q94" i="2"/>
  <c r="Y94" i="2" s="1"/>
  <c r="E94" i="2"/>
  <c r="F94" i="2"/>
  <c r="T67" i="2"/>
  <c r="D67" i="2"/>
  <c r="J67" i="2"/>
  <c r="P16" i="11" s="1"/>
  <c r="H67" i="2"/>
  <c r="P14" i="11" s="1"/>
  <c r="U67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F74" i="2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N85" i="2"/>
  <c r="U85" i="2" s="1"/>
  <c r="O85" i="2"/>
  <c r="E85" i="2"/>
  <c r="N69" i="2"/>
  <c r="O69" i="2"/>
  <c r="P54" i="2"/>
  <c r="J54" i="2"/>
  <c r="Q54" i="2"/>
  <c r="Y54" i="2" s="1"/>
  <c r="F54" i="2"/>
  <c r="E54" i="2"/>
  <c r="M54" i="2"/>
  <c r="Q56" i="2"/>
  <c r="Y56" i="2" s="1"/>
  <c r="P56" i="2"/>
  <c r="O56" i="2"/>
  <c r="M56" i="2"/>
  <c r="J56" i="2"/>
  <c r="H56" i="2"/>
  <c r="E56" i="2"/>
  <c r="U56" i="2"/>
  <c r="Q68" i="9"/>
  <c r="D27" i="5"/>
  <c r="C3" i="6"/>
  <c r="E4" i="6"/>
  <c r="D4" i="6"/>
  <c r="U4" i="18"/>
  <c r="B42" i="6"/>
  <c r="U3" i="18"/>
  <c r="X249" i="2"/>
  <c r="X132" i="2"/>
  <c r="X77" i="2"/>
  <c r="X208" i="2"/>
  <c r="Q64" i="2"/>
  <c r="Y64" i="2" s="1"/>
  <c r="G303" i="2"/>
  <c r="D303" i="2"/>
  <c r="M293" i="2"/>
  <c r="T293" i="2" s="1"/>
  <c r="I295" i="2"/>
  <c r="D293" i="2"/>
  <c r="Q198" i="2"/>
  <c r="Y198" i="2" s="1"/>
  <c r="O198" i="2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V266" i="2" s="1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W253" i="2" s="1"/>
  <c r="N251" i="2"/>
  <c r="U251" i="2" s="1"/>
  <c r="F185" i="2"/>
  <c r="H185" i="2"/>
  <c r="D185" i="2"/>
  <c r="H180" i="2"/>
  <c r="I180" i="2"/>
  <c r="W180" i="2" s="1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P241" i="2"/>
  <c r="N241" i="2"/>
  <c r="U241" i="2" s="1"/>
  <c r="J241" i="2"/>
  <c r="O241" i="2"/>
  <c r="H241" i="2"/>
  <c r="G241" i="2"/>
  <c r="G207" i="2"/>
  <c r="F202" i="2"/>
  <c r="Q202" i="2"/>
  <c r="Y202" i="2" s="1"/>
  <c r="J202" i="2"/>
  <c r="I204" i="2"/>
  <c r="P202" i="2"/>
  <c r="G202" i="2"/>
  <c r="M202" i="2"/>
  <c r="T202" i="2" s="1"/>
  <c r="O202" i="2"/>
  <c r="D202" i="2"/>
  <c r="J197" i="2"/>
  <c r="I199" i="2"/>
  <c r="H273" i="2"/>
  <c r="F273" i="2"/>
  <c r="G273" i="2"/>
  <c r="P273" i="2"/>
  <c r="J273" i="2"/>
  <c r="E273" i="2"/>
  <c r="Q273" i="2"/>
  <c r="Y273" i="2" s="1"/>
  <c r="I275" i="2"/>
  <c r="M273" i="2"/>
  <c r="T273" i="2" s="1"/>
  <c r="M236" i="2"/>
  <c r="T236" i="2" s="1"/>
  <c r="F236" i="2"/>
  <c r="Q236" i="2"/>
  <c r="Y236" i="2" s="1"/>
  <c r="G236" i="2"/>
  <c r="I238" i="2"/>
  <c r="H236" i="2"/>
  <c r="J23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N299" i="2"/>
  <c r="U299" i="2" s="1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F191" i="2"/>
  <c r="P111" i="2"/>
  <c r="Q111" i="2"/>
  <c r="Y111" i="2" s="1"/>
  <c r="J111" i="2"/>
  <c r="P245" i="2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V144" i="2" s="1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E212" i="2"/>
  <c r="J227" i="2"/>
  <c r="P55" i="2"/>
  <c r="N229" i="2"/>
  <c r="U229" i="2" s="1"/>
  <c r="O95" i="2"/>
  <c r="G260" i="2"/>
  <c r="O214" i="2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W211" i="2" s="1"/>
  <c r="J204" i="2"/>
  <c r="X204" i="2" s="1"/>
  <c r="O204" i="2"/>
  <c r="I201" i="2"/>
  <c r="N185" i="2"/>
  <c r="U185" i="2" s="1"/>
  <c r="I187" i="2"/>
  <c r="M185" i="2"/>
  <c r="T185" i="2" s="1"/>
  <c r="N152" i="2"/>
  <c r="U152" i="2" s="1"/>
  <c r="G152" i="2"/>
  <c r="M138" i="2"/>
  <c r="T138" i="2" s="1"/>
  <c r="E138" i="2"/>
  <c r="J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Q67" i="2"/>
  <c r="D175" i="2"/>
  <c r="I177" i="2"/>
  <c r="O88" i="2"/>
  <c r="E250" i="2"/>
  <c r="J254" i="2"/>
  <c r="P254" i="2"/>
  <c r="E67" i="2"/>
  <c r="H189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O239" i="2"/>
  <c r="H116" i="2"/>
  <c r="N234" i="2"/>
  <c r="U234" i="2" s="1"/>
  <c r="D268" i="2"/>
  <c r="O234" i="2"/>
  <c r="H76" i="2"/>
  <c r="H126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O64" i="2"/>
  <c r="J61" i="2"/>
  <c r="X61" i="2" s="1"/>
  <c r="P149" i="2"/>
  <c r="G85" i="2"/>
  <c r="H250" i="2"/>
  <c r="N79" i="2"/>
  <c r="U79" i="2" s="1"/>
  <c r="E97" i="2"/>
  <c r="I173" i="2"/>
  <c r="H139" i="2"/>
  <c r="M234" i="2"/>
  <c r="T234" i="2" s="1"/>
  <c r="E76" i="2"/>
  <c r="Q126" i="2"/>
  <c r="Y126" i="2" s="1"/>
  <c r="F167" i="2"/>
  <c r="J79" i="2"/>
  <c r="I90" i="2"/>
  <c r="N63" i="2"/>
  <c r="G239" i="2"/>
  <c r="E226" i="2"/>
  <c r="I165" i="2"/>
  <c r="D161" i="2"/>
  <c r="O149" i="2"/>
  <c r="O142" i="2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P64" i="2"/>
  <c r="G64" i="2"/>
  <c r="M64" i="2"/>
  <c r="N260" i="2"/>
  <c r="U260" i="2" s="1"/>
  <c r="J278" i="2"/>
  <c r="N148" i="2"/>
  <c r="U148" i="2" s="1"/>
  <c r="O246" i="2"/>
  <c r="M170" i="2"/>
  <c r="T170" i="2" s="1"/>
  <c r="D63" i="2"/>
  <c r="D64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F55" i="2"/>
  <c r="H287" i="2"/>
  <c r="H220" i="2"/>
  <c r="P271" i="2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V109" i="2" s="1"/>
  <c r="O201" i="2"/>
  <c r="O294" i="2"/>
  <c r="M249" i="2"/>
  <c r="T249" i="2" s="1"/>
  <c r="J184" i="2"/>
  <c r="P170" i="2"/>
  <c r="J182" i="2"/>
  <c r="X182" i="2" s="1"/>
  <c r="O114" i="2"/>
  <c r="G301" i="2"/>
  <c r="F196" i="2"/>
  <c r="M183" i="2"/>
  <c r="T183" i="2" s="1"/>
  <c r="J145" i="2"/>
  <c r="I229" i="2"/>
  <c r="P283" i="2"/>
  <c r="D227" i="2"/>
  <c r="H237" i="2"/>
  <c r="I150" i="2"/>
  <c r="W150" i="2" s="1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P275" i="2"/>
  <c r="J267" i="2"/>
  <c r="F226" i="2"/>
  <c r="O267" i="2"/>
  <c r="I197" i="2"/>
  <c r="W197" i="2" s="1"/>
  <c r="P287" i="2"/>
  <c r="E293" i="2"/>
  <c r="D242" i="2"/>
  <c r="O232" i="2"/>
  <c r="D164" i="2"/>
  <c r="P161" i="2"/>
  <c r="Q183" i="2"/>
  <c r="Y183" i="2" s="1"/>
  <c r="P196" i="2"/>
  <c r="N196" i="2"/>
  <c r="U196" i="2" s="1"/>
  <c r="O196" i="2"/>
  <c r="I164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W203" i="2" s="1"/>
  <c r="P218" i="2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F231" i="2"/>
  <c r="F279" i="2"/>
  <c r="E260" i="2"/>
  <c r="O227" i="2"/>
  <c r="E128" i="2"/>
  <c r="M262" i="2"/>
  <c r="T262" i="2" s="1"/>
  <c r="I190" i="2"/>
  <c r="Q160" i="2"/>
  <c r="Y160" i="2" s="1"/>
  <c r="G228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N294" i="2"/>
  <c r="U294" i="2" s="1"/>
  <c r="O301" i="2"/>
  <c r="M146" i="2"/>
  <c r="T146" i="2" s="1"/>
  <c r="M237" i="2"/>
  <c r="T237" i="2" s="1"/>
  <c r="P237" i="2"/>
  <c r="X237" i="2" s="1"/>
  <c r="Y195" i="2"/>
  <c r="P172" i="2"/>
  <c r="P173" i="2"/>
  <c r="N146" i="2"/>
  <c r="U146" i="2" s="1"/>
  <c r="Q167" i="2"/>
  <c r="Y167" i="2" s="1"/>
  <c r="M178" i="2"/>
  <c r="T178" i="2" s="1"/>
  <c r="I166" i="2"/>
  <c r="H280" i="2"/>
  <c r="P229" i="2"/>
  <c r="F201" i="2"/>
  <c r="O172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H149" i="2"/>
  <c r="J64" i="2"/>
  <c r="H162" i="2"/>
  <c r="N162" i="2"/>
  <c r="U162" i="2" s="1"/>
  <c r="Q262" i="2"/>
  <c r="Y262" i="2" s="1"/>
  <c r="F301" i="2"/>
  <c r="J216" i="2"/>
  <c r="F194" i="2"/>
  <c r="N173" i="2"/>
  <c r="U173" i="2" s="1"/>
  <c r="P279" i="2"/>
  <c r="P116" i="2"/>
  <c r="Q173" i="2"/>
  <c r="Y173" i="2" s="1"/>
  <c r="E283" i="2"/>
  <c r="P167" i="2"/>
  <c r="O125" i="2"/>
  <c r="E164" i="2"/>
  <c r="G201" i="2"/>
  <c r="O248" i="2"/>
  <c r="G262" i="2"/>
  <c r="P227" i="2"/>
  <c r="M228" i="2"/>
  <c r="T228" i="2" s="1"/>
  <c r="H290" i="2"/>
  <c r="N249" i="2"/>
  <c r="U249" i="2" s="1"/>
  <c r="J219" i="2"/>
  <c r="X219" i="2" s="1"/>
  <c r="D225" i="2"/>
  <c r="M160" i="2"/>
  <c r="T160" i="2" s="1"/>
  <c r="O178" i="2"/>
  <c r="N125" i="2"/>
  <c r="U125" i="2" s="1"/>
  <c r="P228" i="2"/>
  <c r="P160" i="2"/>
  <c r="E219" i="2"/>
  <c r="F107" i="2"/>
  <c r="D107" i="2"/>
  <c r="P262" i="2"/>
  <c r="P301" i="2"/>
  <c r="F260" i="2"/>
  <c r="H227" i="2"/>
  <c r="D154" i="2"/>
  <c r="P97" i="2"/>
  <c r="Q82" i="2"/>
  <c r="Y82" i="2" s="1"/>
  <c r="O82" i="2"/>
  <c r="E82" i="2"/>
  <c r="E254" i="2"/>
  <c r="J116" i="2"/>
  <c r="M97" i="2"/>
  <c r="T97" i="2" s="1"/>
  <c r="Q254" i="2"/>
  <c r="Y254" i="2" s="1"/>
  <c r="E116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I99" i="2"/>
  <c r="W99" i="2" s="1"/>
  <c r="D82" i="2"/>
  <c r="H222" i="2"/>
  <c r="P222" i="2"/>
  <c r="P213" i="2"/>
  <c r="N213" i="2"/>
  <c r="U213" i="2" s="1"/>
  <c r="G142" i="2"/>
  <c r="Q142" i="2"/>
  <c r="Y142" i="2" s="1"/>
  <c r="J281" i="2"/>
  <c r="I283" i="2"/>
  <c r="P180" i="2"/>
  <c r="J127" i="2"/>
  <c r="I256" i="2"/>
  <c r="G82" i="2"/>
  <c r="I126" i="2"/>
  <c r="N271" i="2"/>
  <c r="U271" i="2" s="1"/>
  <c r="J124" i="2"/>
  <c r="I221" i="2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H136" i="2"/>
  <c r="N136" i="2"/>
  <c r="U136" i="2" s="1"/>
  <c r="O136" i="2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N207" i="2"/>
  <c r="U207" i="2" s="1"/>
  <c r="M207" i="2"/>
  <c r="T207" i="2" s="1"/>
  <c r="P169" i="2"/>
  <c r="Q113" i="2"/>
  <c r="Y113" i="2" s="1"/>
  <c r="O113" i="2"/>
  <c r="F203" i="2"/>
  <c r="Q74" i="2"/>
  <c r="Y74" i="2" s="1"/>
  <c r="J298" i="2"/>
  <c r="E298" i="2"/>
  <c r="G281" i="2"/>
  <c r="H281" i="2"/>
  <c r="I281" i="2"/>
  <c r="I273" i="2"/>
  <c r="D221" i="2"/>
  <c r="N221" i="2"/>
  <c r="U221" i="2" s="1"/>
  <c r="E159" i="2"/>
  <c r="N159" i="2"/>
  <c r="U159" i="2" s="1"/>
  <c r="P159" i="2"/>
  <c r="J159" i="2"/>
  <c r="M121" i="2"/>
  <c r="T121" i="2" s="1"/>
  <c r="G116" i="2"/>
  <c r="H74" i="2"/>
  <c r="P263" i="2"/>
  <c r="N263" i="2"/>
  <c r="U263" i="2" s="1"/>
  <c r="O263" i="2"/>
  <c r="Q263" i="2"/>
  <c r="Y263" i="2" s="1"/>
  <c r="T181" i="2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Q162" i="2"/>
  <c r="Y162" i="2" s="1"/>
  <c r="E87" i="2"/>
  <c r="N286" i="2"/>
  <c r="U286" i="2" s="1"/>
  <c r="I215" i="2"/>
  <c r="G286" i="2"/>
  <c r="I302" i="2"/>
  <c r="O300" i="2"/>
  <c r="E193" i="2"/>
  <c r="Q193" i="2"/>
  <c r="Y193" i="2" s="1"/>
  <c r="G193" i="2"/>
  <c r="O193" i="2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Q270" i="2"/>
  <c r="Y270" i="2" s="1"/>
  <c r="O183" i="2"/>
  <c r="P183" i="2"/>
  <c r="H183" i="2"/>
  <c r="G183" i="2"/>
  <c r="E178" i="2"/>
  <c r="P178" i="2"/>
  <c r="N178" i="2"/>
  <c r="U178" i="2" s="1"/>
  <c r="Q178" i="2"/>
  <c r="Y178" i="2" s="1"/>
  <c r="F95" i="2"/>
  <c r="H85" i="2"/>
  <c r="G57" i="2"/>
  <c r="O57" i="2"/>
  <c r="O97" i="2"/>
  <c r="F221" i="2"/>
  <c r="D87" i="2"/>
  <c r="G176" i="2"/>
  <c r="N121" i="2"/>
  <c r="U121" i="2" s="1"/>
  <c r="H198" i="2"/>
  <c r="F198" i="2"/>
  <c r="E90" i="2"/>
  <c r="D90" i="2"/>
  <c r="Q62" i="2"/>
  <c r="Y62" i="2" s="1"/>
  <c r="J62" i="2"/>
  <c r="X247" i="2"/>
  <c r="P136" i="2"/>
  <c r="D193" i="2"/>
  <c r="F82" i="2"/>
  <c r="P133" i="2"/>
  <c r="Q290" i="2"/>
  <c r="Y290" i="2" s="1"/>
  <c r="M290" i="2"/>
  <c r="T290" i="2" s="1"/>
  <c r="M175" i="2"/>
  <c r="T175" i="2" s="1"/>
  <c r="O175" i="2"/>
  <c r="N175" i="2"/>
  <c r="U175" i="2" s="1"/>
  <c r="G194" i="2"/>
  <c r="I282" i="2"/>
  <c r="W282" i="2" s="1"/>
  <c r="P189" i="2"/>
  <c r="H228" i="2"/>
  <c r="I85" i="2"/>
  <c r="F285" i="2"/>
  <c r="E194" i="2"/>
  <c r="J128" i="2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M66" i="2"/>
  <c r="H66" i="2"/>
  <c r="I296" i="2"/>
  <c r="H285" i="2"/>
  <c r="O280" i="2"/>
  <c r="F76" i="2"/>
  <c r="E98" i="2"/>
  <c r="H272" i="2"/>
  <c r="G125" i="2"/>
  <c r="Q196" i="2"/>
  <c r="Y196" i="2" s="1"/>
  <c r="M143" i="2"/>
  <c r="T143" i="2" s="1"/>
  <c r="N143" i="2"/>
  <c r="U143" i="2" s="1"/>
  <c r="W210" i="2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J286" i="2"/>
  <c r="H275" i="2"/>
  <c r="E234" i="2"/>
  <c r="F148" i="2"/>
  <c r="D212" i="2"/>
  <c r="J22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I56" i="2"/>
  <c r="P225" i="2"/>
  <c r="H117" i="2"/>
  <c r="G170" i="2"/>
  <c r="P5" i="24"/>
  <c r="P2" i="24"/>
  <c r="Q2" i="24"/>
  <c r="Q3" i="24"/>
  <c r="P4" i="24"/>
  <c r="P3" i="24"/>
  <c r="M205" i="2"/>
  <c r="T205" i="2" s="1"/>
  <c r="I285" i="2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P118" i="2"/>
  <c r="J118" i="2"/>
  <c r="E249" i="2"/>
  <c r="M114" i="2"/>
  <c r="T114" i="2" s="1"/>
  <c r="I220" i="2"/>
  <c r="N116" i="2"/>
  <c r="U116" i="2" s="1"/>
  <c r="Q172" i="2"/>
  <c r="Y172" i="2" s="1"/>
  <c r="H229" i="2"/>
  <c r="M285" i="2"/>
  <c r="T285" i="2" s="1"/>
  <c r="M173" i="2"/>
  <c r="T173" i="2" s="1"/>
  <c r="N106" i="2"/>
  <c r="U106" i="2" s="1"/>
  <c r="M132" i="2"/>
  <c r="T132" i="2" s="1"/>
  <c r="E279" i="2"/>
  <c r="H274" i="2"/>
  <c r="E214" i="2"/>
  <c r="N132" i="2"/>
  <c r="U132" i="2" s="1"/>
  <c r="J125" i="2"/>
  <c r="N187" i="2"/>
  <c r="U187" i="2" s="1"/>
  <c r="N206" i="2"/>
  <c r="U206" i="2" s="1"/>
  <c r="D290" i="2"/>
  <c r="H251" i="2"/>
  <c r="J199" i="2"/>
  <c r="F249" i="2"/>
  <c r="O256" i="2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G252" i="2"/>
  <c r="H252" i="2"/>
  <c r="O247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N280" i="2"/>
  <c r="U280" i="2" s="1"/>
  <c r="O148" i="2"/>
  <c r="M248" i="2"/>
  <c r="T248" i="2" s="1"/>
  <c r="G148" i="2"/>
  <c r="M292" i="2"/>
  <c r="T292" i="2" s="1"/>
  <c r="P108" i="2"/>
  <c r="N238" i="2"/>
  <c r="U238" i="2" s="1"/>
  <c r="M186" i="2"/>
  <c r="T186" i="2" s="1"/>
  <c r="O108" i="2"/>
  <c r="Q188" i="2"/>
  <c r="Y188" i="2" s="1"/>
  <c r="J121" i="2"/>
  <c r="H99" i="2"/>
  <c r="I301" i="2"/>
  <c r="J230" i="2"/>
  <c r="M261" i="2"/>
  <c r="T261" i="2" s="1"/>
  <c r="N303" i="2"/>
  <c r="U303" i="2" s="1"/>
  <c r="J304" i="2"/>
  <c r="M223" i="2"/>
  <c r="T223" i="2" s="1"/>
  <c r="H242" i="2"/>
  <c r="M98" i="2"/>
  <c r="T98" i="2" s="1"/>
  <c r="J203" i="2"/>
  <c r="F142" i="2"/>
  <c r="H111" i="2"/>
  <c r="I121" i="2"/>
  <c r="V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Q102" i="2"/>
  <c r="Y102" i="2" s="1"/>
  <c r="F174" i="2"/>
  <c r="G168" i="2"/>
  <c r="Q153" i="2"/>
  <c r="Y153" i="2" s="1"/>
  <c r="G203" i="2"/>
  <c r="M245" i="2"/>
  <c r="T245" i="2" s="1"/>
  <c r="H230" i="2"/>
  <c r="M269" i="2"/>
  <c r="T269" i="2" s="1"/>
  <c r="Q261" i="2"/>
  <c r="Y261" i="2" s="1"/>
  <c r="H243" i="2"/>
  <c r="E242" i="2"/>
  <c r="P98" i="2"/>
  <c r="X98" i="2" s="1"/>
  <c r="J152" i="2"/>
  <c r="E235" i="2"/>
  <c r="M212" i="2"/>
  <c r="T212" i="2" s="1"/>
  <c r="E142" i="2"/>
  <c r="P138" i="2"/>
  <c r="J130" i="2"/>
  <c r="N113" i="2"/>
  <c r="U113" i="2" s="1"/>
  <c r="D91" i="2"/>
  <c r="E189" i="2"/>
  <c r="E176" i="2"/>
  <c r="I137" i="2"/>
  <c r="D182" i="2"/>
  <c r="G220" i="2"/>
  <c r="F207" i="2"/>
  <c r="G227" i="2"/>
  <c r="M163" i="2"/>
  <c r="T163" i="2" s="1"/>
  <c r="J94" i="2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F245" i="2"/>
  <c r="O298" i="2"/>
  <c r="P230" i="2"/>
  <c r="Q292" i="2"/>
  <c r="Y292" i="2" s="1"/>
  <c r="O156" i="2"/>
  <c r="E182" i="2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I242" i="2"/>
  <c r="J187" i="2"/>
  <c r="X187" i="2" s="1"/>
  <c r="J146" i="2"/>
  <c r="M156" i="2"/>
  <c r="T156" i="2" s="1"/>
  <c r="G188" i="2"/>
  <c r="E78" i="2"/>
  <c r="D73" i="2"/>
  <c r="D144" i="2"/>
  <c r="X198" i="2"/>
  <c r="N97" i="2"/>
  <c r="U97" i="2" s="1"/>
  <c r="F263" i="2"/>
  <c r="I83" i="2"/>
  <c r="F170" i="2"/>
  <c r="F303" i="2"/>
  <c r="Q186" i="2"/>
  <c r="Y186" i="2" s="1"/>
  <c r="F71" i="2"/>
  <c r="D156" i="2"/>
  <c r="M266" i="2"/>
  <c r="T266" i="2" s="1"/>
  <c r="Q107" i="2"/>
  <c r="Y107" i="2" s="1"/>
  <c r="G156" i="2"/>
  <c r="Q161" i="2"/>
  <c r="Y161" i="2" s="1"/>
  <c r="O96" i="2"/>
  <c r="G264" i="2"/>
  <c r="M304" i="2"/>
  <c r="T304" i="2" s="1"/>
  <c r="P103" i="2"/>
  <c r="H81" i="2"/>
  <c r="I81" i="2"/>
  <c r="E303" i="2"/>
  <c r="O90" i="2"/>
  <c r="J108" i="2"/>
  <c r="J66" i="2"/>
  <c r="H125" i="2"/>
  <c r="O67" i="2"/>
  <c r="O132" i="2"/>
  <c r="Q81" i="2"/>
  <c r="Y81" i="2" s="1"/>
  <c r="H124" i="2"/>
  <c r="Q95" i="2"/>
  <c r="Y95" i="2" s="1"/>
  <c r="G186" i="2"/>
  <c r="N186" i="2"/>
  <c r="U186" i="2" s="1"/>
  <c r="M254" i="2"/>
  <c r="T254" i="2" s="1"/>
  <c r="F56" i="2"/>
  <c r="G297" i="2"/>
  <c r="N297" i="2"/>
  <c r="U297" i="2" s="1"/>
  <c r="Q16" i="11"/>
  <c r="D56" i="2"/>
  <c r="Q301" i="2"/>
  <c r="Y301" i="2" s="1"/>
  <c r="I303" i="2"/>
  <c r="M301" i="2"/>
  <c r="T301" i="2" s="1"/>
  <c r="E301" i="2"/>
  <c r="F276" i="2"/>
  <c r="M276" i="2"/>
  <c r="T276" i="2" s="1"/>
  <c r="I9" i="1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N54" i="2"/>
  <c r="G54" i="2"/>
  <c r="J300" i="2"/>
  <c r="X300" i="2" s="1"/>
  <c r="D30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M158" i="2"/>
  <c r="T158" i="2" s="1"/>
  <c r="F158" i="2"/>
  <c r="O117" i="2"/>
  <c r="I119" i="2"/>
  <c r="M55" i="2"/>
  <c r="O55" i="2"/>
  <c r="D266" i="2"/>
  <c r="E266" i="2"/>
  <c r="P261" i="2"/>
  <c r="X261" i="2" s="1"/>
  <c r="D208" i="2"/>
  <c r="E203" i="2"/>
  <c r="J119" i="2"/>
  <c r="E93" i="2"/>
  <c r="D93" i="2"/>
  <c r="N295" i="2"/>
  <c r="U295" i="2" s="1"/>
  <c r="J285" i="2"/>
  <c r="P179" i="2"/>
  <c r="F288" i="2"/>
  <c r="E171" i="2"/>
  <c r="I233" i="2"/>
  <c r="N231" i="2"/>
  <c r="U231" i="2" s="1"/>
  <c r="N184" i="2"/>
  <c r="U184" i="2" s="1"/>
  <c r="O184" i="2"/>
  <c r="O179" i="2"/>
  <c r="E165" i="2"/>
  <c r="O165" i="2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E205" i="2"/>
  <c r="H160" i="2"/>
  <c r="V160" i="2" s="1"/>
  <c r="D160" i="2"/>
  <c r="P194" i="2"/>
  <c r="I114" i="2"/>
  <c r="D270" i="2"/>
  <c r="E244" i="2"/>
  <c r="H244" i="2"/>
  <c r="I226" i="2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D165" i="2"/>
  <c r="D298" i="2"/>
  <c r="F291" i="2"/>
  <c r="F284" i="2"/>
  <c r="E284" i="2"/>
  <c r="M253" i="2"/>
  <c r="T253" i="2" s="1"/>
  <c r="P253" i="2"/>
  <c r="M239" i="2"/>
  <c r="T239" i="2" s="1"/>
  <c r="N237" i="2"/>
  <c r="U237" i="2" s="1"/>
  <c r="G237" i="2"/>
  <c r="I237" i="2"/>
  <c r="H235" i="2"/>
  <c r="F235" i="2"/>
  <c r="D171" i="2"/>
  <c r="M272" i="2"/>
  <c r="T272" i="2" s="1"/>
  <c r="Q272" i="2"/>
  <c r="Y272" i="2" s="1"/>
  <c r="F195" i="2"/>
  <c r="M195" i="2"/>
  <c r="T195" i="2" s="1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I108" i="2"/>
  <c r="M106" i="2"/>
  <c r="T106" i="2" s="1"/>
  <c r="D106" i="2"/>
  <c r="I103" i="2"/>
  <c r="O103" i="2"/>
  <c r="H101" i="2"/>
  <c r="J270" i="2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Q147" i="2"/>
  <c r="Y147" i="2" s="1"/>
  <c r="I293" i="2"/>
  <c r="Q222" i="2"/>
  <c r="Y222" i="2" s="1"/>
  <c r="O222" i="2"/>
  <c r="N272" i="2"/>
  <c r="U272" i="2" s="1"/>
  <c r="O272" i="2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H212" i="2"/>
  <c r="N147" i="2"/>
  <c r="U147" i="2" s="1"/>
  <c r="P215" i="2"/>
  <c r="X215" i="2" s="1"/>
  <c r="G205" i="2"/>
  <c r="I228" i="2"/>
  <c r="O195" i="2"/>
  <c r="M244" i="2"/>
  <c r="T244" i="2" s="1"/>
  <c r="I268" i="2"/>
  <c r="P285" i="2"/>
  <c r="J174" i="2"/>
  <c r="N163" i="2"/>
  <c r="U163" i="2" s="1"/>
  <c r="I223" i="2"/>
  <c r="N285" i="2"/>
  <c r="U285" i="2" s="1"/>
  <c r="H83" i="2"/>
  <c r="D278" i="2"/>
  <c r="I247" i="2"/>
  <c r="E245" i="2"/>
  <c r="J238" i="2"/>
  <c r="E201" i="2"/>
  <c r="H98" i="2"/>
  <c r="F98" i="2"/>
  <c r="O58" i="2"/>
  <c r="E58" i="2"/>
  <c r="N58" i="2"/>
  <c r="J92" i="2"/>
  <c r="X92" i="2" s="1"/>
  <c r="G92" i="2"/>
  <c r="P114" i="2"/>
  <c r="N114" i="2"/>
  <c r="U114" i="2" s="1"/>
  <c r="E114" i="2"/>
  <c r="Q218" i="2"/>
  <c r="Y218" i="2" s="1"/>
  <c r="N218" i="2"/>
  <c r="U218" i="2" s="1"/>
  <c r="F218" i="2"/>
  <c r="V75" i="2"/>
  <c r="W75" i="2"/>
  <c r="F96" i="2"/>
  <c r="Q5" i="25"/>
  <c r="P5" i="25"/>
  <c r="Y72" i="2"/>
  <c r="U296" i="2"/>
  <c r="Q3" i="25"/>
  <c r="Q2" i="25"/>
  <c r="P2" i="25"/>
  <c r="W129" i="2"/>
  <c r="P12" i="11"/>
  <c r="P243" i="2"/>
  <c r="H213" i="2"/>
  <c r="J96" i="2"/>
  <c r="Q231" i="2"/>
  <c r="Y231" i="2" s="1"/>
  <c r="H282" i="2"/>
  <c r="Q275" i="2"/>
  <c r="Y275" i="2" s="1"/>
  <c r="J233" i="2"/>
  <c r="E186" i="2"/>
  <c r="E131" i="2"/>
  <c r="D74" i="2"/>
  <c r="E304" i="2"/>
  <c r="M277" i="2"/>
  <c r="T277" i="2"/>
  <c r="I240" i="2"/>
  <c r="H231" i="2"/>
  <c r="E274" i="2"/>
  <c r="D243" i="2"/>
  <c r="D191" i="2"/>
  <c r="O270" i="2"/>
  <c r="P265" i="2"/>
  <c r="O71" i="2"/>
  <c r="D273" i="2"/>
  <c r="Q285" i="2"/>
  <c r="Y285" i="2" s="1"/>
  <c r="D258" i="2"/>
  <c r="H184" i="2"/>
  <c r="D98" i="2"/>
  <c r="O255" i="2"/>
  <c r="M71" i="2"/>
  <c r="G274" i="2"/>
  <c r="N232" i="2"/>
  <c r="U232" i="2" s="1"/>
  <c r="F78" i="2"/>
  <c r="M68" i="2"/>
  <c r="J234" i="2"/>
  <c r="G244" i="2"/>
  <c r="O265" i="2"/>
  <c r="M255" i="2"/>
  <c r="T255" i="2" s="1"/>
  <c r="Q232" i="2"/>
  <c r="Y232" i="2" s="1"/>
  <c r="H233" i="2"/>
  <c r="O283" i="2"/>
  <c r="D65" i="2"/>
  <c r="O163" i="2"/>
  <c r="E220" i="2"/>
  <c r="D76" i="2"/>
  <c r="J302" i="2"/>
  <c r="J85" i="2"/>
  <c r="D231" i="2"/>
  <c r="J275" i="2"/>
  <c r="Q298" i="2"/>
  <c r="Y298" i="2" s="1"/>
  <c r="I158" i="2"/>
  <c r="G121" i="2"/>
  <c r="P156" i="2"/>
  <c r="X156" i="2" s="1"/>
  <c r="G258" i="2"/>
  <c r="H156" i="2"/>
  <c r="E156" i="2"/>
  <c r="I178" i="2"/>
  <c r="P148" i="2"/>
  <c r="H148" i="2"/>
  <c r="Q148" i="2"/>
  <c r="Y148" i="2" s="1"/>
  <c r="I265" i="2"/>
  <c r="D263" i="2"/>
  <c r="J263" i="2"/>
  <c r="M176" i="2"/>
  <c r="T176" i="2" s="1"/>
  <c r="F176" i="2"/>
  <c r="H176" i="2"/>
  <c r="G158" i="2"/>
  <c r="N158" i="2"/>
  <c r="U158" i="2" s="1"/>
  <c r="E158" i="2"/>
  <c r="D158" i="2"/>
  <c r="Q158" i="2"/>
  <c r="Y158" i="2" s="1"/>
  <c r="J158" i="2"/>
  <c r="H299" i="2"/>
  <c r="J299" i="2"/>
  <c r="D299" i="2"/>
  <c r="F206" i="2"/>
  <c r="I208" i="2"/>
  <c r="Q206" i="2"/>
  <c r="Y206" i="2" s="1"/>
  <c r="J206" i="2"/>
  <c r="X206" i="2" s="1"/>
  <c r="E79" i="2"/>
  <c r="M79" i="2"/>
  <c r="T79" i="2" s="1"/>
  <c r="D79" i="2"/>
  <c r="I79" i="2"/>
  <c r="P79" i="2"/>
  <c r="P294" i="2"/>
  <c r="J294" i="2"/>
  <c r="F294" i="2"/>
  <c r="D260" i="2"/>
  <c r="P260" i="2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W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Q224" i="2"/>
  <c r="Y224" i="2" s="1"/>
  <c r="N199" i="2"/>
  <c r="U199" i="2" s="1"/>
  <c r="P199" i="2"/>
  <c r="F199" i="2"/>
  <c r="O199" i="2"/>
  <c r="D199" i="2"/>
  <c r="F102" i="2"/>
  <c r="G102" i="2"/>
  <c r="E102" i="2"/>
  <c r="O102" i="2"/>
  <c r="N102" i="2"/>
  <c r="U102" i="2" s="1"/>
  <c r="P102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P73" i="2"/>
  <c r="I70" i="2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Q255" i="2"/>
  <c r="Y255" i="2" s="1"/>
  <c r="Q229" i="2"/>
  <c r="Y229" i="2" s="1"/>
  <c r="D96" i="2"/>
  <c r="O205" i="2"/>
  <c r="H255" i="2"/>
  <c r="J242" i="2"/>
  <c r="X242" i="2" s="1"/>
  <c r="J171" i="2"/>
  <c r="Q116" i="2"/>
  <c r="Y116" i="2" s="1"/>
  <c r="H302" i="2"/>
  <c r="J303" i="2"/>
  <c r="H192" i="2"/>
  <c r="G298" i="2"/>
  <c r="G255" i="2"/>
  <c r="O291" i="2"/>
  <c r="I244" i="2"/>
  <c r="N200" i="2"/>
  <c r="U200" i="2" s="1"/>
  <c r="O189" i="2"/>
  <c r="M200" i="2"/>
  <c r="T200" i="2" s="1"/>
  <c r="P298" i="2"/>
  <c r="Q291" i="2"/>
  <c r="Y291" i="2" s="1"/>
  <c r="H257" i="2"/>
  <c r="I202" i="2"/>
  <c r="I235" i="2"/>
  <c r="W235" i="2" s="1"/>
  <c r="I300" i="2"/>
  <c r="D244" i="2"/>
  <c r="F227" i="2"/>
  <c r="F223" i="2"/>
  <c r="I76" i="2"/>
  <c r="E300" i="2"/>
  <c r="Q216" i="2"/>
  <c r="Y216" i="2" s="1"/>
  <c r="Q12" i="11"/>
  <c r="AK12" i="25"/>
  <c r="AK9" i="25"/>
  <c r="R38" i="2"/>
  <c r="AD38" i="2" s="1"/>
  <c r="C4" i="6"/>
  <c r="U224" i="2"/>
  <c r="J167" i="2"/>
  <c r="D69" i="2"/>
  <c r="J265" i="2"/>
  <c r="I162" i="2"/>
  <c r="I169" i="2"/>
  <c r="N276" i="2"/>
  <c r="U276" i="2" s="1"/>
  <c r="Q276" i="2"/>
  <c r="Y276" i="2" s="1"/>
  <c r="J276" i="2"/>
  <c r="E276" i="2"/>
  <c r="D295" i="2"/>
  <c r="M295" i="2"/>
  <c r="T295" i="2" s="1"/>
  <c r="F295" i="2"/>
  <c r="O295" i="2"/>
  <c r="E295" i="2"/>
  <c r="P290" i="2"/>
  <c r="J290" i="2"/>
  <c r="O146" i="2"/>
  <c r="E146" i="2"/>
  <c r="P101" i="2"/>
  <c r="J101" i="2"/>
  <c r="N101" i="2"/>
  <c r="U101" i="2" s="1"/>
  <c r="O101" i="2"/>
  <c r="D101" i="2"/>
  <c r="G101" i="2"/>
  <c r="E101" i="2"/>
  <c r="P258" i="2"/>
  <c r="H258" i="2"/>
  <c r="O258" i="2"/>
  <c r="I260" i="2"/>
  <c r="Y235" i="2"/>
  <c r="P295" i="2"/>
  <c r="I267" i="2"/>
  <c r="M265" i="2"/>
  <c r="T265" i="2" s="1"/>
  <c r="N160" i="2"/>
  <c r="U160" i="2" s="1"/>
  <c r="G160" i="2"/>
  <c r="F160" i="2"/>
  <c r="D120" i="2"/>
  <c r="F120" i="2"/>
  <c r="E120" i="2"/>
  <c r="J120" i="2"/>
  <c r="O120" i="2"/>
  <c r="I122" i="2"/>
  <c r="P7" i="11"/>
  <c r="Q13" i="11"/>
  <c r="P233" i="2"/>
  <c r="M233" i="2"/>
  <c r="T233" i="2" s="1"/>
  <c r="G233" i="2"/>
  <c r="I66" i="2"/>
  <c r="D237" i="2"/>
  <c r="M226" i="2"/>
  <c r="T226" i="2" s="1"/>
  <c r="P131" i="2"/>
  <c r="P272" i="2"/>
  <c r="G300" i="2"/>
  <c r="O288" i="2"/>
  <c r="E216" i="2"/>
  <c r="J134" i="2"/>
  <c r="X134" i="2" s="1"/>
  <c r="S27" i="2"/>
  <c r="F69" i="5"/>
  <c r="F27" i="5"/>
  <c r="I7" i="9"/>
  <c r="D7" i="9"/>
  <c r="T174" i="2"/>
  <c r="T136" i="2"/>
  <c r="O11" i="9"/>
  <c r="O6" i="9"/>
  <c r="G46" i="6"/>
  <c r="E9" i="9"/>
  <c r="E8" i="9"/>
  <c r="D9" i="9"/>
  <c r="D8" i="9"/>
  <c r="D42" i="6"/>
  <c r="E60" i="6"/>
  <c r="E42" i="6"/>
  <c r="B60" i="6"/>
  <c r="D60" i="6"/>
  <c r="V28" i="2"/>
  <c r="S22" i="2"/>
  <c r="S33" i="2"/>
  <c r="R34" i="2"/>
  <c r="U77" i="2"/>
  <c r="T210" i="2"/>
  <c r="U252" i="2"/>
  <c r="T80" i="2"/>
  <c r="Y269" i="2"/>
  <c r="U287" i="2"/>
  <c r="T252" i="2"/>
  <c r="T113" i="2"/>
  <c r="U269" i="2"/>
  <c r="V153" i="2"/>
  <c r="U227" i="2"/>
  <c r="U222" i="2"/>
  <c r="Y234" i="2"/>
  <c r="T298" i="2"/>
  <c r="W213" i="2"/>
  <c r="X106" i="2"/>
  <c r="Y84" i="2"/>
  <c r="Q78" i="9"/>
  <c r="R49" i="2"/>
  <c r="S49" i="2"/>
  <c r="AB49" i="2"/>
  <c r="S7" i="19"/>
  <c r="Q6" i="19"/>
  <c r="Q2" i="20"/>
  <c r="Q2" i="10"/>
  <c r="Q3" i="22"/>
  <c r="P2" i="20"/>
  <c r="R27" i="2"/>
  <c r="AB27" i="2"/>
  <c r="AG27" i="2"/>
  <c r="O80" i="9"/>
  <c r="Q23" i="12"/>
  <c r="Z2" i="25"/>
  <c r="Q17" i="12"/>
  <c r="Q4" i="16"/>
  <c r="S4" i="2"/>
  <c r="AB4" i="2"/>
  <c r="AG4" i="2"/>
  <c r="Z5" i="25"/>
  <c r="P7" i="16"/>
  <c r="Q4" i="24"/>
  <c r="Z4" i="24"/>
  <c r="AC2" i="25"/>
  <c r="Q16" i="10"/>
  <c r="P2" i="12"/>
  <c r="Q2" i="12"/>
  <c r="AB2" i="12"/>
  <c r="Q4" i="19"/>
  <c r="Q3" i="18"/>
  <c r="P4" i="17"/>
  <c r="P3" i="22"/>
  <c r="Q15" i="10"/>
  <c r="P18" i="10"/>
  <c r="S25" i="2"/>
  <c r="AB25" i="2" s="1"/>
  <c r="AD25" i="2"/>
  <c r="P18" i="12"/>
  <c r="P23" i="12"/>
  <c r="R2" i="25"/>
  <c r="Q2" i="16"/>
  <c r="P3" i="17"/>
  <c r="P2" i="22"/>
  <c r="Y2" i="25"/>
  <c r="Q3" i="10"/>
  <c r="AE7" i="2"/>
  <c r="AF7" i="2"/>
  <c r="AA14" i="2"/>
  <c r="P15" i="12"/>
  <c r="Q21" i="10"/>
  <c r="Q18" i="12"/>
  <c r="Q3" i="16"/>
  <c r="P16" i="10"/>
  <c r="Q19" i="10"/>
  <c r="Q4" i="18"/>
  <c r="S17" i="2"/>
  <c r="R9" i="2"/>
  <c r="AB9" i="2" s="1"/>
  <c r="Q16" i="12"/>
  <c r="P24" i="12"/>
  <c r="Q9" i="16"/>
  <c r="Q3" i="19"/>
  <c r="R22" i="2"/>
  <c r="AE22" i="2" s="1"/>
  <c r="P2" i="16"/>
  <c r="P4" i="25"/>
  <c r="Q15" i="25"/>
  <c r="P9" i="16"/>
  <c r="Q22" i="10"/>
  <c r="AE27" i="2"/>
  <c r="P3" i="12"/>
  <c r="Q22" i="12"/>
  <c r="P5" i="16"/>
  <c r="R43" i="2"/>
  <c r="R35" i="2"/>
  <c r="Z35" i="2" s="1"/>
  <c r="AC35" i="2"/>
  <c r="AH35" i="2"/>
  <c r="R8" i="2"/>
  <c r="P15" i="10"/>
  <c r="Q20" i="10"/>
  <c r="P17" i="12"/>
  <c r="Q19" i="12"/>
  <c r="P19" i="12"/>
  <c r="Q17" i="10"/>
  <c r="P17" i="10"/>
  <c r="P25" i="10"/>
  <c r="Q25" i="10"/>
  <c r="AA10" i="2"/>
  <c r="AD10" i="2"/>
  <c r="AC10" i="2"/>
  <c r="AH10" i="2"/>
  <c r="Q24" i="12"/>
  <c r="P2" i="19"/>
  <c r="Q2" i="19"/>
  <c r="P3" i="10"/>
  <c r="Q5" i="19"/>
  <c r="P5" i="19"/>
  <c r="Y3" i="24"/>
  <c r="Z3" i="24"/>
  <c r="P4" i="18"/>
  <c r="P20" i="10"/>
  <c r="P16" i="12"/>
  <c r="P24" i="10"/>
  <c r="Q24" i="10"/>
  <c r="R3" i="24"/>
  <c r="P8" i="16"/>
  <c r="Q8" i="16"/>
  <c r="Q3" i="17"/>
  <c r="Q3" i="20"/>
  <c r="P3" i="20"/>
  <c r="P3" i="19"/>
  <c r="Q15" i="12"/>
  <c r="P23" i="10"/>
  <c r="Q25" i="12"/>
  <c r="P6" i="16"/>
  <c r="S36" i="2"/>
  <c r="P3" i="18"/>
  <c r="AE14" i="2"/>
  <c r="AI14" i="2"/>
  <c r="Q18" i="10"/>
  <c r="Q20" i="12"/>
  <c r="Q4" i="17"/>
  <c r="P6" i="19"/>
  <c r="P3" i="25"/>
  <c r="R2" i="24"/>
  <c r="S41" i="2"/>
  <c r="Z7" i="2"/>
  <c r="P2" i="10"/>
  <c r="X2" i="10"/>
  <c r="P4" i="19"/>
  <c r="Q2" i="22"/>
  <c r="R51" i="2"/>
  <c r="AB51" i="2" s="1"/>
  <c r="Q2" i="17"/>
  <c r="Q2" i="18"/>
  <c r="S19" i="2"/>
  <c r="Z19" i="2"/>
  <c r="P19" i="10"/>
  <c r="P2" i="17"/>
  <c r="P2" i="18"/>
  <c r="Z2" i="18"/>
  <c r="Q3" i="12"/>
  <c r="P22" i="12"/>
  <c r="Q5" i="24"/>
  <c r="AC5" i="24"/>
  <c r="R5" i="25"/>
  <c r="Q21" i="12"/>
  <c r="P21" i="12"/>
  <c r="P3" i="16"/>
  <c r="Q23" i="10"/>
  <c r="Q7" i="16"/>
  <c r="S50" i="2"/>
  <c r="Q4" i="25"/>
  <c r="AD5" i="25"/>
  <c r="P22" i="10"/>
  <c r="S51" i="2"/>
  <c r="Q6" i="16"/>
  <c r="Y5" i="25"/>
  <c r="Z2" i="24"/>
  <c r="P4" i="16"/>
  <c r="AA7" i="2"/>
  <c r="AI3" i="24"/>
  <c r="AJ3" i="24"/>
  <c r="S43" i="2"/>
  <c r="AB2" i="24"/>
  <c r="AG2" i="24"/>
  <c r="AB14" i="2"/>
  <c r="AG14" i="2" s="1"/>
  <c r="P20" i="12"/>
  <c r="AA11" i="2"/>
  <c r="P21" i="10"/>
  <c r="P25" i="12"/>
  <c r="Q5" i="16"/>
  <c r="Y2" i="24"/>
  <c r="Q3" i="23"/>
  <c r="AB2" i="25"/>
  <c r="AG2" i="25"/>
  <c r="AA2" i="25"/>
  <c r="AF2" i="25"/>
  <c r="R5" i="23"/>
  <c r="Q5" i="23"/>
  <c r="AD2" i="24"/>
  <c r="AH2" i="24"/>
  <c r="AC3" i="24"/>
  <c r="AA3" i="24"/>
  <c r="AF3" i="24"/>
  <c r="AC5" i="25"/>
  <c r="AB5" i="25"/>
  <c r="AG5" i="25"/>
  <c r="AI2" i="24"/>
  <c r="AA5" i="25"/>
  <c r="AF5" i="25"/>
  <c r="AG100" i="15"/>
  <c r="G63" i="6"/>
  <c r="H63" i="6"/>
  <c r="F63" i="6"/>
  <c r="P11" i="9"/>
  <c r="P13" i="9"/>
  <c r="B43" i="6"/>
  <c r="D63" i="6"/>
  <c r="AG85" i="15"/>
  <c r="C63" i="6"/>
  <c r="AA2" i="24"/>
  <c r="AF2" i="24"/>
  <c r="AB3" i="24"/>
  <c r="AG3" i="24"/>
  <c r="AG86" i="15"/>
  <c r="Q73" i="9"/>
  <c r="P5" i="9"/>
  <c r="P6" i="9"/>
  <c r="B44" i="6"/>
  <c r="O13" i="9"/>
  <c r="G44" i="6"/>
  <c r="F44" i="6"/>
  <c r="AG87" i="15"/>
  <c r="AC2" i="24"/>
  <c r="AG88" i="15"/>
  <c r="P73" i="9"/>
  <c r="AD3" i="24"/>
  <c r="AG89" i="15"/>
  <c r="O73" i="9"/>
  <c r="AG90" i="15"/>
  <c r="B63" i="6"/>
  <c r="AG91" i="15"/>
  <c r="R2" i="23"/>
  <c r="AG92" i="15"/>
  <c r="R4" i="23"/>
  <c r="AG93" i="15"/>
  <c r="Y14" i="9"/>
  <c r="Y18" i="9"/>
  <c r="Q5" i="9"/>
  <c r="Q6" i="9"/>
  <c r="C44" i="6"/>
  <c r="AG94" i="15"/>
  <c r="S11" i="9"/>
  <c r="S13" i="9"/>
  <c r="E43" i="6"/>
  <c r="G36" i="6"/>
  <c r="AG95" i="15"/>
  <c r="R5" i="9"/>
  <c r="R6" i="9"/>
  <c r="D44" i="6"/>
  <c r="Q77" i="9"/>
  <c r="AG96" i="15"/>
  <c r="Q4" i="23"/>
  <c r="R11" i="9"/>
  <c r="R13" i="9"/>
  <c r="D43" i="6"/>
  <c r="AG97" i="15"/>
  <c r="AG98" i="15"/>
  <c r="S5" i="9"/>
  <c r="S6" i="9"/>
  <c r="E44" i="6"/>
  <c r="Q2" i="23"/>
  <c r="AD2" i="25"/>
  <c r="AI5" i="25"/>
  <c r="AJ5" i="25"/>
  <c r="AG99" i="15"/>
  <c r="R3" i="23"/>
  <c r="B25" i="6"/>
  <c r="Q11" i="9"/>
  <c r="Q13" i="9"/>
  <c r="C43" i="6"/>
  <c r="E63" i="6"/>
  <c r="J168" i="2"/>
  <c r="N168" i="2"/>
  <c r="U168" i="2" s="1"/>
  <c r="N293" i="2"/>
  <c r="U293" i="2" s="1"/>
  <c r="P8" i="11"/>
  <c r="R13" i="1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J65" i="2"/>
  <c r="H303" i="2"/>
  <c r="P303" i="2"/>
  <c r="F251" i="2"/>
  <c r="M251" i="2"/>
  <c r="T251" i="2" s="1"/>
  <c r="P251" i="2"/>
  <c r="Q239" i="2"/>
  <c r="Y239" i="2" s="1"/>
  <c r="E239" i="2"/>
  <c r="H239" i="2"/>
  <c r="G229" i="2"/>
  <c r="I231" i="2"/>
  <c r="M165" i="2"/>
  <c r="T165" i="2" s="1"/>
  <c r="Q165" i="2"/>
  <c r="Y165" i="2"/>
  <c r="J165" i="2"/>
  <c r="P155" i="2"/>
  <c r="M155" i="2"/>
  <c r="T155" i="2" s="1"/>
  <c r="J131" i="2"/>
  <c r="Q131" i="2"/>
  <c r="Y131" i="2" s="1"/>
  <c r="O106" i="2"/>
  <c r="G106" i="2"/>
  <c r="Q106" i="2"/>
  <c r="Y106" i="2" s="1"/>
  <c r="H207" i="2"/>
  <c r="O207" i="2"/>
  <c r="J246" i="2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O182" i="2"/>
  <c r="W182" i="2" s="1"/>
  <c r="N123" i="2"/>
  <c r="U123" i="2" s="1"/>
  <c r="P123" i="2"/>
  <c r="G123" i="2"/>
  <c r="E199" i="2"/>
  <c r="M199" i="2"/>
  <c r="T199" i="2" s="1"/>
  <c r="Q199" i="2"/>
  <c r="Y199" i="2" s="1"/>
  <c r="M100" i="2"/>
  <c r="T100" i="2" s="1"/>
  <c r="Q100" i="2"/>
  <c r="Y100" i="2" s="1"/>
  <c r="G293" i="2"/>
  <c r="G238" i="2"/>
  <c r="H238" i="2"/>
  <c r="W161" i="2"/>
  <c r="T144" i="2"/>
  <c r="I72" i="2"/>
  <c r="F72" i="2"/>
  <c r="M211" i="2"/>
  <c r="T211" i="2" s="1"/>
  <c r="H211" i="2"/>
  <c r="F179" i="2"/>
  <c r="N179" i="2"/>
  <c r="U179" i="2" s="1"/>
  <c r="I77" i="2"/>
  <c r="M77" i="2"/>
  <c r="T77" i="2" s="1"/>
  <c r="M231" i="2"/>
  <c r="T231" i="2" s="1"/>
  <c r="G97" i="2"/>
  <c r="Q97" i="2"/>
  <c r="Y97" i="2" s="1"/>
  <c r="O279" i="2"/>
  <c r="W279" i="2" s="1"/>
  <c r="J235" i="2"/>
  <c r="D235" i="2"/>
  <c r="N230" i="2"/>
  <c r="U230" i="2" s="1"/>
  <c r="G230" i="2"/>
  <c r="Q230" i="2"/>
  <c r="Y230" i="2" s="1"/>
  <c r="P191" i="2"/>
  <c r="E191" i="2"/>
  <c r="N191" i="2"/>
  <c r="U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P171" i="2"/>
  <c r="O171" i="2"/>
  <c r="G171" i="2"/>
  <c r="J151" i="2"/>
  <c r="X151" i="2" s="1"/>
  <c r="M151" i="2"/>
  <c r="T151" i="2" s="1"/>
  <c r="Q303" i="2"/>
  <c r="Y303" i="2" s="1"/>
  <c r="N254" i="2"/>
  <c r="U254" i="2" s="1"/>
  <c r="H254" i="2"/>
  <c r="U141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E285" i="2"/>
  <c r="P292" i="2"/>
  <c r="G249" i="2"/>
  <c r="N301" i="2"/>
  <c r="U301" i="2" s="1"/>
  <c r="Q223" i="2"/>
  <c r="Y223" i="2" s="1"/>
  <c r="AA9" i="16"/>
  <c r="AF9" i="16"/>
  <c r="AB16" i="10"/>
  <c r="AC2" i="20"/>
  <c r="AH22" i="10"/>
  <c r="AI22" i="10"/>
  <c r="AC27" i="2"/>
  <c r="AC16" i="12"/>
  <c r="Z25" i="10"/>
  <c r="AE25" i="10"/>
  <c r="D12" i="9"/>
  <c r="E12" i="9"/>
  <c r="G3" i="6"/>
  <c r="F3" i="6"/>
  <c r="I8" i="9"/>
  <c r="I9" i="9"/>
  <c r="I10" i="9"/>
  <c r="Y3" i="22"/>
  <c r="AC5" i="19"/>
  <c r="Z16" i="12"/>
  <c r="AE16" i="12"/>
  <c r="Y4" i="24"/>
  <c r="AD2" i="20"/>
  <c r="AE2" i="20"/>
  <c r="AC18" i="10"/>
  <c r="AG18" i="10"/>
  <c r="Y4" i="25"/>
  <c r="AC4" i="24"/>
  <c r="AA2" i="22"/>
  <c r="AF2" i="22"/>
  <c r="AA16" i="10"/>
  <c r="AF16" i="10"/>
  <c r="AC23" i="12"/>
  <c r="AG23" i="12"/>
  <c r="AI3" i="22"/>
  <c r="AJ3" i="22"/>
  <c r="AC2" i="17"/>
  <c r="AI7" i="2"/>
  <c r="Z18" i="10"/>
  <c r="AE18" i="10"/>
  <c r="AC16" i="10"/>
  <c r="AD16" i="10"/>
  <c r="AA2" i="16"/>
  <c r="AF2" i="16"/>
  <c r="AA2" i="20"/>
  <c r="AF2" i="20"/>
  <c r="Y3" i="18"/>
  <c r="AD9" i="16"/>
  <c r="AH9" i="16"/>
  <c r="AB2" i="20"/>
  <c r="AG2" i="20"/>
  <c r="AC9" i="16"/>
  <c r="AB16" i="12"/>
  <c r="AA25" i="10"/>
  <c r="AF25" i="10"/>
  <c r="AB2" i="17"/>
  <c r="AG2" i="17"/>
  <c r="Z2" i="12"/>
  <c r="AE2" i="12"/>
  <c r="AB15" i="12"/>
  <c r="AA2" i="18"/>
  <c r="AF2" i="18"/>
  <c r="AD49" i="2"/>
  <c r="AI9" i="16"/>
  <c r="AJ9" i="16"/>
  <c r="AA2" i="12"/>
  <c r="AF2" i="12"/>
  <c r="AA3" i="22"/>
  <c r="AF3" i="22"/>
  <c r="AB3" i="22"/>
  <c r="AG3" i="22"/>
  <c r="AI2" i="18"/>
  <c r="AJ2" i="18"/>
  <c r="Z3" i="22"/>
  <c r="AC2" i="12"/>
  <c r="AG2" i="12"/>
  <c r="AA16" i="12"/>
  <c r="AF16" i="12"/>
  <c r="AD3" i="22"/>
  <c r="AE3" i="22"/>
  <c r="R4" i="24"/>
  <c r="Y2" i="20"/>
  <c r="AD4" i="24"/>
  <c r="AE4" i="24"/>
  <c r="Z2" i="20"/>
  <c r="AI2" i="20"/>
  <c r="AJ2" i="20"/>
  <c r="R2" i="20"/>
  <c r="AC21" i="10"/>
  <c r="AA6" i="19"/>
  <c r="AF6" i="19"/>
  <c r="AD4" i="2"/>
  <c r="AI2" i="16"/>
  <c r="AJ2" i="16"/>
  <c r="AB4" i="24"/>
  <c r="AG4" i="24"/>
  <c r="AA23" i="10"/>
  <c r="AF23" i="10"/>
  <c r="Y18" i="12"/>
  <c r="AA17" i="12"/>
  <c r="AF17" i="12"/>
  <c r="AH23" i="12"/>
  <c r="AI23" i="12"/>
  <c r="Z2" i="19"/>
  <c r="AH2" i="12"/>
  <c r="AI2" i="12"/>
  <c r="AC18" i="12"/>
  <c r="AD18" i="12"/>
  <c r="AC3" i="22"/>
  <c r="AC15" i="12"/>
  <c r="AB22" i="10"/>
  <c r="AI4" i="18"/>
  <c r="AJ4" i="18"/>
  <c r="AC2" i="16"/>
  <c r="AA23" i="12"/>
  <c r="AF23" i="12"/>
  <c r="AH16" i="10"/>
  <c r="AI16" i="10"/>
  <c r="AD2" i="18"/>
  <c r="AE2" i="18"/>
  <c r="Z18" i="12"/>
  <c r="AE18" i="12"/>
  <c r="AC17" i="12"/>
  <c r="AD17" i="12"/>
  <c r="AC24" i="12"/>
  <c r="AG24" i="12"/>
  <c r="X23" i="12"/>
  <c r="Y23" i="12"/>
  <c r="R3" i="22"/>
  <c r="Y4" i="19"/>
  <c r="AB9" i="16"/>
  <c r="AG9" i="16"/>
  <c r="AB23" i="12"/>
  <c r="AH25" i="10"/>
  <c r="AI25" i="10"/>
  <c r="AH21" i="12"/>
  <c r="AI21" i="12"/>
  <c r="AH19" i="12"/>
  <c r="AI19" i="12"/>
  <c r="AH17" i="12"/>
  <c r="AI17" i="12"/>
  <c r="AH22" i="12"/>
  <c r="AI22" i="12"/>
  <c r="AA3" i="17"/>
  <c r="AF3" i="17"/>
  <c r="Y2" i="12"/>
  <c r="AB25" i="10"/>
  <c r="Z17" i="12"/>
  <c r="AE17" i="12"/>
  <c r="AA7" i="16"/>
  <c r="AF7" i="16"/>
  <c r="R2" i="18"/>
  <c r="AB2" i="18"/>
  <c r="AG2" i="18"/>
  <c r="Z24" i="10"/>
  <c r="AE24" i="10"/>
  <c r="AC5" i="16"/>
  <c r="Y2" i="16"/>
  <c r="AB2" i="16"/>
  <c r="AG2" i="16"/>
  <c r="R2" i="16"/>
  <c r="AD2" i="16"/>
  <c r="AE2" i="16"/>
  <c r="AA30" i="2"/>
  <c r="AC30" i="2"/>
  <c r="Z5" i="19"/>
  <c r="R4" i="17"/>
  <c r="AD4" i="17"/>
  <c r="AE4" i="17"/>
  <c r="AA25" i="2"/>
  <c r="AB4" i="16"/>
  <c r="AG4" i="16"/>
  <c r="AD4" i="16"/>
  <c r="AH4" i="16"/>
  <c r="Y7" i="16"/>
  <c r="AC2" i="22"/>
  <c r="AI2" i="22"/>
  <c r="AJ2" i="22"/>
  <c r="AE35" i="2"/>
  <c r="AF35" i="2"/>
  <c r="AD2" i="22"/>
  <c r="AH2" i="22"/>
  <c r="AC7" i="16"/>
  <c r="AB15" i="10"/>
  <c r="AC15" i="10"/>
  <c r="AD15" i="10"/>
  <c r="Z15" i="10"/>
  <c r="AE15" i="10"/>
  <c r="AB2" i="22"/>
  <c r="AG2" i="22"/>
  <c r="AH15" i="10"/>
  <c r="AI15" i="10"/>
  <c r="X15" i="10"/>
  <c r="Z20" i="12"/>
  <c r="AE20" i="12"/>
  <c r="Z8" i="16"/>
  <c r="Z17" i="10"/>
  <c r="AE17" i="10"/>
  <c r="AD3" i="19"/>
  <c r="AH3" i="19"/>
  <c r="AB3" i="12"/>
  <c r="AI6" i="19"/>
  <c r="AJ6" i="19"/>
  <c r="AD8" i="16"/>
  <c r="AE8" i="16"/>
  <c r="AI5" i="19"/>
  <c r="AJ5" i="19"/>
  <c r="R5" i="19"/>
  <c r="AI8" i="16"/>
  <c r="AJ8" i="16"/>
  <c r="AH20" i="12"/>
  <c r="AI20" i="12"/>
  <c r="AH18" i="12"/>
  <c r="AI18" i="12"/>
  <c r="X19" i="10"/>
  <c r="Z4" i="2"/>
  <c r="AA24" i="12"/>
  <c r="AF24" i="12"/>
  <c r="AC6" i="19"/>
  <c r="AH24" i="12"/>
  <c r="AI24" i="12"/>
  <c r="AH17" i="10"/>
  <c r="AI17" i="10"/>
  <c r="AC8" i="16"/>
  <c r="Z24" i="12"/>
  <c r="AE24" i="12"/>
  <c r="X2" i="12"/>
  <c r="Z2" i="17"/>
  <c r="AC24" i="10"/>
  <c r="AG24" i="10"/>
  <c r="AA5" i="19"/>
  <c r="AF5" i="19"/>
  <c r="R2" i="22"/>
  <c r="AD5" i="19"/>
  <c r="AH5" i="19"/>
  <c r="X20" i="10"/>
  <c r="AA8" i="16"/>
  <c r="AF8" i="16"/>
  <c r="R8" i="16"/>
  <c r="Y25" i="10"/>
  <c r="AB24" i="12"/>
  <c r="Y15" i="10"/>
  <c r="AH3" i="12"/>
  <c r="AI3" i="12"/>
  <c r="AC3" i="19"/>
  <c r="AA20" i="10"/>
  <c r="AF20" i="10"/>
  <c r="AE51" i="2"/>
  <c r="AF51" i="2"/>
  <c r="Z23" i="10"/>
  <c r="AE23" i="10"/>
  <c r="AB25" i="12"/>
  <c r="AB5" i="19"/>
  <c r="AG5" i="19"/>
  <c r="Z23" i="12"/>
  <c r="AE23" i="12"/>
  <c r="AC19" i="12"/>
  <c r="AD19" i="12"/>
  <c r="AB19" i="12"/>
  <c r="AB5" i="24"/>
  <c r="AG5" i="24"/>
  <c r="AC22" i="12"/>
  <c r="AG22" i="12"/>
  <c r="AD5" i="16"/>
  <c r="AE5" i="16"/>
  <c r="AA3" i="12"/>
  <c r="AF3" i="12"/>
  <c r="AA22" i="10"/>
  <c r="AF22" i="10"/>
  <c r="AA22" i="12"/>
  <c r="AF22" i="12"/>
  <c r="AD3" i="18"/>
  <c r="AE3" i="18"/>
  <c r="AB20" i="10"/>
  <c r="AC23" i="10"/>
  <c r="AD23" i="10"/>
  <c r="AI3" i="18"/>
  <c r="AJ3" i="18"/>
  <c r="AA4" i="17"/>
  <c r="AF4" i="17"/>
  <c r="AE19" i="2"/>
  <c r="AF19" i="2"/>
  <c r="X22" i="12"/>
  <c r="AC19" i="2"/>
  <c r="AH19" i="2"/>
  <c r="AC25" i="10"/>
  <c r="AD25" i="10"/>
  <c r="AH19" i="10"/>
  <c r="AI19" i="10"/>
  <c r="AH23" i="10"/>
  <c r="AI23" i="10"/>
  <c r="AI4" i="17"/>
  <c r="AJ4" i="17"/>
  <c r="Z19" i="10"/>
  <c r="AE19" i="10"/>
  <c r="AC2" i="10"/>
  <c r="AG2" i="10"/>
  <c r="AA18" i="12"/>
  <c r="AF18" i="12"/>
  <c r="Y8" i="16"/>
  <c r="AA6" i="16"/>
  <c r="AF6" i="16"/>
  <c r="Y24" i="12"/>
  <c r="AB4" i="17"/>
  <c r="AG4" i="17"/>
  <c r="AA15" i="10"/>
  <c r="AF15" i="10"/>
  <c r="AD19" i="2"/>
  <c r="X25" i="10"/>
  <c r="X16" i="10"/>
  <c r="X18" i="12"/>
  <c r="Z21" i="12"/>
  <c r="AE21" i="12"/>
  <c r="Y5" i="19"/>
  <c r="AC20" i="10"/>
  <c r="AD20" i="10"/>
  <c r="Z20" i="10"/>
  <c r="AE20" i="10"/>
  <c r="AB3" i="18"/>
  <c r="AG3" i="18"/>
  <c r="AB23" i="10"/>
  <c r="AA25" i="12"/>
  <c r="AF25" i="12"/>
  <c r="AH25" i="12"/>
  <c r="AI25" i="12"/>
  <c r="AH20" i="10"/>
  <c r="AI20" i="10"/>
  <c r="AC3" i="18"/>
  <c r="AB19" i="2"/>
  <c r="AG19" i="2"/>
  <c r="Z30" i="2"/>
  <c r="AD3" i="16"/>
  <c r="AE3" i="16"/>
  <c r="AA3" i="16"/>
  <c r="AF3" i="16"/>
  <c r="AB3" i="16"/>
  <c r="AG3" i="16"/>
  <c r="Z19" i="12"/>
  <c r="AE19" i="12"/>
  <c r="AA19" i="12"/>
  <c r="AF19" i="12"/>
  <c r="AC3" i="12"/>
  <c r="AG3" i="12"/>
  <c r="Z3" i="12"/>
  <c r="AE3" i="12"/>
  <c r="Q6" i="18"/>
  <c r="AB4" i="18"/>
  <c r="AG4" i="18"/>
  <c r="AC17" i="10"/>
  <c r="AD17" i="10"/>
  <c r="AA17" i="10"/>
  <c r="AF17" i="10"/>
  <c r="AB17" i="10"/>
  <c r="Y17" i="12"/>
  <c r="AB17" i="12"/>
  <c r="X17" i="12"/>
  <c r="P7" i="19"/>
  <c r="AB2" i="19"/>
  <c r="AG2" i="19"/>
  <c r="AC2" i="19"/>
  <c r="AD2" i="19"/>
  <c r="AE2" i="19"/>
  <c r="AB24" i="10"/>
  <c r="X24" i="10"/>
  <c r="AH24" i="10"/>
  <c r="AI24" i="10"/>
  <c r="AA24" i="10"/>
  <c r="AF24" i="10"/>
  <c r="Y24" i="10"/>
  <c r="Z6" i="19"/>
  <c r="AB6" i="19"/>
  <c r="AG6" i="19"/>
  <c r="AD6" i="19"/>
  <c r="AE6" i="19"/>
  <c r="Z4" i="19"/>
  <c r="AB4" i="19"/>
  <c r="AG4" i="19"/>
  <c r="AA4" i="19"/>
  <c r="AF4" i="19"/>
  <c r="AC4" i="19"/>
  <c r="Y2" i="10"/>
  <c r="AH2" i="10"/>
  <c r="AI2" i="10"/>
  <c r="Z2" i="10"/>
  <c r="AE2" i="10"/>
  <c r="AA2" i="10"/>
  <c r="AF2" i="10"/>
  <c r="AI2" i="17"/>
  <c r="AJ2" i="17"/>
  <c r="AI4" i="16"/>
  <c r="AJ4" i="16"/>
  <c r="AA4" i="16"/>
  <c r="AF4" i="16"/>
  <c r="Z3" i="25"/>
  <c r="AC3" i="25"/>
  <c r="AI3" i="25"/>
  <c r="AJ3" i="25"/>
  <c r="AB3" i="25"/>
  <c r="AG3" i="25"/>
  <c r="Z25" i="12"/>
  <c r="AE25" i="12"/>
  <c r="AA3" i="25"/>
  <c r="AF3" i="25"/>
  <c r="X19" i="12"/>
  <c r="Y3" i="17"/>
  <c r="AC3" i="17"/>
  <c r="AA4" i="24"/>
  <c r="AF4" i="24"/>
  <c r="Z3" i="20"/>
  <c r="AB8" i="16"/>
  <c r="AG8" i="16"/>
  <c r="AA21" i="12"/>
  <c r="AF21" i="12"/>
  <c r="Z2" i="22"/>
  <c r="X23" i="10"/>
  <c r="Y17" i="10"/>
  <c r="AI4" i="24"/>
  <c r="AJ4" i="24"/>
  <c r="Y20" i="10"/>
  <c r="X16" i="12"/>
  <c r="AB18" i="12"/>
  <c r="R9" i="16"/>
  <c r="AA19" i="2"/>
  <c r="Z22" i="12"/>
  <c r="AE22" i="12"/>
  <c r="AD6" i="16"/>
  <c r="AE6" i="16"/>
  <c r="Z7" i="16"/>
  <c r="AI7" i="16"/>
  <c r="AJ7" i="16"/>
  <c r="P10" i="16"/>
  <c r="Y22" i="12"/>
  <c r="Z2" i="16"/>
  <c r="Z16" i="10"/>
  <c r="AE16" i="10"/>
  <c r="Z41" i="2"/>
  <c r="AB22" i="12"/>
  <c r="X24" i="12"/>
  <c r="Y16" i="10"/>
  <c r="AD3" i="20"/>
  <c r="AE3" i="20"/>
  <c r="AB3" i="20"/>
  <c r="AG3" i="20"/>
  <c r="AC6" i="16"/>
  <c r="AI3" i="20"/>
  <c r="AJ3" i="20"/>
  <c r="AB21" i="12"/>
  <c r="AA3" i="20"/>
  <c r="AF3" i="20"/>
  <c r="AD50" i="2"/>
  <c r="R6" i="19"/>
  <c r="Y3" i="12"/>
  <c r="Z4" i="17"/>
  <c r="R2" i="19"/>
  <c r="AA2" i="19"/>
  <c r="AF2" i="19"/>
  <c r="Y3" i="25"/>
  <c r="Y3" i="20"/>
  <c r="Y2" i="19"/>
  <c r="Y5" i="16"/>
  <c r="Y9" i="16"/>
  <c r="R3" i="18"/>
  <c r="Z9" i="16"/>
  <c r="R4" i="19"/>
  <c r="Z6" i="16"/>
  <c r="AD4" i="19"/>
  <c r="AH4" i="19"/>
  <c r="Y2" i="22"/>
  <c r="X3" i="10"/>
  <c r="Y3" i="10"/>
  <c r="AA3" i="10"/>
  <c r="AF3" i="10"/>
  <c r="AB3" i="10"/>
  <c r="AH3" i="10"/>
  <c r="AI3" i="10"/>
  <c r="Z3" i="10"/>
  <c r="AE3" i="10"/>
  <c r="AC3" i="10"/>
  <c r="AD3" i="10"/>
  <c r="AA4" i="18"/>
  <c r="AF4" i="18"/>
  <c r="Z4" i="18"/>
  <c r="AD4" i="18"/>
  <c r="AH4" i="18"/>
  <c r="R4" i="18"/>
  <c r="AC4" i="18"/>
  <c r="P6" i="18"/>
  <c r="Y4" i="18"/>
  <c r="AC20" i="12"/>
  <c r="AD20" i="12"/>
  <c r="AA20" i="12"/>
  <c r="AF20" i="12"/>
  <c r="AB20" i="12"/>
  <c r="Z21" i="10"/>
  <c r="AE21" i="10"/>
  <c r="AA21" i="10"/>
  <c r="AF21" i="10"/>
  <c r="AB21" i="10"/>
  <c r="AI5" i="24"/>
  <c r="AJ5" i="24"/>
  <c r="R5" i="24"/>
  <c r="Y5" i="24"/>
  <c r="AD5" i="24"/>
  <c r="AE5" i="24"/>
  <c r="AA5" i="24"/>
  <c r="AF5" i="24"/>
  <c r="Z5" i="24"/>
  <c r="Y19" i="10"/>
  <c r="AA19" i="10"/>
  <c r="AF19" i="10"/>
  <c r="AC19" i="10"/>
  <c r="AD19" i="10"/>
  <c r="AB19" i="10"/>
  <c r="AH18" i="10"/>
  <c r="AI18" i="10"/>
  <c r="AB18" i="10"/>
  <c r="X18" i="10"/>
  <c r="Y18" i="10"/>
  <c r="AA18" i="10"/>
  <c r="AF18" i="10"/>
  <c r="AA15" i="12"/>
  <c r="AF15" i="12"/>
  <c r="X15" i="12"/>
  <c r="AH15" i="12"/>
  <c r="AI15" i="12"/>
  <c r="Z15" i="12"/>
  <c r="AE15" i="12"/>
  <c r="Y15" i="12"/>
  <c r="Z3" i="17"/>
  <c r="AB3" i="17"/>
  <c r="AG3" i="17"/>
  <c r="AI3" i="17"/>
  <c r="AJ3" i="17"/>
  <c r="R3" i="17"/>
  <c r="AD3" i="17"/>
  <c r="R3" i="20"/>
  <c r="Y6" i="19"/>
  <c r="Y3" i="19"/>
  <c r="AB2" i="10"/>
  <c r="Y23" i="10"/>
  <c r="Y19" i="12"/>
  <c r="AI3" i="16"/>
  <c r="AJ3" i="16"/>
  <c r="AE38" i="2"/>
  <c r="AC3" i="16"/>
  <c r="AI5" i="16"/>
  <c r="AJ5" i="16"/>
  <c r="AD7" i="16"/>
  <c r="AE7" i="16"/>
  <c r="AA5" i="16"/>
  <c r="AF5" i="16"/>
  <c r="AD2" i="17"/>
  <c r="AE2" i="17"/>
  <c r="AA3" i="19"/>
  <c r="AF3" i="19"/>
  <c r="R2" i="17"/>
  <c r="R3" i="19"/>
  <c r="AB3" i="19"/>
  <c r="AG3" i="19"/>
  <c r="AB5" i="16"/>
  <c r="AG5" i="16"/>
  <c r="Y2" i="17"/>
  <c r="Q10" i="16"/>
  <c r="AB6" i="16"/>
  <c r="AG6" i="16"/>
  <c r="AI6" i="16"/>
  <c r="AJ6" i="16"/>
  <c r="AD3" i="25"/>
  <c r="AE3" i="25"/>
  <c r="R3" i="25"/>
  <c r="AC3" i="20"/>
  <c r="AB7" i="16"/>
  <c r="AG7" i="16"/>
  <c r="Z3" i="18"/>
  <c r="Y4" i="17"/>
  <c r="AC4" i="17"/>
  <c r="X3" i="12"/>
  <c r="Y16" i="12"/>
  <c r="AH16" i="12"/>
  <c r="AI16" i="12"/>
  <c r="Q7" i="19"/>
  <c r="AC38" i="2"/>
  <c r="AH38" i="2"/>
  <c r="Y6" i="16"/>
  <c r="P6" i="17"/>
  <c r="Y2" i="18"/>
  <c r="AC2" i="18"/>
  <c r="X17" i="10"/>
  <c r="AI3" i="19"/>
  <c r="AJ3" i="19"/>
  <c r="AA2" i="17"/>
  <c r="AF2" i="17"/>
  <c r="Q6" i="17"/>
  <c r="Z3" i="19"/>
  <c r="AE5" i="25"/>
  <c r="AH5" i="25"/>
  <c r="X21" i="12"/>
  <c r="AC21" i="12"/>
  <c r="Y21" i="12"/>
  <c r="AC4" i="16"/>
  <c r="Y4" i="16"/>
  <c r="Z4" i="16"/>
  <c r="R4" i="16"/>
  <c r="R4" i="25"/>
  <c r="AI4" i="25"/>
  <c r="AJ4" i="25"/>
  <c r="AA4" i="25"/>
  <c r="AF4" i="25"/>
  <c r="P15" i="25"/>
  <c r="AD4" i="25"/>
  <c r="AH4" i="25"/>
  <c r="AB4" i="25"/>
  <c r="AG4" i="25"/>
  <c r="AC4" i="25"/>
  <c r="Y25" i="12"/>
  <c r="X25" i="12"/>
  <c r="Z4" i="25"/>
  <c r="AC25" i="12"/>
  <c r="AD25" i="12"/>
  <c r="R5" i="16"/>
  <c r="AH21" i="10"/>
  <c r="AI21" i="10"/>
  <c r="X21" i="10"/>
  <c r="Y21" i="10"/>
  <c r="Z5" i="16"/>
  <c r="R6" i="16"/>
  <c r="X20" i="12"/>
  <c r="Y20" i="12"/>
  <c r="AC22" i="10"/>
  <c r="X22" i="10"/>
  <c r="Z22" i="10"/>
  <c r="AE22" i="10"/>
  <c r="Y22" i="10"/>
  <c r="R7" i="16"/>
  <c r="R3" i="16"/>
  <c r="Y3" i="16"/>
  <c r="Z3" i="16"/>
  <c r="AE2" i="24"/>
  <c r="AD5" i="23"/>
  <c r="AI5" i="23"/>
  <c r="AA5" i="23"/>
  <c r="AB5" i="23"/>
  <c r="S3" i="23"/>
  <c r="AD3" i="23"/>
  <c r="AI3" i="23"/>
  <c r="AF3" i="23"/>
  <c r="AJ3" i="23"/>
  <c r="AF5" i="23"/>
  <c r="AG5" i="23"/>
  <c r="AE5" i="23"/>
  <c r="AJ2" i="24"/>
  <c r="AK5" i="23"/>
  <c r="AL5" i="23"/>
  <c r="S5" i="23"/>
  <c r="AA3" i="18"/>
  <c r="AF3" i="18"/>
  <c r="AC5" i="23"/>
  <c r="AH5" i="23"/>
  <c r="AC3" i="23"/>
  <c r="AH3" i="23"/>
  <c r="AE3" i="23"/>
  <c r="AK3" i="23"/>
  <c r="AL3" i="23"/>
  <c r="AB3" i="23"/>
  <c r="AH3" i="24"/>
  <c r="AE3" i="24"/>
  <c r="AE2" i="25"/>
  <c r="AH2" i="25"/>
  <c r="AB4" i="23"/>
  <c r="AE4" i="23"/>
  <c r="AK4" i="23"/>
  <c r="AL4" i="23"/>
  <c r="S4" i="23"/>
  <c r="AF4" i="23"/>
  <c r="AA4" i="23"/>
  <c r="AD4" i="23"/>
  <c r="AI4" i="23"/>
  <c r="AC4" i="23"/>
  <c r="AH4" i="23"/>
  <c r="AA2" i="23"/>
  <c r="AF2" i="23"/>
  <c r="AB2" i="23"/>
  <c r="AD2" i="23"/>
  <c r="AI2" i="23"/>
  <c r="AE2" i="23"/>
  <c r="AC2" i="23"/>
  <c r="AH2" i="23"/>
  <c r="S2" i="23"/>
  <c r="Q80" i="9"/>
  <c r="AA3" i="23"/>
  <c r="AD16" i="12"/>
  <c r="AG16" i="12"/>
  <c r="AI4" i="19"/>
  <c r="AJ4" i="19"/>
  <c r="AI2" i="19"/>
  <c r="AJ2" i="19"/>
  <c r="AK2" i="23"/>
  <c r="AK6" i="23"/>
  <c r="AI2" i="25"/>
  <c r="AJ2" i="25"/>
  <c r="AD18" i="10"/>
  <c r="AH2" i="20"/>
  <c r="AD23" i="12"/>
  <c r="AD2" i="12"/>
  <c r="AG16" i="10"/>
  <c r="I12" i="9"/>
  <c r="AH4" i="24"/>
  <c r="AE9" i="16"/>
  <c r="AH3" i="22"/>
  <c r="AD21" i="10"/>
  <c r="AG21" i="10"/>
  <c r="AD15" i="12"/>
  <c r="AG15" i="12"/>
  <c r="AH2" i="16"/>
  <c r="AG18" i="12"/>
  <c r="AH2" i="18"/>
  <c r="AD24" i="12"/>
  <c r="AE5" i="19"/>
  <c r="AH4" i="17"/>
  <c r="AG15" i="10"/>
  <c r="AE3" i="19"/>
  <c r="AE4" i="16"/>
  <c r="AD22" i="12"/>
  <c r="AG17" i="12"/>
  <c r="AE2" i="22"/>
  <c r="AH2" i="19"/>
  <c r="AD24" i="10"/>
  <c r="AH8" i="16"/>
  <c r="AH3" i="25"/>
  <c r="AG20" i="10"/>
  <c r="AG25" i="10"/>
  <c r="AH3" i="20"/>
  <c r="AG19" i="12"/>
  <c r="AI19" i="2"/>
  <c r="AD2" i="10"/>
  <c r="AH5" i="16"/>
  <c r="AH3" i="16"/>
  <c r="AH6" i="16"/>
  <c r="AH5" i="24"/>
  <c r="AH6" i="19"/>
  <c r="AG23" i="10"/>
  <c r="AH3" i="18"/>
  <c r="AK10" i="24"/>
  <c r="AI6" i="24"/>
  <c r="AE4" i="19"/>
  <c r="AG19" i="10"/>
  <c r="AG17" i="10"/>
  <c r="AE4" i="25"/>
  <c r="AG25" i="12"/>
  <c r="AD3" i="12"/>
  <c r="AK13" i="24"/>
  <c r="AE3" i="17"/>
  <c r="AH3" i="17"/>
  <c r="AG20" i="12"/>
  <c r="AG3" i="10"/>
  <c r="AH2" i="17"/>
  <c r="AE4" i="18"/>
  <c r="AH7" i="16"/>
  <c r="AI12" i="16"/>
  <c r="AJ12" i="16"/>
  <c r="AG21" i="12"/>
  <c r="AD21" i="12"/>
  <c r="AD22" i="10"/>
  <c r="AG22" i="10"/>
  <c r="AJ5" i="23"/>
  <c r="AG3" i="23"/>
  <c r="AG4" i="23"/>
  <c r="AJ4" i="23"/>
  <c r="AJ2" i="23"/>
  <c r="AG2" i="23"/>
  <c r="AL2" i="23"/>
  <c r="V60" i="15" a="1"/>
  <c r="W60" i="15" a="1"/>
  <c r="T59" i="15" a="1"/>
  <c r="X65" i="15" a="1"/>
  <c r="V68" i="15" a="1"/>
  <c r="W68" i="15" a="1"/>
  <c r="T54" i="15" a="1"/>
  <c r="V57" i="15" a="1"/>
  <c r="W57" i="15" a="1"/>
  <c r="T71" i="15" a="1"/>
  <c r="V65" i="15" a="1"/>
  <c r="W65" i="15" a="1"/>
  <c r="R11" i="15" a="1"/>
  <c r="Q11" i="15" a="1"/>
  <c r="R19" i="15" a="1"/>
  <c r="Q19" i="15" a="1"/>
  <c r="R35" i="15" a="1"/>
  <c r="Q35" i="15" a="1"/>
  <c r="R43" i="15" a="1"/>
  <c r="Q43" i="15" a="1"/>
  <c r="R51" i="15" a="1"/>
  <c r="Q51" i="15" a="1"/>
  <c r="X57" i="15" a="1"/>
  <c r="V70" i="15" a="1"/>
  <c r="W70" i="15" a="1"/>
  <c r="X62" i="15" a="1"/>
  <c r="U65" i="15" a="1"/>
  <c r="R27" i="15" a="1"/>
  <c r="Q27" i="15" a="1"/>
  <c r="U68" i="15" a="1"/>
  <c r="X70" i="15" a="1"/>
  <c r="U60" i="15" a="1"/>
  <c r="X56" i="15" a="1"/>
  <c r="V54" i="15" a="1"/>
  <c r="W54" i="15" a="1"/>
  <c r="R14" i="15" a="1"/>
  <c r="Q14" i="15" a="1"/>
  <c r="R22" i="15" a="1"/>
  <c r="Q22" i="15" a="1"/>
  <c r="R30" i="15" a="1"/>
  <c r="Q30" i="15" a="1"/>
  <c r="R38" i="15" a="1"/>
  <c r="Q38" i="15" a="1"/>
  <c r="R46" i="15" a="1"/>
  <c r="Q46" i="15" a="1"/>
  <c r="T63" i="15" a="1"/>
  <c r="U70" i="15" a="1"/>
  <c r="V56" i="15" a="1"/>
  <c r="W56" i="15" a="1"/>
  <c r="V61" i="15" a="1"/>
  <c r="W61" i="15" a="1"/>
  <c r="U57" i="15" a="1"/>
  <c r="X60" i="15" a="1"/>
  <c r="T61" i="15" a="1"/>
  <c r="T56" i="15" a="1"/>
  <c r="T68" i="15" a="1"/>
  <c r="R9" i="15" a="1"/>
  <c r="Q9" i="15" a="1"/>
  <c r="R17" i="15" a="1"/>
  <c r="Q17" i="15" a="1"/>
  <c r="R25" i="15" a="1"/>
  <c r="Q25" i="15" a="1"/>
  <c r="R33" i="15" a="1"/>
  <c r="Q33" i="15" a="1"/>
  <c r="R41" i="15" a="1"/>
  <c r="Q41" i="15" a="1"/>
  <c r="R49" i="15" a="1"/>
  <c r="Q49" i="15" a="1"/>
  <c r="X61" i="15" a="1"/>
  <c r="X71" i="15" a="1"/>
  <c r="U62" i="15" a="1"/>
  <c r="U66" i="15" a="1"/>
  <c r="R12" i="15" a="1"/>
  <c r="Q12" i="15" a="1"/>
  <c r="R20" i="15" a="1"/>
  <c r="Q20" i="15" a="1"/>
  <c r="R36" i="15" a="1"/>
  <c r="Q36" i="15" a="1"/>
  <c r="R44" i="15" a="1"/>
  <c r="Q44" i="15" a="1"/>
  <c r="R52" i="15" a="1"/>
  <c r="Q52" i="15" a="1"/>
  <c r="U64" i="15" a="1"/>
  <c r="T66" i="15" a="1"/>
  <c r="R28" i="15" a="1"/>
  <c r="Q28" i="15" a="1"/>
  <c r="U69" i="15" a="1"/>
  <c r="X68" i="15" a="1"/>
  <c r="R3" i="15" a="1"/>
  <c r="Q3" i="15" a="1"/>
  <c r="R6" i="15" a="1"/>
  <c r="Q6" i="15" a="1"/>
  <c r="R4" i="15" a="1"/>
  <c r="Q4" i="15" a="1"/>
  <c r="R7" i="15" a="1"/>
  <c r="Q7" i="15" a="1"/>
  <c r="R2" i="15" a="1"/>
  <c r="Q2" i="15" a="1"/>
  <c r="R10" i="15" a="1"/>
  <c r="Q10" i="15" a="1"/>
  <c r="R5" i="15" a="1"/>
  <c r="Q5" i="15" a="1"/>
  <c r="R15" i="15" a="1"/>
  <c r="Q15" i="15" a="1"/>
  <c r="R23" i="15" a="1"/>
  <c r="Q23" i="15" a="1"/>
  <c r="R31" i="15" a="1"/>
  <c r="Q31" i="15" a="1"/>
  <c r="R39" i="15" a="1"/>
  <c r="Q39" i="15" a="1"/>
  <c r="R47" i="15" a="1"/>
  <c r="Q47" i="15" a="1"/>
  <c r="X58" i="15" a="1"/>
  <c r="V69" i="15" a="1"/>
  <c r="W69" i="15" a="1"/>
  <c r="V67" i="15" a="1"/>
  <c r="W67" i="15" a="1"/>
  <c r="S18" i="8" a="1"/>
  <c r="R18" i="8" a="1"/>
  <c r="R18" i="15" a="1"/>
  <c r="Q18" i="15" a="1"/>
  <c r="R34" i="15" a="1"/>
  <c r="Q34" i="15" a="1"/>
  <c r="R42" i="15" a="1"/>
  <c r="Q42" i="15" a="1"/>
  <c r="R50" i="15" a="1"/>
  <c r="Q50" i="15" a="1"/>
  <c r="R26" i="15" a="1"/>
  <c r="Q26" i="15" a="1"/>
  <c r="X54" i="15" a="1"/>
  <c r="V63" i="15" a="1"/>
  <c r="W63" i="15" a="1"/>
  <c r="U63" i="15" a="1"/>
  <c r="X64" i="15" a="1"/>
  <c r="T55" i="15" a="1"/>
  <c r="R21" i="15" a="1"/>
  <c r="Q21" i="15" a="1"/>
  <c r="R29" i="15" a="1"/>
  <c r="Q29" i="15" a="1"/>
  <c r="R37" i="15" a="1"/>
  <c r="Q37" i="15" a="1"/>
  <c r="R45" i="15" a="1"/>
  <c r="Q45" i="15" a="1"/>
  <c r="R53" i="15" a="1"/>
  <c r="Q53" i="15" a="1"/>
  <c r="V64" i="15" a="1"/>
  <c r="W64" i="15" a="1"/>
  <c r="U54" i="15" a="1"/>
  <c r="V55" i="15" a="1"/>
  <c r="W55" i="15" a="1"/>
  <c r="V58" i="15" a="1"/>
  <c r="W58" i="15" a="1"/>
  <c r="T58" i="15" a="1"/>
  <c r="T65" i="15" a="1"/>
  <c r="X63" i="15" a="1"/>
  <c r="T64" i="15" a="1"/>
  <c r="R16" i="15" a="1"/>
  <c r="Q16" i="15" a="1"/>
  <c r="R24" i="15" a="1"/>
  <c r="Q24" i="15" a="1"/>
  <c r="R32" i="15" a="1"/>
  <c r="Q32" i="15" a="1"/>
  <c r="R40" i="15" a="1"/>
  <c r="Q40" i="15" a="1"/>
  <c r="R48" i="15" a="1"/>
  <c r="Q48" i="15" a="1"/>
  <c r="T57" i="15" a="1"/>
  <c r="X59" i="15" a="1"/>
  <c r="U58" i="15" a="1"/>
  <c r="V71" i="15" a="1"/>
  <c r="W71" i="15" a="1"/>
  <c r="R13" i="15" a="1"/>
  <c r="Q13" i="15" a="1"/>
  <c r="R8" i="15" a="1"/>
  <c r="Q8" i="15" a="1"/>
  <c r="V66" i="15" a="1"/>
  <c r="W66" i="15" a="1"/>
  <c r="V59" i="15" a="1"/>
  <c r="W59" i="15" a="1"/>
  <c r="V62" i="15" a="1"/>
  <c r="W62" i="15" a="1"/>
  <c r="X55" i="15" a="1"/>
  <c r="X66" i="15" a="1"/>
  <c r="U59" i="15" a="1"/>
  <c r="R33" i="8" a="1"/>
  <c r="S33" i="8" a="1"/>
  <c r="S40" i="8" a="1"/>
  <c r="R40" i="8" a="1"/>
  <c r="S5" i="8" a="1"/>
  <c r="R5" i="8" a="1"/>
  <c r="S6" i="8" a="1"/>
  <c r="R6" i="8" a="1"/>
  <c r="S7" i="8" a="1"/>
  <c r="R7" i="8" a="1"/>
  <c r="S10" i="8" a="1"/>
  <c r="R10" i="8" a="1"/>
  <c r="S12" i="8" a="1"/>
  <c r="R12" i="8" a="1"/>
  <c r="S13" i="8" a="1"/>
  <c r="R13" i="8" a="1"/>
  <c r="S17" i="8" a="1"/>
  <c r="R17" i="8" a="1"/>
  <c r="S19" i="8" a="1"/>
  <c r="R19" i="8" a="1"/>
  <c r="S22" i="8" a="1"/>
  <c r="R22" i="8" a="1"/>
  <c r="S28" i="8" a="1"/>
  <c r="R28" i="8" a="1"/>
  <c r="S29" i="8" a="1"/>
  <c r="R29" i="8" a="1"/>
  <c r="S36" i="8" a="1"/>
  <c r="R36" i="8" a="1"/>
  <c r="S41" i="8" a="1"/>
  <c r="R41" i="8" a="1"/>
  <c r="S47" i="8" a="1"/>
  <c r="R47" i="8" a="1"/>
  <c r="S25" i="8" a="1"/>
  <c r="R25" i="8" a="1"/>
  <c r="S42" i="8" a="1"/>
  <c r="R42" i="8" a="1"/>
  <c r="S45" i="8" a="1"/>
  <c r="R45" i="8" a="1"/>
  <c r="S30" i="8" a="1"/>
  <c r="R30" i="8" a="1"/>
  <c r="S4" i="8" a="1"/>
  <c r="R4" i="8" a="1"/>
  <c r="S16" i="8" a="1"/>
  <c r="R16" i="8" a="1"/>
  <c r="S15" i="8" a="1"/>
  <c r="R15" i="8" a="1"/>
  <c r="S14" i="8" a="1"/>
  <c r="R14" i="8" a="1"/>
  <c r="S11" i="8" a="1"/>
  <c r="R11" i="8" a="1"/>
  <c r="T90" i="2" l="1"/>
  <c r="T281" i="2"/>
  <c r="T119" i="2"/>
  <c r="Y90" i="2"/>
  <c r="U103" i="2"/>
  <c r="Y63" i="2"/>
  <c r="Y105" i="2"/>
  <c r="W230" i="2"/>
  <c r="U283" i="2"/>
  <c r="Y251" i="2"/>
  <c r="U203" i="2"/>
  <c r="X282" i="2"/>
  <c r="U247" i="2"/>
  <c r="V150" i="2"/>
  <c r="S150" i="2" s="1"/>
  <c r="Y247" i="2"/>
  <c r="X195" i="2"/>
  <c r="W276" i="2"/>
  <c r="W228" i="2"/>
  <c r="U59" i="15"/>
  <c r="X66" i="15"/>
  <c r="X55" i="15"/>
  <c r="W62" i="15"/>
  <c r="V62" i="15"/>
  <c r="W59" i="15"/>
  <c r="V59" i="15"/>
  <c r="W66" i="15"/>
  <c r="V66" i="15"/>
  <c r="Q8" i="15"/>
  <c r="R8" i="15"/>
  <c r="Q13" i="15"/>
  <c r="R13" i="15"/>
  <c r="W71" i="15"/>
  <c r="V71" i="15"/>
  <c r="U58" i="15"/>
  <c r="X59" i="15"/>
  <c r="T57" i="15"/>
  <c r="Q48" i="15"/>
  <c r="R48" i="15"/>
  <c r="Q40" i="15"/>
  <c r="R40" i="15"/>
  <c r="Q32" i="15"/>
  <c r="R32" i="15"/>
  <c r="Q24" i="15"/>
  <c r="R24" i="15"/>
  <c r="Q16" i="15"/>
  <c r="R16" i="15"/>
  <c r="T64" i="15"/>
  <c r="X63" i="15"/>
  <c r="T65" i="15"/>
  <c r="T58" i="15"/>
  <c r="W58" i="15"/>
  <c r="V58" i="15"/>
  <c r="W55" i="15"/>
  <c r="V55" i="15"/>
  <c r="U54" i="15"/>
  <c r="W64" i="15"/>
  <c r="V64" i="15"/>
  <c r="Q53" i="15"/>
  <c r="R53" i="15"/>
  <c r="Q45" i="15"/>
  <c r="R45" i="15"/>
  <c r="Q37" i="15"/>
  <c r="R37" i="15"/>
  <c r="Q29" i="15"/>
  <c r="R29" i="15"/>
  <c r="Q21" i="15"/>
  <c r="R21" i="15"/>
  <c r="T55" i="15"/>
  <c r="X64" i="15"/>
  <c r="U63" i="15"/>
  <c r="W63" i="15"/>
  <c r="V63" i="15"/>
  <c r="X54" i="15"/>
  <c r="Q26" i="15"/>
  <c r="R26" i="15"/>
  <c r="Q50" i="15"/>
  <c r="R50" i="15"/>
  <c r="Q42" i="15"/>
  <c r="R42" i="15"/>
  <c r="Q34" i="15"/>
  <c r="R34" i="15"/>
  <c r="Q18" i="15"/>
  <c r="R18" i="15"/>
  <c r="R18" i="8"/>
  <c r="S18" i="8"/>
  <c r="W67" i="15"/>
  <c r="V67" i="15"/>
  <c r="W69" i="15"/>
  <c r="V69" i="15"/>
  <c r="X58" i="15"/>
  <c r="Q47" i="15"/>
  <c r="R47" i="15"/>
  <c r="Q39" i="15"/>
  <c r="R39" i="15"/>
  <c r="Q31" i="15"/>
  <c r="R31" i="15"/>
  <c r="Q23" i="15"/>
  <c r="R23" i="15"/>
  <c r="Q15" i="15"/>
  <c r="R15" i="15"/>
  <c r="Q5" i="15"/>
  <c r="R5" i="15"/>
  <c r="Q10" i="15"/>
  <c r="R10" i="15"/>
  <c r="Q2" i="15"/>
  <c r="R2" i="15"/>
  <c r="Q7" i="15"/>
  <c r="R7" i="15"/>
  <c r="Q4" i="15"/>
  <c r="R4" i="15"/>
  <c r="Q6" i="15"/>
  <c r="R6" i="15"/>
  <c r="Q3" i="15"/>
  <c r="R3" i="15"/>
  <c r="X68" i="15"/>
  <c r="U69" i="15"/>
  <c r="Q28" i="15"/>
  <c r="R28" i="15"/>
  <c r="T66" i="15"/>
  <c r="U64" i="15"/>
  <c r="Q52" i="15"/>
  <c r="R52" i="15"/>
  <c r="Q44" i="15"/>
  <c r="R44" i="15"/>
  <c r="Q36" i="15"/>
  <c r="R36" i="15"/>
  <c r="Q20" i="15"/>
  <c r="R20" i="15"/>
  <c r="Q12" i="15"/>
  <c r="R12" i="15"/>
  <c r="U66" i="15"/>
  <c r="U62" i="15"/>
  <c r="X71" i="15"/>
  <c r="X61" i="15"/>
  <c r="Q49" i="15"/>
  <c r="R49" i="15"/>
  <c r="Q41" i="15"/>
  <c r="R41" i="15"/>
  <c r="Q33" i="15"/>
  <c r="R33" i="15"/>
  <c r="Q25" i="15"/>
  <c r="R25" i="15"/>
  <c r="Q17" i="15"/>
  <c r="R17" i="15"/>
  <c r="Q9" i="15"/>
  <c r="R9" i="15"/>
  <c r="T68" i="15"/>
  <c r="T56" i="15"/>
  <c r="T61" i="15"/>
  <c r="X60" i="15"/>
  <c r="U57" i="15"/>
  <c r="W61" i="15"/>
  <c r="V61" i="15"/>
  <c r="W56" i="15"/>
  <c r="V56" i="15"/>
  <c r="U70" i="15"/>
  <c r="T63" i="15"/>
  <c r="Q46" i="15"/>
  <c r="R46" i="15"/>
  <c r="Q38" i="15"/>
  <c r="R38" i="15"/>
  <c r="Q30" i="15"/>
  <c r="R30" i="15"/>
  <c r="Q22" i="15"/>
  <c r="R22" i="15"/>
  <c r="Q14" i="15"/>
  <c r="R14" i="15"/>
  <c r="W54" i="15"/>
  <c r="V54" i="15"/>
  <c r="X56" i="15"/>
  <c r="U60" i="15"/>
  <c r="X70" i="15"/>
  <c r="U68" i="15"/>
  <c r="Q27" i="15"/>
  <c r="R27" i="15"/>
  <c r="U65" i="15"/>
  <c r="X62" i="15"/>
  <c r="W70" i="15"/>
  <c r="V70" i="15"/>
  <c r="X57" i="15"/>
  <c r="Q51" i="15"/>
  <c r="R51" i="15"/>
  <c r="Q43" i="15"/>
  <c r="R43" i="15"/>
  <c r="Q35" i="15"/>
  <c r="R35" i="15"/>
  <c r="Q19" i="15"/>
  <c r="R19" i="15"/>
  <c r="Q11" i="15"/>
  <c r="R11" i="15"/>
  <c r="W65" i="15"/>
  <c r="V65" i="15"/>
  <c r="T71" i="15"/>
  <c r="W57" i="15"/>
  <c r="V57" i="15"/>
  <c r="T54" i="15"/>
  <c r="W68" i="15"/>
  <c r="V68" i="15"/>
  <c r="X65" i="15"/>
  <c r="T59" i="15"/>
  <c r="W60" i="15"/>
  <c r="V60" i="15"/>
  <c r="AI22" i="2"/>
  <c r="AF22" i="2"/>
  <c r="AC34" i="2"/>
  <c r="AA8" i="2"/>
  <c r="AI41" i="2"/>
  <c r="AF41" i="2"/>
  <c r="AG9" i="2"/>
  <c r="Z45" i="2"/>
  <c r="AB45" i="2"/>
  <c r="AE45" i="2"/>
  <c r="AF12" i="2"/>
  <c r="AI12" i="2"/>
  <c r="AD36" i="2"/>
  <c r="AE36" i="2"/>
  <c r="AB36" i="2"/>
  <c r="Z36" i="2"/>
  <c r="AC36" i="2"/>
  <c r="AA36" i="2"/>
  <c r="AG25" i="2"/>
  <c r="AG51" i="2"/>
  <c r="R48" i="2"/>
  <c r="R40" i="2"/>
  <c r="S44" i="2"/>
  <c r="Z44" i="2" s="1"/>
  <c r="AE3" i="2"/>
  <c r="AE8" i="2"/>
  <c r="AE49" i="2"/>
  <c r="AC49" i="2"/>
  <c r="Z49" i="2"/>
  <c r="R32" i="2"/>
  <c r="R16" i="2"/>
  <c r="W62" i="2"/>
  <c r="V59" i="2"/>
  <c r="W59" i="2"/>
  <c r="S8" i="2"/>
  <c r="AB7" i="2"/>
  <c r="AC7" i="2"/>
  <c r="AD7" i="2"/>
  <c r="AD12" i="2"/>
  <c r="AA4" i="2"/>
  <c r="AE4" i="2"/>
  <c r="AC4" i="2"/>
  <c r="AC33" i="2"/>
  <c r="AA33" i="2"/>
  <c r="AF27" i="2"/>
  <c r="AI27" i="2"/>
  <c r="Z6" i="2"/>
  <c r="AE6" i="2"/>
  <c r="AA6" i="2"/>
  <c r="AH30" i="2"/>
  <c r="Z12" i="2"/>
  <c r="AG49" i="2"/>
  <c r="AC11" i="2"/>
  <c r="Z11" i="2"/>
  <c r="AD11" i="2"/>
  <c r="Z33" i="2"/>
  <c r="AB33" i="2"/>
  <c r="AD22" i="2"/>
  <c r="AC22" i="2"/>
  <c r="Z22" i="2"/>
  <c r="AB22" i="2"/>
  <c r="U58" i="2"/>
  <c r="X59" i="2"/>
  <c r="T57" i="2"/>
  <c r="R53" i="2"/>
  <c r="S53" i="2"/>
  <c r="S32" i="2"/>
  <c r="AE29" i="2"/>
  <c r="AB29" i="2"/>
  <c r="Z29" i="2"/>
  <c r="AA29" i="2"/>
  <c r="S16" i="2"/>
  <c r="AC51" i="2"/>
  <c r="Z51" i="2"/>
  <c r="AA51" i="2"/>
  <c r="AC8" i="2"/>
  <c r="Z8" i="2"/>
  <c r="AB8" i="2"/>
  <c r="AB34" i="2"/>
  <c r="AD34" i="2"/>
  <c r="Z34" i="2"/>
  <c r="T64" i="2"/>
  <c r="X63" i="2"/>
  <c r="T65" i="2"/>
  <c r="T58" i="2"/>
  <c r="R26" i="2"/>
  <c r="AE33" i="2"/>
  <c r="Z25" i="2"/>
  <c r="AC6" i="2"/>
  <c r="AE34" i="2"/>
  <c r="AE11" i="2"/>
  <c r="W55" i="2"/>
  <c r="U54" i="2"/>
  <c r="V64" i="2"/>
  <c r="R13" i="2"/>
  <c r="AE50" i="2"/>
  <c r="AC50" i="2"/>
  <c r="AB50" i="2"/>
  <c r="R42" i="2"/>
  <c r="R18" i="2"/>
  <c r="AI38" i="2"/>
  <c r="AF38" i="2"/>
  <c r="S29" i="2"/>
  <c r="AC29" i="2" s="1"/>
  <c r="T55" i="2"/>
  <c r="U63" i="2"/>
  <c r="W63" i="2"/>
  <c r="S24" i="2"/>
  <c r="AD51" i="2"/>
  <c r="AC12" i="2"/>
  <c r="AA34" i="2"/>
  <c r="AA35" i="2"/>
  <c r="R37" i="2"/>
  <c r="AA5" i="2"/>
  <c r="AE5" i="2"/>
  <c r="Z5" i="2"/>
  <c r="AD5" i="2"/>
  <c r="S47" i="2"/>
  <c r="R47" i="2"/>
  <c r="R39" i="2"/>
  <c r="S39" i="2"/>
  <c r="S23" i="2"/>
  <c r="AD23" i="2" s="1"/>
  <c r="AI35" i="2"/>
  <c r="AE25" i="2"/>
  <c r="S42" i="2"/>
  <c r="AB43" i="2"/>
  <c r="AC43" i="2"/>
  <c r="Z43" i="2"/>
  <c r="AD43" i="2"/>
  <c r="AE43" i="2"/>
  <c r="AC9" i="2"/>
  <c r="AD9" i="2"/>
  <c r="AA9" i="2"/>
  <c r="AE9" i="2"/>
  <c r="Z9" i="2"/>
  <c r="S45" i="2"/>
  <c r="AA45" i="2" s="1"/>
  <c r="R31" i="2"/>
  <c r="Q14" i="11"/>
  <c r="W69" i="2"/>
  <c r="AD17" i="2"/>
  <c r="AA17" i="2"/>
  <c r="Z17" i="2"/>
  <c r="AB17" i="2"/>
  <c r="AD8" i="2"/>
  <c r="AD35" i="2"/>
  <c r="S15" i="2"/>
  <c r="AD15" i="2" s="1"/>
  <c r="R24" i="2"/>
  <c r="AA38" i="2"/>
  <c r="AB38" i="2"/>
  <c r="AE10" i="2"/>
  <c r="S52" i="2"/>
  <c r="AC25" i="2"/>
  <c r="S20" i="2"/>
  <c r="AB12" i="2"/>
  <c r="AB10" i="2"/>
  <c r="AA50" i="2"/>
  <c r="AA43" i="2"/>
  <c r="AA22" i="2"/>
  <c r="AB35" i="2"/>
  <c r="S21" i="2"/>
  <c r="AB5" i="2"/>
  <c r="S28" i="2"/>
  <c r="Z28" i="2" s="1"/>
  <c r="R20" i="2"/>
  <c r="AC41" i="2"/>
  <c r="AA41" i="2"/>
  <c r="AD41" i="2"/>
  <c r="AI51" i="2"/>
  <c r="AE17" i="2"/>
  <c r="AA49" i="2"/>
  <c r="AH27" i="2"/>
  <c r="AB11" i="2"/>
  <c r="R52" i="2"/>
  <c r="Z10" i="2"/>
  <c r="AB41" i="2"/>
  <c r="AB6" i="2"/>
  <c r="AE15" i="2"/>
  <c r="S40" i="2"/>
  <c r="AD30" i="2"/>
  <c r="AB30" i="2"/>
  <c r="AE30" i="2"/>
  <c r="Z14" i="2"/>
  <c r="AC14" i="2"/>
  <c r="AD14" i="2"/>
  <c r="Z38" i="2"/>
  <c r="AC17" i="2"/>
  <c r="AF14" i="2"/>
  <c r="Z50" i="2"/>
  <c r="AC5" i="2"/>
  <c r="AA12" i="2"/>
  <c r="X66" i="2"/>
  <c r="U69" i="2"/>
  <c r="T66" i="2"/>
  <c r="U64" i="2"/>
  <c r="S6" i="2"/>
  <c r="AD6" i="2" s="1"/>
  <c r="U66" i="2"/>
  <c r="U62" i="2"/>
  <c r="AC3" i="2"/>
  <c r="T68" i="2"/>
  <c r="T56" i="2"/>
  <c r="T61" i="2"/>
  <c r="U57" i="2"/>
  <c r="W61" i="2"/>
  <c r="AD27" i="2"/>
  <c r="AB3" i="2"/>
  <c r="U70" i="2"/>
  <c r="Z27" i="2"/>
  <c r="U60" i="2"/>
  <c r="U68" i="2"/>
  <c r="U65" i="2"/>
  <c r="Z3" i="2"/>
  <c r="X57" i="2"/>
  <c r="S46" i="2"/>
  <c r="AD3" i="2"/>
  <c r="T71" i="2"/>
  <c r="T54" i="2"/>
  <c r="W68" i="2"/>
  <c r="S2" i="2"/>
  <c r="Z2" i="2" s="1"/>
  <c r="T59" i="2"/>
  <c r="Y187" i="2"/>
  <c r="U253" i="2"/>
  <c r="R11" i="8"/>
  <c r="S11" i="8"/>
  <c r="R14" i="8"/>
  <c r="S14" i="8"/>
  <c r="R15" i="8"/>
  <c r="S15" i="8"/>
  <c r="R16" i="8"/>
  <c r="S16" i="8"/>
  <c r="R4" i="8"/>
  <c r="S4" i="8"/>
  <c r="R30" i="8"/>
  <c r="S30" i="8"/>
  <c r="R45" i="8"/>
  <c r="S45" i="8"/>
  <c r="R42" i="8"/>
  <c r="S42" i="8"/>
  <c r="R25" i="8"/>
  <c r="S25" i="8"/>
  <c r="R47" i="8"/>
  <c r="S47" i="8"/>
  <c r="R41" i="8"/>
  <c r="S41" i="8"/>
  <c r="R36" i="8"/>
  <c r="S36" i="8"/>
  <c r="R29" i="8"/>
  <c r="S29" i="8"/>
  <c r="R28" i="8"/>
  <c r="S28" i="8"/>
  <c r="R22" i="8"/>
  <c r="S22" i="8"/>
  <c r="R19" i="8"/>
  <c r="S19" i="8"/>
  <c r="R17" i="8"/>
  <c r="S17" i="8"/>
  <c r="R13" i="8"/>
  <c r="S13" i="8"/>
  <c r="R12" i="8"/>
  <c r="S12" i="8"/>
  <c r="R10" i="8"/>
  <c r="S10" i="8"/>
  <c r="R7" i="8"/>
  <c r="S7" i="8"/>
  <c r="R6" i="8"/>
  <c r="S6" i="8"/>
  <c r="R5" i="8"/>
  <c r="S5" i="8"/>
  <c r="R40" i="8"/>
  <c r="S40" i="8"/>
  <c r="S33" i="8"/>
  <c r="R33" i="8"/>
  <c r="X73" i="2"/>
  <c r="W254" i="2"/>
  <c r="W152" i="2"/>
  <c r="S152" i="2" s="1"/>
  <c r="U242" i="2"/>
  <c r="V107" i="2"/>
  <c r="W155" i="2"/>
  <c r="W121" i="2"/>
  <c r="R121" i="2" s="1"/>
  <c r="X76" i="2"/>
  <c r="V130" i="2"/>
  <c r="X104" i="2"/>
  <c r="U154" i="2"/>
  <c r="V161" i="2"/>
  <c r="R161" i="2" s="1"/>
  <c r="T247" i="2"/>
  <c r="W115" i="2"/>
  <c r="X145" i="2"/>
  <c r="U258" i="2"/>
  <c r="T140" i="2"/>
  <c r="X173" i="2"/>
  <c r="T63" i="2"/>
  <c r="V143" i="2"/>
  <c r="X278" i="2"/>
  <c r="V60" i="2"/>
  <c r="X220" i="2"/>
  <c r="X153" i="2"/>
  <c r="T297" i="2"/>
  <c r="X154" i="2"/>
  <c r="X124" i="2"/>
  <c r="T242" i="2"/>
  <c r="U134" i="2"/>
  <c r="V54" i="2"/>
  <c r="X70" i="2"/>
  <c r="X115" i="2"/>
  <c r="W224" i="2"/>
  <c r="X227" i="2"/>
  <c r="W141" i="2"/>
  <c r="X262" i="2"/>
  <c r="W241" i="2"/>
  <c r="X129" i="2"/>
  <c r="X175" i="2"/>
  <c r="W215" i="2"/>
  <c r="W262" i="2"/>
  <c r="X222" i="2"/>
  <c r="X141" i="2"/>
  <c r="V139" i="2"/>
  <c r="S139" i="2" s="1"/>
  <c r="X279" i="2"/>
  <c r="W173" i="2"/>
  <c r="X196" i="2"/>
  <c r="V63" i="2"/>
  <c r="W104" i="2"/>
  <c r="W145" i="2"/>
  <c r="W291" i="2"/>
  <c r="X64" i="2"/>
  <c r="X241" i="2"/>
  <c r="X210" i="2"/>
  <c r="W237" i="2"/>
  <c r="W297" i="2"/>
  <c r="W284" i="2"/>
  <c r="V253" i="2"/>
  <c r="W266" i="2"/>
  <c r="R266" i="2" s="1"/>
  <c r="X161" i="2"/>
  <c r="V89" i="2"/>
  <c r="R89" i="2" s="1"/>
  <c r="X165" i="2"/>
  <c r="X113" i="2"/>
  <c r="X88" i="2"/>
  <c r="X214" i="2"/>
  <c r="X155" i="2"/>
  <c r="W251" i="2"/>
  <c r="X95" i="2"/>
  <c r="V154" i="2"/>
  <c r="X75" i="2"/>
  <c r="W92" i="2"/>
  <c r="V80" i="2"/>
  <c r="S80" i="2" s="1"/>
  <c r="X179" i="2"/>
  <c r="X163" i="2"/>
  <c r="V176" i="2"/>
  <c r="R176" i="2" s="1"/>
  <c r="X105" i="2"/>
  <c r="X62" i="2"/>
  <c r="X213" i="2"/>
  <c r="W263" i="2"/>
  <c r="X143" i="2"/>
  <c r="V215" i="2"/>
  <c r="W137" i="2"/>
  <c r="X184" i="2"/>
  <c r="X197" i="2"/>
  <c r="W260" i="2"/>
  <c r="W289" i="2"/>
  <c r="W259" i="2"/>
  <c r="X58" i="2"/>
  <c r="V115" i="2"/>
  <c r="X117" i="2"/>
  <c r="X185" i="2"/>
  <c r="V69" i="2"/>
  <c r="W278" i="2"/>
  <c r="X301" i="2"/>
  <c r="W157" i="2"/>
  <c r="W154" i="2"/>
  <c r="V239" i="2"/>
  <c r="X298" i="2"/>
  <c r="V254" i="2"/>
  <c r="V127" i="2"/>
  <c r="X200" i="2"/>
  <c r="W204" i="2"/>
  <c r="X202" i="2"/>
  <c r="X71" i="2"/>
  <c r="X111" i="2"/>
  <c r="X123" i="2"/>
  <c r="W107" i="2"/>
  <c r="W140" i="2"/>
  <c r="W133" i="2"/>
  <c r="X229" i="2"/>
  <c r="X256" i="2"/>
  <c r="X230" i="2"/>
  <c r="X103" i="2"/>
  <c r="X157" i="2"/>
  <c r="X65" i="2"/>
  <c r="W70" i="2"/>
  <c r="X260" i="2"/>
  <c r="X189" i="2"/>
  <c r="X158" i="2"/>
  <c r="W195" i="2"/>
  <c r="X160" i="2"/>
  <c r="X144" i="2"/>
  <c r="X130" i="2"/>
  <c r="W127" i="2"/>
  <c r="V155" i="2"/>
  <c r="X108" i="2"/>
  <c r="V146" i="2"/>
  <c r="W296" i="2"/>
  <c r="V105" i="2"/>
  <c r="S105" i="2" s="1"/>
  <c r="W229" i="2"/>
  <c r="W301" i="2"/>
  <c r="W227" i="2"/>
  <c r="V280" i="2"/>
  <c r="X284" i="2"/>
  <c r="W283" i="2"/>
  <c r="X178" i="2"/>
  <c r="W159" i="2"/>
  <c r="X56" i="2"/>
  <c r="W164" i="2"/>
  <c r="W166" i="2"/>
  <c r="V216" i="2"/>
  <c r="V180" i="2"/>
  <c r="V128" i="2"/>
  <c r="V151" i="2"/>
  <c r="V268" i="2"/>
  <c r="V170" i="2"/>
  <c r="X55" i="2"/>
  <c r="X248" i="2"/>
  <c r="X67" i="2"/>
  <c r="R16" i="11" s="1"/>
  <c r="V204" i="2"/>
  <c r="V273" i="2"/>
  <c r="X253" i="2"/>
  <c r="X78" i="2"/>
  <c r="X228" i="2"/>
  <c r="V112" i="2"/>
  <c r="R112" i="2" s="1"/>
  <c r="X236" i="2"/>
  <c r="X246" i="2"/>
  <c r="V259" i="2"/>
  <c r="X112" i="2"/>
  <c r="X169" i="2"/>
  <c r="X122" i="2"/>
  <c r="W202" i="2"/>
  <c r="X177" i="2"/>
  <c r="X264" i="2"/>
  <c r="V157" i="2"/>
  <c r="V62" i="2"/>
  <c r="X120" i="2"/>
  <c r="W151" i="2"/>
  <c r="W199" i="2"/>
  <c r="V240" i="2"/>
  <c r="W177" i="2"/>
  <c r="X152" i="2"/>
  <c r="W193" i="2"/>
  <c r="V82" i="2"/>
  <c r="X80" i="2"/>
  <c r="X276" i="2"/>
  <c r="V256" i="2"/>
  <c r="W212" i="2"/>
  <c r="X180" i="2"/>
  <c r="W208" i="2"/>
  <c r="V208" i="2"/>
  <c r="W261" i="2"/>
  <c r="V261" i="2"/>
  <c r="W214" i="2"/>
  <c r="V214" i="2"/>
  <c r="W302" i="2"/>
  <c r="X280" i="2"/>
  <c r="W246" i="2"/>
  <c r="V246" i="2"/>
  <c r="X291" i="2"/>
  <c r="X89" i="2"/>
  <c r="W255" i="2"/>
  <c r="W91" i="2"/>
  <c r="R91" i="2" s="1"/>
  <c r="X273" i="2"/>
  <c r="X254" i="2"/>
  <c r="V209" i="2"/>
  <c r="S209" i="2" s="1"/>
  <c r="V123" i="2"/>
  <c r="W77" i="2"/>
  <c r="V248" i="2"/>
  <c r="V224" i="2"/>
  <c r="V221" i="2"/>
  <c r="W221" i="2"/>
  <c r="X190" i="2"/>
  <c r="X149" i="2"/>
  <c r="W136" i="2"/>
  <c r="W88" i="2"/>
  <c r="V194" i="2"/>
  <c r="R194" i="2" s="1"/>
  <c r="X164" i="2"/>
  <c r="V207" i="2"/>
  <c r="W123" i="2"/>
  <c r="V104" i="2"/>
  <c r="V159" i="2"/>
  <c r="W179" i="2"/>
  <c r="W156" i="2"/>
  <c r="V56" i="2"/>
  <c r="X287" i="2"/>
  <c r="V135" i="2"/>
  <c r="W135" i="2"/>
  <c r="X191" i="2"/>
  <c r="V211" i="2"/>
  <c r="R211" i="2" s="1"/>
  <c r="W295" i="2"/>
  <c r="V295" i="2"/>
  <c r="X82" i="2"/>
  <c r="X159" i="2"/>
  <c r="X217" i="2"/>
  <c r="Y67" i="2"/>
  <c r="R17" i="11" s="1"/>
  <c r="Q17" i="11"/>
  <c r="W277" i="2"/>
  <c r="V277" i="2"/>
  <c r="V173" i="2"/>
  <c r="V140" i="2"/>
  <c r="X258" i="2"/>
  <c r="V278" i="2"/>
  <c r="X54" i="2"/>
  <c r="W126" i="2"/>
  <c r="W128" i="2"/>
  <c r="X170" i="2"/>
  <c r="V97" i="2"/>
  <c r="V92" i="2"/>
  <c r="V241" i="2"/>
  <c r="V88" i="2"/>
  <c r="X167" i="2"/>
  <c r="W119" i="2"/>
  <c r="W96" i="2"/>
  <c r="W220" i="2"/>
  <c r="W117" i="2"/>
  <c r="X268" i="2"/>
  <c r="V99" i="2"/>
  <c r="S99" i="2" s="1"/>
  <c r="W130" i="2"/>
  <c r="X86" i="2"/>
  <c r="V212" i="2"/>
  <c r="V124" i="2"/>
  <c r="W111" i="2"/>
  <c r="U129" i="2"/>
  <c r="S129" i="2" s="1"/>
  <c r="U219" i="2"/>
  <c r="Y297" i="2"/>
  <c r="T279" i="2"/>
  <c r="Y253" i="2"/>
  <c r="U111" i="2"/>
  <c r="T216" i="2"/>
  <c r="Y108" i="2"/>
  <c r="X133" i="2"/>
  <c r="V68" i="2"/>
  <c r="V291" i="2"/>
  <c r="W223" i="2"/>
  <c r="X146" i="2"/>
  <c r="X138" i="2"/>
  <c r="V275" i="2"/>
  <c r="V57" i="2"/>
  <c r="W100" i="2"/>
  <c r="V187" i="2"/>
  <c r="V171" i="2"/>
  <c r="X251" i="2"/>
  <c r="X272" i="2"/>
  <c r="V156" i="2"/>
  <c r="X119" i="2"/>
  <c r="X203" i="2"/>
  <c r="X212" i="2"/>
  <c r="V276" i="2"/>
  <c r="X174" i="2"/>
  <c r="X194" i="2"/>
  <c r="V90" i="2"/>
  <c r="X68" i="2"/>
  <c r="X128" i="2"/>
  <c r="X97" i="2"/>
  <c r="X245" i="2"/>
  <c r="V72" i="2"/>
  <c r="V106" i="2"/>
  <c r="V192" i="2"/>
  <c r="S192" i="2" s="1"/>
  <c r="X102" i="2"/>
  <c r="W274" i="2"/>
  <c r="W170" i="2"/>
  <c r="W273" i="2"/>
  <c r="X216" i="2"/>
  <c r="W196" i="2"/>
  <c r="U240" i="2"/>
  <c r="W232" i="2"/>
  <c r="W125" i="2"/>
  <c r="W64" i="2"/>
  <c r="X91" i="2"/>
  <c r="W290" i="2"/>
  <c r="V96" i="2"/>
  <c r="W54" i="2"/>
  <c r="X263" i="2"/>
  <c r="W108" i="2"/>
  <c r="W81" i="2"/>
  <c r="X136" i="2"/>
  <c r="X277" i="2"/>
  <c r="V302" i="2"/>
  <c r="X281" i="2"/>
  <c r="V296" i="2"/>
  <c r="W189" i="2"/>
  <c r="X289" i="2"/>
  <c r="V137" i="2"/>
  <c r="X257" i="2"/>
  <c r="X225" i="2"/>
  <c r="W247" i="2"/>
  <c r="X235" i="2"/>
  <c r="V220" i="2"/>
  <c r="W114" i="2"/>
  <c r="W186" i="2"/>
  <c r="V136" i="2"/>
  <c r="X285" i="2"/>
  <c r="V177" i="2"/>
  <c r="X168" i="2"/>
  <c r="V87" i="2"/>
  <c r="R87" i="2" s="1"/>
  <c r="V58" i="2"/>
  <c r="X223" i="2"/>
  <c r="W293" i="2"/>
  <c r="W143" i="2"/>
  <c r="W216" i="2"/>
  <c r="W280" i="2"/>
  <c r="W239" i="2"/>
  <c r="V265" i="2"/>
  <c r="X288" i="2"/>
  <c r="X131" i="2"/>
  <c r="X299" i="2"/>
  <c r="X162" i="2"/>
  <c r="W58" i="2"/>
  <c r="V202" i="2"/>
  <c r="V111" i="2"/>
  <c r="X118" i="2"/>
  <c r="V126" i="2"/>
  <c r="V167" i="2"/>
  <c r="W240" i="2"/>
  <c r="V67" i="2"/>
  <c r="V236" i="2"/>
  <c r="V114" i="2"/>
  <c r="S160" i="2"/>
  <c r="V133" i="2"/>
  <c r="X296" i="2"/>
  <c r="V94" i="2"/>
  <c r="S94" i="2" s="1"/>
  <c r="R271" i="2"/>
  <c r="X116" i="2"/>
  <c r="X267" i="2"/>
  <c r="V201" i="2"/>
  <c r="V225" i="2"/>
  <c r="W236" i="2"/>
  <c r="V178" i="2"/>
  <c r="X283" i="2"/>
  <c r="W256" i="2"/>
  <c r="V85" i="2"/>
  <c r="X135" i="2"/>
  <c r="X83" i="2"/>
  <c r="W300" i="2"/>
  <c r="V293" i="2"/>
  <c r="V227" i="2"/>
  <c r="V294" i="2"/>
  <c r="W97" i="2"/>
  <c r="V255" i="2"/>
  <c r="X240" i="2"/>
  <c r="X224" i="2"/>
  <c r="X233" i="2"/>
  <c r="X171" i="2"/>
  <c r="W84" i="2"/>
  <c r="R84" i="2" s="1"/>
  <c r="V81" i="2"/>
  <c r="X234" i="2"/>
  <c r="W248" i="2"/>
  <c r="W268" i="2"/>
  <c r="X96" i="2"/>
  <c r="S210" i="2"/>
  <c r="V244" i="2"/>
  <c r="V228" i="2"/>
  <c r="W124" i="2"/>
  <c r="X302" i="2"/>
  <c r="V229" i="2"/>
  <c r="V95" i="2"/>
  <c r="W95" i="2"/>
  <c r="V175" i="2"/>
  <c r="W175" i="2"/>
  <c r="S175" i="2" s="1"/>
  <c r="W183" i="2"/>
  <c r="V183" i="2"/>
  <c r="W285" i="2"/>
  <c r="V285" i="2"/>
  <c r="R285" i="2" s="1"/>
  <c r="V267" i="2"/>
  <c r="W267" i="2"/>
  <c r="W174" i="2"/>
  <c r="V174" i="2"/>
  <c r="W298" i="2"/>
  <c r="V298" i="2"/>
  <c r="W148" i="2"/>
  <c r="V148" i="2"/>
  <c r="W113" i="2"/>
  <c r="V113" i="2"/>
  <c r="V131" i="2"/>
  <c r="W131" i="2"/>
  <c r="V141" i="2"/>
  <c r="V71" i="2"/>
  <c r="W71" i="2"/>
  <c r="V122" i="2"/>
  <c r="W122" i="2"/>
  <c r="W158" i="2"/>
  <c r="V158" i="2"/>
  <c r="V120" i="2"/>
  <c r="W120" i="2"/>
  <c r="W169" i="2"/>
  <c r="V169" i="2"/>
  <c r="V188" i="2"/>
  <c r="W188" i="2"/>
  <c r="W82" i="2"/>
  <c r="W191" i="2"/>
  <c r="V191" i="2"/>
  <c r="R191" i="2" s="1"/>
  <c r="V132" i="2"/>
  <c r="W132" i="2"/>
  <c r="V250" i="2"/>
  <c r="R160" i="2"/>
  <c r="X85" i="2"/>
  <c r="W207" i="2"/>
  <c r="Q15" i="11"/>
  <c r="X243" i="2"/>
  <c r="X265" i="2"/>
  <c r="W165" i="2"/>
  <c r="V165" i="2"/>
  <c r="V222" i="2"/>
  <c r="W57" i="2"/>
  <c r="V193" i="2"/>
  <c r="V237" i="2"/>
  <c r="W90" i="2"/>
  <c r="V186" i="2"/>
  <c r="V195" i="2"/>
  <c r="W178" i="2"/>
  <c r="W163" i="2"/>
  <c r="V163" i="2"/>
  <c r="W98" i="2"/>
  <c r="V98" i="2"/>
  <c r="V179" i="2"/>
  <c r="W222" i="2"/>
  <c r="V184" i="2"/>
  <c r="V243" i="2"/>
  <c r="W67" i="2"/>
  <c r="W201" i="2"/>
  <c r="X79" i="2"/>
  <c r="V283" i="2"/>
  <c r="X186" i="2"/>
  <c r="X303" i="2"/>
  <c r="W56" i="2"/>
  <c r="W225" i="2"/>
  <c r="V290" i="2"/>
  <c r="V125" i="2"/>
  <c r="X101" i="2"/>
  <c r="W171" i="2"/>
  <c r="W303" i="2"/>
  <c r="W218" i="2"/>
  <c r="V274" i="2"/>
  <c r="V217" i="2"/>
  <c r="W217" i="2"/>
  <c r="V83" i="2"/>
  <c r="W190" i="2"/>
  <c r="V260" i="2"/>
  <c r="X271" i="2"/>
  <c r="R73" i="2"/>
  <c r="V142" i="2"/>
  <c r="X275" i="2"/>
  <c r="W83" i="2"/>
  <c r="V279" i="2"/>
  <c r="V199" i="2"/>
  <c r="W287" i="2"/>
  <c r="X199" i="2"/>
  <c r="W167" i="2"/>
  <c r="W304" i="2"/>
  <c r="R75" i="2"/>
  <c r="S75" i="2"/>
  <c r="X87" i="2"/>
  <c r="V264" i="2"/>
  <c r="X60" i="2"/>
  <c r="V145" i="2"/>
  <c r="S73" i="2"/>
  <c r="X137" i="2"/>
  <c r="V233" i="2"/>
  <c r="V213" i="2"/>
  <c r="R213" i="2" s="1"/>
  <c r="W242" i="2"/>
  <c r="V301" i="2"/>
  <c r="Y208" i="2"/>
  <c r="V284" i="2"/>
  <c r="W85" i="2"/>
  <c r="X121" i="2"/>
  <c r="V182" i="2"/>
  <c r="S182" i="2" s="1"/>
  <c r="W106" i="2"/>
  <c r="X295" i="2"/>
  <c r="V77" i="2"/>
  <c r="W72" i="2"/>
  <c r="V117" i="2"/>
  <c r="W142" i="2"/>
  <c r="V300" i="2"/>
  <c r="W294" i="2"/>
  <c r="V65" i="2"/>
  <c r="W265" i="2"/>
  <c r="V297" i="2"/>
  <c r="W187" i="2"/>
  <c r="V79" i="2"/>
  <c r="X218" i="2"/>
  <c r="X81" i="2"/>
  <c r="W153" i="2"/>
  <c r="R153" i="2" s="1"/>
  <c r="X114" i="2"/>
  <c r="W146" i="2"/>
  <c r="S271" i="2"/>
  <c r="W258" i="2"/>
  <c r="V303" i="2"/>
  <c r="V200" i="2"/>
  <c r="W200" i="2"/>
  <c r="V218" i="2"/>
  <c r="W219" i="2"/>
  <c r="V219" i="2"/>
  <c r="V232" i="2"/>
  <c r="W184" i="2"/>
  <c r="V206" i="2"/>
  <c r="W244" i="2"/>
  <c r="U225" i="2"/>
  <c r="F183" i="2"/>
  <c r="V164" i="2"/>
  <c r="V242" i="2"/>
  <c r="H134" i="2"/>
  <c r="V134" i="2" s="1"/>
  <c r="O231" i="2"/>
  <c r="Y219" i="2"/>
  <c r="Q203" i="2"/>
  <c r="Y203" i="2" s="1"/>
  <c r="W275" i="2"/>
  <c r="Q296" i="2"/>
  <c r="Y296" i="2" s="1"/>
  <c r="E232" i="2"/>
  <c r="M196" i="2"/>
  <c r="T196" i="2" s="1"/>
  <c r="H197" i="2"/>
  <c r="V197" i="2" s="1"/>
  <c r="H223" i="2"/>
  <c r="V223" i="2" s="1"/>
  <c r="M218" i="2"/>
  <c r="T218" i="2" s="1"/>
  <c r="N140" i="2"/>
  <c r="U140" i="2" s="1"/>
  <c r="X294" i="2"/>
  <c r="G180" i="2"/>
  <c r="T219" i="2"/>
  <c r="M203" i="2"/>
  <c r="T203" i="2" s="1"/>
  <c r="O226" i="2"/>
  <c r="W226" i="2" s="1"/>
  <c r="I234" i="2"/>
  <c r="V234" i="2" s="1"/>
  <c r="N156" i="2"/>
  <c r="U156" i="2" s="1"/>
  <c r="M227" i="2"/>
  <c r="T227" i="2" s="1"/>
  <c r="N170" i="2"/>
  <c r="U170" i="2" s="1"/>
  <c r="U273" i="2"/>
  <c r="X148" i="2"/>
  <c r="N226" i="2"/>
  <c r="U226" i="2" s="1"/>
  <c r="F125" i="2"/>
  <c r="I110" i="2"/>
  <c r="W110" i="2" s="1"/>
  <c r="V287" i="2"/>
  <c r="V189" i="2"/>
  <c r="V235" i="2"/>
  <c r="S235" i="2" s="1"/>
  <c r="T135" i="2"/>
  <c r="N183" i="2"/>
  <c r="U183" i="2" s="1"/>
  <c r="X205" i="2"/>
  <c r="W109" i="2"/>
  <c r="V108" i="2"/>
  <c r="V55" i="2"/>
  <c r="V190" i="2"/>
  <c r="G223" i="2"/>
  <c r="W144" i="2"/>
  <c r="R144" i="2" s="1"/>
  <c r="V258" i="2"/>
  <c r="W79" i="2"/>
  <c r="V270" i="2"/>
  <c r="W233" i="2"/>
  <c r="P140" i="2"/>
  <c r="G197" i="2"/>
  <c r="M180" i="2"/>
  <c r="T180" i="2" s="1"/>
  <c r="I269" i="2"/>
  <c r="Q91" i="2"/>
  <c r="Y91" i="2" s="1"/>
  <c r="U202" i="2"/>
  <c r="I93" i="2"/>
  <c r="V93" i="2" s="1"/>
  <c r="J183" i="2"/>
  <c r="X183" i="2" s="1"/>
  <c r="V289" i="2"/>
  <c r="X290" i="2"/>
  <c r="V282" i="2"/>
  <c r="V263" i="2"/>
  <c r="V304" i="2"/>
  <c r="X107" i="2"/>
  <c r="E183" i="2"/>
  <c r="V251" i="2"/>
  <c r="W103" i="2"/>
  <c r="V119" i="2"/>
  <c r="X172" i="2"/>
  <c r="J140" i="2"/>
  <c r="I205" i="2"/>
  <c r="V205" i="2" s="1"/>
  <c r="U208" i="2"/>
  <c r="I185" i="2"/>
  <c r="P125" i="2"/>
  <c r="X125" i="2" s="1"/>
  <c r="Y59" i="2"/>
  <c r="W206" i="2"/>
  <c r="D125" i="2"/>
  <c r="J259" i="2"/>
  <c r="X259" i="2" s="1"/>
  <c r="X127" i="2"/>
  <c r="Y175" i="2"/>
  <c r="H203" i="2"/>
  <c r="V203" i="2" s="1"/>
  <c r="O118" i="2"/>
  <c r="I198" i="2"/>
  <c r="W198" i="2" s="1"/>
  <c r="P23" i="11"/>
  <c r="R210" i="2"/>
  <c r="I172" i="2"/>
  <c r="V172" i="2" s="1"/>
  <c r="V101" i="2"/>
  <c r="W101" i="2"/>
  <c r="W65" i="2"/>
  <c r="W66" i="2"/>
  <c r="V66" i="2"/>
  <c r="W116" i="2"/>
  <c r="V116" i="2"/>
  <c r="V162" i="2"/>
  <c r="W162" i="2"/>
  <c r="V262" i="2"/>
  <c r="V181" i="2"/>
  <c r="W181" i="2"/>
  <c r="W86" i="2"/>
  <c r="W76" i="2"/>
  <c r="V76" i="2"/>
  <c r="V292" i="2"/>
  <c r="V70" i="2"/>
  <c r="W250" i="2"/>
  <c r="V103" i="2"/>
  <c r="W270" i="2"/>
  <c r="X94" i="2"/>
  <c r="V230" i="2"/>
  <c r="X304" i="2"/>
  <c r="W78" i="2"/>
  <c r="V78" i="2"/>
  <c r="P17" i="11"/>
  <c r="R12" i="11"/>
  <c r="P10" i="11"/>
  <c r="P11" i="11"/>
  <c r="F299" i="2"/>
  <c r="O299" i="2"/>
  <c r="M299" i="2"/>
  <c r="T299" i="2" s="1"/>
  <c r="D292" i="2"/>
  <c r="F292" i="2"/>
  <c r="E292" i="2"/>
  <c r="J292" i="2"/>
  <c r="X292" i="2" s="1"/>
  <c r="G292" i="2"/>
  <c r="Q286" i="2"/>
  <c r="Y286" i="2" s="1"/>
  <c r="O286" i="2"/>
  <c r="I288" i="2"/>
  <c r="P286" i="2"/>
  <c r="X286" i="2" s="1"/>
  <c r="G270" i="2"/>
  <c r="I272" i="2"/>
  <c r="V272" i="2" s="1"/>
  <c r="M270" i="2"/>
  <c r="T270" i="2" s="1"/>
  <c r="P270" i="2"/>
  <c r="X270" i="2" s="1"/>
  <c r="M257" i="2"/>
  <c r="T257" i="2" s="1"/>
  <c r="O257" i="2"/>
  <c r="Q257" i="2"/>
  <c r="Y257" i="2" s="1"/>
  <c r="G250" i="2"/>
  <c r="I252" i="2"/>
  <c r="M250" i="2"/>
  <c r="T250" i="2" s="1"/>
  <c r="J250" i="2"/>
  <c r="P250" i="2"/>
  <c r="N243" i="2"/>
  <c r="U243" i="2" s="1"/>
  <c r="E243" i="2"/>
  <c r="M243" i="2"/>
  <c r="T243" i="2" s="1"/>
  <c r="I245" i="2"/>
  <c r="H166" i="2"/>
  <c r="V166" i="2" s="1"/>
  <c r="M117" i="2"/>
  <c r="T117" i="2" s="1"/>
  <c r="H86" i="2"/>
  <c r="V86" i="2" s="1"/>
  <c r="Q176" i="2"/>
  <c r="Y176" i="2" s="1"/>
  <c r="P238" i="2"/>
  <c r="X238" i="2" s="1"/>
  <c r="Q226" i="2"/>
  <c r="Y226" i="2" s="1"/>
  <c r="E117" i="2"/>
  <c r="O249" i="2"/>
  <c r="F237" i="2"/>
  <c r="O138" i="2"/>
  <c r="Q166" i="2"/>
  <c r="Y166" i="2" s="1"/>
  <c r="D238" i="2"/>
  <c r="H196" i="2"/>
  <c r="V196" i="2" s="1"/>
  <c r="O74" i="2"/>
  <c r="J110" i="2"/>
  <c r="X110" i="2" s="1"/>
  <c r="D86" i="2"/>
  <c r="M166" i="2"/>
  <c r="T166" i="2" s="1"/>
  <c r="G147" i="2"/>
  <c r="E207" i="2"/>
  <c r="N281" i="2"/>
  <c r="U281" i="2" s="1"/>
  <c r="H305" i="2"/>
  <c r="V305" i="2" s="1"/>
  <c r="S305" i="2" s="1"/>
  <c r="D296" i="2"/>
  <c r="O281" i="2"/>
  <c r="G196" i="2"/>
  <c r="Q238" i="2"/>
  <c r="Y238" i="2" s="1"/>
  <c r="J207" i="2"/>
  <c r="O238" i="2"/>
  <c r="P181" i="2"/>
  <c r="P207" i="2"/>
  <c r="N74" i="2"/>
  <c r="U74" i="2" s="1"/>
  <c r="F171" i="2"/>
  <c r="G86" i="2"/>
  <c r="J181" i="2"/>
  <c r="E166" i="2"/>
  <c r="Q207" i="2"/>
  <c r="Y207" i="2" s="1"/>
  <c r="H247" i="2"/>
  <c r="V247" i="2" s="1"/>
  <c r="J74" i="2"/>
  <c r="X74" i="2" s="1"/>
  <c r="N171" i="2"/>
  <c r="U171" i="2" s="1"/>
  <c r="I102" i="2"/>
  <c r="W102" i="2" s="1"/>
  <c r="H147" i="2"/>
  <c r="V147" i="2" s="1"/>
  <c r="E188" i="2"/>
  <c r="F138" i="2"/>
  <c r="M110" i="2"/>
  <c r="T110" i="2" s="1"/>
  <c r="G100" i="2"/>
  <c r="D147" i="2"/>
  <c r="H226" i="2"/>
  <c r="F117" i="2"/>
  <c r="F277" i="2"/>
  <c r="D188" i="2"/>
  <c r="D181" i="2"/>
  <c r="I168" i="2"/>
  <c r="I149" i="2"/>
  <c r="N138" i="2"/>
  <c r="U138" i="2" s="1"/>
  <c r="H100" i="2"/>
  <c r="V100" i="2" s="1"/>
  <c r="D247" i="2"/>
  <c r="E305" i="2"/>
  <c r="AI45" i="8" a="1"/>
  <c r="AI22" i="8" a="1"/>
  <c r="AI5" i="8" a="1"/>
  <c r="AI12" i="8" a="1"/>
  <c r="AI42" i="8" a="1"/>
  <c r="AI19" i="8" a="1"/>
  <c r="AI40" i="8" a="1"/>
  <c r="AI14" i="8" a="1"/>
  <c r="AI47" i="8" a="1"/>
  <c r="AI10" i="8" a="1"/>
  <c r="AI4" i="8" a="1"/>
  <c r="AI7" i="8" a="1"/>
  <c r="AI30" i="8" a="1"/>
  <c r="AI6" i="8" a="1"/>
  <c r="AI18" i="8" a="1"/>
  <c r="AI13" i="8" a="1"/>
  <c r="AI41" i="8" a="1"/>
  <c r="AI16" i="8" a="1"/>
  <c r="AI28" i="8" a="1"/>
  <c r="AI11" i="8" a="1"/>
  <c r="AI25" i="8" a="1"/>
  <c r="AI17" i="8" a="1"/>
  <c r="AI33" i="8" a="1"/>
  <c r="AI15" i="8" a="1"/>
  <c r="AI36" i="8" a="1"/>
  <c r="AI29" i="8" a="1"/>
  <c r="AG45" i="8" a="1"/>
  <c r="AG22" i="8" a="1"/>
  <c r="AG5" i="8" a="1"/>
  <c r="AG14" i="8" a="1"/>
  <c r="AG47" i="8" a="1"/>
  <c r="AG13" i="8" a="1"/>
  <c r="AG41" i="8" a="1"/>
  <c r="AG12" i="8" a="1"/>
  <c r="AG42" i="8" a="1"/>
  <c r="AG19" i="8" a="1"/>
  <c r="AG40" i="8" a="1"/>
  <c r="AG18" i="8" a="1"/>
  <c r="AG11" i="8" a="1"/>
  <c r="AG25" i="8" a="1"/>
  <c r="AG17" i="8" a="1"/>
  <c r="AG33" i="8" a="1"/>
  <c r="AG15" i="8" a="1"/>
  <c r="AG16" i="8" a="1"/>
  <c r="AG36" i="8" a="1"/>
  <c r="AG10" i="8" a="1"/>
  <c r="AG4" i="8" a="1"/>
  <c r="AG29" i="8" a="1"/>
  <c r="AG7" i="8" a="1"/>
  <c r="AG30" i="8" a="1"/>
  <c r="AG28" i="8" a="1"/>
  <c r="AG6" i="8" a="1"/>
  <c r="AF45" i="8" a="1"/>
  <c r="AF22" i="8" a="1"/>
  <c r="AF5" i="8" a="1"/>
  <c r="AF41" i="8" a="1"/>
  <c r="AF16" i="8" a="1"/>
  <c r="AF36" i="8" a="1"/>
  <c r="AF10" i="8" a="1"/>
  <c r="AF4" i="8" a="1"/>
  <c r="AF29" i="8" a="1"/>
  <c r="AF42" i="8" a="1"/>
  <c r="AF19" i="8" a="1"/>
  <c r="AF40" i="8" a="1"/>
  <c r="AF18" i="8" a="1"/>
  <c r="AF11" i="8" a="1"/>
  <c r="AF25" i="8" a="1"/>
  <c r="AF17" i="8" a="1"/>
  <c r="AF33" i="8" a="1"/>
  <c r="AF14" i="8" a="1"/>
  <c r="AF47" i="8" a="1"/>
  <c r="AF13" i="8" a="1"/>
  <c r="AF15" i="8" a="1"/>
  <c r="AF12" i="8" a="1"/>
  <c r="AF7" i="8" a="1"/>
  <c r="AF30" i="8" a="1"/>
  <c r="AF28" i="8" a="1"/>
  <c r="AF6" i="8" a="1"/>
  <c r="AE45" i="8" a="1"/>
  <c r="AE22" i="8" a="1"/>
  <c r="AE5" i="8" a="1"/>
  <c r="AE17" i="8" a="1"/>
  <c r="AE13" i="8" a="1"/>
  <c r="AE41" i="8" a="1"/>
  <c r="AE6" i="8" a="1"/>
  <c r="AE25" i="8" a="1"/>
  <c r="AE47" i="8" a="1"/>
  <c r="AE12" i="8" a="1"/>
  <c r="AE29" i="8" a="1"/>
  <c r="AE42" i="8" a="1"/>
  <c r="AE19" i="8" a="1"/>
  <c r="AE40" i="8" a="1"/>
  <c r="AE18" i="8" a="1"/>
  <c r="AE11" i="8" a="1"/>
  <c r="AE33" i="8" a="1"/>
  <c r="AE14" i="8" a="1"/>
  <c r="AE15" i="8" a="1"/>
  <c r="AE10" i="8" a="1"/>
  <c r="AE4" i="8" a="1"/>
  <c r="AE36" i="8" a="1"/>
  <c r="AE7" i="8" a="1"/>
  <c r="AE30" i="8" a="1"/>
  <c r="AE28" i="8" a="1"/>
  <c r="AE16" i="8" a="1"/>
  <c r="AD45" i="8" a="1"/>
  <c r="AD22" i="8" a="1"/>
  <c r="AD5" i="8" a="1"/>
  <c r="AD16" i="8" a="1"/>
  <c r="AD6" i="8" a="1"/>
  <c r="AD42" i="8" a="1"/>
  <c r="AD19" i="8" a="1"/>
  <c r="AD40" i="8" a="1"/>
  <c r="AD18" i="8" a="1"/>
  <c r="AD14" i="8" a="1"/>
  <c r="AD13" i="8" a="1"/>
  <c r="AD41" i="8" a="1"/>
  <c r="AD36" i="8" a="1"/>
  <c r="AD4" i="8" a="1"/>
  <c r="AD7" i="8" a="1"/>
  <c r="AD28" i="8" a="1"/>
  <c r="AD11" i="8" a="1"/>
  <c r="AD25" i="8" a="1"/>
  <c r="AD17" i="8" a="1"/>
  <c r="AD33" i="8" a="1"/>
  <c r="AD47" i="8" a="1"/>
  <c r="AD15" i="8" a="1"/>
  <c r="AD12" i="8" a="1"/>
  <c r="AD10" i="8" a="1"/>
  <c r="AD29" i="8" a="1"/>
  <c r="AD30" i="8" a="1"/>
  <c r="AL41" i="15" a="1"/>
  <c r="AG41" i="15" a="1"/>
  <c r="AE41" i="15" a="1"/>
  <c r="AD41" i="15" a="1"/>
  <c r="AC41" i="15" a="1"/>
  <c r="AB41" i="15" a="1"/>
  <c r="AL50" i="15" a="1"/>
  <c r="AG50" i="15" a="1"/>
  <c r="AE50" i="15" a="1"/>
  <c r="AD50" i="15" a="1"/>
  <c r="AC50" i="15" a="1"/>
  <c r="AB50" i="15" a="1"/>
  <c r="AL25" i="15" a="1"/>
  <c r="AG25" i="15" a="1"/>
  <c r="AE25" i="15" a="1"/>
  <c r="AD25" i="15" a="1"/>
  <c r="AC25" i="15" a="1"/>
  <c r="AB25" i="15" a="1"/>
  <c r="AL43" i="15" a="1"/>
  <c r="AG43" i="15" a="1"/>
  <c r="AE43" i="15" a="1"/>
  <c r="AD43" i="15" a="1"/>
  <c r="AC43" i="15" a="1"/>
  <c r="AB43" i="15" a="1"/>
  <c r="AL17" i="15" a="1"/>
  <c r="AG17" i="15" a="1"/>
  <c r="AE17" i="15" a="1"/>
  <c r="AD17" i="15" a="1"/>
  <c r="AC17" i="15" a="1"/>
  <c r="AB17" i="15" a="1"/>
  <c r="AL3" i="15" a="1"/>
  <c r="AG3" i="15" a="1"/>
  <c r="AE3" i="15" a="1"/>
  <c r="AD3" i="15" a="1"/>
  <c r="AC3" i="15" a="1"/>
  <c r="AB3" i="15" a="1"/>
  <c r="AM3" i="8" a="1"/>
  <c r="AL35" i="15" a="1"/>
  <c r="AG35" i="15" a="1"/>
  <c r="AE35" i="15" a="1"/>
  <c r="AD35" i="15" a="1"/>
  <c r="AC35" i="15" a="1"/>
  <c r="AB35" i="15" a="1"/>
  <c r="AL9" i="15" a="1"/>
  <c r="AG9" i="15" a="1"/>
  <c r="AE9" i="15" a="1"/>
  <c r="AD9" i="15" a="1"/>
  <c r="AC9" i="15" a="1"/>
  <c r="AB9" i="15" a="1"/>
  <c r="AL7" i="15" a="1"/>
  <c r="AG7" i="15" a="1"/>
  <c r="AE7" i="15" a="1"/>
  <c r="AD7" i="15" a="1"/>
  <c r="AC7" i="15" a="1"/>
  <c r="AB7" i="15" a="1"/>
  <c r="AL14" i="15" a="1"/>
  <c r="AG14" i="15" a="1"/>
  <c r="AE14" i="15" a="1"/>
  <c r="AD14" i="15" a="1"/>
  <c r="AC14" i="15" a="1"/>
  <c r="AB14" i="15" a="1"/>
  <c r="AL33" i="15" a="1"/>
  <c r="AG33" i="15" a="1"/>
  <c r="AE33" i="15" a="1"/>
  <c r="AD33" i="15" a="1"/>
  <c r="AC33" i="15" a="1"/>
  <c r="AB33" i="15" a="1"/>
  <c r="AL19" i="15" a="1"/>
  <c r="AG19" i="15" a="1"/>
  <c r="AE19" i="15" a="1"/>
  <c r="AD19" i="15" a="1"/>
  <c r="AC19" i="15" a="1"/>
  <c r="AB19" i="15" a="1"/>
  <c r="AL4" i="15" a="1"/>
  <c r="AG4" i="15" a="1"/>
  <c r="AE4" i="15" a="1"/>
  <c r="AD4" i="15" a="1"/>
  <c r="AC4" i="15" a="1"/>
  <c r="AB4" i="15" a="1"/>
  <c r="AL51" i="15" a="1"/>
  <c r="AG51" i="15" a="1"/>
  <c r="AE51" i="15" a="1"/>
  <c r="AD51" i="15" a="1"/>
  <c r="AC51" i="15" a="1"/>
  <c r="AB51" i="15" a="1"/>
  <c r="AL34" i="15" a="1"/>
  <c r="AG34" i="15" a="1"/>
  <c r="AE34" i="15" a="1"/>
  <c r="AD34" i="15" a="1"/>
  <c r="AC34" i="15" a="1"/>
  <c r="AB34" i="15" a="1"/>
  <c r="AL5" i="15" a="1"/>
  <c r="AG5" i="15" a="1"/>
  <c r="AE5" i="15" a="1"/>
  <c r="AD5" i="15" a="1"/>
  <c r="AC5" i="15" a="1"/>
  <c r="AB5" i="15" a="1"/>
  <c r="AL38" i="15" a="1"/>
  <c r="AG38" i="15" a="1"/>
  <c r="AE38" i="15" a="1"/>
  <c r="AD38" i="15" a="1"/>
  <c r="AC38" i="15" a="1"/>
  <c r="AB38" i="15" a="1"/>
  <c r="AL11" i="15" a="1"/>
  <c r="AG11" i="15" a="1"/>
  <c r="AE11" i="15" a="1"/>
  <c r="AD11" i="15" a="1"/>
  <c r="AC11" i="15" a="1"/>
  <c r="AB11" i="15" a="1"/>
  <c r="AL27" i="15" a="1"/>
  <c r="AG27" i="15" a="1"/>
  <c r="AE27" i="15" a="1"/>
  <c r="AD27" i="15" a="1"/>
  <c r="AC27" i="15" a="1"/>
  <c r="AB27" i="15" a="1"/>
  <c r="AL36" i="15" a="1"/>
  <c r="AG36" i="15" a="1"/>
  <c r="AE36" i="15" a="1"/>
  <c r="AD36" i="15" a="1"/>
  <c r="AC36" i="15" a="1"/>
  <c r="AB36" i="15" a="1"/>
  <c r="AL10" i="15" a="1"/>
  <c r="AG10" i="15" a="1"/>
  <c r="AE10" i="15" a="1"/>
  <c r="AD10" i="15" a="1"/>
  <c r="AC10" i="15" a="1"/>
  <c r="AB10" i="15" a="1"/>
  <c r="AL30" i="15" a="1"/>
  <c r="AG30" i="15" a="1"/>
  <c r="AE30" i="15" a="1"/>
  <c r="AD30" i="15" a="1"/>
  <c r="AC30" i="15" a="1"/>
  <c r="AB30" i="15" a="1"/>
  <c r="AL49" i="15" a="1"/>
  <c r="AG49" i="15" a="1"/>
  <c r="AE49" i="15" a="1"/>
  <c r="AD49" i="15" a="1"/>
  <c r="AC49" i="15" a="1"/>
  <c r="AB49" i="15" a="1"/>
  <c r="AL12" i="15" a="1"/>
  <c r="AG12" i="15" a="1"/>
  <c r="AE12" i="15" a="1"/>
  <c r="AD12" i="15" a="1"/>
  <c r="AC12" i="15" a="1"/>
  <c r="AB12" i="15" a="1"/>
  <c r="AL22" i="15" a="1"/>
  <c r="AG22" i="15" a="1"/>
  <c r="AE22" i="15" a="1"/>
  <c r="AD22" i="15" a="1"/>
  <c r="AC22" i="15" a="1"/>
  <c r="AB22" i="15" a="1"/>
  <c r="R58" i="15" a="1"/>
  <c r="Q58" i="15" a="1"/>
  <c r="AM18" i="8" a="1"/>
  <c r="AB18" i="15" a="1"/>
  <c r="AC18" i="15" a="1"/>
  <c r="AD18" i="15" a="1"/>
  <c r="AE18" i="15" a="1"/>
  <c r="AG18" i="15" a="1"/>
  <c r="AL18" i="15" a="1"/>
  <c r="AB20" i="15" a="1"/>
  <c r="AC20" i="15" a="1"/>
  <c r="AD20" i="15" a="1"/>
  <c r="AE20" i="15" a="1"/>
  <c r="AG20" i="15" a="1"/>
  <c r="AL20" i="15" a="1"/>
  <c r="Q67" i="15" a="1"/>
  <c r="R67" i="15" a="1"/>
  <c r="AB26" i="15" a="1"/>
  <c r="AC26" i="15" a="1"/>
  <c r="AD26" i="15" a="1"/>
  <c r="AE26" i="15" a="1"/>
  <c r="AG26" i="15" a="1"/>
  <c r="AL26" i="15" a="1"/>
  <c r="Q69" i="15" a="1"/>
  <c r="R69" i="15" a="1"/>
  <c r="Q60" i="15" a="1"/>
  <c r="R60" i="15" a="1"/>
  <c r="AB47" i="15" a="1"/>
  <c r="AC47" i="15" a="1"/>
  <c r="AD47" i="15" a="1"/>
  <c r="AE47" i="15" a="1"/>
  <c r="AG47" i="15" a="1"/>
  <c r="AL47" i="15" a="1"/>
  <c r="R66" i="15" a="1"/>
  <c r="Q66" i="15" a="1"/>
  <c r="AL29" i="15" a="1"/>
  <c r="AG29" i="15" a="1"/>
  <c r="AE29" i="15" a="1"/>
  <c r="AD29" i="15" a="1"/>
  <c r="AC29" i="15" a="1"/>
  <c r="AB29" i="15" a="1"/>
  <c r="AB39" i="15" a="1"/>
  <c r="AC39" i="15" a="1"/>
  <c r="AD39" i="15" a="1"/>
  <c r="AE39" i="15" a="1"/>
  <c r="AG39" i="15" a="1"/>
  <c r="AL39" i="15" a="1"/>
  <c r="AL45" i="15" a="1"/>
  <c r="AG45" i="15" a="1"/>
  <c r="AE45" i="15" a="1"/>
  <c r="AD45" i="15" a="1"/>
  <c r="AC45" i="15" a="1"/>
  <c r="AB45" i="15" a="1"/>
  <c r="R55" i="15" a="1"/>
  <c r="Q55" i="15" a="1"/>
  <c r="AL6" i="15" a="1"/>
  <c r="AG6" i="15" a="1"/>
  <c r="AE6" i="15" a="1"/>
  <c r="AD6" i="15" a="1"/>
  <c r="AC6" i="15" a="1"/>
  <c r="AB6" i="15" a="1"/>
  <c r="AL23" i="15" a="1"/>
  <c r="AG23" i="15" a="1"/>
  <c r="AE23" i="15" a="1"/>
  <c r="AD23" i="15" a="1"/>
  <c r="AC23" i="15" a="1"/>
  <c r="AB23" i="15" a="1"/>
  <c r="AB31" i="15" a="1"/>
  <c r="AC31" i="15" a="1"/>
  <c r="AD31" i="15" a="1"/>
  <c r="AE31" i="15" a="1"/>
  <c r="AG31" i="15" a="1"/>
  <c r="AL31" i="15" a="1"/>
  <c r="AB40" i="15" a="1"/>
  <c r="AC40" i="15" a="1"/>
  <c r="AD40" i="15" a="1"/>
  <c r="AE40" i="15" a="1"/>
  <c r="AG40" i="15" a="1"/>
  <c r="AL40" i="15" a="1"/>
  <c r="Q62" i="15" a="1"/>
  <c r="R62" i="15" a="1"/>
  <c r="AL46" i="15" a="1"/>
  <c r="AG46" i="15" a="1"/>
  <c r="AE46" i="15" a="1"/>
  <c r="AD46" i="15" a="1"/>
  <c r="AC46" i="15" a="1"/>
  <c r="AB46" i="15" a="1"/>
  <c r="AL44" i="15" a="1"/>
  <c r="AG44" i="15" a="1"/>
  <c r="AE44" i="15" a="1"/>
  <c r="AD44" i="15" a="1"/>
  <c r="AC44" i="15" a="1"/>
  <c r="AB44" i="15" a="1"/>
  <c r="R57" i="15" a="1"/>
  <c r="Q57" i="15" a="1"/>
  <c r="R68" i="15" a="1"/>
  <c r="Q68" i="15" a="1"/>
  <c r="R71" i="15" a="1"/>
  <c r="Q71" i="15" a="1"/>
  <c r="R63" i="15" a="1"/>
  <c r="Q63" i="15" a="1"/>
  <c r="AB52" i="15" a="1"/>
  <c r="AC52" i="15" a="1"/>
  <c r="AD52" i="15" a="1"/>
  <c r="AE52" i="15" a="1"/>
  <c r="AG52" i="15" a="1"/>
  <c r="AL52" i="15" a="1"/>
  <c r="R56" i="15" a="1"/>
  <c r="Q56" i="15" a="1"/>
  <c r="R54" i="15" a="1"/>
  <c r="Q54" i="15" a="1"/>
  <c r="R61" i="15" a="1"/>
  <c r="Q61" i="15" a="1"/>
  <c r="AB13" i="15" a="1"/>
  <c r="AC13" i="15" a="1"/>
  <c r="AD13" i="15" a="1"/>
  <c r="AE13" i="15" a="1"/>
  <c r="AG13" i="15" a="1"/>
  <c r="AL13" i="15" a="1"/>
  <c r="AL2" i="15" a="1"/>
  <c r="AG2" i="15" a="1"/>
  <c r="AE2" i="15" a="1"/>
  <c r="AD2" i="15" a="1"/>
  <c r="AB2" i="15" a="1"/>
  <c r="AC2" i="15" a="1"/>
  <c r="AB37" i="15" a="1"/>
  <c r="AC37" i="15" a="1"/>
  <c r="AD37" i="15" a="1"/>
  <c r="AE37" i="15" a="1"/>
  <c r="AG37" i="15" a="1"/>
  <c r="AL37" i="15" a="1"/>
  <c r="R59" i="15" a="1"/>
  <c r="Q59" i="15" a="1"/>
  <c r="AB32" i="15" a="1"/>
  <c r="AC32" i="15" a="1"/>
  <c r="AD32" i="15" a="1"/>
  <c r="AE32" i="15" a="1"/>
  <c r="AG32" i="15" a="1"/>
  <c r="AL32" i="15" a="1"/>
  <c r="R64" i="15" a="1"/>
  <c r="Q64" i="15" a="1"/>
  <c r="AL21" i="15" a="1"/>
  <c r="AG21" i="15" a="1"/>
  <c r="AE21" i="15" a="1"/>
  <c r="AD21" i="15" a="1"/>
  <c r="AC21" i="15" a="1"/>
  <c r="AB21" i="15" a="1"/>
  <c r="AB16" i="15" a="1"/>
  <c r="AC16" i="15" a="1"/>
  <c r="AD16" i="15" a="1"/>
  <c r="AE16" i="15" a="1"/>
  <c r="AG16" i="15" a="1"/>
  <c r="AL16" i="15" a="1"/>
  <c r="AL15" i="15" a="1"/>
  <c r="AG15" i="15" a="1"/>
  <c r="AE15" i="15" a="1"/>
  <c r="AD15" i="15" a="1"/>
  <c r="AC15" i="15" a="1"/>
  <c r="AB15" i="15" a="1"/>
  <c r="R65" i="15" a="1"/>
  <c r="Q65" i="15" a="1"/>
  <c r="AB42" i="15" a="1"/>
  <c r="AC42" i="15" a="1"/>
  <c r="AD42" i="15" a="1"/>
  <c r="AE42" i="15" a="1"/>
  <c r="AG42" i="15" a="1"/>
  <c r="AL42" i="15" a="1"/>
  <c r="AB24" i="15" a="1"/>
  <c r="AC24" i="15" a="1"/>
  <c r="AD24" i="15" a="1"/>
  <c r="AE24" i="15" a="1"/>
  <c r="AG24" i="15" a="1"/>
  <c r="AL24" i="15" a="1"/>
  <c r="AL28" i="15" a="1"/>
  <c r="AG28" i="15" a="1"/>
  <c r="AE28" i="15" a="1"/>
  <c r="AD28" i="15" a="1"/>
  <c r="AC28" i="15" a="1"/>
  <c r="AB28" i="15" a="1"/>
  <c r="Q70" i="15" a="1"/>
  <c r="R70" i="15" a="1"/>
  <c r="AL8" i="15" a="1"/>
  <c r="AG8" i="15" a="1"/>
  <c r="AE8" i="15" a="1"/>
  <c r="AD8" i="15" a="1"/>
  <c r="AC8" i="15" a="1"/>
  <c r="AB8" i="15" a="1"/>
  <c r="AB48" i="15" a="1"/>
  <c r="AC48" i="15" a="1"/>
  <c r="AD48" i="15" a="1"/>
  <c r="AE48" i="15" a="1"/>
  <c r="AG48" i="15" a="1"/>
  <c r="AL48" i="15" a="1"/>
  <c r="AB53" i="15" a="1"/>
  <c r="AC53" i="15" a="1"/>
  <c r="AD53" i="15" a="1"/>
  <c r="AE53" i="15" a="1"/>
  <c r="AG53" i="15" a="1"/>
  <c r="AL53" i="15" a="1"/>
  <c r="AM45" i="8" a="1"/>
  <c r="AM28" i="8" a="1"/>
  <c r="AM6" i="8" a="1"/>
  <c r="AM30" i="8" a="1"/>
  <c r="AM29" i="8" a="1"/>
  <c r="AM7" i="8" a="1"/>
  <c r="AM42" i="8" a="1"/>
  <c r="AM22" i="8" a="1"/>
  <c r="AM5" i="8" a="1"/>
  <c r="AM11" i="8" a="1"/>
  <c r="AM25" i="8" a="1"/>
  <c r="AM19" i="8" a="1"/>
  <c r="AM40" i="8" a="1"/>
  <c r="AM14" i="8" a="1"/>
  <c r="AM17" i="8" a="1"/>
  <c r="AM33" i="8" a="1"/>
  <c r="AM15" i="8" a="1"/>
  <c r="AM47" i="8" a="1"/>
  <c r="AM13" i="8" a="1"/>
  <c r="AM16" i="8" a="1"/>
  <c r="AM41" i="8" a="1"/>
  <c r="AM12" i="8" a="1"/>
  <c r="AM4" i="8" a="1"/>
  <c r="AM36" i="8" a="1"/>
  <c r="AM10" i="8" a="1"/>
  <c r="AI29" i="8" l="1"/>
  <c r="AI36" i="8"/>
  <c r="AI15" i="8"/>
  <c r="AI33" i="8"/>
  <c r="AI17" i="8"/>
  <c r="AI25" i="8"/>
  <c r="AI11" i="8"/>
  <c r="AI28" i="8"/>
  <c r="AI16" i="8"/>
  <c r="AI41" i="8"/>
  <c r="AI13" i="8"/>
  <c r="AI18" i="8"/>
  <c r="AI6" i="8"/>
  <c r="AI30" i="8"/>
  <c r="AI7" i="8"/>
  <c r="AI4" i="8"/>
  <c r="AI10" i="8"/>
  <c r="AI47" i="8"/>
  <c r="AI14" i="8"/>
  <c r="AI40" i="8"/>
  <c r="AI19" i="8"/>
  <c r="AI42" i="8"/>
  <c r="AI12" i="8"/>
  <c r="AI5" i="8"/>
  <c r="AI22" i="8"/>
  <c r="AI45" i="8"/>
  <c r="AG6" i="8"/>
  <c r="AG28" i="8"/>
  <c r="AG30" i="8"/>
  <c r="AG7" i="8"/>
  <c r="AG29" i="8"/>
  <c r="AG4" i="8"/>
  <c r="AG10" i="8"/>
  <c r="AG36" i="8"/>
  <c r="AG16" i="8"/>
  <c r="AG15" i="8"/>
  <c r="AG33" i="8"/>
  <c r="AG17" i="8"/>
  <c r="AG25" i="8"/>
  <c r="AG11" i="8"/>
  <c r="AG18" i="8"/>
  <c r="AG40" i="8"/>
  <c r="AG19" i="8"/>
  <c r="AG42" i="8"/>
  <c r="AG12" i="8"/>
  <c r="AG41" i="8"/>
  <c r="AG13" i="8"/>
  <c r="AG47" i="8"/>
  <c r="AG14" i="8"/>
  <c r="AG5" i="8"/>
  <c r="AG22" i="8"/>
  <c r="AG45" i="8"/>
  <c r="AF6" i="8"/>
  <c r="AF28" i="8"/>
  <c r="AF30" i="8"/>
  <c r="AF7" i="8"/>
  <c r="AF12" i="8"/>
  <c r="AF15" i="8"/>
  <c r="AF13" i="8"/>
  <c r="AF47" i="8"/>
  <c r="AF14" i="8"/>
  <c r="AF33" i="8"/>
  <c r="AF17" i="8"/>
  <c r="AF25" i="8"/>
  <c r="AF11" i="8"/>
  <c r="AF18" i="8"/>
  <c r="AF40" i="8"/>
  <c r="AF19" i="8"/>
  <c r="AF42" i="8"/>
  <c r="AF29" i="8"/>
  <c r="AF4" i="8"/>
  <c r="AF10" i="8"/>
  <c r="AF36" i="8"/>
  <c r="AF16" i="8"/>
  <c r="AF41" i="8"/>
  <c r="AF5" i="8"/>
  <c r="AF22" i="8"/>
  <c r="AF45" i="8"/>
  <c r="AE16" i="8"/>
  <c r="AE28" i="8"/>
  <c r="AE30" i="8"/>
  <c r="AE7" i="8"/>
  <c r="AE36" i="8"/>
  <c r="AE4" i="8"/>
  <c r="AE10" i="8"/>
  <c r="AE15" i="8"/>
  <c r="AE14" i="8"/>
  <c r="AE33" i="8"/>
  <c r="AE11" i="8"/>
  <c r="AE18" i="8"/>
  <c r="AE40" i="8"/>
  <c r="AE19" i="8"/>
  <c r="AE42" i="8"/>
  <c r="AE29" i="8"/>
  <c r="AE12" i="8"/>
  <c r="AE47" i="8"/>
  <c r="AE25" i="8"/>
  <c r="AE6" i="8"/>
  <c r="AE41" i="8"/>
  <c r="AE13" i="8"/>
  <c r="AE17" i="8"/>
  <c r="AE5" i="8"/>
  <c r="AE22" i="8"/>
  <c r="AE45" i="8"/>
  <c r="AD30" i="8"/>
  <c r="AD29" i="8"/>
  <c r="AD10" i="8"/>
  <c r="AD12" i="8"/>
  <c r="AD15" i="8"/>
  <c r="AD47" i="8"/>
  <c r="AD33" i="8"/>
  <c r="AD17" i="8"/>
  <c r="AD25" i="8"/>
  <c r="AD11" i="8"/>
  <c r="AD28" i="8"/>
  <c r="AD7" i="8"/>
  <c r="AD4" i="8"/>
  <c r="AD36" i="8"/>
  <c r="AD41" i="8"/>
  <c r="AD13" i="8"/>
  <c r="AD14" i="8"/>
  <c r="AD18" i="8"/>
  <c r="AD40" i="8"/>
  <c r="AD19" i="8"/>
  <c r="AD42" i="8"/>
  <c r="AD6" i="8"/>
  <c r="AD16" i="8"/>
  <c r="AD5" i="8"/>
  <c r="AD22" i="8"/>
  <c r="AD45" i="8"/>
  <c r="S71" i="2"/>
  <c r="S230" i="2"/>
  <c r="S61" i="2"/>
  <c r="R228" i="2"/>
  <c r="R150" i="2"/>
  <c r="AD150" i="2" s="1"/>
  <c r="S276" i="2"/>
  <c r="R68" i="2"/>
  <c r="S60" i="2"/>
  <c r="S13" i="15"/>
  <c r="S20" i="15"/>
  <c r="S31" i="15"/>
  <c r="S8" i="15"/>
  <c r="S2" i="15"/>
  <c r="AB22" i="15"/>
  <c r="AC22" i="15"/>
  <c r="AD22" i="15"/>
  <c r="AE22" i="15"/>
  <c r="AG22" i="15"/>
  <c r="AL22" i="15"/>
  <c r="AB12" i="15"/>
  <c r="AC12" i="15"/>
  <c r="AD12" i="15"/>
  <c r="AE12" i="15"/>
  <c r="AG12" i="15"/>
  <c r="AL12" i="15"/>
  <c r="AB49" i="15"/>
  <c r="AC49" i="15"/>
  <c r="AD49" i="15"/>
  <c r="AE49" i="15"/>
  <c r="AG49" i="15"/>
  <c r="AL49" i="15"/>
  <c r="AB30" i="15"/>
  <c r="AC30" i="15"/>
  <c r="AD30" i="15"/>
  <c r="AE30" i="15"/>
  <c r="AG30" i="15"/>
  <c r="AL30" i="15"/>
  <c r="AB10" i="15"/>
  <c r="AC10" i="15"/>
  <c r="AD10" i="15"/>
  <c r="AE10" i="15"/>
  <c r="AG10" i="15"/>
  <c r="AL10" i="15"/>
  <c r="AB36" i="15"/>
  <c r="AC36" i="15"/>
  <c r="AD36" i="15"/>
  <c r="AE36" i="15"/>
  <c r="AG36" i="15"/>
  <c r="AL36" i="15"/>
  <c r="AB27" i="15"/>
  <c r="AC27" i="15"/>
  <c r="AD27" i="15"/>
  <c r="AE27" i="15"/>
  <c r="AG27" i="15"/>
  <c r="AL27" i="15"/>
  <c r="AB11" i="15"/>
  <c r="AC11" i="15"/>
  <c r="AD11" i="15"/>
  <c r="AE11" i="15"/>
  <c r="AG11" i="15"/>
  <c r="AL11" i="15"/>
  <c r="AB38" i="15"/>
  <c r="AC38" i="15"/>
  <c r="AD38" i="15"/>
  <c r="AE38" i="15"/>
  <c r="AG38" i="15"/>
  <c r="AL38" i="15"/>
  <c r="AB5" i="15"/>
  <c r="AC5" i="15"/>
  <c r="AD5" i="15"/>
  <c r="AE5" i="15"/>
  <c r="AG5" i="15"/>
  <c r="AL5" i="15"/>
  <c r="AB34" i="15"/>
  <c r="AC34" i="15"/>
  <c r="AD34" i="15"/>
  <c r="AE34" i="15"/>
  <c r="AG34" i="15"/>
  <c r="AL34" i="15"/>
  <c r="AB51" i="15"/>
  <c r="AC51" i="15"/>
  <c r="AD51" i="15"/>
  <c r="AE51" i="15"/>
  <c r="AG51" i="15"/>
  <c r="AL51" i="15"/>
  <c r="AB4" i="15"/>
  <c r="AC4" i="15"/>
  <c r="AD4" i="15"/>
  <c r="AE4" i="15"/>
  <c r="AG4" i="15"/>
  <c r="AL4" i="15"/>
  <c r="AB19" i="15"/>
  <c r="AC19" i="15"/>
  <c r="AD19" i="15"/>
  <c r="AE19" i="15"/>
  <c r="AG19" i="15"/>
  <c r="AL19" i="15"/>
  <c r="AB33" i="15"/>
  <c r="AC33" i="15"/>
  <c r="AD33" i="15"/>
  <c r="AE33" i="15"/>
  <c r="AG33" i="15"/>
  <c r="AL33" i="15"/>
  <c r="AB14" i="15"/>
  <c r="AC14" i="15"/>
  <c r="AD14" i="15"/>
  <c r="AE14" i="15"/>
  <c r="AG14" i="15"/>
  <c r="AL14" i="15"/>
  <c r="AB7" i="15"/>
  <c r="AC7" i="15"/>
  <c r="AD7" i="15"/>
  <c r="AE7" i="15"/>
  <c r="AG7" i="15"/>
  <c r="AL7" i="15"/>
  <c r="AB9" i="15"/>
  <c r="AC9" i="15"/>
  <c r="AD9" i="15"/>
  <c r="AE9" i="15"/>
  <c r="AG9" i="15"/>
  <c r="AL9" i="15"/>
  <c r="AB35" i="15"/>
  <c r="AC35" i="15"/>
  <c r="AD35" i="15"/>
  <c r="AE35" i="15"/>
  <c r="AG35" i="15"/>
  <c r="AL35" i="15"/>
  <c r="AM3" i="8"/>
  <c r="AB3" i="15"/>
  <c r="AC3" i="15"/>
  <c r="AD3" i="15"/>
  <c r="AE3" i="15"/>
  <c r="AG3" i="15"/>
  <c r="AL3" i="15"/>
  <c r="AB17" i="15"/>
  <c r="AC17" i="15"/>
  <c r="AD17" i="15"/>
  <c r="AE17" i="15"/>
  <c r="AG17" i="15"/>
  <c r="AL17" i="15"/>
  <c r="AB43" i="15"/>
  <c r="AC43" i="15"/>
  <c r="AD43" i="15"/>
  <c r="AE43" i="15"/>
  <c r="AG43" i="15"/>
  <c r="AL43" i="15"/>
  <c r="AB25" i="15"/>
  <c r="AC25" i="15"/>
  <c r="AD25" i="15"/>
  <c r="AE25" i="15"/>
  <c r="AG25" i="15"/>
  <c r="AL25" i="15"/>
  <c r="AB50" i="15"/>
  <c r="AC50" i="15"/>
  <c r="AD50" i="15"/>
  <c r="AE50" i="15"/>
  <c r="AG50" i="15"/>
  <c r="AL50" i="15"/>
  <c r="AB41" i="15"/>
  <c r="AC41" i="15"/>
  <c r="AD41" i="15"/>
  <c r="AE41" i="15"/>
  <c r="AG41" i="15"/>
  <c r="AL41" i="15"/>
  <c r="S22" i="15"/>
  <c r="S12" i="15"/>
  <c r="S49" i="15"/>
  <c r="S28" i="15"/>
  <c r="S45" i="15"/>
  <c r="S48" i="15"/>
  <c r="S30" i="15"/>
  <c r="S10" i="15"/>
  <c r="S36" i="15"/>
  <c r="S11" i="15"/>
  <c r="S38" i="15"/>
  <c r="S5" i="15"/>
  <c r="S52" i="15"/>
  <c r="S33" i="15"/>
  <c r="S29" i="15"/>
  <c r="S32" i="15"/>
  <c r="S35" i="15"/>
  <c r="S3" i="15"/>
  <c r="S47" i="15"/>
  <c r="S25" i="15"/>
  <c r="S50" i="15"/>
  <c r="S21" i="15"/>
  <c r="S24" i="15"/>
  <c r="AL53" i="15"/>
  <c r="AG53" i="15"/>
  <c r="AE53" i="15"/>
  <c r="AD53" i="15"/>
  <c r="AC53" i="15"/>
  <c r="AB53" i="15"/>
  <c r="AL48" i="15"/>
  <c r="AG48" i="15"/>
  <c r="AE48" i="15"/>
  <c r="AD48" i="15"/>
  <c r="AC48" i="15"/>
  <c r="AB48" i="15"/>
  <c r="AB8" i="15"/>
  <c r="AC8" i="15"/>
  <c r="AD8" i="15"/>
  <c r="AE8" i="15"/>
  <c r="AG8" i="15"/>
  <c r="AL8" i="15"/>
  <c r="R70" i="15"/>
  <c r="Q70" i="15"/>
  <c r="AB28" i="15"/>
  <c r="AC28" i="15"/>
  <c r="AD28" i="15"/>
  <c r="AE28" i="15"/>
  <c r="AG28" i="15"/>
  <c r="AL28" i="15"/>
  <c r="AL24" i="15"/>
  <c r="AG24" i="15"/>
  <c r="AE24" i="15"/>
  <c r="AD24" i="15"/>
  <c r="AC24" i="15"/>
  <c r="AB24" i="15"/>
  <c r="AL42" i="15"/>
  <c r="AG42" i="15"/>
  <c r="AE42" i="15"/>
  <c r="AD42" i="15"/>
  <c r="AC42" i="15"/>
  <c r="AB42" i="15"/>
  <c r="Q65" i="15"/>
  <c r="R65" i="15"/>
  <c r="AB15" i="15"/>
  <c r="AC15" i="15"/>
  <c r="AD15" i="15"/>
  <c r="AE15" i="15"/>
  <c r="AG15" i="15"/>
  <c r="AL15" i="15"/>
  <c r="AL16" i="15"/>
  <c r="AG16" i="15"/>
  <c r="AE16" i="15"/>
  <c r="AD16" i="15"/>
  <c r="AC16" i="15"/>
  <c r="AB16" i="15"/>
  <c r="AB21" i="15"/>
  <c r="AC21" i="15"/>
  <c r="AD21" i="15"/>
  <c r="AE21" i="15"/>
  <c r="AG21" i="15"/>
  <c r="AL21" i="15"/>
  <c r="Q64" i="15"/>
  <c r="R64" i="15"/>
  <c r="AL32" i="15"/>
  <c r="AG32" i="15"/>
  <c r="AE32" i="15"/>
  <c r="AD32" i="15"/>
  <c r="AC32" i="15"/>
  <c r="AB32" i="15"/>
  <c r="Q59" i="15"/>
  <c r="R59" i="15"/>
  <c r="AL37" i="15"/>
  <c r="AG37" i="15"/>
  <c r="AE37" i="15"/>
  <c r="AD37" i="15"/>
  <c r="AC37" i="15"/>
  <c r="AB37" i="15"/>
  <c r="AC2" i="15"/>
  <c r="AB2" i="15"/>
  <c r="AD2" i="15"/>
  <c r="AE2" i="15"/>
  <c r="AG2" i="15"/>
  <c r="AL2" i="15"/>
  <c r="AL13" i="15"/>
  <c r="AG13" i="15"/>
  <c r="AE13" i="15"/>
  <c r="AD13" i="15"/>
  <c r="AC13" i="15"/>
  <c r="AB13" i="15"/>
  <c r="Q61" i="15"/>
  <c r="R61" i="15"/>
  <c r="Q54" i="15"/>
  <c r="R54" i="15"/>
  <c r="Q56" i="15"/>
  <c r="R56" i="15"/>
  <c r="AL52" i="15"/>
  <c r="AG52" i="15"/>
  <c r="AE52" i="15"/>
  <c r="AD52" i="15"/>
  <c r="AC52" i="15"/>
  <c r="AB52" i="15"/>
  <c r="Q63" i="15"/>
  <c r="R63" i="15"/>
  <c r="Q71" i="15"/>
  <c r="R71" i="15"/>
  <c r="Q68" i="15"/>
  <c r="R68" i="15"/>
  <c r="Q57" i="15"/>
  <c r="R57" i="15"/>
  <c r="AB44" i="15"/>
  <c r="AC44" i="15"/>
  <c r="AD44" i="15"/>
  <c r="AE44" i="15"/>
  <c r="AG44" i="15"/>
  <c r="AL44" i="15"/>
  <c r="AB46" i="15"/>
  <c r="AC46" i="15"/>
  <c r="AD46" i="15"/>
  <c r="AE46" i="15"/>
  <c r="AG46" i="15"/>
  <c r="AL46" i="15"/>
  <c r="R62" i="15"/>
  <c r="Q62" i="15"/>
  <c r="AL40" i="15"/>
  <c r="AG40" i="15"/>
  <c r="AE40" i="15"/>
  <c r="AD40" i="15"/>
  <c r="AC40" i="15"/>
  <c r="AB40" i="15"/>
  <c r="AL31" i="15"/>
  <c r="AG31" i="15"/>
  <c r="AE31" i="15"/>
  <c r="AD31" i="15"/>
  <c r="AC31" i="15"/>
  <c r="AB31" i="15"/>
  <c r="AB23" i="15"/>
  <c r="AC23" i="15"/>
  <c r="AD23" i="15"/>
  <c r="AE23" i="15"/>
  <c r="AG23" i="15"/>
  <c r="AL23" i="15"/>
  <c r="AB6" i="15"/>
  <c r="AC6" i="15"/>
  <c r="AD6" i="15"/>
  <c r="AE6" i="15"/>
  <c r="AG6" i="15"/>
  <c r="AL6" i="15"/>
  <c r="Q55" i="15"/>
  <c r="R55" i="15"/>
  <c r="AB45" i="15"/>
  <c r="AC45" i="15"/>
  <c r="AD45" i="15"/>
  <c r="AE45" i="15"/>
  <c r="AG45" i="15"/>
  <c r="AL45" i="15"/>
  <c r="AL39" i="15"/>
  <c r="AG39" i="15"/>
  <c r="AE39" i="15"/>
  <c r="AD39" i="15"/>
  <c r="AC39" i="15"/>
  <c r="AB39" i="15"/>
  <c r="AB29" i="15"/>
  <c r="AC29" i="15"/>
  <c r="AD29" i="15"/>
  <c r="AE29" i="15"/>
  <c r="AG29" i="15"/>
  <c r="AL29" i="15"/>
  <c r="Q66" i="15"/>
  <c r="R66" i="15"/>
  <c r="AL47" i="15"/>
  <c r="AG47" i="15"/>
  <c r="AE47" i="15"/>
  <c r="AD47" i="15"/>
  <c r="AC47" i="15"/>
  <c r="AB47" i="15"/>
  <c r="R60" i="15"/>
  <c r="Q60" i="15"/>
  <c r="R69" i="15"/>
  <c r="Q69" i="15"/>
  <c r="AL26" i="15"/>
  <c r="AG26" i="15"/>
  <c r="AE26" i="15"/>
  <c r="AD26" i="15"/>
  <c r="AC26" i="15"/>
  <c r="AB26" i="15"/>
  <c r="R67" i="15"/>
  <c r="Q67" i="15"/>
  <c r="AL20" i="15"/>
  <c r="AG20" i="15"/>
  <c r="AE20" i="15"/>
  <c r="AD20" i="15"/>
  <c r="AC20" i="15"/>
  <c r="AB20" i="15"/>
  <c r="AL18" i="15"/>
  <c r="AG18" i="15"/>
  <c r="AE18" i="15"/>
  <c r="AD18" i="15"/>
  <c r="AC18" i="15"/>
  <c r="AB18" i="15"/>
  <c r="AM18" i="8"/>
  <c r="AN18" i="8" s="1"/>
  <c r="Q58" i="15"/>
  <c r="R58" i="15"/>
  <c r="AH29" i="2"/>
  <c r="AG36" i="2"/>
  <c r="Z23" i="2"/>
  <c r="AF36" i="2"/>
  <c r="AI36" i="2"/>
  <c r="AD45" i="2"/>
  <c r="AH34" i="2"/>
  <c r="AF50" i="2"/>
  <c r="AI50" i="2"/>
  <c r="AC45" i="2"/>
  <c r="T18" i="8"/>
  <c r="AG8" i="2"/>
  <c r="AD2" i="2"/>
  <c r="AF8" i="2"/>
  <c r="AI8" i="2"/>
  <c r="AA28" i="2"/>
  <c r="S19" i="15"/>
  <c r="S46" i="15"/>
  <c r="S44" i="15"/>
  <c r="S39" i="15"/>
  <c r="AC53" i="2"/>
  <c r="AD53" i="2"/>
  <c r="AE53" i="2"/>
  <c r="AA53" i="2"/>
  <c r="Z53" i="2"/>
  <c r="AB53" i="2"/>
  <c r="AI3" i="2"/>
  <c r="AF3" i="2"/>
  <c r="AD28" i="2"/>
  <c r="S9" i="15"/>
  <c r="S34" i="15"/>
  <c r="AB48" i="2"/>
  <c r="AE48" i="2"/>
  <c r="Z48" i="2"/>
  <c r="AA48" i="2"/>
  <c r="AD48" i="2"/>
  <c r="AC48" i="2"/>
  <c r="AC44" i="2"/>
  <c r="S43" i="15"/>
  <c r="S6" i="15"/>
  <c r="S15" i="15"/>
  <c r="AG22" i="2"/>
  <c r="AH7" i="2"/>
  <c r="AC23" i="2"/>
  <c r="AA44" i="2"/>
  <c r="AG7" i="2"/>
  <c r="AE23" i="2"/>
  <c r="AE44" i="2"/>
  <c r="S51" i="15"/>
  <c r="S4" i="15"/>
  <c r="S23" i="15"/>
  <c r="AH22" i="2"/>
  <c r="AB23" i="2"/>
  <c r="AH36" i="2"/>
  <c r="S14" i="15"/>
  <c r="S7" i="15"/>
  <c r="Z24" i="2"/>
  <c r="AC24" i="2"/>
  <c r="AD24" i="2"/>
  <c r="AE24" i="2"/>
  <c r="AB24" i="2"/>
  <c r="AA24" i="2"/>
  <c r="AE42" i="2"/>
  <c r="AB42" i="2"/>
  <c r="Z42" i="2"/>
  <c r="AA42" i="2"/>
  <c r="AD42" i="2"/>
  <c r="AC42" i="2"/>
  <c r="AG33" i="2"/>
  <c r="AF4" i="2"/>
  <c r="AI4" i="2"/>
  <c r="AG3" i="2"/>
  <c r="AH5" i="2"/>
  <c r="AI15" i="2"/>
  <c r="AF15" i="2"/>
  <c r="AG5" i="2"/>
  <c r="AH9" i="2"/>
  <c r="AI5" i="2"/>
  <c r="AF5" i="2"/>
  <c r="AG50" i="2"/>
  <c r="AE16" i="2"/>
  <c r="AC16" i="2"/>
  <c r="Z16" i="2"/>
  <c r="AD16" i="2"/>
  <c r="AB16" i="2"/>
  <c r="AA16" i="2"/>
  <c r="AG6" i="2"/>
  <c r="AF43" i="2"/>
  <c r="AI43" i="2"/>
  <c r="AH50" i="2"/>
  <c r="AG29" i="2"/>
  <c r="AA32" i="2"/>
  <c r="AE32" i="2"/>
  <c r="AD32" i="2"/>
  <c r="Z32" i="2"/>
  <c r="AB32" i="2"/>
  <c r="AC32" i="2"/>
  <c r="AF45" i="2"/>
  <c r="AI45" i="2"/>
  <c r="S62" i="2"/>
  <c r="AG41" i="2"/>
  <c r="AG35" i="2"/>
  <c r="AD37" i="2"/>
  <c r="AA37" i="2"/>
  <c r="AB37" i="2"/>
  <c r="AE37" i="2"/>
  <c r="AC37" i="2"/>
  <c r="Z37" i="2"/>
  <c r="AA2" i="2"/>
  <c r="AB2" i="2"/>
  <c r="AH17" i="2"/>
  <c r="AA21" i="2"/>
  <c r="AG17" i="2"/>
  <c r="Z13" i="2"/>
  <c r="AA13" i="2"/>
  <c r="AC13" i="2"/>
  <c r="AB13" i="2"/>
  <c r="AD13" i="2"/>
  <c r="AE13" i="2"/>
  <c r="AI29" i="2"/>
  <c r="AF29" i="2"/>
  <c r="AH11" i="2"/>
  <c r="AA15" i="2"/>
  <c r="AH49" i="2"/>
  <c r="AG45" i="2"/>
  <c r="AH43" i="2"/>
  <c r="AG34" i="2"/>
  <c r="AB15" i="2"/>
  <c r="AI49" i="2"/>
  <c r="AF49" i="2"/>
  <c r="AE28" i="2"/>
  <c r="S27" i="15"/>
  <c r="S18" i="15"/>
  <c r="Z21" i="2"/>
  <c r="AA52" i="2"/>
  <c r="AD52" i="2"/>
  <c r="AE52" i="2"/>
  <c r="AC52" i="2"/>
  <c r="Z52" i="2"/>
  <c r="AB52" i="2"/>
  <c r="AG43" i="2"/>
  <c r="AH12" i="2"/>
  <c r="AG11" i="2"/>
  <c r="AG10" i="2"/>
  <c r="AH3" i="2"/>
  <c r="AH14" i="2"/>
  <c r="AC21" i="2"/>
  <c r="AI25" i="2"/>
  <c r="AF25" i="2"/>
  <c r="AI11" i="2"/>
  <c r="AF11" i="2"/>
  <c r="AH8" i="2"/>
  <c r="AE2" i="2"/>
  <c r="AB28" i="2"/>
  <c r="AD44" i="2"/>
  <c r="AA46" i="2"/>
  <c r="AC46" i="2"/>
  <c r="AE46" i="2"/>
  <c r="AG12" i="2"/>
  <c r="AF34" i="2"/>
  <c r="AI34" i="2"/>
  <c r="AI6" i="2"/>
  <c r="AF6" i="2"/>
  <c r="AC2" i="2"/>
  <c r="AE40" i="2"/>
  <c r="AC40" i="2"/>
  <c r="AD40" i="2"/>
  <c r="AB40" i="2"/>
  <c r="AA40" i="2"/>
  <c r="Z40" i="2"/>
  <c r="AC28" i="2"/>
  <c r="AB44" i="2"/>
  <c r="S17" i="15"/>
  <c r="S42" i="15"/>
  <c r="S53" i="15"/>
  <c r="S16" i="15"/>
  <c r="AF30" i="2"/>
  <c r="AI30" i="2"/>
  <c r="AF17" i="2"/>
  <c r="AI17" i="2"/>
  <c r="AC31" i="2"/>
  <c r="AA31" i="2"/>
  <c r="AD31" i="2"/>
  <c r="Z31" i="2"/>
  <c r="AB31" i="2"/>
  <c r="AE31" i="2"/>
  <c r="AH6" i="2"/>
  <c r="AG30" i="2"/>
  <c r="AH25" i="2"/>
  <c r="AC15" i="2"/>
  <c r="AH51" i="2"/>
  <c r="AA39" i="2"/>
  <c r="Z39" i="2"/>
  <c r="AE39" i="2"/>
  <c r="AC39" i="2"/>
  <c r="AD39" i="2"/>
  <c r="AB39" i="2"/>
  <c r="AB21" i="2"/>
  <c r="R60" i="2"/>
  <c r="AB60" i="2" s="1"/>
  <c r="AD46" i="2"/>
  <c r="AI10" i="2"/>
  <c r="AF10" i="2"/>
  <c r="AD47" i="2"/>
  <c r="AA47" i="2"/>
  <c r="AE47" i="2"/>
  <c r="Z47" i="2"/>
  <c r="AB47" i="2"/>
  <c r="AC47" i="2"/>
  <c r="AI33" i="2"/>
  <c r="AF33" i="2"/>
  <c r="AD21" i="2"/>
  <c r="R64" i="2"/>
  <c r="R69" i="2"/>
  <c r="Z46" i="2"/>
  <c r="AH41" i="2"/>
  <c r="AG38" i="2"/>
  <c r="AF9" i="2"/>
  <c r="AI9" i="2"/>
  <c r="AC26" i="2"/>
  <c r="AD26" i="2"/>
  <c r="AA26" i="2"/>
  <c r="AE26" i="2"/>
  <c r="AB26" i="2"/>
  <c r="Z26" i="2"/>
  <c r="AE21" i="2"/>
  <c r="AH33" i="2"/>
  <c r="S59" i="2"/>
  <c r="R59" i="2"/>
  <c r="R14" i="11"/>
  <c r="R61" i="2"/>
  <c r="AB46" i="2"/>
  <c r="AB20" i="2"/>
  <c r="AA20" i="2"/>
  <c r="Z20" i="2"/>
  <c r="AE20" i="2"/>
  <c r="AC20" i="2"/>
  <c r="AD20" i="2"/>
  <c r="AA18" i="2"/>
  <c r="AC18" i="2"/>
  <c r="Z18" i="2"/>
  <c r="AE18" i="2"/>
  <c r="AB18" i="2"/>
  <c r="AD18" i="2"/>
  <c r="AD29" i="2"/>
  <c r="Z15" i="2"/>
  <c r="AH4" i="2"/>
  <c r="AA23" i="2"/>
  <c r="S41" i="15"/>
  <c r="S26" i="15"/>
  <c r="S37" i="15"/>
  <c r="S40" i="15"/>
  <c r="S253" i="2"/>
  <c r="S163" i="2"/>
  <c r="AM10" i="8"/>
  <c r="AN10" i="8" s="1"/>
  <c r="AM36" i="8"/>
  <c r="AN36" i="8" s="1"/>
  <c r="AM4" i="8"/>
  <c r="AN4" i="8" s="1"/>
  <c r="AM12" i="8"/>
  <c r="AN12" i="8" s="1"/>
  <c r="AM41" i="8"/>
  <c r="AN41" i="8" s="1"/>
  <c r="AM16" i="8"/>
  <c r="AN16" i="8" s="1"/>
  <c r="AM13" i="8"/>
  <c r="AN13" i="8" s="1"/>
  <c r="AM47" i="8"/>
  <c r="AN47" i="8" s="1"/>
  <c r="AM15" i="8"/>
  <c r="AN15" i="8" s="1"/>
  <c r="AM33" i="8"/>
  <c r="AN33" i="8" s="1"/>
  <c r="AM17" i="8"/>
  <c r="AN17" i="8" s="1"/>
  <c r="AM14" i="8"/>
  <c r="AN14" i="8" s="1"/>
  <c r="AM40" i="8"/>
  <c r="AN40" i="8" s="1"/>
  <c r="AM19" i="8"/>
  <c r="AN19" i="8" s="1"/>
  <c r="AM25" i="8"/>
  <c r="AN25" i="8" s="1"/>
  <c r="AM11" i="8"/>
  <c r="AN11" i="8" s="1"/>
  <c r="AM5" i="8"/>
  <c r="AN5" i="8" s="1"/>
  <c r="AM22" i="8"/>
  <c r="AN22" i="8" s="1"/>
  <c r="AM42" i="8"/>
  <c r="AN42" i="8" s="1"/>
  <c r="AM7" i="8"/>
  <c r="AN7" i="8" s="1"/>
  <c r="AM29" i="8"/>
  <c r="AN29" i="8" s="1"/>
  <c r="AM30" i="8"/>
  <c r="AN30" i="8" s="1"/>
  <c r="AM6" i="8"/>
  <c r="AN6" i="8" s="1"/>
  <c r="AM28" i="8"/>
  <c r="AN28" i="8" s="1"/>
  <c r="AM45" i="8"/>
  <c r="AN45" i="8" s="1"/>
  <c r="T10" i="8"/>
  <c r="T36" i="8"/>
  <c r="T4" i="8"/>
  <c r="T12" i="8"/>
  <c r="T41" i="8"/>
  <c r="T16" i="8"/>
  <c r="T13" i="8"/>
  <c r="T47" i="8"/>
  <c r="T15" i="8"/>
  <c r="T33" i="8"/>
  <c r="T17" i="8"/>
  <c r="T14" i="8"/>
  <c r="T40" i="8"/>
  <c r="T19" i="8"/>
  <c r="T25" i="8"/>
  <c r="T11" i="8"/>
  <c r="T5" i="8"/>
  <c r="T22" i="8"/>
  <c r="T42" i="8"/>
  <c r="T7" i="8"/>
  <c r="T29" i="8"/>
  <c r="T30" i="8"/>
  <c r="T6" i="8"/>
  <c r="T28" i="8"/>
  <c r="T45" i="8"/>
  <c r="R152" i="2"/>
  <c r="AJ152" i="2" s="1"/>
  <c r="R254" i="2"/>
  <c r="R63" i="2"/>
  <c r="S155" i="2"/>
  <c r="S107" i="2"/>
  <c r="S121" i="2"/>
  <c r="AE121" i="2" s="1"/>
  <c r="R130" i="2"/>
  <c r="R115" i="2"/>
  <c r="S161" i="2"/>
  <c r="AE161" i="2" s="1"/>
  <c r="AI161" i="2" s="1"/>
  <c r="S214" i="2"/>
  <c r="S143" i="2"/>
  <c r="S63" i="2"/>
  <c r="R215" i="2"/>
  <c r="R261" i="2"/>
  <c r="R134" i="2"/>
  <c r="R54" i="2"/>
  <c r="R141" i="2"/>
  <c r="S224" i="2"/>
  <c r="S241" i="2"/>
  <c r="S215" i="2"/>
  <c r="S122" i="2"/>
  <c r="S295" i="2"/>
  <c r="R139" i="2"/>
  <c r="AJ139" i="2" s="1"/>
  <c r="AO139" i="2" s="1"/>
  <c r="R58" i="2"/>
  <c r="R291" i="2"/>
  <c r="S173" i="2"/>
  <c r="R104" i="2"/>
  <c r="R145" i="2"/>
  <c r="R94" i="2"/>
  <c r="AB94" i="2" s="1"/>
  <c r="AG94" i="2" s="1"/>
  <c r="R273" i="2"/>
  <c r="S89" i="2"/>
  <c r="Z89" i="2" s="1"/>
  <c r="S266" i="2"/>
  <c r="AJ266" i="2" s="1"/>
  <c r="AN266" i="2" s="1"/>
  <c r="S146" i="2"/>
  <c r="S289" i="2"/>
  <c r="R253" i="2"/>
  <c r="R137" i="2"/>
  <c r="R284" i="2"/>
  <c r="S211" i="2"/>
  <c r="AJ211" i="2" s="1"/>
  <c r="R259" i="2"/>
  <c r="R80" i="2"/>
  <c r="AJ80" i="2" s="1"/>
  <c r="R146" i="2"/>
  <c r="AE61" i="2"/>
  <c r="S111" i="2"/>
  <c r="S204" i="2"/>
  <c r="R127" i="2"/>
  <c r="R71" i="2"/>
  <c r="S176" i="2"/>
  <c r="AB176" i="2" s="1"/>
  <c r="AG176" i="2" s="1"/>
  <c r="S92" i="2"/>
  <c r="R151" i="2"/>
  <c r="S236" i="2"/>
  <c r="R128" i="2"/>
  <c r="S188" i="2"/>
  <c r="S259" i="2"/>
  <c r="R154" i="2"/>
  <c r="S154" i="2"/>
  <c r="S157" i="2"/>
  <c r="R157" i="2"/>
  <c r="R274" i="2"/>
  <c r="S69" i="2"/>
  <c r="S115" i="2"/>
  <c r="R81" i="2"/>
  <c r="R239" i="2"/>
  <c r="S170" i="2"/>
  <c r="R136" i="2"/>
  <c r="S212" i="2"/>
  <c r="R207" i="2"/>
  <c r="S278" i="2"/>
  <c r="S127" i="2"/>
  <c r="S254" i="2"/>
  <c r="R159" i="2"/>
  <c r="S256" i="2"/>
  <c r="R195" i="2"/>
  <c r="S239" i="2"/>
  <c r="R126" i="2"/>
  <c r="R193" i="2"/>
  <c r="S57" i="2"/>
  <c r="R111" i="2"/>
  <c r="S296" i="2"/>
  <c r="R82" i="2"/>
  <c r="S112" i="2"/>
  <c r="AD112" i="2" s="1"/>
  <c r="R204" i="2"/>
  <c r="R62" i="2"/>
  <c r="R107" i="2"/>
  <c r="R268" i="2"/>
  <c r="S280" i="2"/>
  <c r="R155" i="2"/>
  <c r="S248" i="2"/>
  <c r="R85" i="2"/>
  <c r="R133" i="2"/>
  <c r="R88" i="2"/>
  <c r="S137" i="2"/>
  <c r="S58" i="2"/>
  <c r="R283" i="2"/>
  <c r="S293" i="2"/>
  <c r="S221" i="2"/>
  <c r="R223" i="2"/>
  <c r="S199" i="2"/>
  <c r="R177" i="2"/>
  <c r="S120" i="2"/>
  <c r="R221" i="2"/>
  <c r="S159" i="2"/>
  <c r="R212" i="2"/>
  <c r="R123" i="2"/>
  <c r="S104" i="2"/>
  <c r="R164" i="2"/>
  <c r="R173" i="2"/>
  <c r="S114" i="2"/>
  <c r="S220" i="2"/>
  <c r="R276" i="2"/>
  <c r="S68" i="2"/>
  <c r="R220" i="2"/>
  <c r="S133" i="2"/>
  <c r="S229" i="2"/>
  <c r="S96" i="2"/>
  <c r="S140" i="2"/>
  <c r="R77" i="2"/>
  <c r="S130" i="2"/>
  <c r="S179" i="2"/>
  <c r="R280" i="2"/>
  <c r="S194" i="2"/>
  <c r="AA194" i="2" s="1"/>
  <c r="S151" i="2"/>
  <c r="R105" i="2"/>
  <c r="AB105" i="2" s="1"/>
  <c r="AG105" i="2" s="1"/>
  <c r="R209" i="2"/>
  <c r="R229" i="2"/>
  <c r="R216" i="2"/>
  <c r="S291" i="2"/>
  <c r="R56" i="2"/>
  <c r="S128" i="2"/>
  <c r="S246" i="2"/>
  <c r="R106" i="2"/>
  <c r="R241" i="2"/>
  <c r="S123" i="2"/>
  <c r="S88" i="2"/>
  <c r="R57" i="2"/>
  <c r="R192" i="2"/>
  <c r="AA192" i="2" s="1"/>
  <c r="R246" i="2"/>
  <c r="S91" i="2"/>
  <c r="AD91" i="2" s="1"/>
  <c r="S126" i="2"/>
  <c r="S261" i="2"/>
  <c r="R208" i="2"/>
  <c r="S167" i="2"/>
  <c r="R92" i="2"/>
  <c r="R143" i="2"/>
  <c r="S216" i="2"/>
  <c r="R295" i="2"/>
  <c r="R202" i="2"/>
  <c r="R278" i="2"/>
  <c r="R129" i="2"/>
  <c r="AC129" i="2" s="1"/>
  <c r="AH129" i="2" s="1"/>
  <c r="S136" i="2"/>
  <c r="S302" i="2"/>
  <c r="S124" i="2"/>
  <c r="S64" i="2"/>
  <c r="S207" i="2"/>
  <c r="R255" i="2"/>
  <c r="S87" i="2"/>
  <c r="AE87" i="2" s="1"/>
  <c r="R279" i="2"/>
  <c r="R97" i="2"/>
  <c r="S145" i="2"/>
  <c r="S90" i="2"/>
  <c r="R224" i="2"/>
  <c r="S82" i="2"/>
  <c r="R187" i="2"/>
  <c r="R240" i="2"/>
  <c r="S233" i="2"/>
  <c r="R99" i="2"/>
  <c r="AJ99" i="2" s="1"/>
  <c r="R214" i="2"/>
  <c r="AE210" i="2"/>
  <c r="AI210" i="2" s="1"/>
  <c r="S54" i="2"/>
  <c r="R302" i="2"/>
  <c r="R293" i="2"/>
  <c r="S191" i="2"/>
  <c r="AD191" i="2" s="1"/>
  <c r="R236" i="2"/>
  <c r="S268" i="2"/>
  <c r="R96" i="2"/>
  <c r="R267" i="2"/>
  <c r="R296" i="2"/>
  <c r="R114" i="2"/>
  <c r="R178" i="2"/>
  <c r="S240" i="2"/>
  <c r="S265" i="2"/>
  <c r="S177" i="2"/>
  <c r="R186" i="2"/>
  <c r="S284" i="2"/>
  <c r="R201" i="2"/>
  <c r="S81" i="2"/>
  <c r="R65" i="2"/>
  <c r="S195" i="2"/>
  <c r="S255" i="2"/>
  <c r="S294" i="2"/>
  <c r="S290" i="2"/>
  <c r="S222" i="2"/>
  <c r="S228" i="2"/>
  <c r="S279" i="2"/>
  <c r="R90" i="2"/>
  <c r="R167" i="2"/>
  <c r="S186" i="2"/>
  <c r="AE73" i="2"/>
  <c r="AF73" i="2" s="1"/>
  <c r="R174" i="2"/>
  <c r="S131" i="2"/>
  <c r="S225" i="2"/>
  <c r="S165" i="2"/>
  <c r="R132" i="2"/>
  <c r="R265" i="2"/>
  <c r="R98" i="2"/>
  <c r="R248" i="2"/>
  <c r="R113" i="2"/>
  <c r="R148" i="2"/>
  <c r="S148" i="2"/>
  <c r="R260" i="2"/>
  <c r="S260" i="2"/>
  <c r="S95" i="2"/>
  <c r="R79" i="2"/>
  <c r="R225" i="2"/>
  <c r="R15" i="11"/>
  <c r="R67" i="2"/>
  <c r="S67" i="2"/>
  <c r="R11" i="11" s="1"/>
  <c r="R120" i="2"/>
  <c r="S84" i="2"/>
  <c r="AJ60" i="2"/>
  <c r="R175" i="2"/>
  <c r="AE175" i="2" s="1"/>
  <c r="AF175" i="2" s="1"/>
  <c r="S132" i="2"/>
  <c r="R122" i="2"/>
  <c r="R179" i="2"/>
  <c r="R290" i="2"/>
  <c r="S56" i="2"/>
  <c r="S158" i="2"/>
  <c r="R158" i="2"/>
  <c r="R256" i="2"/>
  <c r="S201" i="2"/>
  <c r="R244" i="2"/>
  <c r="R184" i="2"/>
  <c r="R169" i="2"/>
  <c r="S267" i="2"/>
  <c r="R227" i="2"/>
  <c r="S213" i="2"/>
  <c r="AA213" i="2" s="1"/>
  <c r="R217" i="2"/>
  <c r="S97" i="2"/>
  <c r="R218" i="2"/>
  <c r="AD75" i="2"/>
  <c r="S78" i="2"/>
  <c r="R124" i="2"/>
  <c r="S83" i="2"/>
  <c r="R83" i="2"/>
  <c r="AB73" i="2"/>
  <c r="AG73" i="2" s="1"/>
  <c r="R165" i="2"/>
  <c r="R95" i="2"/>
  <c r="R199" i="2"/>
  <c r="R163" i="2"/>
  <c r="S298" i="2"/>
  <c r="R298" i="2"/>
  <c r="R233" i="2"/>
  <c r="S113" i="2"/>
  <c r="S206" i="2"/>
  <c r="Z73" i="2"/>
  <c r="S153" i="2"/>
  <c r="AJ153" i="2" s="1"/>
  <c r="AO153" i="2" s="1"/>
  <c r="R188" i="2"/>
  <c r="S178" i="2"/>
  <c r="S98" i="2"/>
  <c r="S223" i="2"/>
  <c r="S283" i="2"/>
  <c r="S174" i="2"/>
  <c r="S169" i="2"/>
  <c r="S274" i="2"/>
  <c r="S273" i="2"/>
  <c r="W93" i="2"/>
  <c r="R93" i="2" s="1"/>
  <c r="R294" i="2"/>
  <c r="S193" i="2"/>
  <c r="AB160" i="2"/>
  <c r="AG160" i="2" s="1"/>
  <c r="AE160" i="2"/>
  <c r="AA160" i="2"/>
  <c r="AJ160" i="2"/>
  <c r="Z160" i="2"/>
  <c r="S141" i="2"/>
  <c r="S187" i="2"/>
  <c r="AC160" i="2"/>
  <c r="AH160" i="2" s="1"/>
  <c r="R303" i="2"/>
  <c r="AA271" i="2"/>
  <c r="R182" i="2"/>
  <c r="S217" i="2"/>
  <c r="R222" i="2"/>
  <c r="S285" i="2"/>
  <c r="AJ285" i="2" s="1"/>
  <c r="AD160" i="2"/>
  <c r="R131" i="2"/>
  <c r="Z75" i="2"/>
  <c r="AB61" i="2"/>
  <c r="AC61" i="2"/>
  <c r="AJ61" i="2"/>
  <c r="S300" i="2"/>
  <c r="R300" i="2"/>
  <c r="R301" i="2"/>
  <c r="S301" i="2"/>
  <c r="S142" i="2"/>
  <c r="R142" i="2"/>
  <c r="AA61" i="2"/>
  <c r="R72" i="2"/>
  <c r="S72" i="2"/>
  <c r="AD61" i="2"/>
  <c r="Z61" i="2"/>
  <c r="S77" i="2"/>
  <c r="S55" i="2"/>
  <c r="R55" i="2"/>
  <c r="R66" i="2"/>
  <c r="R156" i="2"/>
  <c r="S156" i="2"/>
  <c r="R170" i="2"/>
  <c r="S106" i="2"/>
  <c r="S275" i="2"/>
  <c r="R275" i="2"/>
  <c r="AC73" i="2"/>
  <c r="AH73" i="2" s="1"/>
  <c r="AD73" i="2"/>
  <c r="AJ73" i="2"/>
  <c r="AA73" i="2"/>
  <c r="W234" i="2"/>
  <c r="R234" i="2" s="1"/>
  <c r="S164" i="2"/>
  <c r="AE60" i="2"/>
  <c r="AD60" i="2"/>
  <c r="AA60" i="2"/>
  <c r="Z60" i="2"/>
  <c r="AC60" i="2"/>
  <c r="S264" i="2"/>
  <c r="R264" i="2"/>
  <c r="S85" i="2"/>
  <c r="AJ75" i="2"/>
  <c r="AE75" i="2"/>
  <c r="AC75" i="2"/>
  <c r="AH75" i="2" s="1"/>
  <c r="AB75" i="2"/>
  <c r="AG75" i="2" s="1"/>
  <c r="AA75" i="2"/>
  <c r="S297" i="2"/>
  <c r="R297" i="2"/>
  <c r="X140" i="2"/>
  <c r="S144" i="2"/>
  <c r="AC144" i="2" s="1"/>
  <c r="AH144" i="2" s="1"/>
  <c r="R197" i="2"/>
  <c r="AC271" i="2"/>
  <c r="AH271" i="2" s="1"/>
  <c r="Z271" i="2"/>
  <c r="AE271" i="2"/>
  <c r="AI271" i="2" s="1"/>
  <c r="R200" i="2"/>
  <c r="S200" i="2"/>
  <c r="R206" i="2"/>
  <c r="S303" i="2"/>
  <c r="V226" i="2"/>
  <c r="R226" i="2" s="1"/>
  <c r="AC210" i="2"/>
  <c r="AH210" i="2" s="1"/>
  <c r="S197" i="2"/>
  <c r="AD271" i="2"/>
  <c r="AJ271" i="2"/>
  <c r="S66" i="2"/>
  <c r="AB271" i="2"/>
  <c r="AG271" i="2" s="1"/>
  <c r="S180" i="2"/>
  <c r="R180" i="2"/>
  <c r="R287" i="2"/>
  <c r="S287" i="2"/>
  <c r="S183" i="2"/>
  <c r="R183" i="2"/>
  <c r="AJ210" i="2"/>
  <c r="AN210" i="2" s="1"/>
  <c r="S134" i="2"/>
  <c r="AD210" i="2"/>
  <c r="W205" i="2"/>
  <c r="S205" i="2" s="1"/>
  <c r="V198" i="2"/>
  <c r="S219" i="2"/>
  <c r="R219" i="2"/>
  <c r="S282" i="2"/>
  <c r="R282" i="2"/>
  <c r="W231" i="2"/>
  <c r="V231" i="2"/>
  <c r="R189" i="2"/>
  <c r="S189" i="2"/>
  <c r="R242" i="2"/>
  <c r="S242" i="2"/>
  <c r="S79" i="2"/>
  <c r="S251" i="2"/>
  <c r="R251" i="2"/>
  <c r="S190" i="2"/>
  <c r="R190" i="2"/>
  <c r="V102" i="2"/>
  <c r="S102" i="2" s="1"/>
  <c r="S244" i="2"/>
  <c r="R140" i="2"/>
  <c r="W185" i="2"/>
  <c r="V185" i="2"/>
  <c r="S258" i="2"/>
  <c r="R258" i="2"/>
  <c r="S232" i="2"/>
  <c r="R232" i="2"/>
  <c r="R109" i="2"/>
  <c r="S109" i="2"/>
  <c r="S202" i="2"/>
  <c r="S208" i="2"/>
  <c r="S184" i="2"/>
  <c r="W172" i="2"/>
  <c r="S172" i="2" s="1"/>
  <c r="Z210" i="2"/>
  <c r="AA210" i="2"/>
  <c r="AB210" i="2"/>
  <c r="AG210" i="2" s="1"/>
  <c r="S203" i="2"/>
  <c r="R203" i="2"/>
  <c r="W269" i="2"/>
  <c r="V269" i="2"/>
  <c r="R108" i="2"/>
  <c r="S108" i="2"/>
  <c r="R304" i="2"/>
  <c r="S304" i="2"/>
  <c r="S218" i="2"/>
  <c r="R289" i="2"/>
  <c r="R230" i="2"/>
  <c r="R263" i="2"/>
  <c r="S263" i="2"/>
  <c r="R135" i="2"/>
  <c r="S135" i="2"/>
  <c r="R235" i="2"/>
  <c r="X207" i="2"/>
  <c r="S119" i="2"/>
  <c r="R119" i="2"/>
  <c r="S100" i="2"/>
  <c r="X250" i="2"/>
  <c r="W118" i="2"/>
  <c r="V118" i="2"/>
  <c r="V110" i="2"/>
  <c r="S110" i="2" s="1"/>
  <c r="S125" i="2"/>
  <c r="R125" i="2"/>
  <c r="S227" i="2"/>
  <c r="R70" i="2"/>
  <c r="S70" i="2"/>
  <c r="W257" i="2"/>
  <c r="V257" i="2"/>
  <c r="W299" i="2"/>
  <c r="V299" i="2"/>
  <c r="R305" i="2"/>
  <c r="S101" i="2"/>
  <c r="R101" i="2"/>
  <c r="V149" i="2"/>
  <c r="W149" i="2"/>
  <c r="S247" i="2"/>
  <c r="R247" i="2"/>
  <c r="R270" i="2"/>
  <c r="S270" i="2"/>
  <c r="V168" i="2"/>
  <c r="W168" i="2"/>
  <c r="S103" i="2"/>
  <c r="R103" i="2"/>
  <c r="S162" i="2"/>
  <c r="R162" i="2"/>
  <c r="S250" i="2"/>
  <c r="R250" i="2"/>
  <c r="R78" i="2"/>
  <c r="R116" i="2"/>
  <c r="S116" i="2"/>
  <c r="S181" i="2"/>
  <c r="R181" i="2"/>
  <c r="S76" i="2"/>
  <c r="R76" i="2"/>
  <c r="S86" i="2"/>
  <c r="R86" i="2"/>
  <c r="S171" i="2"/>
  <c r="R171" i="2"/>
  <c r="S243" i="2"/>
  <c r="R243" i="2"/>
  <c r="V74" i="2"/>
  <c r="W74" i="2"/>
  <c r="W286" i="2"/>
  <c r="V286" i="2"/>
  <c r="X181" i="2"/>
  <c r="W238" i="2"/>
  <c r="V238" i="2"/>
  <c r="R100" i="2"/>
  <c r="W138" i="2"/>
  <c r="V138" i="2"/>
  <c r="R237" i="2"/>
  <c r="S237" i="2"/>
  <c r="W252" i="2"/>
  <c r="V252" i="2"/>
  <c r="S292" i="2"/>
  <c r="R292" i="2"/>
  <c r="R147" i="2"/>
  <c r="S147" i="2"/>
  <c r="W272" i="2"/>
  <c r="S272" i="2" s="1"/>
  <c r="S166" i="2"/>
  <c r="R166" i="2"/>
  <c r="S277" i="2"/>
  <c r="R277" i="2"/>
  <c r="W245" i="2"/>
  <c r="V245" i="2"/>
  <c r="R262" i="2"/>
  <c r="S262" i="2"/>
  <c r="S117" i="2"/>
  <c r="R117" i="2"/>
  <c r="W288" i="2"/>
  <c r="V288" i="2"/>
  <c r="R196" i="2"/>
  <c r="S196" i="2"/>
  <c r="S65" i="2"/>
  <c r="W281" i="2"/>
  <c r="V281" i="2"/>
  <c r="V249" i="2"/>
  <c r="W249" i="2"/>
  <c r="Z13" i="15" a="1"/>
  <c r="Z20" i="15" a="1"/>
  <c r="Z31" i="15" a="1"/>
  <c r="Z8" i="15" a="1"/>
  <c r="Z2" i="15" a="1"/>
  <c r="AH22" i="15" a="1"/>
  <c r="AI11" i="15" a="1"/>
  <c r="AK5" i="15" a="1"/>
  <c r="AI4" i="15" a="1"/>
  <c r="AI9" i="15" a="1"/>
  <c r="AH41" i="15" a="1"/>
  <c r="Z38" i="15" a="1"/>
  <c r="AK53" i="15" a="1"/>
  <c r="AK46" i="15" a="1"/>
  <c r="AK29" i="15" a="1"/>
  <c r="AK20" i="15" a="1"/>
  <c r="Z15" i="15" a="1"/>
  <c r="Z26" i="15" a="1"/>
  <c r="Z50" i="15" a="1"/>
  <c r="AI22" i="15" a="1"/>
  <c r="AF48" i="15" a="1"/>
  <c r="AJ49" i="15" a="1"/>
  <c r="AH14" i="15" a="1"/>
  <c r="AH3" i="15" a="1"/>
  <c r="AJ3" i="8" a="1"/>
  <c r="AJ43" i="15" a="1"/>
  <c r="AF42" i="15" a="1"/>
  <c r="AI41" i="15" a="1"/>
  <c r="Z5" i="15" a="1"/>
  <c r="AK32" i="15" a="1"/>
  <c r="Z37" i="15" a="1"/>
  <c r="Z28" i="15" a="1"/>
  <c r="AF6" i="15" a="1"/>
  <c r="AJ7" i="15" a="1"/>
  <c r="AK35" i="15" a="1"/>
  <c r="AF16" i="15" a="1"/>
  <c r="AJ17" i="15" a="1"/>
  <c r="AH50" i="15" a="1"/>
  <c r="Z45" i="15" a="1"/>
  <c r="AK8" i="15" a="1"/>
  <c r="AI33" i="15" a="1"/>
  <c r="AB18" i="8" a="1"/>
  <c r="Z18" i="15" a="1"/>
  <c r="AK49" i="15" a="1"/>
  <c r="AH36" i="15" a="1"/>
  <c r="AF10" i="15" a="1"/>
  <c r="AJ11" i="15" a="1"/>
  <c r="AF3" i="15" a="1"/>
  <c r="AJ4" i="15" a="1"/>
  <c r="AI14" i="15" a="1"/>
  <c r="AF8" i="15" a="1"/>
  <c r="AJ9" i="15" a="1"/>
  <c r="AI3" i="15" a="1"/>
  <c r="AK43" i="15" a="1"/>
  <c r="Z52" i="15" a="1"/>
  <c r="AK31" i="15" a="1"/>
  <c r="AJ45" i="15" a="1"/>
  <c r="Z40" i="15" a="1"/>
  <c r="Z25" i="15" a="1"/>
  <c r="AF26" i="15" a="1"/>
  <c r="AJ27" i="15" a="1"/>
  <c r="AF21" i="15" a="1"/>
  <c r="AJ22" i="15" a="1"/>
  <c r="AI36" i="15" a="1"/>
  <c r="AK11" i="15" a="1"/>
  <c r="AH34" i="15" a="1"/>
  <c r="AK4" i="15" a="1"/>
  <c r="AK9" i="15" a="1"/>
  <c r="AF40" i="15" a="1"/>
  <c r="AJ41" i="15" a="1"/>
  <c r="Z33" i="15" a="1"/>
  <c r="AK42" i="15" a="1"/>
  <c r="AH6" i="15" a="1"/>
  <c r="AK45" i="15" a="1"/>
  <c r="AI10" i="15" a="1"/>
  <c r="AK22" i="15" a="1"/>
  <c r="AH30" i="15" a="1"/>
  <c r="AI34" i="15" a="1"/>
  <c r="AF13" i="15" a="1"/>
  <c r="AJ14" i="15" a="1"/>
  <c r="AJ3" i="15" a="1"/>
  <c r="AH25" i="15" a="1"/>
  <c r="AK41" i="15" a="1"/>
  <c r="Z29" i="15" a="1"/>
  <c r="AJ15" i="15" a="1"/>
  <c r="AK44" i="15" a="1"/>
  <c r="AI6" i="15" a="1"/>
  <c r="Z17" i="15" a="1"/>
  <c r="Z4" i="15" a="1"/>
  <c r="AK12" i="15" a="1"/>
  <c r="Z44" i="15" a="1"/>
  <c r="AI30" i="15" a="1"/>
  <c r="AJ36" i="15" a="1"/>
  <c r="AF35" i="15" a="1"/>
  <c r="AH19" i="15" a="1"/>
  <c r="AK14" i="15" a="1"/>
  <c r="AK3" i="15" a="1"/>
  <c r="AI25" i="15" a="1"/>
  <c r="Z32" i="15" a="1"/>
  <c r="AK15" i="15" a="1"/>
  <c r="AK26" i="15" a="1"/>
  <c r="Z9" i="15" a="1"/>
  <c r="Z42" i="15" a="1"/>
  <c r="AF37" i="15" a="1"/>
  <c r="AJ38" i="15" a="1"/>
  <c r="AK38" i="15" a="1"/>
  <c r="Z23" i="15" a="1"/>
  <c r="AF50" i="15" a="1"/>
  <c r="AJ51" i="15" a="1"/>
  <c r="Z24" i="15" a="1"/>
  <c r="AH12" i="15" a="1"/>
  <c r="AK36" i="15" a="1"/>
  <c r="AH38" i="15" a="1"/>
  <c r="AF33" i="15" a="1"/>
  <c r="AJ34" i="15" a="1"/>
  <c r="AI19" i="15" a="1"/>
  <c r="AH35" i="15" a="1"/>
  <c r="Z22" i="15" a="1"/>
  <c r="Z35" i="15" a="1"/>
  <c r="AH8" i="15" a="1"/>
  <c r="AJ6" i="15" a="1"/>
  <c r="AK39" i="15" a="1"/>
  <c r="Z34" i="15" a="1"/>
  <c r="Z53" i="15" a="1"/>
  <c r="AI27" i="15" a="1"/>
  <c r="AI12" i="15" a="1"/>
  <c r="AF29" i="15" a="1"/>
  <c r="AJ30" i="15" a="1"/>
  <c r="AI38" i="15" a="1"/>
  <c r="AK34" i="15" a="1"/>
  <c r="AH7" i="15" a="1"/>
  <c r="AI35" i="15" a="1"/>
  <c r="AH17" i="15" a="1"/>
  <c r="AF24" i="15" a="1"/>
  <c r="AJ25" i="15" a="1"/>
  <c r="Z12" i="15" a="1"/>
  <c r="AK48" i="15" a="1"/>
  <c r="AI8" i="15" a="1"/>
  <c r="AK2" i="15" a="1"/>
  <c r="AK6" i="15" a="1"/>
  <c r="AK47" i="15" a="1"/>
  <c r="AK18" i="15" a="1"/>
  <c r="Z16" i="15" a="1"/>
  <c r="AK19" i="15" a="1"/>
  <c r="AI51" i="15" a="1"/>
  <c r="AK30" i="15" a="1"/>
  <c r="AF18" i="15" a="1"/>
  <c r="AJ19" i="15" a="1"/>
  <c r="AI7" i="15" a="1"/>
  <c r="AI17" i="15" a="1"/>
  <c r="AK25" i="15" a="1"/>
  <c r="Z49" i="15" a="1"/>
  <c r="Z47" i="15" a="1"/>
  <c r="AK28" i="15" a="1"/>
  <c r="Z19" i="15" a="1"/>
  <c r="Z51" i="15" a="1"/>
  <c r="AH51" i="15" a="1"/>
  <c r="AH5" i="15" a="1"/>
  <c r="AF11" i="15" a="1"/>
  <c r="AJ12" i="15" a="1"/>
  <c r="AH27" i="15" a="1"/>
  <c r="AF34" i="15" a="1"/>
  <c r="AJ35" i="15" a="1"/>
  <c r="AJ8" i="15" a="1"/>
  <c r="AK21" i="15" a="1"/>
  <c r="AK52" i="15" a="1"/>
  <c r="AK40" i="15" a="1"/>
  <c r="Z46" i="15" a="1"/>
  <c r="AH10" i="15" a="1"/>
  <c r="AH33" i="15" a="1"/>
  <c r="AK7" i="15" a="1"/>
  <c r="AK17" i="15" a="1"/>
  <c r="AI50" i="15" a="1"/>
  <c r="Z48" i="15" a="1"/>
  <c r="Z21" i="15" a="1"/>
  <c r="AK24" i="15" a="1"/>
  <c r="Z39" i="15" a="1"/>
  <c r="Z27" i="15" a="1"/>
  <c r="AH29" i="15" a="1"/>
  <c r="AK27" i="15" a="1"/>
  <c r="AI5" i="15" a="1"/>
  <c r="AK51" i="15" a="1"/>
  <c r="AJ50" i="15" a="1"/>
  <c r="AF49" i="15" a="1"/>
  <c r="Z10" i="15" a="1"/>
  <c r="AK16" i="15" a="1"/>
  <c r="AK37" i="15" a="1"/>
  <c r="AK13" i="15" a="1"/>
  <c r="AK23" i="15" a="1"/>
  <c r="AI29" i="15" a="1"/>
  <c r="AK10" i="15" a="1"/>
  <c r="AJ5" i="15" a="1"/>
  <c r="AF4" i="15" a="1"/>
  <c r="AH4" i="15" a="1"/>
  <c r="AK33" i="15" a="1"/>
  <c r="AH9" i="15" a="1"/>
  <c r="AI43" i="15" a="1"/>
  <c r="Z11" i="15" a="1"/>
  <c r="AH45" i="15" a="1"/>
  <c r="Z30" i="15" a="1"/>
  <c r="AH49" i="15" a="1"/>
  <c r="AF9" i="15" a="1"/>
  <c r="AJ10" i="15" a="1"/>
  <c r="AF32" i="15" a="1"/>
  <c r="AJ33" i="15" a="1"/>
  <c r="AH43" i="15" a="1"/>
  <c r="AK50" i="15" a="1"/>
  <c r="Z36" i="15" a="1"/>
  <c r="Z43" i="15" a="1"/>
  <c r="Z14" i="15" a="1"/>
  <c r="AI49" i="15" a="1"/>
  <c r="AH11" i="15" a="1"/>
  <c r="AJ29" i="15" a="1"/>
  <c r="Z6" i="15" a="1"/>
  <c r="Z7" i="15" a="1"/>
  <c r="Z41" i="15" a="1"/>
  <c r="AI44" i="15" a="1"/>
  <c r="AI40" i="15" a="1"/>
  <c r="AH21" i="15" a="1"/>
  <c r="AB61" i="15" a="1"/>
  <c r="AC61" i="15" a="1"/>
  <c r="AD61" i="15" a="1"/>
  <c r="AE61" i="15" a="1"/>
  <c r="AG61" i="15" a="1"/>
  <c r="AL61" i="15" a="1"/>
  <c r="AJ13" i="15" a="1"/>
  <c r="AB60" i="15" a="1"/>
  <c r="AC60" i="15" a="1"/>
  <c r="AD60" i="15" a="1"/>
  <c r="AE60" i="15" a="1"/>
  <c r="AG60" i="15" a="1"/>
  <c r="AL60" i="15" a="1"/>
  <c r="AH46" i="15" a="1"/>
  <c r="AH40" i="15" a="1"/>
  <c r="AH20" i="15" a="1"/>
  <c r="AB70" i="15" a="1"/>
  <c r="AC70" i="15" a="1"/>
  <c r="AD70" i="15" a="1"/>
  <c r="AE70" i="15" a="1"/>
  <c r="AG70" i="15" a="1"/>
  <c r="AL70" i="15" a="1"/>
  <c r="AH37" i="15" a="1"/>
  <c r="AJ52" i="15" a="1"/>
  <c r="AJ2" i="15" a="1"/>
  <c r="AH31" i="15" a="1"/>
  <c r="AB55" i="15" a="1"/>
  <c r="AC55" i="15" a="1"/>
  <c r="AD55" i="15" a="1"/>
  <c r="AE55" i="15" a="1"/>
  <c r="AG55" i="15" a="1"/>
  <c r="AL55" i="15" a="1"/>
  <c r="AH53" i="15" a="1"/>
  <c r="AI24" i="15" a="1"/>
  <c r="AJ37" i="15" a="1"/>
  <c r="AI52" i="15" a="1"/>
  <c r="AH28" i="15" a="1"/>
  <c r="AJ31" i="15" a="1"/>
  <c r="AB58" i="15" a="1"/>
  <c r="AC58" i="15" a="1"/>
  <c r="AD58" i="15" a="1"/>
  <c r="AE58" i="15" a="1"/>
  <c r="AG58" i="15" a="1"/>
  <c r="AL58" i="15" a="1"/>
  <c r="AB57" i="15" a="1"/>
  <c r="AC57" i="15" a="1"/>
  <c r="AD57" i="15" a="1"/>
  <c r="AE57" i="15" a="1"/>
  <c r="AG57" i="15" a="1"/>
  <c r="AL57" i="15" a="1"/>
  <c r="AB66" i="15" a="1"/>
  <c r="AC66" i="15" a="1"/>
  <c r="AD66" i="15" a="1"/>
  <c r="AE66" i="15" a="1"/>
  <c r="AG66" i="15" a="1"/>
  <c r="AL66" i="15" a="1"/>
  <c r="AI37" i="15" a="1"/>
  <c r="AI28" i="15" a="1"/>
  <c r="AI26" i="15" a="1"/>
  <c r="AJ20" i="15" a="1"/>
  <c r="AJ24" i="15" a="1"/>
  <c r="AH52" i="15" a="1"/>
  <c r="AH44" i="15" a="1"/>
  <c r="AI20" i="15" a="1"/>
  <c r="AH24" i="15" a="1"/>
  <c r="AJ32" i="15" a="1"/>
  <c r="AI46" i="15" a="1"/>
  <c r="AJ47" i="15" a="1"/>
  <c r="AH2" i="15" a="1"/>
  <c r="AJ46" i="15" a="1"/>
  <c r="AI15" i="15" a="1"/>
  <c r="AJ26" i="15" a="1"/>
  <c r="AB67" i="15" a="1"/>
  <c r="AC67" i="15" a="1"/>
  <c r="AD67" i="15" a="1"/>
  <c r="AE67" i="15" a="1"/>
  <c r="AG67" i="15" a="1"/>
  <c r="AL67" i="15" a="1"/>
  <c r="AJ42" i="15" a="1"/>
  <c r="AH47" i="15" a="1"/>
  <c r="AH26" i="15" a="1"/>
  <c r="AK18" i="8" a="1"/>
  <c r="AI18" i="15" a="1"/>
  <c r="AJ44" i="15" a="1"/>
  <c r="AH42" i="15" a="1"/>
  <c r="AH32" i="15" a="1"/>
  <c r="AH15" i="15" a="1"/>
  <c r="AI47" i="15" a="1"/>
  <c r="AB71" i="15" a="1"/>
  <c r="AC71" i="15" a="1"/>
  <c r="AD71" i="15" a="1"/>
  <c r="AE71" i="15" a="1"/>
  <c r="AG71" i="15" a="1"/>
  <c r="AL71" i="15" a="1"/>
  <c r="AB65" i="15" a="1"/>
  <c r="AC65" i="15" a="1"/>
  <c r="AD65" i="15" a="1"/>
  <c r="AE65" i="15" a="1"/>
  <c r="AG65" i="15" a="1"/>
  <c r="AL65" i="15" a="1"/>
  <c r="AJ16" i="15" a="1"/>
  <c r="AI32" i="15" a="1"/>
  <c r="AJ21" i="15" a="1"/>
  <c r="AL18" i="8" a="1"/>
  <c r="AJ18" i="15" a="1"/>
  <c r="AJ39" i="15" a="1"/>
  <c r="AJ18" i="8" a="1"/>
  <c r="AH18" i="15" a="1"/>
  <c r="AB54" i="15" a="1"/>
  <c r="AC54" i="15" a="1"/>
  <c r="AD54" i="15" a="1"/>
  <c r="AE54" i="15" a="1"/>
  <c r="AG54" i="15" a="1"/>
  <c r="AL54" i="15" a="1"/>
  <c r="AL68" i="15" a="1"/>
  <c r="AG68" i="15" a="1"/>
  <c r="AE68" i="15" a="1"/>
  <c r="AD68" i="15" a="1"/>
  <c r="AC68" i="15" a="1"/>
  <c r="AB68" i="15" a="1"/>
  <c r="AJ28" i="15" a="1"/>
  <c r="AI21" i="15" a="1"/>
  <c r="AI39" i="15" a="1"/>
  <c r="AB56" i="15" a="1"/>
  <c r="AC56" i="15" a="1"/>
  <c r="AD56" i="15" a="1"/>
  <c r="AE56" i="15" a="1"/>
  <c r="AG56" i="15" a="1"/>
  <c r="AL56" i="15" a="1"/>
  <c r="AI42" i="15" a="1"/>
  <c r="AI13" i="15" a="1"/>
  <c r="AI2" i="15" a="1"/>
  <c r="AB64" i="15" a="1"/>
  <c r="AC64" i="15" a="1"/>
  <c r="AD64" i="15" a="1"/>
  <c r="AE64" i="15" a="1"/>
  <c r="AG64" i="15" a="1"/>
  <c r="AL64" i="15" a="1"/>
  <c r="AB59" i="15" a="1"/>
  <c r="AC59" i="15" a="1"/>
  <c r="AD59" i="15" a="1"/>
  <c r="AE59" i="15" a="1"/>
  <c r="AG59" i="15" a="1"/>
  <c r="AL59" i="15" a="1"/>
  <c r="AF23" i="15" a="1"/>
  <c r="AF22" i="15" a="1"/>
  <c r="AI53" i="15" a="1"/>
  <c r="AI48" i="15" a="1"/>
  <c r="AH23" i="15" a="1"/>
  <c r="AH16" i="15" a="1"/>
  <c r="AH13" i="15" a="1"/>
  <c r="AJ40" i="15" a="1"/>
  <c r="AI31" i="15" a="1"/>
  <c r="AH39" i="15" a="1"/>
  <c r="AB69" i="15" a="1"/>
  <c r="AC69" i="15" a="1"/>
  <c r="AD69" i="15" a="1"/>
  <c r="AE69" i="15" a="1"/>
  <c r="AG69" i="15" a="1"/>
  <c r="AL69" i="15" a="1"/>
  <c r="AB63" i="15" a="1"/>
  <c r="AC63" i="15" a="1"/>
  <c r="AD63" i="15" a="1"/>
  <c r="AE63" i="15" a="1"/>
  <c r="AG63" i="15" a="1"/>
  <c r="AL63" i="15" a="1"/>
  <c r="AB62" i="15" a="1"/>
  <c r="AC62" i="15" a="1"/>
  <c r="AD62" i="15" a="1"/>
  <c r="AE62" i="15" a="1"/>
  <c r="AG62" i="15" a="1"/>
  <c r="AL62" i="15" a="1"/>
  <c r="AF15" i="15" a="1"/>
  <c r="AF36" i="15" a="1"/>
  <c r="AF12" i="15" a="1"/>
  <c r="AJ53" i="15" a="1"/>
  <c r="AF45" i="15" a="1"/>
  <c r="AF28" i="15" a="1"/>
  <c r="AH18" i="8" a="1"/>
  <c r="AF52" i="15" a="1"/>
  <c r="AF19" i="15" a="1"/>
  <c r="AI45" i="15" a="1"/>
  <c r="AF31" i="15" a="1"/>
  <c r="AF44" i="15" a="1"/>
  <c r="AF43" i="15" a="1"/>
  <c r="AF30" i="15" a="1"/>
  <c r="AI23" i="15" a="1"/>
  <c r="AF41" i="15" a="1"/>
  <c r="AF14" i="15" a="1"/>
  <c r="AF5" i="15" a="1"/>
  <c r="AF25" i="15" a="1"/>
  <c r="AJ23" i="15" a="1"/>
  <c r="AF27" i="15" a="1"/>
  <c r="AF38" i="15" a="1"/>
  <c r="AH48" i="15" a="1"/>
  <c r="AF47" i="15" a="1"/>
  <c r="AF20" i="15" a="1"/>
  <c r="AF46" i="15" a="1"/>
  <c r="AF17" i="15" a="1"/>
  <c r="AJ48" i="15" a="1"/>
  <c r="AF7" i="15" a="1"/>
  <c r="AI16" i="15" a="1"/>
  <c r="AF51" i="15" a="1"/>
  <c r="AF39" i="15" a="1"/>
  <c r="AN3" i="8" a="1"/>
  <c r="AJ4" i="8" a="1"/>
  <c r="AF2" i="15" a="1"/>
  <c r="AJ10" i="8" a="1"/>
  <c r="AK12" i="8" a="1"/>
  <c r="AL33" i="8" a="1"/>
  <c r="AH33" i="8" a="1"/>
  <c r="AJ42" i="8" a="1"/>
  <c r="AB28" i="8" a="1"/>
  <c r="AL47" i="8" a="1"/>
  <c r="AB5" i="8" a="1"/>
  <c r="AB47" i="8" a="1"/>
  <c r="AK5" i="8" a="1"/>
  <c r="AJ12" i="8" a="1"/>
  <c r="AB4" i="8" a="1"/>
  <c r="AB33" i="8" a="1"/>
  <c r="AK10" i="8" a="1"/>
  <c r="AL13" i="8" a="1"/>
  <c r="AH13" i="8" a="1"/>
  <c r="AJ40" i="8" a="1"/>
  <c r="AK42" i="8" a="1"/>
  <c r="AB17" i="8" a="1"/>
  <c r="AK22" i="8" a="1"/>
  <c r="AK15" i="8" a="1"/>
  <c r="AL16" i="8" a="1"/>
  <c r="AK30" i="8" a="1"/>
  <c r="AK33" i="8" a="1"/>
  <c r="AL12" i="8" a="1"/>
  <c r="AH12" i="8" a="1"/>
  <c r="AK40" i="8" a="1"/>
  <c r="AH45" i="8" a="1"/>
  <c r="AB14" i="8" a="1"/>
  <c r="AK47" i="8" a="1"/>
  <c r="AJ47" i="8" a="1"/>
  <c r="AB36" i="8" a="1"/>
  <c r="AL10" i="8" a="1"/>
  <c r="AH10" i="8" a="1"/>
  <c r="AH11" i="8" a="1"/>
  <c r="AL42" i="8" a="1"/>
  <c r="AH42" i="8" a="1"/>
  <c r="AH30" i="8" a="1"/>
  <c r="AB40" i="8" a="1"/>
  <c r="AL30" i="8" a="1"/>
  <c r="AL15" i="8" a="1"/>
  <c r="AJ16" i="8" a="1"/>
  <c r="AB19" i="8" a="1"/>
  <c r="AB30" i="8" a="1"/>
  <c r="AJ17" i="8" a="1"/>
  <c r="AB42" i="8" a="1"/>
  <c r="AK17" i="8" a="1"/>
  <c r="AL29" i="8" a="1"/>
  <c r="AH29" i="8" a="1"/>
  <c r="AJ41" i="8" a="1"/>
  <c r="AL40" i="8" a="1"/>
  <c r="AH40" i="8" a="1"/>
  <c r="AJ36" i="8" a="1"/>
  <c r="AK41" i="8" a="1"/>
  <c r="AH17" i="8" a="1"/>
  <c r="AJ6" i="8" a="1"/>
  <c r="AJ11" i="8" a="1"/>
  <c r="AB22" i="8" a="1"/>
  <c r="AB45" i="8" a="1"/>
  <c r="AJ22" i="8" a="1"/>
  <c r="AB25" i="8" a="1"/>
  <c r="AB15" i="8" a="1"/>
  <c r="AJ45" i="8" a="1"/>
  <c r="AL28" i="8" a="1"/>
  <c r="AK13" i="8" a="1"/>
  <c r="AK36" i="8" a="1"/>
  <c r="AH47" i="8" a="1"/>
  <c r="AJ19" i="8" a="1"/>
  <c r="AJ5" i="8" a="1"/>
  <c r="AK6" i="8" a="1"/>
  <c r="AL41" i="8" a="1"/>
  <c r="AH41" i="8" a="1"/>
  <c r="AK19" i="8" a="1"/>
  <c r="AL22" i="8" a="1"/>
  <c r="AK25" i="8" a="1"/>
  <c r="AL11" i="8" a="1"/>
  <c r="AB12" i="8" a="1"/>
  <c r="AL7" i="8" a="1"/>
  <c r="AJ13" i="8" a="1"/>
  <c r="AH22" i="8" a="1"/>
  <c r="AL36" i="8" a="1"/>
  <c r="AH36" i="8" a="1"/>
  <c r="AK3" i="8" a="1"/>
  <c r="AL6" i="8" a="1"/>
  <c r="AH6" i="8" a="1"/>
  <c r="AL19" i="8" a="1"/>
  <c r="AH19" i="8" a="1"/>
  <c r="AH5" i="8" a="1"/>
  <c r="AH7" i="8" a="1"/>
  <c r="AK11" i="8" a="1"/>
  <c r="AB41" i="8" a="1"/>
  <c r="AK28" i="8" a="1"/>
  <c r="AJ25" i="8" a="1"/>
  <c r="AJ30" i="8" a="1"/>
  <c r="AJ15" i="8" a="1"/>
  <c r="AL14" i="8" a="1"/>
  <c r="AH14" i="8" a="1"/>
  <c r="AK16" i="8" a="1"/>
  <c r="AL3" i="8" a="1"/>
  <c r="AB11" i="8" a="1"/>
  <c r="AB16" i="8" a="1"/>
  <c r="AJ7" i="8" a="1"/>
  <c r="AJ28" i="8" a="1"/>
  <c r="AL25" i="8" a="1"/>
  <c r="AK45" i="8" a="1"/>
  <c r="AL45" i="8" a="1"/>
  <c r="AL17" i="8" a="1"/>
  <c r="AH25" i="8" a="1"/>
  <c r="AB13" i="8" a="1"/>
  <c r="AK4" i="8" a="1"/>
  <c r="AH15" i="8" a="1"/>
  <c r="AJ29" i="8" a="1"/>
  <c r="AH16" i="8" a="1"/>
  <c r="AJ14" i="8" a="1"/>
  <c r="AK29" i="8" a="1"/>
  <c r="AK7" i="8" a="1"/>
  <c r="AL4" i="8" a="1"/>
  <c r="AH4" i="8" a="1"/>
  <c r="AJ33" i="8" a="1"/>
  <c r="AK14" i="8" a="1"/>
  <c r="AH28" i="8" a="1"/>
  <c r="AB10" i="8" a="1"/>
  <c r="AB7" i="8" a="1"/>
  <c r="AB29" i="8" a="1"/>
  <c r="AB6" i="8" a="1"/>
  <c r="AL5" i="8" a="1"/>
  <c r="AE230" i="2" l="1"/>
  <c r="AF230" i="2" s="1"/>
  <c r="AD228" i="2"/>
  <c r="AB152" i="2"/>
  <c r="AG152" i="2" s="1"/>
  <c r="AA150" i="2"/>
  <c r="AE150" i="2"/>
  <c r="AI150" i="2" s="1"/>
  <c r="AB150" i="2"/>
  <c r="AG150" i="2" s="1"/>
  <c r="Z150" i="2"/>
  <c r="AJ150" i="2"/>
  <c r="AO150" i="2" s="1"/>
  <c r="AJ276" i="2"/>
  <c r="AN276" i="2" s="1"/>
  <c r="AC150" i="2"/>
  <c r="AH150" i="2" s="1"/>
  <c r="AD152" i="2"/>
  <c r="AA163" i="2"/>
  <c r="Z152" i="2"/>
  <c r="Z13" i="15"/>
  <c r="Z2" i="15"/>
  <c r="Z8" i="15"/>
  <c r="Z31" i="15"/>
  <c r="Z20" i="15"/>
  <c r="Z41" i="15"/>
  <c r="Z7" i="15"/>
  <c r="Z6" i="15"/>
  <c r="AJ29" i="15"/>
  <c r="AH11" i="15"/>
  <c r="AI49" i="15"/>
  <c r="Z14" i="15"/>
  <c r="Z43" i="15"/>
  <c r="Z36" i="15"/>
  <c r="AK50" i="15"/>
  <c r="AH43" i="15"/>
  <c r="AJ33" i="15"/>
  <c r="AF32" i="15"/>
  <c r="AJ10" i="15"/>
  <c r="AF9" i="15"/>
  <c r="AH49" i="15"/>
  <c r="Z30" i="15"/>
  <c r="AH45" i="15"/>
  <c r="Z11" i="15"/>
  <c r="AI43" i="15"/>
  <c r="AH9" i="15"/>
  <c r="AK33" i="15"/>
  <c r="AH4" i="15"/>
  <c r="AF4" i="15"/>
  <c r="AJ5" i="15"/>
  <c r="AK10" i="15"/>
  <c r="AI29" i="15"/>
  <c r="AK23" i="15"/>
  <c r="AK13" i="15"/>
  <c r="AK37" i="15"/>
  <c r="AK16" i="15"/>
  <c r="Z10" i="15"/>
  <c r="AF49" i="15"/>
  <c r="AJ50" i="15"/>
  <c r="AK51" i="15"/>
  <c r="AI5" i="15"/>
  <c r="AK27" i="15"/>
  <c r="AH29" i="15"/>
  <c r="Z27" i="15"/>
  <c r="Z39" i="15"/>
  <c r="AK24" i="15"/>
  <c r="Z21" i="15"/>
  <c r="Z48" i="15"/>
  <c r="AI50" i="15"/>
  <c r="AK17" i="15"/>
  <c r="AK7" i="15"/>
  <c r="AH33" i="15"/>
  <c r="AH10" i="15"/>
  <c r="Z46" i="15"/>
  <c r="AK40" i="15"/>
  <c r="AK52" i="15"/>
  <c r="AK21" i="15"/>
  <c r="AJ8" i="15"/>
  <c r="AJ35" i="15"/>
  <c r="AF34" i="15"/>
  <c r="AH27" i="15"/>
  <c r="AJ12" i="15"/>
  <c r="AF11" i="15"/>
  <c r="AH5" i="15"/>
  <c r="AH51" i="15"/>
  <c r="Z51" i="15"/>
  <c r="Z19" i="15"/>
  <c r="AK28" i="15"/>
  <c r="Z47" i="15"/>
  <c r="Z49" i="15"/>
  <c r="AK25" i="15"/>
  <c r="AI17" i="15"/>
  <c r="AI7" i="15"/>
  <c r="AJ19" i="15"/>
  <c r="AF18" i="15"/>
  <c r="AK30" i="15"/>
  <c r="AI51" i="15"/>
  <c r="AK19" i="15"/>
  <c r="Z16" i="15"/>
  <c r="AK18" i="15"/>
  <c r="AK47" i="15"/>
  <c r="AK6" i="15"/>
  <c r="AK2" i="15"/>
  <c r="AI8" i="15"/>
  <c r="AK48" i="15"/>
  <c r="Z12" i="15"/>
  <c r="AJ25" i="15"/>
  <c r="AF24" i="15"/>
  <c r="AH17" i="15"/>
  <c r="AI35" i="15"/>
  <c r="AH7" i="15"/>
  <c r="AK34" i="15"/>
  <c r="AI38" i="15"/>
  <c r="AJ30" i="15"/>
  <c r="AF29" i="15"/>
  <c r="AI12" i="15"/>
  <c r="AI27" i="15"/>
  <c r="Z53" i="15"/>
  <c r="Z34" i="15"/>
  <c r="AK39" i="15"/>
  <c r="AJ6" i="15"/>
  <c r="AH8" i="15"/>
  <c r="Z35" i="15"/>
  <c r="Z22" i="15"/>
  <c r="AH35" i="15"/>
  <c r="AI19" i="15"/>
  <c r="AJ34" i="15"/>
  <c r="AF33" i="15"/>
  <c r="AH38" i="15"/>
  <c r="AK36" i="15"/>
  <c r="AH12" i="15"/>
  <c r="Z24" i="15"/>
  <c r="AJ51" i="15"/>
  <c r="AF50" i="15"/>
  <c r="Z23" i="15"/>
  <c r="AK38" i="15"/>
  <c r="AJ38" i="15"/>
  <c r="AF37" i="15"/>
  <c r="Z42" i="15"/>
  <c r="Z9" i="15"/>
  <c r="AK26" i="15"/>
  <c r="AK15" i="15"/>
  <c r="Z32" i="15"/>
  <c r="AI25" i="15"/>
  <c r="AK3" i="15"/>
  <c r="AK14" i="15"/>
  <c r="AH19" i="15"/>
  <c r="AF35" i="15"/>
  <c r="AJ36" i="15"/>
  <c r="AI30" i="15"/>
  <c r="Z44" i="15"/>
  <c r="AK12" i="15"/>
  <c r="Z4" i="15"/>
  <c r="Z17" i="15"/>
  <c r="AI6" i="15"/>
  <c r="AK44" i="15"/>
  <c r="AJ15" i="15"/>
  <c r="Z29" i="15"/>
  <c r="AK41" i="15"/>
  <c r="AH25" i="15"/>
  <c r="AJ3" i="15"/>
  <c r="AJ14" i="15"/>
  <c r="AF13" i="15"/>
  <c r="AI34" i="15"/>
  <c r="AH30" i="15"/>
  <c r="AK22" i="15"/>
  <c r="AI10" i="15"/>
  <c r="AK45" i="15"/>
  <c r="AH6" i="15"/>
  <c r="AK42" i="15"/>
  <c r="Z33" i="15"/>
  <c r="AJ41" i="15"/>
  <c r="AF40" i="15"/>
  <c r="AK9" i="15"/>
  <c r="AK4" i="15"/>
  <c r="AH34" i="15"/>
  <c r="AK11" i="15"/>
  <c r="AI36" i="15"/>
  <c r="AJ22" i="15"/>
  <c r="AF21" i="15"/>
  <c r="AJ27" i="15"/>
  <c r="AF26" i="15"/>
  <c r="Z25" i="15"/>
  <c r="Z40" i="15"/>
  <c r="AJ45" i="15"/>
  <c r="AK31" i="15"/>
  <c r="Z52" i="15"/>
  <c r="AK43" i="15"/>
  <c r="AI3" i="15"/>
  <c r="AJ9" i="15"/>
  <c r="AF8" i="15"/>
  <c r="AI14" i="15"/>
  <c r="AJ4" i="15"/>
  <c r="AF3" i="15"/>
  <c r="AJ11" i="15"/>
  <c r="AF10" i="15"/>
  <c r="AH36" i="15"/>
  <c r="AK49" i="15"/>
  <c r="Z18" i="15"/>
  <c r="AB18" i="8"/>
  <c r="AI33" i="15"/>
  <c r="AK8" i="15"/>
  <c r="Z45" i="15"/>
  <c r="AH50" i="15"/>
  <c r="AJ17" i="15"/>
  <c r="AF16" i="15"/>
  <c r="AK35" i="15"/>
  <c r="AJ7" i="15"/>
  <c r="AF6" i="15"/>
  <c r="Z28" i="15"/>
  <c r="Z37" i="15"/>
  <c r="AK32" i="15"/>
  <c r="Z5" i="15"/>
  <c r="AI41" i="15"/>
  <c r="AF42" i="15"/>
  <c r="AJ43" i="15"/>
  <c r="AJ3" i="8"/>
  <c r="AH3" i="15"/>
  <c r="AH14" i="15"/>
  <c r="AJ49" i="15"/>
  <c r="AF48" i="15"/>
  <c r="AI22" i="15"/>
  <c r="Z50" i="15"/>
  <c r="Z26" i="15"/>
  <c r="Z15" i="15"/>
  <c r="AK20" i="15"/>
  <c r="AK29" i="15"/>
  <c r="AK46" i="15"/>
  <c r="AK53" i="15"/>
  <c r="Z38" i="15"/>
  <c r="AH41" i="15"/>
  <c r="AI9" i="15"/>
  <c r="AI4" i="15"/>
  <c r="AK5" i="15"/>
  <c r="AI11" i="15"/>
  <c r="AH22" i="15"/>
  <c r="S60" i="15"/>
  <c r="S62" i="15"/>
  <c r="S70" i="15"/>
  <c r="S69" i="15"/>
  <c r="S63" i="15"/>
  <c r="AF39" i="15"/>
  <c r="AF51" i="15"/>
  <c r="AI16" i="15"/>
  <c r="AF7" i="15"/>
  <c r="AJ48" i="15"/>
  <c r="AF17" i="15"/>
  <c r="AF46" i="15"/>
  <c r="AF20" i="15"/>
  <c r="AF47" i="15"/>
  <c r="AH48" i="15"/>
  <c r="AF38" i="15"/>
  <c r="AF27" i="15"/>
  <c r="AJ23" i="15"/>
  <c r="AF25" i="15"/>
  <c r="AF5" i="15"/>
  <c r="AF14" i="15"/>
  <c r="AF41" i="15"/>
  <c r="AI23" i="15"/>
  <c r="AF30" i="15"/>
  <c r="AF43" i="15"/>
  <c r="AF44" i="15"/>
  <c r="AF31" i="15"/>
  <c r="AI45" i="15"/>
  <c r="AF19" i="15"/>
  <c r="AF52" i="15"/>
  <c r="AH18" i="8"/>
  <c r="AF28" i="15"/>
  <c r="AF45" i="15"/>
  <c r="AJ53" i="15"/>
  <c r="AF12" i="15"/>
  <c r="AF36" i="15"/>
  <c r="AF15" i="15"/>
  <c r="AL62" i="15"/>
  <c r="AG62" i="15"/>
  <c r="AE62" i="15"/>
  <c r="AD62" i="15"/>
  <c r="AC62" i="15"/>
  <c r="AB62" i="15"/>
  <c r="AL63" i="15"/>
  <c r="AG63" i="15"/>
  <c r="AE63" i="15"/>
  <c r="AD63" i="15"/>
  <c r="AC63" i="15"/>
  <c r="AB63" i="15"/>
  <c r="AL69" i="15"/>
  <c r="AG69" i="15"/>
  <c r="AE69" i="15"/>
  <c r="AD69" i="15"/>
  <c r="AC69" i="15"/>
  <c r="AB69" i="15"/>
  <c r="AH39" i="15"/>
  <c r="AI31" i="15"/>
  <c r="AJ40" i="15"/>
  <c r="AH13" i="15"/>
  <c r="AH16" i="15"/>
  <c r="AH23" i="15"/>
  <c r="AI48" i="15"/>
  <c r="AI53" i="15"/>
  <c r="AF22" i="15"/>
  <c r="AF23" i="15"/>
  <c r="AL59" i="15"/>
  <c r="AG59" i="15"/>
  <c r="AE59" i="15"/>
  <c r="AD59" i="15"/>
  <c r="AC59" i="15"/>
  <c r="AB59" i="15"/>
  <c r="AL64" i="15"/>
  <c r="AG64" i="15"/>
  <c r="AE64" i="15"/>
  <c r="AD64" i="15"/>
  <c r="AC64" i="15"/>
  <c r="AB64" i="15"/>
  <c r="AI2" i="15"/>
  <c r="AI13" i="15"/>
  <c r="AI42" i="15"/>
  <c r="AL56" i="15"/>
  <c r="AG56" i="15"/>
  <c r="AE56" i="15"/>
  <c r="AD56" i="15"/>
  <c r="AC56" i="15"/>
  <c r="AB56" i="15"/>
  <c r="AI39" i="15"/>
  <c r="AI21" i="15"/>
  <c r="AJ28" i="15"/>
  <c r="AB68" i="15"/>
  <c r="AC68" i="15"/>
  <c r="AD68" i="15"/>
  <c r="AE68" i="15"/>
  <c r="AG68" i="15"/>
  <c r="AL68" i="15"/>
  <c r="AL54" i="15"/>
  <c r="AG54" i="15"/>
  <c r="AE54" i="15"/>
  <c r="AD54" i="15"/>
  <c r="AC54" i="15"/>
  <c r="AB54" i="15"/>
  <c r="AH18" i="15"/>
  <c r="AJ18" i="8"/>
  <c r="AJ39" i="15"/>
  <c r="AJ18" i="15"/>
  <c r="AL18" i="8"/>
  <c r="AJ21" i="15"/>
  <c r="AI32" i="15"/>
  <c r="AJ16" i="15"/>
  <c r="AL65" i="15"/>
  <c r="AG65" i="15"/>
  <c r="AE65" i="15"/>
  <c r="AD65" i="15"/>
  <c r="AC65" i="15"/>
  <c r="AB65" i="15"/>
  <c r="AL71" i="15"/>
  <c r="AG71" i="15"/>
  <c r="AE71" i="15"/>
  <c r="AD71" i="15"/>
  <c r="AC71" i="15"/>
  <c r="AB71" i="15"/>
  <c r="AI47" i="15"/>
  <c r="AH15" i="15"/>
  <c r="AH32" i="15"/>
  <c r="AH42" i="15"/>
  <c r="AJ44" i="15"/>
  <c r="AI18" i="15"/>
  <c r="AK18" i="8"/>
  <c r="AH26" i="15"/>
  <c r="AH47" i="15"/>
  <c r="AJ42" i="15"/>
  <c r="AL67" i="15"/>
  <c r="AG67" i="15"/>
  <c r="AE67" i="15"/>
  <c r="AD67" i="15"/>
  <c r="AC67" i="15"/>
  <c r="AB67" i="15"/>
  <c r="AJ26" i="15"/>
  <c r="AI15" i="15"/>
  <c r="AJ46" i="15"/>
  <c r="AH2" i="15"/>
  <c r="AJ47" i="15"/>
  <c r="AI46" i="15"/>
  <c r="AJ32" i="15"/>
  <c r="AH24" i="15"/>
  <c r="AI20" i="15"/>
  <c r="AH44" i="15"/>
  <c r="AH52" i="15"/>
  <c r="AJ24" i="15"/>
  <c r="AJ20" i="15"/>
  <c r="AI26" i="15"/>
  <c r="AI28" i="15"/>
  <c r="AI37" i="15"/>
  <c r="AL66" i="15"/>
  <c r="AG66" i="15"/>
  <c r="AE66" i="15"/>
  <c r="AD66" i="15"/>
  <c r="AC66" i="15"/>
  <c r="AB66" i="15"/>
  <c r="AL57" i="15"/>
  <c r="AG57" i="15"/>
  <c r="AE57" i="15"/>
  <c r="AD57" i="15"/>
  <c r="AC57" i="15"/>
  <c r="AB57" i="15"/>
  <c r="AL58" i="15"/>
  <c r="AG58" i="15"/>
  <c r="AE58" i="15"/>
  <c r="AD58" i="15"/>
  <c r="AC58" i="15"/>
  <c r="AB58" i="15"/>
  <c r="AJ31" i="15"/>
  <c r="AH28" i="15"/>
  <c r="AI52" i="15"/>
  <c r="AJ37" i="15"/>
  <c r="AI24" i="15"/>
  <c r="AH53" i="15"/>
  <c r="AL55" i="15"/>
  <c r="AG55" i="15"/>
  <c r="AE55" i="15"/>
  <c r="AD55" i="15"/>
  <c r="AC55" i="15"/>
  <c r="AB55" i="15"/>
  <c r="AH31" i="15"/>
  <c r="AJ2" i="15"/>
  <c r="AJ52" i="15"/>
  <c r="AH37" i="15"/>
  <c r="AL70" i="15"/>
  <c r="AG70" i="15"/>
  <c r="AE70" i="15"/>
  <c r="AD70" i="15"/>
  <c r="AC70" i="15"/>
  <c r="AB70" i="15"/>
  <c r="AH20" i="15"/>
  <c r="AH40" i="15"/>
  <c r="AH46" i="15"/>
  <c r="AL60" i="15"/>
  <c r="AG60" i="15"/>
  <c r="AE60" i="15"/>
  <c r="AD60" i="15"/>
  <c r="AC60" i="15"/>
  <c r="AB60" i="15"/>
  <c r="AJ13" i="15"/>
  <c r="AL61" i="15"/>
  <c r="AG61" i="15"/>
  <c r="AE61" i="15"/>
  <c r="AD61" i="15"/>
  <c r="AC61" i="15"/>
  <c r="AB61" i="15"/>
  <c r="AH21" i="15"/>
  <c r="AI40" i="15"/>
  <c r="AI44" i="15"/>
  <c r="AH16" i="2"/>
  <c r="AF48" i="2"/>
  <c r="AI48" i="2"/>
  <c r="S61" i="15"/>
  <c r="S59" i="15"/>
  <c r="S65" i="15"/>
  <c r="AG48" i="2"/>
  <c r="AI23" i="2"/>
  <c r="AF23" i="2"/>
  <c r="S56" i="15"/>
  <c r="S68" i="15"/>
  <c r="S54" i="15"/>
  <c r="AH23" i="2"/>
  <c r="S58" i="15"/>
  <c r="S66" i="15"/>
  <c r="S71" i="15"/>
  <c r="AH45" i="2"/>
  <c r="AI53" i="2"/>
  <c r="AF53" i="2"/>
  <c r="AA62" i="2"/>
  <c r="AA63" i="2"/>
  <c r="AG39" i="2"/>
  <c r="AH31" i="2"/>
  <c r="AI40" i="2"/>
  <c r="AF40" i="2"/>
  <c r="AG13" i="2"/>
  <c r="AG16" i="2"/>
  <c r="AG23" i="2"/>
  <c r="AH48" i="2"/>
  <c r="AH53" i="2"/>
  <c r="AH2" i="2"/>
  <c r="AH13" i="2"/>
  <c r="AH42" i="2"/>
  <c r="S55" i="15"/>
  <c r="AH39" i="2"/>
  <c r="AH21" i="2"/>
  <c r="AF28" i="2"/>
  <c r="AI28" i="2"/>
  <c r="AA59" i="2"/>
  <c r="AG18" i="2"/>
  <c r="AF39" i="2"/>
  <c r="AI39" i="2"/>
  <c r="AD59" i="2"/>
  <c r="AG60" i="2"/>
  <c r="AD63" i="2"/>
  <c r="AF18" i="2"/>
  <c r="AI18" i="2"/>
  <c r="AI21" i="2"/>
  <c r="AF21" i="2"/>
  <c r="AH32" i="2"/>
  <c r="AF16" i="2"/>
  <c r="AI16" i="2"/>
  <c r="AE59" i="2"/>
  <c r="AF59" i="2" s="1"/>
  <c r="AE71" i="2"/>
  <c r="AI71" i="2" s="1"/>
  <c r="AH47" i="2"/>
  <c r="AG15" i="2"/>
  <c r="AG32" i="2"/>
  <c r="AG42" i="2"/>
  <c r="AI44" i="2"/>
  <c r="AF44" i="2"/>
  <c r="AH18" i="2"/>
  <c r="AG26" i="2"/>
  <c r="AG47" i="2"/>
  <c r="AI42" i="2"/>
  <c r="AF42" i="2"/>
  <c r="AJ69" i="2"/>
  <c r="AN69" i="2" s="1"/>
  <c r="AF26" i="2"/>
  <c r="AI26" i="2"/>
  <c r="AH15" i="2"/>
  <c r="AF46" i="2"/>
  <c r="AI46" i="2"/>
  <c r="AG2" i="2"/>
  <c r="Z63" i="2"/>
  <c r="AF47" i="2"/>
  <c r="AI47" i="2"/>
  <c r="AH46" i="2"/>
  <c r="AI32" i="2"/>
  <c r="AF32" i="2"/>
  <c r="AG24" i="2"/>
  <c r="AB64" i="2"/>
  <c r="AI61" i="2"/>
  <c r="AH20" i="2"/>
  <c r="AG44" i="2"/>
  <c r="AG52" i="2"/>
  <c r="AF24" i="2"/>
  <c r="AI24" i="2"/>
  <c r="AH60" i="2"/>
  <c r="AI20" i="2"/>
  <c r="AF20" i="2"/>
  <c r="AH26" i="2"/>
  <c r="AH28" i="2"/>
  <c r="AH37" i="2"/>
  <c r="AH61" i="2"/>
  <c r="AB59" i="2"/>
  <c r="AI31" i="2"/>
  <c r="AF31" i="2"/>
  <c r="AG28" i="2"/>
  <c r="AH52" i="2"/>
  <c r="AI37" i="2"/>
  <c r="AF37" i="2"/>
  <c r="AH24" i="2"/>
  <c r="AG53" i="2"/>
  <c r="AJ59" i="2"/>
  <c r="AN59" i="2" s="1"/>
  <c r="AG61" i="2"/>
  <c r="AE63" i="2"/>
  <c r="AG31" i="2"/>
  <c r="AI2" i="2"/>
  <c r="AF2" i="2"/>
  <c r="AI52" i="2"/>
  <c r="AF52" i="2"/>
  <c r="AG37" i="2"/>
  <c r="AC59" i="2"/>
  <c r="AG20" i="2"/>
  <c r="AG40" i="2"/>
  <c r="Z59" i="2"/>
  <c r="AG46" i="2"/>
  <c r="AI13" i="2"/>
  <c r="AF13" i="2"/>
  <c r="AG21" i="2"/>
  <c r="AH40" i="2"/>
  <c r="AH44" i="2"/>
  <c r="S67" i="15"/>
  <c r="S57" i="15"/>
  <c r="S64" i="15"/>
  <c r="AN3" i="8"/>
  <c r="AC152" i="2"/>
  <c r="AH152" i="2" s="1"/>
  <c r="AC63" i="2"/>
  <c r="AA152" i="2"/>
  <c r="AD145" i="2"/>
  <c r="AE152" i="2"/>
  <c r="AI152" i="2" s="1"/>
  <c r="AB63" i="2"/>
  <c r="AJ63" i="2"/>
  <c r="AO63" i="2" s="1"/>
  <c r="AC253" i="2"/>
  <c r="AH253" i="2" s="1"/>
  <c r="AJ4" i="8"/>
  <c r="AF2" i="15"/>
  <c r="AL5" i="8"/>
  <c r="AB6" i="8"/>
  <c r="AB29" i="8"/>
  <c r="AB7" i="8"/>
  <c r="AB10" i="8"/>
  <c r="AH28" i="8"/>
  <c r="AK14" i="8"/>
  <c r="AJ33" i="8"/>
  <c r="AH4" i="8"/>
  <c r="AL4" i="8"/>
  <c r="AK7" i="8"/>
  <c r="AK29" i="8"/>
  <c r="AJ14" i="8"/>
  <c r="AH16" i="8"/>
  <c r="AJ29" i="8"/>
  <c r="AH15" i="8"/>
  <c r="AK4" i="8"/>
  <c r="AB13" i="8"/>
  <c r="AH25" i="8"/>
  <c r="AL17" i="8"/>
  <c r="AL45" i="8"/>
  <c r="AK45" i="8"/>
  <c r="AL25" i="8"/>
  <c r="AJ28" i="8"/>
  <c r="AJ7" i="8"/>
  <c r="AB16" i="8"/>
  <c r="AB11" i="8"/>
  <c r="AL3" i="8"/>
  <c r="AK16" i="8"/>
  <c r="AH14" i="8"/>
  <c r="AL14" i="8"/>
  <c r="AJ15" i="8"/>
  <c r="AJ30" i="8"/>
  <c r="AJ25" i="8"/>
  <c r="AK28" i="8"/>
  <c r="AB41" i="8"/>
  <c r="AK11" i="8"/>
  <c r="AH7" i="8"/>
  <c r="AH5" i="8"/>
  <c r="AH19" i="8"/>
  <c r="AL19" i="8"/>
  <c r="AH6" i="8"/>
  <c r="AL6" i="8"/>
  <c r="AK3" i="8"/>
  <c r="AH36" i="8"/>
  <c r="AL36" i="8"/>
  <c r="AH22" i="8"/>
  <c r="AJ13" i="8"/>
  <c r="AL7" i="8"/>
  <c r="AB12" i="8"/>
  <c r="AL11" i="8"/>
  <c r="AK25" i="8"/>
  <c r="AL22" i="8"/>
  <c r="AK19" i="8"/>
  <c r="AH41" i="8"/>
  <c r="AL41" i="8"/>
  <c r="AK6" i="8"/>
  <c r="AJ5" i="8"/>
  <c r="AJ19" i="8"/>
  <c r="AH47" i="8"/>
  <c r="AK36" i="8"/>
  <c r="AK13" i="8"/>
  <c r="AL28" i="8"/>
  <c r="AJ45" i="8"/>
  <c r="AB15" i="8"/>
  <c r="AB25" i="8"/>
  <c r="AJ22" i="8"/>
  <c r="AB45" i="8"/>
  <c r="AB22" i="8"/>
  <c r="AJ11" i="8"/>
  <c r="AJ6" i="8"/>
  <c r="AH17" i="8"/>
  <c r="AK41" i="8"/>
  <c r="AJ36" i="8"/>
  <c r="AH40" i="8"/>
  <c r="AL40" i="8"/>
  <c r="AJ41" i="8"/>
  <c r="AH29" i="8"/>
  <c r="AL29" i="8"/>
  <c r="AK17" i="8"/>
  <c r="AB42" i="8"/>
  <c r="AJ17" i="8"/>
  <c r="AB30" i="8"/>
  <c r="AB19" i="8"/>
  <c r="AJ16" i="8"/>
  <c r="AL15" i="8"/>
  <c r="AL30" i="8"/>
  <c r="AB40" i="8"/>
  <c r="AH30" i="8"/>
  <c r="AH42" i="8"/>
  <c r="AL42" i="8"/>
  <c r="AH11" i="8"/>
  <c r="AH10" i="8"/>
  <c r="AL10" i="8"/>
  <c r="AB36" i="8"/>
  <c r="AJ47" i="8"/>
  <c r="AK47" i="8"/>
  <c r="AB14" i="8"/>
  <c r="AH45" i="8"/>
  <c r="AK40" i="8"/>
  <c r="AH12" i="8"/>
  <c r="AL12" i="8"/>
  <c r="AK33" i="8"/>
  <c r="AK30" i="8"/>
  <c r="AL16" i="8"/>
  <c r="AK15" i="8"/>
  <c r="AK22" i="8"/>
  <c r="AB17" i="8"/>
  <c r="AK42" i="8"/>
  <c r="AJ40" i="8"/>
  <c r="AH13" i="8"/>
  <c r="AL13" i="8"/>
  <c r="AK10" i="8"/>
  <c r="AB33" i="8"/>
  <c r="AB4" i="8"/>
  <c r="AJ12" i="8"/>
  <c r="AK5" i="8"/>
  <c r="AB47" i="8"/>
  <c r="AB5" i="8"/>
  <c r="AL47" i="8"/>
  <c r="AB28" i="8"/>
  <c r="AJ42" i="8"/>
  <c r="AH33" i="8"/>
  <c r="AL33" i="8"/>
  <c r="AK12" i="8"/>
  <c r="AJ10" i="8"/>
  <c r="AB254" i="2"/>
  <c r="AG254" i="2" s="1"/>
  <c r="AD121" i="2"/>
  <c r="AB121" i="2"/>
  <c r="AG121" i="2" s="1"/>
  <c r="AA121" i="2"/>
  <c r="AC121" i="2"/>
  <c r="AH121" i="2" s="1"/>
  <c r="AJ121" i="2"/>
  <c r="AN121" i="2" s="1"/>
  <c r="Z121" i="2"/>
  <c r="AD155" i="2"/>
  <c r="AC107" i="2"/>
  <c r="AH107" i="2" s="1"/>
  <c r="AA115" i="2"/>
  <c r="AB161" i="2"/>
  <c r="AG161" i="2" s="1"/>
  <c r="AC161" i="2"/>
  <c r="AH161" i="2" s="1"/>
  <c r="AA161" i="2"/>
  <c r="Z161" i="2"/>
  <c r="AJ214" i="2"/>
  <c r="AO214" i="2" s="1"/>
  <c r="AJ161" i="2"/>
  <c r="AN161" i="2" s="1"/>
  <c r="AD161" i="2"/>
  <c r="AC154" i="2"/>
  <c r="AH154" i="2" s="1"/>
  <c r="AA215" i="2"/>
  <c r="AC261" i="2"/>
  <c r="AH261" i="2" s="1"/>
  <c r="AE141" i="2"/>
  <c r="AI141" i="2" s="1"/>
  <c r="Z155" i="2"/>
  <c r="AF61" i="2"/>
  <c r="AD54" i="2"/>
  <c r="AJ134" i="2"/>
  <c r="AN134" i="2" s="1"/>
  <c r="AN139" i="2"/>
  <c r="AE139" i="2"/>
  <c r="AI139" i="2" s="1"/>
  <c r="AE215" i="2"/>
  <c r="AI215" i="2" s="1"/>
  <c r="AA139" i="2"/>
  <c r="Z139" i="2"/>
  <c r="AB215" i="2"/>
  <c r="AG215" i="2" s="1"/>
  <c r="Z215" i="2"/>
  <c r="AB224" i="2"/>
  <c r="AG224" i="2" s="1"/>
  <c r="AD215" i="2"/>
  <c r="AB241" i="2"/>
  <c r="AG241" i="2" s="1"/>
  <c r="AB295" i="2"/>
  <c r="AG295" i="2" s="1"/>
  <c r="AJ154" i="2"/>
  <c r="AO154" i="2" s="1"/>
  <c r="AB139" i="2"/>
  <c r="AG139" i="2" s="1"/>
  <c r="AC215" i="2"/>
  <c r="AH215" i="2" s="1"/>
  <c r="AJ215" i="2"/>
  <c r="AO215" i="2" s="1"/>
  <c r="AB71" i="2"/>
  <c r="Z71" i="2"/>
  <c r="AC151" i="2"/>
  <c r="AH151" i="2" s="1"/>
  <c r="AC82" i="2"/>
  <c r="AH82" i="2" s="1"/>
  <c r="AD139" i="2"/>
  <c r="AC139" i="2"/>
  <c r="AH139" i="2" s="1"/>
  <c r="AA58" i="2"/>
  <c r="AE194" i="2"/>
  <c r="AI194" i="2" s="1"/>
  <c r="AC155" i="2"/>
  <c r="AH155" i="2" s="1"/>
  <c r="AD229" i="2"/>
  <c r="AJ94" i="2"/>
  <c r="AO94" i="2" s="1"/>
  <c r="AE89" i="2"/>
  <c r="AF89" i="2" s="1"/>
  <c r="AD89" i="2"/>
  <c r="AB89" i="2"/>
  <c r="AG89" i="2" s="1"/>
  <c r="AJ89" i="2"/>
  <c r="AN89" i="2" s="1"/>
  <c r="AA89" i="2"/>
  <c r="AE94" i="2"/>
  <c r="AI94" i="2" s="1"/>
  <c r="AC89" i="2"/>
  <c r="AH89" i="2" s="1"/>
  <c r="Z94" i="2"/>
  <c r="AC173" i="2"/>
  <c r="AH173" i="2" s="1"/>
  <c r="AA94" i="2"/>
  <c r="AA71" i="2"/>
  <c r="AD71" i="2"/>
  <c r="AB104" i="2"/>
  <c r="AG104" i="2" s="1"/>
  <c r="AJ71" i="2"/>
  <c r="AO71" i="2" s="1"/>
  <c r="AC71" i="2"/>
  <c r="AJ88" i="2"/>
  <c r="AN88" i="2" s="1"/>
  <c r="AE111" i="2"/>
  <c r="AI111" i="2" s="1"/>
  <c r="AC94" i="2"/>
  <c r="AH94" i="2" s="1"/>
  <c r="AD94" i="2"/>
  <c r="AA146" i="2"/>
  <c r="AA154" i="2"/>
  <c r="AJ145" i="2"/>
  <c r="AD154" i="2"/>
  <c r="AD80" i="2"/>
  <c r="Z104" i="2"/>
  <c r="Z266" i="2"/>
  <c r="AC80" i="2"/>
  <c r="AH80" i="2" s="1"/>
  <c r="AB80" i="2"/>
  <c r="AG80" i="2" s="1"/>
  <c r="AC266" i="2"/>
  <c r="AH266" i="2" s="1"/>
  <c r="Z253" i="2"/>
  <c r="AB69" i="2"/>
  <c r="AB253" i="2"/>
  <c r="AG253" i="2" s="1"/>
  <c r="AA266" i="2"/>
  <c r="AE295" i="2"/>
  <c r="AI295" i="2" s="1"/>
  <c r="AA145" i="2"/>
  <c r="AE266" i="2"/>
  <c r="AI266" i="2" s="1"/>
  <c r="AB155" i="2"/>
  <c r="AG155" i="2" s="1"/>
  <c r="AB266" i="2"/>
  <c r="AG266" i="2" s="1"/>
  <c r="AC268" i="2"/>
  <c r="AH268" i="2" s="1"/>
  <c r="AB259" i="2"/>
  <c r="AG259" i="2" s="1"/>
  <c r="Z80" i="2"/>
  <c r="Z133" i="2"/>
  <c r="AB211" i="2"/>
  <c r="AG211" i="2" s="1"/>
  <c r="Z154" i="2"/>
  <c r="AB154" i="2"/>
  <c r="AG154" i="2" s="1"/>
  <c r="AE211" i="2"/>
  <c r="AI211" i="2" s="1"/>
  <c r="AE154" i="2"/>
  <c r="AF154" i="2" s="1"/>
  <c r="AJ216" i="2"/>
  <c r="AN216" i="2" s="1"/>
  <c r="AC236" i="2"/>
  <c r="AH236" i="2" s="1"/>
  <c r="AA211" i="2"/>
  <c r="AD211" i="2"/>
  <c r="AO266" i="2"/>
  <c r="AA212" i="2"/>
  <c r="AD253" i="2"/>
  <c r="AC211" i="2"/>
  <c r="AH211" i="2" s="1"/>
  <c r="AC112" i="2"/>
  <c r="AH112" i="2" s="1"/>
  <c r="Z126" i="2"/>
  <c r="AJ253" i="2"/>
  <c r="AO253" i="2" s="1"/>
  <c r="Z211" i="2"/>
  <c r="AD289" i="2"/>
  <c r="AA112" i="2"/>
  <c r="AJ104" i="2"/>
  <c r="AO104" i="2" s="1"/>
  <c r="AE253" i="2"/>
  <c r="AF253" i="2" s="1"/>
  <c r="AD266" i="2"/>
  <c r="AJ155" i="2"/>
  <c r="AO155" i="2" s="1"/>
  <c r="AA80" i="2"/>
  <c r="AE69" i="2"/>
  <c r="AD239" i="2"/>
  <c r="AA253" i="2"/>
  <c r="AA155" i="2"/>
  <c r="AD69" i="2"/>
  <c r="AE80" i="2"/>
  <c r="AI80" i="2" s="1"/>
  <c r="AE137" i="2"/>
  <c r="AF137" i="2" s="1"/>
  <c r="AJ81" i="2"/>
  <c r="AO81" i="2" s="1"/>
  <c r="Z145" i="2"/>
  <c r="AE155" i="2"/>
  <c r="AF155" i="2" s="1"/>
  <c r="AJ295" i="2"/>
  <c r="AN295" i="2" s="1"/>
  <c r="AC194" i="2"/>
  <c r="AH194" i="2" s="1"/>
  <c r="AA69" i="2"/>
  <c r="AE176" i="2"/>
  <c r="AF176" i="2" s="1"/>
  <c r="AJ259" i="2"/>
  <c r="AN259" i="2" s="1"/>
  <c r="Z259" i="2"/>
  <c r="AJ128" i="2"/>
  <c r="AO128" i="2" s="1"/>
  <c r="AD176" i="2"/>
  <c r="AE259" i="2"/>
  <c r="AF259" i="2" s="1"/>
  <c r="AC146" i="2"/>
  <c r="AH146" i="2" s="1"/>
  <c r="Z151" i="2"/>
  <c r="AA127" i="2"/>
  <c r="AB146" i="2"/>
  <c r="AG146" i="2" s="1"/>
  <c r="AD146" i="2"/>
  <c r="AB225" i="2"/>
  <c r="AG225" i="2" s="1"/>
  <c r="AD204" i="2"/>
  <c r="AC259" i="2"/>
  <c r="AH259" i="2" s="1"/>
  <c r="AC111" i="2"/>
  <c r="AH111" i="2" s="1"/>
  <c r="AJ188" i="2"/>
  <c r="AO188" i="2" s="1"/>
  <c r="AD236" i="2"/>
  <c r="AJ236" i="2"/>
  <c r="AN236" i="2" s="1"/>
  <c r="AB111" i="2"/>
  <c r="AG111" i="2" s="1"/>
  <c r="AD259" i="2"/>
  <c r="AE107" i="2"/>
  <c r="AF107" i="2" s="1"/>
  <c r="AA259" i="2"/>
  <c r="AA236" i="2"/>
  <c r="AE278" i="2"/>
  <c r="AF278" i="2" s="1"/>
  <c r="AE58" i="2"/>
  <c r="Z146" i="2"/>
  <c r="Z176" i="2"/>
  <c r="AJ146" i="2"/>
  <c r="AN146" i="2" s="1"/>
  <c r="AD137" i="2"/>
  <c r="AA137" i="2"/>
  <c r="AJ176" i="2"/>
  <c r="AN176" i="2" s="1"/>
  <c r="AC104" i="2"/>
  <c r="AH104" i="2" s="1"/>
  <c r="AE146" i="2"/>
  <c r="AI146" i="2" s="1"/>
  <c r="Z137" i="2"/>
  <c r="AD157" i="2"/>
  <c r="AC176" i="2"/>
  <c r="AH176" i="2" s="1"/>
  <c r="AJ137" i="2"/>
  <c r="AN137" i="2" s="1"/>
  <c r="AA176" i="2"/>
  <c r="AA104" i="2"/>
  <c r="AD104" i="2"/>
  <c r="AE145" i="2"/>
  <c r="AF145" i="2" s="1"/>
  <c r="AC256" i="2"/>
  <c r="AH256" i="2" s="1"/>
  <c r="AA221" i="2"/>
  <c r="AA280" i="2"/>
  <c r="Z159" i="2"/>
  <c r="Z127" i="2"/>
  <c r="AC115" i="2"/>
  <c r="AH115" i="2" s="1"/>
  <c r="AJ254" i="2"/>
  <c r="AO254" i="2" s="1"/>
  <c r="Z115" i="2"/>
  <c r="AC159" i="2"/>
  <c r="AH159" i="2" s="1"/>
  <c r="AD173" i="2"/>
  <c r="AE127" i="2"/>
  <c r="AI127" i="2" s="1"/>
  <c r="AE280" i="2"/>
  <c r="AF280" i="2" s="1"/>
  <c r="AJ173" i="2"/>
  <c r="AO173" i="2" s="1"/>
  <c r="Z107" i="2"/>
  <c r="Z157" i="2"/>
  <c r="AE157" i="2"/>
  <c r="AF157" i="2" s="1"/>
  <c r="AE173" i="2"/>
  <c r="AF173" i="2" s="1"/>
  <c r="AC127" i="2"/>
  <c r="AH127" i="2" s="1"/>
  <c r="AD133" i="2"/>
  <c r="AC254" i="2"/>
  <c r="AH254" i="2" s="1"/>
  <c r="AB112" i="2"/>
  <c r="AG112" i="2" s="1"/>
  <c r="Z254" i="2"/>
  <c r="AC167" i="2"/>
  <c r="AH167" i="2" s="1"/>
  <c r="AJ157" i="2"/>
  <c r="AO157" i="2" s="1"/>
  <c r="AD280" i="2"/>
  <c r="AA81" i="2"/>
  <c r="AE240" i="2"/>
  <c r="AF240" i="2" s="1"/>
  <c r="Z170" i="2"/>
  <c r="AE274" i="2"/>
  <c r="AI274" i="2" s="1"/>
  <c r="AB157" i="2"/>
  <c r="AG157" i="2" s="1"/>
  <c r="AB268" i="2"/>
  <c r="AG268" i="2" s="1"/>
  <c r="AE136" i="2"/>
  <c r="AF136" i="2" s="1"/>
  <c r="AD254" i="2"/>
  <c r="AE276" i="2"/>
  <c r="AI276" i="2" s="1"/>
  <c r="AA254" i="2"/>
  <c r="AB204" i="2"/>
  <c r="AG204" i="2" s="1"/>
  <c r="AE82" i="2"/>
  <c r="AI82" i="2" s="1"/>
  <c r="AE254" i="2"/>
  <c r="AI254" i="2" s="1"/>
  <c r="AJ127" i="2"/>
  <c r="AO127" i="2" s="1"/>
  <c r="AD127" i="2"/>
  <c r="AC280" i="2"/>
  <c r="AH280" i="2" s="1"/>
  <c r="AD212" i="2"/>
  <c r="AJ115" i="2"/>
  <c r="AN115" i="2" s="1"/>
  <c r="AC157" i="2"/>
  <c r="AH157" i="2" s="1"/>
  <c r="AB212" i="2"/>
  <c r="AG212" i="2" s="1"/>
  <c r="AB115" i="2"/>
  <c r="AG115" i="2" s="1"/>
  <c r="AB127" i="2"/>
  <c r="AG127" i="2" s="1"/>
  <c r="AJ278" i="2"/>
  <c r="AN278" i="2" s="1"/>
  <c r="AA157" i="2"/>
  <c r="AJ107" i="2"/>
  <c r="AO107" i="2" s="1"/>
  <c r="AD107" i="2"/>
  <c r="Z69" i="2"/>
  <c r="AC62" i="2"/>
  <c r="AC239" i="2"/>
  <c r="AH239" i="2" s="1"/>
  <c r="AD115" i="2"/>
  <c r="AB194" i="2"/>
  <c r="AG194" i="2" s="1"/>
  <c r="AJ280" i="2"/>
  <c r="AO280" i="2" s="1"/>
  <c r="Z58" i="2"/>
  <c r="Z212" i="2"/>
  <c r="AE104" i="2"/>
  <c r="AF104" i="2" s="1"/>
  <c r="AC212" i="2"/>
  <c r="AH212" i="2" s="1"/>
  <c r="AB285" i="2"/>
  <c r="AG285" i="2" s="1"/>
  <c r="AE115" i="2"/>
  <c r="AF115" i="2" s="1"/>
  <c r="AD194" i="2"/>
  <c r="AB85" i="2"/>
  <c r="AG85" i="2" s="1"/>
  <c r="AC69" i="2"/>
  <c r="AD62" i="2"/>
  <c r="AA224" i="2"/>
  <c r="Z194" i="2"/>
  <c r="AC58" i="2"/>
  <c r="AA295" i="2"/>
  <c r="Z148" i="2"/>
  <c r="Z279" i="2"/>
  <c r="AJ159" i="2"/>
  <c r="AN159" i="2" s="1"/>
  <c r="AD84" i="2"/>
  <c r="AC84" i="2"/>
  <c r="AH84" i="2" s="1"/>
  <c r="AJ133" i="2"/>
  <c r="AN133" i="2" s="1"/>
  <c r="AE133" i="2"/>
  <c r="AI133" i="2" s="1"/>
  <c r="AB133" i="2"/>
  <c r="AG133" i="2" s="1"/>
  <c r="AC128" i="2"/>
  <c r="AH128" i="2" s="1"/>
  <c r="Z291" i="2"/>
  <c r="AB291" i="2"/>
  <c r="AG291" i="2" s="1"/>
  <c r="AA220" i="2"/>
  <c r="Z220" i="2"/>
  <c r="AC220" i="2"/>
  <c r="AH220" i="2" s="1"/>
  <c r="AC221" i="2"/>
  <c r="AH221" i="2" s="1"/>
  <c r="AD68" i="2"/>
  <c r="AB68" i="2"/>
  <c r="AJ221" i="2"/>
  <c r="AN221" i="2" s="1"/>
  <c r="Z276" i="2"/>
  <c r="AC276" i="2"/>
  <c r="AH276" i="2" s="1"/>
  <c r="AD276" i="2"/>
  <c r="AB276" i="2"/>
  <c r="AG276" i="2" s="1"/>
  <c r="AD221" i="2"/>
  <c r="AC209" i="2"/>
  <c r="AH209" i="2" s="1"/>
  <c r="Z209" i="2"/>
  <c r="AD209" i="2"/>
  <c r="AE209" i="2"/>
  <c r="AF209" i="2" s="1"/>
  <c r="AB209" i="2"/>
  <c r="AG209" i="2" s="1"/>
  <c r="AE221" i="2"/>
  <c r="AF221" i="2" s="1"/>
  <c r="AE105" i="2"/>
  <c r="Z105" i="2"/>
  <c r="AJ105" i="2"/>
  <c r="AN105" i="2" s="1"/>
  <c r="AA151" i="2"/>
  <c r="AB151" i="2"/>
  <c r="AG151" i="2" s="1"/>
  <c r="AE151" i="2"/>
  <c r="AI151" i="2" s="1"/>
  <c r="AB220" i="2"/>
  <c r="AG220" i="2" s="1"/>
  <c r="AB129" i="2"/>
  <c r="AG129" i="2" s="1"/>
  <c r="AE129" i="2"/>
  <c r="AF129" i="2" s="1"/>
  <c r="AJ129" i="2"/>
  <c r="AO129" i="2" s="1"/>
  <c r="Z68" i="2"/>
  <c r="AD151" i="2"/>
  <c r="AC278" i="2"/>
  <c r="AH278" i="2" s="1"/>
  <c r="AA278" i="2"/>
  <c r="AJ84" i="2"/>
  <c r="AN84" i="2" s="1"/>
  <c r="AD105" i="2"/>
  <c r="AB84" i="2"/>
  <c r="AG84" i="2" s="1"/>
  <c r="AJ151" i="2"/>
  <c r="AO151" i="2" s="1"/>
  <c r="AA133" i="2"/>
  <c r="AE291" i="2"/>
  <c r="AF291" i="2" s="1"/>
  <c r="AJ220" i="2"/>
  <c r="AO220" i="2" s="1"/>
  <c r="Z111" i="2"/>
  <c r="AA204" i="2"/>
  <c r="AE62" i="2"/>
  <c r="AJ111" i="2"/>
  <c r="AD195" i="2"/>
  <c r="AJ57" i="2"/>
  <c r="AO57" i="2" s="1"/>
  <c r="AJ58" i="2"/>
  <c r="AN58" i="2" s="1"/>
  <c r="AC193" i="2"/>
  <c r="AH193" i="2" s="1"/>
  <c r="AB280" i="2"/>
  <c r="AG280" i="2" s="1"/>
  <c r="AC204" i="2"/>
  <c r="AH204" i="2" s="1"/>
  <c r="AJ62" i="2"/>
  <c r="AO62" i="2" s="1"/>
  <c r="AB62" i="2"/>
  <c r="Z82" i="2"/>
  <c r="AB173" i="2"/>
  <c r="AG173" i="2" s="1"/>
  <c r="AA239" i="2"/>
  <c r="AE204" i="2"/>
  <c r="AI204" i="2" s="1"/>
  <c r="Z280" i="2"/>
  <c r="Z112" i="2"/>
  <c r="AD111" i="2"/>
  <c r="AD224" i="2"/>
  <c r="AD82" i="2"/>
  <c r="Z173" i="2"/>
  <c r="AE239" i="2"/>
  <c r="AF239" i="2" s="1"/>
  <c r="AJ204" i="2"/>
  <c r="AO204" i="2" s="1"/>
  <c r="AJ112" i="2"/>
  <c r="AN112" i="2" s="1"/>
  <c r="AB107" i="2"/>
  <c r="AG107" i="2" s="1"/>
  <c r="AA111" i="2"/>
  <c r="AC114" i="2"/>
  <c r="AH114" i="2" s="1"/>
  <c r="AB216" i="2"/>
  <c r="AG216" i="2" s="1"/>
  <c r="AJ82" i="2"/>
  <c r="AN82" i="2" s="1"/>
  <c r="Z204" i="2"/>
  <c r="AE179" i="2"/>
  <c r="AF179" i="2" s="1"/>
  <c r="AA173" i="2"/>
  <c r="AE212" i="2"/>
  <c r="AI212" i="2" s="1"/>
  <c r="AA82" i="2"/>
  <c r="AJ239" i="2"/>
  <c r="AN239" i="2" s="1"/>
  <c r="AB200" i="2"/>
  <c r="AG200" i="2" s="1"/>
  <c r="Z296" i="2"/>
  <c r="AB239" i="2"/>
  <c r="AG239" i="2" s="1"/>
  <c r="AJ212" i="2"/>
  <c r="AN212" i="2" s="1"/>
  <c r="AB82" i="2"/>
  <c r="AG82" i="2" s="1"/>
  <c r="AA107" i="2"/>
  <c r="Z239" i="2"/>
  <c r="AE112" i="2"/>
  <c r="AI112" i="2" s="1"/>
  <c r="AD87" i="2"/>
  <c r="AJ267" i="2"/>
  <c r="AN267" i="2" s="1"/>
  <c r="Z62" i="2"/>
  <c r="AJ130" i="2"/>
  <c r="AO130" i="2" s="1"/>
  <c r="AA130" i="2"/>
  <c r="AB130" i="2"/>
  <c r="AG130" i="2" s="1"/>
  <c r="AC130" i="2"/>
  <c r="AH130" i="2" s="1"/>
  <c r="AC229" i="2"/>
  <c r="AH229" i="2" s="1"/>
  <c r="AB143" i="2"/>
  <c r="AG143" i="2" s="1"/>
  <c r="Z143" i="2"/>
  <c r="AD143" i="2"/>
  <c r="AC143" i="2"/>
  <c r="AH143" i="2" s="1"/>
  <c r="Z92" i="2"/>
  <c r="AJ92" i="2"/>
  <c r="AO92" i="2" s="1"/>
  <c r="AD92" i="2"/>
  <c r="AC92" i="2"/>
  <c r="AH92" i="2" s="1"/>
  <c r="AA92" i="2"/>
  <c r="AE92" i="2"/>
  <c r="AF92" i="2" s="1"/>
  <c r="AE279" i="2"/>
  <c r="AF279" i="2" s="1"/>
  <c r="AN152" i="2"/>
  <c r="AO152" i="2"/>
  <c r="Z216" i="2"/>
  <c r="AE130" i="2"/>
  <c r="AI130" i="2" s="1"/>
  <c r="AE128" i="2"/>
  <c r="AF128" i="2" s="1"/>
  <c r="Z128" i="2"/>
  <c r="AD128" i="2"/>
  <c r="AB128" i="2"/>
  <c r="AG128" i="2" s="1"/>
  <c r="AA128" i="2"/>
  <c r="AD130" i="2"/>
  <c r="AC228" i="2"/>
  <c r="AH228" i="2" s="1"/>
  <c r="Z130" i="2"/>
  <c r="AA229" i="2"/>
  <c r="AA143" i="2"/>
  <c r="AB92" i="2"/>
  <c r="AG92" i="2" s="1"/>
  <c r="AE143" i="2"/>
  <c r="AI143" i="2" s="1"/>
  <c r="AJ143" i="2"/>
  <c r="AN143" i="2" s="1"/>
  <c r="AJ229" i="2"/>
  <c r="AO229" i="2" s="1"/>
  <c r="AB229" i="2"/>
  <c r="AG229" i="2" s="1"/>
  <c r="AJ279" i="2"/>
  <c r="AO279" i="2" s="1"/>
  <c r="AC87" i="2"/>
  <c r="AH87" i="2" s="1"/>
  <c r="AA87" i="2"/>
  <c r="AJ87" i="2"/>
  <c r="AN87" i="2" s="1"/>
  <c r="AB87" i="2"/>
  <c r="AG87" i="2" s="1"/>
  <c r="AC137" i="2"/>
  <c r="AH137" i="2" s="1"/>
  <c r="AD97" i="2"/>
  <c r="AB58" i="2"/>
  <c r="AJ291" i="2"/>
  <c r="AN291" i="2" s="1"/>
  <c r="AD220" i="2"/>
  <c r="AE214" i="2"/>
  <c r="AI214" i="2" s="1"/>
  <c r="Z236" i="2"/>
  <c r="AD58" i="2"/>
  <c r="AB137" i="2"/>
  <c r="AG137" i="2" s="1"/>
  <c r="AD291" i="2"/>
  <c r="AE159" i="2"/>
  <c r="AF159" i="2" s="1"/>
  <c r="AD159" i="2"/>
  <c r="AB214" i="2"/>
  <c r="AG214" i="2" s="1"/>
  <c r="AE220" i="2"/>
  <c r="AI220" i="2" s="1"/>
  <c r="AJ268" i="2"/>
  <c r="AN268" i="2" s="1"/>
  <c r="AB77" i="2"/>
  <c r="AG77" i="2" s="1"/>
  <c r="AJ293" i="2"/>
  <c r="AN293" i="2" s="1"/>
  <c r="AC291" i="2"/>
  <c r="AH291" i="2" s="1"/>
  <c r="AB159" i="2"/>
  <c r="AG159" i="2" s="1"/>
  <c r="AE207" i="2"/>
  <c r="AF207" i="2" s="1"/>
  <c r="AA159" i="2"/>
  <c r="AC133" i="2"/>
  <c r="AH133" i="2" s="1"/>
  <c r="AE229" i="2"/>
  <c r="AF229" i="2" s="1"/>
  <c r="AA291" i="2"/>
  <c r="AD216" i="2"/>
  <c r="AA276" i="2"/>
  <c r="AA68" i="2"/>
  <c r="AA187" i="2"/>
  <c r="AA209" i="2"/>
  <c r="AB255" i="2"/>
  <c r="AG255" i="2" s="1"/>
  <c r="AJ177" i="2"/>
  <c r="AN177" i="2" s="1"/>
  <c r="AE246" i="2"/>
  <c r="AI246" i="2" s="1"/>
  <c r="AC216" i="2"/>
  <c r="AH216" i="2" s="1"/>
  <c r="AE68" i="2"/>
  <c r="AA136" i="2"/>
  <c r="AC302" i="2"/>
  <c r="AH302" i="2" s="1"/>
  <c r="AB221" i="2"/>
  <c r="AG221" i="2" s="1"/>
  <c r="AE216" i="2"/>
  <c r="AI216" i="2" s="1"/>
  <c r="AC68" i="2"/>
  <c r="AC105" i="2"/>
  <c r="AH105" i="2" s="1"/>
  <c r="AC283" i="2"/>
  <c r="AH283" i="2" s="1"/>
  <c r="AA56" i="2"/>
  <c r="AC240" i="2"/>
  <c r="AH240" i="2" s="1"/>
  <c r="Z221" i="2"/>
  <c r="AB278" i="2"/>
  <c r="AG278" i="2" s="1"/>
  <c r="Z202" i="2"/>
  <c r="AJ194" i="2"/>
  <c r="AN194" i="2" s="1"/>
  <c r="AA216" i="2"/>
  <c r="AJ68" i="2"/>
  <c r="AN68" i="2" s="1"/>
  <c r="Z229" i="2"/>
  <c r="AA105" i="2"/>
  <c r="Z129" i="2"/>
  <c r="AJ209" i="2"/>
  <c r="AN209" i="2" s="1"/>
  <c r="AE123" i="2"/>
  <c r="AI123" i="2" s="1"/>
  <c r="AD241" i="2"/>
  <c r="AD123" i="2"/>
  <c r="AA126" i="2"/>
  <c r="AJ91" i="2"/>
  <c r="AO91" i="2" s="1"/>
  <c r="AE241" i="2"/>
  <c r="AI241" i="2" s="1"/>
  <c r="AA91" i="2"/>
  <c r="AB126" i="2"/>
  <c r="AG126" i="2" s="1"/>
  <c r="Z293" i="2"/>
  <c r="Z241" i="2"/>
  <c r="Z214" i="2"/>
  <c r="AJ208" i="2"/>
  <c r="AN208" i="2" s="1"/>
  <c r="AB91" i="2"/>
  <c r="AG91" i="2" s="1"/>
  <c r="AJ255" i="2"/>
  <c r="AN255" i="2" s="1"/>
  <c r="AA241" i="2"/>
  <c r="AD179" i="2"/>
  <c r="AA214" i="2"/>
  <c r="AE91" i="2"/>
  <c r="AI91" i="2" s="1"/>
  <c r="AA57" i="2"/>
  <c r="AD106" i="2"/>
  <c r="AA99" i="2"/>
  <c r="AB192" i="2"/>
  <c r="AG192" i="2" s="1"/>
  <c r="AC241" i="2"/>
  <c r="AH241" i="2" s="1"/>
  <c r="AD214" i="2"/>
  <c r="AE99" i="2"/>
  <c r="AF99" i="2" s="1"/>
  <c r="AC192" i="2"/>
  <c r="AH192" i="2" s="1"/>
  <c r="AC214" i="2"/>
  <c r="AH214" i="2" s="1"/>
  <c r="AE88" i="2"/>
  <c r="AI88" i="2" s="1"/>
  <c r="Z99" i="2"/>
  <c r="AA124" i="2"/>
  <c r="AE177" i="2"/>
  <c r="AI177" i="2" s="1"/>
  <c r="AJ241" i="2"/>
  <c r="AN241" i="2" s="1"/>
  <c r="Z88" i="2"/>
  <c r="AC88" i="2"/>
  <c r="AH88" i="2" s="1"/>
  <c r="AB99" i="2"/>
  <c r="AG99" i="2" s="1"/>
  <c r="AA246" i="2"/>
  <c r="AD99" i="2"/>
  <c r="AB88" i="2"/>
  <c r="AG88" i="2" s="1"/>
  <c r="AB179" i="2"/>
  <c r="AG179" i="2" s="1"/>
  <c r="AD129" i="2"/>
  <c r="AA88" i="2"/>
  <c r="AB261" i="2"/>
  <c r="AG261" i="2" s="1"/>
  <c r="AB123" i="2"/>
  <c r="AG123" i="2" s="1"/>
  <c r="AC246" i="2"/>
  <c r="AH246" i="2" s="1"/>
  <c r="AC99" i="2"/>
  <c r="AH99" i="2" s="1"/>
  <c r="AA129" i="2"/>
  <c r="AJ192" i="2"/>
  <c r="AN192" i="2" s="1"/>
  <c r="Z91" i="2"/>
  <c r="AB136" i="2"/>
  <c r="AG136" i="2" s="1"/>
  <c r="AD88" i="2"/>
  <c r="AC91" i="2"/>
  <c r="AH91" i="2" s="1"/>
  <c r="AD261" i="2"/>
  <c r="AJ246" i="2"/>
  <c r="AO246" i="2" s="1"/>
  <c r="AE57" i="2"/>
  <c r="AB57" i="2"/>
  <c r="AD136" i="2"/>
  <c r="AJ261" i="2"/>
  <c r="AN261" i="2" s="1"/>
  <c r="AE224" i="2"/>
  <c r="AF224" i="2" s="1"/>
  <c r="AD246" i="2"/>
  <c r="AB246" i="2"/>
  <c r="AG246" i="2" s="1"/>
  <c r="AD126" i="2"/>
  <c r="Z278" i="2"/>
  <c r="AE64" i="2"/>
  <c r="AD57" i="2"/>
  <c r="AA123" i="2"/>
  <c r="AJ126" i="2"/>
  <c r="AN126" i="2" s="1"/>
  <c r="AC136" i="2"/>
  <c r="AH136" i="2" s="1"/>
  <c r="AE192" i="2"/>
  <c r="AI192" i="2" s="1"/>
  <c r="AE261" i="2"/>
  <c r="AF261" i="2" s="1"/>
  <c r="Z224" i="2"/>
  <c r="Z246" i="2"/>
  <c r="AB228" i="2"/>
  <c r="AG228" i="2" s="1"/>
  <c r="AJ64" i="2"/>
  <c r="AN64" i="2" s="1"/>
  <c r="AC57" i="2"/>
  <c r="AJ136" i="2"/>
  <c r="AO136" i="2" s="1"/>
  <c r="Z136" i="2"/>
  <c r="AA228" i="2"/>
  <c r="AD64" i="2"/>
  <c r="AA261" i="2"/>
  <c r="AJ224" i="2"/>
  <c r="AO224" i="2" s="1"/>
  <c r="AJ123" i="2"/>
  <c r="AO123" i="2" s="1"/>
  <c r="AD184" i="2"/>
  <c r="AC64" i="2"/>
  <c r="Z57" i="2"/>
  <c r="AC255" i="2"/>
  <c r="AH255" i="2" s="1"/>
  <c r="AC126" i="2"/>
  <c r="AH126" i="2" s="1"/>
  <c r="AC218" i="2"/>
  <c r="AH218" i="2" s="1"/>
  <c r="Z261" i="2"/>
  <c r="AC224" i="2"/>
  <c r="AH224" i="2" s="1"/>
  <c r="AC123" i="2"/>
  <c r="AH123" i="2" s="1"/>
  <c r="AD278" i="2"/>
  <c r="AB145" i="2"/>
  <c r="AG145" i="2" s="1"/>
  <c r="Z64" i="2"/>
  <c r="AA64" i="2"/>
  <c r="AD192" i="2"/>
  <c r="AE126" i="2"/>
  <c r="AI126" i="2" s="1"/>
  <c r="Z123" i="2"/>
  <c r="Z87" i="2"/>
  <c r="AD295" i="2"/>
  <c r="AD293" i="2"/>
  <c r="AC145" i="2"/>
  <c r="AH145" i="2" s="1"/>
  <c r="AC275" i="2"/>
  <c r="AH275" i="2" s="1"/>
  <c r="Z222" i="2"/>
  <c r="Z192" i="2"/>
  <c r="Z295" i="2"/>
  <c r="AE148" i="2"/>
  <c r="AF148" i="2" s="1"/>
  <c r="AC295" i="2"/>
  <c r="AH295" i="2" s="1"/>
  <c r="Z285" i="2"/>
  <c r="AD240" i="2"/>
  <c r="AC285" i="2"/>
  <c r="AH285" i="2" s="1"/>
  <c r="AJ240" i="2"/>
  <c r="AN240" i="2" s="1"/>
  <c r="AJ175" i="2"/>
  <c r="AN175" i="2" s="1"/>
  <c r="Z195" i="2"/>
  <c r="AE167" i="2"/>
  <c r="AF167" i="2" s="1"/>
  <c r="AD265" i="2"/>
  <c r="Z208" i="2"/>
  <c r="AE228" i="2"/>
  <c r="AF228" i="2" s="1"/>
  <c r="AJ296" i="2"/>
  <c r="AN296" i="2" s="1"/>
  <c r="AJ228" i="2"/>
  <c r="AO228" i="2" s="1"/>
  <c r="AA296" i="2"/>
  <c r="AD268" i="2"/>
  <c r="AD296" i="2"/>
  <c r="AE208" i="2"/>
  <c r="AF208" i="2" s="1"/>
  <c r="Z287" i="2"/>
  <c r="AD81" i="2"/>
  <c r="AJ55" i="2"/>
  <c r="AN55" i="2" s="1"/>
  <c r="AE302" i="2"/>
  <c r="AF302" i="2" s="1"/>
  <c r="AD175" i="2"/>
  <c r="AD302" i="2"/>
  <c r="AA267" i="2"/>
  <c r="Z175" i="2"/>
  <c r="Z302" i="2"/>
  <c r="Z240" i="2"/>
  <c r="AE114" i="2"/>
  <c r="AI114" i="2" s="1"/>
  <c r="AC175" i="2"/>
  <c r="AH175" i="2" s="1"/>
  <c r="Z84" i="2"/>
  <c r="AA114" i="2"/>
  <c r="AE84" i="2"/>
  <c r="AF84" i="2" s="1"/>
  <c r="AI73" i="2"/>
  <c r="AD65" i="2"/>
  <c r="AB279" i="2"/>
  <c r="AG279" i="2" s="1"/>
  <c r="Z54" i="2"/>
  <c r="AC265" i="2"/>
  <c r="AH265" i="2" s="1"/>
  <c r="AC279" i="2"/>
  <c r="AH279" i="2" s="1"/>
  <c r="AJ167" i="2"/>
  <c r="AO167" i="2" s="1"/>
  <c r="AB54" i="2"/>
  <c r="Z265" i="2"/>
  <c r="AD279" i="2"/>
  <c r="Z81" i="2"/>
  <c r="AE256" i="2"/>
  <c r="AI256" i="2" s="1"/>
  <c r="Z228" i="2"/>
  <c r="AF210" i="2"/>
  <c r="AA279" i="2"/>
  <c r="AA178" i="2"/>
  <c r="AD225" i="2"/>
  <c r="AE268" i="2"/>
  <c r="AF268" i="2" s="1"/>
  <c r="AB81" i="2"/>
  <c r="AG81" i="2" s="1"/>
  <c r="Z167" i="2"/>
  <c r="AE81" i="2"/>
  <c r="AI81" i="2" s="1"/>
  <c r="AA240" i="2"/>
  <c r="AE236" i="2"/>
  <c r="AI236" i="2" s="1"/>
  <c r="AC81" i="2"/>
  <c r="AH81" i="2" s="1"/>
  <c r="AB240" i="2"/>
  <c r="AG240" i="2" s="1"/>
  <c r="AC296" i="2"/>
  <c r="AH296" i="2" s="1"/>
  <c r="AB236" i="2"/>
  <c r="AG236" i="2" s="1"/>
  <c r="AA268" i="2"/>
  <c r="AB296" i="2"/>
  <c r="AG296" i="2" s="1"/>
  <c r="AB175" i="2"/>
  <c r="AG175" i="2" s="1"/>
  <c r="AA84" i="2"/>
  <c r="AJ302" i="2"/>
  <c r="AN302" i="2" s="1"/>
  <c r="Z283" i="2"/>
  <c r="AD114" i="2"/>
  <c r="AC267" i="2"/>
  <c r="AH267" i="2" s="1"/>
  <c r="AE267" i="2"/>
  <c r="AI267" i="2" s="1"/>
  <c r="AD267" i="2"/>
  <c r="Z96" i="2"/>
  <c r="AJ96" i="2"/>
  <c r="AN96" i="2" s="1"/>
  <c r="AA96" i="2"/>
  <c r="AC96" i="2"/>
  <c r="AH96" i="2" s="1"/>
  <c r="AE182" i="2"/>
  <c r="AF182" i="2" s="1"/>
  <c r="AC182" i="2"/>
  <c r="AH182" i="2" s="1"/>
  <c r="Z225" i="2"/>
  <c r="AJ191" i="2"/>
  <c r="AO191" i="2" s="1"/>
  <c r="AE158" i="2"/>
  <c r="AF158" i="2" s="1"/>
  <c r="AC225" i="2"/>
  <c r="AH225" i="2" s="1"/>
  <c r="AA191" i="2"/>
  <c r="Z284" i="2"/>
  <c r="AD284" i="2"/>
  <c r="AC284" i="2"/>
  <c r="AH284" i="2" s="1"/>
  <c r="AE284" i="2"/>
  <c r="AI284" i="2" s="1"/>
  <c r="AJ284" i="2"/>
  <c r="AN284" i="2" s="1"/>
  <c r="AA284" i="2"/>
  <c r="AB191" i="2"/>
  <c r="AG191" i="2" s="1"/>
  <c r="AE191" i="2"/>
  <c r="AI191" i="2" s="1"/>
  <c r="AB156" i="2"/>
  <c r="AG156" i="2" s="1"/>
  <c r="Z122" i="2"/>
  <c r="AE122" i="2"/>
  <c r="AI122" i="2" s="1"/>
  <c r="AD255" i="2"/>
  <c r="Z255" i="2"/>
  <c r="Z186" i="2"/>
  <c r="AD186" i="2"/>
  <c r="AB186" i="2"/>
  <c r="AG186" i="2" s="1"/>
  <c r="Z191" i="2"/>
  <c r="AA255" i="2"/>
  <c r="AD122" i="2"/>
  <c r="Z132" i="2"/>
  <c r="AC132" i="2"/>
  <c r="AH132" i="2" s="1"/>
  <c r="AE132" i="2"/>
  <c r="AI132" i="2" s="1"/>
  <c r="AD260" i="2"/>
  <c r="AJ186" i="2"/>
  <c r="AN186" i="2" s="1"/>
  <c r="AA122" i="2"/>
  <c r="AC191" i="2"/>
  <c r="AH191" i="2" s="1"/>
  <c r="AB284" i="2"/>
  <c r="AG284" i="2" s="1"/>
  <c r="Z182" i="2"/>
  <c r="AE96" i="2"/>
  <c r="AF96" i="2" s="1"/>
  <c r="AO60" i="2"/>
  <c r="AN60" i="2"/>
  <c r="AE255" i="2"/>
  <c r="AF255" i="2" s="1"/>
  <c r="Z290" i="2"/>
  <c r="AE290" i="2"/>
  <c r="AF290" i="2" s="1"/>
  <c r="AJ290" i="2"/>
  <c r="AO290" i="2" s="1"/>
  <c r="AC290" i="2"/>
  <c r="AH290" i="2" s="1"/>
  <c r="AB290" i="2"/>
  <c r="AG290" i="2" s="1"/>
  <c r="AB96" i="2"/>
  <c r="AG96" i="2" s="1"/>
  <c r="R281" i="2"/>
  <c r="S138" i="2"/>
  <c r="AD96" i="2"/>
  <c r="AA54" i="2"/>
  <c r="AC54" i="2"/>
  <c r="AE54" i="2"/>
  <c r="AD66" i="2"/>
  <c r="AA177" i="2"/>
  <c r="AC56" i="2"/>
  <c r="AD148" i="2"/>
  <c r="AA293" i="2"/>
  <c r="AA195" i="2"/>
  <c r="AC177" i="2"/>
  <c r="AH177" i="2" s="1"/>
  <c r="AD56" i="2"/>
  <c r="AA188" i="2"/>
  <c r="AC195" i="2"/>
  <c r="AH195" i="2" s="1"/>
  <c r="AE140" i="2"/>
  <c r="AF140" i="2" s="1"/>
  <c r="AC186" i="2"/>
  <c r="AH186" i="2" s="1"/>
  <c r="AB188" i="2"/>
  <c r="AG188" i="2" s="1"/>
  <c r="AA302" i="2"/>
  <c r="AB195" i="2"/>
  <c r="AG195" i="2" s="1"/>
  <c r="AD177" i="2"/>
  <c r="AE195" i="2"/>
  <c r="AF195" i="2" s="1"/>
  <c r="AJ179" i="2"/>
  <c r="AN179" i="2" s="1"/>
  <c r="AB177" i="2"/>
  <c r="AG177" i="2" s="1"/>
  <c r="AB265" i="2"/>
  <c r="AG265" i="2" s="1"/>
  <c r="AJ54" i="2"/>
  <c r="AN54" i="2" s="1"/>
  <c r="AJ114" i="2"/>
  <c r="AN114" i="2" s="1"/>
  <c r="AJ195" i="2"/>
  <c r="AN195" i="2" s="1"/>
  <c r="AD167" i="2"/>
  <c r="Z177" i="2"/>
  <c r="AB302" i="2"/>
  <c r="AG302" i="2" s="1"/>
  <c r="Z114" i="2"/>
  <c r="AB114" i="2"/>
  <c r="AG114" i="2" s="1"/>
  <c r="AE293" i="2"/>
  <c r="AF293" i="2" s="1"/>
  <c r="AB132" i="2"/>
  <c r="AG132" i="2" s="1"/>
  <c r="AE265" i="2"/>
  <c r="AI265" i="2" s="1"/>
  <c r="AE296" i="2"/>
  <c r="AF296" i="2" s="1"/>
  <c r="AC293" i="2"/>
  <c r="AH293" i="2" s="1"/>
  <c r="AA265" i="2"/>
  <c r="Z268" i="2"/>
  <c r="AB293" i="2"/>
  <c r="AG293" i="2" s="1"/>
  <c r="AD197" i="2"/>
  <c r="AA197" i="2"/>
  <c r="AA148" i="2"/>
  <c r="Z56" i="2"/>
  <c r="AJ148" i="2"/>
  <c r="AO148" i="2" s="1"/>
  <c r="AB304" i="2"/>
  <c r="AG304" i="2" s="1"/>
  <c r="AD285" i="2"/>
  <c r="AA285" i="2"/>
  <c r="AE285" i="2"/>
  <c r="AI285" i="2" s="1"/>
  <c r="AE273" i="2"/>
  <c r="AI273" i="2" s="1"/>
  <c r="AA273" i="2"/>
  <c r="Z273" i="2"/>
  <c r="AD283" i="2"/>
  <c r="AE283" i="2"/>
  <c r="AF283" i="2" s="1"/>
  <c r="AB283" i="2"/>
  <c r="AG283" i="2" s="1"/>
  <c r="AA283" i="2"/>
  <c r="Z223" i="2"/>
  <c r="AE223" i="2"/>
  <c r="AF223" i="2" s="1"/>
  <c r="AD223" i="2"/>
  <c r="AJ223" i="2"/>
  <c r="AO223" i="2" s="1"/>
  <c r="AB223" i="2"/>
  <c r="AG223" i="2" s="1"/>
  <c r="AC223" i="2"/>
  <c r="AH223" i="2" s="1"/>
  <c r="AA223" i="2"/>
  <c r="AE56" i="2"/>
  <c r="AJ56" i="2"/>
  <c r="AO56" i="2" s="1"/>
  <c r="AB56" i="2"/>
  <c r="AB124" i="2"/>
  <c r="AG124" i="2" s="1"/>
  <c r="AE124" i="2"/>
  <c r="AF124" i="2" s="1"/>
  <c r="AC124" i="2"/>
  <c r="AH124" i="2" s="1"/>
  <c r="AD124" i="2"/>
  <c r="AA179" i="2"/>
  <c r="AC179" i="2"/>
  <c r="AH179" i="2" s="1"/>
  <c r="Z179" i="2"/>
  <c r="AB300" i="2"/>
  <c r="AG300" i="2" s="1"/>
  <c r="AJ283" i="2"/>
  <c r="AN283" i="2" s="1"/>
  <c r="S234" i="2"/>
  <c r="AB234" i="2" s="1"/>
  <c r="AG234" i="2" s="1"/>
  <c r="AA156" i="2"/>
  <c r="AC197" i="2"/>
  <c r="AH197" i="2" s="1"/>
  <c r="AE169" i="2"/>
  <c r="AF169" i="2" s="1"/>
  <c r="Z158" i="2"/>
  <c r="AA167" i="2"/>
  <c r="AB167" i="2"/>
  <c r="AG167" i="2" s="1"/>
  <c r="AJ90" i="2"/>
  <c r="Z90" i="2"/>
  <c r="AE186" i="2"/>
  <c r="AF186" i="2" s="1"/>
  <c r="AC188" i="2"/>
  <c r="AH188" i="2" s="1"/>
  <c r="AC79" i="2"/>
  <c r="AH79" i="2" s="1"/>
  <c r="AA90" i="2"/>
  <c r="AB90" i="2"/>
  <c r="AG90" i="2" s="1"/>
  <c r="AJ98" i="2"/>
  <c r="AO98" i="2" s="1"/>
  <c r="AA186" i="2"/>
  <c r="AD188" i="2"/>
  <c r="Z217" i="2"/>
  <c r="AD90" i="2"/>
  <c r="AC90" i="2"/>
  <c r="AH90" i="2" s="1"/>
  <c r="AA256" i="2"/>
  <c r="AJ141" i="2"/>
  <c r="AO141" i="2" s="1"/>
  <c r="AC100" i="2"/>
  <c r="AH100" i="2" s="1"/>
  <c r="AD256" i="2"/>
  <c r="AJ225" i="2"/>
  <c r="AN225" i="2" s="1"/>
  <c r="AD213" i="2"/>
  <c r="AJ182" i="2"/>
  <c r="AO182" i="2" s="1"/>
  <c r="AC222" i="2"/>
  <c r="AH222" i="2" s="1"/>
  <c r="AD132" i="2"/>
  <c r="AJ265" i="2"/>
  <c r="AN265" i="2" s="1"/>
  <c r="AJ140" i="2"/>
  <c r="AO140" i="2" s="1"/>
  <c r="AB222" i="2"/>
  <c r="AG222" i="2" s="1"/>
  <c r="AJ218" i="2"/>
  <c r="AN218" i="2" s="1"/>
  <c r="Z237" i="2"/>
  <c r="AA175" i="2"/>
  <c r="AJ222" i="2"/>
  <c r="AO222" i="2" s="1"/>
  <c r="AE90" i="2"/>
  <c r="AA225" i="2"/>
  <c r="AC260" i="2"/>
  <c r="AH260" i="2" s="1"/>
  <c r="Z248" i="2"/>
  <c r="AC248" i="2"/>
  <c r="AH248" i="2" s="1"/>
  <c r="AD248" i="2"/>
  <c r="AB248" i="2"/>
  <c r="AG248" i="2" s="1"/>
  <c r="Z67" i="2"/>
  <c r="AC67" i="2"/>
  <c r="AA67" i="2"/>
  <c r="AD67" i="2"/>
  <c r="R10" i="11"/>
  <c r="AE67" i="2"/>
  <c r="AD294" i="2"/>
  <c r="AA294" i="2"/>
  <c r="AE248" i="2"/>
  <c r="AF248" i="2" s="1"/>
  <c r="AJ248" i="2"/>
  <c r="AN248" i="2" s="1"/>
  <c r="AB244" i="2"/>
  <c r="AG244" i="2" s="1"/>
  <c r="AD244" i="2"/>
  <c r="AB120" i="2"/>
  <c r="AG120" i="2" s="1"/>
  <c r="AD120" i="2"/>
  <c r="AC120" i="2"/>
  <c r="AH120" i="2" s="1"/>
  <c r="AA120" i="2"/>
  <c r="AJ97" i="2"/>
  <c r="AA97" i="2"/>
  <c r="AC97" i="2"/>
  <c r="AH97" i="2" s="1"/>
  <c r="Z97" i="2"/>
  <c r="AE97" i="2"/>
  <c r="AB97" i="2"/>
  <c r="AG97" i="2" s="1"/>
  <c r="AE201" i="2"/>
  <c r="AI201" i="2" s="1"/>
  <c r="AD201" i="2"/>
  <c r="Z201" i="2"/>
  <c r="AC201" i="2"/>
  <c r="AH201" i="2" s="1"/>
  <c r="AJ201" i="2"/>
  <c r="AN201" i="2" s="1"/>
  <c r="AB174" i="2"/>
  <c r="AG174" i="2" s="1"/>
  <c r="AE174" i="2"/>
  <c r="AF174" i="2" s="1"/>
  <c r="Z174" i="2"/>
  <c r="AC174" i="2"/>
  <c r="AH174" i="2" s="1"/>
  <c r="AA174" i="2"/>
  <c r="AD174" i="2"/>
  <c r="AA201" i="2"/>
  <c r="AB201" i="2"/>
  <c r="AG201" i="2" s="1"/>
  <c r="AJ67" i="2"/>
  <c r="AO67" i="2" s="1"/>
  <c r="P22" i="11" s="1"/>
  <c r="AE120" i="2"/>
  <c r="AF120" i="2" s="1"/>
  <c r="AB106" i="2"/>
  <c r="AG106" i="2" s="1"/>
  <c r="Z120" i="2"/>
  <c r="AJ120" i="2"/>
  <c r="AO120" i="2" s="1"/>
  <c r="AD113" i="2"/>
  <c r="AB113" i="2"/>
  <c r="AG113" i="2" s="1"/>
  <c r="AD233" i="2"/>
  <c r="AC233" i="2"/>
  <c r="AH233" i="2" s="1"/>
  <c r="Z233" i="2"/>
  <c r="AE233" i="2"/>
  <c r="AF233" i="2" s="1"/>
  <c r="AJ233" i="2"/>
  <c r="AN233" i="2" s="1"/>
  <c r="AA233" i="2"/>
  <c r="AB233" i="2"/>
  <c r="AG233" i="2" s="1"/>
  <c r="AA248" i="2"/>
  <c r="AJ256" i="2"/>
  <c r="Z256" i="2"/>
  <c r="AB256" i="2"/>
  <c r="AG256" i="2" s="1"/>
  <c r="AB67" i="2"/>
  <c r="AE213" i="2"/>
  <c r="AB213" i="2"/>
  <c r="AG213" i="2" s="1"/>
  <c r="Z213" i="2"/>
  <c r="AB164" i="2"/>
  <c r="AG164" i="2" s="1"/>
  <c r="AA164" i="2"/>
  <c r="Z164" i="2"/>
  <c r="AJ164" i="2"/>
  <c r="AN164" i="2" s="1"/>
  <c r="AJ274" i="2"/>
  <c r="AO274" i="2" s="1"/>
  <c r="AJ213" i="2"/>
  <c r="AO213" i="2" s="1"/>
  <c r="AC213" i="2"/>
  <c r="AH213" i="2" s="1"/>
  <c r="Z95" i="2"/>
  <c r="AC95" i="2"/>
  <c r="AH95" i="2" s="1"/>
  <c r="AJ95" i="2"/>
  <c r="AN95" i="2" s="1"/>
  <c r="AE95" i="2"/>
  <c r="AI95" i="2" s="1"/>
  <c r="AA95" i="2"/>
  <c r="AD95" i="2"/>
  <c r="AD217" i="2"/>
  <c r="AE225" i="2"/>
  <c r="AI225" i="2" s="1"/>
  <c r="AC122" i="2"/>
  <c r="AH122" i="2" s="1"/>
  <c r="AB122" i="2"/>
  <c r="AG122" i="2" s="1"/>
  <c r="AB218" i="2"/>
  <c r="AG218" i="2" s="1"/>
  <c r="AE222" i="2"/>
  <c r="AF222" i="2" s="1"/>
  <c r="AD222" i="2"/>
  <c r="AB267" i="2"/>
  <c r="AG267" i="2" s="1"/>
  <c r="AB158" i="2"/>
  <c r="AG158" i="2" s="1"/>
  <c r="AJ132" i="2"/>
  <c r="AO132" i="2" s="1"/>
  <c r="S93" i="2"/>
  <c r="AA93" i="2" s="1"/>
  <c r="Z267" i="2"/>
  <c r="AD178" i="2"/>
  <c r="AB227" i="2"/>
  <c r="AG227" i="2" s="1"/>
  <c r="AJ158" i="2"/>
  <c r="AO158" i="2" s="1"/>
  <c r="AD273" i="2"/>
  <c r="AA158" i="2"/>
  <c r="AB178" i="2"/>
  <c r="AG178" i="2" s="1"/>
  <c r="AD163" i="2"/>
  <c r="AA300" i="2"/>
  <c r="AC273" i="2"/>
  <c r="AH273" i="2" s="1"/>
  <c r="AD182" i="2"/>
  <c r="AB273" i="2"/>
  <c r="AG273" i="2" s="1"/>
  <c r="AE178" i="2"/>
  <c r="AF178" i="2" s="1"/>
  <c r="AC163" i="2"/>
  <c r="AH163" i="2" s="1"/>
  <c r="AD290" i="2"/>
  <c r="AJ273" i="2"/>
  <c r="AN273" i="2" s="1"/>
  <c r="AA260" i="2"/>
  <c r="AE200" i="2"/>
  <c r="AF200" i="2" s="1"/>
  <c r="Z124" i="2"/>
  <c r="AJ178" i="2"/>
  <c r="AN178" i="2" s="1"/>
  <c r="AB148" i="2"/>
  <c r="AG148" i="2" s="1"/>
  <c r="AD85" i="2"/>
  <c r="AJ217" i="2"/>
  <c r="AO217" i="2" s="1"/>
  <c r="AC169" i="2"/>
  <c r="AH169" i="2" s="1"/>
  <c r="AJ122" i="2"/>
  <c r="AO122" i="2" s="1"/>
  <c r="AB169" i="2"/>
  <c r="AG169" i="2" s="1"/>
  <c r="Z140" i="2"/>
  <c r="Z169" i="2"/>
  <c r="AE218" i="2"/>
  <c r="AI218" i="2" s="1"/>
  <c r="AD158" i="2"/>
  <c r="AB260" i="2"/>
  <c r="AG260" i="2" s="1"/>
  <c r="AD141" i="2"/>
  <c r="AB163" i="2"/>
  <c r="AG163" i="2" s="1"/>
  <c r="AJ244" i="2"/>
  <c r="AO244" i="2" s="1"/>
  <c r="AJ260" i="2"/>
  <c r="AO260" i="2" s="1"/>
  <c r="AC141" i="2"/>
  <c r="AH141" i="2" s="1"/>
  <c r="AC158" i="2"/>
  <c r="AH158" i="2" s="1"/>
  <c r="Z260" i="2"/>
  <c r="AC148" i="2"/>
  <c r="AH148" i="2" s="1"/>
  <c r="Z178" i="2"/>
  <c r="AJ163" i="2"/>
  <c r="AO163" i="2" s="1"/>
  <c r="AA290" i="2"/>
  <c r="AE260" i="2"/>
  <c r="AF260" i="2" s="1"/>
  <c r="AE163" i="2"/>
  <c r="AI163" i="2" s="1"/>
  <c r="AA132" i="2"/>
  <c r="AJ124" i="2"/>
  <c r="AC178" i="2"/>
  <c r="AH178" i="2" s="1"/>
  <c r="AA141" i="2"/>
  <c r="AB199" i="2"/>
  <c r="AG199" i="2" s="1"/>
  <c r="AE199" i="2"/>
  <c r="AN80" i="2"/>
  <c r="AO80" i="2"/>
  <c r="AB134" i="2"/>
  <c r="AG134" i="2" s="1"/>
  <c r="AA134" i="2"/>
  <c r="AE164" i="2"/>
  <c r="AI164" i="2" s="1"/>
  <c r="AC294" i="2"/>
  <c r="AH294" i="2" s="1"/>
  <c r="Z274" i="2"/>
  <c r="AD134" i="2"/>
  <c r="R172" i="2"/>
  <c r="AD172" i="2" s="1"/>
  <c r="AJ199" i="2"/>
  <c r="AJ275" i="2"/>
  <c r="AO275" i="2" s="1"/>
  <c r="AB165" i="2"/>
  <c r="AG165" i="2" s="1"/>
  <c r="Z165" i="2"/>
  <c r="AD165" i="2"/>
  <c r="AC134" i="2"/>
  <c r="AH134" i="2" s="1"/>
  <c r="AC274" i="2"/>
  <c r="AH274" i="2" s="1"/>
  <c r="Z113" i="2"/>
  <c r="AB294" i="2"/>
  <c r="AG294" i="2" s="1"/>
  <c r="AE55" i="2"/>
  <c r="AB144" i="2"/>
  <c r="AG144" i="2" s="1"/>
  <c r="AA274" i="2"/>
  <c r="AB274" i="2"/>
  <c r="AG274" i="2" s="1"/>
  <c r="Z298" i="2"/>
  <c r="AA298" i="2"/>
  <c r="AE298" i="2"/>
  <c r="AC298" i="2"/>
  <c r="AH298" i="2" s="1"/>
  <c r="AJ298" i="2"/>
  <c r="AB298" i="2"/>
  <c r="AG298" i="2" s="1"/>
  <c r="AD298" i="2"/>
  <c r="AN153" i="2"/>
  <c r="AB95" i="2"/>
  <c r="AG95" i="2" s="1"/>
  <c r="AB187" i="2"/>
  <c r="AG187" i="2" s="1"/>
  <c r="AE113" i="2"/>
  <c r="AF113" i="2" s="1"/>
  <c r="AB66" i="2"/>
  <c r="AJ294" i="2"/>
  <c r="AO294" i="2" s="1"/>
  <c r="Z294" i="2"/>
  <c r="AC55" i="2"/>
  <c r="AC66" i="2"/>
  <c r="AA222" i="2"/>
  <c r="AE165" i="2"/>
  <c r="AJ187" i="2"/>
  <c r="AN187" i="2" s="1"/>
  <c r="AJ113" i="2"/>
  <c r="AO113" i="2" s="1"/>
  <c r="AA66" i="2"/>
  <c r="AB98" i="2"/>
  <c r="AG98" i="2" s="1"/>
  <c r="Z199" i="2"/>
  <c r="AE294" i="2"/>
  <c r="AI294" i="2" s="1"/>
  <c r="AA153" i="2"/>
  <c r="AD274" i="2"/>
  <c r="AE100" i="2"/>
  <c r="AF100" i="2" s="1"/>
  <c r="AD187" i="2"/>
  <c r="AC113" i="2"/>
  <c r="AH113" i="2" s="1"/>
  <c r="Z66" i="2"/>
  <c r="AA98" i="2"/>
  <c r="Z144" i="2"/>
  <c r="AJ300" i="2"/>
  <c r="AI175" i="2"/>
  <c r="AB303" i="2"/>
  <c r="AG303" i="2" s="1"/>
  <c r="AC165" i="2"/>
  <c r="AH165" i="2" s="1"/>
  <c r="AB193" i="2"/>
  <c r="AG193" i="2" s="1"/>
  <c r="AC217" i="2"/>
  <c r="AH217" i="2" s="1"/>
  <c r="Z141" i="2"/>
  <c r="AA199" i="2"/>
  <c r="Z187" i="2"/>
  <c r="AA113" i="2"/>
  <c r="Z98" i="2"/>
  <c r="AD144" i="2"/>
  <c r="AJ174" i="2"/>
  <c r="AC199" i="2"/>
  <c r="AH199" i="2" s="1"/>
  <c r="AD206" i="2"/>
  <c r="AD193" i="2"/>
  <c r="AA217" i="2"/>
  <c r="AB141" i="2"/>
  <c r="AG141" i="2" s="1"/>
  <c r="AE187" i="2"/>
  <c r="AF187" i="2" s="1"/>
  <c r="Z163" i="2"/>
  <c r="AE98" i="2"/>
  <c r="AF98" i="2" s="1"/>
  <c r="AE188" i="2"/>
  <c r="AF188" i="2" s="1"/>
  <c r="AE144" i="2"/>
  <c r="AI144" i="2" s="1"/>
  <c r="Z300" i="2"/>
  <c r="AF161" i="2"/>
  <c r="AA182" i="2"/>
  <c r="AE193" i="2"/>
  <c r="AF193" i="2" s="1"/>
  <c r="AB182" i="2"/>
  <c r="AG182" i="2" s="1"/>
  <c r="AD153" i="2"/>
  <c r="AN160" i="2"/>
  <c r="AO160" i="2"/>
  <c r="AD169" i="2"/>
  <c r="AC187" i="2"/>
  <c r="AH187" i="2" s="1"/>
  <c r="AD98" i="2"/>
  <c r="AA144" i="2"/>
  <c r="AJ193" i="2"/>
  <c r="AN193" i="2" s="1"/>
  <c r="AC153" i="2"/>
  <c r="AH153" i="2" s="1"/>
  <c r="AB153" i="2"/>
  <c r="AG153" i="2" s="1"/>
  <c r="AE153" i="2"/>
  <c r="AF153" i="2" s="1"/>
  <c r="AE131" i="2"/>
  <c r="AB131" i="2"/>
  <c r="AG131" i="2" s="1"/>
  <c r="AJ131" i="2"/>
  <c r="AC131" i="2"/>
  <c r="AH131" i="2" s="1"/>
  <c r="AA131" i="2"/>
  <c r="Z131" i="2"/>
  <c r="AD131" i="2"/>
  <c r="AA169" i="2"/>
  <c r="AB217" i="2"/>
  <c r="AG217" i="2" s="1"/>
  <c r="Z218" i="2"/>
  <c r="AC98" i="2"/>
  <c r="AH98" i="2" s="1"/>
  <c r="AJ144" i="2"/>
  <c r="AN144" i="2" s="1"/>
  <c r="AD199" i="2"/>
  <c r="AA165" i="2"/>
  <c r="AA193" i="2"/>
  <c r="Z153" i="2"/>
  <c r="AF160" i="2"/>
  <c r="AI160" i="2"/>
  <c r="AB83" i="2"/>
  <c r="AG83" i="2" s="1"/>
  <c r="AA83" i="2"/>
  <c r="Z83" i="2"/>
  <c r="AD83" i="2"/>
  <c r="AE83" i="2"/>
  <c r="AC83" i="2"/>
  <c r="AH83" i="2" s="1"/>
  <c r="AJ83" i="2"/>
  <c r="AJ169" i="2"/>
  <c r="AE217" i="2"/>
  <c r="Z188" i="2"/>
  <c r="AJ165" i="2"/>
  <c r="AO165" i="2" s="1"/>
  <c r="Z193" i="2"/>
  <c r="Z156" i="2"/>
  <c r="AE106" i="2"/>
  <c r="AI106" i="2" s="1"/>
  <c r="AA106" i="2"/>
  <c r="AC244" i="2"/>
  <c r="AH244" i="2" s="1"/>
  <c r="AD79" i="2"/>
  <c r="AA301" i="2"/>
  <c r="AJ301" i="2"/>
  <c r="Z301" i="2"/>
  <c r="AE301" i="2"/>
  <c r="AC301" i="2"/>
  <c r="AH301" i="2" s="1"/>
  <c r="AB301" i="2"/>
  <c r="AG301" i="2" s="1"/>
  <c r="AD301" i="2"/>
  <c r="AE79" i="2"/>
  <c r="AI79" i="2" s="1"/>
  <c r="AD303" i="2"/>
  <c r="AI87" i="2"/>
  <c r="AF87" i="2"/>
  <c r="Z207" i="2"/>
  <c r="AB275" i="2"/>
  <c r="AG275" i="2" s="1"/>
  <c r="S226" i="2"/>
  <c r="Z226" i="2" s="1"/>
  <c r="AB207" i="2"/>
  <c r="AG207" i="2" s="1"/>
  <c r="AE303" i="2"/>
  <c r="AE170" i="2"/>
  <c r="AD170" i="2"/>
  <c r="AC170" i="2"/>
  <c r="AH170" i="2" s="1"/>
  <c r="AC304" i="2"/>
  <c r="AH304" i="2" s="1"/>
  <c r="Z264" i="2"/>
  <c r="AD264" i="2"/>
  <c r="AE264" i="2"/>
  <c r="AA264" i="2"/>
  <c r="AC264" i="2"/>
  <c r="AH264" i="2" s="1"/>
  <c r="AB264" i="2"/>
  <c r="AG264" i="2" s="1"/>
  <c r="AJ264" i="2"/>
  <c r="AD156" i="2"/>
  <c r="AC164" i="2"/>
  <c r="AH164" i="2" s="1"/>
  <c r="AC77" i="2"/>
  <c r="AH77" i="2" s="1"/>
  <c r="AD300" i="2"/>
  <c r="AE156" i="2"/>
  <c r="AI156" i="2" s="1"/>
  <c r="AC303" i="2"/>
  <c r="AH303" i="2" s="1"/>
  <c r="AO73" i="2"/>
  <c r="AN73" i="2"/>
  <c r="AC106" i="2"/>
  <c r="AH106" i="2" s="1"/>
  <c r="AJ85" i="2"/>
  <c r="AC85" i="2"/>
  <c r="AH85" i="2" s="1"/>
  <c r="AE85" i="2"/>
  <c r="AJ72" i="2"/>
  <c r="AB72" i="2"/>
  <c r="AG72" i="2" s="1"/>
  <c r="AE72" i="2"/>
  <c r="AA72" i="2"/>
  <c r="AC72" i="2"/>
  <c r="AH72" i="2" s="1"/>
  <c r="AD72" i="2"/>
  <c r="Z72" i="2"/>
  <c r="AF271" i="2"/>
  <c r="AB206" i="2"/>
  <c r="AG206" i="2" s="1"/>
  <c r="AJ142" i="2"/>
  <c r="AD142" i="2"/>
  <c r="AE142" i="2"/>
  <c r="AB142" i="2"/>
  <c r="AG142" i="2" s="1"/>
  <c r="Z142" i="2"/>
  <c r="AA142" i="2"/>
  <c r="AC142" i="2"/>
  <c r="AH142" i="2" s="1"/>
  <c r="AJ230" i="2"/>
  <c r="AN230" i="2" s="1"/>
  <c r="AD207" i="2"/>
  <c r="AJ207" i="2"/>
  <c r="AN207" i="2" s="1"/>
  <c r="AA77" i="2"/>
  <c r="AA297" i="2"/>
  <c r="AC207" i="2"/>
  <c r="AH207" i="2" s="1"/>
  <c r="AE77" i="2"/>
  <c r="AF77" i="2" s="1"/>
  <c r="AA170" i="2"/>
  <c r="AA207" i="2"/>
  <c r="AD164" i="2"/>
  <c r="Z77" i="2"/>
  <c r="AD140" i="2"/>
  <c r="AC156" i="2"/>
  <c r="AH156" i="2" s="1"/>
  <c r="AE197" i="2"/>
  <c r="AI197" i="2" s="1"/>
  <c r="AB170" i="2"/>
  <c r="AG170" i="2" s="1"/>
  <c r="AA85" i="2"/>
  <c r="Z106" i="2"/>
  <c r="AN75" i="2"/>
  <c r="AO75" i="2"/>
  <c r="AE275" i="2"/>
  <c r="AB55" i="2"/>
  <c r="AC300" i="2"/>
  <c r="AH300" i="2" s="1"/>
  <c r="AE300" i="2"/>
  <c r="AN61" i="2"/>
  <c r="AO61" i="2"/>
  <c r="AF60" i="2"/>
  <c r="AI60" i="2"/>
  <c r="AD100" i="2"/>
  <c r="AD227" i="2"/>
  <c r="AA55" i="2"/>
  <c r="AD77" i="2"/>
  <c r="AJ297" i="2"/>
  <c r="Z297" i="2"/>
  <c r="AB297" i="2"/>
  <c r="AG297" i="2" s="1"/>
  <c r="AD297" i="2"/>
  <c r="AE297" i="2"/>
  <c r="AC297" i="2"/>
  <c r="AH297" i="2" s="1"/>
  <c r="AJ77" i="2"/>
  <c r="AO77" i="2" s="1"/>
  <c r="Z275" i="2"/>
  <c r="AJ170" i="2"/>
  <c r="AJ156" i="2"/>
  <c r="AN156" i="2" s="1"/>
  <c r="AJ106" i="2"/>
  <c r="AN106" i="2" s="1"/>
  <c r="AA244" i="2"/>
  <c r="AJ289" i="2"/>
  <c r="AN289" i="2" s="1"/>
  <c r="Z55" i="2"/>
  <c r="AD55" i="2"/>
  <c r="Z85" i="2"/>
  <c r="AI75" i="2"/>
  <c r="AF75" i="2"/>
  <c r="AD275" i="2"/>
  <c r="AA275" i="2"/>
  <c r="AD304" i="2"/>
  <c r="AC101" i="2"/>
  <c r="AH101" i="2" s="1"/>
  <c r="AC200" i="2"/>
  <c r="AH200" i="2" s="1"/>
  <c r="Z200" i="2"/>
  <c r="AN271" i="2"/>
  <c r="AO271" i="2"/>
  <c r="R110" i="2"/>
  <c r="AE110" i="2" s="1"/>
  <c r="Z134" i="2"/>
  <c r="Z197" i="2"/>
  <c r="AA202" i="2"/>
  <c r="AD200" i="2"/>
  <c r="AE134" i="2"/>
  <c r="AI134" i="2" s="1"/>
  <c r="AJ200" i="2"/>
  <c r="AO200" i="2" s="1"/>
  <c r="AB197" i="2"/>
  <c r="AG197" i="2" s="1"/>
  <c r="AD218" i="2"/>
  <c r="AE66" i="2"/>
  <c r="AC208" i="2"/>
  <c r="AH208" i="2" s="1"/>
  <c r="AE202" i="2"/>
  <c r="AF202" i="2" s="1"/>
  <c r="Z304" i="2"/>
  <c r="Z184" i="2"/>
  <c r="AE244" i="2"/>
  <c r="AF244" i="2" s="1"/>
  <c r="AA208" i="2"/>
  <c r="AA200" i="2"/>
  <c r="AJ197" i="2"/>
  <c r="AN197" i="2" s="1"/>
  <c r="AA100" i="2"/>
  <c r="AJ66" i="2"/>
  <c r="AN66" i="2" s="1"/>
  <c r="AD208" i="2"/>
  <c r="AB208" i="2"/>
  <c r="AG208" i="2" s="1"/>
  <c r="AJ303" i="2"/>
  <c r="Z303" i="2"/>
  <c r="AA303" i="2"/>
  <c r="AE206" i="2"/>
  <c r="AA206" i="2"/>
  <c r="AC206" i="2"/>
  <c r="AH206" i="2" s="1"/>
  <c r="Z206" i="2"/>
  <c r="S74" i="2"/>
  <c r="AE304" i="2"/>
  <c r="AF304" i="2" s="1"/>
  <c r="AJ206" i="2"/>
  <c r="AC227" i="2"/>
  <c r="AH227" i="2" s="1"/>
  <c r="AA230" i="2"/>
  <c r="S281" i="2"/>
  <c r="AJ304" i="2"/>
  <c r="AO304" i="2" s="1"/>
  <c r="AA227" i="2"/>
  <c r="AE263" i="2"/>
  <c r="AB263" i="2"/>
  <c r="AG263" i="2" s="1"/>
  <c r="AA263" i="2"/>
  <c r="Z263" i="2"/>
  <c r="AJ263" i="2"/>
  <c r="AC263" i="2"/>
  <c r="AH263" i="2" s="1"/>
  <c r="AD263" i="2"/>
  <c r="AA203" i="2"/>
  <c r="AD203" i="2"/>
  <c r="Z203" i="2"/>
  <c r="AC203" i="2"/>
  <c r="AH203" i="2" s="1"/>
  <c r="AJ203" i="2"/>
  <c r="AB203" i="2"/>
  <c r="AG203" i="2" s="1"/>
  <c r="AE203" i="2"/>
  <c r="AC109" i="2"/>
  <c r="AH109" i="2" s="1"/>
  <c r="AB109" i="2"/>
  <c r="AG109" i="2" s="1"/>
  <c r="AJ109" i="2"/>
  <c r="AD109" i="2"/>
  <c r="AE109" i="2"/>
  <c r="Z109" i="2"/>
  <c r="AA109" i="2"/>
  <c r="AA218" i="2"/>
  <c r="AJ190" i="2"/>
  <c r="AC190" i="2"/>
  <c r="AH190" i="2" s="1"/>
  <c r="Z190" i="2"/>
  <c r="AE190" i="2"/>
  <c r="AD190" i="2"/>
  <c r="AB190" i="2"/>
  <c r="AG190" i="2" s="1"/>
  <c r="AA190" i="2"/>
  <c r="Z183" i="2"/>
  <c r="AA183" i="2"/>
  <c r="AC183" i="2"/>
  <c r="AH183" i="2" s="1"/>
  <c r="AE183" i="2"/>
  <c r="AD183" i="2"/>
  <c r="AB183" i="2"/>
  <c r="AG183" i="2" s="1"/>
  <c r="AJ183" i="2"/>
  <c r="AJ242" i="2"/>
  <c r="AE242" i="2"/>
  <c r="AC242" i="2"/>
  <c r="AH242" i="2" s="1"/>
  <c r="AA242" i="2"/>
  <c r="AB242" i="2"/>
  <c r="AG242" i="2" s="1"/>
  <c r="Z242" i="2"/>
  <c r="AD242" i="2"/>
  <c r="AE282" i="2"/>
  <c r="AC282" i="2"/>
  <c r="AH282" i="2" s="1"/>
  <c r="AD282" i="2"/>
  <c r="AA282" i="2"/>
  <c r="AJ282" i="2"/>
  <c r="AB282" i="2"/>
  <c r="AG282" i="2" s="1"/>
  <c r="Z282" i="2"/>
  <c r="R198" i="2"/>
  <c r="S198" i="2"/>
  <c r="AB230" i="2"/>
  <c r="AG230" i="2" s="1"/>
  <c r="AE258" i="2"/>
  <c r="Z258" i="2"/>
  <c r="AD258" i="2"/>
  <c r="AA258" i="2"/>
  <c r="AJ258" i="2"/>
  <c r="AB258" i="2"/>
  <c r="AG258" i="2" s="1"/>
  <c r="AC258" i="2"/>
  <c r="AH258" i="2" s="1"/>
  <c r="AC189" i="2"/>
  <c r="AH189" i="2" s="1"/>
  <c r="Z189" i="2"/>
  <c r="AJ189" i="2"/>
  <c r="AA189" i="2"/>
  <c r="AB189" i="2"/>
  <c r="AG189" i="2" s="1"/>
  <c r="AE189" i="2"/>
  <c r="AD189" i="2"/>
  <c r="AO210" i="2"/>
  <c r="AI230" i="2"/>
  <c r="AC230" i="2"/>
  <c r="AH230" i="2" s="1"/>
  <c r="S299" i="2"/>
  <c r="AO99" i="2"/>
  <c r="AN99" i="2"/>
  <c r="AE235" i="2"/>
  <c r="Z235" i="2"/>
  <c r="AA235" i="2"/>
  <c r="AC235" i="2"/>
  <c r="AH235" i="2" s="1"/>
  <c r="AB235" i="2"/>
  <c r="AG235" i="2" s="1"/>
  <c r="AD235" i="2"/>
  <c r="AJ235" i="2"/>
  <c r="AI121" i="2"/>
  <c r="AF121" i="2"/>
  <c r="AD232" i="2"/>
  <c r="AC232" i="2"/>
  <c r="AH232" i="2" s="1"/>
  <c r="AE232" i="2"/>
  <c r="AJ232" i="2"/>
  <c r="AB232" i="2"/>
  <c r="AG232" i="2" s="1"/>
  <c r="AA232" i="2"/>
  <c r="Z232" i="2"/>
  <c r="R205" i="2"/>
  <c r="AB79" i="2"/>
  <c r="AG79" i="2" s="1"/>
  <c r="R74" i="2"/>
  <c r="AE289" i="2"/>
  <c r="AI289" i="2" s="1"/>
  <c r="R257" i="2"/>
  <c r="AA304" i="2"/>
  <c r="AE108" i="2"/>
  <c r="AD108" i="2"/>
  <c r="AC108" i="2"/>
  <c r="AH108" i="2" s="1"/>
  <c r="AA108" i="2"/>
  <c r="AB108" i="2"/>
  <c r="AG108" i="2" s="1"/>
  <c r="Z108" i="2"/>
  <c r="AJ108" i="2"/>
  <c r="AC140" i="2"/>
  <c r="AH140" i="2" s="1"/>
  <c r="AB140" i="2"/>
  <c r="AG140" i="2" s="1"/>
  <c r="AJ65" i="2"/>
  <c r="AN65" i="2" s="1"/>
  <c r="AA140" i="2"/>
  <c r="AC289" i="2"/>
  <c r="AH289" i="2" s="1"/>
  <c r="R118" i="2"/>
  <c r="S118" i="2"/>
  <c r="S269" i="2"/>
  <c r="R269" i="2"/>
  <c r="Z227" i="2"/>
  <c r="AB287" i="2"/>
  <c r="AG287" i="2" s="1"/>
  <c r="AA287" i="2"/>
  <c r="AJ287" i="2"/>
  <c r="AE287" i="2"/>
  <c r="AD287" i="2"/>
  <c r="AC287" i="2"/>
  <c r="AH287" i="2" s="1"/>
  <c r="AJ79" i="2"/>
  <c r="R231" i="2"/>
  <c r="S231" i="2"/>
  <c r="R102" i="2"/>
  <c r="Z102" i="2" s="1"/>
  <c r="Z289" i="2"/>
  <c r="AB289" i="2"/>
  <c r="AG289" i="2" s="1"/>
  <c r="AE227" i="2"/>
  <c r="AA289" i="2"/>
  <c r="AE119" i="2"/>
  <c r="AC119" i="2"/>
  <c r="AH119" i="2" s="1"/>
  <c r="AB119" i="2"/>
  <c r="AG119" i="2" s="1"/>
  <c r="AJ119" i="2"/>
  <c r="AA119" i="2"/>
  <c r="AD119" i="2"/>
  <c r="Z119" i="2"/>
  <c r="AC135" i="2"/>
  <c r="AH135" i="2" s="1"/>
  <c r="AE135" i="2"/>
  <c r="AD135" i="2"/>
  <c r="Z135" i="2"/>
  <c r="AA135" i="2"/>
  <c r="AB135" i="2"/>
  <c r="AG135" i="2" s="1"/>
  <c r="AJ135" i="2"/>
  <c r="AJ184" i="2"/>
  <c r="AA184" i="2"/>
  <c r="AC184" i="2"/>
  <c r="AH184" i="2" s="1"/>
  <c r="AE184" i="2"/>
  <c r="AB184" i="2"/>
  <c r="AG184" i="2" s="1"/>
  <c r="AJ227" i="2"/>
  <c r="R185" i="2"/>
  <c r="S185" i="2"/>
  <c r="AB219" i="2"/>
  <c r="AG219" i="2" s="1"/>
  <c r="AA219" i="2"/>
  <c r="Z219" i="2"/>
  <c r="AD219" i="2"/>
  <c r="AC219" i="2"/>
  <c r="AH219" i="2" s="1"/>
  <c r="AE219" i="2"/>
  <c r="AJ219" i="2"/>
  <c r="AA79" i="2"/>
  <c r="Z230" i="2"/>
  <c r="AD230" i="2"/>
  <c r="Z125" i="2"/>
  <c r="AD125" i="2"/>
  <c r="AJ125" i="2"/>
  <c r="AE125" i="2"/>
  <c r="AA125" i="2"/>
  <c r="AC125" i="2"/>
  <c r="AH125" i="2" s="1"/>
  <c r="AB125" i="2"/>
  <c r="AG125" i="2" s="1"/>
  <c r="AC202" i="2"/>
  <c r="AH202" i="2" s="1"/>
  <c r="AJ202" i="2"/>
  <c r="AB202" i="2"/>
  <c r="AG202" i="2" s="1"/>
  <c r="AC251" i="2"/>
  <c r="AH251" i="2" s="1"/>
  <c r="Z251" i="2"/>
  <c r="AJ251" i="2"/>
  <c r="AA251" i="2"/>
  <c r="AE251" i="2"/>
  <c r="AB251" i="2"/>
  <c r="AG251" i="2" s="1"/>
  <c r="AD251" i="2"/>
  <c r="AD202" i="2"/>
  <c r="Z79" i="2"/>
  <c r="AJ180" i="2"/>
  <c r="AC180" i="2"/>
  <c r="AH180" i="2" s="1"/>
  <c r="AA180" i="2"/>
  <c r="AB180" i="2"/>
  <c r="AG180" i="2" s="1"/>
  <c r="AD180" i="2"/>
  <c r="AE180" i="2"/>
  <c r="Z180" i="2"/>
  <c r="Z244" i="2"/>
  <c r="R286" i="2"/>
  <c r="S286" i="2"/>
  <c r="R299" i="2"/>
  <c r="AA237" i="2"/>
  <c r="AJ237" i="2"/>
  <c r="AB237" i="2"/>
  <c r="AG237" i="2" s="1"/>
  <c r="AE237" i="2"/>
  <c r="AD237" i="2"/>
  <c r="AC237" i="2"/>
  <c r="AH237" i="2" s="1"/>
  <c r="AB270" i="2"/>
  <c r="AG270" i="2" s="1"/>
  <c r="AA270" i="2"/>
  <c r="Z270" i="2"/>
  <c r="AC270" i="2"/>
  <c r="AH270" i="2" s="1"/>
  <c r="AJ270" i="2"/>
  <c r="AE270" i="2"/>
  <c r="AD270" i="2"/>
  <c r="S257" i="2"/>
  <c r="AE65" i="2"/>
  <c r="AO285" i="2"/>
  <c r="AN285" i="2"/>
  <c r="AB117" i="2"/>
  <c r="AG117" i="2" s="1"/>
  <c r="AA117" i="2"/>
  <c r="Z117" i="2"/>
  <c r="AE117" i="2"/>
  <c r="AJ117" i="2"/>
  <c r="AC117" i="2"/>
  <c r="AH117" i="2" s="1"/>
  <c r="AD117" i="2"/>
  <c r="Z101" i="2"/>
  <c r="AJ101" i="2"/>
  <c r="AB101" i="2"/>
  <c r="AG101" i="2" s="1"/>
  <c r="AA101" i="2"/>
  <c r="AE101" i="2"/>
  <c r="AD101" i="2"/>
  <c r="AC196" i="2"/>
  <c r="AH196" i="2" s="1"/>
  <c r="AD196" i="2"/>
  <c r="Z196" i="2"/>
  <c r="AE196" i="2"/>
  <c r="AA196" i="2"/>
  <c r="AJ196" i="2"/>
  <c r="AB196" i="2"/>
  <c r="AG196" i="2" s="1"/>
  <c r="AB250" i="2"/>
  <c r="AG250" i="2" s="1"/>
  <c r="AC250" i="2"/>
  <c r="AH250" i="2" s="1"/>
  <c r="AJ250" i="2"/>
  <c r="AD250" i="2"/>
  <c r="AE250" i="2"/>
  <c r="Z250" i="2"/>
  <c r="AA250" i="2"/>
  <c r="AJ103" i="2"/>
  <c r="Z305" i="2"/>
  <c r="AC305" i="2"/>
  <c r="AH305" i="2" s="1"/>
  <c r="AD305" i="2"/>
  <c r="AB305" i="2"/>
  <c r="AG305" i="2" s="1"/>
  <c r="AJ305" i="2"/>
  <c r="AA305" i="2"/>
  <c r="AE305" i="2"/>
  <c r="AC65" i="2"/>
  <c r="S249" i="2"/>
  <c r="R249" i="2"/>
  <c r="AC70" i="2"/>
  <c r="AE70" i="2"/>
  <c r="AA70" i="2"/>
  <c r="Z70" i="2"/>
  <c r="AD70" i="2"/>
  <c r="AB70" i="2"/>
  <c r="AJ70" i="2"/>
  <c r="S168" i="2"/>
  <c r="R168" i="2"/>
  <c r="Z103" i="2"/>
  <c r="AA103" i="2"/>
  <c r="AB103" i="2"/>
  <c r="AG103" i="2" s="1"/>
  <c r="AD103" i="2"/>
  <c r="AC103" i="2"/>
  <c r="AH103" i="2" s="1"/>
  <c r="AE103" i="2"/>
  <c r="AB65" i="2"/>
  <c r="AJ166" i="2"/>
  <c r="AD166" i="2"/>
  <c r="AC166" i="2"/>
  <c r="AH166" i="2" s="1"/>
  <c r="AE166" i="2"/>
  <c r="Z166" i="2"/>
  <c r="AA166" i="2"/>
  <c r="AB166" i="2"/>
  <c r="AG166" i="2" s="1"/>
  <c r="AJ100" i="2"/>
  <c r="AN100" i="2" s="1"/>
  <c r="AJ262" i="2"/>
  <c r="AB262" i="2"/>
  <c r="AG262" i="2" s="1"/>
  <c r="AE262" i="2"/>
  <c r="AA262" i="2"/>
  <c r="AC262" i="2"/>
  <c r="AH262" i="2" s="1"/>
  <c r="AD262" i="2"/>
  <c r="Z262" i="2"/>
  <c r="R272" i="2"/>
  <c r="R138" i="2"/>
  <c r="Z116" i="2"/>
  <c r="AJ116" i="2"/>
  <c r="AA116" i="2"/>
  <c r="AE116" i="2"/>
  <c r="AB116" i="2"/>
  <c r="AG116" i="2" s="1"/>
  <c r="AC116" i="2"/>
  <c r="AH116" i="2" s="1"/>
  <c r="AD116" i="2"/>
  <c r="AC171" i="2"/>
  <c r="AH171" i="2" s="1"/>
  <c r="AJ171" i="2"/>
  <c r="AA171" i="2"/>
  <c r="Z171" i="2"/>
  <c r="AB171" i="2"/>
  <c r="AG171" i="2" s="1"/>
  <c r="AD171" i="2"/>
  <c r="Z65" i="2"/>
  <c r="AJ78" i="2"/>
  <c r="AC78" i="2"/>
  <c r="AH78" i="2" s="1"/>
  <c r="AA78" i="2"/>
  <c r="AE78" i="2"/>
  <c r="AD78" i="2"/>
  <c r="AB78" i="2"/>
  <c r="AG78" i="2" s="1"/>
  <c r="Z78" i="2"/>
  <c r="AB100" i="2"/>
  <c r="AG100" i="2" s="1"/>
  <c r="AJ147" i="2"/>
  <c r="R238" i="2"/>
  <c r="S238" i="2"/>
  <c r="AE181" i="2"/>
  <c r="AB181" i="2"/>
  <c r="AG181" i="2" s="1"/>
  <c r="AC181" i="2"/>
  <c r="AH181" i="2" s="1"/>
  <c r="AD181" i="2"/>
  <c r="AA181" i="2"/>
  <c r="Z181" i="2"/>
  <c r="AJ181" i="2"/>
  <c r="AA147" i="2"/>
  <c r="AB147" i="2"/>
  <c r="AG147" i="2" s="1"/>
  <c r="AD147" i="2"/>
  <c r="Z147" i="2"/>
  <c r="AC147" i="2"/>
  <c r="AH147" i="2" s="1"/>
  <c r="AE147" i="2"/>
  <c r="AD243" i="2"/>
  <c r="AB243" i="2"/>
  <c r="AG243" i="2" s="1"/>
  <c r="AE243" i="2"/>
  <c r="Z243" i="2"/>
  <c r="AJ243" i="2"/>
  <c r="AC243" i="2"/>
  <c r="AH243" i="2" s="1"/>
  <c r="AA243" i="2"/>
  <c r="AA162" i="2"/>
  <c r="Z162" i="2"/>
  <c r="AJ162" i="2"/>
  <c r="AC162" i="2"/>
  <c r="AH162" i="2" s="1"/>
  <c r="AB162" i="2"/>
  <c r="AG162" i="2" s="1"/>
  <c r="AE162" i="2"/>
  <c r="AD162" i="2"/>
  <c r="Z247" i="2"/>
  <c r="AC247" i="2"/>
  <c r="AH247" i="2" s="1"/>
  <c r="AJ247" i="2"/>
  <c r="AB247" i="2"/>
  <c r="AG247" i="2" s="1"/>
  <c r="AD247" i="2"/>
  <c r="AA247" i="2"/>
  <c r="AE247" i="2"/>
  <c r="Z100" i="2"/>
  <c r="R245" i="2"/>
  <c r="S245" i="2"/>
  <c r="AB292" i="2"/>
  <c r="AG292" i="2" s="1"/>
  <c r="AJ292" i="2"/>
  <c r="Z292" i="2"/>
  <c r="AE292" i="2"/>
  <c r="AC292" i="2"/>
  <c r="AH292" i="2" s="1"/>
  <c r="AA292" i="2"/>
  <c r="AD292" i="2"/>
  <c r="AA65" i="2"/>
  <c r="AO211" i="2"/>
  <c r="AN211" i="2"/>
  <c r="AE76" i="2"/>
  <c r="AD76" i="2"/>
  <c r="AJ76" i="2"/>
  <c r="Z76" i="2"/>
  <c r="AB76" i="2"/>
  <c r="AG76" i="2" s="1"/>
  <c r="AC76" i="2"/>
  <c r="AH76" i="2" s="1"/>
  <c r="AA76" i="2"/>
  <c r="S288" i="2"/>
  <c r="R288" i="2"/>
  <c r="AE277" i="2"/>
  <c r="AB277" i="2"/>
  <c r="AG277" i="2" s="1"/>
  <c r="Z277" i="2"/>
  <c r="AC277" i="2"/>
  <c r="AH277" i="2" s="1"/>
  <c r="AD277" i="2"/>
  <c r="AA277" i="2"/>
  <c r="AJ277" i="2"/>
  <c r="R252" i="2"/>
  <c r="S252" i="2"/>
  <c r="AE171" i="2"/>
  <c r="AC86" i="2"/>
  <c r="AH86" i="2" s="1"/>
  <c r="AE86" i="2"/>
  <c r="AJ86" i="2"/>
  <c r="Z86" i="2"/>
  <c r="AB86" i="2"/>
  <c r="AG86" i="2" s="1"/>
  <c r="AD86" i="2"/>
  <c r="AA86" i="2"/>
  <c r="S149" i="2"/>
  <c r="R149" i="2"/>
  <c r="AA13" i="15" a="1"/>
  <c r="AA2" i="15" a="1"/>
  <c r="AA8" i="15" a="1"/>
  <c r="AA31" i="15" a="1"/>
  <c r="AA20" i="15" a="1"/>
  <c r="AA41" i="15" a="1"/>
  <c r="AA30" i="15" a="1"/>
  <c r="AA34" i="15" a="1"/>
  <c r="AA23" i="15" a="1"/>
  <c r="AA44" i="15" a="1"/>
  <c r="AA25" i="15" a="1"/>
  <c r="AA18" i="15" a="1"/>
  <c r="AC18" i="8" a="1"/>
  <c r="AA38" i="15" a="1"/>
  <c r="AK55" i="15" a="1"/>
  <c r="Z54" i="15" a="1"/>
  <c r="Z64" i="15" a="1"/>
  <c r="AA26" i="15" a="1"/>
  <c r="AH60" i="15" a="1"/>
  <c r="AA7" i="15" a="1"/>
  <c r="AA47" i="15" a="1"/>
  <c r="AA40" i="15" a="1"/>
  <c r="AK62" i="15" a="1"/>
  <c r="AI61" i="15" a="1"/>
  <c r="Z56" i="15" a="1"/>
  <c r="Z67" i="15" a="1"/>
  <c r="AK65" i="15" a="1"/>
  <c r="AA6" i="15" a="1"/>
  <c r="AA11" i="15" a="1"/>
  <c r="AA46" i="15" a="1"/>
  <c r="AA49" i="15" a="1"/>
  <c r="AA4" i="15" a="1"/>
  <c r="AK58" i="15" a="1"/>
  <c r="AH61" i="15" a="1"/>
  <c r="Z68" i="15" a="1"/>
  <c r="Z57" i="15" a="1"/>
  <c r="AA12" i="15" a="1"/>
  <c r="AA17" i="15" a="1"/>
  <c r="AA35" i="15" a="1"/>
  <c r="AA42" i="15" a="1"/>
  <c r="AA33" i="15" a="1"/>
  <c r="AA52" i="15" a="1"/>
  <c r="AA45" i="15" a="1"/>
  <c r="AK64" i="15" a="1"/>
  <c r="AK71" i="15" a="1"/>
  <c r="AA14" i="15" a="1"/>
  <c r="AK60" i="15" a="1"/>
  <c r="Z66" i="15" a="1"/>
  <c r="AA39" i="15" a="1"/>
  <c r="AA50" i="15" a="1"/>
  <c r="Z70" i="15" a="1"/>
  <c r="AK67" i="15" a="1"/>
  <c r="Z55" i="15" a="1"/>
  <c r="AK68" i="15" a="1"/>
  <c r="AA10" i="15" a="1"/>
  <c r="AJ61" i="15" a="1"/>
  <c r="AA22" i="15" a="1"/>
  <c r="AA9" i="15" a="1"/>
  <c r="AK66" i="15" a="1"/>
  <c r="Z58" i="15" a="1"/>
  <c r="AI60" i="15" a="1"/>
  <c r="Z69" i="15" a="1"/>
  <c r="AA19" i="15" a="1"/>
  <c r="AA53" i="15" a="1"/>
  <c r="AA43" i="15" a="1"/>
  <c r="AA29" i="15" a="1"/>
  <c r="Z60" i="15" a="1"/>
  <c r="AK63" i="15" a="1"/>
  <c r="AJ60" i="15" a="1"/>
  <c r="Z71" i="15" a="1"/>
  <c r="AA36" i="15" a="1"/>
  <c r="AA27" i="15" a="1"/>
  <c r="AA32" i="15" a="1"/>
  <c r="Z62" i="15" a="1"/>
  <c r="AA21" i="15" a="1"/>
  <c r="AA16" i="15" a="1"/>
  <c r="AA28" i="15" a="1"/>
  <c r="AA15" i="15" a="1"/>
  <c r="Z63" i="15" a="1"/>
  <c r="AK70" i="15" a="1"/>
  <c r="Z61" i="15" a="1"/>
  <c r="AA48" i="15" a="1"/>
  <c r="AA37" i="15" a="1"/>
  <c r="AK57" i="15" a="1"/>
  <c r="Z59" i="15" a="1"/>
  <c r="AA24" i="15" a="1"/>
  <c r="AK56" i="15" a="1"/>
  <c r="AK54" i="15" a="1"/>
  <c r="Z65" i="15" a="1"/>
  <c r="AA51" i="15" a="1"/>
  <c r="AA5" i="15" a="1"/>
  <c r="AK69" i="15" a="1"/>
  <c r="AK59" i="15" a="1"/>
  <c r="AK61" i="15" a="1"/>
  <c r="AF69" i="15" a="1"/>
  <c r="AJ59" i="15" a="1"/>
  <c r="AJ66" i="15" a="1"/>
  <c r="AJ68" i="15" a="1"/>
  <c r="AI71" i="15" a="1"/>
  <c r="AH69" i="15" a="1"/>
  <c r="AI62" i="15" a="1"/>
  <c r="AH58" i="15" a="1"/>
  <c r="AJ67" i="15" a="1"/>
  <c r="AH67" i="15" a="1"/>
  <c r="AH55" i="15" a="1"/>
  <c r="AI58" i="15" a="1"/>
  <c r="AJ64" i="15" a="1"/>
  <c r="AI65" i="15" a="1"/>
  <c r="AH62" i="15" a="1"/>
  <c r="AI68" i="15" a="1"/>
  <c r="AH54" i="15" a="1"/>
  <c r="AJ56" i="15" a="1"/>
  <c r="AI70" i="15" a="1"/>
  <c r="AI64" i="15" a="1"/>
  <c r="AH66" i="15" a="1"/>
  <c r="AJ70" i="15" a="1"/>
  <c r="AH56" i="15" a="1"/>
  <c r="AJ55" i="15" a="1"/>
  <c r="AH71" i="15" a="1"/>
  <c r="AI54" i="15" a="1"/>
  <c r="AJ57" i="15" a="1"/>
  <c r="AJ54" i="15" a="1"/>
  <c r="AI55" i="15" a="1"/>
  <c r="AI59" i="15" a="1"/>
  <c r="AJ62" i="15" a="1"/>
  <c r="AH57" i="15" a="1"/>
  <c r="AI66" i="15" a="1"/>
  <c r="AH70" i="15" a="1"/>
  <c r="AF62" i="15" a="1"/>
  <c r="AJ58" i="15" a="1"/>
  <c r="AI56" i="15" a="1"/>
  <c r="AJ65" i="15" a="1"/>
  <c r="AI57" i="15" a="1"/>
  <c r="AI67" i="15" a="1"/>
  <c r="AI69" i="15" a="1"/>
  <c r="AF56" i="15" a="1"/>
  <c r="AJ71" i="15" a="1"/>
  <c r="AF55" i="15" a="1"/>
  <c r="AF53" i="15" a="1"/>
  <c r="AF68" i="15" a="1"/>
  <c r="AF58" i="15" a="1"/>
  <c r="AF60" i="15" a="1"/>
  <c r="AF64" i="15" a="1"/>
  <c r="AJ63" i="15" a="1"/>
  <c r="AF54" i="15" a="1"/>
  <c r="AH68" i="15" a="1"/>
  <c r="AH65" i="15" a="1"/>
  <c r="AF61" i="15" a="1"/>
  <c r="AF57" i="15" a="1"/>
  <c r="AJ69" i="15" a="1"/>
  <c r="AF63" i="15" a="1"/>
  <c r="AH59" i="15" a="1"/>
  <c r="AF70" i="15" a="1"/>
  <c r="AF65" i="15" a="1"/>
  <c r="AI63" i="15" a="1"/>
  <c r="AF59" i="15" a="1"/>
  <c r="AH64" i="15" a="1"/>
  <c r="AF67" i="15" a="1"/>
  <c r="AF66" i="15" a="1"/>
  <c r="AH63" i="15" a="1"/>
  <c r="AC7" i="8" a="1"/>
  <c r="AC12" i="8" a="1"/>
  <c r="AC15" i="8" a="1"/>
  <c r="AC42" i="8" a="1"/>
  <c r="AC5" i="8" a="1"/>
  <c r="AC40" i="8" a="1"/>
  <c r="AC28" i="8" a="1"/>
  <c r="AC6" i="8" a="1"/>
  <c r="AC13" i="8" a="1"/>
  <c r="AC36" i="8" a="1"/>
  <c r="AC11" i="8" a="1"/>
  <c r="AC29" i="8" a="1"/>
  <c r="AC10" i="8" a="1"/>
  <c r="AC25" i="8" a="1"/>
  <c r="AC14" i="8" a="1"/>
  <c r="AC33" i="8" a="1"/>
  <c r="AC41" i="8" a="1"/>
  <c r="AC30" i="8" a="1"/>
  <c r="AC4" i="8" a="1"/>
  <c r="AC47" i="8" a="1"/>
  <c r="AC45" i="8" a="1"/>
  <c r="AC19" i="8" a="1"/>
  <c r="AC22" i="8" a="1"/>
  <c r="AC16" i="8" a="1"/>
  <c r="AC17" i="8" a="1"/>
  <c r="AF152" i="2" l="1"/>
  <c r="AF150" i="2"/>
  <c r="AN150" i="2"/>
  <c r="AO276" i="2"/>
  <c r="AF220" i="2"/>
  <c r="AA13" i="15"/>
  <c r="AA20" i="15"/>
  <c r="AA31" i="15"/>
  <c r="AA8" i="15"/>
  <c r="AA2" i="15"/>
  <c r="AK61" i="15"/>
  <c r="AK59" i="15"/>
  <c r="AK69" i="15"/>
  <c r="AA5" i="15"/>
  <c r="AA51" i="15"/>
  <c r="Z65" i="15"/>
  <c r="AK54" i="15"/>
  <c r="AK56" i="15"/>
  <c r="AA24" i="15"/>
  <c r="Z59" i="15"/>
  <c r="AK57" i="15"/>
  <c r="AA37" i="15"/>
  <c r="AA48" i="15"/>
  <c r="Z61" i="15"/>
  <c r="AK70" i="15"/>
  <c r="Z63" i="15"/>
  <c r="AA15" i="15"/>
  <c r="AA28" i="15"/>
  <c r="AA16" i="15"/>
  <c r="AA21" i="15"/>
  <c r="Z62" i="15"/>
  <c r="AA32" i="15"/>
  <c r="AA27" i="15"/>
  <c r="AA36" i="15"/>
  <c r="Z71" i="15"/>
  <c r="AJ60" i="15"/>
  <c r="AK63" i="15"/>
  <c r="Z60" i="15"/>
  <c r="AA29" i="15"/>
  <c r="AA43" i="15"/>
  <c r="AA53" i="15"/>
  <c r="AA19" i="15"/>
  <c r="Z69" i="15"/>
  <c r="AI60" i="15"/>
  <c r="Z58" i="15"/>
  <c r="AK66" i="15"/>
  <c r="AA9" i="15"/>
  <c r="AA22" i="15"/>
  <c r="AJ61" i="15"/>
  <c r="AA10" i="15"/>
  <c r="AK68" i="15"/>
  <c r="Z55" i="15"/>
  <c r="AK67" i="15"/>
  <c r="Z70" i="15"/>
  <c r="AA50" i="15"/>
  <c r="AA39" i="15"/>
  <c r="Z66" i="15"/>
  <c r="AK60" i="15"/>
  <c r="AA14" i="15"/>
  <c r="AK71" i="15"/>
  <c r="AK64" i="15"/>
  <c r="AA45" i="15"/>
  <c r="AA52" i="15"/>
  <c r="AA33" i="15"/>
  <c r="AA42" i="15"/>
  <c r="AA35" i="15"/>
  <c r="AA17" i="15"/>
  <c r="AA12" i="15"/>
  <c r="Z57" i="15"/>
  <c r="Z68" i="15"/>
  <c r="AH61" i="15"/>
  <c r="AK58" i="15"/>
  <c r="AA4" i="15"/>
  <c r="AA49" i="15"/>
  <c r="AA46" i="15"/>
  <c r="AA11" i="15"/>
  <c r="AA6" i="15"/>
  <c r="AK65" i="15"/>
  <c r="Z67" i="15"/>
  <c r="Z56" i="15"/>
  <c r="AI61" i="15"/>
  <c r="AK62" i="15"/>
  <c r="AA40" i="15"/>
  <c r="AA47" i="15"/>
  <c r="AA7" i="15"/>
  <c r="AH60" i="15"/>
  <c r="AA26" i="15"/>
  <c r="Z64" i="15"/>
  <c r="Z54" i="15"/>
  <c r="AK55" i="15"/>
  <c r="AA38" i="15"/>
  <c r="AC18" i="8"/>
  <c r="AA18" i="15"/>
  <c r="AA25" i="15"/>
  <c r="AA44" i="15"/>
  <c r="AA23" i="15"/>
  <c r="AA34" i="15"/>
  <c r="AA30" i="15"/>
  <c r="AA41" i="15"/>
  <c r="AH63" i="15"/>
  <c r="AF66" i="15"/>
  <c r="AF67" i="15"/>
  <c r="AH64" i="15"/>
  <c r="AF59" i="15"/>
  <c r="AI63" i="15"/>
  <c r="AF65" i="15"/>
  <c r="AF70" i="15"/>
  <c r="AH59" i="15"/>
  <c r="AF63" i="15"/>
  <c r="AJ69" i="15"/>
  <c r="AF57" i="15"/>
  <c r="AF61" i="15"/>
  <c r="AH65" i="15"/>
  <c r="AH68" i="15"/>
  <c r="AF54" i="15"/>
  <c r="AJ63" i="15"/>
  <c r="AF64" i="15"/>
  <c r="AF60" i="15"/>
  <c r="AF58" i="15"/>
  <c r="AF68" i="15"/>
  <c r="AF53" i="15"/>
  <c r="AF55" i="15"/>
  <c r="AJ71" i="15"/>
  <c r="AF56" i="15"/>
  <c r="AI69" i="15"/>
  <c r="AI67" i="15"/>
  <c r="AI57" i="15"/>
  <c r="AJ65" i="15"/>
  <c r="AI56" i="15"/>
  <c r="AJ58" i="15"/>
  <c r="AF62" i="15"/>
  <c r="AH70" i="15"/>
  <c r="AI66" i="15"/>
  <c r="AH57" i="15"/>
  <c r="AJ62" i="15"/>
  <c r="AI59" i="15"/>
  <c r="AI55" i="15"/>
  <c r="AJ54" i="15"/>
  <c r="AJ57" i="15"/>
  <c r="AI54" i="15"/>
  <c r="AH71" i="15"/>
  <c r="AJ55" i="15"/>
  <c r="AH56" i="15"/>
  <c r="AJ70" i="15"/>
  <c r="AH66" i="15"/>
  <c r="AI64" i="15"/>
  <c r="AI70" i="15"/>
  <c r="AJ56" i="15"/>
  <c r="AH54" i="15"/>
  <c r="AI68" i="15"/>
  <c r="AH62" i="15"/>
  <c r="AI65" i="15"/>
  <c r="AJ64" i="15"/>
  <c r="AI58" i="15"/>
  <c r="AH55" i="15"/>
  <c r="AH67" i="15"/>
  <c r="AJ67" i="15"/>
  <c r="AH58" i="15"/>
  <c r="AI62" i="15"/>
  <c r="AH69" i="15"/>
  <c r="AI71" i="15"/>
  <c r="AJ68" i="15"/>
  <c r="AJ66" i="15"/>
  <c r="AJ59" i="15"/>
  <c r="AF69" i="15"/>
  <c r="AG63" i="2"/>
  <c r="AG64" i="2"/>
  <c r="AH63" i="2"/>
  <c r="AG59" i="2"/>
  <c r="AG65" i="2"/>
  <c r="AN63" i="2"/>
  <c r="AG68" i="2"/>
  <c r="AI63" i="2"/>
  <c r="AF71" i="2"/>
  <c r="AH69" i="2"/>
  <c r="L12" i="11"/>
  <c r="AH57" i="2"/>
  <c r="AO59" i="2"/>
  <c r="AH56" i="2"/>
  <c r="AF58" i="2"/>
  <c r="AG70" i="2"/>
  <c r="AH66" i="2"/>
  <c r="AG57" i="2"/>
  <c r="AI62" i="2"/>
  <c r="AO69" i="2"/>
  <c r="AH59" i="2"/>
  <c r="AH55" i="2"/>
  <c r="AI57" i="2"/>
  <c r="AH54" i="2"/>
  <c r="AF69" i="2"/>
  <c r="AF63" i="2"/>
  <c r="AG71" i="2"/>
  <c r="AF55" i="2"/>
  <c r="AG56" i="2"/>
  <c r="AI69" i="2"/>
  <c r="AG66" i="2"/>
  <c r="AH64" i="2"/>
  <c r="AH70" i="2"/>
  <c r="AF56" i="2"/>
  <c r="AG54" i="2"/>
  <c r="AH68" i="2"/>
  <c r="AG62" i="2"/>
  <c r="AH65" i="2"/>
  <c r="AI64" i="2"/>
  <c r="AH58" i="2"/>
  <c r="AG55" i="2"/>
  <c r="AH32" i="11"/>
  <c r="L11" i="11"/>
  <c r="AG58" i="2"/>
  <c r="AH62" i="2"/>
  <c r="AG69" i="2"/>
  <c r="AH71" i="2"/>
  <c r="AF68" i="2"/>
  <c r="AI66" i="2"/>
  <c r="AI59" i="2"/>
  <c r="AC17" i="8"/>
  <c r="AC16" i="8"/>
  <c r="AC22" i="8"/>
  <c r="AC19" i="8"/>
  <c r="AC45" i="8"/>
  <c r="AC47" i="8"/>
  <c r="AC4" i="8"/>
  <c r="AC30" i="8"/>
  <c r="AC41" i="8"/>
  <c r="AC33" i="8"/>
  <c r="AC14" i="8"/>
  <c r="AC25" i="8"/>
  <c r="AC10" i="8"/>
  <c r="AC29" i="8"/>
  <c r="AC11" i="8"/>
  <c r="AC36" i="8"/>
  <c r="AC13" i="8"/>
  <c r="AC6" i="8"/>
  <c r="AC28" i="8"/>
  <c r="AC40" i="8"/>
  <c r="AC5" i="8"/>
  <c r="AC42" i="8"/>
  <c r="AC15" i="8"/>
  <c r="AC12" i="8"/>
  <c r="AC7" i="8"/>
  <c r="AO121" i="2"/>
  <c r="AN214" i="2"/>
  <c r="AO161" i="2"/>
  <c r="AF141" i="2"/>
  <c r="AO134" i="2"/>
  <c r="AO88" i="2"/>
  <c r="AF111" i="2"/>
  <c r="AN154" i="2"/>
  <c r="AF215" i="2"/>
  <c r="AN215" i="2"/>
  <c r="AI253" i="2"/>
  <c r="AF139" i="2"/>
  <c r="AO236" i="2"/>
  <c r="AI176" i="2"/>
  <c r="AN71" i="2"/>
  <c r="AF194" i="2"/>
  <c r="AN94" i="2"/>
  <c r="AN280" i="2"/>
  <c r="AF80" i="2"/>
  <c r="AI145" i="2"/>
  <c r="AI89" i="2"/>
  <c r="AN145" i="2"/>
  <c r="AO145" i="2"/>
  <c r="AN81" i="2"/>
  <c r="AN253" i="2"/>
  <c r="AF94" i="2"/>
  <c r="AO89" i="2"/>
  <c r="AN107" i="2"/>
  <c r="AF295" i="2"/>
  <c r="AO216" i="2"/>
  <c r="AO159" i="2"/>
  <c r="AI137" i="2"/>
  <c r="AF274" i="2"/>
  <c r="AF82" i="2"/>
  <c r="AN104" i="2"/>
  <c r="AO137" i="2"/>
  <c r="AI240" i="2"/>
  <c r="AF127" i="2"/>
  <c r="AF146" i="2"/>
  <c r="AN246" i="2"/>
  <c r="AF266" i="2"/>
  <c r="AF143" i="2"/>
  <c r="AI154" i="2"/>
  <c r="AN229" i="2"/>
  <c r="AN155" i="2"/>
  <c r="AO146" i="2"/>
  <c r="AF211" i="2"/>
  <c r="AO295" i="2"/>
  <c r="AF212" i="2"/>
  <c r="AI155" i="2"/>
  <c r="AN188" i="2"/>
  <c r="AI259" i="2"/>
  <c r="AI278" i="2"/>
  <c r="AO176" i="2"/>
  <c r="AI136" i="2"/>
  <c r="AI129" i="2"/>
  <c r="AN62" i="2"/>
  <c r="AF62" i="2"/>
  <c r="AI179" i="2"/>
  <c r="AI107" i="2"/>
  <c r="AO259" i="2"/>
  <c r="AF192" i="2"/>
  <c r="AF254" i="2"/>
  <c r="AN130" i="2"/>
  <c r="AO115" i="2"/>
  <c r="AF204" i="2"/>
  <c r="AI58" i="2"/>
  <c r="AN128" i="2"/>
  <c r="AI157" i="2"/>
  <c r="AN204" i="2"/>
  <c r="AF276" i="2"/>
  <c r="AO112" i="2"/>
  <c r="AN173" i="2"/>
  <c r="AI159" i="2"/>
  <c r="AO64" i="2"/>
  <c r="AO194" i="2"/>
  <c r="AO239" i="2"/>
  <c r="AI173" i="2"/>
  <c r="AI115" i="2"/>
  <c r="AN279" i="2"/>
  <c r="AI224" i="2"/>
  <c r="AN129" i="2"/>
  <c r="AO278" i="2"/>
  <c r="AI104" i="2"/>
  <c r="AN254" i="2"/>
  <c r="AN157" i="2"/>
  <c r="AI280" i="2"/>
  <c r="AN220" i="2"/>
  <c r="AN127" i="2"/>
  <c r="AF130" i="2"/>
  <c r="AI128" i="2"/>
  <c r="AO126" i="2"/>
  <c r="AI239" i="2"/>
  <c r="AF81" i="2"/>
  <c r="AI221" i="2"/>
  <c r="AO105" i="2"/>
  <c r="AF133" i="2"/>
  <c r="AO267" i="2"/>
  <c r="AO133" i="2"/>
  <c r="AF105" i="2"/>
  <c r="AI105" i="2"/>
  <c r="AO212" i="2"/>
  <c r="AI291" i="2"/>
  <c r="AO221" i="2"/>
  <c r="AF214" i="2"/>
  <c r="AF151" i="2"/>
  <c r="AO82" i="2"/>
  <c r="AN151" i="2"/>
  <c r="AO111" i="2"/>
  <c r="AN111" i="2"/>
  <c r="AN57" i="2"/>
  <c r="AO84" i="2"/>
  <c r="AI68" i="2"/>
  <c r="AO87" i="2"/>
  <c r="AO268" i="2"/>
  <c r="AO58" i="2"/>
  <c r="AF123" i="2"/>
  <c r="AF112" i="2"/>
  <c r="AF57" i="2"/>
  <c r="AI209" i="2"/>
  <c r="AI92" i="2"/>
  <c r="AF91" i="2"/>
  <c r="AO143" i="2"/>
  <c r="AI279" i="2"/>
  <c r="AN123" i="2"/>
  <c r="AI229" i="2"/>
  <c r="AI207" i="2"/>
  <c r="AO291" i="2"/>
  <c r="AJ234" i="2"/>
  <c r="AN234" i="2" s="1"/>
  <c r="AO68" i="2"/>
  <c r="AO209" i="2"/>
  <c r="Z234" i="2"/>
  <c r="AF246" i="2"/>
  <c r="AA234" i="2"/>
  <c r="AC234" i="2"/>
  <c r="AH234" i="2" s="1"/>
  <c r="AF88" i="2"/>
  <c r="AO293" i="2"/>
  <c r="AD234" i="2"/>
  <c r="AO177" i="2"/>
  <c r="AN92" i="2"/>
  <c r="AF216" i="2"/>
  <c r="AF241" i="2"/>
  <c r="AO241" i="2"/>
  <c r="AI302" i="2"/>
  <c r="AO192" i="2"/>
  <c r="AO255" i="2"/>
  <c r="AN136" i="2"/>
  <c r="AI148" i="2"/>
  <c r="AN91" i="2"/>
  <c r="AF126" i="2"/>
  <c r="AI261" i="2"/>
  <c r="AO208" i="2"/>
  <c r="AI99" i="2"/>
  <c r="AN224" i="2"/>
  <c r="AF64" i="2"/>
  <c r="AO261" i="2"/>
  <c r="AF177" i="2"/>
  <c r="AE234" i="2"/>
  <c r="AF234" i="2" s="1"/>
  <c r="AO175" i="2"/>
  <c r="AO240" i="2"/>
  <c r="AI228" i="2"/>
  <c r="AO296" i="2"/>
  <c r="AN148" i="2"/>
  <c r="AN228" i="2"/>
  <c r="AI167" i="2"/>
  <c r="AN290" i="2"/>
  <c r="AF236" i="2"/>
  <c r="Z93" i="2"/>
  <c r="AC93" i="2"/>
  <c r="AH93" i="2" s="1"/>
  <c r="AI268" i="2"/>
  <c r="AI208" i="2"/>
  <c r="AI84" i="2"/>
  <c r="AF114" i="2"/>
  <c r="AO302" i="2"/>
  <c r="AN167" i="2"/>
  <c r="AF256" i="2"/>
  <c r="AF225" i="2"/>
  <c r="AI195" i="2"/>
  <c r="AI244" i="2"/>
  <c r="AN217" i="2"/>
  <c r="AF122" i="2"/>
  <c r="AI56" i="2"/>
  <c r="AF285" i="2"/>
  <c r="AO273" i="2"/>
  <c r="AI260" i="2"/>
  <c r="AF265" i="2"/>
  <c r="AO284" i="2"/>
  <c r="AN141" i="2"/>
  <c r="AO265" i="2"/>
  <c r="AI169" i="2"/>
  <c r="AI293" i="2"/>
  <c r="AF106" i="2"/>
  <c r="AF163" i="2"/>
  <c r="AI158" i="2"/>
  <c r="AN98" i="2"/>
  <c r="AF218" i="2"/>
  <c r="AN274" i="2"/>
  <c r="AI296" i="2"/>
  <c r="AI98" i="2"/>
  <c r="AO195" i="2"/>
  <c r="AI255" i="2"/>
  <c r="AF191" i="2"/>
  <c r="AN213" i="2"/>
  <c r="AF284" i="2"/>
  <c r="AI153" i="2"/>
  <c r="AN191" i="2"/>
  <c r="AN113" i="2"/>
  <c r="AI186" i="2"/>
  <c r="AI178" i="2"/>
  <c r="AI96" i="2"/>
  <c r="AI182" i="2"/>
  <c r="AO114" i="2"/>
  <c r="AC281" i="2"/>
  <c r="AH281" i="2" s="1"/>
  <c r="AI193" i="2"/>
  <c r="AO186" i="2"/>
  <c r="AI67" i="2"/>
  <c r="AD36" i="11" s="1"/>
  <c r="AE36" i="11" s="1"/>
  <c r="AF132" i="2"/>
  <c r="AN260" i="2"/>
  <c r="AN222" i="2"/>
  <c r="AO179" i="2"/>
  <c r="AI140" i="2"/>
  <c r="AD93" i="2"/>
  <c r="AN67" i="2"/>
  <c r="P24" i="11" s="1"/>
  <c r="AE93" i="2"/>
  <c r="AI93" i="2" s="1"/>
  <c r="AI290" i="2"/>
  <c r="AB93" i="2"/>
  <c r="AG93" i="2" s="1"/>
  <c r="Z74" i="2"/>
  <c r="AI54" i="2"/>
  <c r="AF54" i="2"/>
  <c r="AI200" i="2"/>
  <c r="AO218" i="2"/>
  <c r="AJ93" i="2"/>
  <c r="AN93" i="2" s="1"/>
  <c r="AO96" i="2"/>
  <c r="AF267" i="2"/>
  <c r="AF273" i="2"/>
  <c r="AO283" i="2"/>
  <c r="AI124" i="2"/>
  <c r="AI223" i="2"/>
  <c r="AI283" i="2"/>
  <c r="AN223" i="2"/>
  <c r="AI90" i="2"/>
  <c r="AF90" i="2"/>
  <c r="AO225" i="2"/>
  <c r="AO164" i="2"/>
  <c r="AI187" i="2"/>
  <c r="AF67" i="2"/>
  <c r="AF201" i="2"/>
  <c r="AN182" i="2"/>
  <c r="AN158" i="2"/>
  <c r="AH36" i="11"/>
  <c r="AO90" i="2"/>
  <c r="AN90" i="2"/>
  <c r="AI100" i="2"/>
  <c r="AO233" i="2"/>
  <c r="AI120" i="2"/>
  <c r="AN140" i="2"/>
  <c r="AN122" i="2"/>
  <c r="AN56" i="2"/>
  <c r="AF213" i="2"/>
  <c r="AI213" i="2"/>
  <c r="AI248" i="2"/>
  <c r="AI174" i="2"/>
  <c r="AH37" i="11"/>
  <c r="AN124" i="2"/>
  <c r="AO124" i="2"/>
  <c r="AJ257" i="2"/>
  <c r="AO257" i="2" s="1"/>
  <c r="AB172" i="2"/>
  <c r="AG172" i="2" s="1"/>
  <c r="AF294" i="2"/>
  <c r="AN97" i="2"/>
  <c r="AO97" i="2"/>
  <c r="AH67" i="2"/>
  <c r="K12" i="11" s="1"/>
  <c r="AN132" i="2"/>
  <c r="AI113" i="2"/>
  <c r="AI233" i="2"/>
  <c r="AF197" i="2"/>
  <c r="AN244" i="2"/>
  <c r="AF95" i="2"/>
  <c r="AO256" i="2"/>
  <c r="AN256" i="2"/>
  <c r="AI222" i="2"/>
  <c r="AI188" i="2"/>
  <c r="L10" i="11"/>
  <c r="AN304" i="2"/>
  <c r="AO289" i="2"/>
  <c r="AG67" i="2"/>
  <c r="AF32" i="11" s="1"/>
  <c r="AN163" i="2"/>
  <c r="AO248" i="2"/>
  <c r="AO95" i="2"/>
  <c r="AN120" i="2"/>
  <c r="AO193" i="2"/>
  <c r="AO178" i="2"/>
  <c r="AN165" i="2"/>
  <c r="AO201" i="2"/>
  <c r="AN294" i="2"/>
  <c r="AF97" i="2"/>
  <c r="AI97" i="2"/>
  <c r="AF131" i="2"/>
  <c r="AI131" i="2"/>
  <c r="AF199" i="2"/>
  <c r="AI199" i="2"/>
  <c r="AF217" i="2"/>
  <c r="AI217" i="2"/>
  <c r="AN169" i="2"/>
  <c r="AO169" i="2"/>
  <c r="AN77" i="2"/>
  <c r="AO83" i="2"/>
  <c r="AN83" i="2"/>
  <c r="AN275" i="2"/>
  <c r="AF83" i="2"/>
  <c r="AI83" i="2"/>
  <c r="AN174" i="2"/>
  <c r="AO174" i="2"/>
  <c r="AO300" i="2"/>
  <c r="AN300" i="2"/>
  <c r="AN298" i="2"/>
  <c r="AO298" i="2"/>
  <c r="AI55" i="2"/>
  <c r="AF165" i="2"/>
  <c r="AI165" i="2"/>
  <c r="AI298" i="2"/>
  <c r="AF298" i="2"/>
  <c r="AA226" i="2"/>
  <c r="AJ172" i="2"/>
  <c r="AO172" i="2" s="1"/>
  <c r="AJ226" i="2"/>
  <c r="AN226" i="2" s="1"/>
  <c r="AC226" i="2"/>
  <c r="AH226" i="2" s="1"/>
  <c r="AO144" i="2"/>
  <c r="AO187" i="2"/>
  <c r="AF164" i="2"/>
  <c r="AB226" i="2"/>
  <c r="AG226" i="2" s="1"/>
  <c r="AI77" i="2"/>
  <c r="AF144" i="2"/>
  <c r="AC172" i="2"/>
  <c r="AH172" i="2" s="1"/>
  <c r="AE226" i="2"/>
  <c r="AF226" i="2" s="1"/>
  <c r="AE172" i="2"/>
  <c r="AI172" i="2" s="1"/>
  <c r="Z172" i="2"/>
  <c r="AN200" i="2"/>
  <c r="AA172" i="2"/>
  <c r="AN131" i="2"/>
  <c r="AO131" i="2"/>
  <c r="AN199" i="2"/>
  <c r="AO199" i="2"/>
  <c r="AF170" i="2"/>
  <c r="AI170" i="2"/>
  <c r="AN72" i="2"/>
  <c r="AO72" i="2"/>
  <c r="AF79" i="2"/>
  <c r="AO297" i="2"/>
  <c r="AN297" i="2"/>
  <c r="AO106" i="2"/>
  <c r="AO170" i="2"/>
  <c r="AN170" i="2"/>
  <c r="AF142" i="2"/>
  <c r="AI142" i="2"/>
  <c r="AF289" i="2"/>
  <c r="AD110" i="2"/>
  <c r="AO85" i="2"/>
  <c r="AN85" i="2"/>
  <c r="AI304" i="2"/>
  <c r="AO156" i="2"/>
  <c r="AJ74" i="2"/>
  <c r="AN74" i="2" s="1"/>
  <c r="AF300" i="2"/>
  <c r="AI300" i="2"/>
  <c r="AO142" i="2"/>
  <c r="AN142" i="2"/>
  <c r="AF134" i="2"/>
  <c r="AB281" i="2"/>
  <c r="AG281" i="2" s="1"/>
  <c r="AD226" i="2"/>
  <c r="AO66" i="2"/>
  <c r="AF72" i="2"/>
  <c r="AI72" i="2"/>
  <c r="Z110" i="2"/>
  <c r="AO230" i="2"/>
  <c r="AO65" i="2"/>
  <c r="AA257" i="2"/>
  <c r="AB110" i="2"/>
  <c r="AG110" i="2" s="1"/>
  <c r="AI303" i="2"/>
  <c r="AF303" i="2"/>
  <c r="AJ110" i="2"/>
  <c r="AN110" i="2" s="1"/>
  <c r="AD281" i="2"/>
  <c r="AA281" i="2"/>
  <c r="AF156" i="2"/>
  <c r="AF301" i="2"/>
  <c r="AI301" i="2"/>
  <c r="AA102" i="2"/>
  <c r="AC110" i="2"/>
  <c r="AH110" i="2" s="1"/>
  <c r="AO264" i="2"/>
  <c r="AN264" i="2"/>
  <c r="AJ281" i="2"/>
  <c r="AN281" i="2" s="1"/>
  <c r="AA110" i="2"/>
  <c r="AF85" i="2"/>
  <c r="AI85" i="2"/>
  <c r="AF297" i="2"/>
  <c r="AI297" i="2"/>
  <c r="AI264" i="2"/>
  <c r="AF264" i="2"/>
  <c r="AO207" i="2"/>
  <c r="AF275" i="2"/>
  <c r="AI275" i="2"/>
  <c r="AO301" i="2"/>
  <c r="AN301" i="2"/>
  <c r="AO197" i="2"/>
  <c r="AI206" i="2"/>
  <c r="AF206" i="2"/>
  <c r="AF66" i="2"/>
  <c r="AJ286" i="2"/>
  <c r="AN286" i="2" s="1"/>
  <c r="AI202" i="2"/>
  <c r="AN303" i="2"/>
  <c r="AO303" i="2"/>
  <c r="AJ102" i="2"/>
  <c r="AN102" i="2" s="1"/>
  <c r="AC257" i="2"/>
  <c r="AH257" i="2" s="1"/>
  <c r="AN206" i="2"/>
  <c r="AO206" i="2"/>
  <c r="AE102" i="2"/>
  <c r="AI102" i="2" s="1"/>
  <c r="AD102" i="2"/>
  <c r="AC102" i="2"/>
  <c r="AH102" i="2" s="1"/>
  <c r="AA205" i="2"/>
  <c r="AE205" i="2"/>
  <c r="AC205" i="2"/>
  <c r="AH205" i="2" s="1"/>
  <c r="AD205" i="2"/>
  <c r="Z205" i="2"/>
  <c r="AJ205" i="2"/>
  <c r="AB205" i="2"/>
  <c r="AG205" i="2" s="1"/>
  <c r="AA118" i="2"/>
  <c r="AD118" i="2"/>
  <c r="AC118" i="2"/>
  <c r="AH118" i="2" s="1"/>
  <c r="Z118" i="2"/>
  <c r="AE118" i="2"/>
  <c r="AB118" i="2"/>
  <c r="AG118" i="2" s="1"/>
  <c r="AJ118" i="2"/>
  <c r="Z281" i="2"/>
  <c r="AA198" i="2"/>
  <c r="AB198" i="2"/>
  <c r="AG198" i="2" s="1"/>
  <c r="AC198" i="2"/>
  <c r="AH198" i="2" s="1"/>
  <c r="AJ198" i="2"/>
  <c r="Z198" i="2"/>
  <c r="AE198" i="2"/>
  <c r="AD198" i="2"/>
  <c r="AO242" i="2"/>
  <c r="AN242" i="2"/>
  <c r="AN190" i="2"/>
  <c r="AO190" i="2"/>
  <c r="AI203" i="2"/>
  <c r="AF203" i="2"/>
  <c r="AN263" i="2"/>
  <c r="AO263" i="2"/>
  <c r="AN235" i="2"/>
  <c r="AO235" i="2"/>
  <c r="AO183" i="2"/>
  <c r="AN183" i="2"/>
  <c r="AN203" i="2"/>
  <c r="AO203" i="2"/>
  <c r="Z269" i="2"/>
  <c r="AJ269" i="2"/>
  <c r="AB269" i="2"/>
  <c r="AG269" i="2" s="1"/>
  <c r="AD269" i="2"/>
  <c r="AA269" i="2"/>
  <c r="AC269" i="2"/>
  <c r="AH269" i="2" s="1"/>
  <c r="AI125" i="2"/>
  <c r="AF125" i="2"/>
  <c r="AN219" i="2"/>
  <c r="AO219" i="2"/>
  <c r="AO184" i="2"/>
  <c r="AN184" i="2"/>
  <c r="AE269" i="2"/>
  <c r="AF189" i="2"/>
  <c r="AI189" i="2"/>
  <c r="AI258" i="2"/>
  <c r="AF258" i="2"/>
  <c r="AN125" i="2"/>
  <c r="AO125" i="2"/>
  <c r="AI219" i="2"/>
  <c r="AF219" i="2"/>
  <c r="AE281" i="2"/>
  <c r="AF281" i="2" s="1"/>
  <c r="AB102" i="2"/>
  <c r="AG102" i="2" s="1"/>
  <c r="AN180" i="2"/>
  <c r="AO180" i="2"/>
  <c r="AN119" i="2"/>
  <c r="AO119" i="2"/>
  <c r="AI183" i="2"/>
  <c r="AF183" i="2"/>
  <c r="AF109" i="2"/>
  <c r="AI109" i="2"/>
  <c r="AF263" i="2"/>
  <c r="AI263" i="2"/>
  <c r="AO202" i="2"/>
  <c r="AN202" i="2"/>
  <c r="AI108" i="2"/>
  <c r="AF108" i="2"/>
  <c r="AO189" i="2"/>
  <c r="AN189" i="2"/>
  <c r="AN282" i="2"/>
  <c r="AO282" i="2"/>
  <c r="AN109" i="2"/>
  <c r="AO109" i="2"/>
  <c r="AF235" i="2"/>
  <c r="AI235" i="2"/>
  <c r="AE74" i="2"/>
  <c r="AF74" i="2" s="1"/>
  <c r="AO135" i="2"/>
  <c r="AN135" i="2"/>
  <c r="AN79" i="2"/>
  <c r="AO79" i="2"/>
  <c r="AO232" i="2"/>
  <c r="AN232" i="2"/>
  <c r="AC74" i="2"/>
  <c r="AH74" i="2" s="1"/>
  <c r="AB185" i="2"/>
  <c r="AG185" i="2" s="1"/>
  <c r="AE185" i="2"/>
  <c r="AC185" i="2"/>
  <c r="AH185" i="2" s="1"/>
  <c r="AJ185" i="2"/>
  <c r="AA185" i="2"/>
  <c r="Z185" i="2"/>
  <c r="AD185" i="2"/>
  <c r="AF287" i="2"/>
  <c r="AI287" i="2"/>
  <c r="AI232" i="2"/>
  <c r="AF232" i="2"/>
  <c r="AF119" i="2"/>
  <c r="AI119" i="2"/>
  <c r="AF282" i="2"/>
  <c r="AI282" i="2"/>
  <c r="AD74" i="2"/>
  <c r="AO227" i="2"/>
  <c r="AN227" i="2"/>
  <c r="AN287" i="2"/>
  <c r="AO287" i="2"/>
  <c r="AF190" i="2"/>
  <c r="AI190" i="2"/>
  <c r="AO251" i="2"/>
  <c r="AN251" i="2"/>
  <c r="AB74" i="2"/>
  <c r="AG74" i="2" s="1"/>
  <c r="AA74" i="2"/>
  <c r="AC231" i="2"/>
  <c r="AH231" i="2" s="1"/>
  <c r="Z231" i="2"/>
  <c r="AJ231" i="2"/>
  <c r="AB231" i="2"/>
  <c r="AG231" i="2" s="1"/>
  <c r="AA231" i="2"/>
  <c r="AD231" i="2"/>
  <c r="AE231" i="2"/>
  <c r="AO258" i="2"/>
  <c r="AN258" i="2"/>
  <c r="AI180" i="2"/>
  <c r="AF180" i="2"/>
  <c r="AI251" i="2"/>
  <c r="AF251" i="2"/>
  <c r="AF184" i="2"/>
  <c r="AI184" i="2"/>
  <c r="AI135" i="2"/>
  <c r="AF135" i="2"/>
  <c r="AF227" i="2"/>
  <c r="AI227" i="2"/>
  <c r="AN108" i="2"/>
  <c r="AO108" i="2"/>
  <c r="AI242" i="2"/>
  <c r="AF242" i="2"/>
  <c r="AF65" i="2"/>
  <c r="AI65" i="2"/>
  <c r="AJ299" i="2"/>
  <c r="AC299" i="2"/>
  <c r="AH299" i="2" s="1"/>
  <c r="AD299" i="2"/>
  <c r="Z299" i="2"/>
  <c r="AA299" i="2"/>
  <c r="AB299" i="2"/>
  <c r="AG299" i="2" s="1"/>
  <c r="AE299" i="2"/>
  <c r="Z252" i="2"/>
  <c r="AC252" i="2"/>
  <c r="AH252" i="2" s="1"/>
  <c r="AA252" i="2"/>
  <c r="AE252" i="2"/>
  <c r="AD252" i="2"/>
  <c r="AB252" i="2"/>
  <c r="AG252" i="2" s="1"/>
  <c r="AJ252" i="2"/>
  <c r="AN78" i="2"/>
  <c r="AO78" i="2"/>
  <c r="AB149" i="2"/>
  <c r="AG149" i="2" s="1"/>
  <c r="AA149" i="2"/>
  <c r="AJ149" i="2"/>
  <c r="AC149" i="2"/>
  <c r="AH149" i="2" s="1"/>
  <c r="Z149" i="2"/>
  <c r="AE149" i="2"/>
  <c r="AD149" i="2"/>
  <c r="AN171" i="2"/>
  <c r="AO171" i="2"/>
  <c r="AI181" i="2"/>
  <c r="AF181" i="2"/>
  <c r="AN250" i="2"/>
  <c r="AO250" i="2"/>
  <c r="AB138" i="2"/>
  <c r="AG138" i="2" s="1"/>
  <c r="AA138" i="2"/>
  <c r="AJ138" i="2"/>
  <c r="Z138" i="2"/>
  <c r="AE138" i="2"/>
  <c r="AC138" i="2"/>
  <c r="AH138" i="2" s="1"/>
  <c r="AD138" i="2"/>
  <c r="AF250" i="2"/>
  <c r="AI250" i="2"/>
  <c r="AO243" i="2"/>
  <c r="AN243" i="2"/>
  <c r="AN277" i="2"/>
  <c r="AO277" i="2"/>
  <c r="AN247" i="2"/>
  <c r="AO247" i="2"/>
  <c r="AF243" i="2"/>
  <c r="AI243" i="2"/>
  <c r="AI166" i="2"/>
  <c r="AF166" i="2"/>
  <c r="AI270" i="2"/>
  <c r="AF270" i="2"/>
  <c r="AO270" i="2"/>
  <c r="AN270" i="2"/>
  <c r="AJ272" i="2"/>
  <c r="Z272" i="2"/>
  <c r="AC272" i="2"/>
  <c r="AH272" i="2" s="1"/>
  <c r="AA272" i="2"/>
  <c r="AD272" i="2"/>
  <c r="AB272" i="2"/>
  <c r="AG272" i="2" s="1"/>
  <c r="AE272" i="2"/>
  <c r="AO292" i="2"/>
  <c r="AN292" i="2"/>
  <c r="AO166" i="2"/>
  <c r="AN166" i="2"/>
  <c r="AI305" i="2"/>
  <c r="AF305" i="2"/>
  <c r="AE286" i="2"/>
  <c r="AC286" i="2"/>
  <c r="AH286" i="2" s="1"/>
  <c r="Z286" i="2"/>
  <c r="AB286" i="2"/>
  <c r="AG286" i="2" s="1"/>
  <c r="AA286" i="2"/>
  <c r="AD286" i="2"/>
  <c r="AI101" i="2"/>
  <c r="AF101" i="2"/>
  <c r="AI147" i="2"/>
  <c r="AF147" i="2"/>
  <c r="AJ238" i="2"/>
  <c r="AD238" i="2"/>
  <c r="AE238" i="2"/>
  <c r="AC238" i="2"/>
  <c r="AH238" i="2" s="1"/>
  <c r="AB238" i="2"/>
  <c r="AG238" i="2" s="1"/>
  <c r="Z238" i="2"/>
  <c r="AA238" i="2"/>
  <c r="AF116" i="2"/>
  <c r="AI116" i="2"/>
  <c r="AF103" i="2"/>
  <c r="AI103" i="2"/>
  <c r="AN305" i="2"/>
  <c r="AO305" i="2"/>
  <c r="AO101" i="2"/>
  <c r="AN101" i="2"/>
  <c r="AF292" i="2"/>
  <c r="AI292" i="2"/>
  <c r="AN117" i="2"/>
  <c r="AO117" i="2"/>
  <c r="AI117" i="2"/>
  <c r="AF117" i="2"/>
  <c r="AF76" i="2"/>
  <c r="AI76" i="2"/>
  <c r="AF162" i="2"/>
  <c r="AI162" i="2"/>
  <c r="AF277" i="2"/>
  <c r="AI277" i="2"/>
  <c r="AN76" i="2"/>
  <c r="AO76" i="2"/>
  <c r="AO70" i="2"/>
  <c r="AN70" i="2"/>
  <c r="AO100" i="2"/>
  <c r="AJ288" i="2"/>
  <c r="Z288" i="2"/>
  <c r="AA288" i="2"/>
  <c r="AD288" i="2"/>
  <c r="AE288" i="2"/>
  <c r="AC288" i="2"/>
  <c r="AH288" i="2" s="1"/>
  <c r="AB288" i="2"/>
  <c r="AG288" i="2" s="1"/>
  <c r="AI110" i="2"/>
  <c r="AF110" i="2"/>
  <c r="AN162" i="2"/>
  <c r="AO162" i="2"/>
  <c r="AN116" i="2"/>
  <c r="AO116" i="2"/>
  <c r="AI262" i="2"/>
  <c r="AF262" i="2"/>
  <c r="Z168" i="2"/>
  <c r="AB168" i="2"/>
  <c r="AG168" i="2" s="1"/>
  <c r="AJ168" i="2"/>
  <c r="AC168" i="2"/>
  <c r="AH168" i="2" s="1"/>
  <c r="AA168" i="2"/>
  <c r="AE168" i="2"/>
  <c r="AD168" i="2"/>
  <c r="AI70" i="2"/>
  <c r="AF70" i="2"/>
  <c r="AE257" i="2"/>
  <c r="AN86" i="2"/>
  <c r="AO86" i="2"/>
  <c r="AE245" i="2"/>
  <c r="AD245" i="2"/>
  <c r="AA245" i="2"/>
  <c r="Z245" i="2"/>
  <c r="AB245" i="2"/>
  <c r="AG245" i="2" s="1"/>
  <c r="AC245" i="2"/>
  <c r="AH245" i="2" s="1"/>
  <c r="AJ245" i="2"/>
  <c r="AF86" i="2"/>
  <c r="AI86" i="2"/>
  <c r="AO181" i="2"/>
  <c r="AN181" i="2"/>
  <c r="AN262" i="2"/>
  <c r="AO262" i="2"/>
  <c r="AB249" i="2"/>
  <c r="AG249" i="2" s="1"/>
  <c r="AE249" i="2"/>
  <c r="Z249" i="2"/>
  <c r="AJ249" i="2"/>
  <c r="AC249" i="2"/>
  <c r="AH249" i="2" s="1"/>
  <c r="AA249" i="2"/>
  <c r="AD249" i="2"/>
  <c r="AO196" i="2"/>
  <c r="AN196" i="2"/>
  <c r="AB257" i="2"/>
  <c r="AG257" i="2" s="1"/>
  <c r="AF237" i="2"/>
  <c r="AI237" i="2"/>
  <c r="Z257" i="2"/>
  <c r="AN147" i="2"/>
  <c r="AO147" i="2"/>
  <c r="AI171" i="2"/>
  <c r="AF171" i="2"/>
  <c r="AI196" i="2"/>
  <c r="AF196" i="2"/>
  <c r="AD257" i="2"/>
  <c r="AI78" i="2"/>
  <c r="AF78" i="2"/>
  <c r="AN103" i="2"/>
  <c r="AO103" i="2"/>
  <c r="AF247" i="2"/>
  <c r="AI247" i="2"/>
  <c r="AO237" i="2"/>
  <c r="AN237" i="2"/>
  <c r="AA69" i="15" a="1"/>
  <c r="AA58" i="15" a="1"/>
  <c r="AA65" i="15" a="1"/>
  <c r="AA56" i="15" a="1"/>
  <c r="AA60" i="15" a="1"/>
  <c r="AA68" i="15" a="1"/>
  <c r="AA63" i="15" a="1"/>
  <c r="AA54" i="15" a="1"/>
  <c r="AA62" i="15" a="1"/>
  <c r="AA67" i="15" a="1"/>
  <c r="AA71" i="15" a="1"/>
  <c r="AA59" i="15" a="1"/>
  <c r="AA55" i="15" a="1"/>
  <c r="AA57" i="15" a="1"/>
  <c r="AA70" i="15" a="1"/>
  <c r="AA61" i="15" a="1"/>
  <c r="AA66" i="15" a="1"/>
  <c r="AA64" i="15" a="1"/>
  <c r="AA64" i="15" l="1"/>
  <c r="AA66" i="15"/>
  <c r="AA61" i="15"/>
  <c r="AA70" i="15"/>
  <c r="AA57" i="15"/>
  <c r="AA55" i="15"/>
  <c r="AA59" i="15"/>
  <c r="AA71" i="15"/>
  <c r="AA67" i="15"/>
  <c r="AA62" i="15"/>
  <c r="AA54" i="15"/>
  <c r="AA63" i="15"/>
  <c r="AA68" i="15"/>
  <c r="AA60" i="15"/>
  <c r="AA56" i="15"/>
  <c r="AA65" i="15"/>
  <c r="AA58" i="15"/>
  <c r="AA69" i="15"/>
  <c r="AI234" i="2"/>
  <c r="AO234" i="2"/>
  <c r="K11" i="11"/>
  <c r="AI74" i="2"/>
  <c r="AF93" i="2"/>
  <c r="AO93" i="2"/>
  <c r="AO226" i="2"/>
  <c r="AO74" i="2"/>
  <c r="K10" i="11"/>
  <c r="AD37" i="11"/>
  <c r="AE37" i="11" s="1"/>
  <c r="AN257" i="2"/>
  <c r="AO281" i="2"/>
  <c r="AI226" i="2"/>
  <c r="AO286" i="2"/>
  <c r="AN172" i="2"/>
  <c r="AO102" i="2"/>
  <c r="AF172" i="2"/>
  <c r="AF102" i="2"/>
  <c r="AO110" i="2"/>
  <c r="AN118" i="2"/>
  <c r="AO118" i="2"/>
  <c r="AI118" i="2"/>
  <c r="AF118" i="2"/>
  <c r="AO269" i="2"/>
  <c r="AN269" i="2"/>
  <c r="AI281" i="2"/>
  <c r="AI231" i="2"/>
  <c r="AF231" i="2"/>
  <c r="AI198" i="2"/>
  <c r="AF198" i="2"/>
  <c r="AN198" i="2"/>
  <c r="AO198" i="2"/>
  <c r="AO185" i="2"/>
  <c r="AN185" i="2"/>
  <c r="AN205" i="2"/>
  <c r="AO205" i="2"/>
  <c r="AI185" i="2"/>
  <c r="AF185" i="2"/>
  <c r="AN231" i="2"/>
  <c r="AO231" i="2"/>
  <c r="AF269" i="2"/>
  <c r="AI269" i="2"/>
  <c r="AF205" i="2"/>
  <c r="AI205" i="2"/>
  <c r="AN252" i="2"/>
  <c r="AO252" i="2"/>
  <c r="AF288" i="2"/>
  <c r="AI288" i="2"/>
  <c r="AO245" i="2"/>
  <c r="AN245" i="2"/>
  <c r="AO168" i="2"/>
  <c r="AN168" i="2"/>
  <c r="AI252" i="2"/>
  <c r="AF252" i="2"/>
  <c r="AI238" i="2"/>
  <c r="AF238" i="2"/>
  <c r="AF168" i="2"/>
  <c r="AI168" i="2"/>
  <c r="AI249" i="2"/>
  <c r="AF249" i="2"/>
  <c r="AI286" i="2"/>
  <c r="AF286" i="2"/>
  <c r="AO288" i="2"/>
  <c r="AN288" i="2"/>
  <c r="AN238" i="2"/>
  <c r="AO238" i="2"/>
  <c r="AO249" i="2"/>
  <c r="AN249" i="2"/>
  <c r="AI299" i="2"/>
  <c r="AF299" i="2"/>
  <c r="AF149" i="2"/>
  <c r="AI149" i="2"/>
  <c r="AI272" i="2"/>
  <c r="AF272" i="2"/>
  <c r="AO149" i="2"/>
  <c r="AN149" i="2"/>
  <c r="AF245" i="2"/>
  <c r="AI245" i="2"/>
  <c r="AI138" i="2"/>
  <c r="AF138" i="2"/>
  <c r="AO138" i="2"/>
  <c r="AN138" i="2"/>
  <c r="AO299" i="2"/>
  <c r="AN299" i="2"/>
  <c r="AF257" i="2"/>
  <c r="AI257" i="2"/>
  <c r="AN272" i="2"/>
  <c r="AO272" i="2"/>
  <c r="T3" i="8"/>
  <c r="Z3" i="15" a="1"/>
  <c r="AB3" i="8" a="1"/>
  <c r="Z3" i="15" l="1"/>
  <c r="AB3" i="8"/>
  <c r="AA3" i="15" a="1"/>
  <c r="AC3" i="8" a="1"/>
  <c r="AA3" i="15" l="1"/>
  <c r="AC3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<sst xmlns="http://schemas.openxmlformats.org/spreadsheetml/2006/main" count="3525" uniqueCount="885">
  <si>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</si>
  <si>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</si>
  <si>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</si>
  <si>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</si>
  <si>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</si>
  <si>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</si>
  <si>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</si>
  <si>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</si>
  <si>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</si>
  <si>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</si>
  <si>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</si>
  <si>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</si>
  <si>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</si>
  <si>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</si>
  <si>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</si>
  <si>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</si>
  <si>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</si>
  <si>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</si>
  <si>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</si>
  <si>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</si>
  <si>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</si>
  <si>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</si>
  <si>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</si>
  <si>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</si>
  <si>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</si>
  <si>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</si>
  <si>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</si>
  <si>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</si>
  <si>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</si>
  <si>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</si>
  <si>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</si>
  <si>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</si>
  <si>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</si>
  <si>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</si>
  <si>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</si>
  <si>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</si>
  <si>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</si>
  <si>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</si>
  <si>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</si>
  <si>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</si>
  <si>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</si>
  <si>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</si>
  <si>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</si>
  <si>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</si>
  <si>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</si>
  <si>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</si>
  <si>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</si>
  <si>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</si>
  <si>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</si>
  <si>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</si>
  <si>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</si>
  <si>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</si>
  <si>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</si>
  <si>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</si>
  <si>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</si>
  <si>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</si>
  <si>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</si>
  <si>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</si>
  <si>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</si>
  <si>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</si>
  <si>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</si>
  <si>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</si>
  <si>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</si>
  <si>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</si>
  <si>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</si>
  <si>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</si>
  <si>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</si>
  <si>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</si>
  <si>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</si>
  <si>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</si>
  <si>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</si>
  <si>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</si>
  <si>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</si>
  <si>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</si>
  <si>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</si>
  <si>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</si>
  <si>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</si>
  <si>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</si>
  <si>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</si>
  <si>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</si>
  <si>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</si>
  <si>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</si>
  <si>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</si>
  <si>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</si>
  <si>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</si>
  <si>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</si>
  <si>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</si>
  <si>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</si>
  <si>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</si>
  <si>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</si>
  <si>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</si>
  <si>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</si>
  <si>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</si>
  <si>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</si>
  <si>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</si>
  <si>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</si>
  <si>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</si>
  <si>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</si>
  <si>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</si>
  <si>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</si>
  <si>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</si>
  <si>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</si>
  <si>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</si>
  <si>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</si>
  <si>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</si>
  <si>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</si>
  <si>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</si>
  <si>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</si>
  <si>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</si>
  <si>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</si>
  <si>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</si>
  <si>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</si>
  <si>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</si>
  <si>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</si>
  <si>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</si>
  <si>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</si>
  <si>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</si>
  <si>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</si>
  <si>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</si>
  <si>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</si>
  <si>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</si>
  <si>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</si>
  <si>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</si>
  <si>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</si>
  <si>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</si>
  <si>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</si>
  <si>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</si>
  <si>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</si>
  <si>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</si>
  <si>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</si>
  <si>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</si>
  <si>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</si>
  <si>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</si>
  <si>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</si>
  <si>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</si>
  <si>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</si>
  <si>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</si>
  <si>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</si>
  <si>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</si>
  <si>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</si>
  <si>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</si>
  <si>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</si>
  <si>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</si>
  <si>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</si>
  <si>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</si>
  <si>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</si>
  <si>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</si>
  <si>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</si>
  <si>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</si>
  <si>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</si>
  <si>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</si>
  <si>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</si>
  <si>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</si>
  <si>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</si>
  <si>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</si>
  <si>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</si>
  <si>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</si>
  <si>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</si>
  <si>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</si>
  <si>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</si>
  <si>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</si>
  <si>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</si>
  <si>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</si>
  <si>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</si>
  <si>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</si>
  <si>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</si>
  <si>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</si>
  <si>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</si>
  <si>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</si>
  <si>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</si>
  <si>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</si>
  <si>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</si>
  <si>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</si>
  <si>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</si>
  <si>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</si>
  <si>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</si>
  <si>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</si>
  <si>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</si>
  <si>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</si>
  <si>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</si>
  <si>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</si>
  <si>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</si>
  <si>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</si>
  <si>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</si>
  <si>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</si>
  <si>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</si>
  <si>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</si>
  <si>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</si>
  <si>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</si>
  <si>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</si>
  <si>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</si>
  <si>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</si>
  <si>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</si>
  <si>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</si>
  <si>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</si>
  <si>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</si>
  <si>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</si>
  <si>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</si>
  <si>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</si>
  <si>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</si>
  <si>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</si>
  <si>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</si>
  <si>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</si>
  <si>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</si>
  <si>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</si>
  <si>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</si>
  <si>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</si>
  <si>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</si>
  <si>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</si>
  <si>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</si>
  <si>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</si>
  <si>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</si>
  <si>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</si>
  <si>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</si>
  <si>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</si>
  <si>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</si>
  <si>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</si>
  <si>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</si>
  <si>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</si>
  <si>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</si>
  <si>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</si>
  <si>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</si>
  <si>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</si>
  <si>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</si>
  <si>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</si>
  <si>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</si>
  <si>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</si>
  <si>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</si>
  <si>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</si>
  <si>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</si>
  <si>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</si>
  <si>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</si>
  <si>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</si>
  <si>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</si>
  <si>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</si>
  <si>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</si>
  <si>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</si>
  <si>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</si>
  <si>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</si>
  <si>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</si>
  <si>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</si>
  <si>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</si>
  <si>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</si>
  <si>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</si>
  <si>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</si>
  <si>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</si>
  <si>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</si>
  <si>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</si>
  <si>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</si>
  <si>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</si>
  <si>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</si>
  <si>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</si>
  <si>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</si>
  <si>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</si>
  <si>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</si>
  <si>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</si>
  <si>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</si>
  <si>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</si>
  <si>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</si>
  <si>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</si>
  <si>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</si>
  <si>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</si>
  <si>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</si>
  <si>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</si>
  <si>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</si>
  <si>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</si>
  <si>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</si>
  <si>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</si>
  <si>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</si>
  <si>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</si>
  <si>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</si>
  <si>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</si>
  <si>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</si>
  <si>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</si>
  <si>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</si>
  <si>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</si>
  <si>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</si>
  <si>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</si>
  <si>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</si>
  <si>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</si>
  <si>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</si>
  <si>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</si>
  <si>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</si>
  <si>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</si>
  <si>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</si>
  <si>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</si>
  <si>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</si>
  <si>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</si>
  <si>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</si>
  <si>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</si>
  <si>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</si>
  <si>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</si>
  <si>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</si>
  <si>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</si>
  <si>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</si>
  <si>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</si>
  <si>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</si>
  <si>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</si>
  <si>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</si>
  <si>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</si>
  <si>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</si>
  <si>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</si>
  <si>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</si>
  <si>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</si>
  <si>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</si>
  <si>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</si>
  <si>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</si>
  <si>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</si>
  <si>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</si>
  <si>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</si>
  <si>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</si>
  <si>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</si>
  <si>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</si>
  <si>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</si>
  <si>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</si>
  <si>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</si>
  <si>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</si>
  <si>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</si>
  <si>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</si>
  <si>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</si>
  <si>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</si>
  <si>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</si>
  <si>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</si>
  <si>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</si>
  <si>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</si>
  <si>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</si>
  <si>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</si>
  <si>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</si>
  <si>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</si>
  <si>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</si>
  <si>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</si>
  <si>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</si>
  <si>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</si>
  <si>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</si>
  <si>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</si>
  <si>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</si>
  <si>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</si>
  <si>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</si>
  <si>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</si>
  <si>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</si>
  <si>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</si>
  <si>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</si>
  <si>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</si>
  <si>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</si>
  <si>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</si>
  <si>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</si>
  <si>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</si>
  <si>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</si>
  <si>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</si>
  <si>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</si>
  <si>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</si>
  <si>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</si>
  <si>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</si>
  <si>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</si>
  <si>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</si>
  <si>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</si>
  <si>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</si>
  <si>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</si>
  <si>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</si>
  <si>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</si>
  <si>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</si>
  <si>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</si>
  <si>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</si>
  <si>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</si>
  <si>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</si>
  <si>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</si>
  <si>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</si>
  <si>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</si>
  <si>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</si>
  <si>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</si>
  <si>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</si>
  <si>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</si>
  <si>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</si>
  <si>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</si>
  <si>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</si>
  <si>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</si>
  <si>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</si>
  <si>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</si>
  <si>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</si>
  <si>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</si>
  <si>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</si>
  <si>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</si>
  <si>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</si>
  <si>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</si>
  <si>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</si>
  <si>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</si>
  <si>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</si>
  <si>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</si>
  <si>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</si>
  <si>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</si>
  <si>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</si>
  <si>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</si>
  <si>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</si>
  <si>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</si>
  <si>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</si>
  <si>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</si>
  <si>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</si>
  <si>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</si>
  <si>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</si>
  <si>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</si>
  <si>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</si>
  <si>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</si>
  <si>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</si>
  <si>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</si>
  <si>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</si>
  <si>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</si>
  <si>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</si>
  <si>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</si>
  <si>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</si>
  <si>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</si>
  <si>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</si>
  <si>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</si>
  <si>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</si>
  <si>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</si>
  <si>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</si>
  <si>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</si>
  <si>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</si>
  <si>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</si>
  <si>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</si>
  <si>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</si>
  <si>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</si>
  <si>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</si>
  <si>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</si>
  <si>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</si>
  <si>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</si>
  <si>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</si>
  <si>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</si>
  <si>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</si>
  <si>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</si>
  <si>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</si>
  <si>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</si>
  <si>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</si>
  <si>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</si>
  <si>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</si>
  <si>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</si>
  <si>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</si>
  <si>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</si>
  <si>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</si>
  <si>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</si>
  <si>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</si>
  <si>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</si>
  <si>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</si>
  <si>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</si>
  <si>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</si>
  <si>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</si>
  <si>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</si>
  <si>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</si>
  <si>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</si>
  <si>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</si>
  <si>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</si>
  <si>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</si>
  <si>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</si>
  <si>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</si>
  <si>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</si>
  <si>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</si>
  <si>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</si>
  <si>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</si>
  <si>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</si>
  <si>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</si>
  <si>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</si>
  <si>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</si>
  <si>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</si>
  <si>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</si>
  <si>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</si>
  <si>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</si>
  <si>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</si>
  <si>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</si>
  <si>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</si>
  <si>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</si>
  <si>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</si>
  <si>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</si>
  <si>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</si>
  <si>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</si>
  <si>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</si>
  <si>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</si>
  <si>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</si>
  <si>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</si>
  <si>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</si>
  <si>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</si>
  <si>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</si>
  <si>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</si>
  <si>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</si>
  <si>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</si>
  <si>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</si>
  <si>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</si>
  <si>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</si>
  <si>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</si>
  <si>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</si>
  <si>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</si>
  <si>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</si>
  <si>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</si>
  <si>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</si>
  <si>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</si>
  <si>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</si>
  <si>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</si>
  <si>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</si>
  <si>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</si>
  <si>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</si>
  <si>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</si>
  <si>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</si>
  <si>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</si>
  <si>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</si>
  <si>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</si>
  <si>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</si>
  <si>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</si>
  <si>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</si>
  <si>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</si>
  <si>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</si>
  <si>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</si>
  <si>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</si>
  <si>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</si>
  <si>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</si>
  <si>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</si>
  <si>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</si>
  <si>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</si>
  <si>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</si>
  <si>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</si>
  <si>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</si>
  <si>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</si>
  <si>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</si>
  <si>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</si>
  <si>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</si>
  <si>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</si>
  <si>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</si>
  <si>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</si>
  <si>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</si>
  <si>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</si>
  <si>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</si>
  <si>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</si>
  <si>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</si>
  <si>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</si>
  <si>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</si>
  <si>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</si>
  <si>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</si>
  <si>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</si>
  <si>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</si>
  <si>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</si>
  <si>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</si>
  <si>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</si>
  <si>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</si>
  <si>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</si>
  <si>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</si>
  <si>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</si>
  <si>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</si>
  <si>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</si>
  <si>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</si>
  <si>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</si>
  <si>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</si>
  <si>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</si>
  <si>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</si>
  <si>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</si>
  <si>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</si>
  <si>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</si>
  <si>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</si>
  <si>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</si>
  <si>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</si>
  <si>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</si>
  <si>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</si>
  <si>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</si>
  <si>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</si>
  <si>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</si>
  <si>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</si>
  <si>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</si>
  <si>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</si>
  <si>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</si>
  <si>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</si>
  <si>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</si>
  <si>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</si>
  <si>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</si>
  <si>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</si>
  <si>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</si>
  <si>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</si>
  <si>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</si>
  <si>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</si>
  <si>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</si>
  <si>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</si>
  <si>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</si>
  <si>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</si>
  <si>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</si>
  <si>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</si>
  <si>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</si>
  <si>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</si>
  <si>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</si>
  <si>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</si>
  <si>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</si>
  <si>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</si>
  <si>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</si>
  <si>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</si>
  <si>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</si>
  <si>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</si>
  <si>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</si>
  <si>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</si>
  <si>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</si>
  <si>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</si>
  <si>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</si>
  <si>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</si>
  <si>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</si>
  <si>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</si>
  <si>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</si>
  <si>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</si>
  <si>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</si>
  <si>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</si>
  <si>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</si>
  <si>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</si>
  <si>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</si>
  <si>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</si>
  <si>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</si>
  <si>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</si>
  <si>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</si>
  <si>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</si>
  <si>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</si>
  <si>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</si>
  <si>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</si>
  <si>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</si>
  <si>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</si>
  <si>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</si>
  <si>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</si>
  <si>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</si>
  <si>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</si>
  <si>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</si>
  <si>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</si>
  <si>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</si>
  <si>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</si>
  <si>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</si>
  <si>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</si>
  <si>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</si>
  <si>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</si>
  <si>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</si>
  <si>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</si>
  <si>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</si>
  <si>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</si>
  <si>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</si>
  <si>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</si>
  <si>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</si>
  <si>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</si>
  <si>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</si>
  <si>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</si>
  <si>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</si>
  <si>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</si>
  <si>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</si>
  <si>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</si>
  <si>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</si>
  <si>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</si>
  <si>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</si>
  <si>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</si>
  <si>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</si>
  <si>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</si>
  <si>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</si>
  <si>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</si>
  <si>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</si>
  <si>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</si>
  <si>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</si>
  <si>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</si>
  <si>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</si>
  <si>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</si>
  <si>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</si>
  <si>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</si>
  <si>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</si>
  <si>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</si>
  <si>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</si>
  <si>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</si>
  <si>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</si>
  <si>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</si>
  <si>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</si>
  <si>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</si>
  <si>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</si>
  <si>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</si>
  <si>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</si>
  <si>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</si>
  <si>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</si>
  <si>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</si>
  <si>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</si>
  <si>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</si>
  <si>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</si>
  <si>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</si>
  <si>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</si>
  <si>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</si>
  <si>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</si>
  <si>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</si>
  <si>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</si>
  <si>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</si>
  <si>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</si>
  <si>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</si>
  <si>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</si>
  <si>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</si>
  <si>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</si>
  <si>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</si>
  <si>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</si>
  <si>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</si>
  <si>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</si>
  <si>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</si>
  <si>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</si>
  <si>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</si>
  <si>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</si>
  <si>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</si>
  <si>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</si>
  <si>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</si>
  <si>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</si>
  <si>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</si>
  <si>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</si>
  <si>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</si>
  <si>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</si>
  <si>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</si>
  <si>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</si>
  <si>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</si>
  <si>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</si>
  <si>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</si>
  <si>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</si>
  <si>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</si>
  <si>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</si>
  <si>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</si>
  <si>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</si>
  <si>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</si>
  <si>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</si>
  <si>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</si>
  <si>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</si>
  <si>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</si>
  <si>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</si>
  <si>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</si>
  <si>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</si>
  <si>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</si>
  <si>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</si>
  <si>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</si>
  <si>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</si>
  <si>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</si>
  <si>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</si>
  <si>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</si>
  <si>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</si>
  <si>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</si>
  <si>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</si>
  <si>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</si>
  <si>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</si>
  <si>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</si>
  <si>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</si>
  <si>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</si>
  <si>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</si>
  <si>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</si>
  <si>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</si>
  <si>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</si>
  <si>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</si>
  <si>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</si>
  <si>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</si>
  <si>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</si>
  <si>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</si>
  <si>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</si>
  <si>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</si>
  <si>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</si>
  <si>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</si>
  <si>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</si>
  <si>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</si>
  <si>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</si>
  <si>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</si>
  <si>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</si>
  <si>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</si>
  <si>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</si>
  <si>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</si>
  <si>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</si>
  <si>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</si>
  <si>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</si>
  <si>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</si>
  <si>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</si>
  <si>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</si>
  <si>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</si>
  <si>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</si>
  <si>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</si>
  <si>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</si>
  <si>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</si>
  <si>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</si>
  <si>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</si>
  <si>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</si>
  <si>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</si>
  <si>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</si>
  <si>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</si>
  <si>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</si>
  <si>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</si>
  <si>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</si>
  <si>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</si>
  <si>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</si>
  <si>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</si>
  <si>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</si>
  <si>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</si>
  <si>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</si>
  <si>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</si>
  <si>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</si>
  <si>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</si>
  <si>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</si>
  <si>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</si>
  <si>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</si>
  <si>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</si>
  <si>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</si>
  <si>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</si>
  <si>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</si>
  <si>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</si>
  <si>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</si>
  <si>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</si>
  <si>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</si>
  <si>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</si>
  <si>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</si>
  <si>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</si>
  <si>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</si>
  <si>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</si>
  <si>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</si>
  <si>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</si>
  <si>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</si>
  <si>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</si>
  <si>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</si>
  <si>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</si>
  <si>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</si>
  <si>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</si>
  <si>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</si>
  <si>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</si>
  <si>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</si>
  <si>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</si>
  <si>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</si>
  <si>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</si>
  <si>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</si>
  <si>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</si>
  <si>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</si>
  <si>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</si>
  <si>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</si>
  <si>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</si>
  <si>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</si>
  <si>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</si>
  <si>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</si>
  <si>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</si>
  <si>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</si>
  <si>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</si>
  <si>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</si>
  <si>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</si>
  <si>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</si>
  <si>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</si>
  <si>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</si>
  <si>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</si>
  <si>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</si>
  <si>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</si>
  <si>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</si>
  <si>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</si>
  <si>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</si>
  <si>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</si>
  <si>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</si>
  <si>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</si>
  <si>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</si>
  <si>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</si>
  <si>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</si>
  <si>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</si>
  <si>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</si>
  <si>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</si>
  <si>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</si>
  <si>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</si>
  <si>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</si>
  <si>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</si>
  <si>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</si>
  <si>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</si>
  <si>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</si>
  <si>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</si>
  <si>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</si>
  <si>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</si>
  <si>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</si>
  <si>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</si>
  <si>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</si>
  <si>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</si>
  <si>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</si>
  <si>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</si>
  <si>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</si>
  <si>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</si>
  <si>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</si>
  <si>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</si>
  <si>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</si>
  <si>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</si>
  <si>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</si>
  <si>
    <t>Zero Sugar Maple Naturally Flavored Syrup</t>
  </si>
  <si>
    <t>Sprout Market</t>
  </si>
  <si>
    <t>Stuffed Puffs - Cookies 'N Crème</t>
  </si>
  <si>
    <t>Shamrock Farms Protein Shake</t>
  </si>
  <si>
    <t>10276 SW 24th Ct, Miramar, FL 33025</t>
  </si>
  <si>
    <t>Protein Cake Batter Cookies and Cream Cheesecake (Need to blend better)</t>
  </si>
  <si>
    <t>Protein Cheesecake Cookies and Cream</t>
  </si>
  <si>
    <t>_Protein Plus</t>
  </si>
  <si>
    <t xml:space="preserve">Protein Cake Batter Cookies and Cream Cheesecake </t>
  </si>
  <si>
    <t>Carbs</t>
  </si>
  <si>
    <t>Fiber</t>
  </si>
  <si>
    <t>Thickener Amount (x tbsp)</t>
  </si>
  <si>
    <t>Thickener Amount (ml)</t>
  </si>
  <si>
    <t>Thickener</t>
  </si>
  <si>
    <t>Egg Yolks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</si>
</sst>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$H$9">
      <xdr:nvSpPr>
        <xdr:cNvPr id="7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fld id="{00EF93AD-E1F4-4629-B802-E8B692BBA1BA}" type="TxLink">
            <a:rPr lang="en-US" sz="11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  <a:ea typeface="Calibri"/>
              <a:cs typeface="Calibri"/>
            </a:rPr>
            <a:pPr algn="ctr"/>
            <a:t>Rum Raisin</a:t>
          </a:fld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197</v>
      </c>
    </row>
    <row r="5" spans="6:18" x14ac:dyDescent="0.25">
      <c r="G5" t="s">
        <v>198</v>
      </c>
      <c r="H5" s="20" t="s">
        <v>817</v>
      </c>
      <c r="O5" t="s">
        <v>226</v>
      </c>
      <c r="P5" t="str">
        <f>LEFT(H5, FIND("|", H5) - 1)</f>
        <v xml:space="preserve">Christian Pham </v>
      </c>
    </row>
    <row r="6" spans="6:18" x14ac:dyDescent="0.25">
      <c r="G6" t="s">
        <v>199</v>
      </c>
      <c r="O6" t="s">
        <v>220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200</v>
      </c>
      <c r="H7" s="15"/>
      <c r="O7" t="s">
        <v>227</v>
      </c>
      <c r="P7" t="str">
        <f>_xlfn.XLOOKUP($H$5,'Ice Cream Orders'!$A:$A,'Ice Cream Orders'!L:L)</f>
        <v>Pint</v>
      </c>
    </row>
    <row r="8" spans="6:18" x14ac:dyDescent="0.25">
      <c r="O8" t="s">
        <v>779</v>
      </c>
      <c r="P8">
        <f>_xlfn.XLOOKUP($H$5,'Ice Cream Orders'!$A:$A,'Ice Cream Orders'!AQ:AQ)</f>
        <v>0</v>
      </c>
    </row>
    <row r="9" spans="6:18" ht="24.75" x14ac:dyDescent="0.25">
      <c r="F9" t="s">
        <v>339</v>
      </c>
      <c r="G9" t="s">
        <v>443</v>
      </c>
      <c r="H9" t="str">
        <f>_xlfn.CONCAT($G$9)</f>
        <v>Rum Raisin</v>
      </c>
      <c r="I9" t="str">
        <f>_xlfn.XLOOKUP($H$5,'Ice Cream Orders'!$A:$A,'Ice Cream Orders'!C:C)</f>
        <v>Micah's Jeremiah's Strawberry Special</v>
      </c>
      <c r="J9" s="16" t="s">
        <v>202</v>
      </c>
      <c r="K9" s="17" t="s">
        <v>204</v>
      </c>
      <c r="L9" s="17" t="s">
        <v>203</v>
      </c>
      <c r="O9" s="18" t="s">
        <v>213</v>
      </c>
      <c r="P9" s="19" t="s">
        <v>217</v>
      </c>
      <c r="Q9" s="18" t="s">
        <v>214</v>
      </c>
      <c r="R9" s="18" t="s">
        <v>509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219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201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215</v>
      </c>
      <c r="P11" s="19" t="str">
        <f>_xlfn.XLOOKUP($H$5,'Ice Cream Orders'!$A:$A,'Ice Cream Orders'!E:E)</f>
        <v>Half and Half</v>
      </c>
      <c r="Q11" s="18" t="s">
        <v>219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216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218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228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229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4" t="s">
        <v>224</v>
      </c>
      <c r="P21" s="125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225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193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5" t="s">
        <v>202</v>
      </c>
      <c r="AD27" s="136"/>
      <c r="AE27" s="136"/>
      <c r="AF27" s="136"/>
      <c r="AG27" s="136"/>
      <c r="AH27" s="137"/>
      <c r="AK27" t="s">
        <v>482</v>
      </c>
    </row>
    <row r="28" spans="15:39" ht="15" customHeight="1" x14ac:dyDescent="0.25">
      <c r="V28" s="72"/>
      <c r="W28" s="72"/>
      <c r="X28" s="72"/>
      <c r="Y28" s="72"/>
      <c r="Z28" s="108"/>
      <c r="AC28" s="144" t="str">
        <f>_xlfn.CONCAT(ROUNDUP(_xlfn.XLOOKUP(_xlfn.XLOOKUP($H$5,'Ice Cream Orders'!A:A,'Ice Cream Orders'!L:L),Specs!A:A,Specs!B:B)/60,0)," servings per container")</f>
        <v>8 servings per container</v>
      </c>
      <c r="AD28" s="145"/>
      <c r="AE28" s="145"/>
      <c r="AF28" s="145"/>
      <c r="AG28" s="146"/>
      <c r="AH28" s="154" t="s">
        <v>637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476</v>
      </c>
      <c r="AD29" s="64"/>
      <c r="AE29" s="147" t="s">
        <v>479</v>
      </c>
      <c r="AF29" s="147"/>
      <c r="AG29" s="148"/>
      <c r="AH29" s="155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49"/>
      <c r="AD30" s="150"/>
      <c r="AE30" s="150"/>
      <c r="AF30" s="150"/>
      <c r="AG30" s="151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477</v>
      </c>
      <c r="AD32" s="64"/>
      <c r="AE32" s="64"/>
      <c r="AF32" s="142">
        <f>ROUNDUP(_xlfn.XLOOKUP($H$5,'Ice Cream Orders'!$A:$A,'Ice Cream Orders'!$AG:$AG,-1),0)</f>
        <v>94</v>
      </c>
      <c r="AG32" s="143"/>
      <c r="AH32" s="152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2"/>
      <c r="AG33" s="143"/>
      <c r="AH33" s="153"/>
      <c r="AI33" s="97"/>
    </row>
    <row r="34" spans="22:38" ht="24" customHeight="1" x14ac:dyDescent="0.25">
      <c r="V34" s="72"/>
      <c r="W34" s="72"/>
      <c r="X34" s="72"/>
      <c r="Y34" s="72"/>
      <c r="Z34" s="95"/>
      <c r="AC34" s="149"/>
      <c r="AD34" s="150"/>
      <c r="AE34" s="150"/>
      <c r="AF34" s="150"/>
      <c r="AG34" s="150"/>
      <c r="AH34" s="151"/>
      <c r="AI34" s="97"/>
    </row>
    <row r="35" spans="22:38" ht="15" customHeight="1" x14ac:dyDescent="0.25">
      <c r="V35" s="72"/>
      <c r="W35" s="72"/>
      <c r="X35" s="72"/>
      <c r="Y35" s="72"/>
      <c r="Z35" s="112"/>
      <c r="AC35" s="126" t="s">
        <v>475</v>
      </c>
      <c r="AD35" s="127"/>
      <c r="AE35" s="127"/>
      <c r="AF35" s="127"/>
      <c r="AG35" s="128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478</v>
      </c>
      <c r="AD36" s="70" t="str">
        <f>_xlfn.CONCAT(ROUNDUP(_xlfn.XLOOKUP($H$5,'Ice Cream Orders'!$A:$A,'Ice Cream Orders'!$AI:$AI),0),"g")</f>
        <v>7g</v>
      </c>
      <c r="AE36" s="138">
        <f>LEFT(AD36,LEN(AD36)-1)/AK36</f>
        <v>8.9743589743589744E-2</v>
      </c>
      <c r="AF36" s="138"/>
      <c r="AG36" s="139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481</v>
      </c>
      <c r="AD37" s="70" t="str">
        <f>_xlfn.CONCAT(ROUNDUP(_xlfn.XLOOKUP($H$5,'Ice Cream Orders'!$A:$A,'Ice Cream Orders'!$AH:$AH),0),"g")</f>
        <v>9g</v>
      </c>
      <c r="AE37" s="138">
        <f>LEFT(AD37,LEN(AD37)-1)/AK37</f>
        <v>0.18</v>
      </c>
      <c r="AF37" s="138"/>
      <c r="AG37" s="139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0"/>
      <c r="AF39" s="140"/>
      <c r="AG39" s="141"/>
      <c r="AH39" s="103"/>
    </row>
    <row r="40" spans="22:38" ht="15" customHeight="1" x14ac:dyDescent="0.25">
      <c r="V40" s="72"/>
      <c r="W40" s="72"/>
      <c r="X40" s="72"/>
      <c r="Y40" s="72"/>
      <c r="Z40" s="114"/>
      <c r="AC40" s="129" t="s">
        <v>480</v>
      </c>
      <c r="AD40" s="130"/>
      <c r="AE40" s="130"/>
      <c r="AF40" s="130"/>
      <c r="AG40" s="130"/>
      <c r="AH40" s="131"/>
    </row>
    <row r="41" spans="22:38" ht="24" customHeight="1" x14ac:dyDescent="0.25">
      <c r="V41" s="72"/>
      <c r="W41" s="72"/>
      <c r="X41" s="72"/>
      <c r="Y41" s="72"/>
      <c r="Z41" s="114"/>
      <c r="AC41" s="132"/>
      <c r="AD41" s="133"/>
      <c r="AE41" s="133"/>
      <c r="AF41" s="133"/>
      <c r="AG41" s="133"/>
      <c r="AH41" s="134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251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769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795</v>
      </c>
      <c r="B4" s="31" t="s">
        <v>65</v>
      </c>
      <c r="C4" s="31" t="s">
        <v>75</v>
      </c>
      <c r="D4" s="31" t="s">
        <v>0</v>
      </c>
      <c r="E4" s="31"/>
      <c r="F4" s="31" t="s">
        <v>406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156</v>
      </c>
      <c r="N4" s="30" t="s">
        <v>769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772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175</v>
      </c>
      <c r="L5" s="30" t="s">
        <v>175</v>
      </c>
      <c r="M5" s="30" t="s">
        <v>154</v>
      </c>
      <c r="N5" s="30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796</v>
      </c>
      <c r="Q14" t="s">
        <v>797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topLeftCell="A6" zoomScale="69" zoomScaleNormal="82" workbookViewId="0">
      <pane xSplit="1" topLeftCell="W1" activePane="topRight" state="frozen"/>
      <selection activeCell="A14" sqref="A14"/>
      <selection pane="topRight" activeCell="A71" sqref="A1:AQ71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221</v>
      </c>
      <c r="B1" s="30" t="s">
        <v>222</v>
      </c>
      <c r="C1" s="30" t="s">
        <v>223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187</v>
      </c>
      <c r="AI1" s="31" t="s">
        <v>188</v>
      </c>
      <c r="AJ1" s="31" t="s">
        <v>42</v>
      </c>
      <c r="AK1" s="31" t="s">
        <v>149</v>
      </c>
      <c r="AL1" s="31" t="s">
        <v>151</v>
      </c>
      <c r="AM1" s="31" t="s">
        <v>150</v>
      </c>
      <c r="AN1" s="43" t="s">
        <v>172</v>
      </c>
      <c r="AO1" s="31" t="s">
        <v>209</v>
      </c>
      <c r="AP1" s="32" t="s">
        <v>211</v>
      </c>
      <c r="AQ1" s="117" t="s">
        <v>778</v>
      </c>
    </row>
    <row r="2" spans="1:43" ht="18.75" customHeight="1" x14ac:dyDescent="0.25">
      <c r="A2" s="44" t="s">
        <v>645</v>
      </c>
      <c r="B2" s="76">
        <v>0</v>
      </c>
      <c r="C2" s="31" t="s">
        <v>646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510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647</v>
      </c>
      <c r="AL2" s="47" t="s">
        <v>646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648</v>
      </c>
      <c r="B3" s="76">
        <v>0</v>
      </c>
      <c r="C3" s="31" t="s">
        <v>646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510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647</v>
      </c>
      <c r="AL3" s="47" t="s">
        <v>646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649</v>
      </c>
      <c r="B4" s="76">
        <v>0</v>
      </c>
      <c r="C4" s="31" t="s">
        <v>646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510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647</v>
      </c>
      <c r="AL4" s="47" t="s">
        <v>646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650</v>
      </c>
      <c r="B5" s="76">
        <v>0</v>
      </c>
      <c r="C5" s="31" t="s">
        <v>646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510</v>
      </c>
      <c r="K5" s="31" t="e">
        <v>#N/A</v>
      </c>
      <c r="L5" s="77" t="s">
        <v>651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646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652</v>
      </c>
      <c r="B6" s="76">
        <v>0</v>
      </c>
      <c r="C6" s="31" t="s">
        <v>646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510</v>
      </c>
      <c r="K6" s="31" t="e">
        <v>#N/A</v>
      </c>
      <c r="L6" s="77" t="s">
        <v>651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646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653</v>
      </c>
      <c r="B7" s="76">
        <v>0</v>
      </c>
      <c r="C7" s="31" t="s">
        <v>646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510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654</v>
      </c>
      <c r="AL7" s="47" t="s">
        <v>646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655</v>
      </c>
      <c r="B8" s="76" t="s">
        <v>656</v>
      </c>
      <c r="C8" s="31" t="s">
        <v>646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510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657</v>
      </c>
      <c r="AL8" s="47" t="s">
        <v>646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658</v>
      </c>
      <c r="B9" s="76" t="s">
        <v>659</v>
      </c>
      <c r="C9" s="31" t="s">
        <v>646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510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660</v>
      </c>
      <c r="AL9" s="47" t="s">
        <v>646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661</v>
      </c>
      <c r="B10" s="76" t="s">
        <v>662</v>
      </c>
      <c r="C10" s="31" t="s">
        <v>646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510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647</v>
      </c>
      <c r="AL10" s="47" t="s">
        <v>646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663</v>
      </c>
      <c r="B11" s="76" t="s">
        <v>664</v>
      </c>
      <c r="C11" s="31" t="s">
        <v>646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510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665</v>
      </c>
      <c r="AL11" s="47" t="s">
        <v>646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666</v>
      </c>
      <c r="B12" s="76" t="s">
        <v>664</v>
      </c>
      <c r="C12" s="31" t="s">
        <v>508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647</v>
      </c>
      <c r="AL12" s="47" t="s">
        <v>646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667</v>
      </c>
      <c r="B13" s="76" t="s">
        <v>668</v>
      </c>
      <c r="C13" s="31" t="s">
        <v>508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669</v>
      </c>
      <c r="AL13" s="47" t="s">
        <v>646</v>
      </c>
      <c r="AM13" s="40">
        <v>0</v>
      </c>
      <c r="AN13" s="48">
        <v>1</v>
      </c>
      <c r="AO13" s="40">
        <v>1</v>
      </c>
      <c r="AP13" s="30" t="s">
        <v>210</v>
      </c>
      <c r="AQ13" t="str">
        <f>_xlfn.XLOOKUP("What's Your Number?",[1]Sheet1!$1:$1,[1]Sheet1!13:13)</f>
        <v>954-376-2788</v>
      </c>
    </row>
    <row r="14" spans="1:43" x14ac:dyDescent="0.25">
      <c r="A14" s="44" t="s">
        <v>670</v>
      </c>
      <c r="B14" s="76" t="s">
        <v>671</v>
      </c>
      <c r="C14" s="31" t="s">
        <v>646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510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672</v>
      </c>
      <c r="AL14" s="47" t="s">
        <v>646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673</v>
      </c>
      <c r="B15" s="76" t="s">
        <v>674</v>
      </c>
      <c r="C15" s="31" t="s">
        <v>508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675</v>
      </c>
      <c r="AL15" s="47" t="s">
        <v>646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676</v>
      </c>
      <c r="B16" s="76" t="s">
        <v>677</v>
      </c>
      <c r="C16" s="31" t="s">
        <v>508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665</v>
      </c>
      <c r="AL16" s="47" t="s">
        <v>646</v>
      </c>
      <c r="AM16" s="40">
        <v>0</v>
      </c>
      <c r="AN16" s="48">
        <v>1</v>
      </c>
      <c r="AO16" s="40">
        <v>1</v>
      </c>
      <c r="AP16" s="30" t="s">
        <v>210</v>
      </c>
      <c r="AQ16" t="str">
        <f>_xlfn.XLOOKUP("What's Your Number?",[1]Sheet1!$1:$1,[1]Sheet1!16:16)</f>
        <v>5615623572</v>
      </c>
    </row>
    <row r="17" spans="1:43" x14ac:dyDescent="0.25">
      <c r="A17" s="42" t="s">
        <v>678</v>
      </c>
      <c r="B17" s="76" t="s">
        <v>677</v>
      </c>
      <c r="C17" s="31" t="s">
        <v>170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510</v>
      </c>
      <c r="K17" s="31">
        <v>0</v>
      </c>
      <c r="L17" s="77" t="s">
        <v>43</v>
      </c>
      <c r="M17" s="45" t="s">
        <v>451</v>
      </c>
      <c r="N17" s="45" t="s">
        <v>157</v>
      </c>
      <c r="O17" s="45">
        <v>0</v>
      </c>
      <c r="P17" s="45" t="s">
        <v>158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665</v>
      </c>
      <c r="AL17" s="47" t="s">
        <v>646</v>
      </c>
      <c r="AM17" s="40">
        <v>0</v>
      </c>
      <c r="AN17" s="48">
        <v>10</v>
      </c>
      <c r="AO17" s="40">
        <v>10</v>
      </c>
      <c r="AP17" s="30" t="s">
        <v>210</v>
      </c>
      <c r="AQ17" t="str">
        <f>_xlfn.XLOOKUP("What's Your Number?",[1]Sheet1!$1:$1,[1]Sheet1!17:17)</f>
        <v>5615623572</v>
      </c>
    </row>
    <row r="18" spans="1:43" x14ac:dyDescent="0.25">
      <c r="A18" s="42" t="s">
        <v>679</v>
      </c>
      <c r="B18" s="76" t="s">
        <v>619</v>
      </c>
      <c r="C18" s="31" t="s">
        <v>360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680</v>
      </c>
      <c r="AL18" s="47" t="s">
        <v>646</v>
      </c>
      <c r="AM18" s="40">
        <v>0</v>
      </c>
      <c r="AN18" s="48">
        <v>2</v>
      </c>
      <c r="AO18" s="40">
        <v>2</v>
      </c>
      <c r="AP18" s="30" t="s">
        <v>210</v>
      </c>
      <c r="AQ18" t="str">
        <f>_xlfn.XLOOKUP("What's Your Number?",[1]Sheet1!$1:$1,[1]Sheet1!18:18)</f>
        <v>5612914048</v>
      </c>
    </row>
    <row r="19" spans="1:43" x14ac:dyDescent="0.25">
      <c r="A19" s="42" t="s">
        <v>681</v>
      </c>
      <c r="B19" s="76" t="s">
        <v>682</v>
      </c>
      <c r="C19" s="31" t="s">
        <v>170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451</v>
      </c>
      <c r="N19" s="45" t="s">
        <v>157</v>
      </c>
      <c r="O19" s="45">
        <v>0</v>
      </c>
      <c r="P19" s="45" t="s">
        <v>158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683</v>
      </c>
      <c r="AL19" s="47" t="s">
        <v>646</v>
      </c>
      <c r="AM19" s="40">
        <v>0</v>
      </c>
      <c r="AN19" s="48">
        <v>10</v>
      </c>
      <c r="AO19" s="40">
        <v>10</v>
      </c>
      <c r="AP19" s="30" t="s">
        <v>210</v>
      </c>
      <c r="AQ19" t="str">
        <f>_xlfn.XLOOKUP("What's Your Number?",[1]Sheet1!$1:$1,[1]Sheet1!19:19)</f>
        <v>561-901-8804</v>
      </c>
    </row>
    <row r="20" spans="1:43" x14ac:dyDescent="0.25">
      <c r="A20" s="44" t="s">
        <v>684</v>
      </c>
      <c r="B20" s="76" t="s">
        <v>685</v>
      </c>
      <c r="C20" s="31" t="s">
        <v>251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249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157</v>
      </c>
      <c r="N20" s="45">
        <v>0</v>
      </c>
      <c r="O20" s="45" t="s">
        <v>156</v>
      </c>
      <c r="P20" s="45" t="s">
        <v>173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646</v>
      </c>
      <c r="AM20" s="40">
        <v>0</v>
      </c>
      <c r="AN20" s="48">
        <v>8</v>
      </c>
      <c r="AO20" s="40">
        <v>8</v>
      </c>
      <c r="AP20" s="30" t="s">
        <v>212</v>
      </c>
      <c r="AQ20" t="str">
        <f>_xlfn.XLOOKUP("What's Your Number?",[1]Sheet1!$1:$1,[1]Sheet1!20:20)</f>
        <v>9548049592</v>
      </c>
    </row>
    <row r="21" spans="1:43" x14ac:dyDescent="0.25">
      <c r="A21" s="42" t="s">
        <v>686</v>
      </c>
      <c r="B21" s="76" t="s">
        <v>677</v>
      </c>
      <c r="C21" s="31" t="s">
        <v>508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687</v>
      </c>
      <c r="AL21" s="47" t="s">
        <v>646</v>
      </c>
      <c r="AM21" s="40">
        <v>0</v>
      </c>
      <c r="AN21" s="48">
        <v>1</v>
      </c>
      <c r="AO21" s="40">
        <v>1</v>
      </c>
      <c r="AP21" s="30" t="s">
        <v>210</v>
      </c>
      <c r="AQ21" t="str">
        <f>_xlfn.XLOOKUP("What's Your Number?",[1]Sheet1!$1:$1,[1]Sheet1!21:21)</f>
        <v>5615623572</v>
      </c>
    </row>
    <row r="22" spans="1:43" x14ac:dyDescent="0.25">
      <c r="A22" s="42" t="s">
        <v>688</v>
      </c>
      <c r="B22" s="76" t="s">
        <v>656</v>
      </c>
      <c r="C22" s="31" t="s">
        <v>689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690</v>
      </c>
      <c r="AL22" s="47">
        <v>24</v>
      </c>
      <c r="AM22" s="40">
        <v>6</v>
      </c>
      <c r="AN22" s="48">
        <v>8</v>
      </c>
      <c r="AO22" s="40">
        <v>2</v>
      </c>
      <c r="AP22" s="30" t="s">
        <v>210</v>
      </c>
      <c r="AQ22" t="str">
        <f>_xlfn.XLOOKUP("What's Your Number?",[1]Sheet1!$1:$1,[1]Sheet1!22:22)</f>
        <v>571-641-9424</v>
      </c>
    </row>
    <row r="23" spans="1:43" x14ac:dyDescent="0.25">
      <c r="A23" s="42" t="s">
        <v>691</v>
      </c>
      <c r="B23" s="76" t="s">
        <v>656</v>
      </c>
      <c r="C23" s="31" t="s">
        <v>358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173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646</v>
      </c>
      <c r="AM23" s="40">
        <v>0</v>
      </c>
      <c r="AN23" s="48">
        <v>7</v>
      </c>
      <c r="AO23" s="40">
        <v>7</v>
      </c>
      <c r="AP23" s="30" t="s">
        <v>210</v>
      </c>
      <c r="AQ23" t="str">
        <f>_xlfn.XLOOKUP("What's Your Number?",[1]Sheet1!$1:$1,[1]Sheet1!23:23)</f>
        <v>571-641-9424</v>
      </c>
    </row>
    <row r="24" spans="1:43" x14ac:dyDescent="0.25">
      <c r="A24" s="42" t="s">
        <v>691</v>
      </c>
      <c r="B24" s="76" t="s">
        <v>656</v>
      </c>
      <c r="C24" s="31" t="s">
        <v>508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646</v>
      </c>
      <c r="AM24" s="40">
        <v>0</v>
      </c>
      <c r="AN24" s="48">
        <v>2</v>
      </c>
      <c r="AO24" s="40">
        <v>2</v>
      </c>
      <c r="AP24" s="30" t="s">
        <v>210</v>
      </c>
      <c r="AQ24" t="str">
        <f>_xlfn.XLOOKUP("What's Your Number?",[1]Sheet1!$1:$1,[1]Sheet1!24:24)</f>
        <v>571-641-9424</v>
      </c>
    </row>
    <row r="25" spans="1:43" x14ac:dyDescent="0.25">
      <c r="A25" s="42" t="s">
        <v>692</v>
      </c>
      <c r="B25" s="76" t="s">
        <v>693</v>
      </c>
      <c r="C25" s="31" t="s">
        <v>508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694</v>
      </c>
      <c r="AL25" s="47" t="s">
        <v>646</v>
      </c>
      <c r="AM25" s="40">
        <v>0</v>
      </c>
      <c r="AN25" s="48">
        <v>2</v>
      </c>
      <c r="AO25" s="40">
        <v>2</v>
      </c>
      <c r="AP25" s="30" t="s">
        <v>210</v>
      </c>
      <c r="AQ25" t="str">
        <f>_xlfn.XLOOKUP("What's Your Number?",[1]Sheet1!$1:$1,[1]Sheet1!25:25)</f>
        <v>3057962886</v>
      </c>
    </row>
    <row r="26" spans="1:43" x14ac:dyDescent="0.25">
      <c r="A26" s="42" t="s">
        <v>695</v>
      </c>
      <c r="B26" s="76" t="s">
        <v>693</v>
      </c>
      <c r="C26" s="31" t="s">
        <v>251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249</v>
      </c>
      <c r="I26" s="31">
        <v>0</v>
      </c>
      <c r="J26" s="31" t="s">
        <v>510</v>
      </c>
      <c r="K26" s="31">
        <v>0</v>
      </c>
      <c r="L26" s="77" t="s">
        <v>4</v>
      </c>
      <c r="M26" s="45" t="s">
        <v>157</v>
      </c>
      <c r="N26" s="45">
        <v>0</v>
      </c>
      <c r="O26" s="45" t="s">
        <v>156</v>
      </c>
      <c r="P26" s="45" t="s">
        <v>173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696</v>
      </c>
      <c r="AL26" s="47" t="s">
        <v>646</v>
      </c>
      <c r="AM26" s="40">
        <v>0</v>
      </c>
      <c r="AN26" s="48">
        <v>5</v>
      </c>
      <c r="AO26" s="40">
        <v>5</v>
      </c>
      <c r="AP26" s="30" t="s">
        <v>210</v>
      </c>
      <c r="AQ26" t="str">
        <f>_xlfn.XLOOKUP("What's Your Number?",[1]Sheet1!$1:$1,[1]Sheet1!26:26)</f>
        <v>3057962886</v>
      </c>
    </row>
    <row r="27" spans="1:43" x14ac:dyDescent="0.25">
      <c r="A27" s="42" t="s">
        <v>697</v>
      </c>
      <c r="B27" s="76" t="s">
        <v>698</v>
      </c>
      <c r="C27" s="31" t="s">
        <v>699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510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173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700</v>
      </c>
      <c r="AL27" s="47">
        <v>24</v>
      </c>
      <c r="AM27" s="40">
        <v>4</v>
      </c>
      <c r="AN27" s="48">
        <v>11</v>
      </c>
      <c r="AO27" s="40">
        <v>7</v>
      </c>
      <c r="AP27" s="30" t="s">
        <v>210</v>
      </c>
      <c r="AQ27" t="str">
        <f>_xlfn.XLOOKUP("What's Your Number?",[1]Sheet1!$1:$1,[1]Sheet1!27:27)</f>
        <v>9548129024</v>
      </c>
    </row>
    <row r="28" spans="1:43" x14ac:dyDescent="0.25">
      <c r="A28" s="42" t="s">
        <v>701</v>
      </c>
      <c r="B28" s="76" t="s">
        <v>702</v>
      </c>
      <c r="C28" s="31" t="s">
        <v>400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415</v>
      </c>
      <c r="I28" s="31">
        <v>0</v>
      </c>
      <c r="J28" s="31" t="s">
        <v>132</v>
      </c>
      <c r="K28" s="31">
        <v>0</v>
      </c>
      <c r="L28" s="77" t="s">
        <v>340</v>
      </c>
      <c r="M28" s="45" t="s">
        <v>157</v>
      </c>
      <c r="N28" s="45">
        <v>0</v>
      </c>
      <c r="O28" s="45" t="s">
        <v>154</v>
      </c>
      <c r="P28" s="45" t="s">
        <v>448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986.07299999999998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493.03649999999999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224.125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1.8109313999999999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4676.7836666666662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150.97955000000002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34.434550000000002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451.9501249999999</v>
      </c>
      <c r="AF28" s="38">
        <f>$AE28 / (_xlfn.XLOOKUP($L28,Specs!A:A,Specs!B:B,0))</f>
        <v>0.25206365030674843</v>
      </c>
      <c r="AG28" s="37">
        <f>60* ($AB28 / _xlfn.XLOOKUP($L28,Specs!A:A,Specs!B:B,0))</f>
        <v>156.50140546569992</v>
      </c>
      <c r="AH28" s="37">
        <f>60* (AC28 / _xlfn.XLOOKUP($L28,Specs!$A:$A,Specs!$B:$B,0))</f>
        <v>5.0522994980479652</v>
      </c>
      <c r="AI28" s="37">
        <f>60* (AE28 / _xlfn.XLOOKUP($L28,Specs!$A:$A,Specs!$B:$B,0))</f>
        <v>15.123819018404905</v>
      </c>
      <c r="AJ28" s="39">
        <v>7.4489487971157002</v>
      </c>
      <c r="AK28" s="46" t="s">
        <v>703</v>
      </c>
      <c r="AL28" s="47" t="s">
        <v>646</v>
      </c>
      <c r="AM28" s="40">
        <v>0</v>
      </c>
      <c r="AN28" s="48">
        <v>18</v>
      </c>
      <c r="AO28" s="40">
        <v>18</v>
      </c>
      <c r="AP28" s="30" t="s">
        <v>210</v>
      </c>
      <c r="AQ28" t="str">
        <f>_xlfn.XLOOKUP("What's Your Number?",[1]Sheet1!$1:$1,[1]Sheet1!28:28)</f>
        <v>9542491226</v>
      </c>
    </row>
    <row r="29" spans="1:43" x14ac:dyDescent="0.25">
      <c r="A29" s="42" t="s">
        <v>704</v>
      </c>
      <c r="B29" s="76" t="s">
        <v>705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173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706</v>
      </c>
      <c r="AL29" s="47" t="s">
        <v>646</v>
      </c>
      <c r="AM29" s="40">
        <v>4</v>
      </c>
      <c r="AN29" s="48">
        <v>11</v>
      </c>
      <c r="AO29" s="40">
        <v>7</v>
      </c>
      <c r="AP29" s="30" t="s">
        <v>210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707</v>
      </c>
      <c r="B30" s="76" t="s">
        <v>619</v>
      </c>
      <c r="C30" s="31" t="s">
        <v>708</v>
      </c>
      <c r="D30" s="31" t="s">
        <v>62</v>
      </c>
      <c r="E30" s="31" t="s">
        <v>65</v>
      </c>
      <c r="F30" s="31" t="s">
        <v>522</v>
      </c>
      <c r="G30" s="31" t="s">
        <v>83</v>
      </c>
      <c r="H30" s="31" t="s">
        <v>266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206</v>
      </c>
      <c r="P30" s="45" t="s">
        <v>173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709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210</v>
      </c>
      <c r="AQ30" t="str">
        <f>_xlfn.XLOOKUP("What's Your Number?",[1]Sheet1!$1:$1,[1]Sheet1!30:30)</f>
        <v>5612914048</v>
      </c>
    </row>
    <row r="31" spans="1:43" x14ac:dyDescent="0.25">
      <c r="A31" s="42" t="s">
        <v>710</v>
      </c>
      <c r="B31" s="76" t="s">
        <v>619</v>
      </c>
      <c r="C31" s="31" t="s">
        <v>711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712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157</v>
      </c>
      <c r="O31" s="45" t="s">
        <v>156</v>
      </c>
      <c r="P31" s="45" t="s">
        <v>173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713</v>
      </c>
      <c r="AL31" s="47" t="s">
        <v>646</v>
      </c>
      <c r="AM31" s="40">
        <v>0</v>
      </c>
      <c r="AN31" s="48">
        <v>7</v>
      </c>
      <c r="AO31" s="40">
        <v>7</v>
      </c>
      <c r="AP31" s="30" t="s">
        <v>210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714</v>
      </c>
      <c r="B32" s="76" t="s">
        <v>715</v>
      </c>
      <c r="C32" s="31" t="s">
        <v>508</v>
      </c>
      <c r="D32" s="31" t="s">
        <v>71</v>
      </c>
      <c r="E32" s="31" t="s">
        <v>177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716</v>
      </c>
      <c r="AL32" s="47">
        <v>8</v>
      </c>
      <c r="AM32" s="40">
        <v>2</v>
      </c>
      <c r="AN32" s="48">
        <v>11</v>
      </c>
      <c r="AO32" s="40">
        <v>9</v>
      </c>
      <c r="AP32" s="30" t="s">
        <v>210</v>
      </c>
      <c r="AQ32" t="str">
        <f>_xlfn.XLOOKUP("What's Your Number?",[1]Sheet1!$1:$1,[1]Sheet1!32:32)</f>
        <v>(754) 281-7323</v>
      </c>
    </row>
    <row r="33" spans="1:43" x14ac:dyDescent="0.25">
      <c r="A33" s="42" t="s">
        <v>717</v>
      </c>
      <c r="B33" s="76" t="s">
        <v>718</v>
      </c>
      <c r="C33" s="31" t="s">
        <v>719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720</v>
      </c>
      <c r="AL33" s="47">
        <v>8</v>
      </c>
      <c r="AM33" s="40">
        <v>2</v>
      </c>
      <c r="AN33" s="48">
        <v>4</v>
      </c>
      <c r="AO33" s="40">
        <v>2</v>
      </c>
      <c r="AP33" s="30" t="s">
        <v>210</v>
      </c>
      <c r="AQ33" t="str">
        <f>_xlfn.XLOOKUP("What's Your Number?",[1]Sheet1!$1:$1,[1]Sheet1!33:33)</f>
        <v>954-830-6368</v>
      </c>
    </row>
    <row r="34" spans="1:43" x14ac:dyDescent="0.25">
      <c r="A34" s="42" t="s">
        <v>721</v>
      </c>
      <c r="B34" s="76" t="s">
        <v>722</v>
      </c>
      <c r="C34" s="31" t="s">
        <v>723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724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210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725</v>
      </c>
      <c r="B35" s="76" t="s">
        <v>618</v>
      </c>
      <c r="C35" s="31" t="s">
        <v>726</v>
      </c>
      <c r="D35" s="31" t="s">
        <v>62</v>
      </c>
      <c r="E35" s="31" t="s">
        <v>65</v>
      </c>
      <c r="F35" s="31" t="s">
        <v>0</v>
      </c>
      <c r="G35" s="31" t="s">
        <v>449</v>
      </c>
      <c r="H35" s="31" t="s">
        <v>727</v>
      </c>
      <c r="I35" s="31">
        <v>0</v>
      </c>
      <c r="J35" s="31" t="s">
        <v>510</v>
      </c>
      <c r="K35" s="31">
        <v>0</v>
      </c>
      <c r="L35" s="77" t="s">
        <v>43</v>
      </c>
      <c r="M35" s="45" t="s">
        <v>450</v>
      </c>
      <c r="N35" s="45" t="s">
        <v>6</v>
      </c>
      <c r="O35" s="45" t="s">
        <v>156</v>
      </c>
      <c r="P35" s="45" t="s">
        <v>159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728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210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729</v>
      </c>
      <c r="B36" s="76" t="s">
        <v>715</v>
      </c>
      <c r="C36" s="31" t="s">
        <v>508</v>
      </c>
      <c r="D36" s="31" t="s">
        <v>71</v>
      </c>
      <c r="E36" s="31" t="s">
        <v>177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716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210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730</v>
      </c>
      <c r="B37" s="76" t="s">
        <v>715</v>
      </c>
      <c r="C37" s="31" t="s">
        <v>508</v>
      </c>
      <c r="D37" s="31" t="s">
        <v>71</v>
      </c>
      <c r="E37" s="31" t="s">
        <v>177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716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210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731</v>
      </c>
      <c r="B38" s="76" t="s">
        <v>619</v>
      </c>
      <c r="C38" s="31" t="s">
        <v>708</v>
      </c>
      <c r="D38" s="31" t="s">
        <v>62</v>
      </c>
      <c r="E38" s="31" t="s">
        <v>65</v>
      </c>
      <c r="F38" s="31" t="s">
        <v>522</v>
      </c>
      <c r="G38" s="31" t="s">
        <v>83</v>
      </c>
      <c r="H38" s="31" t="s">
        <v>266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451</v>
      </c>
      <c r="N38" s="45" t="s">
        <v>6</v>
      </c>
      <c r="O38" s="45" t="s">
        <v>206</v>
      </c>
      <c r="P38" s="45" t="s">
        <v>159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732</v>
      </c>
      <c r="AL38" s="47">
        <v>0</v>
      </c>
      <c r="AM38" s="40">
        <v>0</v>
      </c>
      <c r="AN38" s="48">
        <v>9</v>
      </c>
      <c r="AO38" s="40">
        <v>9</v>
      </c>
      <c r="AP38" s="30" t="s">
        <v>500</v>
      </c>
      <c r="AQ38" t="str">
        <f>_xlfn.XLOOKUP("What's Your Number?",[1]Sheet1!$1:$1,[1]Sheet1!38:38)</f>
        <v>5612914048</v>
      </c>
    </row>
    <row r="39" spans="1:43" x14ac:dyDescent="0.25">
      <c r="A39" s="42" t="s">
        <v>733</v>
      </c>
      <c r="B39" s="76" t="s">
        <v>734</v>
      </c>
      <c r="C39" s="31" t="s">
        <v>358</v>
      </c>
      <c r="D39" s="31" t="s">
        <v>71</v>
      </c>
      <c r="E39" s="31" t="s">
        <v>177</v>
      </c>
      <c r="F39" s="31" t="s">
        <v>0</v>
      </c>
      <c r="G39" s="31">
        <v>0</v>
      </c>
      <c r="H39" s="31">
        <v>0</v>
      </c>
      <c r="I39" s="31">
        <v>0</v>
      </c>
      <c r="J39" s="31" t="s">
        <v>510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173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500</v>
      </c>
      <c r="AQ39" t="str">
        <f>_xlfn.XLOOKUP("What's Your Number?",[1]Sheet1!$1:$1,[1]Sheet1!39:39)</f>
        <v>954-483-8278</v>
      </c>
    </row>
    <row r="40" spans="1:43" x14ac:dyDescent="0.25">
      <c r="A40" s="42" t="s">
        <v>735</v>
      </c>
      <c r="B40" s="76" t="s">
        <v>734</v>
      </c>
      <c r="C40" s="31" t="s">
        <v>252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500</v>
      </c>
      <c r="AQ40" t="str">
        <f>_xlfn.XLOOKUP("What's Your Number?",[1]Sheet1!$1:$1,[1]Sheet1!40:40)</f>
        <v>954-483-8278</v>
      </c>
    </row>
    <row r="41" spans="1:43" x14ac:dyDescent="0.25">
      <c r="A41" s="44" t="s">
        <v>736</v>
      </c>
      <c r="B41" s="76" t="s">
        <v>656</v>
      </c>
      <c r="C41" s="31" t="s">
        <v>737</v>
      </c>
      <c r="D41" s="31" t="s">
        <v>66</v>
      </c>
      <c r="E41" s="31" t="s">
        <v>283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510</v>
      </c>
      <c r="L41" s="77" t="s">
        <v>4</v>
      </c>
      <c r="M41" s="45" t="s">
        <v>450</v>
      </c>
      <c r="N41" s="45" t="s">
        <v>46</v>
      </c>
      <c r="O41" s="45">
        <v>0</v>
      </c>
      <c r="P41" s="45" t="s">
        <v>159</v>
      </c>
      <c r="Q41" s="45" t="s">
        <v>158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500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738</v>
      </c>
      <c r="B42" s="76" t="s">
        <v>715</v>
      </c>
      <c r="C42" s="31" t="s">
        <v>508</v>
      </c>
      <c r="D42" s="31" t="s">
        <v>71</v>
      </c>
      <c r="E42" s="31" t="s">
        <v>177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716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210</v>
      </c>
      <c r="AQ42" t="str">
        <f>_xlfn.XLOOKUP("What's Your Number?",[1]Sheet1!$1:$1,[1]Sheet1!42:42)</f>
        <v>7542817324</v>
      </c>
    </row>
    <row r="43" spans="1:43" ht="30" x14ac:dyDescent="0.25">
      <c r="A43" s="42" t="s">
        <v>739</v>
      </c>
      <c r="B43" s="76" t="s">
        <v>715</v>
      </c>
      <c r="C43" s="31" t="s">
        <v>508</v>
      </c>
      <c r="D43" s="31" t="s">
        <v>71</v>
      </c>
      <c r="E43" s="31" t="s">
        <v>177</v>
      </c>
      <c r="F43" s="31">
        <v>0</v>
      </c>
      <c r="G43" s="31" t="s">
        <v>522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451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716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210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740</v>
      </c>
      <c r="B44" s="76" t="s">
        <v>619</v>
      </c>
      <c r="C44" s="31" t="s">
        <v>708</v>
      </c>
      <c r="D44" s="31" t="s">
        <v>62</v>
      </c>
      <c r="E44" s="31" t="s">
        <v>65</v>
      </c>
      <c r="F44" s="31" t="s">
        <v>522</v>
      </c>
      <c r="G44" s="31" t="s">
        <v>83</v>
      </c>
      <c r="H44" s="31" t="s">
        <v>266</v>
      </c>
      <c r="I44" s="31" t="s">
        <v>104</v>
      </c>
      <c r="J44" s="31" t="s">
        <v>1</v>
      </c>
      <c r="K44" s="31">
        <v>0</v>
      </c>
      <c r="L44" s="77" t="s">
        <v>340</v>
      </c>
      <c r="M44" s="45" t="s">
        <v>451</v>
      </c>
      <c r="N44" s="45" t="s">
        <v>451</v>
      </c>
      <c r="O44" s="45" t="s">
        <v>206</v>
      </c>
      <c r="P44" s="45" t="s">
        <v>448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610.79700000000003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305.39850000000001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418.36666666666667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313.77499999999998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1.4474346</v>
      </c>
      <c r="AA44" s="35">
        <f t="shared" si="1"/>
        <v>0.5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5260.3556585591132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280.03929072023811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156.17995000000002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437.81462171592773</v>
      </c>
      <c r="AF44" s="38">
        <f>$AE44 / (_xlfn.XLOOKUP($L44,Specs!A:A,Specs!B:B,0))</f>
        <v>0.24417993403007682</v>
      </c>
      <c r="AG44" s="37">
        <f>60* ($AB44 / _xlfn.XLOOKUP($L44,Specs!A:A,Specs!B:B,0))</f>
        <v>176.02974875267529</v>
      </c>
      <c r="AH44" s="37">
        <f>60* (AC44 / _xlfn.XLOOKUP($L44,Specs!$A:$A,Specs!$B:$B,0))</f>
        <v>9.3710861367620115</v>
      </c>
      <c r="AI44" s="37">
        <f>60* (AE44 / _xlfn.XLOOKUP($L44,Specs!$A:$A,Specs!$B:$B,0))</f>
        <v>14.650796041804609</v>
      </c>
      <c r="AJ44" s="39">
        <v>7.9155151313178393</v>
      </c>
      <c r="AK44" s="46" t="s">
        <v>741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210</v>
      </c>
      <c r="AQ44" t="str">
        <f>_xlfn.XLOOKUP("What's Your Number?",[1]Sheet1!$1:$1,[1]Sheet1!44:44)</f>
        <v>954-483-8278</v>
      </c>
    </row>
    <row r="45" spans="1:43" x14ac:dyDescent="0.25">
      <c r="A45" s="42" t="s">
        <v>742</v>
      </c>
      <c r="B45" s="76" t="s">
        <v>718</v>
      </c>
      <c r="C45" s="31" t="s">
        <v>508</v>
      </c>
      <c r="D45" s="31">
        <v>0</v>
      </c>
      <c r="E45" s="31">
        <v>0</v>
      </c>
      <c r="F45" s="31">
        <v>0</v>
      </c>
      <c r="G45" s="31" t="s">
        <v>522</v>
      </c>
      <c r="H45" s="31">
        <v>0</v>
      </c>
      <c r="I45" s="31" t="s">
        <v>267</v>
      </c>
      <c r="J45" s="31">
        <v>0</v>
      </c>
      <c r="K45" s="31">
        <v>0</v>
      </c>
      <c r="L45" s="77" t="s">
        <v>43</v>
      </c>
      <c r="M45" s="45">
        <v>0</v>
      </c>
      <c r="N45" s="45" t="s">
        <v>451</v>
      </c>
      <c r="O45" s="45">
        <v>0</v>
      </c>
      <c r="P45" s="45" t="s">
        <v>173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210</v>
      </c>
      <c r="AQ45" t="str">
        <f>_xlfn.XLOOKUP("What's Your Number?",[1]Sheet1!$1:$1,[1]Sheet1!45:45)</f>
        <v>954-830-6368</v>
      </c>
    </row>
    <row r="46" spans="1:43" x14ac:dyDescent="0.25">
      <c r="A46" s="42" t="s">
        <v>743</v>
      </c>
      <c r="B46" s="76" t="s">
        <v>744</v>
      </c>
      <c r="C46" s="31" t="s">
        <v>543</v>
      </c>
      <c r="D46" s="31" t="s">
        <v>62</v>
      </c>
      <c r="E46" s="31" t="s">
        <v>65</v>
      </c>
      <c r="F46" s="31" t="s">
        <v>0</v>
      </c>
      <c r="G46" s="31" t="s">
        <v>486</v>
      </c>
      <c r="H46" s="31" t="s">
        <v>406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450</v>
      </c>
      <c r="N46" s="45" t="s">
        <v>451</v>
      </c>
      <c r="O46" s="45" t="s">
        <v>156</v>
      </c>
      <c r="P46" s="45" t="s">
        <v>448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210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642</v>
      </c>
      <c r="B47" s="76" t="s">
        <v>734</v>
      </c>
      <c r="C47" s="31" t="s">
        <v>643</v>
      </c>
      <c r="D47" s="31" t="s">
        <v>62</v>
      </c>
      <c r="E47" s="31" t="s">
        <v>65</v>
      </c>
      <c r="F47" s="31" t="s">
        <v>544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175</v>
      </c>
      <c r="N47" s="45" t="s">
        <v>44</v>
      </c>
      <c r="O47" s="45">
        <v>0</v>
      </c>
      <c r="P47" s="45" t="s">
        <v>173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756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210</v>
      </c>
      <c r="AQ47" t="str">
        <f>_xlfn.XLOOKUP("What's Your Number?",[1]Sheet1!$1:$1,[1]Sheet1!47:47)</f>
        <v>954-483-8278</v>
      </c>
    </row>
    <row r="48" spans="1:43" x14ac:dyDescent="0.25">
      <c r="A48" s="116" t="s">
        <v>745</v>
      </c>
      <c r="B48" s="76" t="s">
        <v>656</v>
      </c>
      <c r="C48" s="31" t="s">
        <v>746</v>
      </c>
      <c r="D48" s="31" t="s">
        <v>71</v>
      </c>
      <c r="E48" s="31" t="s">
        <v>177</v>
      </c>
      <c r="F48" s="31" t="s">
        <v>0</v>
      </c>
      <c r="G48" s="31">
        <v>0</v>
      </c>
      <c r="H48" s="31">
        <v>0</v>
      </c>
      <c r="I48" s="31">
        <v>0</v>
      </c>
      <c r="J48" s="31" t="s">
        <v>510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173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210</v>
      </c>
      <c r="AQ48" t="str">
        <f>_xlfn.XLOOKUP("What's Your Number?",[1]Sheet1!$1:$1,[1]Sheet1!48:48)</f>
        <v>954-483-8278</v>
      </c>
    </row>
    <row r="49" spans="1:44" x14ac:dyDescent="0.25">
      <c r="A49" s="42" t="s">
        <v>747</v>
      </c>
      <c r="B49" s="76" t="s">
        <v>748</v>
      </c>
      <c r="C49" s="31" t="s">
        <v>749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249</v>
      </c>
      <c r="I49" s="31" t="s">
        <v>267</v>
      </c>
      <c r="J49" s="31" t="s">
        <v>136</v>
      </c>
      <c r="K49" s="31"/>
      <c r="L49" s="77" t="s">
        <v>4</v>
      </c>
      <c r="M49" s="45" t="s">
        <v>10</v>
      </c>
      <c r="N49" s="45" t="s">
        <v>451</v>
      </c>
      <c r="O49" s="45" t="s">
        <v>156</v>
      </c>
      <c r="P49" s="45" t="s">
        <v>448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210</v>
      </c>
      <c r="AQ49" t="str">
        <f>_xlfn.XLOOKUP("What's Your Number?",[1]Sheet1!$1:$1,[1]Sheet1!49:49)</f>
        <v>7867882139</v>
      </c>
    </row>
    <row r="50" spans="1:44" x14ac:dyDescent="0.25">
      <c r="A50" s="42" t="s">
        <v>750</v>
      </c>
      <c r="B50" s="76" t="s">
        <v>618</v>
      </c>
      <c r="C50" s="31" t="s">
        <v>751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451</v>
      </c>
      <c r="O50" s="45">
        <v>0</v>
      </c>
      <c r="P50" s="45" t="s">
        <v>448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210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752</v>
      </c>
      <c r="B51" s="76" t="s">
        <v>619</v>
      </c>
      <c r="C51" s="31" t="s">
        <v>753</v>
      </c>
      <c r="D51" s="31" t="s">
        <v>62</v>
      </c>
      <c r="E51" s="31" t="s">
        <v>65</v>
      </c>
      <c r="F51" s="31" t="s">
        <v>83</v>
      </c>
      <c r="G51" s="31" t="s">
        <v>522</v>
      </c>
      <c r="H51" s="31" t="s">
        <v>266</v>
      </c>
      <c r="I51" s="31" t="s">
        <v>104</v>
      </c>
      <c r="J51" s="31" t="s">
        <v>1</v>
      </c>
      <c r="K51" s="31"/>
      <c r="L51" s="77" t="s">
        <v>340</v>
      </c>
      <c r="M51" s="45" t="s">
        <v>451</v>
      </c>
      <c r="N51" s="45" t="s">
        <v>10</v>
      </c>
      <c r="O51" s="45" t="s">
        <v>206</v>
      </c>
      <c r="P51" s="45" t="s">
        <v>448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610.79700000000003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305.39850000000001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418.36666666666667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313.77499999999998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1.4474346</v>
      </c>
      <c r="AA51" s="35">
        <f t="shared" si="1"/>
        <v>0.5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5260.3556585591132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280.03929072023811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156.17995000000002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437.81462171592773</v>
      </c>
      <c r="AF51" s="38">
        <f>$AE51 / (_xlfn.XLOOKUP($L51,Specs!A:A,Specs!B:B,0))</f>
        <v>0.24417993403007682</v>
      </c>
      <c r="AG51" s="37">
        <f>60* ($AB51 / _xlfn.XLOOKUP($L51,Specs!A:A,Specs!B:B,0))</f>
        <v>176.02974875267529</v>
      </c>
      <c r="AH51" s="37">
        <f>60* (AC51 / _xlfn.XLOOKUP($L51,Specs!$A:$A,Specs!$B:$B,0))</f>
        <v>9.3710861367620115</v>
      </c>
      <c r="AI51" s="37">
        <f>60* (AE51 / _xlfn.XLOOKUP($L51,Specs!$A:$A,Specs!$B:$B,0))</f>
        <v>14.650796041804609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210</v>
      </c>
      <c r="AQ51" t="str">
        <f>_xlfn.XLOOKUP("What's Your Number?",[1]Sheet1!$1:$1,[1]Sheet1!51:51)</f>
        <v>954-483-8278</v>
      </c>
    </row>
    <row r="52" spans="1:44" x14ac:dyDescent="0.25">
      <c r="A52" s="42" t="s">
        <v>754</v>
      </c>
      <c r="B52" s="76" t="s">
        <v>618</v>
      </c>
      <c r="C52" s="31" t="s">
        <v>616</v>
      </c>
      <c r="D52" s="31" t="s">
        <v>65</v>
      </c>
      <c r="E52" s="31" t="s">
        <v>75</v>
      </c>
      <c r="F52" s="31" t="s">
        <v>0</v>
      </c>
      <c r="G52" s="31" t="s">
        <v>407</v>
      </c>
      <c r="H52" s="31" t="s">
        <v>406</v>
      </c>
      <c r="I52" s="31">
        <v>0</v>
      </c>
      <c r="J52" s="31">
        <v>0</v>
      </c>
      <c r="K52" s="31"/>
      <c r="L52" s="77" t="s">
        <v>4</v>
      </c>
      <c r="M52" s="45" t="s">
        <v>157</v>
      </c>
      <c r="N52" s="45" t="s">
        <v>451</v>
      </c>
      <c r="O52" s="45" t="s">
        <v>154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210</v>
      </c>
      <c r="AQ52" t="str">
        <f>_xlfn.XLOOKUP("What's Your Number?",[1]Sheet1!$1:$1,[1]Sheet1!52:52)</f>
        <v>954-483-8278</v>
      </c>
    </row>
    <row r="53" spans="1:44" x14ac:dyDescent="0.25">
      <c r="A53" s="42" t="s">
        <v>755</v>
      </c>
      <c r="B53" s="76" t="s">
        <v>618</v>
      </c>
      <c r="C53" s="31" t="s">
        <v>617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249</v>
      </c>
      <c r="I53" s="31" t="s">
        <v>234</v>
      </c>
      <c r="J53" s="31" t="s">
        <v>1</v>
      </c>
      <c r="K53" s="31"/>
      <c r="L53" s="77" t="s">
        <v>4</v>
      </c>
      <c r="M53" s="45" t="s">
        <v>157</v>
      </c>
      <c r="N53" s="45" t="s">
        <v>451</v>
      </c>
      <c r="O53" s="45" t="s">
        <v>156</v>
      </c>
      <c r="P53" s="45" t="s">
        <v>448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210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Flavors'!E:E),_xlfn.XLOOKUP("What's The First Flavor You Want? ",[1]Sheet1!$1:$1,[1]Sheet1!54:54))</f>
        <v>0</v>
      </c>
      <c r="G54" s="31">
        <f>IF(COUNTIF('Premade Flavors'!$A:$A, $C54) &gt; 0,_xlfn.XLOOKUP($C54,'Premade Flavors'!$A:$A,'Premade Flavors'!F:F),_xlfn.XLOOKUP("What's the Second Flavor You Want?",[1]Sheet1!$1:$1,[1]Sheet1!54:54))</f>
        <v>0</v>
      </c>
      <c r="H54" s="31">
        <f>IF(COUNTIF('Premade Flavors'!$A:$A, $C54) &gt; 0,_xlfn.XLOOKUP($C54,'Premade Flavors'!$A:$A,'Premade Flavors'!G:G),_xlfn.XLOOKUP("What's The First Mix In That You Want? ",[1]Sheet1!$1:$1,[1]Sheet1!54:54))</f>
        <v>0</v>
      </c>
      <c r="I54" s="31">
        <f>IF(COUNTIF('Premade Flavors'!$A:$A, $C54) &gt; 0,_xlfn.XLOOKUP($C54,'Premade Flavors'!$A:$A,'Premade Flavors'!H:H),IF([2]Sheet1!W54=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Flavors'!I:I),"Stevia"),_xlfn.XLOOKUP("What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Flavors'!M:M),_xlfn.XLOOKUP("How Strong Do You Want The First Flavor?",[1]Sheet1!$1:$1,[1]Sheet1!54:54))</f>
        <v>0</v>
      </c>
      <c r="N54" s="45">
        <f>IF(COUNTIF('Premade Flavors'!$A:$A, $C54) &gt; 0,_xlfn.XLOOKUP($C54,'Premade Flavors'!$A:$A,'Premade Flavors'!N:N),_xlfn.XLOOKUP("How Strong Do You Want The Second Flavor?",[1]Sheet1!$1:$1,[1]Sheet1!54:54))</f>
        <v>0</v>
      </c>
      <c r="O54" s="45">
        <f>IF(COUNTIF('Premade Flavors'!$A:$A, $C54) &gt; 0,_xlfn.XLOOKUP($C54,'Premade Flavors'!$A:$A,'Premade Flavors'!O:O),_xlfn.XLOOKUP("How Dense Should the Mix Ins Be?",[1]Sheet1!$1:$1,[1]Sheet1!54:54))</f>
        <v>0</v>
      </c>
      <c r="P54" s="45">
        <f>IF(COUNTIF('Premade Flavors'!$A:$A, $C54) &gt; 0,_xlfn.XLOOKUP($C54,'Premade Flavors'!$A:$A,'Premade Flavors'!P:P),_xlfn.XLOOKUP("How Much Of The First Sweetner? ",[1]Sheet1!$1:$1,[1]Sheet1!54:54))</f>
        <v>0</v>
      </c>
      <c r="Q54" s="45">
        <f>IF(COUNTIF('Premade Flavors'!$A:$A, $C54) &gt; 0,_xlfn.XLOOKUP($C54,'Premade Flavors'!$A:$A,'Premade Flavors'!Q:Q),[2]Sheet1!S54)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638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210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Flavors'!E:E),_xlfn.XLOOKUP("What's The First Flavor You Want? ",[1]Sheet1!$1:$1,[1]Sheet1!55:55))</f>
        <v>0</v>
      </c>
      <c r="G55" s="31" t="s">
        <v>522</v>
      </c>
      <c r="H55" s="31">
        <f>IF(COUNTIF('Premade Flavors'!$A:$A, $C55) &gt; 0,_xlfn.XLOOKUP($C55,'Premade Flavors'!$A:$A,'Premade Flavors'!G:G),_xlfn.XLOOKUP("What's The First Mix In That You Want? ",[1]Sheet1!$1:$1,[1]Sheet1!55:55))</f>
        <v>0</v>
      </c>
      <c r="I55" s="31" t="s">
        <v>267</v>
      </c>
      <c r="J55" s="31">
        <f>IF(COUNTIF('Premade Flavors'!$A:$A,$C55)&gt;0,IF(_xlfn.XLOOKUP("Should It Use Sugar or A Non-Sugar Sweetner?",[1]Sheet1!$1:$1,[1]Sheet1!55:55)="Sugar",_xlfn.XLOOKUP($C55,'Premade Flavors'!$A:$A,'Premade Flavors'!I:I),"Stevia"),_xlfn.XLOOKUP("What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Flavors'!M:M),_xlfn.XLOOKUP("How Strong Do You Want The First Flavor?",[1]Sheet1!$1:$1,[1]Sheet1!55:55))</f>
        <v>0</v>
      </c>
      <c r="N55" s="45" t="s">
        <v>451</v>
      </c>
      <c r="O55" s="45">
        <f>IF(COUNTIF('Premade Flavors'!$A:$A, $C55) &gt; 0,_xlfn.XLOOKUP($C55,'Premade Flavors'!$A:$A,'Premade Flavors'!O:O),_xlfn.XLOOKUP("How Dense Should the Mix Ins Be?",[1]Sheet1!$1:$1,[1]Sheet1!55:55))</f>
        <v>0</v>
      </c>
      <c r="P55" s="45">
        <f>IF(COUNTIF('Premade Flavors'!$A:$A, $C55) &gt; 0,_xlfn.XLOOKUP($C55,'Premade Flavors'!$A:$A,'Premade Flavors'!P:P),_xlfn.XLOOKUP("How Much Of The First Sweetner? ",[1]Sheet1!$1:$1,[1]Sheet1!55:55))</f>
        <v>0</v>
      </c>
      <c r="Q55" s="45">
        <f>IF(COUNTIF('Premade Flavors'!$A:$A, $C55) &gt; 0,_xlfn.XLOOKUP($C55,'Premade Flavors'!$A:$A,'Premade Flavors'!Q:Q),[2]Sheet1!S55)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638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210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Flavors'!E:E),_xlfn.XLOOKUP("What's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Flavors'!G:G),_xlfn.XLOOKUP("What's The First Mix In That You Want? ",[1]Sheet1!$1:$1,[1]Sheet1!56:56))</f>
        <v>0</v>
      </c>
      <c r="I56" s="31">
        <f>IF(COUNTIF('Premade Flavors'!$A:$A, $C56) &gt; 0,_xlfn.XLOOKUP($C56,'Premade Flavors'!$A:$A,'Premade Flavors'!H:H),IF([2]Sheet1!W56=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Flavors'!I:I),"Stevia"),_xlfn.XLOOKUP("What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Flavors'!M:M),_xlfn.XLOOKUP("How Strong Do You Want The First Flavor?",[1]Sheet1!$1:$1,[1]Sheet1!56:56))</f>
        <v>Light (For pastes and extracts)</v>
      </c>
      <c r="N56" s="45" t="s">
        <v>452</v>
      </c>
      <c r="O56" s="45">
        <f>IF(COUNTIF('Premade Flavors'!$A:$A, $C56) &gt; 0,_xlfn.XLOOKUP($C56,'Premade Flavors'!$A:$A,'Premade Flavors'!O:O),_xlfn.XLOOKUP("How Dense Should the Mix Ins Be?",[1]Sheet1!$1:$1,[1]Sheet1!56:56))</f>
        <v>0</v>
      </c>
      <c r="P56" s="45" t="str">
        <f>IF(COUNTIF('Premade Flavors'!$A:$A, $C56) &gt; 0,_xlfn.XLOOKUP($C56,'Premade Flavors'!$A:$A,'Premade Flavors'!P:P),_xlfn.XLOOKUP("How Much Of The First Sweetner? ",[1]Sheet1!$1:$1,[1]Sheet1!56:56))</f>
        <v>1:1 Sweet</v>
      </c>
      <c r="Q56" s="45">
        <f>IF(COUNTIF('Premade Flavors'!$A:$A, $C56) &gt; 0,_xlfn.XLOOKUP($C56,'Premade Flavors'!$A:$A,'Premade Flavors'!Q:Q),[2]Sheet1!S56)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210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Flavors'!E:E),_xlfn.XLOOKUP("What's The First Flavor You Want? ",[1]Sheet1!$1:$1,[1]Sheet1!57:57))</f>
        <v>0</v>
      </c>
      <c r="G57" s="31">
        <f>IF(COUNTIF('Premade Flavors'!$A:$A, $C57) &gt; 0,_xlfn.XLOOKUP($C57,'Premade Flavors'!$A:$A,'Premade Flavors'!F:F),_xlfn.XLOOKUP("What's the Second Flavor You Want?",[1]Sheet1!$1:$1,[1]Sheet1!57:57))</f>
        <v>0</v>
      </c>
      <c r="H57" s="31">
        <f>IF(COUNTIF('Premade Flavors'!$A:$A, $C57) &gt; 0,_xlfn.XLOOKUP($C57,'Premade Flavors'!$A:$A,'Premade Flavors'!G:G),_xlfn.XLOOKUP("What's The First Mix In That You Want? ",[1]Sheet1!$1:$1,[1]Sheet1!57:57))</f>
        <v>0</v>
      </c>
      <c r="I57" s="31">
        <f>IF(COUNTIF('Premade Flavors'!$A:$A, $C57) &gt; 0,_xlfn.XLOOKUP($C57,'Premade Flavors'!$A:$A,'Premade Flavors'!H:H),_xlfn.XLOOKUP("What's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Flavors'!I:I),"Stevia"),_xlfn.XLOOKUP("What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Flavors'!M:M),_xlfn.XLOOKUP("How Strong Do You Want The First Flavor?",[1]Sheet1!$1:$1,[1]Sheet1!57:57))</f>
        <v>0</v>
      </c>
      <c r="N57" s="45">
        <f>IF(COUNTIF('Premade Flavors'!$A:$A, $C57) &gt; 0,_xlfn.XLOOKUP($C57,'Premade Flavors'!$A:$A,'Premade Flavors'!N:N),_xlfn.XLOOKUP("How Strong Do You Want The Second Flavor?",[1]Sheet1!$1:$1,[1]Sheet1!57:57))</f>
        <v>0</v>
      </c>
      <c r="O57" s="45">
        <f>IF(COUNTIF('Premade Flavors'!$A:$A, $C57) &gt; 0,_xlfn.XLOOKUP($C57,'Premade Flavors'!$A:$A,'Premade Flavors'!O:O),_xlfn.XLOOKUP("How Dense Should the Mix Ins Be?",[1]Sheet1!$1:$1,[1]Sheet1!57:57))</f>
        <v>0</v>
      </c>
      <c r="P57" s="45">
        <f>IF(COUNTIF('Premade Flavors'!$A:$A, $C57) &gt; 0,_xlfn.XLOOKUP($C57,'Premade Flavors'!$A:$A,'Premade Flavors'!P:P),_xlfn.XLOOKUP("How Much Of The First Sweetner? ",[1]Sheet1!$1:$1,[1]Sheet1!57:57))</f>
        <v>0</v>
      </c>
      <c r="Q57" s="45">
        <f>IF(COUNTIF('Premade Flavors'!$A:$A, $C57) &gt; 0,_xlfn.XLOOKUP($C57,'Premade Flavors'!$A:$A,'Premade Flavors'!Q:Q),[2]Sheet1!S57)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773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Flavors'!E:E),_xlfn.XLOOKUP("What's The First Flavor You Want? ",[1]Sheet1!$1:$1,[1]Sheet1!58:58))</f>
        <v>0</v>
      </c>
      <c r="G58" s="31">
        <f>IF(COUNTIF('Premade Flavors'!$A:$A, $C58) &gt; 0,_xlfn.XLOOKUP($C58,'Premade Flavors'!$A:$A,'Premade Flavors'!F:F),_xlfn.XLOOKUP("What's the Second Flavor You Want?",[1]Sheet1!$1:$1,[1]Sheet1!58:58))</f>
        <v>0</v>
      </c>
      <c r="H58" s="31">
        <f>IF(COUNTIF('Premade Flavors'!$A:$A, $C58) &gt; 0,_xlfn.XLOOKUP($C58,'Premade Flavors'!$A:$A,'Premade Flavors'!G:G),_xlfn.XLOOKUP("What's The First Mix In That You Want? ",[1]Sheet1!$1:$1,[1]Sheet1!58:58))</f>
        <v>0</v>
      </c>
      <c r="I58" s="31">
        <f>IF(COUNTIF('Premade Flavors'!$A:$A, $C58) &gt; 0,_xlfn.XLOOKUP($C58,'Premade Flavors'!$A:$A,'Premade Flavors'!H:H),_xlfn.XLOOKUP("What's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Flavors'!I:I),"Stevia"),_xlfn.XLOOKUP("What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Flavors'!M:M),_xlfn.XLOOKUP("How Strong Do You Want The First Flavor?",[1]Sheet1!$1:$1,[1]Sheet1!58:58))</f>
        <v>0</v>
      </c>
      <c r="N58" s="45">
        <f>IF(COUNTIF('Premade Flavors'!$A:$A, $C58) &gt; 0,_xlfn.XLOOKUP($C58,'Premade Flavors'!$A:$A,'Premade Flavors'!N:N),_xlfn.XLOOKUP("How Strong Do You Want The Second Flavor?",[1]Sheet1!$1:$1,[1]Sheet1!58:58))</f>
        <v>0</v>
      </c>
      <c r="O58" s="45">
        <f>IF(COUNTIF('Premade Flavors'!$A:$A, $C58) &gt; 0,_xlfn.XLOOKUP($C58,'Premade Flavors'!$A:$A,'Premade Flavors'!O:O),_xlfn.XLOOKUP("How Dense Should the Mix Ins Be?",[1]Sheet1!$1:$1,[1]Sheet1!58:58))</f>
        <v>0</v>
      </c>
      <c r="P58" s="45">
        <f>IF(COUNTIF('Premade Flavors'!$A:$A, $C58) &gt; 0,_xlfn.XLOOKUP($C58,'Premade Flavors'!$A:$A,'Premade Flavors'!P:P),_xlfn.XLOOKUP("How Much Of The First Sweetner? ",[1]Sheet1!$1:$1,[1]Sheet1!58:58))</f>
        <v>0</v>
      </c>
      <c r="Q58" s="45">
        <f>IF(COUNTIF('Premade Flavors'!$A:$A, $C58) &gt; 0,_xlfn.XLOOKUP($C58,'Premade Flavors'!$A:$A,'Premade Flavors'!Q:Q),[2]Sheet1!S58)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210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757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Flavors'!E:E),_xlfn.XLOOKUP("What's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Flavors'!F:F),_xlfn.XLOOKUP("What's the Second Flavor You Want?",[1]Sheet1!$1:$1,[1]Sheet1!59:59))</f>
        <v>0</v>
      </c>
      <c r="H59" s="31" t="str">
        <f>IF(COUNTIF('Premade Flavors'!$A:$A, $C59) &gt; 0,_xlfn.XLOOKUP($C59,'Premade Flavors'!$A:$A,'Premade Flavors'!G:G),_xlfn.XLOOKUP("What's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Flavors'!H:H),_xlfn.XLOOKUP("What's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Flavors'!I:I),"Stevia"),_xlfn.XLOOKUP("What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Flavors'!M:M),_xlfn.XLOOKUP("How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Flavors'!N:N),_xlfn.XLOOKUP("How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Flavors'!O:O),_xlfn.XLOOKUP("How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Flavors'!P:P),_xlfn.XLOOKUP("How Much Of The First Sweetner? ",[1]Sheet1!$1:$1,[1]Sheet1!59:59))</f>
        <v>1:1 Sweet</v>
      </c>
      <c r="Q59" s="45">
        <f>IF(COUNTIF('Premade Flavors'!$A:$A, $C59) &gt; 0,_xlfn.XLOOKUP($C59,'Premade Flavors'!$A:$A,'Premade Flavors'!Q:Q),[2]Sheet1!S59)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5.0049502643003247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17</v>
      </c>
      <c r="AO59" s="40">
        <f>ROUNDUP(((AJ59+Specs!$R$2+Specs!$S$2+_xlfn.XLOOKUP($L59,Specs!A:A,Specs!V:V,0))*Specs!$N$2),0)</f>
        <v>13</v>
      </c>
      <c r="AP59" s="30" t="s">
        <v>210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Flavors'!E:E),_xlfn.XLOOKUP("What's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Flavors'!F:F),_xlfn.XLOOKUP("What's the Second Flavor You Want?",[1]Sheet1!$1:$1,[1]Sheet1!60:60))</f>
        <v>0</v>
      </c>
      <c r="H60" s="31" t="str">
        <f>IF(COUNTIF('Premade Flavors'!$A:$A, $C60) &gt; 0,_xlfn.XLOOKUP($C60,'Premade Flavors'!$A:$A,'Premade Flavors'!G:G),_xlfn.XLOOKUP("What's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Flavors'!H:H),_xlfn.XLOOKUP("What's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Flavors'!I:I),"Stevia"),_xlfn.XLOOKUP("What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450</v>
      </c>
      <c r="N60" s="45">
        <f>IF(COUNTIF('Premade Flavors'!$A:$A, $C60) &gt; 0,_xlfn.XLOOKUP($C60,'Premade Flavors'!$A:$A,'Premade Flavors'!N:N),_xlfn.XLOOKUP("How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Flavors'!O:O),_xlfn.XLOOKUP("How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Flavors'!P:P),_xlfn.XLOOKUP("How Much Of The First Sweetner? ",[1]Sheet1!$1:$1,[1]Sheet1!60:60))</f>
        <v>1:1 Sweet</v>
      </c>
      <c r="Q60" s="45">
        <f>IF(COUNTIF('Premade Flavors'!$A:$A, $C60) &gt; 0,_xlfn.XLOOKUP($C60,'Premade Flavors'!$A:$A,'Premade Flavors'!Q:Q),[2]Sheet1!S60)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210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Flavors'!E:E),_xlfn.XLOOKUP("What's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Flavors'!F:F),_xlfn.XLOOKUP("What's the Second Flavor You Want?",[1]Sheet1!$1:$1,[1]Sheet1!61:61))</f>
        <v>Nutella</v>
      </c>
      <c r="H61" s="31" t="s">
        <v>117</v>
      </c>
      <c r="I61" t="s">
        <v>422</v>
      </c>
      <c r="J61" s="31" t="str">
        <f>IF(COUNTIF('Premade Flavors'!$A:$A,$C61)&gt;0,IF(_xlfn.XLOOKUP("Should It Use Sugar or A Non-Sugar Sweetner?",[1]Sheet1!$1:$1,[1]Sheet1!61:61)="Sugar",_xlfn.XLOOKUP($C61,'Premade Flavors'!$A:$A,'Premade Flavors'!I:I),"Stevia"),_xlfn.XLOOKUP("What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Flavors'!M:M),_xlfn.XLOOKUP("How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Flavors'!O:O),_xlfn.XLOOKUP("How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Flavors'!P:P),_xlfn.XLOOKUP("How Much Of The First Sweetner? ",[1]Sheet1!$1:$1,[1]Sheet1!61:61))</f>
        <v>1:1 Sweet</v>
      </c>
      <c r="Q61" s="45">
        <f>IF(COUNTIF('Premade Flavors'!$A:$A, $C61) &gt; 0,_xlfn.XLOOKUP($C61,'Premade Flavors'!$A:$A,'Premade Flavors'!Q:Q),[2]Sheet1!S61)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6.6739883513382825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20</v>
      </c>
      <c r="AO61" s="40">
        <f>ROUNDUP(((AJ61+Specs!$R$2+Specs!$S$2+_xlfn.XLOOKUP($L61,Specs!A:A,Specs!V:V,0))*Specs!$N$2),0)</f>
        <v>16</v>
      </c>
      <c r="AP61" s="30" t="s">
        <v>210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Flavors'!E:E),_xlfn.XLOOKUP("What's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Flavors'!F:F),_xlfn.XLOOKUP("What's the Second Flavor You Want?",[1]Sheet1!$1:$1,[1]Sheet1!62:62))</f>
        <v>0</v>
      </c>
      <c r="H62" s="31" t="str">
        <f>IF(COUNTIF('Premade Flavors'!$A:$A, $C62) &gt; 0,_xlfn.XLOOKUP($C62,'Premade Flavors'!$A:$A,'Premade Flavors'!G:G),_xlfn.XLOOKUP("What's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Flavors'!H:H),_xlfn.XLOOKUP("What's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Flavors'!I:I),"Stevia"),_xlfn.XLOOKUP("What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450</v>
      </c>
      <c r="N62" s="45">
        <f>IF(COUNTIF('Premade Flavors'!$A:$A, $C62) &gt; 0,_xlfn.XLOOKUP($C62,'Premade Flavors'!$A:$A,'Premade Flavors'!N:N),_xlfn.XLOOKUP("How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Flavors'!O:O),_xlfn.XLOOKUP("How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Flavors'!P:P),_xlfn.XLOOKUP("How Much Of The First Sweetner? ",[1]Sheet1!$1:$1,[1]Sheet1!62:62))</f>
        <v>1:1 Sweet</v>
      </c>
      <c r="Q62" s="45">
        <f>IF(COUNTIF('Premade Flavors'!$A:$A, $C62) &gt; 0,_xlfn.XLOOKUP($C62,'Premade Flavors'!$A:$A,'Premade Flavors'!Q:Q),[2]Sheet1!S62)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5.7983281723771931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18</v>
      </c>
      <c r="AO62" s="40">
        <f>ROUNDUP(((AJ62+Specs!$R$2+Specs!$S$2+_xlfn.XLOOKUP($L62,Specs!A:A,Specs!V:V,0))*Specs!$N$2),0)</f>
        <v>14</v>
      </c>
      <c r="AP62" s="30" t="s">
        <v>210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515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Flavors'!E:E),_xlfn.XLOOKUP("What's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Flavors'!F:F),_xlfn.XLOOKUP("What's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Flavors'!G:G),_xlfn.XLOOKUP("What's The First Mix In That You Want? ",[1]Sheet1!$1:$1,[1]Sheet1!63:63))</f>
        <v>Toto</v>
      </c>
      <c r="I63" s="31">
        <f>IF(COUNTIF('Premade Flavors'!$A:$A, $C63) &gt; 0,_xlfn.XLOOKUP($C63,'Premade Flavors'!$A:$A,'Premade Flavors'!H:H),_xlfn.XLOOKUP("What's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Flavors'!I:I),"Stevia"),_xlfn.XLOOKUP("What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Flavors'!M:M),_xlfn.XLOOKUP("How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Flavors'!N:N),_xlfn.XLOOKUP("How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Flavors'!O:O),_xlfn.XLOOKUP("How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Flavors'!P:P),_xlfn.XLOOKUP("How Much Of The First Sweetner? ",[1]Sheet1!$1:$1,[1]Sheet1!63:63))</f>
        <v>1:1 Sweet</v>
      </c>
      <c r="Q63" s="45">
        <f>IF(COUNTIF('Premade Flavors'!$A:$A, $C63) &gt; 0,_xlfn.XLOOKUP($C63,'Premade Flavors'!$A:$A,'Premade Flavors'!Q:Q),[2]Sheet1!S63)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5</v>
      </c>
      <c r="AN63" s="48">
        <f>ROUNDUP(((AJ63+Specs!$R$2+Specs!$S$2+_xlfn.XLOOKUP($L63,Specs!A:A,Specs!V:V,0))*Specs!$N$2)+AM63,0)</f>
        <v>16</v>
      </c>
      <c r="AO63" s="40">
        <f>ROUNDUP(((AJ63+Specs!$R$2+Specs!$S$2+_xlfn.XLOOKUP($L63,Specs!A:A,Specs!V:V,0))*Specs!$N$2),0)</f>
        <v>11</v>
      </c>
      <c r="AP63" s="30" t="s">
        <v>500</v>
      </c>
      <c r="AQ63" t="str">
        <f>_xlfn.XLOOKUP("What's Your Number?",[1]Sheet1!$1:$1,[1]Sheet1!63:63)</f>
        <v>Tommy Truong</v>
      </c>
      <c r="AR63" t="s">
        <v>793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Flavors'!E:E),_xlfn.XLOOKUP("What's The First Flavor You Want? ",[1]Sheet1!$1:$1,[1]Sheet1!64:64))</f>
        <v>0</v>
      </c>
      <c r="G64" s="31">
        <f>IF(COUNTIF('Premade Flavors'!$A:$A, $C64) &gt; 0,_xlfn.XLOOKUP($C64,'Premade Flavors'!$A:$A,'Premade Flavors'!F:F),_xlfn.XLOOKUP("What's the Second Flavor You Want?",[1]Sheet1!$1:$1,[1]Sheet1!64:64))</f>
        <v>0</v>
      </c>
      <c r="H64" s="31">
        <f>IF(COUNTIF('Premade Flavors'!$A:$A, $C64) &gt; 0,_xlfn.XLOOKUP($C64,'Premade Flavors'!$A:$A,'Premade Flavors'!G:G),_xlfn.XLOOKUP("What's The First Mix In That You Want? ",[1]Sheet1!$1:$1,[1]Sheet1!64:64))</f>
        <v>0</v>
      </c>
      <c r="I64" s="31">
        <f>IF(COUNTIF('Premade Flavors'!$A:$A, $C64) &gt; 0,_xlfn.XLOOKUP($C64,'Premade Flavors'!$A:$A,'Premade Flavors'!H:H),_xlfn.XLOOKUP("What's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Flavors'!I:I),"Stevia"),_xlfn.XLOOKUP("What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Flavors'!M:M),_xlfn.XLOOKUP("How Strong Do You Want The First Flavor?",[1]Sheet1!$1:$1,[1]Sheet1!64:64))</f>
        <v>0</v>
      </c>
      <c r="N64" s="45">
        <f>IF(COUNTIF('Premade Flavors'!$A:$A, $C64) &gt; 0,_xlfn.XLOOKUP($C64,'Premade Flavors'!$A:$A,'Premade Flavors'!N:N),_xlfn.XLOOKUP("How Strong Do You Want The Second Flavor?",[1]Sheet1!$1:$1,[1]Sheet1!64:64))</f>
        <v>0</v>
      </c>
      <c r="O64" s="45">
        <f>IF(COUNTIF('Premade Flavors'!$A:$A, $C64) &gt; 0,_xlfn.XLOOKUP($C64,'Premade Flavors'!$A:$A,'Premade Flavors'!O:O),_xlfn.XLOOKUP("How Dense Should the Mix Ins Be?",[1]Sheet1!$1:$1,[1]Sheet1!64:64))</f>
        <v>0</v>
      </c>
      <c r="P64" s="45">
        <f>IF(COUNTIF('Premade Flavors'!$A:$A, $C64) &gt; 0,_xlfn.XLOOKUP($C64,'Premade Flavors'!$A:$A,'Premade Flavors'!P:P),_xlfn.XLOOKUP("How Much Of The First Sweetner? ",[1]Sheet1!$1:$1,[1]Sheet1!64:64))</f>
        <v>0</v>
      </c>
      <c r="Q64" s="45">
        <f>IF(COUNTIF('Premade Flavors'!$A:$A, $C64) &gt; 0,_xlfn.XLOOKUP($C64,'Premade Flavors'!$A:$A,'Premade Flavors'!Q:Q),[2]Sheet1!S64)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5</v>
      </c>
      <c r="AN64" s="48">
        <f>ROUNDUP(((AJ64+Specs!$R$2+Specs!$S$2+_xlfn.XLOOKUP($L64,Specs!A:A,Specs!V:V,0))*Specs!$N$2)+AM64,0)</f>
        <v>7</v>
      </c>
      <c r="AO64" s="40">
        <f>ROUNDUP(((AJ64+Specs!$R$2+Specs!$S$2+_xlfn.XLOOKUP($L64,Specs!A:A,Specs!V:V,0))*Specs!$N$2),0)</f>
        <v>2</v>
      </c>
      <c r="AP64" s="30" t="s">
        <v>210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0</v>
      </c>
      <c r="E65" s="31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0</v>
      </c>
      <c r="F65" s="31">
        <f>IF(COUNTIF('Premade Flavors'!$A:$A, $C65) &gt; 0,_xlfn.XLOOKUP($C65,'Premade Flavors'!$A:$A,'Premade Flavors'!E:E),_xlfn.XLOOKUP("What's The First Flavor You Want? ",[1]Sheet1!$1:$1,[1]Sheet1!65:65))</f>
        <v>0</v>
      </c>
      <c r="G65" s="31">
        <f>IF(COUNTIF('Premade Flavors'!$A:$A, $C65) &gt; 0,_xlfn.XLOOKUP($C65,'Premade Flavors'!$A:$A,'Premade Flavors'!F:F),_xlfn.XLOOKUP("What's the Second Flavor You Want?",[1]Sheet1!$1:$1,[1]Sheet1!65:65))</f>
        <v>0</v>
      </c>
      <c r="H65" s="31">
        <f>IF(COUNTIF('Premade Flavors'!$A:$A, $C65) &gt; 0,_xlfn.XLOOKUP($C65,'Premade Flavors'!$A:$A,'Premade Flavors'!G:G),_xlfn.XLOOKUP("What's The First Mix In That You Want? ",[1]Sheet1!$1:$1,[1]Sheet1!65:65))</f>
        <v>0</v>
      </c>
      <c r="I65" s="31">
        <f>IF(COUNTIF('Premade Flavors'!$A:$A, $C65) &gt; 0,_xlfn.XLOOKUP($C65,'Premade Flavors'!$A:$A,'Premade Flavors'!H:H),_xlfn.XLOOKUP("What's The Second Mix In That You Want? ",[1]Sheet1!$1:$1,[1]Sheet1!65:65))</f>
        <v>0</v>
      </c>
      <c r="J65" s="31">
        <f>IF(COUNTIF('Premade Flavors'!$A:$A,$C65)&gt;0,IF(_xlfn.XLOOKUP("Should It Use Sugar or A Non-Sugar Sweetner?",[1]Sheet1!$1:$1,[1]Sheet1!65:65)="Sugar",_xlfn.XLOOKUP($C65,'Premade Flavors'!$A:$A,'Premade Flavors'!I:I),"Stevia"),_xlfn.XLOOKUP("What Sweetner Do You Want?",[1]Sheet1!$1:$1,[1]Sheet1!65:65))</f>
        <v>0</v>
      </c>
      <c r="K65" s="31"/>
      <c r="L65" s="77" t="str">
        <f>_xlfn.XLOOKUP("How Much Ice Cream Do You Want?",[1]Sheet1!$1:$1,[1]Sheet1!65:65)</f>
        <v>Quart</v>
      </c>
      <c r="M65" s="45">
        <f>IF(COUNTIF('Premade Flavors'!$A:$A, $C65) &gt; 0,_xlfn.XLOOKUP($C65,'Premade Flavors'!$A:$A,'Premade Flavors'!M:M),_xlfn.XLOOKUP("How Strong Do You Want The First Flavor?",[1]Sheet1!$1:$1,[1]Sheet1!65:65))</f>
        <v>0</v>
      </c>
      <c r="N65" s="45">
        <f>IF(COUNTIF('Premade Flavors'!$A:$A, $C65) &gt; 0,_xlfn.XLOOKUP($C65,'Premade Flavors'!$A:$A,'Premade Flavors'!N:N),_xlfn.XLOOKUP("How Strong Do You Want The Second Flavor?",[1]Sheet1!$1:$1,[1]Sheet1!65:65))</f>
        <v>0</v>
      </c>
      <c r="O65" s="45">
        <f>IF(COUNTIF('Premade Flavors'!$A:$A, $C65) &gt; 0,_xlfn.XLOOKUP($C65,'Premade Flavors'!$A:$A,'Premade Flavors'!O:O),_xlfn.XLOOKUP("How Dense Should the Mix Ins Be?",[1]Sheet1!$1:$1,[1]Sheet1!65:65))</f>
        <v>0</v>
      </c>
      <c r="P65" s="45">
        <f>IF(COUNTIF('Premade Flavors'!$A:$A, $C65) &gt; 0,_xlfn.XLOOKUP($C65,'Premade Flavors'!$A:$A,'Premade Flavors'!P:P),_xlfn.XLOOKUP("How Much Of The First Sweetner? ",[1]Sheet1!$1:$1,[1]Sheet1!65:65))</f>
        <v>0</v>
      </c>
      <c r="Q65" s="45">
        <f>IF(COUNTIF('Premade Flavors'!$A:$A, $C65) &gt; 0,_xlfn.XLOOKUP($C65,'Premade Flavors'!$A:$A,'Premade Flavors'!Q:Q),[2]Sheet1!S65)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624.36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312.18</v>
      </c>
      <c r="T65" s="30">
        <f>_xlfn.XLOOKUP($M65,Specs!$D:$D,Specs!$E:$E,0)*15*_xlfn.XLOOKUP($L65,Specs!$A:$A,Specs!$C:$C,0)</f>
        <v>0</v>
      </c>
      <c r="U65" s="30">
        <f>_xlfn.XLOOKUP($N65,Specs!$D:$D,Specs!$E:$E,0)*15*_xlfn.XLOOKUP($L65,Specs!$A:$A,Specs!$C:$C,0)</f>
        <v>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0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1.123848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0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0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0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0</v>
      </c>
      <c r="AF65" s="38">
        <f>$AE65 / (_xlfn.XLOOKUP($L65,Specs!A:A,Specs!B:B,0))</f>
        <v>0</v>
      </c>
      <c r="AG65" s="37">
        <f>60* ($AB65 / _xlfn.XLOOKUP($L65,Specs!A:A,Specs!B:B,0))</f>
        <v>0</v>
      </c>
      <c r="AH65" s="37">
        <f>60* (AC65 / _xlfn.XLOOKUP($L65,Specs!$A:$A,Specs!$B:$B,0))</f>
        <v>0</v>
      </c>
      <c r="AI65" s="37">
        <f>60* (AE65 / _xlfn.XLOOKUP($L65,Specs!$A:$A,Specs!$B:$B,0))</f>
        <v>0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0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3</v>
      </c>
      <c r="AO65" s="40">
        <f>ROUNDUP(((AJ65+Specs!$R$2+Specs!$S$2+_xlfn.XLOOKUP($L65,Specs!A:A,Specs!V:V,0))*Specs!$N$2),0)</f>
        <v>3</v>
      </c>
      <c r="AP65" s="30" t="s">
        <v>210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Flavors'!E:E),_xlfn.XLOOKUP("What's The First Flavor You Want? ",[1]Sheet1!$1:$1,[1]Sheet1!66:66))</f>
        <v>0</v>
      </c>
      <c r="G66" s="31">
        <f>IF(COUNTIF('Premade Flavors'!$A:$A, $C66) &gt; 0,_xlfn.XLOOKUP($C66,'Premade Flavors'!$A:$A,'Premade Flavors'!F:F),_xlfn.XLOOKUP("What's the Second Flavor You Want?",[1]Sheet1!$1:$1,[1]Sheet1!66:66))</f>
        <v>0</v>
      </c>
      <c r="H66" s="31">
        <f>IF(COUNTIF('Premade Flavors'!$A:$A, $C66) &gt; 0,_xlfn.XLOOKUP($C66,'Premade Flavors'!$A:$A,'Premade Flavors'!G:G),_xlfn.XLOOKUP("What's The First Mix In That You Want? ",[1]Sheet1!$1:$1,[1]Sheet1!66:66))</f>
        <v>0</v>
      </c>
      <c r="I66" s="31">
        <f>IF(COUNTIF('Premade Flavors'!$A:$A, $C66) &gt; 0,_xlfn.XLOOKUP($C66,'Premade Flavors'!$A:$A,'Premade Flavors'!H:H),_xlfn.XLOOKUP("What's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Flavors'!I:I),"Stevia"),_xlfn.XLOOKUP("What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Flavors'!M:M),_xlfn.XLOOKUP("How Strong Do You Want The First Flavor?",[1]Sheet1!$1:$1,[1]Sheet1!66:66))</f>
        <v>0</v>
      </c>
      <c r="N66" s="45">
        <f>IF(COUNTIF('Premade Flavors'!$A:$A, $C66) &gt; 0,_xlfn.XLOOKUP($C66,'Premade Flavors'!$A:$A,'Premade Flavors'!N:N),_xlfn.XLOOKUP("How Strong Do You Want The Second Flavor?",[1]Sheet1!$1:$1,[1]Sheet1!66:66))</f>
        <v>0</v>
      </c>
      <c r="O66" s="45">
        <f>IF(COUNTIF('Premade Flavors'!$A:$A, $C66) &gt; 0,_xlfn.XLOOKUP($C66,'Premade Flavors'!$A:$A,'Premade Flavors'!O:O),_xlfn.XLOOKUP("How Dense Should the Mix Ins Be?",[1]Sheet1!$1:$1,[1]Sheet1!66:66))</f>
        <v>0</v>
      </c>
      <c r="P66" s="45">
        <f>IF(COUNTIF('Premade Flavors'!$A:$A, $C66) &gt; 0,_xlfn.XLOOKUP($C66,'Premade Flavors'!$A:$A,'Premade Flavors'!P:P),_xlfn.XLOOKUP("How Much Of The First Sweetner? ",[1]Sheet1!$1:$1,[1]Sheet1!66:66))</f>
        <v>0</v>
      </c>
      <c r="Q66" s="45">
        <f>IF(COUNTIF('Premade Flavors'!$A:$A, $C66) &gt; 0,_xlfn.XLOOKUP($C66,'Premade Flavors'!$A:$A,'Premade Flavors'!Q:Q),[2]Sheet1!S66)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665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210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Flavors'!F:F),_xlfn.XLOOKUP("What's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Flavors'!G:G),_xlfn.XLOOKUP("What's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Flavors'!H:H),_xlfn.XLOOKUP("What's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Flavors'!I:I),"Stevia"),_xlfn.XLOOKUP("What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Flavors'!O:O),_xlfn.XLOOKUP("How Dense Should the Mix Ins Be?",[1]Sheet1!$1:$1,[1]Sheet1!67:67))</f>
        <v>Normal (25%)</v>
      </c>
      <c r="P67" s="45" t="s">
        <v>769</v>
      </c>
      <c r="Q67" s="45">
        <f>IF(COUNTIF('Premade Flavors'!$A:$A, $C67) &gt; 0,_xlfn.XLOOKUP($C67,'Premade Flavors'!$A:$A,'Premade Flavors'!Q:Q),[2]Sheet1!S67)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665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210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Flavors'!E:E),_xlfn.XLOOKUP("What's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Flavors'!F:F),_xlfn.XLOOKUP("What's the Second Flavor You Want?",[1]Sheet1!$1:$1,[1]Sheet1!68:68))</f>
        <v>Nutella</v>
      </c>
      <c r="H68" s="31" t="str">
        <f>IF(COUNTIF('Premade Flavors'!$A:$A, $C68) &gt; 0,_xlfn.XLOOKUP($C68,'Premade Flavors'!$A:$A,'Premade Flavors'!G:G),_xlfn.XLOOKUP("What's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Flavors'!H:H),_xlfn.XLOOKUP("What's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Flavors'!I:I),"Stevia"),_xlfn.XLOOKUP("What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Flavors'!M:M),_xlfn.XLOOKUP("How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Flavors'!N:N),_xlfn.XLOOKUP("How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Flavors'!O:O),_xlfn.XLOOKUP("How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Flavors'!P:P),_xlfn.XLOOKUP("How Much Of The First Sweetner? ",[1]Sheet1!$1:$1,[1]Sheet1!68:68))</f>
        <v>3/4 Sweet</v>
      </c>
      <c r="Q68" s="45">
        <f>IF(COUNTIF('Premade Flavors'!$A:$A, $C68) &gt; 0,_xlfn.XLOOKUP($C68,'Premade Flavors'!$A:$A,'Premade Flavors'!Q:Q),[2]Sheet1!S68)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906.87300000000016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453.43650000000008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72.840625000000003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134.47499999999999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1.8483714000000002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4280.388327566965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313.46966216851786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270.0232607142857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331.30811313286461</v>
      </c>
      <c r="AF68" s="38">
        <f>$AE68 / (_xlfn.XLOOKUP($L68,Specs!A:A,Specs!B:B,0))</f>
        <v>0.18477864647677891</v>
      </c>
      <c r="AG68" s="37">
        <f>60* ($AB68 / _xlfn.XLOOKUP($L68,Specs!A:A,Specs!B:B,0))</f>
        <v>143.23664230564299</v>
      </c>
      <c r="AH68" s="37">
        <f>60* (AC68 / _xlfn.XLOOKUP($L68,Specs!$A:$A,Specs!$B:$B,0))</f>
        <v>10.489782336927536</v>
      </c>
      <c r="AI68" s="37">
        <f>60* (AE68 / _xlfn.XLOOKUP($L68,Specs!$A:$A,Specs!$B:$B,0))</f>
        <v>11.086718788606735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13.078806405446366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30</v>
      </c>
      <c r="AO68" s="40">
        <f>ROUNDUP(((AJ68+Specs!$R$2+Specs!$S$2+_xlfn.XLOOKUP($L68,Specs!A:A,Specs!V:V,0))*Specs!$N$2),0)</f>
        <v>30</v>
      </c>
      <c r="AP68" s="30" t="s">
        <v>210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Flavors'!E:E),_xlfn.XLOOKUP("What's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Flavors'!F:F),_xlfn.XLOOKUP("What's the Second Flavor You Want?",[1]Sheet1!$1:$1,[1]Sheet1!69:69))</f>
        <v>Caramel</v>
      </c>
      <c r="H69" s="31">
        <f>IF(COUNTIF('Premade Flavors'!$A:$A, $C69) &gt; 0,_xlfn.XLOOKUP($C69,'Premade Flavors'!$A:$A,'Premade Flavors'!G:G),_xlfn.XLOOKUP("What's The First Mix In That You Want? ",[1]Sheet1!$1:$1,[1]Sheet1!69:69))</f>
        <v>0</v>
      </c>
      <c r="I69" s="31">
        <f>IF(COUNTIF('Premade Flavors'!$A:$A, $C69) &gt; 0,_xlfn.XLOOKUP($C69,'Premade Flavors'!$A:$A,'Premade Flavors'!H:H),_xlfn.XLOOKUP("What's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Flavors'!I:I),"Stevia"),_xlfn.XLOOKUP("What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451</v>
      </c>
      <c r="N69" s="45" t="str">
        <f>IF(COUNTIF('Premade Flavors'!$A:$A, $C69) &gt; 0,_xlfn.XLOOKUP($C69,'Premade Flavors'!$A:$A,'Premade Flavors'!N:N),_xlfn.XLOOKUP("How Strong Do You Want The Second Flavor?",[1]Sheet1!$1:$1,[1]Sheet1!69:69))</f>
        <v>Normal</v>
      </c>
      <c r="O69" s="45">
        <f>IF(COUNTIF('Premade Flavors'!$A:$A, $C69) &gt; 0,_xlfn.XLOOKUP($C69,'Premade Flavors'!$A:$A,'Premade Flavors'!O:O),_xlfn.XLOOKUP("How Dense Should the Mix Ins Be?",[1]Sheet1!$1:$1,[1]Sheet1!69:69))</f>
        <v>0</v>
      </c>
      <c r="P69" s="45" t="s">
        <v>158</v>
      </c>
      <c r="Q69" s="45">
        <f>IF(COUNTIF('Premade Flavors'!$A:$A, $C69) &gt; 0,_xlfn.XLOOKUP($C69,'Premade Flavors'!$A:$A,'Premade Flavors'!Q:Q),[2]Sheet1!S69)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210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Flavors'!E:E),_xlfn.XLOOKUP("What's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Flavors'!F:F),_xlfn.XLOOKUP("What's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Flavors'!G:G),_xlfn.XLOOKUP("What's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Flavors'!H:H),_xlfn.XLOOKUP("What's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Flavors'!I:I),"Stevia"),_xlfn.XLOOKUP("What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450</v>
      </c>
      <c r="N70" s="45" t="str">
        <f>IF(COUNTIF('Premade Flavors'!$A:$A, $C70) &gt; 0,_xlfn.XLOOKUP($C70,'Premade Flavors'!$A:$A,'Premade Flavors'!N:N),_xlfn.XLOOKUP("How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Flavors'!O:O),_xlfn.XLOOKUP("How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Flavors'!P:P),_xlfn.XLOOKUP("How Much Of The First Sweetner? ",[1]Sheet1!$1:$1,[1]Sheet1!70:70))</f>
        <v>1:1 Sweet</v>
      </c>
      <c r="Q70" s="45">
        <f>IF(COUNTIF('Premade Flavors'!$A:$A, $C70) &gt; 0,_xlfn.XLOOKUP($C70,'Premade Flavors'!$A:$A,'Premade Flavors'!Q:Q),[2]Sheet1!S70)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11.143573834119829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9</v>
      </c>
      <c r="AN70" s="48">
        <f>ROUNDUP(((AJ70+Specs!$R$2+Specs!$S$2+_xlfn.XLOOKUP($L70,Specs!A:A,Specs!V:V,0))*Specs!$N$2)+AM70,0)</f>
        <v>34</v>
      </c>
      <c r="AO70" s="40">
        <f>ROUNDUP(((AJ70+Specs!$R$2+Specs!$S$2+_xlfn.XLOOKUP($L70,Specs!A:A,Specs!V:V,0))*Specs!$N$2),0)</f>
        <v>25</v>
      </c>
      <c r="AP70" s="30" t="s">
        <v>210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Flavors'!E:E),_xlfn.XLOOKUP("What's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Flavors'!F:F),_xlfn.XLOOKUP("What's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Flavors'!G:G),_xlfn.XLOOKUP("What's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Flavors'!H:H),_xlfn.XLOOKUP("What's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Flavors'!I:I),"Stevia"),_xlfn.XLOOKUP("What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Flavors'!M:M),_xlfn.XLOOKUP("How Strong Do You Want The First Flavor?",[1]Sheet1!$1:$1,[1]Sheet1!71:71))</f>
        <v>Normal</v>
      </c>
      <c r="N71" s="45" t="s">
        <v>450</v>
      </c>
      <c r="O71" s="45" t="str">
        <f>IF(COUNTIF('Premade Flavors'!$A:$A, $C71) &gt; 0,_xlfn.XLOOKUP($C71,'Premade Flavors'!$A:$A,'Premade Flavors'!O:O),_xlfn.XLOOKUP("How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Flavors'!P:P),_xlfn.XLOOKUP("How Much Of The First Sweetner? ",[1]Sheet1!$1:$1,[1]Sheet1!71:71))</f>
        <v>1:1 Sweet</v>
      </c>
      <c r="Q71" s="45">
        <f>IF(COUNTIF('Premade Flavors'!$A:$A, $C71) &gt; 0,_xlfn.XLOOKUP($C71,'Premade Flavors'!$A:$A,'Premade Flavors'!Q:Q),[2]Sheet1!S71)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210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Flavors'!E:E),_xlfn.XLOOKUP("What's The First Flavor You Want? ",[1]Sheet1!$1:$1,[1]Sheet1!72:72))</f>
        <v>0</v>
      </c>
      <c r="G72" s="31">
        <f>IF(COUNTIF('Premade Flavors'!$A:$A, $C72) &gt; 0,_xlfn.XLOOKUP($C72,'Premade Flavors'!$A:$A,'Premade Flavors'!F:F),_xlfn.XLOOKUP("What's the Second Flavor You Want?",[1]Sheet1!$1:$1,[1]Sheet1!72:72))</f>
        <v>0</v>
      </c>
      <c r="H72" s="31">
        <f>IF(COUNTIF('Premade Flavors'!$A:$A, $C72) &gt; 0,_xlfn.XLOOKUP($C72,'Premade Flavors'!$A:$A,'Premade Flavors'!G:G),_xlfn.XLOOKUP("What's The First Mix In That You Want? ",[1]Sheet1!$1:$1,[1]Sheet1!72:72))</f>
        <v>0</v>
      </c>
      <c r="I72" s="31">
        <f>IF(COUNTIF('Premade Flavors'!$A:$A, $C72) &gt; 0,_xlfn.XLOOKUP($C72,'Premade Flavors'!$A:$A,'Premade Flavors'!H:H),_xlfn.XLOOKUP("What's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Flavors'!I:I),"Stevia"),_xlfn.XLOOKUP("What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Flavors'!M:M),_xlfn.XLOOKUP("How Strong Do You Want The First Flavor?",[1]Sheet1!$1:$1,[1]Sheet1!72:72))</f>
        <v>0</v>
      </c>
      <c r="N72" s="45">
        <f>IF(COUNTIF('Premade Flavors'!$A:$A, $C72) &gt; 0,_xlfn.XLOOKUP($C72,'Premade Flavors'!$A:$A,'Premade Flavors'!N:N),_xlfn.XLOOKUP("How Strong Do You Want The Second Flavor?",[1]Sheet1!$1:$1,[1]Sheet1!72:72))</f>
        <v>0</v>
      </c>
      <c r="O72" s="45">
        <f>IF(COUNTIF('Premade Flavors'!$A:$A, $C72) &gt; 0,_xlfn.XLOOKUP($C72,'Premade Flavors'!$A:$A,'Premade Flavors'!O:O),_xlfn.XLOOKUP("How Dense Should the Mix Ins Be?",[1]Sheet1!$1:$1,[1]Sheet1!72:72))</f>
        <v>0</v>
      </c>
      <c r="P72" s="45">
        <f>IF(COUNTIF('Premade Flavors'!$A:$A, $C72) &gt; 0,_xlfn.XLOOKUP($C72,'Premade Flavors'!$A:$A,'Premade Flavors'!P:P),_xlfn.XLOOKUP("How Much Of The First Sweetner? ",[1]Sheet1!$1:$1,[1]Sheet1!72:72))</f>
        <v>0</v>
      </c>
      <c r="Q72" s="45">
        <f>IF(COUNTIF('Premade Flavors'!$A:$A, $C72) &gt; 0,_xlfn.XLOOKUP($C72,'Premade Flavors'!$A:$A,'Premade Flavors'!Q:Q),[2]Sheet1!S72)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Flavors'!E:E),_xlfn.XLOOKUP("What's The First Flavor You Want? ",[1]Sheet1!$1:$1,[1]Sheet1!73:73))</f>
        <v>0</v>
      </c>
      <c r="G73" s="31">
        <f>IF(COUNTIF('Premade Flavors'!$A:$A, $C73) &gt; 0,_xlfn.XLOOKUP($C73,'Premade Flavors'!$A:$A,'Premade Flavors'!F:F),_xlfn.XLOOKUP("What's the Second Flavor You Want?",[1]Sheet1!$1:$1,[1]Sheet1!73:73))</f>
        <v>0</v>
      </c>
      <c r="H73" s="31">
        <f>IF(COUNTIF('Premade Flavors'!$A:$A, $C73) &gt; 0,_xlfn.XLOOKUP($C73,'Premade Flavors'!$A:$A,'Premade Flavors'!G:G),_xlfn.XLOOKUP("What's The First Mix In That You Want? ",[1]Sheet1!$1:$1,[1]Sheet1!73:73))</f>
        <v>0</v>
      </c>
      <c r="I73" s="31">
        <f>IF(COUNTIF('Premade Flavors'!$A:$A, $C73) &gt; 0,_xlfn.XLOOKUP($C73,'Premade Flavors'!$A:$A,'Premade Flavors'!H:H),_xlfn.XLOOKUP("What's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Flavors'!I:I),"Stevia"),_xlfn.XLOOKUP("What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Flavors'!M:M),_xlfn.XLOOKUP("How Strong Do You Want The First Flavor?",[1]Sheet1!$1:$1,[1]Sheet1!73:73))</f>
        <v>0</v>
      </c>
      <c r="N73" s="45">
        <f>IF(COUNTIF('Premade Flavors'!$A:$A, $C73) &gt; 0,_xlfn.XLOOKUP($C73,'Premade Flavors'!$A:$A,'Premade Flavors'!N:N),_xlfn.XLOOKUP("How Strong Do You Want The Second Flavor?",[1]Sheet1!$1:$1,[1]Sheet1!73:73))</f>
        <v>0</v>
      </c>
      <c r="O73" s="45">
        <f>IF(COUNTIF('Premade Flavors'!$A:$A, $C73) &gt; 0,_xlfn.XLOOKUP($C73,'Premade Flavors'!$A:$A,'Premade Flavors'!O:O),_xlfn.XLOOKUP("How Dense Should the Mix Ins Be?",[1]Sheet1!$1:$1,[1]Sheet1!73:73))</f>
        <v>0</v>
      </c>
      <c r="P73" s="45">
        <f>IF(COUNTIF('Premade Flavors'!$A:$A, $C73) &gt; 0,_xlfn.XLOOKUP($C73,'Premade Flavors'!$A:$A,'Premade Flavors'!P:P),_xlfn.XLOOKUP("How Much Of The First Sweetner? ",[1]Sheet1!$1:$1,[1]Sheet1!73:73))</f>
        <v>0</v>
      </c>
      <c r="Q73" s="45">
        <f>IF(COUNTIF('Premade Flavors'!$A:$A, $C73) &gt; 0,_xlfn.XLOOKUP($C73,'Premade Flavors'!$A:$A,'Premade Flavors'!Q:Q),[2]Sheet1!S73)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Flavors'!E:E),_xlfn.XLOOKUP("What's The First Flavor You Want? ",[1]Sheet1!$1:$1,[1]Sheet1!74:74))</f>
        <v>0</v>
      </c>
      <c r="G74" s="31">
        <f>IF(COUNTIF('Premade Flavors'!$A:$A, $C74) &gt; 0,_xlfn.XLOOKUP($C74,'Premade Flavors'!$A:$A,'Premade Flavors'!F:F),_xlfn.XLOOKUP("What's the Second Flavor You Want?",[1]Sheet1!$1:$1,[1]Sheet1!74:74))</f>
        <v>0</v>
      </c>
      <c r="H74" s="31">
        <f>IF(COUNTIF('Premade Flavors'!$A:$A, $C74) &gt; 0,_xlfn.XLOOKUP($C74,'Premade Flavors'!$A:$A,'Premade Flavors'!G:G),_xlfn.XLOOKUP("What's The First Mix In That You Want? ",[1]Sheet1!$1:$1,[1]Sheet1!74:74))</f>
        <v>0</v>
      </c>
      <c r="I74" s="31">
        <f>IF(COUNTIF('Premade Flavors'!$A:$A, $C74) &gt; 0,_xlfn.XLOOKUP($C74,'Premade Flavors'!$A:$A,'Premade Flavors'!H:H),_xlfn.XLOOKUP("What's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Flavors'!I:I),"Stevia"),_xlfn.XLOOKUP("What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Flavors'!M:M),_xlfn.XLOOKUP("How Strong Do You Want The First Flavor?",[1]Sheet1!$1:$1,[1]Sheet1!74:74))</f>
        <v>0</v>
      </c>
      <c r="N74" s="45">
        <f>IF(COUNTIF('Premade Flavors'!$A:$A, $C74) &gt; 0,_xlfn.XLOOKUP($C74,'Premade Flavors'!$A:$A,'Premade Flavors'!N:N),_xlfn.XLOOKUP("How Strong Do You Want The Second Flavor?",[1]Sheet1!$1:$1,[1]Sheet1!74:74))</f>
        <v>0</v>
      </c>
      <c r="O74" s="45">
        <f>IF(COUNTIF('Premade Flavors'!$A:$A, $C74) &gt; 0,_xlfn.XLOOKUP($C74,'Premade Flavors'!$A:$A,'Premade Flavors'!O:O),_xlfn.XLOOKUP("How Dense Should the Mix Ins Be?",[1]Sheet1!$1:$1,[1]Sheet1!74:74))</f>
        <v>0</v>
      </c>
      <c r="P74" s="45">
        <f>IF(COUNTIF('Premade Flavors'!$A:$A, $C74) &gt; 0,_xlfn.XLOOKUP($C74,'Premade Flavors'!$A:$A,'Premade Flavors'!P:P),_xlfn.XLOOKUP("How Much Of The First Sweetner? ",[1]Sheet1!$1:$1,[1]Sheet1!74:74))</f>
        <v>0</v>
      </c>
      <c r="Q74" s="45">
        <f>IF(COUNTIF('Premade Flavors'!$A:$A, $C74) &gt; 0,_xlfn.XLOOKUP($C74,'Premade Flavors'!$A:$A,'Premade Flavors'!Q:Q),[2]Sheet1!S74)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Flavors'!E:E),_xlfn.XLOOKUP("What's The First Flavor You Want? ",[1]Sheet1!$1:$1,[1]Sheet1!75:75))</f>
        <v>0</v>
      </c>
      <c r="G75" s="31">
        <f>IF(COUNTIF('Premade Flavors'!$A:$A, $C75) &gt; 0,_xlfn.XLOOKUP($C75,'Premade Flavors'!$A:$A,'Premade Flavors'!F:F),_xlfn.XLOOKUP("What's the Second Flavor You Want?",[1]Sheet1!$1:$1,[1]Sheet1!75:75))</f>
        <v>0</v>
      </c>
      <c r="H75" s="31">
        <f>IF(COUNTIF('Premade Flavors'!$A:$A, $C75) &gt; 0,_xlfn.XLOOKUP($C75,'Premade Flavors'!$A:$A,'Premade Flavors'!G:G),_xlfn.XLOOKUP("What's The First Mix In That You Want? ",[1]Sheet1!$1:$1,[1]Sheet1!75:75))</f>
        <v>0</v>
      </c>
      <c r="I75" s="31">
        <f>IF(COUNTIF('Premade Flavors'!$A:$A, $C75) &gt; 0,_xlfn.XLOOKUP($C75,'Premade Flavors'!$A:$A,'Premade Flavors'!H:H),_xlfn.XLOOKUP("What's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Flavors'!I:I),"Stevia"),_xlfn.XLOOKUP("What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Flavors'!M:M),_xlfn.XLOOKUP("How Strong Do You Want The First Flavor?",[1]Sheet1!$1:$1,[1]Sheet1!75:75))</f>
        <v>0</v>
      </c>
      <c r="N75" s="45">
        <f>IF(COUNTIF('Premade Flavors'!$A:$A, $C75) &gt; 0,_xlfn.XLOOKUP($C75,'Premade Flavors'!$A:$A,'Premade Flavors'!N:N),_xlfn.XLOOKUP("How Strong Do You Want The Second Flavor?",[1]Sheet1!$1:$1,[1]Sheet1!75:75))</f>
        <v>0</v>
      </c>
      <c r="O75" s="45">
        <f>IF(COUNTIF('Premade Flavors'!$A:$A, $C75) &gt; 0,_xlfn.XLOOKUP($C75,'Premade Flavors'!$A:$A,'Premade Flavors'!O:O),_xlfn.XLOOKUP("How Dense Should the Mix Ins Be?",[1]Sheet1!$1:$1,[1]Sheet1!75:75))</f>
        <v>0</v>
      </c>
      <c r="P75" s="45">
        <f>IF(COUNTIF('Premade Flavors'!$A:$A, $C75) &gt; 0,_xlfn.XLOOKUP($C75,'Premade Flavors'!$A:$A,'Premade Flavors'!P:P),_xlfn.XLOOKUP("How Much Of The First Sweetner? ",[1]Sheet1!$1:$1,[1]Sheet1!75:75))</f>
        <v>0</v>
      </c>
      <c r="Q75" s="45">
        <f>IF(COUNTIF('Premade Flavors'!$A:$A, $C75) &gt; 0,_xlfn.XLOOKUP($C75,'Premade Flavors'!$A:$A,'Premade Flavors'!Q:Q),[2]Sheet1!S75)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Flavors'!E:E),_xlfn.XLOOKUP("What's The First Flavor You Want? ",[1]Sheet1!$1:$1,[1]Sheet1!76:76))</f>
        <v>0</v>
      </c>
      <c r="G76" s="31">
        <f>IF(COUNTIF('Premade Flavors'!$A:$A, $C76) &gt; 0,_xlfn.XLOOKUP($C76,'Premade Flavors'!$A:$A,'Premade Flavors'!F:F),_xlfn.XLOOKUP("What's the Second Flavor You Want?",[1]Sheet1!$1:$1,[1]Sheet1!76:76))</f>
        <v>0</v>
      </c>
      <c r="H76" s="31">
        <f>IF(COUNTIF('Premade Flavors'!$A:$A, $C76) &gt; 0,_xlfn.XLOOKUP($C76,'Premade Flavors'!$A:$A,'Premade Flavors'!G:G),_xlfn.XLOOKUP("What's The First Mix In That You Want? ",[1]Sheet1!$1:$1,[1]Sheet1!76:76))</f>
        <v>0</v>
      </c>
      <c r="I76" s="31">
        <f>IF(COUNTIF('Premade Flavors'!$A:$A, $C76) &gt; 0,_xlfn.XLOOKUP($C76,'Premade Flavors'!$A:$A,'Premade Flavors'!H:H),_xlfn.XLOOKUP("What's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Flavors'!I:I),"Stevia"),_xlfn.XLOOKUP("What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Flavors'!M:M),_xlfn.XLOOKUP("How Strong Do You Want The First Flavor?",[1]Sheet1!$1:$1,[1]Sheet1!76:76))</f>
        <v>0</v>
      </c>
      <c r="N76" s="45">
        <f>IF(COUNTIF('Premade Flavors'!$A:$A, $C76) &gt; 0,_xlfn.XLOOKUP($C76,'Premade Flavors'!$A:$A,'Premade Flavors'!N:N),_xlfn.XLOOKUP("How Strong Do You Want The Second Flavor?",[1]Sheet1!$1:$1,[1]Sheet1!76:76))</f>
        <v>0</v>
      </c>
      <c r="O76" s="45">
        <f>IF(COUNTIF('Premade Flavors'!$A:$A, $C76) &gt; 0,_xlfn.XLOOKUP($C76,'Premade Flavors'!$A:$A,'Premade Flavors'!O:O),_xlfn.XLOOKUP("How Dense Should the Mix Ins Be?",[1]Sheet1!$1:$1,[1]Sheet1!76:76))</f>
        <v>0</v>
      </c>
      <c r="P76" s="45">
        <f>IF(COUNTIF('Premade Flavors'!$A:$A, $C76) &gt; 0,_xlfn.XLOOKUP($C76,'Premade Flavors'!$A:$A,'Premade Flavors'!P:P),_xlfn.XLOOKUP("How Much Of The First Sweetner? ",[1]Sheet1!$1:$1,[1]Sheet1!76:76))</f>
        <v>0</v>
      </c>
      <c r="Q76" s="45">
        <f>IF(COUNTIF('Premade Flavors'!$A:$A, $C76) &gt; 0,_xlfn.XLOOKUP($C76,'Premade Flavors'!$A:$A,'Premade Flavors'!Q:Q),[2]Sheet1!S76)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Flavors'!E:E),_xlfn.XLOOKUP("What's The First Flavor You Want? ",[1]Sheet1!$1:$1,[1]Sheet1!77:77))</f>
        <v>0</v>
      </c>
      <c r="G77" s="31">
        <f>IF(COUNTIF('Premade Flavors'!$A:$A, $C77) &gt; 0,_xlfn.XLOOKUP($C77,'Premade Flavors'!$A:$A,'Premade Flavors'!F:F),_xlfn.XLOOKUP("What's the Second Flavor You Want?",[1]Sheet1!$1:$1,[1]Sheet1!77:77))</f>
        <v>0</v>
      </c>
      <c r="H77" s="31">
        <f>IF(COUNTIF('Premade Flavors'!$A:$A, $C77) &gt; 0,_xlfn.XLOOKUP($C77,'Premade Flavors'!$A:$A,'Premade Flavors'!G:G),_xlfn.XLOOKUP("What's The First Mix In That You Want? ",[1]Sheet1!$1:$1,[1]Sheet1!77:77))</f>
        <v>0</v>
      </c>
      <c r="I77" s="31">
        <f>IF(COUNTIF('Premade Flavors'!$A:$A, $C77) &gt; 0,_xlfn.XLOOKUP($C77,'Premade Flavors'!$A:$A,'Premade Flavors'!H:H),_xlfn.XLOOKUP("What's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Flavors'!I:I),"Stevia"),_xlfn.XLOOKUP("What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Flavors'!M:M),_xlfn.XLOOKUP("How Strong Do You Want The First Flavor?",[1]Sheet1!$1:$1,[1]Sheet1!77:77))</f>
        <v>0</v>
      </c>
      <c r="N77" s="45">
        <f>IF(COUNTIF('Premade Flavors'!$A:$A, $C77) &gt; 0,_xlfn.XLOOKUP($C77,'Premade Flavors'!$A:$A,'Premade Flavors'!N:N),_xlfn.XLOOKUP("How Strong Do You Want The Second Flavor?",[1]Sheet1!$1:$1,[1]Sheet1!77:77))</f>
        <v>0</v>
      </c>
      <c r="O77" s="45">
        <f>IF(COUNTIF('Premade Flavors'!$A:$A, $C77) &gt; 0,_xlfn.XLOOKUP($C77,'Premade Flavors'!$A:$A,'Premade Flavors'!O:O),_xlfn.XLOOKUP("How Dense Should the Mix Ins Be?",[1]Sheet1!$1:$1,[1]Sheet1!77:77))</f>
        <v>0</v>
      </c>
      <c r="P77" s="45">
        <f>IF(COUNTIF('Premade Flavors'!$A:$A, $C77) &gt; 0,_xlfn.XLOOKUP($C77,'Premade Flavors'!$A:$A,'Premade Flavors'!P:P),_xlfn.XLOOKUP("How Much Of The First Sweetner? ",[1]Sheet1!$1:$1,[1]Sheet1!77:77))</f>
        <v>0</v>
      </c>
      <c r="Q77" s="45">
        <f>IF(COUNTIF('Premade Flavors'!$A:$A, $C77) &gt; 0,_xlfn.XLOOKUP($C77,'Premade Flavors'!$A:$A,'Premade Flavors'!Q:Q),[2]Sheet1!S77)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Flavors'!E:E),_xlfn.XLOOKUP("What's The First Flavor You Want? ",[1]Sheet1!$1:$1,[1]Sheet1!78:78))</f>
        <v>0</v>
      </c>
      <c r="G78" s="31">
        <f>IF(COUNTIF('Premade Flavors'!$A:$A, $C78) &gt; 0,_xlfn.XLOOKUP($C78,'Premade Flavors'!$A:$A,'Premade Flavors'!F:F),_xlfn.XLOOKUP("What's the Second Flavor You Want?",[1]Sheet1!$1:$1,[1]Sheet1!78:78))</f>
        <v>0</v>
      </c>
      <c r="H78" s="31">
        <f>IF(COUNTIF('Premade Flavors'!$A:$A, $C78) &gt; 0,_xlfn.XLOOKUP($C78,'Premade Flavors'!$A:$A,'Premade Flavors'!G:G),_xlfn.XLOOKUP("What's The First Mix In That You Want? ",[1]Sheet1!$1:$1,[1]Sheet1!78:78))</f>
        <v>0</v>
      </c>
      <c r="I78" s="31">
        <f>IF(COUNTIF('Premade Flavors'!$A:$A, $C78) &gt; 0,_xlfn.XLOOKUP($C78,'Premade Flavors'!$A:$A,'Premade Flavors'!H:H),_xlfn.XLOOKUP("What's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Flavors'!I:I),"Stevia"),_xlfn.XLOOKUP("What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Flavors'!M:M),_xlfn.XLOOKUP("How Strong Do You Want The First Flavor?",[1]Sheet1!$1:$1,[1]Sheet1!78:78))</f>
        <v>0</v>
      </c>
      <c r="N78" s="45">
        <f>IF(COUNTIF('Premade Flavors'!$A:$A, $C78) &gt; 0,_xlfn.XLOOKUP($C78,'Premade Flavors'!$A:$A,'Premade Flavors'!N:N),_xlfn.XLOOKUP("How Strong Do You Want The Second Flavor?",[1]Sheet1!$1:$1,[1]Sheet1!78:78))</f>
        <v>0</v>
      </c>
      <c r="O78" s="45">
        <f>IF(COUNTIF('Premade Flavors'!$A:$A, $C78) &gt; 0,_xlfn.XLOOKUP($C78,'Premade Flavors'!$A:$A,'Premade Flavors'!O:O),_xlfn.XLOOKUP("How Dense Should the Mix Ins Be?",[1]Sheet1!$1:$1,[1]Sheet1!78:78))</f>
        <v>0</v>
      </c>
      <c r="P78" s="45">
        <f>IF(COUNTIF('Premade Flavors'!$A:$A, $C78) &gt; 0,_xlfn.XLOOKUP($C78,'Premade Flavors'!$A:$A,'Premade Flavors'!P:P),_xlfn.XLOOKUP("How Much Of The First Sweetner? ",[1]Sheet1!$1:$1,[1]Sheet1!78:78))</f>
        <v>0</v>
      </c>
      <c r="Q78" s="45">
        <f>IF(COUNTIF('Premade Flavors'!$A:$A, $C78) &gt; 0,_xlfn.XLOOKUP($C78,'Premade Flavors'!$A:$A,'Premade Flavors'!Q:Q),[2]Sheet1!S78)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Flavors'!E:E),_xlfn.XLOOKUP("What's The First Flavor You Want? ",[1]Sheet1!$1:$1,[1]Sheet1!79:79))</f>
        <v>0</v>
      </c>
      <c r="G79" s="31">
        <f>IF(COUNTIF('Premade Flavors'!$A:$A, $C79) &gt; 0,_xlfn.XLOOKUP($C79,'Premade Flavors'!$A:$A,'Premade Flavors'!F:F),_xlfn.XLOOKUP("What's the Second Flavor You Want?",[1]Sheet1!$1:$1,[1]Sheet1!79:79))</f>
        <v>0</v>
      </c>
      <c r="H79" s="31">
        <f>IF(COUNTIF('Premade Flavors'!$A:$A, $C79) &gt; 0,_xlfn.XLOOKUP($C79,'Premade Flavors'!$A:$A,'Premade Flavors'!G:G),_xlfn.XLOOKUP("What's The First Mix In That You Want? ",[1]Sheet1!$1:$1,[1]Sheet1!79:79))</f>
        <v>0</v>
      </c>
      <c r="I79" s="31">
        <f>IF(COUNTIF('Premade Flavors'!$A:$A, $C79) &gt; 0,_xlfn.XLOOKUP($C79,'Premade Flavors'!$A:$A,'Premade Flavors'!H:H),_xlfn.XLOOKUP("What's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Flavors'!I:I),"Stevia"),_xlfn.XLOOKUP("What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Flavors'!M:M),_xlfn.XLOOKUP("How Strong Do You Want The First Flavor?",[1]Sheet1!$1:$1,[1]Sheet1!79:79))</f>
        <v>0</v>
      </c>
      <c r="N79" s="45">
        <f>IF(COUNTIF('Premade Flavors'!$A:$A, $C79) &gt; 0,_xlfn.XLOOKUP($C79,'Premade Flavors'!$A:$A,'Premade Flavors'!N:N),_xlfn.XLOOKUP("How Strong Do You Want The Second Flavor?",[1]Sheet1!$1:$1,[1]Sheet1!79:79))</f>
        <v>0</v>
      </c>
      <c r="O79" s="45">
        <f>IF(COUNTIF('Premade Flavors'!$A:$A, $C79) &gt; 0,_xlfn.XLOOKUP($C79,'Premade Flavors'!$A:$A,'Premade Flavors'!O:O),_xlfn.XLOOKUP("How Dense Should the Mix Ins Be?",[1]Sheet1!$1:$1,[1]Sheet1!79:79))</f>
        <v>0</v>
      </c>
      <c r="P79" s="45">
        <f>IF(COUNTIF('Premade Flavors'!$A:$A, $C79) &gt; 0,_xlfn.XLOOKUP($C79,'Premade Flavors'!$A:$A,'Premade Flavors'!P:P),_xlfn.XLOOKUP("How Much Of The First Sweetner? ",[1]Sheet1!$1:$1,[1]Sheet1!79:79))</f>
        <v>0</v>
      </c>
      <c r="Q79" s="45">
        <f>IF(COUNTIF('Premade Flavors'!$A:$A, $C79) &gt; 0,_xlfn.XLOOKUP($C79,'Premade Flavors'!$A:$A,'Premade Flavors'!Q:Q),[2]Sheet1!S79)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Flavors'!E:E),_xlfn.XLOOKUP("What's The First Flavor You Want? ",[1]Sheet1!$1:$1,[1]Sheet1!80:80))</f>
        <v>0</v>
      </c>
      <c r="G80" s="31">
        <f>IF(COUNTIF('Premade Flavors'!$A:$A, $C80) &gt; 0,_xlfn.XLOOKUP($C80,'Premade Flavors'!$A:$A,'Premade Flavors'!F:F),_xlfn.XLOOKUP("What's the Second Flavor You Want?",[1]Sheet1!$1:$1,[1]Sheet1!80:80))</f>
        <v>0</v>
      </c>
      <c r="H80" s="31">
        <f>IF(COUNTIF('Premade Flavors'!$A:$A, $C80) &gt; 0,_xlfn.XLOOKUP($C80,'Premade Flavors'!$A:$A,'Premade Flavors'!G:G),_xlfn.XLOOKUP("What's The First Mix In That You Want? ",[1]Sheet1!$1:$1,[1]Sheet1!80:80))</f>
        <v>0</v>
      </c>
      <c r="I80" s="31">
        <f>IF(COUNTIF('Premade Flavors'!$A:$A, $C78) &gt; 0,_xlfn.XLOOKUP($C78,'Premade Flavors'!$A:$A,'Premade Flavors'!H:H),IF([2]Sheet1!W78=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Flavors'!I:I),"Stevia"),_xlfn.XLOOKUP("What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Flavors'!M:M),_xlfn.XLOOKUP("How Strong Do You Want The First Flavor?",[1]Sheet1!$1:$1,[1]Sheet1!80:80))</f>
        <v>0</v>
      </c>
      <c r="N80" s="45">
        <f>IF(COUNTIF('Premade Flavors'!$A:$A, $C80) &gt; 0,_xlfn.XLOOKUP($C80,'Premade Flavors'!$A:$A,'Premade Flavors'!N:N),_xlfn.XLOOKUP("How Strong Do You Want The Second Flavor?",[1]Sheet1!$1:$1,[1]Sheet1!80:80))</f>
        <v>0</v>
      </c>
      <c r="O80" s="45">
        <f>IF(COUNTIF('Premade Flavors'!$A:$A, $C80) &gt; 0,_xlfn.XLOOKUP($C80,'Premade Flavors'!$A:$A,'Premade Flavors'!O:O),_xlfn.XLOOKUP("How Dense Should the Mix Ins Be?",[1]Sheet1!$1:$1,[1]Sheet1!80:80))</f>
        <v>0</v>
      </c>
      <c r="P80" s="45">
        <f>IF(COUNTIF('Premade Flavors'!$A:$A, $C80) &gt; 0,_xlfn.XLOOKUP($C80,'Premade Flavors'!$A:$A,'Premade Flavors'!P:P),_xlfn.XLOOKUP("How Much Of The First Sweetner? ",[1]Sheet1!$1:$1,[1]Sheet1!80:80))</f>
        <v>0</v>
      </c>
      <c r="Q80" s="45">
        <f>IF(COUNTIF('Premade Flavors'!$A:$A, $C80) &gt; 0,_xlfn.XLOOKUP($C80,'Premade Flavors'!$A:$A,'Premade Flavors'!Q:Q),[2]Sheet1!S80)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Flavors'!E:E),_xlfn.XLOOKUP("What's The First Flavor You Want? ",[1]Sheet1!$1:$1,[1]Sheet1!81:81))</f>
        <v>0</v>
      </c>
      <c r="G81" s="31">
        <f>IF(COUNTIF('Premade Flavors'!$A:$A, $C81) &gt; 0,_xlfn.XLOOKUP($C81,'Premade Flavors'!$A:$A,'Premade Flavors'!F:F),_xlfn.XLOOKUP("What's the Second Flavor You Want?",[1]Sheet1!$1:$1,[1]Sheet1!81:81))</f>
        <v>0</v>
      </c>
      <c r="H81" s="31">
        <f>IF(COUNTIF('Premade Flavors'!$A:$A, $C81) &gt; 0,_xlfn.XLOOKUP($C81,'Premade Flavors'!$A:$A,'Premade Flavors'!G:G),_xlfn.XLOOKUP("What's The First Mix In That You Want? ",[1]Sheet1!$1:$1,[1]Sheet1!81:81))</f>
        <v>0</v>
      </c>
      <c r="I81" s="31">
        <f>IF(COUNTIF('Premade Flavors'!$A:$A, $C79) &gt; 0,_xlfn.XLOOKUP($C79,'Premade Flavors'!$A:$A,'Premade Flavors'!H:H),IF([2]Sheet1!W79=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Flavors'!I:I),"Stevia"),_xlfn.XLOOKUP("What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Flavors'!M:M),_xlfn.XLOOKUP("How Strong Do You Want The First Flavor?",[1]Sheet1!$1:$1,[1]Sheet1!81:81))</f>
        <v>0</v>
      </c>
      <c r="N81" s="45">
        <f>IF(COUNTIF('Premade Flavors'!$A:$A, $C81) &gt; 0,_xlfn.XLOOKUP($C81,'Premade Flavors'!$A:$A,'Premade Flavors'!N:N),_xlfn.XLOOKUP("How Strong Do You Want The Second Flavor?",[1]Sheet1!$1:$1,[1]Sheet1!81:81))</f>
        <v>0</v>
      </c>
      <c r="O81" s="45">
        <f>IF(COUNTIF('Premade Flavors'!$A:$A, $C81) &gt; 0,_xlfn.XLOOKUP($C81,'Premade Flavors'!$A:$A,'Premade Flavors'!O:O),_xlfn.XLOOKUP("How Dense Should the Mix Ins Be?",[1]Sheet1!$1:$1,[1]Sheet1!81:81))</f>
        <v>0</v>
      </c>
      <c r="P81" s="45">
        <f>IF(COUNTIF('Premade Flavors'!$A:$A, $C81) &gt; 0,_xlfn.XLOOKUP($C81,'Premade Flavors'!$A:$A,'Premade Flavors'!P:P),_xlfn.XLOOKUP("How Much Of The First Sweetner? ",[1]Sheet1!$1:$1,[1]Sheet1!81:81))</f>
        <v>0</v>
      </c>
      <c r="Q81" s="45">
        <f>IF(COUNTIF('Premade Flavors'!$A:$A, $C81) &gt; 0,_xlfn.XLOOKUP($C81,'Premade Flavors'!$A:$A,'Premade Flavors'!Q:Q),[2]Sheet1!S81)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Flavors'!E:E),_xlfn.XLOOKUP("What's The First Flavor You Want? ",[1]Sheet1!$1:$1,[1]Sheet1!82:82))</f>
        <v>0</v>
      </c>
      <c r="G82" s="31">
        <f>IF(COUNTIF('Premade Flavors'!$A:$A, $C82) &gt; 0,_xlfn.XLOOKUP($C82,'Premade Flavors'!$A:$A,'Premade Flavors'!F:F),_xlfn.XLOOKUP("What's the Second Flavor You Want?",[1]Sheet1!$1:$1,[1]Sheet1!82:82))</f>
        <v>0</v>
      </c>
      <c r="H82" s="31">
        <f>IF(COUNTIF('Premade Flavors'!$A:$A, $C82) &gt; 0,_xlfn.XLOOKUP($C82,'Premade Flavors'!$A:$A,'Premade Flavors'!G:G),_xlfn.XLOOKUP("What's The First Mix In That You Want? ",[1]Sheet1!$1:$1,[1]Sheet1!82:82))</f>
        <v>0</v>
      </c>
      <c r="I82" s="31">
        <f>IF(COUNTIF('Premade Flavors'!$A:$A, $C80) &gt; 0,_xlfn.XLOOKUP($C80,'Premade Flavors'!$A:$A,'Premade Flavors'!H:H),IF([2]Sheet1!W80=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Flavors'!I:I),"Stevia"),_xlfn.XLOOKUP("What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Flavors'!M:M),_xlfn.XLOOKUP("How Strong Do You Want The First Flavor?",[1]Sheet1!$1:$1,[1]Sheet1!82:82))</f>
        <v>0</v>
      </c>
      <c r="N82" s="45">
        <f>IF(COUNTIF('Premade Flavors'!$A:$A, $C82) &gt; 0,_xlfn.XLOOKUP($C82,'Premade Flavors'!$A:$A,'Premade Flavors'!N:N),_xlfn.XLOOKUP("How Strong Do You Want The Second Flavor?",[1]Sheet1!$1:$1,[1]Sheet1!82:82))</f>
        <v>0</v>
      </c>
      <c r="O82" s="45">
        <f>IF(COUNTIF('Premade Flavors'!$A:$A, $C82) &gt; 0,_xlfn.XLOOKUP($C82,'Premade Flavors'!$A:$A,'Premade Flavors'!O:O),_xlfn.XLOOKUP("How Dense Should the Mix Ins Be?",[1]Sheet1!$1:$1,[1]Sheet1!82:82))</f>
        <v>0</v>
      </c>
      <c r="P82" s="45">
        <f>IF(COUNTIF('Premade Flavors'!$A:$A, $C82) &gt; 0,_xlfn.XLOOKUP($C82,'Premade Flavors'!$A:$A,'Premade Flavors'!P:P),_xlfn.XLOOKUP("How Much Of The First Sweetner? ",[1]Sheet1!$1:$1,[1]Sheet1!82:82))</f>
        <v>0</v>
      </c>
      <c r="Q82" s="45">
        <f>IF(COUNTIF('Premade Flavors'!$A:$A, $C82) &gt; 0,_xlfn.XLOOKUP($C82,'Premade Flavors'!$A:$A,'Premade Flavors'!Q:Q),[2]Sheet1!S82)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Flavors'!E:E),_xlfn.XLOOKUP("What's The First Flavor You Want? ",[1]Sheet1!$1:$1,[1]Sheet1!83:83))</f>
        <v>0</v>
      </c>
      <c r="G83" s="31">
        <f>IF(COUNTIF('Premade Flavors'!$A:$A, $C83) &gt; 0,_xlfn.XLOOKUP($C83,'Premade Flavors'!$A:$A,'Premade Flavors'!F:F),_xlfn.XLOOKUP("What's the Second Flavor You Want?",[1]Sheet1!$1:$1,[1]Sheet1!83:83))</f>
        <v>0</v>
      </c>
      <c r="H83" s="31">
        <f>IF(COUNTIF('Premade Flavors'!$A:$A, $C83) &gt; 0,_xlfn.XLOOKUP($C83,'Premade Flavors'!$A:$A,'Premade Flavors'!G:G),_xlfn.XLOOKUP("What's The First Mix In That You Want? ",[1]Sheet1!$1:$1,[1]Sheet1!83:83))</f>
        <v>0</v>
      </c>
      <c r="I83" s="31">
        <f>IF(COUNTIF('Premade Flavors'!$A:$A, $C81) &gt; 0,_xlfn.XLOOKUP($C81,'Premade Flavors'!$A:$A,'Premade Flavors'!H:H),IF([2]Sheet1!W81=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Flavors'!I:I),"Stevia"),_xlfn.XLOOKUP("What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Flavors'!M:M),_xlfn.XLOOKUP("How Strong Do You Want The First Flavor?",[1]Sheet1!$1:$1,[1]Sheet1!83:83))</f>
        <v>0</v>
      </c>
      <c r="N83" s="45">
        <f>IF(COUNTIF('Premade Flavors'!$A:$A, $C83) &gt; 0,_xlfn.XLOOKUP($C83,'Premade Flavors'!$A:$A,'Premade Flavors'!N:N),_xlfn.XLOOKUP("How Strong Do You Want The Second Flavor?",[1]Sheet1!$1:$1,[1]Sheet1!83:83))</f>
        <v>0</v>
      </c>
      <c r="O83" s="45">
        <f>IF(COUNTIF('Premade Flavors'!$A:$A, $C83) &gt; 0,_xlfn.XLOOKUP($C83,'Premade Flavors'!$A:$A,'Premade Flavors'!O:O),_xlfn.XLOOKUP("How Dense Should the Mix Ins Be?",[1]Sheet1!$1:$1,[1]Sheet1!83:83))</f>
        <v>0</v>
      </c>
      <c r="P83" s="45">
        <f>IF(COUNTIF('Premade Flavors'!$A:$A, $C83) &gt; 0,_xlfn.XLOOKUP($C83,'Premade Flavors'!$A:$A,'Premade Flavors'!P:P),_xlfn.XLOOKUP("How Much Of The First Sweetner? ",[1]Sheet1!$1:$1,[1]Sheet1!83:83))</f>
        <v>0</v>
      </c>
      <c r="Q83" s="45">
        <f>IF(COUNTIF('Premade Flavors'!$A:$A, $C83) &gt; 0,_xlfn.XLOOKUP($C83,'Premade Flavors'!$A:$A,'Premade Flavors'!Q:Q),[2]Sheet1!S83)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Flavors'!E:E),_xlfn.XLOOKUP("What's The First Flavor You Want? ",[1]Sheet1!$1:$1,[1]Sheet1!84:84))</f>
        <v>0</v>
      </c>
      <c r="G84" s="31">
        <f>IF(COUNTIF('Premade Flavors'!$A:$A, $C84) &gt; 0,_xlfn.XLOOKUP($C84,'Premade Flavors'!$A:$A,'Premade Flavors'!F:F),_xlfn.XLOOKUP("What's the Second Flavor You Want?",[1]Sheet1!$1:$1,[1]Sheet1!84:84))</f>
        <v>0</v>
      </c>
      <c r="H84" s="31">
        <f>IF(COUNTIF('Premade Flavors'!$A:$A, $C84) &gt; 0,_xlfn.XLOOKUP($C84,'Premade Flavors'!$A:$A,'Premade Flavors'!G:G),_xlfn.XLOOKUP("What's The First Mix In That You Want? ",[1]Sheet1!$1:$1,[1]Sheet1!84:84))</f>
        <v>0</v>
      </c>
      <c r="I84" s="31">
        <f>IF(COUNTIF('Premade Flavors'!$A:$A, $C82) &gt; 0,_xlfn.XLOOKUP($C82,'Premade Flavors'!$A:$A,'Premade Flavors'!H:H),IF([2]Sheet1!W82=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Flavors'!I:I),"Stevia"),_xlfn.XLOOKUP("What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Flavors'!M:M),_xlfn.XLOOKUP("How Strong Do You Want The First Flavor?",[1]Sheet1!$1:$1,[1]Sheet1!84:84))</f>
        <v>0</v>
      </c>
      <c r="N84" s="45">
        <f>IF(COUNTIF('Premade Flavors'!$A:$A, $C84) &gt; 0,_xlfn.XLOOKUP($C84,'Premade Flavors'!$A:$A,'Premade Flavors'!N:N),_xlfn.XLOOKUP("How Strong Do You Want The Second Flavor?",[1]Sheet1!$1:$1,[1]Sheet1!84:84))</f>
        <v>0</v>
      </c>
      <c r="O84" s="45">
        <f>IF(COUNTIF('Premade Flavors'!$A:$A, $C84) &gt; 0,_xlfn.XLOOKUP($C84,'Premade Flavors'!$A:$A,'Premade Flavors'!O:O),_xlfn.XLOOKUP("How Dense Should the Mix Ins Be?",[1]Sheet1!$1:$1,[1]Sheet1!84:84))</f>
        <v>0</v>
      </c>
      <c r="P84" s="45">
        <f>IF(COUNTIF('Premade Flavors'!$A:$A, $C84) &gt; 0,_xlfn.XLOOKUP($C84,'Premade Flavors'!$A:$A,'Premade Flavors'!P:P),_xlfn.XLOOKUP("How Much Of The First Sweetner? ",[1]Sheet1!$1:$1,[1]Sheet1!84:84))</f>
        <v>0</v>
      </c>
      <c r="Q84" s="45">
        <f>IF(COUNTIF('Premade Flavors'!$A:$A, $C84) &gt; 0,_xlfn.XLOOKUP($C84,'Premade Flavors'!$A:$A,'Premade Flavors'!Q:Q),[2]Sheet1!S84)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Flavors'!E:E),_xlfn.XLOOKUP("What's The First Flavor You Want? ",[1]Sheet1!$1:$1,[1]Sheet1!85:85))</f>
        <v>0</v>
      </c>
      <c r="G85" s="31">
        <f>IF(COUNTIF('Premade Flavors'!$A:$A, $C85) &gt; 0,_xlfn.XLOOKUP($C85,'Premade Flavors'!$A:$A,'Premade Flavors'!F:F),_xlfn.XLOOKUP("What's the Second Flavor You Want?",[1]Sheet1!$1:$1,[1]Sheet1!85:85))</f>
        <v>0</v>
      </c>
      <c r="H85" s="31">
        <f>IF(COUNTIF('Premade Flavors'!$A:$A, $C85) &gt; 0,_xlfn.XLOOKUP($C85,'Premade Flavors'!$A:$A,'Premade Flavors'!G:G),_xlfn.XLOOKUP("What's The First Mix In That You Want? ",[1]Sheet1!$1:$1,[1]Sheet1!85:85))</f>
        <v>0</v>
      </c>
      <c r="I85" s="31">
        <f>IF(COUNTIF('Premade Flavors'!$A:$A, $C83) &gt; 0,_xlfn.XLOOKUP($C83,'Premade Flavors'!$A:$A,'Premade Flavors'!H:H),IF([2]Sheet1!W83=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Flavors'!I:I),"Stevia"),_xlfn.XLOOKUP("What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Flavors'!M:M),_xlfn.XLOOKUP("How Strong Do You Want The First Flavor?",[1]Sheet1!$1:$1,[1]Sheet1!85:85))</f>
        <v>0</v>
      </c>
      <c r="N85" s="45">
        <f>IF(COUNTIF('Premade Flavors'!$A:$A, $C85) &gt; 0,_xlfn.XLOOKUP($C85,'Premade Flavors'!$A:$A,'Premade Flavors'!N:N),_xlfn.XLOOKUP("How Strong Do You Want The Second Flavor?",[1]Sheet1!$1:$1,[1]Sheet1!85:85))</f>
        <v>0</v>
      </c>
      <c r="O85" s="45">
        <f>IF(COUNTIF('Premade Flavors'!$A:$A, $C85) &gt; 0,_xlfn.XLOOKUP($C85,'Premade Flavors'!$A:$A,'Premade Flavors'!O:O),_xlfn.XLOOKUP("How Dense Should the Mix Ins Be?",[1]Sheet1!$1:$1,[1]Sheet1!85:85))</f>
        <v>0</v>
      </c>
      <c r="P85" s="45">
        <f>IF(COUNTIF('Premade Flavors'!$A:$A, $C85) &gt; 0,_xlfn.XLOOKUP($C85,'Premade Flavors'!$A:$A,'Premade Flavors'!P:P),_xlfn.XLOOKUP("How Much Of The First Sweetner? ",[1]Sheet1!$1:$1,[1]Sheet1!85:85))</f>
        <v>0</v>
      </c>
      <c r="Q85" s="45">
        <f>IF(COUNTIF('Premade Flavors'!$A:$A, $C85) &gt; 0,_xlfn.XLOOKUP($C85,'Premade Flavors'!$A:$A,'Premade Flavors'!Q:Q),[2]Sheet1!S85)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Flavors'!E:E),_xlfn.XLOOKUP("What's The First Flavor You Want? ",[1]Sheet1!$1:$1,[1]Sheet1!86:86))</f>
        <v>0</v>
      </c>
      <c r="G86" s="31">
        <f>IF(COUNTIF('Premade Flavors'!$A:$A, $C86) &gt; 0,_xlfn.XLOOKUP($C86,'Premade Flavors'!$A:$A,'Premade Flavors'!F:F),_xlfn.XLOOKUP("What's the Second Flavor You Want?",[1]Sheet1!$1:$1,[1]Sheet1!86:86))</f>
        <v>0</v>
      </c>
      <c r="H86" s="31">
        <f>IF(COUNTIF('Premade Flavors'!$A:$A, $C86) &gt; 0,_xlfn.XLOOKUP($C86,'Premade Flavors'!$A:$A,'Premade Flavors'!G:G),_xlfn.XLOOKUP("What's The First Mix In That You Want? ",[1]Sheet1!$1:$1,[1]Sheet1!86:86))</f>
        <v>0</v>
      </c>
      <c r="I86" s="31">
        <f>IF(COUNTIF('Premade Flavors'!$A:$A, $C84) &gt; 0,_xlfn.XLOOKUP($C84,'Premade Flavors'!$A:$A,'Premade Flavors'!H:H),IF([2]Sheet1!W84=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Flavors'!I:I),"Stevia"),_xlfn.XLOOKUP("What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Flavors'!M:M),_xlfn.XLOOKUP("How Strong Do You Want The First Flavor?",[1]Sheet1!$1:$1,[1]Sheet1!86:86))</f>
        <v>0</v>
      </c>
      <c r="N86" s="45">
        <f>IF(COUNTIF('Premade Flavors'!$A:$A, $C86) &gt; 0,_xlfn.XLOOKUP($C86,'Premade Flavors'!$A:$A,'Premade Flavors'!N:N),_xlfn.XLOOKUP("How Strong Do You Want The Second Flavor?",[1]Sheet1!$1:$1,[1]Sheet1!86:86))</f>
        <v>0</v>
      </c>
      <c r="O86" s="45">
        <f>IF(COUNTIF('Premade Flavors'!$A:$A, $C86) &gt; 0,_xlfn.XLOOKUP($C86,'Premade Flavors'!$A:$A,'Premade Flavors'!O:O),_xlfn.XLOOKUP("How Dense Should the Mix Ins Be?",[1]Sheet1!$1:$1,[1]Sheet1!86:86))</f>
        <v>0</v>
      </c>
      <c r="P86" s="45">
        <f>IF(COUNTIF('Premade Flavors'!$A:$A, $C86) &gt; 0,_xlfn.XLOOKUP($C86,'Premade Flavors'!$A:$A,'Premade Flavors'!P:P),_xlfn.XLOOKUP("How Much Of The First Sweetner? ",[1]Sheet1!$1:$1,[1]Sheet1!86:86))</f>
        <v>0</v>
      </c>
      <c r="Q86" s="45">
        <f>IF(COUNTIF('Premade Flavors'!$A:$A, $C86) &gt; 0,_xlfn.XLOOKUP($C86,'Premade Flavors'!$A:$A,'Premade Flavors'!Q:Q),[2]Sheet1!S86)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Flavors'!E:E),_xlfn.XLOOKUP("What's The First Flavor You Want? ",[1]Sheet1!$1:$1,[1]Sheet1!87:87))</f>
        <v>0</v>
      </c>
      <c r="G87" s="31">
        <f>IF(COUNTIF('Premade Flavors'!$A:$A, $C87) &gt; 0,_xlfn.XLOOKUP($C87,'Premade Flavors'!$A:$A,'Premade Flavors'!F:F),_xlfn.XLOOKUP("What's the Second Flavor You Want?",[1]Sheet1!$1:$1,[1]Sheet1!87:87))</f>
        <v>0</v>
      </c>
      <c r="H87" s="31">
        <f>IF(COUNTIF('Premade Flavors'!$A:$A, $C87) &gt; 0,_xlfn.XLOOKUP($C87,'Premade Flavors'!$A:$A,'Premade Flavors'!G:G),_xlfn.XLOOKUP("What's The First Mix In That You Want? ",[1]Sheet1!$1:$1,[1]Sheet1!87:87))</f>
        <v>0</v>
      </c>
      <c r="I87" s="31">
        <f>IF(COUNTIF('Premade Flavors'!$A:$A, $C85) &gt; 0,_xlfn.XLOOKUP($C85,'Premade Flavors'!$A:$A,'Premade Flavors'!H:H),IF([2]Sheet1!W85=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Flavors'!I:I),"Stevia"),_xlfn.XLOOKUP("What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Flavors'!M:M),_xlfn.XLOOKUP("How Strong Do You Want The First Flavor?",[1]Sheet1!$1:$1,[1]Sheet1!87:87))</f>
        <v>0</v>
      </c>
      <c r="N87" s="45">
        <f>IF(COUNTIF('Premade Flavors'!$A:$A, $C87) &gt; 0,_xlfn.XLOOKUP($C87,'Premade Flavors'!$A:$A,'Premade Flavors'!N:N),_xlfn.XLOOKUP("How Strong Do You Want The Second Flavor?",[1]Sheet1!$1:$1,[1]Sheet1!87:87))</f>
        <v>0</v>
      </c>
      <c r="O87" s="45">
        <f>IF(COUNTIF('Premade Flavors'!$A:$A, $C87) &gt; 0,_xlfn.XLOOKUP($C87,'Premade Flavors'!$A:$A,'Premade Flavors'!O:O),_xlfn.XLOOKUP("How Dense Should the Mix Ins Be?",[1]Sheet1!$1:$1,[1]Sheet1!87:87))</f>
        <v>0</v>
      </c>
      <c r="P87" s="45">
        <f>IF(COUNTIF('Premade Flavors'!$A:$A, $C87) &gt; 0,_xlfn.XLOOKUP($C87,'Premade Flavors'!$A:$A,'Premade Flavors'!P:P),_xlfn.XLOOKUP("How Much Of The First Sweetner? ",[1]Sheet1!$1:$1,[1]Sheet1!87:87))</f>
        <v>0</v>
      </c>
      <c r="Q87" s="45">
        <f>IF(COUNTIF('Premade Flavors'!$A:$A, $C87) &gt; 0,_xlfn.XLOOKUP($C87,'Premade Flavors'!$A:$A,'Premade Flavors'!Q:Q),[2]Sheet1!S87)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Flavors'!E:E),_xlfn.XLOOKUP("What's The First Flavor You Want? ",[1]Sheet1!$1:$1,[1]Sheet1!88:88))</f>
        <v>0</v>
      </c>
      <c r="G88" s="31">
        <f>IF(COUNTIF('Premade Flavors'!$A:$A, $C88) &gt; 0,_xlfn.XLOOKUP($C88,'Premade Flavors'!$A:$A,'Premade Flavors'!F:F),_xlfn.XLOOKUP("What's the Second Flavor You Want?",[1]Sheet1!$1:$1,[1]Sheet1!88:88))</f>
        <v>0</v>
      </c>
      <c r="H88" s="31">
        <f>IF(COUNTIF('Premade Flavors'!$A:$A, $C88) &gt; 0,_xlfn.XLOOKUP($C88,'Premade Flavors'!$A:$A,'Premade Flavors'!G:G),_xlfn.XLOOKUP("What's The First Mix In That You Want? ",[1]Sheet1!$1:$1,[1]Sheet1!88:88))</f>
        <v>0</v>
      </c>
      <c r="I88" s="31">
        <f>IF(COUNTIF('Premade Flavors'!$A:$A, $C86) &gt; 0,_xlfn.XLOOKUP($C86,'Premade Flavors'!$A:$A,'Premade Flavors'!H:H),IF([2]Sheet1!W86=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Flavors'!I:I),"Stevia"),_xlfn.XLOOKUP("What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Flavors'!M:M),_xlfn.XLOOKUP("How Strong Do You Want The First Flavor?",[1]Sheet1!$1:$1,[1]Sheet1!88:88))</f>
        <v>0</v>
      </c>
      <c r="N88" s="45">
        <f>IF(COUNTIF('Premade Flavors'!$A:$A, $C88) &gt; 0,_xlfn.XLOOKUP($C88,'Premade Flavors'!$A:$A,'Premade Flavors'!N:N),_xlfn.XLOOKUP("How Strong Do You Want The Second Flavor?",[1]Sheet1!$1:$1,[1]Sheet1!88:88))</f>
        <v>0</v>
      </c>
      <c r="O88" s="45">
        <f>IF(COUNTIF('Premade Flavors'!$A:$A, $C88) &gt; 0,_xlfn.XLOOKUP($C88,'Premade Flavors'!$A:$A,'Premade Flavors'!O:O),_xlfn.XLOOKUP("How Dense Should the Mix Ins Be?",[1]Sheet1!$1:$1,[1]Sheet1!88:88))</f>
        <v>0</v>
      </c>
      <c r="P88" s="45">
        <f>IF(COUNTIF('Premade Flavors'!$A:$A, $C88) &gt; 0,_xlfn.XLOOKUP($C88,'Premade Flavors'!$A:$A,'Premade Flavors'!P:P),_xlfn.XLOOKUP("How Much Of The First Sweetner? ",[1]Sheet1!$1:$1,[1]Sheet1!88:88))</f>
        <v>0</v>
      </c>
      <c r="Q88" s="45">
        <f>IF(COUNTIF('Premade Flavors'!$A:$A, $C88) &gt; 0,_xlfn.XLOOKUP($C88,'Premade Flavors'!$A:$A,'Premade Flavors'!Q:Q),[2]Sheet1!S88)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Flavors'!E:E),_xlfn.XLOOKUP("What's The First Flavor You Want? ",[1]Sheet1!$1:$1,[1]Sheet1!89:89))</f>
        <v>0</v>
      </c>
      <c r="G89" s="31">
        <f>IF(COUNTIF('Premade Flavors'!$A:$A, $C89) &gt; 0,_xlfn.XLOOKUP($C89,'Premade Flavors'!$A:$A,'Premade Flavors'!F:F),_xlfn.XLOOKUP("What's the Second Flavor You Want?",[1]Sheet1!$1:$1,[1]Sheet1!89:89))</f>
        <v>0</v>
      </c>
      <c r="H89" s="31">
        <f>IF(COUNTIF('Premade Flavors'!$A:$A, $C89) &gt; 0,_xlfn.XLOOKUP($C89,'Premade Flavors'!$A:$A,'Premade Flavors'!G:G),_xlfn.XLOOKUP("What's The First Mix In That You Want? ",[1]Sheet1!$1:$1,[1]Sheet1!89:89))</f>
        <v>0</v>
      </c>
      <c r="I89" s="31">
        <f>IF(COUNTIF('Premade Flavors'!$A:$A, $C87) &gt; 0,_xlfn.XLOOKUP($C87,'Premade Flavors'!$A:$A,'Premade Flavors'!H:H),IF([2]Sheet1!W87=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Flavors'!I:I),"Stevia"),_xlfn.XLOOKUP("What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Flavors'!M:M),_xlfn.XLOOKUP("How Strong Do You Want The First Flavor?",[1]Sheet1!$1:$1,[1]Sheet1!89:89))</f>
        <v>0</v>
      </c>
      <c r="N89" s="45">
        <f>IF(COUNTIF('Premade Flavors'!$A:$A, $C89) &gt; 0,_xlfn.XLOOKUP($C89,'Premade Flavors'!$A:$A,'Premade Flavors'!N:N),_xlfn.XLOOKUP("How Strong Do You Want The Second Flavor?",[1]Sheet1!$1:$1,[1]Sheet1!89:89))</f>
        <v>0</v>
      </c>
      <c r="O89" s="45">
        <f>IF(COUNTIF('Premade Flavors'!$A:$A, $C89) &gt; 0,_xlfn.XLOOKUP($C89,'Premade Flavors'!$A:$A,'Premade Flavors'!O:O),_xlfn.XLOOKUP("How Dense Should the Mix Ins Be?",[1]Sheet1!$1:$1,[1]Sheet1!89:89))</f>
        <v>0</v>
      </c>
      <c r="P89" s="45">
        <f>IF(COUNTIF('Premade Flavors'!$A:$A, $C89) &gt; 0,_xlfn.XLOOKUP($C89,'Premade Flavors'!$A:$A,'Premade Flavors'!P:P),_xlfn.XLOOKUP("How Much Of The First Sweetner? ",[1]Sheet1!$1:$1,[1]Sheet1!89:89))</f>
        <v>0</v>
      </c>
      <c r="Q89" s="45">
        <f>IF(COUNTIF('Premade Flavors'!$A:$A, $C89) &gt; 0,_xlfn.XLOOKUP($C89,'Premade Flavors'!$A:$A,'Premade Flavors'!Q:Q),[2]Sheet1!S89)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Flavors'!E:E),_xlfn.XLOOKUP("What's The First Flavor You Want? ",[1]Sheet1!$1:$1,[1]Sheet1!90:90))</f>
        <v>0</v>
      </c>
      <c r="G90" s="31">
        <f>IF(COUNTIF('Premade Flavors'!$A:$A, $C90) &gt; 0,_xlfn.XLOOKUP($C90,'Premade Flavors'!$A:$A,'Premade Flavors'!F:F),_xlfn.XLOOKUP("What's the Second Flavor You Want?",[1]Sheet1!$1:$1,[1]Sheet1!90:90))</f>
        <v>0</v>
      </c>
      <c r="H90" s="31">
        <f>IF(COUNTIF('Premade Flavors'!$A:$A, $C90) &gt; 0,_xlfn.XLOOKUP($C90,'Premade Flavors'!$A:$A,'Premade Flavors'!G:G),_xlfn.XLOOKUP("What's The First Mix In That You Want? ",[1]Sheet1!$1:$1,[1]Sheet1!90:90))</f>
        <v>0</v>
      </c>
      <c r="I90" s="31">
        <f>IF(COUNTIF('Premade Flavors'!$A:$A, $C88) &gt; 0,_xlfn.XLOOKUP($C88,'Premade Flavors'!$A:$A,'Premade Flavors'!H:H),IF([2]Sheet1!W88=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Flavors'!I:I),"Stevia"),_xlfn.XLOOKUP("What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Flavors'!M:M),_xlfn.XLOOKUP("How Strong Do You Want The First Flavor?",[1]Sheet1!$1:$1,[1]Sheet1!90:90))</f>
        <v>0</v>
      </c>
      <c r="N90" s="45">
        <f>IF(COUNTIF('Premade Flavors'!$A:$A, $C90) &gt; 0,_xlfn.XLOOKUP($C90,'Premade Flavors'!$A:$A,'Premade Flavors'!N:N),_xlfn.XLOOKUP("How Strong Do You Want The Second Flavor?",[1]Sheet1!$1:$1,[1]Sheet1!90:90))</f>
        <v>0</v>
      </c>
      <c r="O90" s="45">
        <f>IF(COUNTIF('Premade Flavors'!$A:$A, $C90) &gt; 0,_xlfn.XLOOKUP($C90,'Premade Flavors'!$A:$A,'Premade Flavors'!O:O),_xlfn.XLOOKUP("How Dense Should the Mix Ins Be?",[1]Sheet1!$1:$1,[1]Sheet1!90:90))</f>
        <v>0</v>
      </c>
      <c r="P90" s="45">
        <f>IF(COUNTIF('Premade Flavors'!$A:$A, $C90) &gt; 0,_xlfn.XLOOKUP($C90,'Premade Flavors'!$A:$A,'Premade Flavors'!P:P),_xlfn.XLOOKUP("How Much Of The First Sweetner? ",[1]Sheet1!$1:$1,[1]Sheet1!90:90))</f>
        <v>0</v>
      </c>
      <c r="Q90" s="45">
        <f>IF(COUNTIF('Premade Flavors'!$A:$A, $C90) &gt; 0,_xlfn.XLOOKUP($C90,'Premade Flavors'!$A:$A,'Premade Flavors'!Q:Q),[2]Sheet1!S90)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Flavors'!E:E),_xlfn.XLOOKUP("What's The First Flavor You Want? ",[1]Sheet1!$1:$1,[1]Sheet1!91:91))</f>
        <v>0</v>
      </c>
      <c r="G91" s="31">
        <f>IF(COUNTIF('Premade Flavors'!$A:$A, $C91) &gt; 0,_xlfn.XLOOKUP($C91,'Premade Flavors'!$A:$A,'Premade Flavors'!F:F),_xlfn.XLOOKUP("What's the Second Flavor You Want?",[1]Sheet1!$1:$1,[1]Sheet1!91:91))</f>
        <v>0</v>
      </c>
      <c r="H91" s="31">
        <f>IF(COUNTIF('Premade Flavors'!$A:$A, $C91) &gt; 0,_xlfn.XLOOKUP($C91,'Premade Flavors'!$A:$A,'Premade Flavors'!G:G),_xlfn.XLOOKUP("What's The First Mix In That You Want? ",[1]Sheet1!$1:$1,[1]Sheet1!91:91))</f>
        <v>0</v>
      </c>
      <c r="I91" s="31">
        <f>IF(COUNTIF('Premade Flavors'!$A:$A, $C89) &gt; 0,_xlfn.XLOOKUP($C89,'Premade Flavors'!$A:$A,'Premade Flavors'!H:H),IF([2]Sheet1!W89=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Flavors'!I:I),"Stevia"),_xlfn.XLOOKUP("What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Flavors'!M:M),_xlfn.XLOOKUP("How Strong Do You Want The First Flavor?",[1]Sheet1!$1:$1,[1]Sheet1!91:91))</f>
        <v>0</v>
      </c>
      <c r="N91" s="45">
        <f>IF(COUNTIF('Premade Flavors'!$A:$A, $C91) &gt; 0,_xlfn.XLOOKUP($C91,'Premade Flavors'!$A:$A,'Premade Flavors'!N:N),_xlfn.XLOOKUP("How Strong Do You Want The Second Flavor?",[1]Sheet1!$1:$1,[1]Sheet1!91:91))</f>
        <v>0</v>
      </c>
      <c r="O91" s="45">
        <f>IF(COUNTIF('Premade Flavors'!$A:$A, $C91) &gt; 0,_xlfn.XLOOKUP($C91,'Premade Flavors'!$A:$A,'Premade Flavors'!O:O),_xlfn.XLOOKUP("How Dense Should the Mix Ins Be?",[1]Sheet1!$1:$1,[1]Sheet1!91:91))</f>
        <v>0</v>
      </c>
      <c r="P91" s="45">
        <f>IF(COUNTIF('Premade Flavors'!$A:$A, $C91) &gt; 0,_xlfn.XLOOKUP($C91,'Premade Flavors'!$A:$A,'Premade Flavors'!P:P),_xlfn.XLOOKUP("How Much Of The First Sweetner? ",[1]Sheet1!$1:$1,[1]Sheet1!91:91))</f>
        <v>0</v>
      </c>
      <c r="Q91" s="45">
        <f>IF(COUNTIF('Premade Flavors'!$A:$A, $C91) &gt; 0,_xlfn.XLOOKUP($C91,'Premade Flavors'!$A:$A,'Premade Flavors'!Q:Q),[2]Sheet1!S91)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Flavors'!E:E),_xlfn.XLOOKUP("What's The First Flavor You Want? ",[1]Sheet1!$1:$1,[1]Sheet1!92:92))</f>
        <v>0</v>
      </c>
      <c r="G92" s="31">
        <f>IF(COUNTIF('Premade Flavors'!$A:$A, $C92) &gt; 0,_xlfn.XLOOKUP($C92,'Premade Flavors'!$A:$A,'Premade Flavors'!F:F),_xlfn.XLOOKUP("What's the Second Flavor You Want?",[1]Sheet1!$1:$1,[1]Sheet1!92:92))</f>
        <v>0</v>
      </c>
      <c r="H92" s="31">
        <f>IF(COUNTIF('Premade Flavors'!$A:$A, $C92) &gt; 0,_xlfn.XLOOKUP($C92,'Premade Flavors'!$A:$A,'Premade Flavors'!G:G),_xlfn.XLOOKUP("What's The First Mix In That You Want? ",[1]Sheet1!$1:$1,[1]Sheet1!92:92))</f>
        <v>0</v>
      </c>
      <c r="I92" s="31">
        <f>IF(COUNTIF('Premade Flavors'!$A:$A, $C90) &gt; 0,_xlfn.XLOOKUP($C90,'Premade Flavors'!$A:$A,'Premade Flavors'!H:H),IF([2]Sheet1!W90=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Flavors'!I:I),"Stevia"),_xlfn.XLOOKUP("What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Flavors'!M:M),_xlfn.XLOOKUP("How Strong Do You Want The First Flavor?",[1]Sheet1!$1:$1,[1]Sheet1!92:92))</f>
        <v>0</v>
      </c>
      <c r="N92" s="45">
        <f>IF(COUNTIF('Premade Flavors'!$A:$A, $C92) &gt; 0,_xlfn.XLOOKUP($C92,'Premade Flavors'!$A:$A,'Premade Flavors'!N:N),_xlfn.XLOOKUP("How Strong Do You Want The Second Flavor?",[1]Sheet1!$1:$1,[1]Sheet1!92:92))</f>
        <v>0</v>
      </c>
      <c r="O92" s="45">
        <f>IF(COUNTIF('Premade Flavors'!$A:$A, $C92) &gt; 0,_xlfn.XLOOKUP($C92,'Premade Flavors'!$A:$A,'Premade Flavors'!O:O),_xlfn.XLOOKUP("How Dense Should the Mix Ins Be?",[1]Sheet1!$1:$1,[1]Sheet1!92:92))</f>
        <v>0</v>
      </c>
      <c r="P92" s="45">
        <f>IF(COUNTIF('Premade Flavors'!$A:$A, $C92) &gt; 0,_xlfn.XLOOKUP($C92,'Premade Flavors'!$A:$A,'Premade Flavors'!P:P),_xlfn.XLOOKUP("How Much Of The First Sweetner? ",[1]Sheet1!$1:$1,[1]Sheet1!92:92))</f>
        <v>0</v>
      </c>
      <c r="Q92" s="45">
        <f>IF(COUNTIF('Premade Flavors'!$A:$A, $C92) &gt; 0,_xlfn.XLOOKUP($C92,'Premade Flavors'!$A:$A,'Premade Flavors'!Q:Q),[2]Sheet1!S92)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Flavors'!E:E),_xlfn.XLOOKUP("What's The First Flavor You Want? ",[1]Sheet1!$1:$1,[1]Sheet1!93:93))</f>
        <v>0</v>
      </c>
      <c r="G93" s="31">
        <f>IF(COUNTIF('Premade Flavors'!$A:$A, $C93) &gt; 0,_xlfn.XLOOKUP($C93,'Premade Flavors'!$A:$A,'Premade Flavors'!F:F),_xlfn.XLOOKUP("What's the Second Flavor You Want?",[1]Sheet1!$1:$1,[1]Sheet1!93:93))</f>
        <v>0</v>
      </c>
      <c r="H93" s="31">
        <f>IF(COUNTIF('Premade Flavors'!$A:$A, $C93) &gt; 0,_xlfn.XLOOKUP($C93,'Premade Flavors'!$A:$A,'Premade Flavors'!G:G),_xlfn.XLOOKUP("What's The First Mix In That You Want? ",[1]Sheet1!$1:$1,[1]Sheet1!93:93))</f>
        <v>0</v>
      </c>
      <c r="I93" s="31">
        <f>IF(COUNTIF('Premade Flavors'!$A:$A, $C91) &gt; 0,_xlfn.XLOOKUP($C91,'Premade Flavors'!$A:$A,'Premade Flavors'!H:H),IF([2]Sheet1!W91=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Flavors'!I:I),"Stevia"),_xlfn.XLOOKUP("What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Flavors'!M:M),_xlfn.XLOOKUP("How Strong Do You Want The First Flavor?",[1]Sheet1!$1:$1,[1]Sheet1!93:93))</f>
        <v>0</v>
      </c>
      <c r="N93" s="45">
        <f>IF(COUNTIF('Premade Flavors'!$A:$A, $C93) &gt; 0,_xlfn.XLOOKUP($C93,'Premade Flavors'!$A:$A,'Premade Flavors'!N:N),_xlfn.XLOOKUP("How Strong Do You Want The Second Flavor?",[1]Sheet1!$1:$1,[1]Sheet1!93:93))</f>
        <v>0</v>
      </c>
      <c r="O93" s="45">
        <f>IF(COUNTIF('Premade Flavors'!$A:$A, $C93) &gt; 0,_xlfn.XLOOKUP($C93,'Premade Flavors'!$A:$A,'Premade Flavors'!O:O),_xlfn.XLOOKUP("How Dense Should the Mix Ins Be?",[1]Sheet1!$1:$1,[1]Sheet1!93:93))</f>
        <v>0</v>
      </c>
      <c r="P93" s="45">
        <f>IF(COUNTIF('Premade Flavors'!$A:$A, $C93) &gt; 0,_xlfn.XLOOKUP($C93,'Premade Flavors'!$A:$A,'Premade Flavors'!P:P),_xlfn.XLOOKUP("How Much Of The First Sweetner? ",[1]Sheet1!$1:$1,[1]Sheet1!93:93))</f>
        <v>0</v>
      </c>
      <c r="Q93" s="45">
        <f>IF(COUNTIF('Premade Flavors'!$A:$A, $C93) &gt; 0,_xlfn.XLOOKUP($C93,'Premade Flavors'!$A:$A,'Premade Flavors'!Q:Q),[2]Sheet1!S93)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Flavors'!E:E),_xlfn.XLOOKUP("What's The First Flavor You Want? ",[1]Sheet1!$1:$1,[1]Sheet1!94:94))</f>
        <v>0</v>
      </c>
      <c r="G94" s="31">
        <f>IF(COUNTIF('Premade Flavors'!$A:$A, $C94) &gt; 0,_xlfn.XLOOKUP($C94,'Premade Flavors'!$A:$A,'Premade Flavors'!F:F),_xlfn.XLOOKUP("What's the Second Flavor You Want?",[1]Sheet1!$1:$1,[1]Sheet1!94:94))</f>
        <v>0</v>
      </c>
      <c r="H94" s="31">
        <f>IF(COUNTIF('Premade Flavors'!$A:$A, $C94) &gt; 0,_xlfn.XLOOKUP($C94,'Premade Flavors'!$A:$A,'Premade Flavors'!G:G),_xlfn.XLOOKUP("What's The First Mix In That You Want? ",[1]Sheet1!$1:$1,[1]Sheet1!94:94))</f>
        <v>0</v>
      </c>
      <c r="I94" s="31">
        <f>IF(COUNTIF('Premade Flavors'!$A:$A, $C92) &gt; 0,_xlfn.XLOOKUP($C92,'Premade Flavors'!$A:$A,'Premade Flavors'!H:H),IF([2]Sheet1!W92=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Flavors'!I:I),"Stevia"),_xlfn.XLOOKUP("What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Flavors'!M:M),_xlfn.XLOOKUP("How Strong Do You Want The First Flavor?",[1]Sheet1!$1:$1,[1]Sheet1!94:94))</f>
        <v>0</v>
      </c>
      <c r="N94" s="45">
        <f>IF(COUNTIF('Premade Flavors'!$A:$A, $C94) &gt; 0,_xlfn.XLOOKUP($C94,'Premade Flavors'!$A:$A,'Premade Flavors'!N:N),_xlfn.XLOOKUP("How Strong Do You Want The Second Flavor?",[1]Sheet1!$1:$1,[1]Sheet1!94:94))</f>
        <v>0</v>
      </c>
      <c r="O94" s="45">
        <f>IF(COUNTIF('Premade Flavors'!$A:$A, $C94) &gt; 0,_xlfn.XLOOKUP($C94,'Premade Flavors'!$A:$A,'Premade Flavors'!O:O),_xlfn.XLOOKUP("How Dense Should the Mix Ins Be?",[1]Sheet1!$1:$1,[1]Sheet1!94:94))</f>
        <v>0</v>
      </c>
      <c r="P94" s="45">
        <f>IF(COUNTIF('Premade Flavors'!$A:$A, $C94) &gt; 0,_xlfn.XLOOKUP($C94,'Premade Flavors'!$A:$A,'Premade Flavors'!P:P),_xlfn.XLOOKUP("How Much Of The First Sweetner? ",[1]Sheet1!$1:$1,[1]Sheet1!94:94))</f>
        <v>0</v>
      </c>
      <c r="Q94" s="45">
        <f>IF(COUNTIF('Premade Flavors'!$A:$A, $C94) &gt; 0,_xlfn.XLOOKUP($C94,'Premade Flavors'!$A:$A,'Premade Flavors'!Q:Q),[2]Sheet1!S94)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Flavors'!E:E),_xlfn.XLOOKUP("What's The First Flavor You Want? ",[1]Sheet1!$1:$1,[1]Sheet1!95:95))</f>
        <v>0</v>
      </c>
      <c r="G95" s="31">
        <f>IF(COUNTIF('Premade Flavors'!$A:$A, $C95) &gt; 0,_xlfn.XLOOKUP($C95,'Premade Flavors'!$A:$A,'Premade Flavors'!F:F),_xlfn.XLOOKUP("What's the Second Flavor You Want?",[1]Sheet1!$1:$1,[1]Sheet1!95:95))</f>
        <v>0</v>
      </c>
      <c r="H95" s="31">
        <f>IF(COUNTIF('Premade Flavors'!$A:$A, $C95) &gt; 0,_xlfn.XLOOKUP($C95,'Premade Flavors'!$A:$A,'Premade Flavors'!G:G),_xlfn.XLOOKUP("What's The First Mix In That You Want? ",[1]Sheet1!$1:$1,[1]Sheet1!95:95))</f>
        <v>0</v>
      </c>
      <c r="I95" s="31">
        <f>IF(COUNTIF('Premade Flavors'!$A:$A, $C93) &gt; 0,_xlfn.XLOOKUP($C93,'Premade Flavors'!$A:$A,'Premade Flavors'!H:H),IF([2]Sheet1!W93=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Flavors'!I:I),"Stevia"),_xlfn.XLOOKUP("What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Flavors'!M:M),_xlfn.XLOOKUP("How Strong Do You Want The First Flavor?",[1]Sheet1!$1:$1,[1]Sheet1!95:95))</f>
        <v>0</v>
      </c>
      <c r="N95" s="45">
        <f>IF(COUNTIF('Premade Flavors'!$A:$A, $C95) &gt; 0,_xlfn.XLOOKUP($C95,'Premade Flavors'!$A:$A,'Premade Flavors'!N:N),_xlfn.XLOOKUP("How Strong Do You Want The Second Flavor?",[1]Sheet1!$1:$1,[1]Sheet1!95:95))</f>
        <v>0</v>
      </c>
      <c r="O95" s="45">
        <f>IF(COUNTIF('Premade Flavors'!$A:$A, $C95) &gt; 0,_xlfn.XLOOKUP($C95,'Premade Flavors'!$A:$A,'Premade Flavors'!O:O),_xlfn.XLOOKUP("How Dense Should the Mix Ins Be?",[1]Sheet1!$1:$1,[1]Sheet1!95:95))</f>
        <v>0</v>
      </c>
      <c r="P95" s="45">
        <f>IF(COUNTIF('Premade Flavors'!$A:$A, $C95) &gt; 0,_xlfn.XLOOKUP($C95,'Premade Flavors'!$A:$A,'Premade Flavors'!P:P),_xlfn.XLOOKUP("How Much Of The First Sweetner? ",[1]Sheet1!$1:$1,[1]Sheet1!95:95))</f>
        <v>0</v>
      </c>
      <c r="Q95" s="45">
        <f>IF(COUNTIF('Premade Flavors'!$A:$A, $C95) &gt; 0,_xlfn.XLOOKUP($C95,'Premade Flavors'!$A:$A,'Premade Flavors'!Q:Q),[2]Sheet1!S95)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Flavors'!E:E),_xlfn.XLOOKUP("What's The First Flavor You Want? ",[1]Sheet1!$1:$1,[1]Sheet1!96:96))</f>
        <v>0</v>
      </c>
      <c r="G96" s="31">
        <f>IF(COUNTIF('Premade Flavors'!$A:$A, $C96) &gt; 0,_xlfn.XLOOKUP($C96,'Premade Flavors'!$A:$A,'Premade Flavors'!F:F),_xlfn.XLOOKUP("What's the Second Flavor You Want?",[1]Sheet1!$1:$1,[1]Sheet1!96:96))</f>
        <v>0</v>
      </c>
      <c r="H96" s="31">
        <f>IF(COUNTIF('Premade Flavors'!$A:$A, $C96) &gt; 0,_xlfn.XLOOKUP($C96,'Premade Flavors'!$A:$A,'Premade Flavors'!G:G),_xlfn.XLOOKUP("What's The First Mix In That You Want? ",[1]Sheet1!$1:$1,[1]Sheet1!96:96))</f>
        <v>0</v>
      </c>
      <c r="I96" s="31">
        <f>IF(COUNTIF('Premade Flavors'!$A:$A, $C94) &gt; 0,_xlfn.XLOOKUP($C94,'Premade Flavors'!$A:$A,'Premade Flavors'!H:H),IF([2]Sheet1!W94=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Flavors'!I:I),"Stevia"),_xlfn.XLOOKUP("What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Flavors'!M:M),_xlfn.XLOOKUP("How Strong Do You Want The First Flavor?",[1]Sheet1!$1:$1,[1]Sheet1!96:96))</f>
        <v>0</v>
      </c>
      <c r="N96" s="45">
        <f>IF(COUNTIF('Premade Flavors'!$A:$A, $C96) &gt; 0,_xlfn.XLOOKUP($C96,'Premade Flavors'!$A:$A,'Premade Flavors'!N:N),_xlfn.XLOOKUP("How Strong Do You Want The Second Flavor?",[1]Sheet1!$1:$1,[1]Sheet1!96:96))</f>
        <v>0</v>
      </c>
      <c r="O96" s="45">
        <f>IF(COUNTIF('Premade Flavors'!$A:$A, $C96) &gt; 0,_xlfn.XLOOKUP($C96,'Premade Flavors'!$A:$A,'Premade Flavors'!O:O),_xlfn.XLOOKUP("How Dense Should the Mix Ins Be?",[1]Sheet1!$1:$1,[1]Sheet1!96:96))</f>
        <v>0</v>
      </c>
      <c r="P96" s="45">
        <f>IF(COUNTIF('Premade Flavors'!$A:$A, $C96) &gt; 0,_xlfn.XLOOKUP($C96,'Premade Flavors'!$A:$A,'Premade Flavors'!P:P),_xlfn.XLOOKUP("How Much Of The First Sweetner? ",[1]Sheet1!$1:$1,[1]Sheet1!96:96))</f>
        <v>0</v>
      </c>
      <c r="Q96" s="45">
        <f>IF(COUNTIF('Premade Flavors'!$A:$A, $C96) &gt; 0,_xlfn.XLOOKUP($C96,'Premade Flavors'!$A:$A,'Premade Flavors'!Q:Q),[2]Sheet1!S96)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Flavors'!E:E),_xlfn.XLOOKUP("What's The First Flavor You Want? ",[1]Sheet1!$1:$1,[1]Sheet1!97:97))</f>
        <v>0</v>
      </c>
      <c r="G97" s="31">
        <f>IF(COUNTIF('Premade Flavors'!$A:$A, $C97) &gt; 0,_xlfn.XLOOKUP($C97,'Premade Flavors'!$A:$A,'Premade Flavors'!F:F),_xlfn.XLOOKUP("What's the Second Flavor You Want?",[1]Sheet1!$1:$1,[1]Sheet1!97:97))</f>
        <v>0</v>
      </c>
      <c r="H97" s="31">
        <f>IF(COUNTIF('Premade Flavors'!$A:$A, $C97) &gt; 0,_xlfn.XLOOKUP($C97,'Premade Flavors'!$A:$A,'Premade Flavors'!G:G),_xlfn.XLOOKUP("What's The First Mix In That You Want? ",[1]Sheet1!$1:$1,[1]Sheet1!97:97))</f>
        <v>0</v>
      </c>
      <c r="I97" s="31">
        <f>IF(COUNTIF('Premade Flavors'!$A:$A, $C95) &gt; 0,_xlfn.XLOOKUP($C95,'Premade Flavors'!$A:$A,'Premade Flavors'!H:H),IF([2]Sheet1!W95=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Flavors'!I:I),"Stevia"),_xlfn.XLOOKUP("What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Flavors'!M:M),_xlfn.XLOOKUP("How Strong Do You Want The First Flavor?",[1]Sheet1!$1:$1,[1]Sheet1!97:97))</f>
        <v>0</v>
      </c>
      <c r="N97" s="45">
        <f>IF(COUNTIF('Premade Flavors'!$A:$A, $C97) &gt; 0,_xlfn.XLOOKUP($C97,'Premade Flavors'!$A:$A,'Premade Flavors'!N:N),_xlfn.XLOOKUP("How Strong Do You Want The Second Flavor?",[1]Sheet1!$1:$1,[1]Sheet1!97:97))</f>
        <v>0</v>
      </c>
      <c r="O97" s="45">
        <f>IF(COUNTIF('Premade Flavors'!$A:$A, $C97) &gt; 0,_xlfn.XLOOKUP($C97,'Premade Flavors'!$A:$A,'Premade Flavors'!O:O),_xlfn.XLOOKUP("How Dense Should the Mix Ins Be?",[1]Sheet1!$1:$1,[1]Sheet1!97:97))</f>
        <v>0</v>
      </c>
      <c r="P97" s="45">
        <f>IF(COUNTIF('Premade Flavors'!$A:$A, $C97) &gt; 0,_xlfn.XLOOKUP($C97,'Premade Flavors'!$A:$A,'Premade Flavors'!P:P),_xlfn.XLOOKUP("How Much Of The First Sweetner? ",[1]Sheet1!$1:$1,[1]Sheet1!97:97))</f>
        <v>0</v>
      </c>
      <c r="Q97" s="45">
        <f>IF(COUNTIF('Premade Flavors'!$A:$A, $C97) &gt; 0,_xlfn.XLOOKUP($C97,'Premade Flavors'!$A:$A,'Premade Flavors'!Q:Q),[2]Sheet1!S97)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Flavors'!E:E),_xlfn.XLOOKUP("What's The First Flavor You Want? ",[1]Sheet1!$1:$1,[1]Sheet1!98:98))</f>
        <v>0</v>
      </c>
      <c r="G98" s="31">
        <f>IF(COUNTIF('Premade Flavors'!$A:$A, $C98) &gt; 0,_xlfn.XLOOKUP($C98,'Premade Flavors'!$A:$A,'Premade Flavors'!F:F),_xlfn.XLOOKUP("What's the Second Flavor You Want?",[1]Sheet1!$1:$1,[1]Sheet1!98:98))</f>
        <v>0</v>
      </c>
      <c r="H98" s="31">
        <f>IF(COUNTIF('Premade Flavors'!$A:$A, $C98) &gt; 0,_xlfn.XLOOKUP($C98,'Premade Flavors'!$A:$A,'Premade Flavors'!G:G),_xlfn.XLOOKUP("What's The First Mix In That You Want? ",[1]Sheet1!$1:$1,[1]Sheet1!98:98))</f>
        <v>0</v>
      </c>
      <c r="I98" s="31">
        <f>IF(COUNTIF('Premade Flavors'!$A:$A, $C96) &gt; 0,_xlfn.XLOOKUP($C96,'Premade Flavors'!$A:$A,'Premade Flavors'!H:H),IF([2]Sheet1!W96=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Flavors'!I:I),"Stevia"),_xlfn.XLOOKUP("What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Flavors'!M:M),_xlfn.XLOOKUP("How Strong Do You Want The First Flavor?",[1]Sheet1!$1:$1,[1]Sheet1!98:98))</f>
        <v>0</v>
      </c>
      <c r="N98" s="45">
        <f>IF(COUNTIF('Premade Flavors'!$A:$A, $C98) &gt; 0,_xlfn.XLOOKUP($C98,'Premade Flavors'!$A:$A,'Premade Flavors'!N:N),_xlfn.XLOOKUP("How Strong Do You Want The Second Flavor?",[1]Sheet1!$1:$1,[1]Sheet1!98:98))</f>
        <v>0</v>
      </c>
      <c r="O98" s="45">
        <f>IF(COUNTIF('Premade Flavors'!$A:$A, $C98) &gt; 0,_xlfn.XLOOKUP($C98,'Premade Flavors'!$A:$A,'Premade Flavors'!O:O),_xlfn.XLOOKUP("How Dense Should the Mix Ins Be?",[1]Sheet1!$1:$1,[1]Sheet1!98:98))</f>
        <v>0</v>
      </c>
      <c r="P98" s="45">
        <f>IF(COUNTIF('Premade Flavors'!$A:$A, $C98) &gt; 0,_xlfn.XLOOKUP($C98,'Premade Flavors'!$A:$A,'Premade Flavors'!P:P),_xlfn.XLOOKUP("How Much Of The First Sweetner? ",[1]Sheet1!$1:$1,[1]Sheet1!98:98))</f>
        <v>0</v>
      </c>
      <c r="Q98" s="45">
        <f>IF(COUNTIF('Premade Flavors'!$A:$A, $C98) &gt; 0,_xlfn.XLOOKUP($C98,'Premade Flavors'!$A:$A,'Premade Flavors'!Q:Q),[2]Sheet1!S98)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Flavors'!E:E),_xlfn.XLOOKUP("What's The First Flavor You Want? ",[1]Sheet1!$1:$1,[1]Sheet1!99:99))</f>
        <v>0</v>
      </c>
      <c r="G99" s="31">
        <f>IF(COUNTIF('Premade Flavors'!$A:$A, $C99) &gt; 0,_xlfn.XLOOKUP($C99,'Premade Flavors'!$A:$A,'Premade Flavors'!F:F),_xlfn.XLOOKUP("What's the Second Flavor You Want?",[1]Sheet1!$1:$1,[1]Sheet1!99:99))</f>
        <v>0</v>
      </c>
      <c r="H99" s="31">
        <f>IF(COUNTIF('Premade Flavors'!$A:$A, $C99) &gt; 0,_xlfn.XLOOKUP($C99,'Premade Flavors'!$A:$A,'Premade Flavors'!G:G),_xlfn.XLOOKUP("What's The First Mix In That You Want? ",[1]Sheet1!$1:$1,[1]Sheet1!99:99))</f>
        <v>0</v>
      </c>
      <c r="I99" s="31">
        <f>IF(COUNTIF('Premade Flavors'!$A:$A, $C97) &gt; 0,_xlfn.XLOOKUP($C97,'Premade Flavors'!$A:$A,'Premade Flavors'!H:H),IF([2]Sheet1!W97=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Flavors'!I:I),"Stevia"),_xlfn.XLOOKUP("What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Flavors'!M:M),_xlfn.XLOOKUP("How Strong Do You Want The First Flavor?",[1]Sheet1!$1:$1,[1]Sheet1!99:99))</f>
        <v>0</v>
      </c>
      <c r="N99" s="45">
        <f>IF(COUNTIF('Premade Flavors'!$A:$A, $C99) &gt; 0,_xlfn.XLOOKUP($C99,'Premade Flavors'!$A:$A,'Premade Flavors'!N:N),_xlfn.XLOOKUP("How Strong Do You Want The Second Flavor?",[1]Sheet1!$1:$1,[1]Sheet1!99:99))</f>
        <v>0</v>
      </c>
      <c r="O99" s="45">
        <f>IF(COUNTIF('Premade Flavors'!$A:$A, $C99) &gt; 0,_xlfn.XLOOKUP($C99,'Premade Flavors'!$A:$A,'Premade Flavors'!O:O),_xlfn.XLOOKUP("How Dense Should the Mix Ins Be?",[1]Sheet1!$1:$1,[1]Sheet1!99:99))</f>
        <v>0</v>
      </c>
      <c r="P99" s="45">
        <f>IF(COUNTIF('Premade Flavors'!$A:$A, $C99) &gt; 0,_xlfn.XLOOKUP($C99,'Premade Flavors'!$A:$A,'Premade Flavors'!P:P),_xlfn.XLOOKUP("How Much Of The First Sweetner? ",[1]Sheet1!$1:$1,[1]Sheet1!99:99))</f>
        <v>0</v>
      </c>
      <c r="Q99" s="45">
        <f>IF(COUNTIF('Premade Flavors'!$A:$A, $C99) &gt; 0,_xlfn.XLOOKUP($C99,'Premade Flavors'!$A:$A,'Premade Flavors'!Q:Q),[2]Sheet1!S99)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Flavors'!E:E),_xlfn.XLOOKUP("What's The First Flavor You Want? ",[1]Sheet1!$1:$1,[1]Sheet1!100:100))</f>
        <v>0</v>
      </c>
      <c r="G100" s="31">
        <f>IF(COUNTIF('Premade Flavors'!$A:$A, $C100) &gt; 0,_xlfn.XLOOKUP($C100,'Premade Flavors'!$A:$A,'Premade Flavors'!F:F),_xlfn.XLOOKUP("What's the Second Flavor You Want?",[1]Sheet1!$1:$1,[1]Sheet1!100:100))</f>
        <v>0</v>
      </c>
      <c r="H100" s="31">
        <f>IF(COUNTIF('Premade Flavors'!$A:$A, $C100) &gt; 0,_xlfn.XLOOKUP($C100,'Premade Flavors'!$A:$A,'Premade Flavors'!G:G),_xlfn.XLOOKUP("What's The First Mix In That You Want? ",[1]Sheet1!$1:$1,[1]Sheet1!100:100))</f>
        <v>0</v>
      </c>
      <c r="I100" s="31">
        <f>IF(COUNTIF('Premade Flavors'!$A:$A, $C98) &gt; 0,_xlfn.XLOOKUP($C98,'Premade Flavors'!$A:$A,'Premade Flavors'!H:H),IF([2]Sheet1!W98=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Flavors'!I:I),"Stevia"),_xlfn.XLOOKUP("What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Flavors'!M:M),_xlfn.XLOOKUP("How Strong Do You Want The First Flavor?",[1]Sheet1!$1:$1,[1]Sheet1!100:100))</f>
        <v>0</v>
      </c>
      <c r="N100" s="45">
        <f>IF(COUNTIF('Premade Flavors'!$A:$A, $C100) &gt; 0,_xlfn.XLOOKUP($C100,'Premade Flavors'!$A:$A,'Premade Flavors'!N:N),_xlfn.XLOOKUP("How Strong Do You Want The Second Flavor?",[1]Sheet1!$1:$1,[1]Sheet1!100:100))</f>
        <v>0</v>
      </c>
      <c r="O100" s="45">
        <f>IF(COUNTIF('Premade Flavors'!$A:$A, $C100) &gt; 0,_xlfn.XLOOKUP($C100,'Premade Flavors'!$A:$A,'Premade Flavors'!O:O),_xlfn.XLOOKUP("How Dense Should the Mix Ins Be?",[1]Sheet1!$1:$1,[1]Sheet1!100:100))</f>
        <v>0</v>
      </c>
      <c r="P100" s="45">
        <f>IF(COUNTIF('Premade Flavors'!$A:$A, $C100) &gt; 0,_xlfn.XLOOKUP($C100,'Premade Flavors'!$A:$A,'Premade Flavors'!P:P),_xlfn.XLOOKUP("How Much Of The First Sweetner? ",[1]Sheet1!$1:$1,[1]Sheet1!100:100))</f>
        <v>0</v>
      </c>
      <c r="Q100" s="45">
        <f>IF(COUNTIF('Premade Flavors'!$A:$A, $C100) &gt; 0,_xlfn.XLOOKUP($C100,'Premade Flavors'!$A:$A,'Premade Flavors'!Q:Q),[2]Sheet1!S100)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Flavors'!E:E),_xlfn.XLOOKUP("What's The First Flavor You Want? ",[1]Sheet1!$1:$1,[1]Sheet1!101:101))</f>
        <v>0</v>
      </c>
      <c r="G101" s="31">
        <f>IF(COUNTIF('Premade Flavors'!$A:$A, $C101) &gt; 0,_xlfn.XLOOKUP($C101,'Premade Flavors'!$A:$A,'Premade Flavors'!F:F),_xlfn.XLOOKUP("What's the Second Flavor You Want?",[1]Sheet1!$1:$1,[1]Sheet1!101:101))</f>
        <v>0</v>
      </c>
      <c r="H101" s="31">
        <f>IF(COUNTIF('Premade Flavors'!$A:$A, $C101) &gt; 0,_xlfn.XLOOKUP($C101,'Premade Flavors'!$A:$A,'Premade Flavors'!G:G),_xlfn.XLOOKUP("What's The First Mix In That You Want? ",[1]Sheet1!$1:$1,[1]Sheet1!101:101))</f>
        <v>0</v>
      </c>
      <c r="I101" s="31">
        <f>IF(COUNTIF('Premade Flavors'!$A:$A, $C99) &gt; 0,_xlfn.XLOOKUP($C99,'Premade Flavors'!$A:$A,'Premade Flavors'!H:H),IF([2]Sheet1!W99=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Flavors'!I:I),"Stevia"),_xlfn.XLOOKUP("What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Flavors'!M:M),_xlfn.XLOOKUP("How Strong Do You Want The First Flavor?",[1]Sheet1!$1:$1,[1]Sheet1!101:101))</f>
        <v>0</v>
      </c>
      <c r="N101" s="45">
        <f>IF(COUNTIF('Premade Flavors'!$A:$A, $C101) &gt; 0,_xlfn.XLOOKUP($C101,'Premade Flavors'!$A:$A,'Premade Flavors'!N:N),_xlfn.XLOOKUP("How Strong Do You Want The Second Flavor?",[1]Sheet1!$1:$1,[1]Sheet1!101:101))</f>
        <v>0</v>
      </c>
      <c r="O101" s="45">
        <f>IF(COUNTIF('Premade Flavors'!$A:$A, $C101) &gt; 0,_xlfn.XLOOKUP($C101,'Premade Flavors'!$A:$A,'Premade Flavors'!O:O),_xlfn.XLOOKUP("How Dense Should the Mix Ins Be?",[1]Sheet1!$1:$1,[1]Sheet1!101:101))</f>
        <v>0</v>
      </c>
      <c r="P101" s="45">
        <f>IF(COUNTIF('Premade Flavors'!$A:$A, $C101) &gt; 0,_xlfn.XLOOKUP($C101,'Premade Flavors'!$A:$A,'Premade Flavors'!P:P),_xlfn.XLOOKUP("How Much Of The First Sweetner? ",[1]Sheet1!$1:$1,[1]Sheet1!101:101))</f>
        <v>0</v>
      </c>
      <c r="Q101" s="45">
        <f>IF(COUNTIF('Premade Flavors'!$A:$A, $C101) &gt; 0,_xlfn.XLOOKUP($C101,'Premade Flavors'!$A:$A,'Premade Flavors'!Q:Q),[2]Sheet1!S101)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Flavors'!E:E),_xlfn.XLOOKUP("What's The First Flavor You Want? ",[1]Sheet1!$1:$1,[1]Sheet1!102:102))</f>
        <v>0</v>
      </c>
      <c r="G102" s="31">
        <f>IF(COUNTIF('Premade Flavors'!$A:$A, $C102) &gt; 0,_xlfn.XLOOKUP($C102,'Premade Flavors'!$A:$A,'Premade Flavors'!F:F),_xlfn.XLOOKUP("What's the Second Flavor You Want?",[1]Sheet1!$1:$1,[1]Sheet1!102:102))</f>
        <v>0</v>
      </c>
      <c r="H102" s="31">
        <f>IF(COUNTIF('Premade Flavors'!$A:$A, $C102) &gt; 0,_xlfn.XLOOKUP($C102,'Premade Flavors'!$A:$A,'Premade Flavors'!G:G),_xlfn.XLOOKUP("What's The First Mix In That You Want? ",[1]Sheet1!$1:$1,[1]Sheet1!102:102))</f>
        <v>0</v>
      </c>
      <c r="I102" s="31">
        <f>IF(COUNTIF('Premade Flavors'!$A:$A, $C100) &gt; 0,_xlfn.XLOOKUP($C100,'Premade Flavors'!$A:$A,'Premade Flavors'!H:H),IF([2]Sheet1!W100=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Flavors'!I:I),"Stevia"),_xlfn.XLOOKUP("What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Flavors'!M:M),_xlfn.XLOOKUP("How Strong Do You Want The First Flavor?",[1]Sheet1!$1:$1,[1]Sheet1!102:102))</f>
        <v>0</v>
      </c>
      <c r="N102" s="45">
        <f>IF(COUNTIF('Premade Flavors'!$A:$A, $C102) &gt; 0,_xlfn.XLOOKUP($C102,'Premade Flavors'!$A:$A,'Premade Flavors'!N:N),_xlfn.XLOOKUP("How Strong Do You Want The Second Flavor?",[1]Sheet1!$1:$1,[1]Sheet1!102:102))</f>
        <v>0</v>
      </c>
      <c r="O102" s="45">
        <f>IF(COUNTIF('Premade Flavors'!$A:$A, $C102) &gt; 0,_xlfn.XLOOKUP($C102,'Premade Flavors'!$A:$A,'Premade Flavors'!O:O),_xlfn.XLOOKUP("How Dense Should the Mix Ins Be?",[1]Sheet1!$1:$1,[1]Sheet1!102:102))</f>
        <v>0</v>
      </c>
      <c r="P102" s="45">
        <f>IF(COUNTIF('Premade Flavors'!$A:$A, $C102) &gt; 0,_xlfn.XLOOKUP($C102,'Premade Flavors'!$A:$A,'Premade Flavors'!P:P),_xlfn.XLOOKUP("How Much Of The First Sweetner? ",[1]Sheet1!$1:$1,[1]Sheet1!102:102))</f>
        <v>0</v>
      </c>
      <c r="Q102" s="45">
        <f>IF(COUNTIF('Premade Flavors'!$A:$A, $C102) &gt; 0,_xlfn.XLOOKUP($C102,'Premade Flavors'!$A:$A,'Premade Flavors'!Q:Q),[2]Sheet1!S102)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Flavors'!E:E),_xlfn.XLOOKUP("What's The First Flavor You Want? ",[1]Sheet1!$1:$1,[1]Sheet1!103:103))</f>
        <v>0</v>
      </c>
      <c r="G103" s="31">
        <f>IF(COUNTIF('Premade Flavors'!$A:$A, $C103) &gt; 0,_xlfn.XLOOKUP($C103,'Premade Flavors'!$A:$A,'Premade Flavors'!F:F),_xlfn.XLOOKUP("What's the Second Flavor You Want?",[1]Sheet1!$1:$1,[1]Sheet1!103:103))</f>
        <v>0</v>
      </c>
      <c r="H103" s="31">
        <f>IF(COUNTIF('Premade Flavors'!$A:$A, $C103) &gt; 0,_xlfn.XLOOKUP($C103,'Premade Flavors'!$A:$A,'Premade Flavors'!G:G),_xlfn.XLOOKUP("What's The First Mix In That You Want? ",[1]Sheet1!$1:$1,[1]Sheet1!103:103))</f>
        <v>0</v>
      </c>
      <c r="I103" s="31">
        <f>IF(COUNTIF('Premade Flavors'!$A:$A, $C101) &gt; 0,_xlfn.XLOOKUP($C101,'Premade Flavors'!$A:$A,'Premade Flavors'!H:H),IF([2]Sheet1!W101=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Flavors'!I:I),"Stevia"),_xlfn.XLOOKUP("What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Flavors'!M:M),_xlfn.XLOOKUP("How Strong Do You Want The First Flavor?",[1]Sheet1!$1:$1,[1]Sheet1!103:103))</f>
        <v>0</v>
      </c>
      <c r="N103" s="45">
        <f>IF(COUNTIF('Premade Flavors'!$A:$A, $C103) &gt; 0,_xlfn.XLOOKUP($C103,'Premade Flavors'!$A:$A,'Premade Flavors'!N:N),_xlfn.XLOOKUP("How Strong Do You Want The Second Flavor?",[1]Sheet1!$1:$1,[1]Sheet1!103:103))</f>
        <v>0</v>
      </c>
      <c r="O103" s="45">
        <f>IF(COUNTIF('Premade Flavors'!$A:$A, $C103) &gt; 0,_xlfn.XLOOKUP($C103,'Premade Flavors'!$A:$A,'Premade Flavors'!O:O),_xlfn.XLOOKUP("How Dense Should the Mix Ins Be?",[1]Sheet1!$1:$1,[1]Sheet1!103:103))</f>
        <v>0</v>
      </c>
      <c r="P103" s="45">
        <f>IF(COUNTIF('Premade Flavors'!$A:$A, $C103) &gt; 0,_xlfn.XLOOKUP($C103,'Premade Flavors'!$A:$A,'Premade Flavors'!P:P),_xlfn.XLOOKUP("How Much Of The First Sweetner? ",[1]Sheet1!$1:$1,[1]Sheet1!103:103))</f>
        <v>0</v>
      </c>
      <c r="Q103" s="45">
        <f>IF(COUNTIF('Premade Flavors'!$A:$A, $C103) &gt; 0,_xlfn.XLOOKUP($C103,'Premade Flavors'!$A:$A,'Premade Flavors'!Q:Q),[2]Sheet1!S103)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Flavors'!E:E),_xlfn.XLOOKUP("What's The First Flavor You Want? ",[1]Sheet1!$1:$1,[1]Sheet1!104:104))</f>
        <v>0</v>
      </c>
      <c r="G104" s="31">
        <f>IF(COUNTIF('Premade Flavors'!$A:$A, $C104) &gt; 0,_xlfn.XLOOKUP($C104,'Premade Flavors'!$A:$A,'Premade Flavors'!F:F),_xlfn.XLOOKUP("What's the Second Flavor You Want?",[1]Sheet1!$1:$1,[1]Sheet1!104:104))</f>
        <v>0</v>
      </c>
      <c r="H104" s="31">
        <f>IF(COUNTIF('Premade Flavors'!$A:$A, $C104) &gt; 0,_xlfn.XLOOKUP($C104,'Premade Flavors'!$A:$A,'Premade Flavors'!G:G),_xlfn.XLOOKUP("What's The First Mix In That You Want? ",[1]Sheet1!$1:$1,[1]Sheet1!104:104))</f>
        <v>0</v>
      </c>
      <c r="I104" s="31">
        <f>IF(COUNTIF('Premade Flavors'!$A:$A, $C102) &gt; 0,_xlfn.XLOOKUP($C102,'Premade Flavors'!$A:$A,'Premade Flavors'!H:H),IF([2]Sheet1!W102=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Flavors'!I:I),"Stevia"),_xlfn.XLOOKUP("What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Flavors'!M:M),_xlfn.XLOOKUP("How Strong Do You Want The First Flavor?",[1]Sheet1!$1:$1,[1]Sheet1!104:104))</f>
        <v>0</v>
      </c>
      <c r="N104" s="45">
        <f>IF(COUNTIF('Premade Flavors'!$A:$A, $C104) &gt; 0,_xlfn.XLOOKUP($C104,'Premade Flavors'!$A:$A,'Premade Flavors'!N:N),_xlfn.XLOOKUP("How Strong Do You Want The Second Flavor?",[1]Sheet1!$1:$1,[1]Sheet1!104:104))</f>
        <v>0</v>
      </c>
      <c r="O104" s="45">
        <f>IF(COUNTIF('Premade Flavors'!$A:$A, $C104) &gt; 0,_xlfn.XLOOKUP($C104,'Premade Flavors'!$A:$A,'Premade Flavors'!O:O),_xlfn.XLOOKUP("How Dense Should the Mix Ins Be?",[1]Sheet1!$1:$1,[1]Sheet1!104:104))</f>
        <v>0</v>
      </c>
      <c r="P104" s="45">
        <f>IF(COUNTIF('Premade Flavors'!$A:$A, $C104) &gt; 0,_xlfn.XLOOKUP($C104,'Premade Flavors'!$A:$A,'Premade Flavors'!P:P),_xlfn.XLOOKUP("How Much Of The First Sweetner? ",[1]Sheet1!$1:$1,[1]Sheet1!104:104))</f>
        <v>0</v>
      </c>
      <c r="Q104" s="45">
        <f>IF(COUNTIF('Premade Flavors'!$A:$A, $C104) &gt; 0,_xlfn.XLOOKUP($C104,'Premade Flavors'!$A:$A,'Premade Flavors'!Q:Q),[2]Sheet1!S104)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Flavors'!E:E),_xlfn.XLOOKUP("What's The First Flavor You Want? ",[1]Sheet1!$1:$1,[1]Sheet1!105:105))</f>
        <v>0</v>
      </c>
      <c r="G105" s="31">
        <f>IF(COUNTIF('Premade Flavors'!$A:$A, $C105) &gt; 0,_xlfn.XLOOKUP($C105,'Premade Flavors'!$A:$A,'Premade Flavors'!F:F),_xlfn.XLOOKUP("What's the Second Flavor You Want?",[1]Sheet1!$1:$1,[1]Sheet1!105:105))</f>
        <v>0</v>
      </c>
      <c r="H105" s="31">
        <f>IF(COUNTIF('Premade Flavors'!$A:$A, $C105) &gt; 0,_xlfn.XLOOKUP($C105,'Premade Flavors'!$A:$A,'Premade Flavors'!G:G),_xlfn.XLOOKUP("What's The First Mix In That You Want? ",[1]Sheet1!$1:$1,[1]Sheet1!105:105))</f>
        <v>0</v>
      </c>
      <c r="I105" s="31">
        <f>IF(COUNTIF('Premade Flavors'!$A:$A, $C103) &gt; 0,_xlfn.XLOOKUP($C103,'Premade Flavors'!$A:$A,'Premade Flavors'!H:H),IF([2]Sheet1!W103=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Flavors'!I:I),"Stevia"),_xlfn.XLOOKUP("What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Flavors'!M:M),_xlfn.XLOOKUP("How Strong Do You Want The First Flavor?",[1]Sheet1!$1:$1,[1]Sheet1!105:105))</f>
        <v>0</v>
      </c>
      <c r="N105" s="45">
        <f>IF(COUNTIF('Premade Flavors'!$A:$A, $C105) &gt; 0,_xlfn.XLOOKUP($C105,'Premade Flavors'!$A:$A,'Premade Flavors'!N:N),_xlfn.XLOOKUP("How Strong Do You Want The Second Flavor?",[1]Sheet1!$1:$1,[1]Sheet1!105:105))</f>
        <v>0</v>
      </c>
      <c r="O105" s="45">
        <f>IF(COUNTIF('Premade Flavors'!$A:$A, $C105) &gt; 0,_xlfn.XLOOKUP($C105,'Premade Flavors'!$A:$A,'Premade Flavors'!O:O),_xlfn.XLOOKUP("How Dense Should the Mix Ins Be?",[1]Sheet1!$1:$1,[1]Sheet1!105:105))</f>
        <v>0</v>
      </c>
      <c r="P105" s="45">
        <f>IF(COUNTIF('Premade Flavors'!$A:$A, $C105) &gt; 0,_xlfn.XLOOKUP($C105,'Premade Flavors'!$A:$A,'Premade Flavors'!P:P),_xlfn.XLOOKUP("How Much Of The First Sweetner? ",[1]Sheet1!$1:$1,[1]Sheet1!105:105))</f>
        <v>0</v>
      </c>
      <c r="Q105" s="45">
        <f>IF(COUNTIF('Premade Flavors'!$A:$A, $C105) &gt; 0,_xlfn.XLOOKUP($C105,'Premade Flavors'!$A:$A,'Premade Flavors'!Q:Q),[2]Sheet1!S105)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Flavors'!E:E),_xlfn.XLOOKUP("What's The First Flavor You Want? ",[1]Sheet1!$1:$1,[1]Sheet1!106:106))</f>
        <v>0</v>
      </c>
      <c r="G106" s="31">
        <f>IF(COUNTIF('Premade Flavors'!$A:$A, $C106) &gt; 0,_xlfn.XLOOKUP($C106,'Premade Flavors'!$A:$A,'Premade Flavors'!F:F),_xlfn.XLOOKUP("What's the Second Flavor You Want?",[1]Sheet1!$1:$1,[1]Sheet1!106:106))</f>
        <v>0</v>
      </c>
      <c r="H106" s="31">
        <f>IF(COUNTIF('Premade Flavors'!$A:$A, $C106) &gt; 0,_xlfn.XLOOKUP($C106,'Premade Flavors'!$A:$A,'Premade Flavors'!G:G),_xlfn.XLOOKUP("What's The First Mix In That You Want? ",[1]Sheet1!$1:$1,[1]Sheet1!106:106))</f>
        <v>0</v>
      </c>
      <c r="I106" s="31">
        <f>IF(COUNTIF('Premade Flavors'!$A:$A, $C104) &gt; 0,_xlfn.XLOOKUP($C104,'Premade Flavors'!$A:$A,'Premade Flavors'!H:H),IF([2]Sheet1!W104=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Flavors'!I:I),"Stevia"),_xlfn.XLOOKUP("What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Flavors'!M:M),_xlfn.XLOOKUP("How Strong Do You Want The First Flavor?",[1]Sheet1!$1:$1,[1]Sheet1!106:106))</f>
        <v>0</v>
      </c>
      <c r="N106" s="45">
        <f>IF(COUNTIF('Premade Flavors'!$A:$A, $C106) &gt; 0,_xlfn.XLOOKUP($C106,'Premade Flavors'!$A:$A,'Premade Flavors'!N:N),_xlfn.XLOOKUP("How Strong Do You Want The Second Flavor?",[1]Sheet1!$1:$1,[1]Sheet1!106:106))</f>
        <v>0</v>
      </c>
      <c r="O106" s="45">
        <f>IF(COUNTIF('Premade Flavors'!$A:$A, $C106) &gt; 0,_xlfn.XLOOKUP($C106,'Premade Flavors'!$A:$A,'Premade Flavors'!O:O),_xlfn.XLOOKUP("How Dense Should the Mix Ins Be?",[1]Sheet1!$1:$1,[1]Sheet1!106:106))</f>
        <v>0</v>
      </c>
      <c r="P106" s="45">
        <f>IF(COUNTIF('Premade Flavors'!$A:$A, $C106) &gt; 0,_xlfn.XLOOKUP($C106,'Premade Flavors'!$A:$A,'Premade Flavors'!P:P),_xlfn.XLOOKUP("How Much Of The First Sweetner? ",[1]Sheet1!$1:$1,[1]Sheet1!106:106))</f>
        <v>0</v>
      </c>
      <c r="Q106" s="45">
        <f>IF(COUNTIF('Premade Flavors'!$A:$A, $C106) &gt; 0,_xlfn.XLOOKUP($C106,'Premade Flavors'!$A:$A,'Premade Flavors'!Q:Q),[2]Sheet1!S106)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Flavors'!E:E),_xlfn.XLOOKUP("What's The First Flavor You Want? ",[1]Sheet1!$1:$1,[1]Sheet1!107:107))</f>
        <v>0</v>
      </c>
      <c r="G107" s="31">
        <f>IF(COUNTIF('Premade Flavors'!$A:$A, $C107) &gt; 0,_xlfn.XLOOKUP($C107,'Premade Flavors'!$A:$A,'Premade Flavors'!F:F),_xlfn.XLOOKUP("What's the Second Flavor You Want?",[1]Sheet1!$1:$1,[1]Sheet1!107:107))</f>
        <v>0</v>
      </c>
      <c r="H107" s="31">
        <f>IF(COUNTIF('Premade Flavors'!$A:$A, $C107) &gt; 0,_xlfn.XLOOKUP($C107,'Premade Flavors'!$A:$A,'Premade Flavors'!G:G),_xlfn.XLOOKUP("What's The First Mix In That You Want? ",[1]Sheet1!$1:$1,[1]Sheet1!107:107))</f>
        <v>0</v>
      </c>
      <c r="I107" s="31">
        <f>IF(COUNTIF('Premade Flavors'!$A:$A, $C105) &gt; 0,_xlfn.XLOOKUP($C105,'Premade Flavors'!$A:$A,'Premade Flavors'!H:H),IF([2]Sheet1!W105=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Flavors'!I:I),"Stevia"),_xlfn.XLOOKUP("What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Flavors'!M:M),_xlfn.XLOOKUP("How Strong Do You Want The First Flavor?",[1]Sheet1!$1:$1,[1]Sheet1!107:107))</f>
        <v>0</v>
      </c>
      <c r="N107" s="45">
        <f>IF(COUNTIF('Premade Flavors'!$A:$A, $C107) &gt; 0,_xlfn.XLOOKUP($C107,'Premade Flavors'!$A:$A,'Premade Flavors'!N:N),_xlfn.XLOOKUP("How Strong Do You Want The Second Flavor?",[1]Sheet1!$1:$1,[1]Sheet1!107:107))</f>
        <v>0</v>
      </c>
      <c r="O107" s="45">
        <f>IF(COUNTIF('Premade Flavors'!$A:$A, $C107) &gt; 0,_xlfn.XLOOKUP($C107,'Premade Flavors'!$A:$A,'Premade Flavors'!O:O),_xlfn.XLOOKUP("How Dense Should the Mix Ins Be?",[1]Sheet1!$1:$1,[1]Sheet1!107:107))</f>
        <v>0</v>
      </c>
      <c r="P107" s="45">
        <f>IF(COUNTIF('Premade Flavors'!$A:$A, $C107) &gt; 0,_xlfn.XLOOKUP($C107,'Premade Flavors'!$A:$A,'Premade Flavors'!P:P),_xlfn.XLOOKUP("How Much Of The First Sweetner? ",[1]Sheet1!$1:$1,[1]Sheet1!107:107))</f>
        <v>0</v>
      </c>
      <c r="Q107" s="45">
        <f>IF(COUNTIF('Premade Flavors'!$A:$A, $C107) &gt; 0,_xlfn.XLOOKUP($C107,'Premade Flavors'!$A:$A,'Premade Flavors'!Q:Q),[2]Sheet1!S107)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Flavors'!E:E),_xlfn.XLOOKUP("What's The First Flavor You Want? ",[1]Sheet1!$1:$1,[1]Sheet1!108:108))</f>
        <v>0</v>
      </c>
      <c r="G108" s="31">
        <f>IF(COUNTIF('Premade Flavors'!$A:$A, $C108) &gt; 0,_xlfn.XLOOKUP($C108,'Premade Flavors'!$A:$A,'Premade Flavors'!F:F),_xlfn.XLOOKUP("What's the Second Flavor You Want?",[1]Sheet1!$1:$1,[1]Sheet1!108:108))</f>
        <v>0</v>
      </c>
      <c r="H108" s="31">
        <f>IF(COUNTIF('Premade Flavors'!$A:$A, $C108) &gt; 0,_xlfn.XLOOKUP($C108,'Premade Flavors'!$A:$A,'Premade Flavors'!G:G),_xlfn.XLOOKUP("What's The First Mix In That You Want? ",[1]Sheet1!$1:$1,[1]Sheet1!108:108))</f>
        <v>0</v>
      </c>
      <c r="I108" s="31">
        <f>IF(COUNTIF('Premade Flavors'!$A:$A, $C106) &gt; 0,_xlfn.XLOOKUP($C106,'Premade Flavors'!$A:$A,'Premade Flavors'!H:H),IF([2]Sheet1!W106=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Flavors'!I:I),"Stevia"),_xlfn.XLOOKUP("What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Flavors'!M:M),_xlfn.XLOOKUP("How Strong Do You Want The First Flavor?",[1]Sheet1!$1:$1,[1]Sheet1!108:108))</f>
        <v>0</v>
      </c>
      <c r="N108" s="45">
        <f>IF(COUNTIF('Premade Flavors'!$A:$A, $C108) &gt; 0,_xlfn.XLOOKUP($C108,'Premade Flavors'!$A:$A,'Premade Flavors'!N:N),_xlfn.XLOOKUP("How Strong Do You Want The Second Flavor?",[1]Sheet1!$1:$1,[1]Sheet1!108:108))</f>
        <v>0</v>
      </c>
      <c r="O108" s="45">
        <f>IF(COUNTIF('Premade Flavors'!$A:$A, $C108) &gt; 0,_xlfn.XLOOKUP($C108,'Premade Flavors'!$A:$A,'Premade Flavors'!O:O),_xlfn.XLOOKUP("How Dense Should the Mix Ins Be?",[1]Sheet1!$1:$1,[1]Sheet1!108:108))</f>
        <v>0</v>
      </c>
      <c r="P108" s="45">
        <f>IF(COUNTIF('Premade Flavors'!$A:$A, $C108) &gt; 0,_xlfn.XLOOKUP($C108,'Premade Flavors'!$A:$A,'Premade Flavors'!P:P),_xlfn.XLOOKUP("How Much Of The First Sweetner? ",[1]Sheet1!$1:$1,[1]Sheet1!108:108))</f>
        <v>0</v>
      </c>
      <c r="Q108" s="45">
        <f>IF(COUNTIF('Premade Flavors'!$A:$A, $C108) &gt; 0,_xlfn.XLOOKUP($C108,'Premade Flavors'!$A:$A,'Premade Flavors'!Q:Q),[2]Sheet1!S108)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Flavors'!E:E),_xlfn.XLOOKUP("What's The First Flavor You Want? ",[1]Sheet1!$1:$1,[1]Sheet1!109:109))</f>
        <v>0</v>
      </c>
      <c r="G109" s="31">
        <f>IF(COUNTIF('Premade Flavors'!$A:$A, $C109) &gt; 0,_xlfn.XLOOKUP($C109,'Premade Flavors'!$A:$A,'Premade Flavors'!F:F),_xlfn.XLOOKUP("What's the Second Flavor You Want?",[1]Sheet1!$1:$1,[1]Sheet1!109:109))</f>
        <v>0</v>
      </c>
      <c r="H109" s="31">
        <f>IF(COUNTIF('Premade Flavors'!$A:$A, $C109) &gt; 0,_xlfn.XLOOKUP($C109,'Premade Flavors'!$A:$A,'Premade Flavors'!G:G),_xlfn.XLOOKUP("What's The First Mix In That You Want? ",[1]Sheet1!$1:$1,[1]Sheet1!109:109))</f>
        <v>0</v>
      </c>
      <c r="I109" s="31">
        <f>IF(COUNTIF('Premade Flavors'!$A:$A, $C107) &gt; 0,_xlfn.XLOOKUP($C107,'Premade Flavors'!$A:$A,'Premade Flavors'!H:H),IF([2]Sheet1!W107=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Flavors'!I:I),"Stevia"),_xlfn.XLOOKUP("What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Flavors'!M:M),_xlfn.XLOOKUP("How Strong Do You Want The First Flavor?",[1]Sheet1!$1:$1,[1]Sheet1!109:109))</f>
        <v>0</v>
      </c>
      <c r="N109" s="45">
        <f>IF(COUNTIF('Premade Flavors'!$A:$A, $C109) &gt; 0,_xlfn.XLOOKUP($C109,'Premade Flavors'!$A:$A,'Premade Flavors'!N:N),_xlfn.XLOOKUP("How Strong Do You Want The Second Flavor?",[1]Sheet1!$1:$1,[1]Sheet1!109:109))</f>
        <v>0</v>
      </c>
      <c r="O109" s="45">
        <f>IF(COUNTIF('Premade Flavors'!$A:$A, $C109) &gt; 0,_xlfn.XLOOKUP($C109,'Premade Flavors'!$A:$A,'Premade Flavors'!O:O),_xlfn.XLOOKUP("How Dense Should the Mix Ins Be?",[1]Sheet1!$1:$1,[1]Sheet1!109:109))</f>
        <v>0</v>
      </c>
      <c r="P109" s="45">
        <f>IF(COUNTIF('Premade Flavors'!$A:$A, $C109) &gt; 0,_xlfn.XLOOKUP($C109,'Premade Flavors'!$A:$A,'Premade Flavors'!P:P),_xlfn.XLOOKUP("How Much Of The First Sweetner? ",[1]Sheet1!$1:$1,[1]Sheet1!109:109))</f>
        <v>0</v>
      </c>
      <c r="Q109" s="45">
        <f>IF(COUNTIF('Premade Flavors'!$A:$A, $C109) &gt; 0,_xlfn.XLOOKUP($C109,'Premade Flavors'!$A:$A,'Premade Flavors'!Q:Q),[2]Sheet1!S109)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Flavors'!E:E),_xlfn.XLOOKUP("What's The First Flavor You Want? ",[1]Sheet1!$1:$1,[1]Sheet1!110:110))</f>
        <v>0</v>
      </c>
      <c r="G110" s="31">
        <f>IF(COUNTIF('Premade Flavors'!$A:$A, $C110) &gt; 0,_xlfn.XLOOKUP($C110,'Premade Flavors'!$A:$A,'Premade Flavors'!F:F),_xlfn.XLOOKUP("What's the Second Flavor You Want?",[1]Sheet1!$1:$1,[1]Sheet1!110:110))</f>
        <v>0</v>
      </c>
      <c r="H110" s="31">
        <f>IF(COUNTIF('Premade Flavors'!$A:$A, $C110) &gt; 0,_xlfn.XLOOKUP($C110,'Premade Flavors'!$A:$A,'Premade Flavors'!G:G),_xlfn.XLOOKUP("What's The First Mix In That You Want? ",[1]Sheet1!$1:$1,[1]Sheet1!110:110))</f>
        <v>0</v>
      </c>
      <c r="I110" s="31">
        <f>IF(COUNTIF('Premade Flavors'!$A:$A, $C108) &gt; 0,_xlfn.XLOOKUP($C108,'Premade Flavors'!$A:$A,'Premade Flavors'!H:H),IF([2]Sheet1!W108=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Flavors'!I:I),"Stevia"),_xlfn.XLOOKUP("What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Flavors'!M:M),_xlfn.XLOOKUP("How Strong Do You Want The First Flavor?",[1]Sheet1!$1:$1,[1]Sheet1!110:110))</f>
        <v>0</v>
      </c>
      <c r="N110" s="45">
        <f>IF(COUNTIF('Premade Flavors'!$A:$A, $C110) &gt; 0,_xlfn.XLOOKUP($C110,'Premade Flavors'!$A:$A,'Premade Flavors'!N:N),_xlfn.XLOOKUP("How Strong Do You Want The Second Flavor?",[1]Sheet1!$1:$1,[1]Sheet1!110:110))</f>
        <v>0</v>
      </c>
      <c r="O110" s="45">
        <f>IF(COUNTIF('Premade Flavors'!$A:$A, $C110) &gt; 0,_xlfn.XLOOKUP($C110,'Premade Flavors'!$A:$A,'Premade Flavors'!O:O),_xlfn.XLOOKUP("How Dense Should the Mix Ins Be?",[1]Sheet1!$1:$1,[1]Sheet1!110:110))</f>
        <v>0</v>
      </c>
      <c r="P110" s="45">
        <f>IF(COUNTIF('Premade Flavors'!$A:$A, $C110) &gt; 0,_xlfn.XLOOKUP($C110,'Premade Flavors'!$A:$A,'Premade Flavors'!P:P),_xlfn.XLOOKUP("How Much Of The First Sweetner? ",[1]Sheet1!$1:$1,[1]Sheet1!110:110))</f>
        <v>0</v>
      </c>
      <c r="Q110" s="45">
        <f>IF(COUNTIF('Premade Flavors'!$A:$A, $C110) &gt; 0,_xlfn.XLOOKUP($C110,'Premade Flavors'!$A:$A,'Premade Flavors'!Q:Q),[2]Sheet1!S110)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Flavors'!E:E),_xlfn.XLOOKUP("What's The First Flavor You Want? ",[1]Sheet1!$1:$1,[1]Sheet1!111:111))</f>
        <v>0</v>
      </c>
      <c r="G111" s="31">
        <f>IF(COUNTIF('Premade Flavors'!$A:$A, $C111) &gt; 0,_xlfn.XLOOKUP($C111,'Premade Flavors'!$A:$A,'Premade Flavors'!F:F),_xlfn.XLOOKUP("What's the Second Flavor You Want?",[1]Sheet1!$1:$1,[1]Sheet1!111:111))</f>
        <v>0</v>
      </c>
      <c r="H111" s="31">
        <f>IF(COUNTIF('Premade Flavors'!$A:$A, $C111) &gt; 0,_xlfn.XLOOKUP($C111,'Premade Flavors'!$A:$A,'Premade Flavors'!G:G),_xlfn.XLOOKUP("What's The First Mix In That You Want? ",[1]Sheet1!$1:$1,[1]Sheet1!111:111))</f>
        <v>0</v>
      </c>
      <c r="I111" s="31">
        <f>IF(COUNTIF('Premade Flavors'!$A:$A, $C109) &gt; 0,_xlfn.XLOOKUP($C109,'Premade Flavors'!$A:$A,'Premade Flavors'!H:H),IF([2]Sheet1!W109=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Flavors'!I:I),"Stevia"),_xlfn.XLOOKUP("What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Flavors'!M:M),_xlfn.XLOOKUP("How Strong Do You Want The First Flavor?",[1]Sheet1!$1:$1,[1]Sheet1!111:111))</f>
        <v>0</v>
      </c>
      <c r="N111" s="45">
        <f>IF(COUNTIF('Premade Flavors'!$A:$A, $C111) &gt; 0,_xlfn.XLOOKUP($C111,'Premade Flavors'!$A:$A,'Premade Flavors'!N:N),_xlfn.XLOOKUP("How Strong Do You Want The Second Flavor?",[1]Sheet1!$1:$1,[1]Sheet1!111:111))</f>
        <v>0</v>
      </c>
      <c r="O111" s="45">
        <f>IF(COUNTIF('Premade Flavors'!$A:$A, $C111) &gt; 0,_xlfn.XLOOKUP($C111,'Premade Flavors'!$A:$A,'Premade Flavors'!O:O),_xlfn.XLOOKUP("How Dense Should the Mix Ins Be?",[1]Sheet1!$1:$1,[1]Sheet1!111:111))</f>
        <v>0</v>
      </c>
      <c r="P111" s="45">
        <f>IF(COUNTIF('Premade Flavors'!$A:$A, $C111) &gt; 0,_xlfn.XLOOKUP($C111,'Premade Flavors'!$A:$A,'Premade Flavors'!P:P),_xlfn.XLOOKUP("How Much Of The First Sweetner? ",[1]Sheet1!$1:$1,[1]Sheet1!111:111))</f>
        <v>0</v>
      </c>
      <c r="Q111" s="45">
        <f>IF(COUNTIF('Premade Flavors'!$A:$A, $C111) &gt; 0,_xlfn.XLOOKUP($C111,'Premade Flavors'!$A:$A,'Premade Flavors'!Q:Q),[2]Sheet1!S111)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Flavors'!E:E),_xlfn.XLOOKUP("What's The First Flavor You Want? ",[1]Sheet1!$1:$1,[1]Sheet1!112:112))</f>
        <v>0</v>
      </c>
      <c r="G112" s="31">
        <f>IF(COUNTIF('Premade Flavors'!$A:$A, $C112) &gt; 0,_xlfn.XLOOKUP($C112,'Premade Flavors'!$A:$A,'Premade Flavors'!F:F),_xlfn.XLOOKUP("What's the Second Flavor You Want?",[1]Sheet1!$1:$1,[1]Sheet1!112:112))</f>
        <v>0</v>
      </c>
      <c r="H112" s="31">
        <f>IF(COUNTIF('Premade Flavors'!$A:$A, $C112) &gt; 0,_xlfn.XLOOKUP($C112,'Premade Flavors'!$A:$A,'Premade Flavors'!G:G),_xlfn.XLOOKUP("What's The First Mix In That You Want? ",[1]Sheet1!$1:$1,[1]Sheet1!112:112))</f>
        <v>0</v>
      </c>
      <c r="I112" s="31">
        <f>IF(COUNTIF('Premade Flavors'!$A:$A, $C110) &gt; 0,_xlfn.XLOOKUP($C110,'Premade Flavors'!$A:$A,'Premade Flavors'!H:H),IF([2]Sheet1!W110=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Flavors'!I:I),"Stevia"),_xlfn.XLOOKUP("What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Flavors'!M:M),_xlfn.XLOOKUP("How Strong Do You Want The First Flavor?",[1]Sheet1!$1:$1,[1]Sheet1!112:112))</f>
        <v>0</v>
      </c>
      <c r="N112" s="45">
        <f>IF(COUNTIF('Premade Flavors'!$A:$A, $C112) &gt; 0,_xlfn.XLOOKUP($C112,'Premade Flavors'!$A:$A,'Premade Flavors'!N:N),_xlfn.XLOOKUP("How Strong Do You Want The Second Flavor?",[1]Sheet1!$1:$1,[1]Sheet1!112:112))</f>
        <v>0</v>
      </c>
      <c r="O112" s="45">
        <f>IF(COUNTIF('Premade Flavors'!$A:$A, $C112) &gt; 0,_xlfn.XLOOKUP($C112,'Premade Flavors'!$A:$A,'Premade Flavors'!O:O),_xlfn.XLOOKUP("How Dense Should the Mix Ins Be?",[1]Sheet1!$1:$1,[1]Sheet1!112:112))</f>
        <v>0</v>
      </c>
      <c r="P112" s="45">
        <f>IF(COUNTIF('Premade Flavors'!$A:$A, $C112) &gt; 0,_xlfn.XLOOKUP($C112,'Premade Flavors'!$A:$A,'Premade Flavors'!P:P),_xlfn.XLOOKUP("How Much Of The First Sweetner? ",[1]Sheet1!$1:$1,[1]Sheet1!112:112))</f>
        <v>0</v>
      </c>
      <c r="Q112" s="45">
        <f>IF(COUNTIF('Premade Flavors'!$A:$A, $C112) &gt; 0,_xlfn.XLOOKUP($C112,'Premade Flavors'!$A:$A,'Premade Flavors'!Q:Q),[2]Sheet1!S112)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Flavors'!E:E),_xlfn.XLOOKUP("What's The First Flavor You Want? ",[1]Sheet1!$1:$1,[1]Sheet1!113:113))</f>
        <v>0</v>
      </c>
      <c r="G113" s="31">
        <f>IF(COUNTIF('Premade Flavors'!$A:$A, $C113) &gt; 0,_xlfn.XLOOKUP($C113,'Premade Flavors'!$A:$A,'Premade Flavors'!F:F),_xlfn.XLOOKUP("What's the Second Flavor You Want?",[1]Sheet1!$1:$1,[1]Sheet1!113:113))</f>
        <v>0</v>
      </c>
      <c r="H113" s="31">
        <f>IF(COUNTIF('Premade Flavors'!$A:$A, $C113) &gt; 0,_xlfn.XLOOKUP($C113,'Premade Flavors'!$A:$A,'Premade Flavors'!G:G),_xlfn.XLOOKUP("What's The First Mix In That You Want? ",[1]Sheet1!$1:$1,[1]Sheet1!113:113))</f>
        <v>0</v>
      </c>
      <c r="I113" s="31">
        <f>IF(COUNTIF('Premade Flavors'!$A:$A, $C111) &gt; 0,_xlfn.XLOOKUP($C111,'Premade Flavors'!$A:$A,'Premade Flavors'!H:H),IF([2]Sheet1!W111=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Flavors'!I:I),"Stevia"),_xlfn.XLOOKUP("What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Flavors'!M:M),_xlfn.XLOOKUP("How Strong Do You Want The First Flavor?",[1]Sheet1!$1:$1,[1]Sheet1!113:113))</f>
        <v>0</v>
      </c>
      <c r="N113" s="45">
        <f>IF(COUNTIF('Premade Flavors'!$A:$A, $C113) &gt; 0,_xlfn.XLOOKUP($C113,'Premade Flavors'!$A:$A,'Premade Flavors'!N:N),_xlfn.XLOOKUP("How Strong Do You Want The Second Flavor?",[1]Sheet1!$1:$1,[1]Sheet1!113:113))</f>
        <v>0</v>
      </c>
      <c r="O113" s="45">
        <f>IF(COUNTIF('Premade Flavors'!$A:$A, $C113) &gt; 0,_xlfn.XLOOKUP($C113,'Premade Flavors'!$A:$A,'Premade Flavors'!O:O),_xlfn.XLOOKUP("How Dense Should the Mix Ins Be?",[1]Sheet1!$1:$1,[1]Sheet1!113:113))</f>
        <v>0</v>
      </c>
      <c r="P113" s="45">
        <f>IF(COUNTIF('Premade Flavors'!$A:$A, $C113) &gt; 0,_xlfn.XLOOKUP($C113,'Premade Flavors'!$A:$A,'Premade Flavors'!P:P),_xlfn.XLOOKUP("How Much Of The First Sweetner? ",[1]Sheet1!$1:$1,[1]Sheet1!113:113))</f>
        <v>0</v>
      </c>
      <c r="Q113" s="45">
        <f>IF(COUNTIF('Premade Flavors'!$A:$A, $C113) &gt; 0,_xlfn.XLOOKUP($C113,'Premade Flavors'!$A:$A,'Premade Flavors'!Q:Q),[2]Sheet1!S113)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Flavors'!E:E),_xlfn.XLOOKUP("What's The First Flavor You Want? ",[1]Sheet1!$1:$1,[1]Sheet1!114:114))</f>
        <v>0</v>
      </c>
      <c r="G114" s="31">
        <f>IF(COUNTIF('Premade Flavors'!$A:$A, $C114) &gt; 0,_xlfn.XLOOKUP($C114,'Premade Flavors'!$A:$A,'Premade Flavors'!F:F),_xlfn.XLOOKUP("What's the Second Flavor You Want?",[1]Sheet1!$1:$1,[1]Sheet1!114:114))</f>
        <v>0</v>
      </c>
      <c r="H114" s="31">
        <f>IF(COUNTIF('Premade Flavors'!$A:$A, $C114) &gt; 0,_xlfn.XLOOKUP($C114,'Premade Flavors'!$A:$A,'Premade Flavors'!G:G),_xlfn.XLOOKUP("What's The First Mix In That You Want? ",[1]Sheet1!$1:$1,[1]Sheet1!114:114))</f>
        <v>0</v>
      </c>
      <c r="I114" s="31">
        <f>IF(COUNTIF('Premade Flavors'!$A:$A, $C112) &gt; 0,_xlfn.XLOOKUP($C112,'Premade Flavors'!$A:$A,'Premade Flavors'!H:H),IF([2]Sheet1!W112=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Flavors'!I:I),"Stevia"),_xlfn.XLOOKUP("What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Flavors'!M:M),_xlfn.XLOOKUP("How Strong Do You Want The First Flavor?",[1]Sheet1!$1:$1,[1]Sheet1!114:114))</f>
        <v>0</v>
      </c>
      <c r="N114" s="45">
        <f>IF(COUNTIF('Premade Flavors'!$A:$A, $C114) &gt; 0,_xlfn.XLOOKUP($C114,'Premade Flavors'!$A:$A,'Premade Flavors'!N:N),_xlfn.XLOOKUP("How Strong Do You Want The Second Flavor?",[1]Sheet1!$1:$1,[1]Sheet1!114:114))</f>
        <v>0</v>
      </c>
      <c r="O114" s="45">
        <f>IF(COUNTIF('Premade Flavors'!$A:$A, $C114) &gt; 0,_xlfn.XLOOKUP($C114,'Premade Flavors'!$A:$A,'Premade Flavors'!O:O),_xlfn.XLOOKUP("How Dense Should the Mix Ins Be?",[1]Sheet1!$1:$1,[1]Sheet1!114:114))</f>
        <v>0</v>
      </c>
      <c r="P114" s="45">
        <f>IF(COUNTIF('Premade Flavors'!$A:$A, $C114) &gt; 0,_xlfn.XLOOKUP($C114,'Premade Flavors'!$A:$A,'Premade Flavors'!P:P),_xlfn.XLOOKUP("How Much Of The First Sweetner? ",[1]Sheet1!$1:$1,[1]Sheet1!114:114))</f>
        <v>0</v>
      </c>
      <c r="Q114" s="45">
        <f>IF(COUNTIF('Premade Flavors'!$A:$A, $C114) &gt; 0,_xlfn.XLOOKUP($C114,'Premade Flavors'!$A:$A,'Premade Flavors'!Q:Q),[2]Sheet1!S114)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Flavors'!E:E),_xlfn.XLOOKUP("What's The First Flavor You Want? ",[1]Sheet1!$1:$1,[1]Sheet1!115:115))</f>
        <v>0</v>
      </c>
      <c r="G115" s="31">
        <f>IF(COUNTIF('Premade Flavors'!$A:$A, $C115) &gt; 0,_xlfn.XLOOKUP($C115,'Premade Flavors'!$A:$A,'Premade Flavors'!F:F),_xlfn.XLOOKUP("What's the Second Flavor You Want?",[1]Sheet1!$1:$1,[1]Sheet1!115:115))</f>
        <v>0</v>
      </c>
      <c r="H115" s="31">
        <f>IF(COUNTIF('Premade Flavors'!$A:$A, $C115) &gt; 0,_xlfn.XLOOKUP($C115,'Premade Flavors'!$A:$A,'Premade Flavors'!G:G),_xlfn.XLOOKUP("What's The First Mix In That You Want? ",[1]Sheet1!$1:$1,[1]Sheet1!115:115))</f>
        <v>0</v>
      </c>
      <c r="I115" s="31">
        <f>IF(COUNTIF('Premade Flavors'!$A:$A, $C113) &gt; 0,_xlfn.XLOOKUP($C113,'Premade Flavors'!$A:$A,'Premade Flavors'!H:H),IF([2]Sheet1!W113=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Flavors'!I:I),"Stevia"),_xlfn.XLOOKUP("What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Flavors'!M:M),_xlfn.XLOOKUP("How Strong Do You Want The First Flavor?",[1]Sheet1!$1:$1,[1]Sheet1!115:115))</f>
        <v>0</v>
      </c>
      <c r="N115" s="45">
        <f>IF(COUNTIF('Premade Flavors'!$A:$A, $C115) &gt; 0,_xlfn.XLOOKUP($C115,'Premade Flavors'!$A:$A,'Premade Flavors'!N:N),_xlfn.XLOOKUP("How Strong Do You Want The Second Flavor?",[1]Sheet1!$1:$1,[1]Sheet1!115:115))</f>
        <v>0</v>
      </c>
      <c r="O115" s="45">
        <f>IF(COUNTIF('Premade Flavors'!$A:$A, $C115) &gt; 0,_xlfn.XLOOKUP($C115,'Premade Flavors'!$A:$A,'Premade Flavors'!O:O),_xlfn.XLOOKUP("How Dense Should the Mix Ins Be?",[1]Sheet1!$1:$1,[1]Sheet1!115:115))</f>
        <v>0</v>
      </c>
      <c r="P115" s="45">
        <f>IF(COUNTIF('Premade Flavors'!$A:$A, $C115) &gt; 0,_xlfn.XLOOKUP($C115,'Premade Flavors'!$A:$A,'Premade Flavors'!P:P),_xlfn.XLOOKUP("How Much Of The First Sweetner? ",[1]Sheet1!$1:$1,[1]Sheet1!115:115))</f>
        <v>0</v>
      </c>
      <c r="Q115" s="45">
        <f>IF(COUNTIF('Premade Flavors'!$A:$A, $C115) &gt; 0,_xlfn.XLOOKUP($C115,'Premade Flavors'!$A:$A,'Premade Flavors'!Q:Q),[2]Sheet1!S115)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Flavors'!E:E),_xlfn.XLOOKUP("What's The First Flavor You Want? ",[1]Sheet1!$1:$1,[1]Sheet1!116:116))</f>
        <v>0</v>
      </c>
      <c r="G116" s="31">
        <f>IF(COUNTIF('Premade Flavors'!$A:$A, $C116) &gt; 0,_xlfn.XLOOKUP($C116,'Premade Flavors'!$A:$A,'Premade Flavors'!F:F),_xlfn.XLOOKUP("What's the Second Flavor You Want?",[1]Sheet1!$1:$1,[1]Sheet1!116:116))</f>
        <v>0</v>
      </c>
      <c r="H116" s="31">
        <f>IF(COUNTIF('Premade Flavors'!$A:$A, $C116) &gt; 0,_xlfn.XLOOKUP($C116,'Premade Flavors'!$A:$A,'Premade Flavors'!G:G),_xlfn.XLOOKUP("What's The First Mix In That You Want? ",[1]Sheet1!$1:$1,[1]Sheet1!116:116))</f>
        <v>0</v>
      </c>
      <c r="I116" s="31">
        <f>IF(COUNTIF('Premade Flavors'!$A:$A, $C114) &gt; 0,_xlfn.XLOOKUP($C114,'Premade Flavors'!$A:$A,'Premade Flavors'!H:H),IF([2]Sheet1!W114=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Flavors'!I:I),"Stevia"),_xlfn.XLOOKUP("What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Flavors'!M:M),_xlfn.XLOOKUP("How Strong Do You Want The First Flavor?",[1]Sheet1!$1:$1,[1]Sheet1!116:116))</f>
        <v>0</v>
      </c>
      <c r="N116" s="45">
        <f>IF(COUNTIF('Premade Flavors'!$A:$A, $C116) &gt; 0,_xlfn.XLOOKUP($C116,'Premade Flavors'!$A:$A,'Premade Flavors'!N:N),_xlfn.XLOOKUP("How Strong Do You Want The Second Flavor?",[1]Sheet1!$1:$1,[1]Sheet1!116:116))</f>
        <v>0</v>
      </c>
      <c r="O116" s="45">
        <f>IF(COUNTIF('Premade Flavors'!$A:$A, $C116) &gt; 0,_xlfn.XLOOKUP($C116,'Premade Flavors'!$A:$A,'Premade Flavors'!O:O),_xlfn.XLOOKUP("How Dense Should the Mix Ins Be?",[1]Sheet1!$1:$1,[1]Sheet1!116:116))</f>
        <v>0</v>
      </c>
      <c r="P116" s="45">
        <f>IF(COUNTIF('Premade Flavors'!$A:$A, $C116) &gt; 0,_xlfn.XLOOKUP($C116,'Premade Flavors'!$A:$A,'Premade Flavors'!P:P),_xlfn.XLOOKUP("How Much Of The First Sweetner? ",[1]Sheet1!$1:$1,[1]Sheet1!116:116))</f>
        <v>0</v>
      </c>
      <c r="Q116" s="45">
        <f>IF(COUNTIF('Premade Flavors'!$A:$A, $C116) &gt; 0,_xlfn.XLOOKUP($C116,'Premade Flavors'!$A:$A,'Premade Flavors'!Q:Q),[2]Sheet1!S116)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Flavors'!E:E),_xlfn.XLOOKUP("What's The First Flavor You Want? ",[1]Sheet1!$1:$1,[1]Sheet1!117:117))</f>
        <v>0</v>
      </c>
      <c r="G117" s="31">
        <f>IF(COUNTIF('Premade Flavors'!$A:$A, $C117) &gt; 0,_xlfn.XLOOKUP($C117,'Premade Flavors'!$A:$A,'Premade Flavors'!F:F),_xlfn.XLOOKUP("What's the Second Flavor You Want?",[1]Sheet1!$1:$1,[1]Sheet1!117:117))</f>
        <v>0</v>
      </c>
      <c r="H117" s="31">
        <f>IF(COUNTIF('Premade Flavors'!$A:$A, $C117) &gt; 0,_xlfn.XLOOKUP($C117,'Premade Flavors'!$A:$A,'Premade Flavors'!G:G),_xlfn.XLOOKUP("What's The First Mix In That You Want? ",[1]Sheet1!$1:$1,[1]Sheet1!117:117))</f>
        <v>0</v>
      </c>
      <c r="I117" s="31">
        <f>IF(COUNTIF('Premade Flavors'!$A:$A, $C115) &gt; 0,_xlfn.XLOOKUP($C115,'Premade Flavors'!$A:$A,'Premade Flavors'!H:H),IF([2]Sheet1!W115=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Flavors'!I:I),"Stevia"),_xlfn.XLOOKUP("What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Flavors'!M:M),_xlfn.XLOOKUP("How Strong Do You Want The First Flavor?",[1]Sheet1!$1:$1,[1]Sheet1!117:117))</f>
        <v>0</v>
      </c>
      <c r="N117" s="45">
        <f>IF(COUNTIF('Premade Flavors'!$A:$A, $C117) &gt; 0,_xlfn.XLOOKUP($C117,'Premade Flavors'!$A:$A,'Premade Flavors'!N:N),_xlfn.XLOOKUP("How Strong Do You Want The Second Flavor?",[1]Sheet1!$1:$1,[1]Sheet1!117:117))</f>
        <v>0</v>
      </c>
      <c r="O117" s="45">
        <f>IF(COUNTIF('Premade Flavors'!$A:$A, $C117) &gt; 0,_xlfn.XLOOKUP($C117,'Premade Flavors'!$A:$A,'Premade Flavors'!O:O),_xlfn.XLOOKUP("How Dense Should the Mix Ins Be?",[1]Sheet1!$1:$1,[1]Sheet1!117:117))</f>
        <v>0</v>
      </c>
      <c r="P117" s="45">
        <f>IF(COUNTIF('Premade Flavors'!$A:$A, $C117) &gt; 0,_xlfn.XLOOKUP($C117,'Premade Flavors'!$A:$A,'Premade Flavors'!P:P),_xlfn.XLOOKUP("How Much Of The First Sweetner? ",[1]Sheet1!$1:$1,[1]Sheet1!117:117))</f>
        <v>0</v>
      </c>
      <c r="Q117" s="45">
        <f>IF(COUNTIF('Premade Flavors'!$A:$A, $C117) &gt; 0,_xlfn.XLOOKUP($C117,'Premade Flavors'!$A:$A,'Premade Flavors'!Q:Q),[2]Sheet1!S117)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Flavors'!E:E),_xlfn.XLOOKUP("What's The First Flavor You Want? ",[1]Sheet1!$1:$1,[1]Sheet1!118:118))</f>
        <v>0</v>
      </c>
      <c r="G118" s="31">
        <f>IF(COUNTIF('Premade Flavors'!$A:$A, $C118) &gt; 0,_xlfn.XLOOKUP($C118,'Premade Flavors'!$A:$A,'Premade Flavors'!F:F),_xlfn.XLOOKUP("What's the Second Flavor You Want?",[1]Sheet1!$1:$1,[1]Sheet1!118:118))</f>
        <v>0</v>
      </c>
      <c r="H118" s="31">
        <f>IF(COUNTIF('Premade Flavors'!$A:$A, $C118) &gt; 0,_xlfn.XLOOKUP($C118,'Premade Flavors'!$A:$A,'Premade Flavors'!G:G),_xlfn.XLOOKUP("What's The First Mix In That You Want? ",[1]Sheet1!$1:$1,[1]Sheet1!118:118))</f>
        <v>0</v>
      </c>
      <c r="I118" s="31">
        <f>IF(COUNTIF('Premade Flavors'!$A:$A, $C116) &gt; 0,_xlfn.XLOOKUP($C116,'Premade Flavors'!$A:$A,'Premade Flavors'!H:H),IF([2]Sheet1!W116=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Flavors'!I:I),"Stevia"),_xlfn.XLOOKUP("What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Flavors'!M:M),_xlfn.XLOOKUP("How Strong Do You Want The First Flavor?",[1]Sheet1!$1:$1,[1]Sheet1!118:118))</f>
        <v>0</v>
      </c>
      <c r="N118" s="45">
        <f>IF(COUNTIF('Premade Flavors'!$A:$A, $C118) &gt; 0,_xlfn.XLOOKUP($C118,'Premade Flavors'!$A:$A,'Premade Flavors'!N:N),_xlfn.XLOOKUP("How Strong Do You Want The Second Flavor?",[1]Sheet1!$1:$1,[1]Sheet1!118:118))</f>
        <v>0</v>
      </c>
      <c r="O118" s="45">
        <f>IF(COUNTIF('Premade Flavors'!$A:$A, $C118) &gt; 0,_xlfn.XLOOKUP($C118,'Premade Flavors'!$A:$A,'Premade Flavors'!O:O),_xlfn.XLOOKUP("How Dense Should the Mix Ins Be?",[1]Sheet1!$1:$1,[1]Sheet1!118:118))</f>
        <v>0</v>
      </c>
      <c r="P118" s="45">
        <f>IF(COUNTIF('Premade Flavors'!$A:$A, $C118) &gt; 0,_xlfn.XLOOKUP($C118,'Premade Flavors'!$A:$A,'Premade Flavors'!P:P),_xlfn.XLOOKUP("How Much Of The First Sweetner? ",[1]Sheet1!$1:$1,[1]Sheet1!118:118))</f>
        <v>0</v>
      </c>
      <c r="Q118" s="45">
        <f>IF(COUNTIF('Premade Flavors'!$A:$A, $C118) &gt; 0,_xlfn.XLOOKUP($C118,'Premade Flavors'!$A:$A,'Premade Flavors'!Q:Q),[2]Sheet1!S118)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Flavors'!E:E),_xlfn.XLOOKUP("What's The First Flavor You Want? ",[1]Sheet1!$1:$1,[1]Sheet1!119:119))</f>
        <v>0</v>
      </c>
      <c r="G119" s="31">
        <f>IF(COUNTIF('Premade Flavors'!$A:$A, $C119) &gt; 0,_xlfn.XLOOKUP($C119,'Premade Flavors'!$A:$A,'Premade Flavors'!F:F),_xlfn.XLOOKUP("What's the Second Flavor You Want?",[1]Sheet1!$1:$1,[1]Sheet1!119:119))</f>
        <v>0</v>
      </c>
      <c r="H119" s="31">
        <f>IF(COUNTIF('Premade Flavors'!$A:$A, $C119) &gt; 0,_xlfn.XLOOKUP($C119,'Premade Flavors'!$A:$A,'Premade Flavors'!G:G),_xlfn.XLOOKUP("What's The First Mix In That You Want? ",[1]Sheet1!$1:$1,[1]Sheet1!119:119))</f>
        <v>0</v>
      </c>
      <c r="I119" s="31">
        <f>IF(COUNTIF('Premade Flavors'!$A:$A, $C117) &gt; 0,_xlfn.XLOOKUP($C117,'Premade Flavors'!$A:$A,'Premade Flavors'!H:H),IF([2]Sheet1!W117=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Flavors'!I:I),"Stevia"),_xlfn.XLOOKUP("What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Flavors'!M:M),_xlfn.XLOOKUP("How Strong Do You Want The First Flavor?",[1]Sheet1!$1:$1,[1]Sheet1!119:119))</f>
        <v>0</v>
      </c>
      <c r="N119" s="45">
        <f>IF(COUNTIF('Premade Flavors'!$A:$A, $C119) &gt; 0,_xlfn.XLOOKUP($C119,'Premade Flavors'!$A:$A,'Premade Flavors'!N:N),_xlfn.XLOOKUP("How Strong Do You Want The Second Flavor?",[1]Sheet1!$1:$1,[1]Sheet1!119:119))</f>
        <v>0</v>
      </c>
      <c r="O119" s="45">
        <f>IF(COUNTIF('Premade Flavors'!$A:$A, $C119) &gt; 0,_xlfn.XLOOKUP($C119,'Premade Flavors'!$A:$A,'Premade Flavors'!O:O),_xlfn.XLOOKUP("How Dense Should the Mix Ins Be?",[1]Sheet1!$1:$1,[1]Sheet1!119:119))</f>
        <v>0</v>
      </c>
      <c r="P119" s="45">
        <f>IF(COUNTIF('Premade Flavors'!$A:$A, $C119) &gt; 0,_xlfn.XLOOKUP($C119,'Premade Flavors'!$A:$A,'Premade Flavors'!P:P),_xlfn.XLOOKUP("How Much Of The First Sweetner? ",[1]Sheet1!$1:$1,[1]Sheet1!119:119))</f>
        <v>0</v>
      </c>
      <c r="Q119" s="45">
        <f>IF(COUNTIF('Premade Flavors'!$A:$A, $C119) &gt; 0,_xlfn.XLOOKUP($C119,'Premade Flavors'!$A:$A,'Premade Flavors'!Q:Q),[2]Sheet1!S119)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Flavors'!E:E),_xlfn.XLOOKUP("What's The First Flavor You Want? ",[1]Sheet1!$1:$1,[1]Sheet1!120:120))</f>
        <v>0</v>
      </c>
      <c r="G120" s="31">
        <f>IF(COUNTIF('Premade Flavors'!$A:$A, $C120) &gt; 0,_xlfn.XLOOKUP($C120,'Premade Flavors'!$A:$A,'Premade Flavors'!F:F),_xlfn.XLOOKUP("What's the Second Flavor You Want?",[1]Sheet1!$1:$1,[1]Sheet1!120:120))</f>
        <v>0</v>
      </c>
      <c r="H120" s="31">
        <f>IF(COUNTIF('Premade Flavors'!$A:$A, $C120) &gt; 0,_xlfn.XLOOKUP($C120,'Premade Flavors'!$A:$A,'Premade Flavors'!G:G),_xlfn.XLOOKUP("What's The First Mix In That You Want? ",[1]Sheet1!$1:$1,[1]Sheet1!120:120))</f>
        <v>0</v>
      </c>
      <c r="I120" s="31">
        <f>IF(COUNTIF('Premade Flavors'!$A:$A, $C118) &gt; 0,_xlfn.XLOOKUP($C118,'Premade Flavors'!$A:$A,'Premade Flavors'!H:H),IF([2]Sheet1!W118=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Flavors'!I:I),"Stevia"),_xlfn.XLOOKUP("What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Flavors'!M:M),_xlfn.XLOOKUP("How Strong Do You Want The First Flavor?",[1]Sheet1!$1:$1,[1]Sheet1!120:120))</f>
        <v>0</v>
      </c>
      <c r="N120" s="45">
        <f>IF(COUNTIF('Premade Flavors'!$A:$A, $C120) &gt; 0,_xlfn.XLOOKUP($C120,'Premade Flavors'!$A:$A,'Premade Flavors'!N:N),_xlfn.XLOOKUP("How Strong Do You Want The Second Flavor?",[1]Sheet1!$1:$1,[1]Sheet1!120:120))</f>
        <v>0</v>
      </c>
      <c r="O120" s="45">
        <f>IF(COUNTIF('Premade Flavors'!$A:$A, $C120) &gt; 0,_xlfn.XLOOKUP($C120,'Premade Flavors'!$A:$A,'Premade Flavors'!O:O),_xlfn.XLOOKUP("How Dense Should the Mix Ins Be?",[1]Sheet1!$1:$1,[1]Sheet1!120:120))</f>
        <v>0</v>
      </c>
      <c r="P120" s="45">
        <f>IF(COUNTIF('Premade Flavors'!$A:$A, $C120) &gt; 0,_xlfn.XLOOKUP($C120,'Premade Flavors'!$A:$A,'Premade Flavors'!P:P),_xlfn.XLOOKUP("How Much Of The First Sweetner? ",[1]Sheet1!$1:$1,[1]Sheet1!120:120))</f>
        <v>0</v>
      </c>
      <c r="Q120" s="45">
        <f>IF(COUNTIF('Premade Flavors'!$A:$A, $C120) &gt; 0,_xlfn.XLOOKUP($C120,'Premade Flavors'!$A:$A,'Premade Flavors'!Q:Q),[2]Sheet1!S120)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Flavors'!E:E),_xlfn.XLOOKUP("What's The First Flavor You Want? ",[1]Sheet1!$1:$1,[1]Sheet1!121:121))</f>
        <v>0</v>
      </c>
      <c r="G121" s="31">
        <f>IF(COUNTIF('Premade Flavors'!$A:$A, $C121) &gt; 0,_xlfn.XLOOKUP($C121,'Premade Flavors'!$A:$A,'Premade Flavors'!F:F),_xlfn.XLOOKUP("What's the Second Flavor You Want?",[1]Sheet1!$1:$1,[1]Sheet1!121:121))</f>
        <v>0</v>
      </c>
      <c r="H121" s="31">
        <f>IF(COUNTIF('Premade Flavors'!$A:$A, $C121) &gt; 0,_xlfn.XLOOKUP($C121,'Premade Flavors'!$A:$A,'Premade Flavors'!G:G),_xlfn.XLOOKUP("What's The First Mix In That You Want? ",[1]Sheet1!$1:$1,[1]Sheet1!121:121))</f>
        <v>0</v>
      </c>
      <c r="I121" s="31">
        <f>IF(COUNTIF('Premade Flavors'!$A:$A, $C119) &gt; 0,_xlfn.XLOOKUP($C119,'Premade Flavors'!$A:$A,'Premade Flavors'!H:H),IF([2]Sheet1!W119=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Flavors'!I:I),"Stevia"),_xlfn.XLOOKUP("What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Flavors'!M:M),_xlfn.XLOOKUP("How Strong Do You Want The First Flavor?",[1]Sheet1!$1:$1,[1]Sheet1!121:121))</f>
        <v>0</v>
      </c>
      <c r="N121" s="45">
        <f>IF(COUNTIF('Premade Flavors'!$A:$A, $C121) &gt; 0,_xlfn.XLOOKUP($C121,'Premade Flavors'!$A:$A,'Premade Flavors'!N:N),_xlfn.XLOOKUP("How Strong Do You Want The Second Flavor?",[1]Sheet1!$1:$1,[1]Sheet1!121:121))</f>
        <v>0</v>
      </c>
      <c r="O121" s="45">
        <f>IF(COUNTIF('Premade Flavors'!$A:$A, $C121) &gt; 0,_xlfn.XLOOKUP($C121,'Premade Flavors'!$A:$A,'Premade Flavors'!O:O),_xlfn.XLOOKUP("How Dense Should the Mix Ins Be?",[1]Sheet1!$1:$1,[1]Sheet1!121:121))</f>
        <v>0</v>
      </c>
      <c r="P121" s="45">
        <f>IF(COUNTIF('Premade Flavors'!$A:$A, $C121) &gt; 0,_xlfn.XLOOKUP($C121,'Premade Flavors'!$A:$A,'Premade Flavors'!P:P),_xlfn.XLOOKUP("How Much Of The First Sweetner? ",[1]Sheet1!$1:$1,[1]Sheet1!121:121))</f>
        <v>0</v>
      </c>
      <c r="Q121" s="45">
        <f>IF(COUNTIF('Premade Flavors'!$A:$A, $C121) &gt; 0,_xlfn.XLOOKUP($C121,'Premade Flavors'!$A:$A,'Premade Flavors'!Q:Q),[2]Sheet1!S121)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Flavors'!E:E),_xlfn.XLOOKUP("What's The First Flavor You Want? ",[1]Sheet1!$1:$1,[1]Sheet1!122:122))</f>
        <v>0</v>
      </c>
      <c r="G122" s="31">
        <f>IF(COUNTIF('Premade Flavors'!$A:$A, $C122) &gt; 0,_xlfn.XLOOKUP($C122,'Premade Flavors'!$A:$A,'Premade Flavors'!F:F),_xlfn.XLOOKUP("What's the Second Flavor You Want?",[1]Sheet1!$1:$1,[1]Sheet1!122:122))</f>
        <v>0</v>
      </c>
      <c r="H122" s="31">
        <f>IF(COUNTIF('Premade Flavors'!$A:$A, $C122) &gt; 0,_xlfn.XLOOKUP($C122,'Premade Flavors'!$A:$A,'Premade Flavors'!G:G),_xlfn.XLOOKUP("What's The First Mix In That You Want? ",[1]Sheet1!$1:$1,[1]Sheet1!122:122))</f>
        <v>0</v>
      </c>
      <c r="I122" s="31">
        <f>IF(COUNTIF('Premade Flavors'!$A:$A, $C120) &gt; 0,_xlfn.XLOOKUP($C120,'Premade Flavors'!$A:$A,'Premade Flavors'!H:H),IF([2]Sheet1!W120=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Flavors'!I:I),"Stevia"),_xlfn.XLOOKUP("What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Flavors'!M:M),_xlfn.XLOOKUP("How Strong Do You Want The First Flavor?",[1]Sheet1!$1:$1,[1]Sheet1!122:122))</f>
        <v>0</v>
      </c>
      <c r="N122" s="45">
        <f>IF(COUNTIF('Premade Flavors'!$A:$A, $C122) &gt; 0,_xlfn.XLOOKUP($C122,'Premade Flavors'!$A:$A,'Premade Flavors'!N:N),_xlfn.XLOOKUP("How Strong Do You Want The Second Flavor?",[1]Sheet1!$1:$1,[1]Sheet1!122:122))</f>
        <v>0</v>
      </c>
      <c r="O122" s="45">
        <f>IF(COUNTIF('Premade Flavors'!$A:$A, $C122) &gt; 0,_xlfn.XLOOKUP($C122,'Premade Flavors'!$A:$A,'Premade Flavors'!O:O),_xlfn.XLOOKUP("How Dense Should the Mix Ins Be?",[1]Sheet1!$1:$1,[1]Sheet1!122:122))</f>
        <v>0</v>
      </c>
      <c r="P122" s="45">
        <f>IF(COUNTIF('Premade Flavors'!$A:$A, $C122) &gt; 0,_xlfn.XLOOKUP($C122,'Premade Flavors'!$A:$A,'Premade Flavors'!P:P),_xlfn.XLOOKUP("How Much Of The First Sweetner? ",[1]Sheet1!$1:$1,[1]Sheet1!122:122))</f>
        <v>0</v>
      </c>
      <c r="Q122" s="45">
        <f>IF(COUNTIF('Premade Flavors'!$A:$A, $C122) &gt; 0,_xlfn.XLOOKUP($C122,'Premade Flavors'!$A:$A,'Premade Flavors'!Q:Q),[2]Sheet1!S122)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Flavors'!E:E),_xlfn.XLOOKUP("What's The First Flavor You Want? ",[1]Sheet1!$1:$1,[1]Sheet1!123:123))</f>
        <v>0</v>
      </c>
      <c r="G123" s="31">
        <f>IF(COUNTIF('Premade Flavors'!$A:$A, $C123) &gt; 0,_xlfn.XLOOKUP($C123,'Premade Flavors'!$A:$A,'Premade Flavors'!F:F),_xlfn.XLOOKUP("What's the Second Flavor You Want?",[1]Sheet1!$1:$1,[1]Sheet1!123:123))</f>
        <v>0</v>
      </c>
      <c r="H123" s="31">
        <f>IF(COUNTIF('Premade Flavors'!$A:$A, $C123) &gt; 0,_xlfn.XLOOKUP($C123,'Premade Flavors'!$A:$A,'Premade Flavors'!G:G),_xlfn.XLOOKUP("What's The First Mix In That You Want? ",[1]Sheet1!$1:$1,[1]Sheet1!123:123))</f>
        <v>0</v>
      </c>
      <c r="I123" s="31">
        <f>IF(COUNTIF('Premade Flavors'!$A:$A, $C121) &gt; 0,_xlfn.XLOOKUP($C121,'Premade Flavors'!$A:$A,'Premade Flavors'!H:H),IF([2]Sheet1!W121=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Flavors'!I:I),"Stevia"),_xlfn.XLOOKUP("What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Flavors'!M:M),_xlfn.XLOOKUP("How Strong Do You Want The First Flavor?",[1]Sheet1!$1:$1,[1]Sheet1!123:123))</f>
        <v>0</v>
      </c>
      <c r="N123" s="45">
        <f>IF(COUNTIF('Premade Flavors'!$A:$A, $C123) &gt; 0,_xlfn.XLOOKUP($C123,'Premade Flavors'!$A:$A,'Premade Flavors'!N:N),_xlfn.XLOOKUP("How Strong Do You Want The Second Flavor?",[1]Sheet1!$1:$1,[1]Sheet1!123:123))</f>
        <v>0</v>
      </c>
      <c r="O123" s="45">
        <f>IF(COUNTIF('Premade Flavors'!$A:$A, $C123) &gt; 0,_xlfn.XLOOKUP($C123,'Premade Flavors'!$A:$A,'Premade Flavors'!O:O),_xlfn.XLOOKUP("How Dense Should the Mix Ins Be?",[1]Sheet1!$1:$1,[1]Sheet1!123:123))</f>
        <v>0</v>
      </c>
      <c r="P123" s="45">
        <f>IF(COUNTIF('Premade Flavors'!$A:$A, $C123) &gt; 0,_xlfn.XLOOKUP($C123,'Premade Flavors'!$A:$A,'Premade Flavors'!P:P),_xlfn.XLOOKUP("How Much Of The First Sweetner? ",[1]Sheet1!$1:$1,[1]Sheet1!123:123))</f>
        <v>0</v>
      </c>
      <c r="Q123" s="45">
        <f>IF(COUNTIF('Premade Flavors'!$A:$A, $C123) &gt; 0,_xlfn.XLOOKUP($C123,'Premade Flavors'!$A:$A,'Premade Flavors'!Q:Q),[2]Sheet1!S123)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Flavors'!E:E),_xlfn.XLOOKUP("What's The First Flavor You Want? ",[1]Sheet1!$1:$1,[1]Sheet1!124:124))</f>
        <v>0</v>
      </c>
      <c r="G124" s="31">
        <f>IF(COUNTIF('Premade Flavors'!$A:$A, $C124) &gt; 0,_xlfn.XLOOKUP($C124,'Premade Flavors'!$A:$A,'Premade Flavors'!F:F),_xlfn.XLOOKUP("What's the Second Flavor You Want?",[1]Sheet1!$1:$1,[1]Sheet1!124:124))</f>
        <v>0</v>
      </c>
      <c r="H124" s="31">
        <f>IF(COUNTIF('Premade Flavors'!$A:$A, $C124) &gt; 0,_xlfn.XLOOKUP($C124,'Premade Flavors'!$A:$A,'Premade Flavors'!G:G),_xlfn.XLOOKUP("What's The First Mix In That You Want? ",[1]Sheet1!$1:$1,[1]Sheet1!124:124))</f>
        <v>0</v>
      </c>
      <c r="I124" s="31">
        <f>IF(COUNTIF('Premade Flavors'!$A:$A, $C122) &gt; 0,_xlfn.XLOOKUP($C122,'Premade Flavors'!$A:$A,'Premade Flavors'!H:H),IF([2]Sheet1!W122=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Flavors'!I:I),"Stevia"),_xlfn.XLOOKUP("What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Flavors'!M:M),_xlfn.XLOOKUP("How Strong Do You Want The First Flavor?",[1]Sheet1!$1:$1,[1]Sheet1!124:124))</f>
        <v>0</v>
      </c>
      <c r="N124" s="45">
        <f>IF(COUNTIF('Premade Flavors'!$A:$A, $C124) &gt; 0,_xlfn.XLOOKUP($C124,'Premade Flavors'!$A:$A,'Premade Flavors'!N:N),_xlfn.XLOOKUP("How Strong Do You Want The Second Flavor?",[1]Sheet1!$1:$1,[1]Sheet1!124:124))</f>
        <v>0</v>
      </c>
      <c r="O124" s="45">
        <f>IF(COUNTIF('Premade Flavors'!$A:$A, $C124) &gt; 0,_xlfn.XLOOKUP($C124,'Premade Flavors'!$A:$A,'Premade Flavors'!O:O),_xlfn.XLOOKUP("How Dense Should the Mix Ins Be?",[1]Sheet1!$1:$1,[1]Sheet1!124:124))</f>
        <v>0</v>
      </c>
      <c r="P124" s="45">
        <f>IF(COUNTIF('Premade Flavors'!$A:$A, $C124) &gt; 0,_xlfn.XLOOKUP($C124,'Premade Flavors'!$A:$A,'Premade Flavors'!P:P),_xlfn.XLOOKUP("How Much Of The First Sweetner? ",[1]Sheet1!$1:$1,[1]Sheet1!124:124))</f>
        <v>0</v>
      </c>
      <c r="Q124" s="45">
        <f>IF(COUNTIF('Premade Flavors'!$A:$A, $C124) &gt; 0,_xlfn.XLOOKUP($C124,'Premade Flavors'!$A:$A,'Premade Flavors'!Q:Q),[2]Sheet1!S124)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Flavors'!E:E),_xlfn.XLOOKUP("What's The First Flavor You Want? ",[1]Sheet1!$1:$1,[1]Sheet1!125:125))</f>
        <v>0</v>
      </c>
      <c r="G125" s="31">
        <f>IF(COUNTIF('Premade Flavors'!$A:$A, $C125) &gt; 0,_xlfn.XLOOKUP($C125,'Premade Flavors'!$A:$A,'Premade Flavors'!F:F),_xlfn.XLOOKUP("What's the Second Flavor You Want?",[1]Sheet1!$1:$1,[1]Sheet1!125:125))</f>
        <v>0</v>
      </c>
      <c r="H125" s="31">
        <f>IF(COUNTIF('Premade Flavors'!$A:$A, $C125) &gt; 0,_xlfn.XLOOKUP($C125,'Premade Flavors'!$A:$A,'Premade Flavors'!G:G),_xlfn.XLOOKUP("What's The First Mix In That You Want? ",[1]Sheet1!$1:$1,[1]Sheet1!125:125))</f>
        <v>0</v>
      </c>
      <c r="I125" s="31">
        <f>IF(COUNTIF('Premade Flavors'!$A:$A, $C123) &gt; 0,_xlfn.XLOOKUP($C123,'Premade Flavors'!$A:$A,'Premade Flavors'!H:H),IF([2]Sheet1!W123=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Flavors'!I:I),"Stevia"),_xlfn.XLOOKUP("What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Flavors'!M:M),_xlfn.XLOOKUP("How Strong Do You Want The First Flavor?",[1]Sheet1!$1:$1,[1]Sheet1!125:125))</f>
        <v>0</v>
      </c>
      <c r="N125" s="45">
        <f>IF(COUNTIF('Premade Flavors'!$A:$A, $C125) &gt; 0,_xlfn.XLOOKUP($C125,'Premade Flavors'!$A:$A,'Premade Flavors'!N:N),_xlfn.XLOOKUP("How Strong Do You Want The Second Flavor?",[1]Sheet1!$1:$1,[1]Sheet1!125:125))</f>
        <v>0</v>
      </c>
      <c r="O125" s="45">
        <f>IF(COUNTIF('Premade Flavors'!$A:$A, $C125) &gt; 0,_xlfn.XLOOKUP($C125,'Premade Flavors'!$A:$A,'Premade Flavors'!O:O),_xlfn.XLOOKUP("How Dense Should the Mix Ins Be?",[1]Sheet1!$1:$1,[1]Sheet1!125:125))</f>
        <v>0</v>
      </c>
      <c r="P125" s="45">
        <f>IF(COUNTIF('Premade Flavors'!$A:$A, $C125) &gt; 0,_xlfn.XLOOKUP($C125,'Premade Flavors'!$A:$A,'Premade Flavors'!P:P),_xlfn.XLOOKUP("How Much Of The First Sweetner? ",[1]Sheet1!$1:$1,[1]Sheet1!125:125))</f>
        <v>0</v>
      </c>
      <c r="Q125" s="45">
        <f>IF(COUNTIF('Premade Flavors'!$A:$A, $C125) &gt; 0,_xlfn.XLOOKUP($C125,'Premade Flavors'!$A:$A,'Premade Flavors'!Q:Q),[2]Sheet1!S125)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Flavors'!E:E),_xlfn.XLOOKUP("What's The First Flavor You Want? ",[1]Sheet1!$1:$1,[1]Sheet1!126:126))</f>
        <v>0</v>
      </c>
      <c r="G126" s="31">
        <f>IF(COUNTIF('Premade Flavors'!$A:$A, $C126) &gt; 0,_xlfn.XLOOKUP($C126,'Premade Flavors'!$A:$A,'Premade Flavors'!F:F),_xlfn.XLOOKUP("What's the Second Flavor You Want?",[1]Sheet1!$1:$1,[1]Sheet1!126:126))</f>
        <v>0</v>
      </c>
      <c r="H126" s="31">
        <f>IF(COUNTIF('Premade Flavors'!$A:$A, $C126) &gt; 0,_xlfn.XLOOKUP($C126,'Premade Flavors'!$A:$A,'Premade Flavors'!G:G),_xlfn.XLOOKUP("What's The First Mix In That You Want? ",[1]Sheet1!$1:$1,[1]Sheet1!126:126))</f>
        <v>0</v>
      </c>
      <c r="I126" s="31">
        <f>IF(COUNTIF('Premade Flavors'!$A:$A, $C124) &gt; 0,_xlfn.XLOOKUP($C124,'Premade Flavors'!$A:$A,'Premade Flavors'!H:H),IF([2]Sheet1!W124=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Flavors'!I:I),"Stevia"),_xlfn.XLOOKUP("What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Flavors'!M:M),_xlfn.XLOOKUP("How Strong Do You Want The First Flavor?",[1]Sheet1!$1:$1,[1]Sheet1!126:126))</f>
        <v>0</v>
      </c>
      <c r="N126" s="45">
        <f>IF(COUNTIF('Premade Flavors'!$A:$A, $C126) &gt; 0,_xlfn.XLOOKUP($C126,'Premade Flavors'!$A:$A,'Premade Flavors'!N:N),_xlfn.XLOOKUP("How Strong Do You Want The Second Flavor?",[1]Sheet1!$1:$1,[1]Sheet1!126:126))</f>
        <v>0</v>
      </c>
      <c r="O126" s="45">
        <f>IF(COUNTIF('Premade Flavors'!$A:$A, $C126) &gt; 0,_xlfn.XLOOKUP($C126,'Premade Flavors'!$A:$A,'Premade Flavors'!O:O),_xlfn.XLOOKUP("How Dense Should the Mix Ins Be?",[1]Sheet1!$1:$1,[1]Sheet1!126:126))</f>
        <v>0</v>
      </c>
      <c r="P126" s="45">
        <f>IF(COUNTIF('Premade Flavors'!$A:$A, $C126) &gt; 0,_xlfn.XLOOKUP($C126,'Premade Flavors'!$A:$A,'Premade Flavors'!P:P),_xlfn.XLOOKUP("How Much Of The First Sweetner? ",[1]Sheet1!$1:$1,[1]Sheet1!126:126))</f>
        <v>0</v>
      </c>
      <c r="Q126" s="45">
        <f>IF(COUNTIF('Premade Flavors'!$A:$A, $C126) &gt; 0,_xlfn.XLOOKUP($C126,'Premade Flavors'!$A:$A,'Premade Flavors'!Q:Q),[2]Sheet1!S126)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Flavors'!E:E),_xlfn.XLOOKUP("What's The First Flavor You Want? ",[1]Sheet1!$1:$1,[1]Sheet1!127:127))</f>
        <v>0</v>
      </c>
      <c r="G127" s="31">
        <f>IF(COUNTIF('Premade Flavors'!$A:$A, $C127) &gt; 0,_xlfn.XLOOKUP($C127,'Premade Flavors'!$A:$A,'Premade Flavors'!F:F),_xlfn.XLOOKUP("What's the Second Flavor You Want?",[1]Sheet1!$1:$1,[1]Sheet1!127:127))</f>
        <v>0</v>
      </c>
      <c r="H127" s="31">
        <f>IF(COUNTIF('Premade Flavors'!$A:$A, $C127) &gt; 0,_xlfn.XLOOKUP($C127,'Premade Flavors'!$A:$A,'Premade Flavors'!G:G),_xlfn.XLOOKUP("What's The First Mix In That You Want? ",[1]Sheet1!$1:$1,[1]Sheet1!127:127))</f>
        <v>0</v>
      </c>
      <c r="I127" s="31">
        <f>IF(COUNTIF('Premade Flavors'!$A:$A, $C125) &gt; 0,_xlfn.XLOOKUP($C125,'Premade Flavors'!$A:$A,'Premade Flavors'!H:H),IF([2]Sheet1!W125=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Flavors'!I:I),"Stevia"),_xlfn.XLOOKUP("What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Flavors'!M:M),_xlfn.XLOOKUP("How Strong Do You Want The First Flavor?",[1]Sheet1!$1:$1,[1]Sheet1!127:127))</f>
        <v>0</v>
      </c>
      <c r="N127" s="45">
        <f>IF(COUNTIF('Premade Flavors'!$A:$A, $C127) &gt; 0,_xlfn.XLOOKUP($C127,'Premade Flavors'!$A:$A,'Premade Flavors'!N:N),_xlfn.XLOOKUP("How Strong Do You Want The Second Flavor?",[1]Sheet1!$1:$1,[1]Sheet1!127:127))</f>
        <v>0</v>
      </c>
      <c r="O127" s="45">
        <f>IF(COUNTIF('Premade Flavors'!$A:$A, $C127) &gt; 0,_xlfn.XLOOKUP($C127,'Premade Flavors'!$A:$A,'Premade Flavors'!O:O),_xlfn.XLOOKUP("How Dense Should the Mix Ins Be?",[1]Sheet1!$1:$1,[1]Sheet1!127:127))</f>
        <v>0</v>
      </c>
      <c r="P127" s="45">
        <f>IF(COUNTIF('Premade Flavors'!$A:$A, $C127) &gt; 0,_xlfn.XLOOKUP($C127,'Premade Flavors'!$A:$A,'Premade Flavors'!P:P),_xlfn.XLOOKUP("How Much Of The First Sweetner? ",[1]Sheet1!$1:$1,[1]Sheet1!127:127))</f>
        <v>0</v>
      </c>
      <c r="Q127" s="45">
        <f>IF(COUNTIF('Premade Flavors'!$A:$A, $C127) &gt; 0,_xlfn.XLOOKUP($C127,'Premade Flavors'!$A:$A,'Premade Flavors'!Q:Q),[2]Sheet1!S127)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Flavors'!E:E),_xlfn.XLOOKUP("What's The First Flavor You Want? ",[1]Sheet1!$1:$1,[1]Sheet1!128:128))</f>
        <v>0</v>
      </c>
      <c r="G128" s="31">
        <f>IF(COUNTIF('Premade Flavors'!$A:$A, $C128) &gt; 0,_xlfn.XLOOKUP($C128,'Premade Flavors'!$A:$A,'Premade Flavors'!F:F),_xlfn.XLOOKUP("What's the Second Flavor You Want?",[1]Sheet1!$1:$1,[1]Sheet1!128:128))</f>
        <v>0</v>
      </c>
      <c r="H128" s="31">
        <f>IF(COUNTIF('Premade Flavors'!$A:$A, $C128) &gt; 0,_xlfn.XLOOKUP($C128,'Premade Flavors'!$A:$A,'Premade Flavors'!G:G),_xlfn.XLOOKUP("What's The First Mix In That You Want? ",[1]Sheet1!$1:$1,[1]Sheet1!128:128))</f>
        <v>0</v>
      </c>
      <c r="I128" s="31">
        <f>IF(COUNTIF('Premade Flavors'!$A:$A, $C126) &gt; 0,_xlfn.XLOOKUP($C126,'Premade Flavors'!$A:$A,'Premade Flavors'!H:H),IF([2]Sheet1!W126=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Flavors'!I:I),"Stevia"),_xlfn.XLOOKUP("What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Flavors'!M:M),_xlfn.XLOOKUP("How Strong Do You Want The First Flavor?",[1]Sheet1!$1:$1,[1]Sheet1!128:128))</f>
        <v>0</v>
      </c>
      <c r="N128" s="45">
        <f>IF(COUNTIF('Premade Flavors'!$A:$A, $C128) &gt; 0,_xlfn.XLOOKUP($C128,'Premade Flavors'!$A:$A,'Premade Flavors'!N:N),_xlfn.XLOOKUP("How Strong Do You Want The Second Flavor?",[1]Sheet1!$1:$1,[1]Sheet1!128:128))</f>
        <v>0</v>
      </c>
      <c r="O128" s="45">
        <f>IF(COUNTIF('Premade Flavors'!$A:$A, $C128) &gt; 0,_xlfn.XLOOKUP($C128,'Premade Flavors'!$A:$A,'Premade Flavors'!O:O),_xlfn.XLOOKUP("How Dense Should the Mix Ins Be?",[1]Sheet1!$1:$1,[1]Sheet1!128:128))</f>
        <v>0</v>
      </c>
      <c r="P128" s="45">
        <f>IF(COUNTIF('Premade Flavors'!$A:$A, $C128) &gt; 0,_xlfn.XLOOKUP($C128,'Premade Flavors'!$A:$A,'Premade Flavors'!P:P),_xlfn.XLOOKUP("How Much Of The First Sweetner? ",[1]Sheet1!$1:$1,[1]Sheet1!128:128))</f>
        <v>0</v>
      </c>
      <c r="Q128" s="45">
        <f>IF(COUNTIF('Premade Flavors'!$A:$A, $C128) &gt; 0,_xlfn.XLOOKUP($C128,'Premade Flavors'!$A:$A,'Premade Flavors'!Q:Q),[2]Sheet1!S128)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Flavors'!E:E),_xlfn.XLOOKUP("What's The First Flavor You Want? ",[1]Sheet1!$1:$1,[1]Sheet1!129:129))</f>
        <v>0</v>
      </c>
      <c r="G129" s="31">
        <f>IF(COUNTIF('Premade Flavors'!$A:$A, $C129) &gt; 0,_xlfn.XLOOKUP($C129,'Premade Flavors'!$A:$A,'Premade Flavors'!F:F),_xlfn.XLOOKUP("What's the Second Flavor You Want?",[1]Sheet1!$1:$1,[1]Sheet1!129:129))</f>
        <v>0</v>
      </c>
      <c r="H129" s="31">
        <f>IF(COUNTIF('Premade Flavors'!$A:$A, $C129) &gt; 0,_xlfn.XLOOKUP($C129,'Premade Flavors'!$A:$A,'Premade Flavors'!G:G),_xlfn.XLOOKUP("What's The First Mix In That You Want? ",[1]Sheet1!$1:$1,[1]Sheet1!129:129))</f>
        <v>0</v>
      </c>
      <c r="I129" s="31">
        <f>IF(COUNTIF('Premade Flavors'!$A:$A, $C127) &gt; 0,_xlfn.XLOOKUP($C127,'Premade Flavors'!$A:$A,'Premade Flavors'!H:H),IF([2]Sheet1!W127=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Flavors'!I:I),"Stevia"),_xlfn.XLOOKUP("What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Flavors'!M:M),_xlfn.XLOOKUP("How Strong Do You Want The First Flavor?",[1]Sheet1!$1:$1,[1]Sheet1!129:129))</f>
        <v>0</v>
      </c>
      <c r="N129" s="45">
        <f>IF(COUNTIF('Premade Flavors'!$A:$A, $C129) &gt; 0,_xlfn.XLOOKUP($C129,'Premade Flavors'!$A:$A,'Premade Flavors'!N:N),_xlfn.XLOOKUP("How Strong Do You Want The Second Flavor?",[1]Sheet1!$1:$1,[1]Sheet1!129:129))</f>
        <v>0</v>
      </c>
      <c r="O129" s="45">
        <f>IF(COUNTIF('Premade Flavors'!$A:$A, $C129) &gt; 0,_xlfn.XLOOKUP($C129,'Premade Flavors'!$A:$A,'Premade Flavors'!O:O),_xlfn.XLOOKUP("How Dense Should the Mix Ins Be?",[1]Sheet1!$1:$1,[1]Sheet1!129:129))</f>
        <v>0</v>
      </c>
      <c r="P129" s="45">
        <f>IF(COUNTIF('Premade Flavors'!$A:$A, $C129) &gt; 0,_xlfn.XLOOKUP($C129,'Premade Flavors'!$A:$A,'Premade Flavors'!P:P),_xlfn.XLOOKUP("How Much Of The First Sweetner? ",[1]Sheet1!$1:$1,[1]Sheet1!129:129))</f>
        <v>0</v>
      </c>
      <c r="Q129" s="45">
        <f>IF(COUNTIF('Premade Flavors'!$A:$A, $C129) &gt; 0,_xlfn.XLOOKUP($C129,'Premade Flavors'!$A:$A,'Premade Flavors'!Q:Q),[2]Sheet1!S129)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Flavors'!E:E),_xlfn.XLOOKUP("What's The First Flavor You Want? ",[1]Sheet1!$1:$1,[1]Sheet1!130:130))</f>
        <v>0</v>
      </c>
      <c r="G130" s="31">
        <f>IF(COUNTIF('Premade Flavors'!$A:$A, $C130) &gt; 0,_xlfn.XLOOKUP($C130,'Premade Flavors'!$A:$A,'Premade Flavors'!F:F),_xlfn.XLOOKUP("What's the Second Flavor You Want?",[1]Sheet1!$1:$1,[1]Sheet1!130:130))</f>
        <v>0</v>
      </c>
      <c r="H130" s="31">
        <f>IF(COUNTIF('Premade Flavors'!$A:$A, $C130) &gt; 0,_xlfn.XLOOKUP($C130,'Premade Flavors'!$A:$A,'Premade Flavors'!G:G),_xlfn.XLOOKUP("What's The First Mix In That You Want? ",[1]Sheet1!$1:$1,[1]Sheet1!130:130))</f>
        <v>0</v>
      </c>
      <c r="I130" s="31">
        <f>IF(COUNTIF('Premade Flavors'!$A:$A, $C128) &gt; 0,_xlfn.XLOOKUP($C128,'Premade Flavors'!$A:$A,'Premade Flavors'!H:H),IF([2]Sheet1!W128=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Flavors'!I:I),"Stevia"),_xlfn.XLOOKUP("What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Flavors'!M:M),_xlfn.XLOOKUP("How Strong Do You Want The First Flavor?",[1]Sheet1!$1:$1,[1]Sheet1!130:130))</f>
        <v>0</v>
      </c>
      <c r="N130" s="45">
        <f>IF(COUNTIF('Premade Flavors'!$A:$A, $C130) &gt; 0,_xlfn.XLOOKUP($C130,'Premade Flavors'!$A:$A,'Premade Flavors'!N:N),_xlfn.XLOOKUP("How Strong Do You Want The Second Flavor?",[1]Sheet1!$1:$1,[1]Sheet1!130:130))</f>
        <v>0</v>
      </c>
      <c r="O130" s="45">
        <f>IF(COUNTIF('Premade Flavors'!$A:$A, $C130) &gt; 0,_xlfn.XLOOKUP($C130,'Premade Flavors'!$A:$A,'Premade Flavors'!O:O),_xlfn.XLOOKUP("How Dense Should the Mix Ins Be?",[1]Sheet1!$1:$1,[1]Sheet1!130:130))</f>
        <v>0</v>
      </c>
      <c r="P130" s="45">
        <f>IF(COUNTIF('Premade Flavors'!$A:$A, $C130) &gt; 0,_xlfn.XLOOKUP($C130,'Premade Flavors'!$A:$A,'Premade Flavors'!P:P),_xlfn.XLOOKUP("How Much Of The First Sweetner? ",[1]Sheet1!$1:$1,[1]Sheet1!130:130))</f>
        <v>0</v>
      </c>
      <c r="Q130" s="45">
        <f>IF(COUNTIF('Premade Flavors'!$A:$A, $C130) &gt; 0,_xlfn.XLOOKUP($C130,'Premade Flavors'!$A:$A,'Premade Flavors'!Q:Q),[2]Sheet1!S130)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Flavors'!E:E),_xlfn.XLOOKUP("What's The First Flavor You Want? ",[1]Sheet1!$1:$1,[1]Sheet1!131:131))</f>
        <v>0</v>
      </c>
      <c r="G131" s="31">
        <f>IF(COUNTIF('Premade Flavors'!$A:$A, $C131) &gt; 0,_xlfn.XLOOKUP($C131,'Premade Flavors'!$A:$A,'Premade Flavors'!F:F),_xlfn.XLOOKUP("What's the Second Flavor You Want?",[1]Sheet1!$1:$1,[1]Sheet1!131:131))</f>
        <v>0</v>
      </c>
      <c r="H131" s="31">
        <f>IF(COUNTIF('Premade Flavors'!$A:$A, $C131) &gt; 0,_xlfn.XLOOKUP($C131,'Premade Flavors'!$A:$A,'Premade Flavors'!G:G),_xlfn.XLOOKUP("What's The First Mix In That You Want? ",[1]Sheet1!$1:$1,[1]Sheet1!131:131))</f>
        <v>0</v>
      </c>
      <c r="I131" s="31">
        <f>IF(COUNTIF('Premade Flavors'!$A:$A, $C129) &gt; 0,_xlfn.XLOOKUP($C129,'Premade Flavors'!$A:$A,'Premade Flavors'!H:H),IF([2]Sheet1!W129=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Flavors'!I:I),"Stevia"),_xlfn.XLOOKUP("What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Flavors'!M:M),_xlfn.XLOOKUP("How Strong Do You Want The First Flavor?",[1]Sheet1!$1:$1,[1]Sheet1!131:131))</f>
        <v>0</v>
      </c>
      <c r="N131" s="45">
        <f>IF(COUNTIF('Premade Flavors'!$A:$A, $C131) &gt; 0,_xlfn.XLOOKUP($C131,'Premade Flavors'!$A:$A,'Premade Flavors'!N:N),_xlfn.XLOOKUP("How Strong Do You Want The Second Flavor?",[1]Sheet1!$1:$1,[1]Sheet1!131:131))</f>
        <v>0</v>
      </c>
      <c r="O131" s="45">
        <f>IF(COUNTIF('Premade Flavors'!$A:$A, $C131) &gt; 0,_xlfn.XLOOKUP($C131,'Premade Flavors'!$A:$A,'Premade Flavors'!O:O),_xlfn.XLOOKUP("How Dense Should the Mix Ins Be?",[1]Sheet1!$1:$1,[1]Sheet1!131:131))</f>
        <v>0</v>
      </c>
      <c r="P131" s="45">
        <f>IF(COUNTIF('Premade Flavors'!$A:$A, $C131) &gt; 0,_xlfn.XLOOKUP($C131,'Premade Flavors'!$A:$A,'Premade Flavors'!P:P),_xlfn.XLOOKUP("How Much Of The First Sweetner? ",[1]Sheet1!$1:$1,[1]Sheet1!131:131))</f>
        <v>0</v>
      </c>
      <c r="Q131" s="45">
        <f>IF(COUNTIF('Premade Flavors'!$A:$A, $C131) &gt; 0,_xlfn.XLOOKUP($C131,'Premade Flavors'!$A:$A,'Premade Flavors'!Q:Q),[2]Sheet1!S131)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Flavors'!E:E),_xlfn.XLOOKUP("What's The First Flavor You Want? ",[1]Sheet1!$1:$1,[1]Sheet1!132:132))</f>
        <v>0</v>
      </c>
      <c r="G132" s="31">
        <f>IF(COUNTIF('Premade Flavors'!$A:$A, $C132) &gt; 0,_xlfn.XLOOKUP($C132,'Premade Flavors'!$A:$A,'Premade Flavors'!F:F),_xlfn.XLOOKUP("What's the Second Flavor You Want?",[1]Sheet1!$1:$1,[1]Sheet1!132:132))</f>
        <v>0</v>
      </c>
      <c r="H132" s="31">
        <f>IF(COUNTIF('Premade Flavors'!$A:$A, $C132) &gt; 0,_xlfn.XLOOKUP($C132,'Premade Flavors'!$A:$A,'Premade Flavors'!G:G),_xlfn.XLOOKUP("What's The First Mix In That You Want? ",[1]Sheet1!$1:$1,[1]Sheet1!132:132))</f>
        <v>0</v>
      </c>
      <c r="I132" s="31">
        <f>IF(COUNTIF('Premade Flavors'!$A:$A, $C130) &gt; 0,_xlfn.XLOOKUP($C130,'Premade Flavors'!$A:$A,'Premade Flavors'!H:H),IF([2]Sheet1!W130=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Flavors'!I:I),"Stevia"),_xlfn.XLOOKUP("What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Flavors'!M:M),_xlfn.XLOOKUP("How Strong Do You Want The First Flavor?",[1]Sheet1!$1:$1,[1]Sheet1!132:132))</f>
        <v>0</v>
      </c>
      <c r="N132" s="45">
        <f>IF(COUNTIF('Premade Flavors'!$A:$A, $C132) &gt; 0,_xlfn.XLOOKUP($C132,'Premade Flavors'!$A:$A,'Premade Flavors'!N:N),_xlfn.XLOOKUP("How Strong Do You Want The Second Flavor?",[1]Sheet1!$1:$1,[1]Sheet1!132:132))</f>
        <v>0</v>
      </c>
      <c r="O132" s="45">
        <f>IF(COUNTIF('Premade Flavors'!$A:$A, $C132) &gt; 0,_xlfn.XLOOKUP($C132,'Premade Flavors'!$A:$A,'Premade Flavors'!O:O),_xlfn.XLOOKUP("How Dense Should the Mix Ins Be?",[1]Sheet1!$1:$1,[1]Sheet1!132:132))</f>
        <v>0</v>
      </c>
      <c r="P132" s="45">
        <f>IF(COUNTIF('Premade Flavors'!$A:$A, $C132) &gt; 0,_xlfn.XLOOKUP($C132,'Premade Flavors'!$A:$A,'Premade Flavors'!P:P),_xlfn.XLOOKUP("How Much Of The First Sweetner? ",[1]Sheet1!$1:$1,[1]Sheet1!132:132))</f>
        <v>0</v>
      </c>
      <c r="Q132" s="45">
        <f>IF(COUNTIF('Premade Flavors'!$A:$A, $C132) &gt; 0,_xlfn.XLOOKUP($C132,'Premade Flavors'!$A:$A,'Premade Flavors'!Q:Q),[2]Sheet1!S132)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Flavors'!E:E),_xlfn.XLOOKUP("What's The First Flavor You Want? ",[1]Sheet1!$1:$1,[1]Sheet1!133:133))</f>
        <v>0</v>
      </c>
      <c r="G133" s="31">
        <f>IF(COUNTIF('Premade Flavors'!$A:$A, $C133) &gt; 0,_xlfn.XLOOKUP($C133,'Premade Flavors'!$A:$A,'Premade Flavors'!F:F),_xlfn.XLOOKUP("What's the Second Flavor You Want?",[1]Sheet1!$1:$1,[1]Sheet1!133:133))</f>
        <v>0</v>
      </c>
      <c r="H133" s="31">
        <f>IF(COUNTIF('Premade Flavors'!$A:$A, $C133) &gt; 0,_xlfn.XLOOKUP($C133,'Premade Flavors'!$A:$A,'Premade Flavors'!G:G),_xlfn.XLOOKUP("What's The First Mix In That You Want? ",[1]Sheet1!$1:$1,[1]Sheet1!133:133))</f>
        <v>0</v>
      </c>
      <c r="I133" s="31">
        <f>IF(COUNTIF('Premade Flavors'!$A:$A, $C131) &gt; 0,_xlfn.XLOOKUP($C131,'Premade Flavors'!$A:$A,'Premade Flavors'!H:H),IF([2]Sheet1!W131=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Flavors'!I:I),"Stevia"),_xlfn.XLOOKUP("What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Flavors'!M:M),_xlfn.XLOOKUP("How Strong Do You Want The First Flavor?",[1]Sheet1!$1:$1,[1]Sheet1!133:133))</f>
        <v>0</v>
      </c>
      <c r="N133" s="45">
        <f>IF(COUNTIF('Premade Flavors'!$A:$A, $C133) &gt; 0,_xlfn.XLOOKUP($C133,'Premade Flavors'!$A:$A,'Premade Flavors'!N:N),_xlfn.XLOOKUP("How Strong Do You Want The Second Flavor?",[1]Sheet1!$1:$1,[1]Sheet1!133:133))</f>
        <v>0</v>
      </c>
      <c r="O133" s="45">
        <f>IF(COUNTIF('Premade Flavors'!$A:$A, $C133) &gt; 0,_xlfn.XLOOKUP($C133,'Premade Flavors'!$A:$A,'Premade Flavors'!O:O),_xlfn.XLOOKUP("How Dense Should the Mix Ins Be?",[1]Sheet1!$1:$1,[1]Sheet1!133:133))</f>
        <v>0</v>
      </c>
      <c r="P133" s="45">
        <f>IF(COUNTIF('Premade Flavors'!$A:$A, $C133) &gt; 0,_xlfn.XLOOKUP($C133,'Premade Flavors'!$A:$A,'Premade Flavors'!P:P),_xlfn.XLOOKUP("How Much Of The First Sweetner? ",[1]Sheet1!$1:$1,[1]Sheet1!133:133))</f>
        <v>0</v>
      </c>
      <c r="Q133" s="45">
        <f>IF(COUNTIF('Premade Flavors'!$A:$A, $C133) &gt; 0,_xlfn.XLOOKUP($C133,'Premade Flavors'!$A:$A,'Premade Flavors'!Q:Q),[2]Sheet1!S133)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Flavors'!E:E),_xlfn.XLOOKUP("What's The First Flavor You Want? ",[1]Sheet1!$1:$1,[1]Sheet1!134:134))</f>
        <v>0</v>
      </c>
      <c r="G134" s="31">
        <f>IF(COUNTIF('Premade Flavors'!$A:$A, $C134) &gt; 0,_xlfn.XLOOKUP($C134,'Premade Flavors'!$A:$A,'Premade Flavors'!F:F),_xlfn.XLOOKUP("What's the Second Flavor You Want?",[1]Sheet1!$1:$1,[1]Sheet1!134:134))</f>
        <v>0</v>
      </c>
      <c r="H134" s="31">
        <f>IF(COUNTIF('Premade Flavors'!$A:$A, $C134) &gt; 0,_xlfn.XLOOKUP($C134,'Premade Flavors'!$A:$A,'Premade Flavors'!G:G),_xlfn.XLOOKUP("What's The First Mix In That You Want? ",[1]Sheet1!$1:$1,[1]Sheet1!134:134))</f>
        <v>0</v>
      </c>
      <c r="I134" s="31">
        <f>IF(COUNTIF('Premade Flavors'!$A:$A, $C132) &gt; 0,_xlfn.XLOOKUP($C132,'Premade Flavors'!$A:$A,'Premade Flavors'!H:H),IF([2]Sheet1!W132=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Flavors'!I:I),"Stevia"),_xlfn.XLOOKUP("What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Flavors'!M:M),_xlfn.XLOOKUP("How Strong Do You Want The First Flavor?",[1]Sheet1!$1:$1,[1]Sheet1!134:134))</f>
        <v>0</v>
      </c>
      <c r="N134" s="45">
        <f>IF(COUNTIF('Premade Flavors'!$A:$A, $C134) &gt; 0,_xlfn.XLOOKUP($C134,'Premade Flavors'!$A:$A,'Premade Flavors'!N:N),_xlfn.XLOOKUP("How Strong Do You Want The Second Flavor?",[1]Sheet1!$1:$1,[1]Sheet1!134:134))</f>
        <v>0</v>
      </c>
      <c r="O134" s="45">
        <f>IF(COUNTIF('Premade Flavors'!$A:$A, $C134) &gt; 0,_xlfn.XLOOKUP($C134,'Premade Flavors'!$A:$A,'Premade Flavors'!O:O),_xlfn.XLOOKUP("How Dense Should the Mix Ins Be?",[1]Sheet1!$1:$1,[1]Sheet1!134:134))</f>
        <v>0</v>
      </c>
      <c r="P134" s="45">
        <f>IF(COUNTIF('Premade Flavors'!$A:$A, $C134) &gt; 0,_xlfn.XLOOKUP($C134,'Premade Flavors'!$A:$A,'Premade Flavors'!P:P),_xlfn.XLOOKUP("How Much Of The First Sweetner? ",[1]Sheet1!$1:$1,[1]Sheet1!134:134))</f>
        <v>0</v>
      </c>
      <c r="Q134" s="45">
        <f>IF(COUNTIF('Premade Flavors'!$A:$A, $C134) &gt; 0,_xlfn.XLOOKUP($C134,'Premade Flavors'!$A:$A,'Premade Flavors'!Q:Q),[2]Sheet1!S134)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Flavors'!E:E),_xlfn.XLOOKUP("What's The First Flavor You Want? ",[1]Sheet1!$1:$1,[1]Sheet1!135:135))</f>
        <v>0</v>
      </c>
      <c r="G135" s="31">
        <f>IF(COUNTIF('Premade Flavors'!$A:$A, $C135) &gt; 0,_xlfn.XLOOKUP($C135,'Premade Flavors'!$A:$A,'Premade Flavors'!F:F),_xlfn.XLOOKUP("What's the Second Flavor You Want?",[1]Sheet1!$1:$1,[1]Sheet1!135:135))</f>
        <v>0</v>
      </c>
      <c r="H135" s="31">
        <f>IF(COUNTIF('Premade Flavors'!$A:$A, $C135) &gt; 0,_xlfn.XLOOKUP($C135,'Premade Flavors'!$A:$A,'Premade Flavors'!G:G),_xlfn.XLOOKUP("What's The First Mix In That You Want? ",[1]Sheet1!$1:$1,[1]Sheet1!135:135))</f>
        <v>0</v>
      </c>
      <c r="I135" s="31">
        <f>IF(COUNTIF('Premade Flavors'!$A:$A, $C133) &gt; 0,_xlfn.XLOOKUP($C133,'Premade Flavors'!$A:$A,'Premade Flavors'!H:H),IF([2]Sheet1!W133=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Flavors'!I:I),"Stevia"),_xlfn.XLOOKUP("What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Flavors'!M:M),_xlfn.XLOOKUP("How Strong Do You Want The First Flavor?",[1]Sheet1!$1:$1,[1]Sheet1!135:135))</f>
        <v>0</v>
      </c>
      <c r="N135" s="45">
        <f>IF(COUNTIF('Premade Flavors'!$A:$A, $C135) &gt; 0,_xlfn.XLOOKUP($C135,'Premade Flavors'!$A:$A,'Premade Flavors'!N:N),_xlfn.XLOOKUP("How Strong Do You Want The Second Flavor?",[1]Sheet1!$1:$1,[1]Sheet1!135:135))</f>
        <v>0</v>
      </c>
      <c r="O135" s="45">
        <f>IF(COUNTIF('Premade Flavors'!$A:$A, $C135) &gt; 0,_xlfn.XLOOKUP($C135,'Premade Flavors'!$A:$A,'Premade Flavors'!O:O),_xlfn.XLOOKUP("How Dense Should the Mix Ins Be?",[1]Sheet1!$1:$1,[1]Sheet1!135:135))</f>
        <v>0</v>
      </c>
      <c r="P135" s="45">
        <f>IF(COUNTIF('Premade Flavors'!$A:$A, $C135) &gt; 0,_xlfn.XLOOKUP($C135,'Premade Flavors'!$A:$A,'Premade Flavors'!P:P),_xlfn.XLOOKUP("How Much Of The First Sweetner? ",[1]Sheet1!$1:$1,[1]Sheet1!135:135))</f>
        <v>0</v>
      </c>
      <c r="Q135" s="45">
        <f>IF(COUNTIF('Premade Flavors'!$A:$A, $C135) &gt; 0,_xlfn.XLOOKUP($C135,'Premade Flavors'!$A:$A,'Premade Flavors'!Q:Q),[2]Sheet1!S135)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Flavors'!E:E),_xlfn.XLOOKUP("What's The First Flavor You Want? ",[1]Sheet1!$1:$1,[1]Sheet1!136:136))</f>
        <v>0</v>
      </c>
      <c r="G136" s="31">
        <f>IF(COUNTIF('Premade Flavors'!$A:$A, $C136) &gt; 0,_xlfn.XLOOKUP($C136,'Premade Flavors'!$A:$A,'Premade Flavors'!F:F),_xlfn.XLOOKUP("What's the Second Flavor You Want?",[1]Sheet1!$1:$1,[1]Sheet1!136:136))</f>
        <v>0</v>
      </c>
      <c r="H136" s="31">
        <f>IF(COUNTIF('Premade Flavors'!$A:$A, $C136) &gt; 0,_xlfn.XLOOKUP($C136,'Premade Flavors'!$A:$A,'Premade Flavors'!G:G),_xlfn.XLOOKUP("What's The First Mix In That You Want? ",[1]Sheet1!$1:$1,[1]Sheet1!136:136))</f>
        <v>0</v>
      </c>
      <c r="I136" s="31">
        <f>IF(COUNTIF('Premade Flavors'!$A:$A, $C134) &gt; 0,_xlfn.XLOOKUP($C134,'Premade Flavors'!$A:$A,'Premade Flavors'!H:H),IF([2]Sheet1!W134=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Flavors'!I:I),"Stevia"),_xlfn.XLOOKUP("What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Flavors'!M:M),_xlfn.XLOOKUP("How Strong Do You Want The First Flavor?",[1]Sheet1!$1:$1,[1]Sheet1!136:136))</f>
        <v>0</v>
      </c>
      <c r="N136" s="45">
        <f>IF(COUNTIF('Premade Flavors'!$A:$A, $C136) &gt; 0,_xlfn.XLOOKUP($C136,'Premade Flavors'!$A:$A,'Premade Flavors'!N:N),_xlfn.XLOOKUP("How Strong Do You Want The Second Flavor?",[1]Sheet1!$1:$1,[1]Sheet1!136:136))</f>
        <v>0</v>
      </c>
      <c r="O136" s="45">
        <f>IF(COUNTIF('Premade Flavors'!$A:$A, $C136) &gt; 0,_xlfn.XLOOKUP($C136,'Premade Flavors'!$A:$A,'Premade Flavors'!O:O),_xlfn.XLOOKUP("How Dense Should the Mix Ins Be?",[1]Sheet1!$1:$1,[1]Sheet1!136:136))</f>
        <v>0</v>
      </c>
      <c r="P136" s="45">
        <f>IF(COUNTIF('Premade Flavors'!$A:$A, $C136) &gt; 0,_xlfn.XLOOKUP($C136,'Premade Flavors'!$A:$A,'Premade Flavors'!P:P),_xlfn.XLOOKUP("How Much Of The First Sweetner? ",[1]Sheet1!$1:$1,[1]Sheet1!136:136))</f>
        <v>0</v>
      </c>
      <c r="Q136" s="45">
        <f>IF(COUNTIF('Premade Flavors'!$A:$A, $C136) &gt; 0,_xlfn.XLOOKUP($C136,'Premade Flavors'!$A:$A,'Premade Flavors'!Q:Q),[2]Sheet1!S136)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Flavors'!E:E),_xlfn.XLOOKUP("What's The First Flavor You Want? ",[1]Sheet1!$1:$1,[1]Sheet1!137:137))</f>
        <v>0</v>
      </c>
      <c r="G137" s="31">
        <f>IF(COUNTIF('Premade Flavors'!$A:$A, $C137) &gt; 0,_xlfn.XLOOKUP($C137,'Premade Flavors'!$A:$A,'Premade Flavors'!F:F),_xlfn.XLOOKUP("What's the Second Flavor You Want?",[1]Sheet1!$1:$1,[1]Sheet1!137:137))</f>
        <v>0</v>
      </c>
      <c r="H137" s="31">
        <f>IF(COUNTIF('Premade Flavors'!$A:$A, $C137) &gt; 0,_xlfn.XLOOKUP($C137,'Premade Flavors'!$A:$A,'Premade Flavors'!G:G),_xlfn.XLOOKUP("What's The First Mix In That You Want? ",[1]Sheet1!$1:$1,[1]Sheet1!137:137))</f>
        <v>0</v>
      </c>
      <c r="I137" s="31">
        <f>IF(COUNTIF('Premade Flavors'!$A:$A, $C135) &gt; 0,_xlfn.XLOOKUP($C135,'Premade Flavors'!$A:$A,'Premade Flavors'!H:H),IF([2]Sheet1!W135=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Flavors'!I:I),"Stevia"),_xlfn.XLOOKUP("What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Flavors'!M:M),_xlfn.XLOOKUP("How Strong Do You Want The First Flavor?",[1]Sheet1!$1:$1,[1]Sheet1!137:137))</f>
        <v>0</v>
      </c>
      <c r="N137" s="45">
        <f>IF(COUNTIF('Premade Flavors'!$A:$A, $C137) &gt; 0,_xlfn.XLOOKUP($C137,'Premade Flavors'!$A:$A,'Premade Flavors'!N:N),_xlfn.XLOOKUP("How Strong Do You Want The Second Flavor?",[1]Sheet1!$1:$1,[1]Sheet1!137:137))</f>
        <v>0</v>
      </c>
      <c r="O137" s="45">
        <f>IF(COUNTIF('Premade Flavors'!$A:$A, $C137) &gt; 0,_xlfn.XLOOKUP($C137,'Premade Flavors'!$A:$A,'Premade Flavors'!O:O),_xlfn.XLOOKUP("How Dense Should the Mix Ins Be?",[1]Sheet1!$1:$1,[1]Sheet1!137:137))</f>
        <v>0</v>
      </c>
      <c r="P137" s="45">
        <f>IF(COUNTIF('Premade Flavors'!$A:$A, $C137) &gt; 0,_xlfn.XLOOKUP($C137,'Premade Flavors'!$A:$A,'Premade Flavors'!P:P),_xlfn.XLOOKUP("How Much Of The First Sweetner? ",[1]Sheet1!$1:$1,[1]Sheet1!137:137))</f>
        <v>0</v>
      </c>
      <c r="Q137" s="45">
        <f>IF(COUNTIF('Premade Flavors'!$A:$A, $C137) &gt; 0,_xlfn.XLOOKUP($C137,'Premade Flavors'!$A:$A,'Premade Flavors'!Q:Q),[2]Sheet1!S137)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Flavors'!E:E),_xlfn.XLOOKUP("What's The First Flavor You Want? ",[1]Sheet1!$1:$1,[1]Sheet1!138:138))</f>
        <v>0</v>
      </c>
      <c r="G138" s="31">
        <f>IF(COUNTIF('Premade Flavors'!$A:$A, $C138) &gt; 0,_xlfn.XLOOKUP($C138,'Premade Flavors'!$A:$A,'Premade Flavors'!F:F),_xlfn.XLOOKUP("What's the Second Flavor You Want?",[1]Sheet1!$1:$1,[1]Sheet1!138:138))</f>
        <v>0</v>
      </c>
      <c r="H138" s="31">
        <f>IF(COUNTIF('Premade Flavors'!$A:$A, $C138) &gt; 0,_xlfn.XLOOKUP($C138,'Premade Flavors'!$A:$A,'Premade Flavors'!G:G),_xlfn.XLOOKUP("What's The First Mix In That You Want? ",[1]Sheet1!$1:$1,[1]Sheet1!138:138))</f>
        <v>0</v>
      </c>
      <c r="I138" s="31">
        <f>IF(COUNTIF('Premade Flavors'!$A:$A, $C136) &gt; 0,_xlfn.XLOOKUP($C136,'Premade Flavors'!$A:$A,'Premade Flavors'!H:H),IF([2]Sheet1!W136=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Flavors'!I:I),"Stevia"),_xlfn.XLOOKUP("What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Flavors'!M:M),_xlfn.XLOOKUP("How Strong Do You Want The First Flavor?",[1]Sheet1!$1:$1,[1]Sheet1!138:138))</f>
        <v>0</v>
      </c>
      <c r="N138" s="45">
        <f>IF(COUNTIF('Premade Flavors'!$A:$A, $C138) &gt; 0,_xlfn.XLOOKUP($C138,'Premade Flavors'!$A:$A,'Premade Flavors'!N:N),_xlfn.XLOOKUP("How Strong Do You Want The Second Flavor?",[1]Sheet1!$1:$1,[1]Sheet1!138:138))</f>
        <v>0</v>
      </c>
      <c r="O138" s="45">
        <f>IF(COUNTIF('Premade Flavors'!$A:$A, $C138) &gt; 0,_xlfn.XLOOKUP($C138,'Premade Flavors'!$A:$A,'Premade Flavors'!O:O),_xlfn.XLOOKUP("How Dense Should the Mix Ins Be?",[1]Sheet1!$1:$1,[1]Sheet1!138:138))</f>
        <v>0</v>
      </c>
      <c r="P138" s="45">
        <f>IF(COUNTIF('Premade Flavors'!$A:$A, $C138) &gt; 0,_xlfn.XLOOKUP($C138,'Premade Flavors'!$A:$A,'Premade Flavors'!P:P),_xlfn.XLOOKUP("How Much Of The First Sweetner? ",[1]Sheet1!$1:$1,[1]Sheet1!138:138))</f>
        <v>0</v>
      </c>
      <c r="Q138" s="45">
        <f>IF(COUNTIF('Premade Flavors'!$A:$A, $C138) &gt; 0,_xlfn.XLOOKUP($C138,'Premade Flavors'!$A:$A,'Premade Flavors'!Q:Q),[2]Sheet1!S138)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Flavors'!E:E),_xlfn.XLOOKUP("What's The First Flavor You Want? ",[1]Sheet1!$1:$1,[1]Sheet1!139:139))</f>
        <v>0</v>
      </c>
      <c r="G139" s="31">
        <f>IF(COUNTIF('Premade Flavors'!$A:$A, $C139) &gt; 0,_xlfn.XLOOKUP($C139,'Premade Flavors'!$A:$A,'Premade Flavors'!F:F),_xlfn.XLOOKUP("What's the Second Flavor You Want?",[1]Sheet1!$1:$1,[1]Sheet1!139:139))</f>
        <v>0</v>
      </c>
      <c r="H139" s="31">
        <f>IF(COUNTIF('Premade Flavors'!$A:$A, $C139) &gt; 0,_xlfn.XLOOKUP($C139,'Premade Flavors'!$A:$A,'Premade Flavors'!G:G),_xlfn.XLOOKUP("What's The First Mix In That You Want? ",[1]Sheet1!$1:$1,[1]Sheet1!139:139))</f>
        <v>0</v>
      </c>
      <c r="I139" s="31">
        <f>IF(COUNTIF('Premade Flavors'!$A:$A, $C137) &gt; 0,_xlfn.XLOOKUP($C137,'Premade Flavors'!$A:$A,'Premade Flavors'!H:H),IF([2]Sheet1!W137=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Flavors'!I:I),"Stevia"),_xlfn.XLOOKUP("What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Flavors'!M:M),_xlfn.XLOOKUP("How Strong Do You Want The First Flavor?",[1]Sheet1!$1:$1,[1]Sheet1!139:139))</f>
        <v>0</v>
      </c>
      <c r="N139" s="45">
        <f>IF(COUNTIF('Premade Flavors'!$A:$A, $C139) &gt; 0,_xlfn.XLOOKUP($C139,'Premade Flavors'!$A:$A,'Premade Flavors'!N:N),_xlfn.XLOOKUP("How Strong Do You Want The Second Flavor?",[1]Sheet1!$1:$1,[1]Sheet1!139:139))</f>
        <v>0</v>
      </c>
      <c r="O139" s="45">
        <f>IF(COUNTIF('Premade Flavors'!$A:$A, $C139) &gt; 0,_xlfn.XLOOKUP($C139,'Premade Flavors'!$A:$A,'Premade Flavors'!O:O),_xlfn.XLOOKUP("How Dense Should the Mix Ins Be?",[1]Sheet1!$1:$1,[1]Sheet1!139:139))</f>
        <v>0</v>
      </c>
      <c r="P139" s="45">
        <f>IF(COUNTIF('Premade Flavors'!$A:$A, $C139) &gt; 0,_xlfn.XLOOKUP($C139,'Premade Flavors'!$A:$A,'Premade Flavors'!P:P),_xlfn.XLOOKUP("How Much Of The First Sweetner? ",[1]Sheet1!$1:$1,[1]Sheet1!139:139))</f>
        <v>0</v>
      </c>
      <c r="Q139" s="45">
        <f>IF(COUNTIF('Premade Flavors'!$A:$A, $C139) &gt; 0,_xlfn.XLOOKUP($C139,'Premade Flavors'!$A:$A,'Premade Flavors'!Q:Q),[2]Sheet1!S139)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Flavors'!E:E),_xlfn.XLOOKUP("What's The First Flavor You Want? ",[1]Sheet1!$1:$1,[1]Sheet1!140:140))</f>
        <v>0</v>
      </c>
      <c r="G140" s="31">
        <f>IF(COUNTIF('Premade Flavors'!$A:$A, $C140) &gt; 0,_xlfn.XLOOKUP($C140,'Premade Flavors'!$A:$A,'Premade Flavors'!F:F),_xlfn.XLOOKUP("What's the Second Flavor You Want?",[1]Sheet1!$1:$1,[1]Sheet1!140:140))</f>
        <v>0</v>
      </c>
      <c r="H140" s="31">
        <f>IF(COUNTIF('Premade Flavors'!$A:$A, $C140) &gt; 0,_xlfn.XLOOKUP($C140,'Premade Flavors'!$A:$A,'Premade Flavors'!G:G),_xlfn.XLOOKUP("What's The First Mix In That You Want? ",[1]Sheet1!$1:$1,[1]Sheet1!140:140))</f>
        <v>0</v>
      </c>
      <c r="I140" s="31">
        <f>IF(COUNTIF('Premade Flavors'!$A:$A, $C138) &gt; 0,_xlfn.XLOOKUP($C138,'Premade Flavors'!$A:$A,'Premade Flavors'!H:H),IF([2]Sheet1!W138=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Flavors'!I:I),"Stevia"),_xlfn.XLOOKUP("What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Flavors'!M:M),_xlfn.XLOOKUP("How Strong Do You Want The First Flavor?",[1]Sheet1!$1:$1,[1]Sheet1!140:140))</f>
        <v>0</v>
      </c>
      <c r="N140" s="45">
        <f>IF(COUNTIF('Premade Flavors'!$A:$A, $C140) &gt; 0,_xlfn.XLOOKUP($C140,'Premade Flavors'!$A:$A,'Premade Flavors'!N:N),_xlfn.XLOOKUP("How Strong Do You Want The Second Flavor?",[1]Sheet1!$1:$1,[1]Sheet1!140:140))</f>
        <v>0</v>
      </c>
      <c r="O140" s="45">
        <f>IF(COUNTIF('Premade Flavors'!$A:$A, $C140) &gt; 0,_xlfn.XLOOKUP($C140,'Premade Flavors'!$A:$A,'Premade Flavors'!O:O),_xlfn.XLOOKUP("How Dense Should the Mix Ins Be?",[1]Sheet1!$1:$1,[1]Sheet1!140:140))</f>
        <v>0</v>
      </c>
      <c r="P140" s="45">
        <f>IF(COUNTIF('Premade Flavors'!$A:$A, $C140) &gt; 0,_xlfn.XLOOKUP($C140,'Premade Flavors'!$A:$A,'Premade Flavors'!P:P),_xlfn.XLOOKUP("How Much Of The First Sweetner? ",[1]Sheet1!$1:$1,[1]Sheet1!140:140))</f>
        <v>0</v>
      </c>
      <c r="Q140" s="45">
        <f>IF(COUNTIF('Premade Flavors'!$A:$A, $C140) &gt; 0,_xlfn.XLOOKUP($C140,'Premade Flavors'!$A:$A,'Premade Flavors'!Q:Q),[2]Sheet1!S140)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Flavors'!E:E),_xlfn.XLOOKUP("What's The First Flavor You Want? ",[1]Sheet1!$1:$1,[1]Sheet1!141:141))</f>
        <v>0</v>
      </c>
      <c r="G141" s="31">
        <f>IF(COUNTIF('Premade Flavors'!$A:$A, $C141) &gt; 0,_xlfn.XLOOKUP($C141,'Premade Flavors'!$A:$A,'Premade Flavors'!F:F),_xlfn.XLOOKUP("What's the Second Flavor You Want?",[1]Sheet1!$1:$1,[1]Sheet1!141:141))</f>
        <v>0</v>
      </c>
      <c r="H141" s="31">
        <f>IF(COUNTIF('Premade Flavors'!$A:$A, $C141) &gt; 0,_xlfn.XLOOKUP($C141,'Premade Flavors'!$A:$A,'Premade Flavors'!G:G),_xlfn.XLOOKUP("What's The First Mix In That You Want? ",[1]Sheet1!$1:$1,[1]Sheet1!141:141))</f>
        <v>0</v>
      </c>
      <c r="I141" s="31">
        <f>IF(COUNTIF('Premade Flavors'!$A:$A, $C139) &gt; 0,_xlfn.XLOOKUP($C139,'Premade Flavors'!$A:$A,'Premade Flavors'!H:H),IF([2]Sheet1!W139=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Flavors'!I:I),"Stevia"),_xlfn.XLOOKUP("What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Flavors'!M:M),_xlfn.XLOOKUP("How Strong Do You Want The First Flavor?",[1]Sheet1!$1:$1,[1]Sheet1!141:141))</f>
        <v>0</v>
      </c>
      <c r="N141" s="45">
        <f>IF(COUNTIF('Premade Flavors'!$A:$A, $C141) &gt; 0,_xlfn.XLOOKUP($C141,'Premade Flavors'!$A:$A,'Premade Flavors'!N:N),_xlfn.XLOOKUP("How Strong Do You Want The Second Flavor?",[1]Sheet1!$1:$1,[1]Sheet1!141:141))</f>
        <v>0</v>
      </c>
      <c r="O141" s="45">
        <f>IF(COUNTIF('Premade Flavors'!$A:$A, $C141) &gt; 0,_xlfn.XLOOKUP($C141,'Premade Flavors'!$A:$A,'Premade Flavors'!O:O),_xlfn.XLOOKUP("How Dense Should the Mix Ins Be?",[1]Sheet1!$1:$1,[1]Sheet1!141:141))</f>
        <v>0</v>
      </c>
      <c r="P141" s="45">
        <f>IF(COUNTIF('Premade Flavors'!$A:$A, $C141) &gt; 0,_xlfn.XLOOKUP($C141,'Premade Flavors'!$A:$A,'Premade Flavors'!P:P),_xlfn.XLOOKUP("How Much Of The First Sweetner? ",[1]Sheet1!$1:$1,[1]Sheet1!141:141))</f>
        <v>0</v>
      </c>
      <c r="Q141" s="45">
        <f>IF(COUNTIF('Premade Flavors'!$A:$A, $C141) &gt; 0,_xlfn.XLOOKUP($C141,'Premade Flavors'!$A:$A,'Premade Flavors'!Q:Q),[2]Sheet1!S141)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Flavors'!E:E),_xlfn.XLOOKUP("What's The First Flavor You Want? ",[1]Sheet1!$1:$1,[1]Sheet1!142:142))</f>
        <v>0</v>
      </c>
      <c r="G142" s="31">
        <f>IF(COUNTIF('Premade Flavors'!$A:$A, $C142) &gt; 0,_xlfn.XLOOKUP($C142,'Premade Flavors'!$A:$A,'Premade Flavors'!F:F),_xlfn.XLOOKUP("What's the Second Flavor You Want?",[1]Sheet1!$1:$1,[1]Sheet1!142:142))</f>
        <v>0</v>
      </c>
      <c r="H142" s="31">
        <f>IF(COUNTIF('Premade Flavors'!$A:$A, $C142) &gt; 0,_xlfn.XLOOKUP($C142,'Premade Flavors'!$A:$A,'Premade Flavors'!G:G),_xlfn.XLOOKUP("What's The First Mix In That You Want? ",[1]Sheet1!$1:$1,[1]Sheet1!142:142))</f>
        <v>0</v>
      </c>
      <c r="I142" s="31">
        <f>IF(COUNTIF('Premade Flavors'!$A:$A, $C140) &gt; 0,_xlfn.XLOOKUP($C140,'Premade Flavors'!$A:$A,'Premade Flavors'!H:H),IF([2]Sheet1!W140=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Flavors'!I:I),"Stevia"),_xlfn.XLOOKUP("What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Flavors'!M:M),_xlfn.XLOOKUP("How Strong Do You Want The First Flavor?",[1]Sheet1!$1:$1,[1]Sheet1!142:142))</f>
        <v>0</v>
      </c>
      <c r="N142" s="45">
        <f>IF(COUNTIF('Premade Flavors'!$A:$A, $C142) &gt; 0,_xlfn.XLOOKUP($C142,'Premade Flavors'!$A:$A,'Premade Flavors'!N:N),_xlfn.XLOOKUP("How Strong Do You Want The Second Flavor?",[1]Sheet1!$1:$1,[1]Sheet1!142:142))</f>
        <v>0</v>
      </c>
      <c r="O142" s="45">
        <f>IF(COUNTIF('Premade Flavors'!$A:$A, $C142) &gt; 0,_xlfn.XLOOKUP($C142,'Premade Flavors'!$A:$A,'Premade Flavors'!O:O),_xlfn.XLOOKUP("How Dense Should the Mix Ins Be?",[1]Sheet1!$1:$1,[1]Sheet1!142:142))</f>
        <v>0</v>
      </c>
      <c r="P142" s="45">
        <f>IF(COUNTIF('Premade Flavors'!$A:$A, $C142) &gt; 0,_xlfn.XLOOKUP($C142,'Premade Flavors'!$A:$A,'Premade Flavors'!P:P),_xlfn.XLOOKUP("How Much Of The First Sweetner? ",[1]Sheet1!$1:$1,[1]Sheet1!142:142))</f>
        <v>0</v>
      </c>
      <c r="Q142" s="45">
        <f>IF(COUNTIF('Premade Flavors'!$A:$A, $C142) &gt; 0,_xlfn.XLOOKUP($C142,'Premade Flavors'!$A:$A,'Premade Flavors'!Q:Q),[2]Sheet1!S142)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Flavors'!E:E),_xlfn.XLOOKUP("What's The First Flavor You Want? ",[1]Sheet1!$1:$1,[1]Sheet1!143:143))</f>
        <v>0</v>
      </c>
      <c r="G143" s="31">
        <f>IF(COUNTIF('Premade Flavors'!$A:$A, $C143) &gt; 0,_xlfn.XLOOKUP($C143,'Premade Flavors'!$A:$A,'Premade Flavors'!F:F),_xlfn.XLOOKUP("What's the Second Flavor You Want?",[1]Sheet1!$1:$1,[1]Sheet1!143:143))</f>
        <v>0</v>
      </c>
      <c r="H143" s="31">
        <f>IF(COUNTIF('Premade Flavors'!$A:$A, $C143) &gt; 0,_xlfn.XLOOKUP($C143,'Premade Flavors'!$A:$A,'Premade Flavors'!G:G),_xlfn.XLOOKUP("What's The First Mix In That You Want? ",[1]Sheet1!$1:$1,[1]Sheet1!143:143))</f>
        <v>0</v>
      </c>
      <c r="I143" s="31">
        <f>IF(COUNTIF('Premade Flavors'!$A:$A, $C141) &gt; 0,_xlfn.XLOOKUP($C141,'Premade Flavors'!$A:$A,'Premade Flavors'!H:H),IF([2]Sheet1!W141=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Flavors'!I:I),"Stevia"),_xlfn.XLOOKUP("What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Flavors'!M:M),_xlfn.XLOOKUP("How Strong Do You Want The First Flavor?",[1]Sheet1!$1:$1,[1]Sheet1!143:143))</f>
        <v>0</v>
      </c>
      <c r="N143" s="45">
        <f>IF(COUNTIF('Premade Flavors'!$A:$A, $C143) &gt; 0,_xlfn.XLOOKUP($C143,'Premade Flavors'!$A:$A,'Premade Flavors'!N:N),_xlfn.XLOOKUP("How Strong Do You Want The Second Flavor?",[1]Sheet1!$1:$1,[1]Sheet1!143:143))</f>
        <v>0</v>
      </c>
      <c r="O143" s="45">
        <f>IF(COUNTIF('Premade Flavors'!$A:$A, $C143) &gt; 0,_xlfn.XLOOKUP($C143,'Premade Flavors'!$A:$A,'Premade Flavors'!O:O),_xlfn.XLOOKUP("How Dense Should the Mix Ins Be?",[1]Sheet1!$1:$1,[1]Sheet1!143:143))</f>
        <v>0</v>
      </c>
      <c r="P143" s="45">
        <f>IF(COUNTIF('Premade Flavors'!$A:$A, $C143) &gt; 0,_xlfn.XLOOKUP($C143,'Premade Flavors'!$A:$A,'Premade Flavors'!P:P),_xlfn.XLOOKUP("How Much Of The First Sweetner? ",[1]Sheet1!$1:$1,[1]Sheet1!143:143))</f>
        <v>0</v>
      </c>
      <c r="Q143" s="45">
        <f>IF(COUNTIF('Premade Flavors'!$A:$A, $C143) &gt; 0,_xlfn.XLOOKUP($C143,'Premade Flavors'!$A:$A,'Premade Flavors'!Q:Q),[2]Sheet1!S143)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Flavors'!E:E),_xlfn.XLOOKUP("What's The First Flavor You Want? ",[1]Sheet1!$1:$1,[1]Sheet1!144:144))</f>
        <v>0</v>
      </c>
      <c r="G144" s="31">
        <f>IF(COUNTIF('Premade Flavors'!$A:$A, $C144) &gt; 0,_xlfn.XLOOKUP($C144,'Premade Flavors'!$A:$A,'Premade Flavors'!F:F),_xlfn.XLOOKUP("What's the Second Flavor You Want?",[1]Sheet1!$1:$1,[1]Sheet1!144:144))</f>
        <v>0</v>
      </c>
      <c r="H144" s="31">
        <f>IF(COUNTIF('Premade Flavors'!$A:$A, $C144) &gt; 0,_xlfn.XLOOKUP($C144,'Premade Flavors'!$A:$A,'Premade Flavors'!G:G),_xlfn.XLOOKUP("What's The First Mix In That You Want? ",[1]Sheet1!$1:$1,[1]Sheet1!144:144))</f>
        <v>0</v>
      </c>
      <c r="I144" s="31">
        <f>IF(COUNTIF('Premade Flavors'!$A:$A, $C142) &gt; 0,_xlfn.XLOOKUP($C142,'Premade Flavors'!$A:$A,'Premade Flavors'!H:H),IF([2]Sheet1!W142=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Flavors'!I:I),"Stevia"),_xlfn.XLOOKUP("What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Flavors'!M:M),_xlfn.XLOOKUP("How Strong Do You Want The First Flavor?",[1]Sheet1!$1:$1,[1]Sheet1!144:144))</f>
        <v>0</v>
      </c>
      <c r="N144" s="45">
        <f>IF(COUNTIF('Premade Flavors'!$A:$A, $C144) &gt; 0,_xlfn.XLOOKUP($C144,'Premade Flavors'!$A:$A,'Premade Flavors'!N:N),_xlfn.XLOOKUP("How Strong Do You Want The Second Flavor?",[1]Sheet1!$1:$1,[1]Sheet1!144:144))</f>
        <v>0</v>
      </c>
      <c r="O144" s="45">
        <f>IF(COUNTIF('Premade Flavors'!$A:$A, $C144) &gt; 0,_xlfn.XLOOKUP($C144,'Premade Flavors'!$A:$A,'Premade Flavors'!O:O),_xlfn.XLOOKUP("How Dense Should the Mix Ins Be?",[1]Sheet1!$1:$1,[1]Sheet1!144:144))</f>
        <v>0</v>
      </c>
      <c r="P144" s="45">
        <f>IF(COUNTIF('Premade Flavors'!$A:$A, $C144) &gt; 0,_xlfn.XLOOKUP($C144,'Premade Flavors'!$A:$A,'Premade Flavors'!P:P),_xlfn.XLOOKUP("How Much Of The First Sweetner? ",[1]Sheet1!$1:$1,[1]Sheet1!144:144))</f>
        <v>0</v>
      </c>
      <c r="Q144" s="45">
        <f>IF(COUNTIF('Premade Flavors'!$A:$A, $C144) &gt; 0,_xlfn.XLOOKUP($C144,'Premade Flavors'!$A:$A,'Premade Flavors'!Q:Q),[2]Sheet1!S144)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Flavors'!E:E),_xlfn.XLOOKUP("What's The First Flavor You Want? ",[1]Sheet1!$1:$1,[1]Sheet1!145:145))</f>
        <v>0</v>
      </c>
      <c r="G145" s="31">
        <f>IF(COUNTIF('Premade Flavors'!$A:$A, $C145) &gt; 0,_xlfn.XLOOKUP($C145,'Premade Flavors'!$A:$A,'Premade Flavors'!F:F),_xlfn.XLOOKUP("What's the Second Flavor You Want?",[1]Sheet1!$1:$1,[1]Sheet1!145:145))</f>
        <v>0</v>
      </c>
      <c r="H145" s="31">
        <f>IF(COUNTIF('Premade Flavors'!$A:$A, $C145) &gt; 0,_xlfn.XLOOKUP($C145,'Premade Flavors'!$A:$A,'Premade Flavors'!G:G),_xlfn.XLOOKUP("What's The First Mix In That You Want? ",[1]Sheet1!$1:$1,[1]Sheet1!145:145))</f>
        <v>0</v>
      </c>
      <c r="I145" s="31">
        <f>IF(COUNTIF('Premade Flavors'!$A:$A, $C143) &gt; 0,_xlfn.XLOOKUP($C143,'Premade Flavors'!$A:$A,'Premade Flavors'!H:H),IF([2]Sheet1!W143=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Flavors'!I:I),"Stevia"),_xlfn.XLOOKUP("What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Flavors'!M:M),_xlfn.XLOOKUP("How Strong Do You Want The First Flavor?",[1]Sheet1!$1:$1,[1]Sheet1!145:145))</f>
        <v>0</v>
      </c>
      <c r="N145" s="45">
        <f>IF(COUNTIF('Premade Flavors'!$A:$A, $C145) &gt; 0,_xlfn.XLOOKUP($C145,'Premade Flavors'!$A:$A,'Premade Flavors'!N:N),_xlfn.XLOOKUP("How Strong Do You Want The Second Flavor?",[1]Sheet1!$1:$1,[1]Sheet1!145:145))</f>
        <v>0</v>
      </c>
      <c r="O145" s="45">
        <f>IF(COUNTIF('Premade Flavors'!$A:$A, $C145) &gt; 0,_xlfn.XLOOKUP($C145,'Premade Flavors'!$A:$A,'Premade Flavors'!O:O),_xlfn.XLOOKUP("How Dense Should the Mix Ins Be?",[1]Sheet1!$1:$1,[1]Sheet1!145:145))</f>
        <v>0</v>
      </c>
      <c r="P145" s="45">
        <f>IF(COUNTIF('Premade Flavors'!$A:$A, $C145) &gt; 0,_xlfn.XLOOKUP($C145,'Premade Flavors'!$A:$A,'Premade Flavors'!P:P),_xlfn.XLOOKUP("How Much Of The First Sweetner? ",[1]Sheet1!$1:$1,[1]Sheet1!145:145))</f>
        <v>0</v>
      </c>
      <c r="Q145" s="45">
        <f>IF(COUNTIF('Premade Flavors'!$A:$A, $C145) &gt; 0,_xlfn.XLOOKUP($C145,'Premade Flavors'!$A:$A,'Premade Flavors'!Q:Q),[2]Sheet1!S145)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Flavors'!E:E),_xlfn.XLOOKUP("What's The First Flavor You Want? ",[1]Sheet1!$1:$1,[1]Sheet1!146:146))</f>
        <v>0</v>
      </c>
      <c r="G146" s="31">
        <f>IF(COUNTIF('Premade Flavors'!$A:$A, $C146) &gt; 0,_xlfn.XLOOKUP($C146,'Premade Flavors'!$A:$A,'Premade Flavors'!F:F),_xlfn.XLOOKUP("What's the Second Flavor You Want?",[1]Sheet1!$1:$1,[1]Sheet1!146:146))</f>
        <v>0</v>
      </c>
      <c r="H146" s="31">
        <f>IF(COUNTIF('Premade Flavors'!$A:$A, $C146) &gt; 0,_xlfn.XLOOKUP($C146,'Premade Flavors'!$A:$A,'Premade Flavors'!G:G),_xlfn.XLOOKUP("What's The First Mix In That You Want? ",[1]Sheet1!$1:$1,[1]Sheet1!146:146))</f>
        <v>0</v>
      </c>
      <c r="I146" s="31">
        <f>IF(COUNTIF('Premade Flavors'!$A:$A, $C144) &gt; 0,_xlfn.XLOOKUP($C144,'Premade Flavors'!$A:$A,'Premade Flavors'!H:H),IF([2]Sheet1!W144=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Flavors'!I:I),"Stevia"),_xlfn.XLOOKUP("What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Flavors'!M:M),_xlfn.XLOOKUP("How Strong Do You Want The First Flavor?",[1]Sheet1!$1:$1,[1]Sheet1!146:146))</f>
        <v>0</v>
      </c>
      <c r="N146" s="45">
        <f>IF(COUNTIF('Premade Flavors'!$A:$A, $C146) &gt; 0,_xlfn.XLOOKUP($C146,'Premade Flavors'!$A:$A,'Premade Flavors'!N:N),_xlfn.XLOOKUP("How Strong Do You Want The Second Flavor?",[1]Sheet1!$1:$1,[1]Sheet1!146:146))</f>
        <v>0</v>
      </c>
      <c r="O146" s="45">
        <f>IF(COUNTIF('Premade Flavors'!$A:$A, $C146) &gt; 0,_xlfn.XLOOKUP($C146,'Premade Flavors'!$A:$A,'Premade Flavors'!O:O),_xlfn.XLOOKUP("How Dense Should the Mix Ins Be?",[1]Sheet1!$1:$1,[1]Sheet1!146:146))</f>
        <v>0</v>
      </c>
      <c r="P146" s="45">
        <f>IF(COUNTIF('Premade Flavors'!$A:$A, $C146) &gt; 0,_xlfn.XLOOKUP($C146,'Premade Flavors'!$A:$A,'Premade Flavors'!P:P),_xlfn.XLOOKUP("How Much Of The First Sweetner? ",[1]Sheet1!$1:$1,[1]Sheet1!146:146))</f>
        <v>0</v>
      </c>
      <c r="Q146" s="45">
        <f>IF(COUNTIF('Premade Flavors'!$A:$A, $C146) &gt; 0,_xlfn.XLOOKUP($C146,'Premade Flavors'!$A:$A,'Premade Flavors'!Q:Q),[2]Sheet1!S146)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Flavors'!E:E),_xlfn.XLOOKUP("What's The First Flavor You Want? ",[1]Sheet1!$1:$1,[1]Sheet1!147:147))</f>
        <v>0</v>
      </c>
      <c r="G147" s="31">
        <f>IF(COUNTIF('Premade Flavors'!$A:$A, $C147) &gt; 0,_xlfn.XLOOKUP($C147,'Premade Flavors'!$A:$A,'Premade Flavors'!F:F),_xlfn.XLOOKUP("What's the Second Flavor You Want?",[1]Sheet1!$1:$1,[1]Sheet1!147:147))</f>
        <v>0</v>
      </c>
      <c r="H147" s="31">
        <f>IF(COUNTIF('Premade Flavors'!$A:$A, $C147) &gt; 0,_xlfn.XLOOKUP($C147,'Premade Flavors'!$A:$A,'Premade Flavors'!G:G),_xlfn.XLOOKUP("What's The First Mix In That You Want? ",[1]Sheet1!$1:$1,[1]Sheet1!147:147))</f>
        <v>0</v>
      </c>
      <c r="I147" s="31">
        <f>IF(COUNTIF('Premade Flavors'!$A:$A, $C145) &gt; 0,_xlfn.XLOOKUP($C145,'Premade Flavors'!$A:$A,'Premade Flavors'!H:H),IF([2]Sheet1!W145=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Flavors'!I:I),"Stevia"),_xlfn.XLOOKUP("What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Flavors'!M:M),_xlfn.XLOOKUP("How Strong Do You Want The First Flavor?",[1]Sheet1!$1:$1,[1]Sheet1!147:147))</f>
        <v>0</v>
      </c>
      <c r="N147" s="45">
        <f>IF(COUNTIF('Premade Flavors'!$A:$A, $C147) &gt; 0,_xlfn.XLOOKUP($C147,'Premade Flavors'!$A:$A,'Premade Flavors'!N:N),_xlfn.XLOOKUP("How Strong Do You Want The Second Flavor?",[1]Sheet1!$1:$1,[1]Sheet1!147:147))</f>
        <v>0</v>
      </c>
      <c r="O147" s="45">
        <f>IF(COUNTIF('Premade Flavors'!$A:$A, $C147) &gt; 0,_xlfn.XLOOKUP($C147,'Premade Flavors'!$A:$A,'Premade Flavors'!O:O),_xlfn.XLOOKUP("How Dense Should the Mix Ins Be?",[1]Sheet1!$1:$1,[1]Sheet1!147:147))</f>
        <v>0</v>
      </c>
      <c r="P147" s="45">
        <f>IF(COUNTIF('Premade Flavors'!$A:$A, $C147) &gt; 0,_xlfn.XLOOKUP($C147,'Premade Flavors'!$A:$A,'Premade Flavors'!P:P),_xlfn.XLOOKUP("How Much Of The First Sweetner? ",[1]Sheet1!$1:$1,[1]Sheet1!147:147))</f>
        <v>0</v>
      </c>
      <c r="Q147" s="45">
        <f>IF(COUNTIF('Premade Flavors'!$A:$A, $C147) &gt; 0,_xlfn.XLOOKUP($C147,'Premade Flavors'!$A:$A,'Premade Flavors'!Q:Q),[2]Sheet1!S147)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Flavors'!E:E),_xlfn.XLOOKUP("What's The First Flavor You Want? ",[1]Sheet1!$1:$1,[1]Sheet1!148:148))</f>
        <v>0</v>
      </c>
      <c r="G148" s="31">
        <f>IF(COUNTIF('Premade Flavors'!$A:$A, $C148) &gt; 0,_xlfn.XLOOKUP($C148,'Premade Flavors'!$A:$A,'Premade Flavors'!F:F),_xlfn.XLOOKUP("What's the Second Flavor You Want?",[1]Sheet1!$1:$1,[1]Sheet1!148:148))</f>
        <v>0</v>
      </c>
      <c r="H148" s="31">
        <f>IF(COUNTIF('Premade Flavors'!$A:$A, $C148) &gt; 0,_xlfn.XLOOKUP($C148,'Premade Flavors'!$A:$A,'Premade Flavors'!G:G),_xlfn.XLOOKUP("What's The First Mix In That You Want? ",[1]Sheet1!$1:$1,[1]Sheet1!148:148))</f>
        <v>0</v>
      </c>
      <c r="I148" s="31">
        <f>IF(COUNTIF('Premade Flavors'!$A:$A, $C146) &gt; 0,_xlfn.XLOOKUP($C146,'Premade Flavors'!$A:$A,'Premade Flavors'!H:H),IF([2]Sheet1!W146=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Flavors'!I:I),"Stevia"),_xlfn.XLOOKUP("What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Flavors'!M:M),_xlfn.XLOOKUP("How Strong Do You Want The First Flavor?",[1]Sheet1!$1:$1,[1]Sheet1!148:148))</f>
        <v>0</v>
      </c>
      <c r="N148" s="45">
        <f>IF(COUNTIF('Premade Flavors'!$A:$A, $C148) &gt; 0,_xlfn.XLOOKUP($C148,'Premade Flavors'!$A:$A,'Premade Flavors'!N:N),_xlfn.XLOOKUP("How Strong Do You Want The Second Flavor?",[1]Sheet1!$1:$1,[1]Sheet1!148:148))</f>
        <v>0</v>
      </c>
      <c r="O148" s="45">
        <f>IF(COUNTIF('Premade Flavors'!$A:$A, $C148) &gt; 0,_xlfn.XLOOKUP($C148,'Premade Flavors'!$A:$A,'Premade Flavors'!O:O),_xlfn.XLOOKUP("How Dense Should the Mix Ins Be?",[1]Sheet1!$1:$1,[1]Sheet1!148:148))</f>
        <v>0</v>
      </c>
      <c r="P148" s="45">
        <f>IF(COUNTIF('Premade Flavors'!$A:$A, $C148) &gt; 0,_xlfn.XLOOKUP($C148,'Premade Flavors'!$A:$A,'Premade Flavors'!P:P),_xlfn.XLOOKUP("How Much Of The First Sweetner? ",[1]Sheet1!$1:$1,[1]Sheet1!148:148))</f>
        <v>0</v>
      </c>
      <c r="Q148" s="45">
        <f>IF(COUNTIF('Premade Flavors'!$A:$A, $C148) &gt; 0,_xlfn.XLOOKUP($C148,'Premade Flavors'!$A:$A,'Premade Flavors'!Q:Q),[2]Sheet1!S148)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Flavors'!E:E),_xlfn.XLOOKUP("What's The First Flavor You Want? ",[1]Sheet1!$1:$1,[1]Sheet1!149:149))</f>
        <v>0</v>
      </c>
      <c r="G149" s="31">
        <f>IF(COUNTIF('Premade Flavors'!$A:$A, $C149) &gt; 0,_xlfn.XLOOKUP($C149,'Premade Flavors'!$A:$A,'Premade Flavors'!F:F),_xlfn.XLOOKUP("What's the Second Flavor You Want?",[1]Sheet1!$1:$1,[1]Sheet1!149:149))</f>
        <v>0</v>
      </c>
      <c r="H149" s="31">
        <f>IF(COUNTIF('Premade Flavors'!$A:$A, $C149) &gt; 0,_xlfn.XLOOKUP($C149,'Premade Flavors'!$A:$A,'Premade Flavors'!G:G),_xlfn.XLOOKUP("What's The First Mix In That You Want? ",[1]Sheet1!$1:$1,[1]Sheet1!149:149))</f>
        <v>0</v>
      </c>
      <c r="I149" s="31">
        <f>IF(COUNTIF('Premade Flavors'!$A:$A, $C147) &gt; 0,_xlfn.XLOOKUP($C147,'Premade Flavors'!$A:$A,'Premade Flavors'!H:H),IF([2]Sheet1!W147=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Flavors'!I:I),"Stevia"),_xlfn.XLOOKUP("What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Flavors'!M:M),_xlfn.XLOOKUP("How Strong Do You Want The First Flavor?",[1]Sheet1!$1:$1,[1]Sheet1!149:149))</f>
        <v>0</v>
      </c>
      <c r="N149" s="45">
        <f>IF(COUNTIF('Premade Flavors'!$A:$A, $C149) &gt; 0,_xlfn.XLOOKUP($C149,'Premade Flavors'!$A:$A,'Premade Flavors'!N:N),_xlfn.XLOOKUP("How Strong Do You Want The Second Flavor?",[1]Sheet1!$1:$1,[1]Sheet1!149:149))</f>
        <v>0</v>
      </c>
      <c r="O149" s="45">
        <f>IF(COUNTIF('Premade Flavors'!$A:$A, $C149) &gt; 0,_xlfn.XLOOKUP($C149,'Premade Flavors'!$A:$A,'Premade Flavors'!O:O),_xlfn.XLOOKUP("How Dense Should the Mix Ins Be?",[1]Sheet1!$1:$1,[1]Sheet1!149:149))</f>
        <v>0</v>
      </c>
      <c r="P149" s="45">
        <f>IF(COUNTIF('Premade Flavors'!$A:$A, $C149) &gt; 0,_xlfn.XLOOKUP($C149,'Premade Flavors'!$A:$A,'Premade Flavors'!P:P),_xlfn.XLOOKUP("How Much Of The First Sweetner? ",[1]Sheet1!$1:$1,[1]Sheet1!149:149))</f>
        <v>0</v>
      </c>
      <c r="Q149" s="45">
        <f>IF(COUNTIF('Premade Flavors'!$A:$A, $C149) &gt; 0,_xlfn.XLOOKUP($C149,'Premade Flavors'!$A:$A,'Premade Flavors'!Q:Q),[2]Sheet1!S149)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Flavors'!E:E),_xlfn.XLOOKUP("What's The First Flavor You Want? ",[1]Sheet1!$1:$1,[1]Sheet1!150:150))</f>
        <v>0</v>
      </c>
      <c r="G150" s="31">
        <f>IF(COUNTIF('Premade Flavors'!$A:$A, $C150) &gt; 0,_xlfn.XLOOKUP($C150,'Premade Flavors'!$A:$A,'Premade Flavors'!F:F),_xlfn.XLOOKUP("What's the Second Flavor You Want?",[1]Sheet1!$1:$1,[1]Sheet1!150:150))</f>
        <v>0</v>
      </c>
      <c r="H150" s="31">
        <f>IF(COUNTIF('Premade Flavors'!$A:$A, $C150) &gt; 0,_xlfn.XLOOKUP($C150,'Premade Flavors'!$A:$A,'Premade Flavors'!G:G),_xlfn.XLOOKUP("What's The First Mix In That You Want? ",[1]Sheet1!$1:$1,[1]Sheet1!150:150))</f>
        <v>0</v>
      </c>
      <c r="I150" s="31">
        <f>IF(COUNTIF('Premade Flavors'!$A:$A, $C148) &gt; 0,_xlfn.XLOOKUP($C148,'Premade Flavors'!$A:$A,'Premade Flavors'!H:H),IF([2]Sheet1!W148=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Flavors'!I:I),"Stevia"),_xlfn.XLOOKUP("What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Flavors'!M:M),_xlfn.XLOOKUP("How Strong Do You Want The First Flavor?",[1]Sheet1!$1:$1,[1]Sheet1!150:150))</f>
        <v>0</v>
      </c>
      <c r="N150" s="45">
        <f>IF(COUNTIF('Premade Flavors'!$A:$A, $C150) &gt; 0,_xlfn.XLOOKUP($C150,'Premade Flavors'!$A:$A,'Premade Flavors'!N:N),_xlfn.XLOOKUP("How Strong Do You Want The Second Flavor?",[1]Sheet1!$1:$1,[1]Sheet1!150:150))</f>
        <v>0</v>
      </c>
      <c r="O150" s="45">
        <f>IF(COUNTIF('Premade Flavors'!$A:$A, $C150) &gt; 0,_xlfn.XLOOKUP($C150,'Premade Flavors'!$A:$A,'Premade Flavors'!O:O),_xlfn.XLOOKUP("How Dense Should the Mix Ins Be?",[1]Sheet1!$1:$1,[1]Sheet1!150:150))</f>
        <v>0</v>
      </c>
      <c r="P150" s="45">
        <f>IF(COUNTIF('Premade Flavors'!$A:$A, $C150) &gt; 0,_xlfn.XLOOKUP($C150,'Premade Flavors'!$A:$A,'Premade Flavors'!P:P),_xlfn.XLOOKUP("How Much Of The First Sweetner? ",[1]Sheet1!$1:$1,[1]Sheet1!150:150))</f>
        <v>0</v>
      </c>
      <c r="Q150" s="45">
        <f>IF(COUNTIF('Premade Flavors'!$A:$A, $C150) &gt; 0,_xlfn.XLOOKUP($C150,'Premade Flavors'!$A:$A,'Premade Flavors'!Q:Q),[2]Sheet1!S150)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Flavors'!E:E),_xlfn.XLOOKUP("What's The First Flavor You Want? ",[1]Sheet1!$1:$1,[1]Sheet1!151:151))</f>
        <v>0</v>
      </c>
      <c r="G151" s="31">
        <f>IF(COUNTIF('Premade Flavors'!$A:$A, $C151) &gt; 0,_xlfn.XLOOKUP($C151,'Premade Flavors'!$A:$A,'Premade Flavors'!F:F),_xlfn.XLOOKUP("What's the Second Flavor You Want?",[1]Sheet1!$1:$1,[1]Sheet1!151:151))</f>
        <v>0</v>
      </c>
      <c r="H151" s="31">
        <f>IF(COUNTIF('Premade Flavors'!$A:$A, $C151) &gt; 0,_xlfn.XLOOKUP($C151,'Premade Flavors'!$A:$A,'Premade Flavors'!G:G),_xlfn.XLOOKUP("What's The First Mix In That You Want? ",[1]Sheet1!$1:$1,[1]Sheet1!151:151))</f>
        <v>0</v>
      </c>
      <c r="I151" s="31">
        <f>IF(COUNTIF('Premade Flavors'!$A:$A, $C149) &gt; 0,_xlfn.XLOOKUP($C149,'Premade Flavors'!$A:$A,'Premade Flavors'!H:H),IF([2]Sheet1!W149=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Flavors'!I:I),"Stevia"),_xlfn.XLOOKUP("What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Flavors'!M:M),_xlfn.XLOOKUP("How Strong Do You Want The First Flavor?",[1]Sheet1!$1:$1,[1]Sheet1!151:151))</f>
        <v>0</v>
      </c>
      <c r="N151" s="45">
        <f>IF(COUNTIF('Premade Flavors'!$A:$A, $C151) &gt; 0,_xlfn.XLOOKUP($C151,'Premade Flavors'!$A:$A,'Premade Flavors'!N:N),_xlfn.XLOOKUP("How Strong Do You Want The Second Flavor?",[1]Sheet1!$1:$1,[1]Sheet1!151:151))</f>
        <v>0</v>
      </c>
      <c r="O151" s="45">
        <f>IF(COUNTIF('Premade Flavors'!$A:$A, $C151) &gt; 0,_xlfn.XLOOKUP($C151,'Premade Flavors'!$A:$A,'Premade Flavors'!O:O),_xlfn.XLOOKUP("How Dense Should the Mix Ins Be?",[1]Sheet1!$1:$1,[1]Sheet1!151:151))</f>
        <v>0</v>
      </c>
      <c r="P151" s="45">
        <f>IF(COUNTIF('Premade Flavors'!$A:$A, $C151) &gt; 0,_xlfn.XLOOKUP($C151,'Premade Flavors'!$A:$A,'Premade Flavors'!P:P),_xlfn.XLOOKUP("How Much Of The First Sweetner? ",[1]Sheet1!$1:$1,[1]Sheet1!151:151))</f>
        <v>0</v>
      </c>
      <c r="Q151" s="45">
        <f>IF(COUNTIF('Premade Flavors'!$A:$A, $C151) &gt; 0,_xlfn.XLOOKUP($C151,'Premade Flavors'!$A:$A,'Premade Flavors'!Q:Q),[2]Sheet1!S151)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Flavors'!E:E),_xlfn.XLOOKUP("What's The First Flavor You Want? ",[1]Sheet1!$1:$1,[1]Sheet1!152:152))</f>
        <v>0</v>
      </c>
      <c r="G152" s="31">
        <f>IF(COUNTIF('Premade Flavors'!$A:$A, $C152) &gt; 0,_xlfn.XLOOKUP($C152,'Premade Flavors'!$A:$A,'Premade Flavors'!F:F),_xlfn.XLOOKUP("What's the Second Flavor You Want?",[1]Sheet1!$1:$1,[1]Sheet1!152:152))</f>
        <v>0</v>
      </c>
      <c r="H152" s="31">
        <f>IF(COUNTIF('Premade Flavors'!$A:$A, $C152) &gt; 0,_xlfn.XLOOKUP($C152,'Premade Flavors'!$A:$A,'Premade Flavors'!G:G),_xlfn.XLOOKUP("What's The First Mix In That You Want? ",[1]Sheet1!$1:$1,[1]Sheet1!152:152))</f>
        <v>0</v>
      </c>
      <c r="I152" s="31">
        <f>IF(COUNTIF('Premade Flavors'!$A:$A, $C150) &gt; 0,_xlfn.XLOOKUP($C150,'Premade Flavors'!$A:$A,'Premade Flavors'!H:H),IF([2]Sheet1!W150=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Flavors'!I:I),"Stevia"),_xlfn.XLOOKUP("What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Flavors'!M:M),_xlfn.XLOOKUP("How Strong Do You Want The First Flavor?",[1]Sheet1!$1:$1,[1]Sheet1!152:152))</f>
        <v>0</v>
      </c>
      <c r="N152" s="45">
        <f>IF(COUNTIF('Premade Flavors'!$A:$A, $C152) &gt; 0,_xlfn.XLOOKUP($C152,'Premade Flavors'!$A:$A,'Premade Flavors'!N:N),_xlfn.XLOOKUP("How Strong Do You Want The Second Flavor?",[1]Sheet1!$1:$1,[1]Sheet1!152:152))</f>
        <v>0</v>
      </c>
      <c r="O152" s="45">
        <f>IF(COUNTIF('Premade Flavors'!$A:$A, $C152) &gt; 0,_xlfn.XLOOKUP($C152,'Premade Flavors'!$A:$A,'Premade Flavors'!O:O),_xlfn.XLOOKUP("How Dense Should the Mix Ins Be?",[1]Sheet1!$1:$1,[1]Sheet1!152:152))</f>
        <v>0</v>
      </c>
      <c r="P152" s="45">
        <f>IF(COUNTIF('Premade Flavors'!$A:$A, $C152) &gt; 0,_xlfn.XLOOKUP($C152,'Premade Flavors'!$A:$A,'Premade Flavors'!P:P),_xlfn.XLOOKUP("How Much Of The First Sweetner? ",[1]Sheet1!$1:$1,[1]Sheet1!152:152))</f>
        <v>0</v>
      </c>
      <c r="Q152" s="45">
        <f>IF(COUNTIF('Premade Flavors'!$A:$A, $C152) &gt; 0,_xlfn.XLOOKUP($C152,'Premade Flavors'!$A:$A,'Premade Flavors'!Q:Q),[2]Sheet1!S152)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Flavors'!E:E),_xlfn.XLOOKUP("What's The First Flavor You Want? ",[1]Sheet1!$1:$1,[1]Sheet1!153:153))</f>
        <v>0</v>
      </c>
      <c r="G153" s="31">
        <f>IF(COUNTIF('Premade Flavors'!$A:$A, $C153) &gt; 0,_xlfn.XLOOKUP($C153,'Premade Flavors'!$A:$A,'Premade Flavors'!F:F),_xlfn.XLOOKUP("What's the Second Flavor You Want?",[1]Sheet1!$1:$1,[1]Sheet1!153:153))</f>
        <v>0</v>
      </c>
      <c r="H153" s="31">
        <f>IF(COUNTIF('Premade Flavors'!$A:$A, $C153) &gt; 0,_xlfn.XLOOKUP($C153,'Premade Flavors'!$A:$A,'Premade Flavors'!G:G),_xlfn.XLOOKUP("What's The First Mix In That You Want? ",[1]Sheet1!$1:$1,[1]Sheet1!153:153))</f>
        <v>0</v>
      </c>
      <c r="I153" s="31">
        <f>IF(COUNTIF('Premade Flavors'!$A:$A, $C151) &gt; 0,_xlfn.XLOOKUP($C151,'Premade Flavors'!$A:$A,'Premade Flavors'!H:H),IF([2]Sheet1!W151=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Flavors'!I:I),"Stevia"),_xlfn.XLOOKUP("What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Flavors'!M:M),_xlfn.XLOOKUP("How Strong Do You Want The First Flavor?",[1]Sheet1!$1:$1,[1]Sheet1!153:153))</f>
        <v>0</v>
      </c>
      <c r="N153" s="45">
        <f>IF(COUNTIF('Premade Flavors'!$A:$A, $C153) &gt; 0,_xlfn.XLOOKUP($C153,'Premade Flavors'!$A:$A,'Premade Flavors'!N:N),_xlfn.XLOOKUP("How Strong Do You Want The Second Flavor?",[1]Sheet1!$1:$1,[1]Sheet1!153:153))</f>
        <v>0</v>
      </c>
      <c r="O153" s="45">
        <f>IF(COUNTIF('Premade Flavors'!$A:$A, $C153) &gt; 0,_xlfn.XLOOKUP($C153,'Premade Flavors'!$A:$A,'Premade Flavors'!O:O),_xlfn.XLOOKUP("How Dense Should the Mix Ins Be?",[1]Sheet1!$1:$1,[1]Sheet1!153:153))</f>
        <v>0</v>
      </c>
      <c r="P153" s="45">
        <f>IF(COUNTIF('Premade Flavors'!$A:$A, $C153) &gt; 0,_xlfn.XLOOKUP($C153,'Premade Flavors'!$A:$A,'Premade Flavors'!P:P),_xlfn.XLOOKUP("How Much Of The First Sweetner? ",[1]Sheet1!$1:$1,[1]Sheet1!153:153))</f>
        <v>0</v>
      </c>
      <c r="Q153" s="45">
        <f>IF(COUNTIF('Premade Flavors'!$A:$A, $C153) &gt; 0,_xlfn.XLOOKUP($C153,'Premade Flavors'!$A:$A,'Premade Flavors'!Q:Q),[2]Sheet1!S153)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Flavors'!E:E),_xlfn.XLOOKUP("What's The First Flavor You Want? ",[1]Sheet1!$1:$1,[1]Sheet1!154:154))</f>
        <v>0</v>
      </c>
      <c r="G154" s="31">
        <f>IF(COUNTIF('Premade Flavors'!$A:$A, $C154) &gt; 0,_xlfn.XLOOKUP($C154,'Premade Flavors'!$A:$A,'Premade Flavors'!F:F),_xlfn.XLOOKUP("What's the Second Flavor You Want?",[1]Sheet1!$1:$1,[1]Sheet1!154:154))</f>
        <v>0</v>
      </c>
      <c r="H154" s="31">
        <f>IF(COUNTIF('Premade Flavors'!$A:$A, $C154) &gt; 0,_xlfn.XLOOKUP($C154,'Premade Flavors'!$A:$A,'Premade Flavors'!G:G),_xlfn.XLOOKUP("What's The First Mix In That You Want? ",[1]Sheet1!$1:$1,[1]Sheet1!154:154))</f>
        <v>0</v>
      </c>
      <c r="I154" s="31">
        <f>IF(COUNTIF('Premade Flavors'!$A:$A, $C152) &gt; 0,_xlfn.XLOOKUP($C152,'Premade Flavors'!$A:$A,'Premade Flavors'!H:H),IF([2]Sheet1!W152=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Flavors'!I:I),"Stevia"),_xlfn.XLOOKUP("What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Flavors'!M:M),_xlfn.XLOOKUP("How Strong Do You Want The First Flavor?",[1]Sheet1!$1:$1,[1]Sheet1!154:154))</f>
        <v>0</v>
      </c>
      <c r="N154" s="45">
        <f>IF(COUNTIF('Premade Flavors'!$A:$A, $C154) &gt; 0,_xlfn.XLOOKUP($C154,'Premade Flavors'!$A:$A,'Premade Flavors'!N:N),_xlfn.XLOOKUP("How Strong Do You Want The Second Flavor?",[1]Sheet1!$1:$1,[1]Sheet1!154:154))</f>
        <v>0</v>
      </c>
      <c r="O154" s="45">
        <f>IF(COUNTIF('Premade Flavors'!$A:$A, $C154) &gt; 0,_xlfn.XLOOKUP($C154,'Premade Flavors'!$A:$A,'Premade Flavors'!O:O),_xlfn.XLOOKUP("How Dense Should the Mix Ins Be?",[1]Sheet1!$1:$1,[1]Sheet1!154:154))</f>
        <v>0</v>
      </c>
      <c r="P154" s="45">
        <f>IF(COUNTIF('Premade Flavors'!$A:$A, $C154) &gt; 0,_xlfn.XLOOKUP($C154,'Premade Flavors'!$A:$A,'Premade Flavors'!P:P),_xlfn.XLOOKUP("How Much Of The First Sweetner? ",[1]Sheet1!$1:$1,[1]Sheet1!154:154))</f>
        <v>0</v>
      </c>
      <c r="Q154" s="45">
        <f>IF(COUNTIF('Premade Flavors'!$A:$A, $C154) &gt; 0,_xlfn.XLOOKUP($C154,'Premade Flavors'!$A:$A,'Premade Flavors'!Q:Q),[2]Sheet1!S154)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Flavors'!E:E),_xlfn.XLOOKUP("What's The First Flavor You Want? ",[1]Sheet1!$1:$1,[1]Sheet1!155:155))</f>
        <v>0</v>
      </c>
      <c r="G155" s="31">
        <f>IF(COUNTIF('Premade Flavors'!$A:$A, $C155) &gt; 0,_xlfn.XLOOKUP($C155,'Premade Flavors'!$A:$A,'Premade Flavors'!F:F),_xlfn.XLOOKUP("What's the Second Flavor You Want?",[1]Sheet1!$1:$1,[1]Sheet1!155:155))</f>
        <v>0</v>
      </c>
      <c r="H155" s="31">
        <f>IF(COUNTIF('Premade Flavors'!$A:$A, $C155) &gt; 0,_xlfn.XLOOKUP($C155,'Premade Flavors'!$A:$A,'Premade Flavors'!G:G),_xlfn.XLOOKUP("What's The First Mix In That You Want? ",[1]Sheet1!$1:$1,[1]Sheet1!155:155))</f>
        <v>0</v>
      </c>
      <c r="I155" s="31">
        <f>IF(COUNTIF('Premade Flavors'!$A:$A, $C153) &gt; 0,_xlfn.XLOOKUP($C153,'Premade Flavors'!$A:$A,'Premade Flavors'!H:H),IF([2]Sheet1!W153=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Flavors'!I:I),"Stevia"),_xlfn.XLOOKUP("What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Flavors'!M:M),_xlfn.XLOOKUP("How Strong Do You Want The First Flavor?",[1]Sheet1!$1:$1,[1]Sheet1!155:155))</f>
        <v>0</v>
      </c>
      <c r="N155" s="45">
        <f>IF(COUNTIF('Premade Flavors'!$A:$A, $C155) &gt; 0,_xlfn.XLOOKUP($C155,'Premade Flavors'!$A:$A,'Premade Flavors'!N:N),_xlfn.XLOOKUP("How Strong Do You Want The Second Flavor?",[1]Sheet1!$1:$1,[1]Sheet1!155:155))</f>
        <v>0</v>
      </c>
      <c r="O155" s="45">
        <f>IF(COUNTIF('Premade Flavors'!$A:$A, $C155) &gt; 0,_xlfn.XLOOKUP($C155,'Premade Flavors'!$A:$A,'Premade Flavors'!O:O),_xlfn.XLOOKUP("How Dense Should the Mix Ins Be?",[1]Sheet1!$1:$1,[1]Sheet1!155:155))</f>
        <v>0</v>
      </c>
      <c r="P155" s="45">
        <f>IF(COUNTIF('Premade Flavors'!$A:$A, $C155) &gt; 0,_xlfn.XLOOKUP($C155,'Premade Flavors'!$A:$A,'Premade Flavors'!P:P),_xlfn.XLOOKUP("How Much Of The First Sweetner? ",[1]Sheet1!$1:$1,[1]Sheet1!155:155))</f>
        <v>0</v>
      </c>
      <c r="Q155" s="45">
        <f>IF(COUNTIF('Premade Flavors'!$A:$A, $C155) &gt; 0,_xlfn.XLOOKUP($C155,'Premade Flavors'!$A:$A,'Premade Flavors'!Q:Q),[2]Sheet1!S155)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Flavors'!E:E),_xlfn.XLOOKUP("What's The First Flavor You Want? ",[1]Sheet1!$1:$1,[1]Sheet1!156:156))</f>
        <v>0</v>
      </c>
      <c r="G156" s="31">
        <f>IF(COUNTIF('Premade Flavors'!$A:$A, $C156) &gt; 0,_xlfn.XLOOKUP($C156,'Premade Flavors'!$A:$A,'Premade Flavors'!F:F),_xlfn.XLOOKUP("What's the Second Flavor You Want?",[1]Sheet1!$1:$1,[1]Sheet1!156:156))</f>
        <v>0</v>
      </c>
      <c r="H156" s="31">
        <f>IF(COUNTIF('Premade Flavors'!$A:$A, $C156) &gt; 0,_xlfn.XLOOKUP($C156,'Premade Flavors'!$A:$A,'Premade Flavors'!G:G),_xlfn.XLOOKUP("What's The First Mix In That You Want? ",[1]Sheet1!$1:$1,[1]Sheet1!156:156))</f>
        <v>0</v>
      </c>
      <c r="I156" s="31">
        <f>IF(COUNTIF('Premade Flavors'!$A:$A, $C154) &gt; 0,_xlfn.XLOOKUP($C154,'Premade Flavors'!$A:$A,'Premade Flavors'!H:H),IF([2]Sheet1!W154=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Flavors'!I:I),"Stevia"),_xlfn.XLOOKUP("What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Flavors'!M:M),_xlfn.XLOOKUP("How Strong Do You Want The First Flavor?",[1]Sheet1!$1:$1,[1]Sheet1!156:156))</f>
        <v>0</v>
      </c>
      <c r="N156" s="45">
        <f>IF(COUNTIF('Premade Flavors'!$A:$A, $C156) &gt; 0,_xlfn.XLOOKUP($C156,'Premade Flavors'!$A:$A,'Premade Flavors'!N:N),_xlfn.XLOOKUP("How Strong Do You Want The Second Flavor?",[1]Sheet1!$1:$1,[1]Sheet1!156:156))</f>
        <v>0</v>
      </c>
      <c r="O156" s="45">
        <f>IF(COUNTIF('Premade Flavors'!$A:$A, $C156) &gt; 0,_xlfn.XLOOKUP($C156,'Premade Flavors'!$A:$A,'Premade Flavors'!O:O),_xlfn.XLOOKUP("How Dense Should the Mix Ins Be?",[1]Sheet1!$1:$1,[1]Sheet1!156:156))</f>
        <v>0</v>
      </c>
      <c r="P156" s="45">
        <f>IF(COUNTIF('Premade Flavors'!$A:$A, $C156) &gt; 0,_xlfn.XLOOKUP($C156,'Premade Flavors'!$A:$A,'Premade Flavors'!P:P),_xlfn.XLOOKUP("How Much Of The First Sweetner? ",[1]Sheet1!$1:$1,[1]Sheet1!156:156))</f>
        <v>0</v>
      </c>
      <c r="Q156" s="45">
        <f>IF(COUNTIF('Premade Flavors'!$A:$A, $C156) &gt; 0,_xlfn.XLOOKUP($C156,'Premade Flavors'!$A:$A,'Premade Flavors'!Q:Q),[2]Sheet1!S156)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Flavors'!E:E),_xlfn.XLOOKUP("What's The First Flavor You Want? ",[1]Sheet1!$1:$1,[1]Sheet1!157:157))</f>
        <v>0</v>
      </c>
      <c r="G157" s="31">
        <f>IF(COUNTIF('Premade Flavors'!$A:$A, $C157) &gt; 0,_xlfn.XLOOKUP($C157,'Premade Flavors'!$A:$A,'Premade Flavors'!F:F),_xlfn.XLOOKUP("What's the Second Flavor You Want?",[1]Sheet1!$1:$1,[1]Sheet1!157:157))</f>
        <v>0</v>
      </c>
      <c r="H157" s="31">
        <f>IF(COUNTIF('Premade Flavors'!$A:$A, $C157) &gt; 0,_xlfn.XLOOKUP($C157,'Premade Flavors'!$A:$A,'Premade Flavors'!G:G),_xlfn.XLOOKUP("What's The First Mix In That You Want? ",[1]Sheet1!$1:$1,[1]Sheet1!157:157))</f>
        <v>0</v>
      </c>
      <c r="I157" s="31">
        <f>IF(COUNTIF('Premade Flavors'!$A:$A, $C155) &gt; 0,_xlfn.XLOOKUP($C155,'Premade Flavors'!$A:$A,'Premade Flavors'!H:H),IF([2]Sheet1!W155=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Flavors'!I:I),"Stevia"),_xlfn.XLOOKUP("What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Flavors'!M:M),_xlfn.XLOOKUP("How Strong Do You Want The First Flavor?",[1]Sheet1!$1:$1,[1]Sheet1!157:157))</f>
        <v>0</v>
      </c>
      <c r="N157" s="45">
        <f>IF(COUNTIF('Premade Flavors'!$A:$A, $C157) &gt; 0,_xlfn.XLOOKUP($C157,'Premade Flavors'!$A:$A,'Premade Flavors'!N:N),_xlfn.XLOOKUP("How Strong Do You Want The Second Flavor?",[1]Sheet1!$1:$1,[1]Sheet1!157:157))</f>
        <v>0</v>
      </c>
      <c r="O157" s="45">
        <f>IF(COUNTIF('Premade Flavors'!$A:$A, $C157) &gt; 0,_xlfn.XLOOKUP($C157,'Premade Flavors'!$A:$A,'Premade Flavors'!O:O),_xlfn.XLOOKUP("How Dense Should the Mix Ins Be?",[1]Sheet1!$1:$1,[1]Sheet1!157:157))</f>
        <v>0</v>
      </c>
      <c r="P157" s="45">
        <f>IF(COUNTIF('Premade Flavors'!$A:$A, $C157) &gt; 0,_xlfn.XLOOKUP($C157,'Premade Flavors'!$A:$A,'Premade Flavors'!P:P),_xlfn.XLOOKUP("How Much Of The First Sweetner? ",[1]Sheet1!$1:$1,[1]Sheet1!157:157))</f>
        <v>0</v>
      </c>
      <c r="Q157" s="45">
        <f>IF(COUNTIF('Premade Flavors'!$A:$A, $C157) &gt; 0,_xlfn.XLOOKUP($C157,'Premade Flavors'!$A:$A,'Premade Flavors'!Q:Q),[2]Sheet1!S157)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Flavors'!E:E),_xlfn.XLOOKUP("What's The First Flavor You Want? ",[1]Sheet1!$1:$1,[1]Sheet1!158:158))</f>
        <v>0</v>
      </c>
      <c r="G158" s="31">
        <f>IF(COUNTIF('Premade Flavors'!$A:$A, $C158) &gt; 0,_xlfn.XLOOKUP($C158,'Premade Flavors'!$A:$A,'Premade Flavors'!F:F),_xlfn.XLOOKUP("What's the Second Flavor You Want?",[1]Sheet1!$1:$1,[1]Sheet1!158:158))</f>
        <v>0</v>
      </c>
      <c r="H158" s="31">
        <f>IF(COUNTIF('Premade Flavors'!$A:$A, $C158) &gt; 0,_xlfn.XLOOKUP($C158,'Premade Flavors'!$A:$A,'Premade Flavors'!G:G),_xlfn.XLOOKUP("What's The First Mix In That You Want? ",[1]Sheet1!$1:$1,[1]Sheet1!158:158))</f>
        <v>0</v>
      </c>
      <c r="I158" s="31">
        <f>IF(COUNTIF('Premade Flavors'!$A:$A, $C156) &gt; 0,_xlfn.XLOOKUP($C156,'Premade Flavors'!$A:$A,'Premade Flavors'!H:H),IF([2]Sheet1!W156=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Flavors'!I:I),"Stevia"),_xlfn.XLOOKUP("What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Flavors'!M:M),_xlfn.XLOOKUP("How Strong Do You Want The First Flavor?",[1]Sheet1!$1:$1,[1]Sheet1!158:158))</f>
        <v>0</v>
      </c>
      <c r="N158" s="45">
        <f>IF(COUNTIF('Premade Flavors'!$A:$A, $C158) &gt; 0,_xlfn.XLOOKUP($C158,'Premade Flavors'!$A:$A,'Premade Flavors'!N:N),_xlfn.XLOOKUP("How Strong Do You Want The Second Flavor?",[1]Sheet1!$1:$1,[1]Sheet1!158:158))</f>
        <v>0</v>
      </c>
      <c r="O158" s="45">
        <f>IF(COUNTIF('Premade Flavors'!$A:$A, $C158) &gt; 0,_xlfn.XLOOKUP($C158,'Premade Flavors'!$A:$A,'Premade Flavors'!O:O),_xlfn.XLOOKUP("How Dense Should the Mix Ins Be?",[1]Sheet1!$1:$1,[1]Sheet1!158:158))</f>
        <v>0</v>
      </c>
      <c r="P158" s="45">
        <f>IF(COUNTIF('Premade Flavors'!$A:$A, $C158) &gt; 0,_xlfn.XLOOKUP($C158,'Premade Flavors'!$A:$A,'Premade Flavors'!P:P),_xlfn.XLOOKUP("How Much Of The First Sweetner? ",[1]Sheet1!$1:$1,[1]Sheet1!158:158))</f>
        <v>0</v>
      </c>
      <c r="Q158" s="45">
        <f>IF(COUNTIF('Premade Flavors'!$A:$A, $C158) &gt; 0,_xlfn.XLOOKUP($C158,'Premade Flavors'!$A:$A,'Premade Flavors'!Q:Q),[2]Sheet1!S158)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Flavors'!E:E),_xlfn.XLOOKUP("What's The First Flavor You Want? ",[1]Sheet1!$1:$1,[1]Sheet1!159:159))</f>
        <v>0</v>
      </c>
      <c r="G159" s="31">
        <f>IF(COUNTIF('Premade Flavors'!$A:$A, $C159) &gt; 0,_xlfn.XLOOKUP($C159,'Premade Flavors'!$A:$A,'Premade Flavors'!F:F),_xlfn.XLOOKUP("What's the Second Flavor You Want?",[1]Sheet1!$1:$1,[1]Sheet1!159:159))</f>
        <v>0</v>
      </c>
      <c r="H159" s="31">
        <f>IF(COUNTIF('Premade Flavors'!$A:$A, $C159) &gt; 0,_xlfn.XLOOKUP($C159,'Premade Flavors'!$A:$A,'Premade Flavors'!G:G),_xlfn.XLOOKUP("What's The First Mix In That You Want? ",[1]Sheet1!$1:$1,[1]Sheet1!159:159))</f>
        <v>0</v>
      </c>
      <c r="I159" s="31">
        <f>IF(COUNTIF('Premade Flavors'!$A:$A, $C157) &gt; 0,_xlfn.XLOOKUP($C157,'Premade Flavors'!$A:$A,'Premade Flavors'!H:H),IF([2]Sheet1!W157=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Flavors'!I:I),"Stevia"),_xlfn.XLOOKUP("What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Flavors'!M:M),_xlfn.XLOOKUP("How Strong Do You Want The First Flavor?",[1]Sheet1!$1:$1,[1]Sheet1!159:159))</f>
        <v>0</v>
      </c>
      <c r="N159" s="45">
        <f>IF(COUNTIF('Premade Flavors'!$A:$A, $C159) &gt; 0,_xlfn.XLOOKUP($C159,'Premade Flavors'!$A:$A,'Premade Flavors'!N:N),_xlfn.XLOOKUP("How Strong Do You Want The Second Flavor?",[1]Sheet1!$1:$1,[1]Sheet1!159:159))</f>
        <v>0</v>
      </c>
      <c r="O159" s="45">
        <f>IF(COUNTIF('Premade Flavors'!$A:$A, $C159) &gt; 0,_xlfn.XLOOKUP($C159,'Premade Flavors'!$A:$A,'Premade Flavors'!O:O),_xlfn.XLOOKUP("How Dense Should the Mix Ins Be?",[1]Sheet1!$1:$1,[1]Sheet1!159:159))</f>
        <v>0</v>
      </c>
      <c r="P159" s="45">
        <f>IF(COUNTIF('Premade Flavors'!$A:$A, $C159) &gt; 0,_xlfn.XLOOKUP($C159,'Premade Flavors'!$A:$A,'Premade Flavors'!P:P),_xlfn.XLOOKUP("How Much Of The First Sweetner? ",[1]Sheet1!$1:$1,[1]Sheet1!159:159))</f>
        <v>0</v>
      </c>
      <c r="Q159" s="45">
        <f>IF(COUNTIF('Premade Flavors'!$A:$A, $C159) &gt; 0,_xlfn.XLOOKUP($C159,'Premade Flavors'!$A:$A,'Premade Flavors'!Q:Q),[2]Sheet1!S159)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Flavors'!E:E),_xlfn.XLOOKUP("What's The First Flavor You Want? ",[1]Sheet1!$1:$1,[1]Sheet1!160:160))</f>
        <v>0</v>
      </c>
      <c r="G160" s="31">
        <f>IF(COUNTIF('Premade Flavors'!$A:$A, $C160) &gt; 0,_xlfn.XLOOKUP($C160,'Premade Flavors'!$A:$A,'Premade Flavors'!F:F),_xlfn.XLOOKUP("What's the Second Flavor You Want?",[1]Sheet1!$1:$1,[1]Sheet1!160:160))</f>
        <v>0</v>
      </c>
      <c r="H160" s="31">
        <f>IF(COUNTIF('Premade Flavors'!$A:$A, $C160) &gt; 0,_xlfn.XLOOKUP($C160,'Premade Flavors'!$A:$A,'Premade Flavors'!G:G),_xlfn.XLOOKUP("What's The First Mix In That You Want? ",[1]Sheet1!$1:$1,[1]Sheet1!160:160))</f>
        <v>0</v>
      </c>
      <c r="I160" s="31">
        <f>IF(COUNTIF('Premade Flavors'!$A:$A, $C158) &gt; 0,_xlfn.XLOOKUP($C158,'Premade Flavors'!$A:$A,'Premade Flavors'!H:H),IF([2]Sheet1!W158=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Flavors'!I:I),"Stevia"),_xlfn.XLOOKUP("What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Flavors'!M:M),_xlfn.XLOOKUP("How Strong Do You Want The First Flavor?",[1]Sheet1!$1:$1,[1]Sheet1!160:160))</f>
        <v>0</v>
      </c>
      <c r="N160" s="45">
        <f>IF(COUNTIF('Premade Flavors'!$A:$A, $C160) &gt; 0,_xlfn.XLOOKUP($C160,'Premade Flavors'!$A:$A,'Premade Flavors'!N:N),_xlfn.XLOOKUP("How Strong Do You Want The Second Flavor?",[1]Sheet1!$1:$1,[1]Sheet1!160:160))</f>
        <v>0</v>
      </c>
      <c r="O160" s="45">
        <f>IF(COUNTIF('Premade Flavors'!$A:$A, $C160) &gt; 0,_xlfn.XLOOKUP($C160,'Premade Flavors'!$A:$A,'Premade Flavors'!O:O),_xlfn.XLOOKUP("How Dense Should the Mix Ins Be?",[1]Sheet1!$1:$1,[1]Sheet1!160:160))</f>
        <v>0</v>
      </c>
      <c r="P160" s="45">
        <f>IF(COUNTIF('Premade Flavors'!$A:$A, $C160) &gt; 0,_xlfn.XLOOKUP($C160,'Premade Flavors'!$A:$A,'Premade Flavors'!P:P),_xlfn.XLOOKUP("How Much Of The First Sweetner? ",[1]Sheet1!$1:$1,[1]Sheet1!160:160))</f>
        <v>0</v>
      </c>
      <c r="Q160" s="45">
        <f>IF(COUNTIF('Premade Flavors'!$A:$A, $C160) &gt; 0,_xlfn.XLOOKUP($C160,'Premade Flavors'!$A:$A,'Premade Flavors'!Q:Q),[2]Sheet1!S160)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Flavors'!E:E),_xlfn.XLOOKUP("What's The First Flavor You Want? ",[1]Sheet1!$1:$1,[1]Sheet1!161:161))</f>
        <v>0</v>
      </c>
      <c r="G161" s="31">
        <f>IF(COUNTIF('Premade Flavors'!$A:$A, $C161) &gt; 0,_xlfn.XLOOKUP($C161,'Premade Flavors'!$A:$A,'Premade Flavors'!F:F),_xlfn.XLOOKUP("What's the Second Flavor You Want?",[1]Sheet1!$1:$1,[1]Sheet1!161:161))</f>
        <v>0</v>
      </c>
      <c r="H161" s="31">
        <f>IF(COUNTIF('Premade Flavors'!$A:$A, $C161) &gt; 0,_xlfn.XLOOKUP($C161,'Premade Flavors'!$A:$A,'Premade Flavors'!G:G),_xlfn.XLOOKUP("What's The First Mix In That You Want? ",[1]Sheet1!$1:$1,[1]Sheet1!161:161))</f>
        <v>0</v>
      </c>
      <c r="I161" s="31">
        <f>IF(COUNTIF('Premade Flavors'!$A:$A, $C159) &gt; 0,_xlfn.XLOOKUP($C159,'Premade Flavors'!$A:$A,'Premade Flavors'!H:H),IF([2]Sheet1!W159=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Flavors'!I:I),"Stevia"),_xlfn.XLOOKUP("What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Flavors'!M:M),_xlfn.XLOOKUP("How Strong Do You Want The First Flavor?",[1]Sheet1!$1:$1,[1]Sheet1!161:161))</f>
        <v>0</v>
      </c>
      <c r="N161" s="45">
        <f>IF(COUNTIF('Premade Flavors'!$A:$A, $C161) &gt; 0,_xlfn.XLOOKUP($C161,'Premade Flavors'!$A:$A,'Premade Flavors'!N:N),_xlfn.XLOOKUP("How Strong Do You Want The Second Flavor?",[1]Sheet1!$1:$1,[1]Sheet1!161:161))</f>
        <v>0</v>
      </c>
      <c r="O161" s="45">
        <f>IF(COUNTIF('Premade Flavors'!$A:$A, $C161) &gt; 0,_xlfn.XLOOKUP($C161,'Premade Flavors'!$A:$A,'Premade Flavors'!O:O),_xlfn.XLOOKUP("How Dense Should the Mix Ins Be?",[1]Sheet1!$1:$1,[1]Sheet1!161:161))</f>
        <v>0</v>
      </c>
      <c r="P161" s="45">
        <f>IF(COUNTIF('Premade Flavors'!$A:$A, $C161) &gt; 0,_xlfn.XLOOKUP($C161,'Premade Flavors'!$A:$A,'Premade Flavors'!P:P),_xlfn.XLOOKUP("How Much Of The First Sweetner? ",[1]Sheet1!$1:$1,[1]Sheet1!161:161))</f>
        <v>0</v>
      </c>
      <c r="Q161" s="45">
        <f>IF(COUNTIF('Premade Flavors'!$A:$A, $C161) &gt; 0,_xlfn.XLOOKUP($C161,'Premade Flavors'!$A:$A,'Premade Flavors'!Q:Q),[2]Sheet1!S161)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Flavors'!E:E),_xlfn.XLOOKUP("What's The First Flavor You Want? ",[1]Sheet1!$1:$1,[1]Sheet1!162:162))</f>
        <v>0</v>
      </c>
      <c r="G162" s="31">
        <f>IF(COUNTIF('Premade Flavors'!$A:$A, $C162) &gt; 0,_xlfn.XLOOKUP($C162,'Premade Flavors'!$A:$A,'Premade Flavors'!F:F),_xlfn.XLOOKUP("What's the Second Flavor You Want?",[1]Sheet1!$1:$1,[1]Sheet1!162:162))</f>
        <v>0</v>
      </c>
      <c r="H162" s="31">
        <f>IF(COUNTIF('Premade Flavors'!$A:$A, $C162) &gt; 0,_xlfn.XLOOKUP($C162,'Premade Flavors'!$A:$A,'Premade Flavors'!G:G),_xlfn.XLOOKUP("What's The First Mix In That You Want? ",[1]Sheet1!$1:$1,[1]Sheet1!162:162))</f>
        <v>0</v>
      </c>
      <c r="I162" s="31">
        <f>IF(COUNTIF('Premade Flavors'!$A:$A, $C160) &gt; 0,_xlfn.XLOOKUP($C160,'Premade Flavors'!$A:$A,'Premade Flavors'!H:H),IF([2]Sheet1!W160=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Flavors'!I:I),"Stevia"),_xlfn.XLOOKUP("What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Flavors'!M:M),_xlfn.XLOOKUP("How Strong Do You Want The First Flavor?",[1]Sheet1!$1:$1,[1]Sheet1!162:162))</f>
        <v>0</v>
      </c>
      <c r="N162" s="45">
        <f>IF(COUNTIF('Premade Flavors'!$A:$A, $C162) &gt; 0,_xlfn.XLOOKUP($C162,'Premade Flavors'!$A:$A,'Premade Flavors'!N:N),_xlfn.XLOOKUP("How Strong Do You Want The Second Flavor?",[1]Sheet1!$1:$1,[1]Sheet1!162:162))</f>
        <v>0</v>
      </c>
      <c r="O162" s="45">
        <f>IF(COUNTIF('Premade Flavors'!$A:$A, $C162) &gt; 0,_xlfn.XLOOKUP($C162,'Premade Flavors'!$A:$A,'Premade Flavors'!O:O),_xlfn.XLOOKUP("How Dense Should the Mix Ins Be?",[1]Sheet1!$1:$1,[1]Sheet1!162:162))</f>
        <v>0</v>
      </c>
      <c r="P162" s="45">
        <f>IF(COUNTIF('Premade Flavors'!$A:$A, $C162) &gt; 0,_xlfn.XLOOKUP($C162,'Premade Flavors'!$A:$A,'Premade Flavors'!P:P),_xlfn.XLOOKUP("How Much Of The First Sweetner? ",[1]Sheet1!$1:$1,[1]Sheet1!162:162))</f>
        <v>0</v>
      </c>
      <c r="Q162" s="45">
        <f>IF(COUNTIF('Premade Flavors'!$A:$A, $C162) &gt; 0,_xlfn.XLOOKUP($C162,'Premade Flavors'!$A:$A,'Premade Flavors'!Q:Q),[2]Sheet1!S162)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Flavors'!E:E),_xlfn.XLOOKUP("What's The First Flavor You Want? ",[1]Sheet1!$1:$1,[1]Sheet1!163:163))</f>
        <v>0</v>
      </c>
      <c r="G163" s="31">
        <f>IF(COUNTIF('Premade Flavors'!$A:$A, $C163) &gt; 0,_xlfn.XLOOKUP($C163,'Premade Flavors'!$A:$A,'Premade Flavors'!F:F),_xlfn.XLOOKUP("What's the Second Flavor You Want?",[1]Sheet1!$1:$1,[1]Sheet1!163:163))</f>
        <v>0</v>
      </c>
      <c r="H163" s="31">
        <f>IF(COUNTIF('Premade Flavors'!$A:$A, $C163) &gt; 0,_xlfn.XLOOKUP($C163,'Premade Flavors'!$A:$A,'Premade Flavors'!G:G),_xlfn.XLOOKUP("What's The First Mix In That You Want? ",[1]Sheet1!$1:$1,[1]Sheet1!163:163))</f>
        <v>0</v>
      </c>
      <c r="I163" s="31">
        <f>IF(COUNTIF('Premade Flavors'!$A:$A, $C161) &gt; 0,_xlfn.XLOOKUP($C161,'Premade Flavors'!$A:$A,'Premade Flavors'!H:H),IF([2]Sheet1!W161=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Flavors'!I:I),"Stevia"),_xlfn.XLOOKUP("What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Flavors'!M:M),_xlfn.XLOOKUP("How Strong Do You Want The First Flavor?",[1]Sheet1!$1:$1,[1]Sheet1!163:163))</f>
        <v>0</v>
      </c>
      <c r="N163" s="45">
        <f>IF(COUNTIF('Premade Flavors'!$A:$A, $C163) &gt; 0,_xlfn.XLOOKUP($C163,'Premade Flavors'!$A:$A,'Premade Flavors'!N:N),_xlfn.XLOOKUP("How Strong Do You Want The Second Flavor?",[1]Sheet1!$1:$1,[1]Sheet1!163:163))</f>
        <v>0</v>
      </c>
      <c r="O163" s="45">
        <f>IF(COUNTIF('Premade Flavors'!$A:$A, $C163) &gt; 0,_xlfn.XLOOKUP($C163,'Premade Flavors'!$A:$A,'Premade Flavors'!O:O),_xlfn.XLOOKUP("How Dense Should the Mix Ins Be?",[1]Sheet1!$1:$1,[1]Sheet1!163:163))</f>
        <v>0</v>
      </c>
      <c r="P163" s="45">
        <f>IF(COUNTIF('Premade Flavors'!$A:$A, $C163) &gt; 0,_xlfn.XLOOKUP($C163,'Premade Flavors'!$A:$A,'Premade Flavors'!P:P),_xlfn.XLOOKUP("How Much Of The First Sweetner? ",[1]Sheet1!$1:$1,[1]Sheet1!163:163))</f>
        <v>0</v>
      </c>
      <c r="Q163" s="45">
        <f>IF(COUNTIF('Premade Flavors'!$A:$A, $C163) &gt; 0,_xlfn.XLOOKUP($C163,'Premade Flavors'!$A:$A,'Premade Flavors'!Q:Q),[2]Sheet1!S163)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Flavors'!E:E),_xlfn.XLOOKUP("What's The First Flavor You Want? ",[1]Sheet1!$1:$1,[1]Sheet1!164:164))</f>
        <v>0</v>
      </c>
      <c r="G164" s="31">
        <f>IF(COUNTIF('Premade Flavors'!$A:$A, $C164) &gt; 0,_xlfn.XLOOKUP($C164,'Premade Flavors'!$A:$A,'Premade Flavors'!F:F),_xlfn.XLOOKUP("What's the Second Flavor You Want?",[1]Sheet1!$1:$1,[1]Sheet1!164:164))</f>
        <v>0</v>
      </c>
      <c r="H164" s="31">
        <f>IF(COUNTIF('Premade Flavors'!$A:$A, $C164) &gt; 0,_xlfn.XLOOKUP($C164,'Premade Flavors'!$A:$A,'Premade Flavors'!G:G),_xlfn.XLOOKUP("What's The First Mix In That You Want? ",[1]Sheet1!$1:$1,[1]Sheet1!164:164))</f>
        <v>0</v>
      </c>
      <c r="I164" s="31">
        <f>IF(COUNTIF('Premade Flavors'!$A:$A, $C162) &gt; 0,_xlfn.XLOOKUP($C162,'Premade Flavors'!$A:$A,'Premade Flavors'!H:H),IF([2]Sheet1!W162=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Flavors'!I:I),"Stevia"),_xlfn.XLOOKUP("What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Flavors'!M:M),_xlfn.XLOOKUP("How Strong Do You Want The First Flavor?",[1]Sheet1!$1:$1,[1]Sheet1!164:164))</f>
        <v>0</v>
      </c>
      <c r="N164" s="45">
        <f>IF(COUNTIF('Premade Flavors'!$A:$A, $C164) &gt; 0,_xlfn.XLOOKUP($C164,'Premade Flavors'!$A:$A,'Premade Flavors'!N:N),_xlfn.XLOOKUP("How Strong Do You Want The Second Flavor?",[1]Sheet1!$1:$1,[1]Sheet1!164:164))</f>
        <v>0</v>
      </c>
      <c r="O164" s="45">
        <f>IF(COUNTIF('Premade Flavors'!$A:$A, $C164) &gt; 0,_xlfn.XLOOKUP($C164,'Premade Flavors'!$A:$A,'Premade Flavors'!O:O),_xlfn.XLOOKUP("How Dense Should the Mix Ins Be?",[1]Sheet1!$1:$1,[1]Sheet1!164:164))</f>
        <v>0</v>
      </c>
      <c r="P164" s="45">
        <f>IF(COUNTIF('Premade Flavors'!$A:$A, $C164) &gt; 0,_xlfn.XLOOKUP($C164,'Premade Flavors'!$A:$A,'Premade Flavors'!P:P),_xlfn.XLOOKUP("How Much Of The First Sweetner? ",[1]Sheet1!$1:$1,[1]Sheet1!164:164))</f>
        <v>0</v>
      </c>
      <c r="Q164" s="45">
        <f>IF(COUNTIF('Premade Flavors'!$A:$A, $C164) &gt; 0,_xlfn.XLOOKUP($C164,'Premade Flavors'!$A:$A,'Premade Flavors'!Q:Q),[2]Sheet1!S164)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Flavors'!E:E),_xlfn.XLOOKUP("What's The First Flavor You Want? ",[1]Sheet1!$1:$1,[1]Sheet1!165:165))</f>
        <v>0</v>
      </c>
      <c r="G165" s="31">
        <f>IF(COUNTIF('Premade Flavors'!$A:$A, $C165) &gt; 0,_xlfn.XLOOKUP($C165,'Premade Flavors'!$A:$A,'Premade Flavors'!F:F),_xlfn.XLOOKUP("What's the Second Flavor You Want?",[1]Sheet1!$1:$1,[1]Sheet1!165:165))</f>
        <v>0</v>
      </c>
      <c r="H165" s="31">
        <f>IF(COUNTIF('Premade Flavors'!$A:$A, $C165) &gt; 0,_xlfn.XLOOKUP($C165,'Premade Flavors'!$A:$A,'Premade Flavors'!G:G),_xlfn.XLOOKUP("What's The First Mix In That You Want? ",[1]Sheet1!$1:$1,[1]Sheet1!165:165))</f>
        <v>0</v>
      </c>
      <c r="I165" s="31">
        <f>IF(COUNTIF('Premade Flavors'!$A:$A, $C163) &gt; 0,_xlfn.XLOOKUP($C163,'Premade Flavors'!$A:$A,'Premade Flavors'!H:H),IF([2]Sheet1!W163=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Flavors'!I:I),"Stevia"),_xlfn.XLOOKUP("What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Flavors'!M:M),_xlfn.XLOOKUP("How Strong Do You Want The First Flavor?",[1]Sheet1!$1:$1,[1]Sheet1!165:165))</f>
        <v>0</v>
      </c>
      <c r="N165" s="45">
        <f>IF(COUNTIF('Premade Flavors'!$A:$A, $C165) &gt; 0,_xlfn.XLOOKUP($C165,'Premade Flavors'!$A:$A,'Premade Flavors'!N:N),_xlfn.XLOOKUP("How Strong Do You Want The Second Flavor?",[1]Sheet1!$1:$1,[1]Sheet1!165:165))</f>
        <v>0</v>
      </c>
      <c r="O165" s="45">
        <f>IF(COUNTIF('Premade Flavors'!$A:$A, $C165) &gt; 0,_xlfn.XLOOKUP($C165,'Premade Flavors'!$A:$A,'Premade Flavors'!O:O),_xlfn.XLOOKUP("How Dense Should the Mix Ins Be?",[1]Sheet1!$1:$1,[1]Sheet1!165:165))</f>
        <v>0</v>
      </c>
      <c r="P165" s="45">
        <f>IF(COUNTIF('Premade Flavors'!$A:$A, $C165) &gt; 0,_xlfn.XLOOKUP($C165,'Premade Flavors'!$A:$A,'Premade Flavors'!P:P),_xlfn.XLOOKUP("How Much Of The First Sweetner? ",[1]Sheet1!$1:$1,[1]Sheet1!165:165))</f>
        <v>0</v>
      </c>
      <c r="Q165" s="45">
        <f>IF(COUNTIF('Premade Flavors'!$A:$A, $C165) &gt; 0,_xlfn.XLOOKUP($C165,'Premade Flavors'!$A:$A,'Premade Flavors'!Q:Q),[2]Sheet1!S165)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Flavors'!E:E),_xlfn.XLOOKUP("What's The First Flavor You Want? ",[1]Sheet1!$1:$1,[1]Sheet1!166:166))</f>
        <v>0</v>
      </c>
      <c r="G166" s="31">
        <f>IF(COUNTIF('Premade Flavors'!$A:$A, $C166) &gt; 0,_xlfn.XLOOKUP($C166,'Premade Flavors'!$A:$A,'Premade Flavors'!F:F),_xlfn.XLOOKUP("What's the Second Flavor You Want?",[1]Sheet1!$1:$1,[1]Sheet1!166:166))</f>
        <v>0</v>
      </c>
      <c r="H166" s="31">
        <f>IF(COUNTIF('Premade Flavors'!$A:$A, $C166) &gt; 0,_xlfn.XLOOKUP($C166,'Premade Flavors'!$A:$A,'Premade Flavors'!G:G),_xlfn.XLOOKUP("What's The First Mix In That You Want? ",[1]Sheet1!$1:$1,[1]Sheet1!166:166))</f>
        <v>0</v>
      </c>
      <c r="I166" s="31">
        <f>IF(COUNTIF('Premade Flavors'!$A:$A, $C164) &gt; 0,_xlfn.XLOOKUP($C164,'Premade Flavors'!$A:$A,'Premade Flavors'!H:H),IF([2]Sheet1!W164=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Flavors'!I:I),"Stevia"),_xlfn.XLOOKUP("What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Flavors'!M:M),_xlfn.XLOOKUP("How Strong Do You Want The First Flavor?",[1]Sheet1!$1:$1,[1]Sheet1!166:166))</f>
        <v>0</v>
      </c>
      <c r="N166" s="45">
        <f>IF(COUNTIF('Premade Flavors'!$A:$A, $C166) &gt; 0,_xlfn.XLOOKUP($C166,'Premade Flavors'!$A:$A,'Premade Flavors'!N:N),_xlfn.XLOOKUP("How Strong Do You Want The Second Flavor?",[1]Sheet1!$1:$1,[1]Sheet1!166:166))</f>
        <v>0</v>
      </c>
      <c r="O166" s="45">
        <f>IF(COUNTIF('Premade Flavors'!$A:$A, $C166) &gt; 0,_xlfn.XLOOKUP($C166,'Premade Flavors'!$A:$A,'Premade Flavors'!O:O),_xlfn.XLOOKUP("How Dense Should the Mix Ins Be?",[1]Sheet1!$1:$1,[1]Sheet1!166:166))</f>
        <v>0</v>
      </c>
      <c r="P166" s="45">
        <f>IF(COUNTIF('Premade Flavors'!$A:$A, $C166) &gt; 0,_xlfn.XLOOKUP($C166,'Premade Flavors'!$A:$A,'Premade Flavors'!P:P),_xlfn.XLOOKUP("How Much Of The First Sweetner? ",[1]Sheet1!$1:$1,[1]Sheet1!166:166))</f>
        <v>0</v>
      </c>
      <c r="Q166" s="45">
        <f>IF(COUNTIF('Premade Flavors'!$A:$A, $C166) &gt; 0,_xlfn.XLOOKUP($C166,'Premade Flavors'!$A:$A,'Premade Flavors'!Q:Q),[2]Sheet1!S166)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Flavors'!E:E),_xlfn.XLOOKUP("What's The First Flavor You Want? ",[1]Sheet1!$1:$1,[1]Sheet1!167:167))</f>
        <v>0</v>
      </c>
      <c r="G167" s="31">
        <f>IF(COUNTIF('Premade Flavors'!$A:$A, $C167) &gt; 0,_xlfn.XLOOKUP($C167,'Premade Flavors'!$A:$A,'Premade Flavors'!F:F),_xlfn.XLOOKUP("What's the Second Flavor You Want?",[1]Sheet1!$1:$1,[1]Sheet1!167:167))</f>
        <v>0</v>
      </c>
      <c r="H167" s="31">
        <f>IF(COUNTIF('Premade Flavors'!$A:$A, $C167) &gt; 0,_xlfn.XLOOKUP($C167,'Premade Flavors'!$A:$A,'Premade Flavors'!G:G),_xlfn.XLOOKUP("What's The First Mix In That You Want? ",[1]Sheet1!$1:$1,[1]Sheet1!167:167))</f>
        <v>0</v>
      </c>
      <c r="I167" s="31">
        <f>IF(COUNTIF('Premade Flavors'!$A:$A, $C165) &gt; 0,_xlfn.XLOOKUP($C165,'Premade Flavors'!$A:$A,'Premade Flavors'!H:H),IF([2]Sheet1!W165=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Flavors'!I:I),"Stevia"),_xlfn.XLOOKUP("What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Flavors'!M:M),_xlfn.XLOOKUP("How Strong Do You Want The First Flavor?",[1]Sheet1!$1:$1,[1]Sheet1!167:167))</f>
        <v>0</v>
      </c>
      <c r="N167" s="45">
        <f>IF(COUNTIF('Premade Flavors'!$A:$A, $C167) &gt; 0,_xlfn.XLOOKUP($C167,'Premade Flavors'!$A:$A,'Premade Flavors'!N:N),_xlfn.XLOOKUP("How Strong Do You Want The Second Flavor?",[1]Sheet1!$1:$1,[1]Sheet1!167:167))</f>
        <v>0</v>
      </c>
      <c r="O167" s="45">
        <f>IF(COUNTIF('Premade Flavors'!$A:$A, $C167) &gt; 0,_xlfn.XLOOKUP($C167,'Premade Flavors'!$A:$A,'Premade Flavors'!O:O),_xlfn.XLOOKUP("How Dense Should the Mix Ins Be?",[1]Sheet1!$1:$1,[1]Sheet1!167:167))</f>
        <v>0</v>
      </c>
      <c r="P167" s="45">
        <f>IF(COUNTIF('Premade Flavors'!$A:$A, $C167) &gt; 0,_xlfn.XLOOKUP($C167,'Premade Flavors'!$A:$A,'Premade Flavors'!P:P),_xlfn.XLOOKUP("How Much Of The First Sweetner? ",[1]Sheet1!$1:$1,[1]Sheet1!167:167))</f>
        <v>0</v>
      </c>
      <c r="Q167" s="45">
        <f>IF(COUNTIF('Premade Flavors'!$A:$A, $C167) &gt; 0,_xlfn.XLOOKUP($C167,'Premade Flavors'!$A:$A,'Premade Flavors'!Q:Q),[2]Sheet1!S167)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Flavors'!E:E),_xlfn.XLOOKUP("What's The First Flavor You Want? ",[1]Sheet1!$1:$1,[1]Sheet1!168:168))</f>
        <v>0</v>
      </c>
      <c r="G168" s="31">
        <f>IF(COUNTIF('Premade Flavors'!$A:$A, $C168) &gt; 0,_xlfn.XLOOKUP($C168,'Premade Flavors'!$A:$A,'Premade Flavors'!F:F),_xlfn.XLOOKUP("What's the Second Flavor You Want?",[1]Sheet1!$1:$1,[1]Sheet1!168:168))</f>
        <v>0</v>
      </c>
      <c r="H168" s="31">
        <f>IF(COUNTIF('Premade Flavors'!$A:$A, $C168) &gt; 0,_xlfn.XLOOKUP($C168,'Premade Flavors'!$A:$A,'Premade Flavors'!G:G),_xlfn.XLOOKUP("What's The First Mix In That You Want? ",[1]Sheet1!$1:$1,[1]Sheet1!168:168))</f>
        <v>0</v>
      </c>
      <c r="I168" s="31">
        <f>IF(COUNTIF('Premade Flavors'!$A:$A, $C166) &gt; 0,_xlfn.XLOOKUP($C166,'Premade Flavors'!$A:$A,'Premade Flavors'!H:H),IF([2]Sheet1!W166=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Flavors'!I:I),"Stevia"),_xlfn.XLOOKUP("What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Flavors'!M:M),_xlfn.XLOOKUP("How Strong Do You Want The First Flavor?",[1]Sheet1!$1:$1,[1]Sheet1!168:168))</f>
        <v>0</v>
      </c>
      <c r="N168" s="45">
        <f>IF(COUNTIF('Premade Flavors'!$A:$A, $C168) &gt; 0,_xlfn.XLOOKUP($C168,'Premade Flavors'!$A:$A,'Premade Flavors'!N:N),_xlfn.XLOOKUP("How Strong Do You Want The Second Flavor?",[1]Sheet1!$1:$1,[1]Sheet1!168:168))</f>
        <v>0</v>
      </c>
      <c r="O168" s="45">
        <f>IF(COUNTIF('Premade Flavors'!$A:$A, $C168) &gt; 0,_xlfn.XLOOKUP($C168,'Premade Flavors'!$A:$A,'Premade Flavors'!O:O),_xlfn.XLOOKUP("How Dense Should the Mix Ins Be?",[1]Sheet1!$1:$1,[1]Sheet1!168:168))</f>
        <v>0</v>
      </c>
      <c r="P168" s="45">
        <f>IF(COUNTIF('Premade Flavors'!$A:$A, $C168) &gt; 0,_xlfn.XLOOKUP($C168,'Premade Flavors'!$A:$A,'Premade Flavors'!P:P),_xlfn.XLOOKUP("How Much Of The First Sweetner? ",[1]Sheet1!$1:$1,[1]Sheet1!168:168))</f>
        <v>0</v>
      </c>
      <c r="Q168" s="45">
        <f>IF(COUNTIF('Premade Flavors'!$A:$A, $C168) &gt; 0,_xlfn.XLOOKUP($C168,'Premade Flavors'!$A:$A,'Premade Flavors'!Q:Q),[2]Sheet1!S168)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Flavors'!E:E),_xlfn.XLOOKUP("What's The First Flavor You Want? ",[1]Sheet1!$1:$1,[1]Sheet1!169:169))</f>
        <v>0</v>
      </c>
      <c r="G169" s="31">
        <f>IF(COUNTIF('Premade Flavors'!$A:$A, $C169) &gt; 0,_xlfn.XLOOKUP($C169,'Premade Flavors'!$A:$A,'Premade Flavors'!F:F),_xlfn.XLOOKUP("What's the Second Flavor You Want?",[1]Sheet1!$1:$1,[1]Sheet1!169:169))</f>
        <v>0</v>
      </c>
      <c r="H169" s="31">
        <f>IF(COUNTIF('Premade Flavors'!$A:$A, $C169) &gt; 0,_xlfn.XLOOKUP($C169,'Premade Flavors'!$A:$A,'Premade Flavors'!G:G),_xlfn.XLOOKUP("What's The First Mix In That You Want? ",[1]Sheet1!$1:$1,[1]Sheet1!169:169))</f>
        <v>0</v>
      </c>
      <c r="I169" s="31">
        <f>IF(COUNTIF('Premade Flavors'!$A:$A, $C167) &gt; 0,_xlfn.XLOOKUP($C167,'Premade Flavors'!$A:$A,'Premade Flavors'!H:H),IF([2]Sheet1!W167=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Flavors'!I:I),"Stevia"),_xlfn.XLOOKUP("What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Flavors'!M:M),_xlfn.XLOOKUP("How Strong Do You Want The First Flavor?",[1]Sheet1!$1:$1,[1]Sheet1!169:169))</f>
        <v>0</v>
      </c>
      <c r="N169" s="45">
        <f>IF(COUNTIF('Premade Flavors'!$A:$A, $C169) &gt; 0,_xlfn.XLOOKUP($C169,'Premade Flavors'!$A:$A,'Premade Flavors'!N:N),_xlfn.XLOOKUP("How Strong Do You Want The Second Flavor?",[1]Sheet1!$1:$1,[1]Sheet1!169:169))</f>
        <v>0</v>
      </c>
      <c r="O169" s="45">
        <f>IF(COUNTIF('Premade Flavors'!$A:$A, $C169) &gt; 0,_xlfn.XLOOKUP($C169,'Premade Flavors'!$A:$A,'Premade Flavors'!O:O),_xlfn.XLOOKUP("How Dense Should the Mix Ins Be?",[1]Sheet1!$1:$1,[1]Sheet1!169:169))</f>
        <v>0</v>
      </c>
      <c r="P169" s="45">
        <f>IF(COUNTIF('Premade Flavors'!$A:$A, $C169) &gt; 0,_xlfn.XLOOKUP($C169,'Premade Flavors'!$A:$A,'Premade Flavors'!P:P),_xlfn.XLOOKUP("How Much Of The First Sweetner? ",[1]Sheet1!$1:$1,[1]Sheet1!169:169))</f>
        <v>0</v>
      </c>
      <c r="Q169" s="45">
        <f>IF(COUNTIF('Premade Flavors'!$A:$A, $C169) &gt; 0,_xlfn.XLOOKUP($C169,'Premade Flavors'!$A:$A,'Premade Flavors'!Q:Q),[2]Sheet1!S169)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Flavors'!E:E),_xlfn.XLOOKUP("What's The First Flavor You Want? ",[1]Sheet1!$1:$1,[1]Sheet1!170:170))</f>
        <v>0</v>
      </c>
      <c r="G170" s="31">
        <f>IF(COUNTIF('Premade Flavors'!$A:$A, $C170) &gt; 0,_xlfn.XLOOKUP($C170,'Premade Flavors'!$A:$A,'Premade Flavors'!F:F),_xlfn.XLOOKUP("What's the Second Flavor You Want?",[1]Sheet1!$1:$1,[1]Sheet1!170:170))</f>
        <v>0</v>
      </c>
      <c r="H170" s="31">
        <f>IF(COUNTIF('Premade Flavors'!$A:$A, $C170) &gt; 0,_xlfn.XLOOKUP($C170,'Premade Flavors'!$A:$A,'Premade Flavors'!G:G),_xlfn.XLOOKUP("What's The First Mix In That You Want? ",[1]Sheet1!$1:$1,[1]Sheet1!170:170))</f>
        <v>0</v>
      </c>
      <c r="I170" s="31">
        <f>IF(COUNTIF('Premade Flavors'!$A:$A, $C168) &gt; 0,_xlfn.XLOOKUP($C168,'Premade Flavors'!$A:$A,'Premade Flavors'!H:H),IF([2]Sheet1!W168=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Flavors'!I:I),"Stevia"),_xlfn.XLOOKUP("What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Flavors'!M:M),_xlfn.XLOOKUP("How Strong Do You Want The First Flavor?",[1]Sheet1!$1:$1,[1]Sheet1!170:170))</f>
        <v>0</v>
      </c>
      <c r="N170" s="45">
        <f>IF(COUNTIF('Premade Flavors'!$A:$A, $C170) &gt; 0,_xlfn.XLOOKUP($C170,'Premade Flavors'!$A:$A,'Premade Flavors'!N:N),_xlfn.XLOOKUP("How Strong Do You Want The Second Flavor?",[1]Sheet1!$1:$1,[1]Sheet1!170:170))</f>
        <v>0</v>
      </c>
      <c r="O170" s="45">
        <f>IF(COUNTIF('Premade Flavors'!$A:$A, $C170) &gt; 0,_xlfn.XLOOKUP($C170,'Premade Flavors'!$A:$A,'Premade Flavors'!O:O),_xlfn.XLOOKUP("How Dense Should the Mix Ins Be?",[1]Sheet1!$1:$1,[1]Sheet1!170:170))</f>
        <v>0</v>
      </c>
      <c r="P170" s="45">
        <f>IF(COUNTIF('Premade Flavors'!$A:$A, $C170) &gt; 0,_xlfn.XLOOKUP($C170,'Premade Flavors'!$A:$A,'Premade Flavors'!P:P),_xlfn.XLOOKUP("How Much Of The First Sweetner? ",[1]Sheet1!$1:$1,[1]Sheet1!170:170))</f>
        <v>0</v>
      </c>
      <c r="Q170" s="45">
        <f>IF(COUNTIF('Premade Flavors'!$A:$A, $C170) &gt; 0,_xlfn.XLOOKUP($C170,'Premade Flavors'!$A:$A,'Premade Flavors'!Q:Q),[2]Sheet1!S170)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Flavors'!E:E),_xlfn.XLOOKUP("What's The First Flavor You Want? ",[1]Sheet1!$1:$1,[1]Sheet1!171:171))</f>
        <v>0</v>
      </c>
      <c r="G171" s="31">
        <f>IF(COUNTIF('Premade Flavors'!$A:$A, $C171) &gt; 0,_xlfn.XLOOKUP($C171,'Premade Flavors'!$A:$A,'Premade Flavors'!F:F),_xlfn.XLOOKUP("What's the Second Flavor You Want?",[1]Sheet1!$1:$1,[1]Sheet1!171:171))</f>
        <v>0</v>
      </c>
      <c r="H171" s="31">
        <f>IF(COUNTIF('Premade Flavors'!$A:$A, $C171) &gt; 0,_xlfn.XLOOKUP($C171,'Premade Flavors'!$A:$A,'Premade Flavors'!G:G),_xlfn.XLOOKUP("What's The First Mix In That You Want? ",[1]Sheet1!$1:$1,[1]Sheet1!171:171))</f>
        <v>0</v>
      </c>
      <c r="I171" s="31">
        <f>IF(COUNTIF('Premade Flavors'!$A:$A, $C169) &gt; 0,_xlfn.XLOOKUP($C169,'Premade Flavors'!$A:$A,'Premade Flavors'!H:H),IF([2]Sheet1!W169=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Flavors'!I:I),"Stevia"),_xlfn.XLOOKUP("What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Flavors'!M:M),_xlfn.XLOOKUP("How Strong Do You Want The First Flavor?",[1]Sheet1!$1:$1,[1]Sheet1!171:171))</f>
        <v>0</v>
      </c>
      <c r="N171" s="45">
        <f>IF(COUNTIF('Premade Flavors'!$A:$A, $C171) &gt; 0,_xlfn.XLOOKUP($C171,'Premade Flavors'!$A:$A,'Premade Flavors'!N:N),_xlfn.XLOOKUP("How Strong Do You Want The Second Flavor?",[1]Sheet1!$1:$1,[1]Sheet1!171:171))</f>
        <v>0</v>
      </c>
      <c r="O171" s="45">
        <f>IF(COUNTIF('Premade Flavors'!$A:$A, $C171) &gt; 0,_xlfn.XLOOKUP($C171,'Premade Flavors'!$A:$A,'Premade Flavors'!O:O),_xlfn.XLOOKUP("How Dense Should the Mix Ins Be?",[1]Sheet1!$1:$1,[1]Sheet1!171:171))</f>
        <v>0</v>
      </c>
      <c r="P171" s="45">
        <f>IF(COUNTIF('Premade Flavors'!$A:$A, $C171) &gt; 0,_xlfn.XLOOKUP($C171,'Premade Flavors'!$A:$A,'Premade Flavors'!P:P),_xlfn.XLOOKUP("How Much Of The First Sweetner? ",[1]Sheet1!$1:$1,[1]Sheet1!171:171))</f>
        <v>0</v>
      </c>
      <c r="Q171" s="45">
        <f>IF(COUNTIF('Premade Flavors'!$A:$A, $C171) &gt; 0,_xlfn.XLOOKUP($C171,'Premade Flavors'!$A:$A,'Premade Flavors'!Q:Q),[2]Sheet1!S171)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Flavors'!E:E),_xlfn.XLOOKUP("What's The First Flavor You Want? ",[1]Sheet1!$1:$1,[1]Sheet1!172:172))</f>
        <v>0</v>
      </c>
      <c r="G172" s="31">
        <f>IF(COUNTIF('Premade Flavors'!$A:$A, $C172) &gt; 0,_xlfn.XLOOKUP($C172,'Premade Flavors'!$A:$A,'Premade Flavors'!F:F),_xlfn.XLOOKUP("What's the Second Flavor You Want?",[1]Sheet1!$1:$1,[1]Sheet1!172:172))</f>
        <v>0</v>
      </c>
      <c r="H172" s="31">
        <f>IF(COUNTIF('Premade Flavors'!$A:$A, $C172) &gt; 0,_xlfn.XLOOKUP($C172,'Premade Flavors'!$A:$A,'Premade Flavors'!G:G),_xlfn.XLOOKUP("What's The First Mix In That You Want? ",[1]Sheet1!$1:$1,[1]Sheet1!172:172))</f>
        <v>0</v>
      </c>
      <c r="I172" s="31">
        <f>IF(COUNTIF('Premade Flavors'!$A:$A, $C170) &gt; 0,_xlfn.XLOOKUP($C170,'Premade Flavors'!$A:$A,'Premade Flavors'!H:H),IF([2]Sheet1!W170=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Flavors'!I:I),"Stevia"),_xlfn.XLOOKUP("What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Flavors'!M:M),_xlfn.XLOOKUP("How Strong Do You Want The First Flavor?",[1]Sheet1!$1:$1,[1]Sheet1!172:172))</f>
        <v>0</v>
      </c>
      <c r="N172" s="45">
        <f>IF(COUNTIF('Premade Flavors'!$A:$A, $C172) &gt; 0,_xlfn.XLOOKUP($C172,'Premade Flavors'!$A:$A,'Premade Flavors'!N:N),_xlfn.XLOOKUP("How Strong Do You Want The Second Flavor?",[1]Sheet1!$1:$1,[1]Sheet1!172:172))</f>
        <v>0</v>
      </c>
      <c r="O172" s="45">
        <f>IF(COUNTIF('Premade Flavors'!$A:$A, $C172) &gt; 0,_xlfn.XLOOKUP($C172,'Premade Flavors'!$A:$A,'Premade Flavors'!O:O),_xlfn.XLOOKUP("How Dense Should the Mix Ins Be?",[1]Sheet1!$1:$1,[1]Sheet1!172:172))</f>
        <v>0</v>
      </c>
      <c r="P172" s="45">
        <f>IF(COUNTIF('Premade Flavors'!$A:$A, $C172) &gt; 0,_xlfn.XLOOKUP($C172,'Premade Flavors'!$A:$A,'Premade Flavors'!P:P),_xlfn.XLOOKUP("How Much Of The First Sweetner? ",[1]Sheet1!$1:$1,[1]Sheet1!172:172))</f>
        <v>0</v>
      </c>
      <c r="Q172" s="45">
        <f>IF(COUNTIF('Premade Flavors'!$A:$A, $C172) &gt; 0,_xlfn.XLOOKUP($C172,'Premade Flavors'!$A:$A,'Premade Flavors'!Q:Q),[2]Sheet1!S172)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Flavors'!E:E),_xlfn.XLOOKUP("What's The First Flavor You Want? ",[1]Sheet1!$1:$1,[1]Sheet1!173:173))</f>
        <v>0</v>
      </c>
      <c r="G173" s="31">
        <f>IF(COUNTIF('Premade Flavors'!$A:$A, $C173) &gt; 0,_xlfn.XLOOKUP($C173,'Premade Flavors'!$A:$A,'Premade Flavors'!F:F),_xlfn.XLOOKUP("What's the Second Flavor You Want?",[1]Sheet1!$1:$1,[1]Sheet1!173:173))</f>
        <v>0</v>
      </c>
      <c r="H173" s="31">
        <f>IF(COUNTIF('Premade Flavors'!$A:$A, $C173) &gt; 0,_xlfn.XLOOKUP($C173,'Premade Flavors'!$A:$A,'Premade Flavors'!G:G),_xlfn.XLOOKUP("What's The First Mix In That You Want? ",[1]Sheet1!$1:$1,[1]Sheet1!173:173))</f>
        <v>0</v>
      </c>
      <c r="I173" s="31">
        <f>IF(COUNTIF('Premade Flavors'!$A:$A, $C171) &gt; 0,_xlfn.XLOOKUP($C171,'Premade Flavors'!$A:$A,'Premade Flavors'!H:H),IF([2]Sheet1!W171=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Flavors'!I:I),"Stevia"),_xlfn.XLOOKUP("What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Flavors'!M:M),_xlfn.XLOOKUP("How Strong Do You Want The First Flavor?",[1]Sheet1!$1:$1,[1]Sheet1!173:173))</f>
        <v>0</v>
      </c>
      <c r="N173" s="45">
        <f>IF(COUNTIF('Premade Flavors'!$A:$A, $C173) &gt; 0,_xlfn.XLOOKUP($C173,'Premade Flavors'!$A:$A,'Premade Flavors'!N:N),_xlfn.XLOOKUP("How Strong Do You Want The Second Flavor?",[1]Sheet1!$1:$1,[1]Sheet1!173:173))</f>
        <v>0</v>
      </c>
      <c r="O173" s="45">
        <f>IF(COUNTIF('Premade Flavors'!$A:$A, $C173) &gt; 0,_xlfn.XLOOKUP($C173,'Premade Flavors'!$A:$A,'Premade Flavors'!O:O),_xlfn.XLOOKUP("How Dense Should the Mix Ins Be?",[1]Sheet1!$1:$1,[1]Sheet1!173:173))</f>
        <v>0</v>
      </c>
      <c r="P173" s="45">
        <f>IF(COUNTIF('Premade Flavors'!$A:$A, $C173) &gt; 0,_xlfn.XLOOKUP($C173,'Premade Flavors'!$A:$A,'Premade Flavors'!P:P),_xlfn.XLOOKUP("How Much Of The First Sweetner? ",[1]Sheet1!$1:$1,[1]Sheet1!173:173))</f>
        <v>0</v>
      </c>
      <c r="Q173" s="45">
        <f>IF(COUNTIF('Premade Flavors'!$A:$A, $C173) &gt; 0,_xlfn.XLOOKUP($C173,'Premade Flavors'!$A:$A,'Premade Flavors'!Q:Q),[2]Sheet1!S173)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Flavors'!E:E),_xlfn.XLOOKUP("What's The First Flavor You Want? ",[1]Sheet1!$1:$1,[1]Sheet1!174:174))</f>
        <v>0</v>
      </c>
      <c r="G174" s="31">
        <f>IF(COUNTIF('Premade Flavors'!$A:$A, $C174) &gt; 0,_xlfn.XLOOKUP($C174,'Premade Flavors'!$A:$A,'Premade Flavors'!F:F),_xlfn.XLOOKUP("What's the Second Flavor You Want?",[1]Sheet1!$1:$1,[1]Sheet1!174:174))</f>
        <v>0</v>
      </c>
      <c r="H174" s="31">
        <f>IF(COUNTIF('Premade Flavors'!$A:$A, $C174) &gt; 0,_xlfn.XLOOKUP($C174,'Premade Flavors'!$A:$A,'Premade Flavors'!G:G),_xlfn.XLOOKUP("What's The First Mix In That You Want? ",[1]Sheet1!$1:$1,[1]Sheet1!174:174))</f>
        <v>0</v>
      </c>
      <c r="I174" s="31">
        <f>IF(COUNTIF('Premade Flavors'!$A:$A, $C172) &gt; 0,_xlfn.XLOOKUP($C172,'Premade Flavors'!$A:$A,'Premade Flavors'!H:H),IF([2]Sheet1!W172=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Flavors'!I:I),"Stevia"),_xlfn.XLOOKUP("What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Flavors'!M:M),_xlfn.XLOOKUP("How Strong Do You Want The First Flavor?",[1]Sheet1!$1:$1,[1]Sheet1!174:174))</f>
        <v>0</v>
      </c>
      <c r="N174" s="45">
        <f>IF(COUNTIF('Premade Flavors'!$A:$A, $C174) &gt; 0,_xlfn.XLOOKUP($C174,'Premade Flavors'!$A:$A,'Premade Flavors'!N:N),_xlfn.XLOOKUP("How Strong Do You Want The Second Flavor?",[1]Sheet1!$1:$1,[1]Sheet1!174:174))</f>
        <v>0</v>
      </c>
      <c r="O174" s="45">
        <f>IF(COUNTIF('Premade Flavors'!$A:$A, $C174) &gt; 0,_xlfn.XLOOKUP($C174,'Premade Flavors'!$A:$A,'Premade Flavors'!O:O),_xlfn.XLOOKUP("How Dense Should the Mix Ins Be?",[1]Sheet1!$1:$1,[1]Sheet1!174:174))</f>
        <v>0</v>
      </c>
      <c r="P174" s="45">
        <f>IF(COUNTIF('Premade Flavors'!$A:$A, $C174) &gt; 0,_xlfn.XLOOKUP($C174,'Premade Flavors'!$A:$A,'Premade Flavors'!P:P),_xlfn.XLOOKUP("How Much Of The First Sweetner? ",[1]Sheet1!$1:$1,[1]Sheet1!174:174))</f>
        <v>0</v>
      </c>
      <c r="Q174" s="45">
        <f>IF(COUNTIF('Premade Flavors'!$A:$A, $C174) &gt; 0,_xlfn.XLOOKUP($C174,'Premade Flavors'!$A:$A,'Premade Flavors'!Q:Q),[2]Sheet1!S174)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Flavors'!E:E),_xlfn.XLOOKUP("What's The First Flavor You Want? ",[1]Sheet1!$1:$1,[1]Sheet1!175:175))</f>
        <v>0</v>
      </c>
      <c r="G175" s="31">
        <f>IF(COUNTIF('Premade Flavors'!$A:$A, $C175) &gt; 0,_xlfn.XLOOKUP($C175,'Premade Flavors'!$A:$A,'Premade Flavors'!F:F),_xlfn.XLOOKUP("What's the Second Flavor You Want?",[1]Sheet1!$1:$1,[1]Sheet1!175:175))</f>
        <v>0</v>
      </c>
      <c r="H175" s="31">
        <f>IF(COUNTIF('Premade Flavors'!$A:$A, $C175) &gt; 0,_xlfn.XLOOKUP($C175,'Premade Flavors'!$A:$A,'Premade Flavors'!G:G),_xlfn.XLOOKUP("What's The First Mix In That You Want? ",[1]Sheet1!$1:$1,[1]Sheet1!175:175))</f>
        <v>0</v>
      </c>
      <c r="I175" s="31">
        <f>IF(COUNTIF('Premade Flavors'!$A:$A, $C173) &gt; 0,_xlfn.XLOOKUP($C173,'Premade Flavors'!$A:$A,'Premade Flavors'!H:H),IF([2]Sheet1!W173=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Flavors'!I:I),"Stevia"),_xlfn.XLOOKUP("What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Flavors'!M:M),_xlfn.XLOOKUP("How Strong Do You Want The First Flavor?",[1]Sheet1!$1:$1,[1]Sheet1!175:175))</f>
        <v>0</v>
      </c>
      <c r="N175" s="45">
        <f>IF(COUNTIF('Premade Flavors'!$A:$A, $C175) &gt; 0,_xlfn.XLOOKUP($C175,'Premade Flavors'!$A:$A,'Premade Flavors'!N:N),_xlfn.XLOOKUP("How Strong Do You Want The Second Flavor?",[1]Sheet1!$1:$1,[1]Sheet1!175:175))</f>
        <v>0</v>
      </c>
      <c r="O175" s="45">
        <f>IF(COUNTIF('Premade Flavors'!$A:$A, $C175) &gt; 0,_xlfn.XLOOKUP($C175,'Premade Flavors'!$A:$A,'Premade Flavors'!O:O),_xlfn.XLOOKUP("How Dense Should the Mix Ins Be?",[1]Sheet1!$1:$1,[1]Sheet1!175:175))</f>
        <v>0</v>
      </c>
      <c r="P175" s="45">
        <f>IF(COUNTIF('Premade Flavors'!$A:$A, $C175) &gt; 0,_xlfn.XLOOKUP($C175,'Premade Flavors'!$A:$A,'Premade Flavors'!P:P),_xlfn.XLOOKUP("How Much Of The First Sweetner? ",[1]Sheet1!$1:$1,[1]Sheet1!175:175))</f>
        <v>0</v>
      </c>
      <c r="Q175" s="45">
        <f>IF(COUNTIF('Premade Flavors'!$A:$A, $C175) &gt; 0,_xlfn.XLOOKUP($C175,'Premade Flavors'!$A:$A,'Premade Flavors'!Q:Q),[2]Sheet1!S175)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Flavors'!E:E),_xlfn.XLOOKUP("What's The First Flavor You Want? ",[1]Sheet1!$1:$1,[1]Sheet1!176:176))</f>
        <v>0</v>
      </c>
      <c r="G176" s="31">
        <f>IF(COUNTIF('Premade Flavors'!$A:$A, $C176) &gt; 0,_xlfn.XLOOKUP($C176,'Premade Flavors'!$A:$A,'Premade Flavors'!F:F),_xlfn.XLOOKUP("What's the Second Flavor You Want?",[1]Sheet1!$1:$1,[1]Sheet1!176:176))</f>
        <v>0</v>
      </c>
      <c r="H176" s="31">
        <f>IF(COUNTIF('Premade Flavors'!$A:$A, $C176) &gt; 0,_xlfn.XLOOKUP($C176,'Premade Flavors'!$A:$A,'Premade Flavors'!G:G),_xlfn.XLOOKUP("What's The First Mix In That You Want? ",[1]Sheet1!$1:$1,[1]Sheet1!176:176))</f>
        <v>0</v>
      </c>
      <c r="I176" s="31">
        <f>IF(COUNTIF('Premade Flavors'!$A:$A, $C174) &gt; 0,_xlfn.XLOOKUP($C174,'Premade Flavors'!$A:$A,'Premade Flavors'!H:H),IF([2]Sheet1!W174=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Flavors'!I:I),"Stevia"),_xlfn.XLOOKUP("What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Flavors'!M:M),_xlfn.XLOOKUP("How Strong Do You Want The First Flavor?",[1]Sheet1!$1:$1,[1]Sheet1!176:176))</f>
        <v>0</v>
      </c>
      <c r="N176" s="45">
        <f>IF(COUNTIF('Premade Flavors'!$A:$A, $C176) &gt; 0,_xlfn.XLOOKUP($C176,'Premade Flavors'!$A:$A,'Premade Flavors'!N:N),_xlfn.XLOOKUP("How Strong Do You Want The Second Flavor?",[1]Sheet1!$1:$1,[1]Sheet1!176:176))</f>
        <v>0</v>
      </c>
      <c r="O176" s="45">
        <f>IF(COUNTIF('Premade Flavors'!$A:$A, $C176) &gt; 0,_xlfn.XLOOKUP($C176,'Premade Flavors'!$A:$A,'Premade Flavors'!O:O),_xlfn.XLOOKUP("How Dense Should the Mix Ins Be?",[1]Sheet1!$1:$1,[1]Sheet1!176:176))</f>
        <v>0</v>
      </c>
      <c r="P176" s="45">
        <f>IF(COUNTIF('Premade Flavors'!$A:$A, $C176) &gt; 0,_xlfn.XLOOKUP($C176,'Premade Flavors'!$A:$A,'Premade Flavors'!P:P),_xlfn.XLOOKUP("How Much Of The First Sweetner? ",[1]Sheet1!$1:$1,[1]Sheet1!176:176))</f>
        <v>0</v>
      </c>
      <c r="Q176" s="45">
        <f>IF(COUNTIF('Premade Flavors'!$A:$A, $C176) &gt; 0,_xlfn.XLOOKUP($C176,'Premade Flavors'!$A:$A,'Premade Flavors'!Q:Q),[2]Sheet1!S176)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Flavors'!E:E),_xlfn.XLOOKUP("What's The First Flavor You Want? ",[1]Sheet1!$1:$1,[1]Sheet1!177:177))</f>
        <v>0</v>
      </c>
      <c r="G177" s="31">
        <f>IF(COUNTIF('Premade Flavors'!$A:$A, $C177) &gt; 0,_xlfn.XLOOKUP($C177,'Premade Flavors'!$A:$A,'Premade Flavors'!F:F),_xlfn.XLOOKUP("What's the Second Flavor You Want?",[1]Sheet1!$1:$1,[1]Sheet1!177:177))</f>
        <v>0</v>
      </c>
      <c r="H177" s="31">
        <f>IF(COUNTIF('Premade Flavors'!$A:$A, $C177) &gt; 0,_xlfn.XLOOKUP($C177,'Premade Flavors'!$A:$A,'Premade Flavors'!G:G),_xlfn.XLOOKUP("What's The First Mix In That You Want? ",[1]Sheet1!$1:$1,[1]Sheet1!177:177))</f>
        <v>0</v>
      </c>
      <c r="I177" s="31">
        <f>IF(COUNTIF('Premade Flavors'!$A:$A, $C175) &gt; 0,_xlfn.XLOOKUP($C175,'Premade Flavors'!$A:$A,'Premade Flavors'!H:H),IF([2]Sheet1!W175=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Flavors'!I:I),"Stevia"),_xlfn.XLOOKUP("What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Flavors'!M:M),_xlfn.XLOOKUP("How Strong Do You Want The First Flavor?",[1]Sheet1!$1:$1,[1]Sheet1!177:177))</f>
        <v>0</v>
      </c>
      <c r="N177" s="45">
        <f>IF(COUNTIF('Premade Flavors'!$A:$A, $C177) &gt; 0,_xlfn.XLOOKUP($C177,'Premade Flavors'!$A:$A,'Premade Flavors'!N:N),_xlfn.XLOOKUP("How Strong Do You Want The Second Flavor?",[1]Sheet1!$1:$1,[1]Sheet1!177:177))</f>
        <v>0</v>
      </c>
      <c r="O177" s="45">
        <f>IF(COUNTIF('Premade Flavors'!$A:$A, $C177) &gt; 0,_xlfn.XLOOKUP($C177,'Premade Flavors'!$A:$A,'Premade Flavors'!O:O),_xlfn.XLOOKUP("How Dense Should the Mix Ins Be?",[1]Sheet1!$1:$1,[1]Sheet1!177:177))</f>
        <v>0</v>
      </c>
      <c r="P177" s="45">
        <f>IF(COUNTIF('Premade Flavors'!$A:$A, $C177) &gt; 0,_xlfn.XLOOKUP($C177,'Premade Flavors'!$A:$A,'Premade Flavors'!P:P),_xlfn.XLOOKUP("How Much Of The First Sweetner? ",[1]Sheet1!$1:$1,[1]Sheet1!177:177))</f>
        <v>0</v>
      </c>
      <c r="Q177" s="45">
        <f>IF(COUNTIF('Premade Flavors'!$A:$A, $C177) &gt; 0,_xlfn.XLOOKUP($C177,'Premade Flavors'!$A:$A,'Premade Flavors'!Q:Q),[2]Sheet1!S177)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Flavors'!E:E),_xlfn.XLOOKUP("What's The First Flavor You Want? ",[1]Sheet1!$1:$1,[1]Sheet1!178:178))</f>
        <v>0</v>
      </c>
      <c r="G178" s="31">
        <f>IF(COUNTIF('Premade Flavors'!$A:$A, $C178) &gt; 0,_xlfn.XLOOKUP($C178,'Premade Flavors'!$A:$A,'Premade Flavors'!F:F),_xlfn.XLOOKUP("What's the Second Flavor You Want?",[1]Sheet1!$1:$1,[1]Sheet1!178:178))</f>
        <v>0</v>
      </c>
      <c r="H178" s="31">
        <f>IF(COUNTIF('Premade Flavors'!$A:$A, $C178) &gt; 0,_xlfn.XLOOKUP($C178,'Premade Flavors'!$A:$A,'Premade Flavors'!G:G),_xlfn.XLOOKUP("What's The First Mix In That You Want? ",[1]Sheet1!$1:$1,[1]Sheet1!178:178))</f>
        <v>0</v>
      </c>
      <c r="I178" s="31">
        <f>IF(COUNTIF('Premade Flavors'!$A:$A, $C176) &gt; 0,_xlfn.XLOOKUP($C176,'Premade Flavors'!$A:$A,'Premade Flavors'!H:H),IF([2]Sheet1!W176=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Flavors'!I:I),"Stevia"),_xlfn.XLOOKUP("What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Flavors'!M:M),_xlfn.XLOOKUP("How Strong Do You Want The First Flavor?",[1]Sheet1!$1:$1,[1]Sheet1!178:178))</f>
        <v>0</v>
      </c>
      <c r="N178" s="45">
        <f>IF(COUNTIF('Premade Flavors'!$A:$A, $C178) &gt; 0,_xlfn.XLOOKUP($C178,'Premade Flavors'!$A:$A,'Premade Flavors'!N:N),_xlfn.XLOOKUP("How Strong Do You Want The Second Flavor?",[1]Sheet1!$1:$1,[1]Sheet1!178:178))</f>
        <v>0</v>
      </c>
      <c r="O178" s="45">
        <f>IF(COUNTIF('Premade Flavors'!$A:$A, $C178) &gt; 0,_xlfn.XLOOKUP($C178,'Premade Flavors'!$A:$A,'Premade Flavors'!O:O),_xlfn.XLOOKUP("How Dense Should the Mix Ins Be?",[1]Sheet1!$1:$1,[1]Sheet1!178:178))</f>
        <v>0</v>
      </c>
      <c r="P178" s="45">
        <f>IF(COUNTIF('Premade Flavors'!$A:$A, $C178) &gt; 0,_xlfn.XLOOKUP($C178,'Premade Flavors'!$A:$A,'Premade Flavors'!P:P),_xlfn.XLOOKUP("How Much Of The First Sweetner? ",[1]Sheet1!$1:$1,[1]Sheet1!178:178))</f>
        <v>0</v>
      </c>
      <c r="Q178" s="45">
        <f>IF(COUNTIF('Premade Flavors'!$A:$A, $C178) &gt; 0,_xlfn.XLOOKUP($C178,'Premade Flavors'!$A:$A,'Premade Flavors'!Q:Q),[2]Sheet1!S178)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Flavors'!E:E),_xlfn.XLOOKUP("What's The First Flavor You Want? ",[1]Sheet1!$1:$1,[1]Sheet1!179:179))</f>
        <v>0</v>
      </c>
      <c r="G179" s="31">
        <f>IF(COUNTIF('Premade Flavors'!$A:$A, $C179) &gt; 0,_xlfn.XLOOKUP($C179,'Premade Flavors'!$A:$A,'Premade Flavors'!F:F),_xlfn.XLOOKUP("What's the Second Flavor You Want?",[1]Sheet1!$1:$1,[1]Sheet1!179:179))</f>
        <v>0</v>
      </c>
      <c r="H179" s="31">
        <f>IF(COUNTIF('Premade Flavors'!$A:$A, $C179) &gt; 0,_xlfn.XLOOKUP($C179,'Premade Flavors'!$A:$A,'Premade Flavors'!G:G),_xlfn.XLOOKUP("What's The First Mix In That You Want? ",[1]Sheet1!$1:$1,[1]Sheet1!179:179))</f>
        <v>0</v>
      </c>
      <c r="I179" s="31">
        <f>IF(COUNTIF('Premade Flavors'!$A:$A, $C177) &gt; 0,_xlfn.XLOOKUP($C177,'Premade Flavors'!$A:$A,'Premade Flavors'!H:H),IF([2]Sheet1!W177=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Flavors'!I:I),"Stevia"),_xlfn.XLOOKUP("What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Flavors'!M:M),_xlfn.XLOOKUP("How Strong Do You Want The First Flavor?",[1]Sheet1!$1:$1,[1]Sheet1!179:179))</f>
        <v>0</v>
      </c>
      <c r="N179" s="45">
        <f>IF(COUNTIF('Premade Flavors'!$A:$A, $C179) &gt; 0,_xlfn.XLOOKUP($C179,'Premade Flavors'!$A:$A,'Premade Flavors'!N:N),_xlfn.XLOOKUP("How Strong Do You Want The Second Flavor?",[1]Sheet1!$1:$1,[1]Sheet1!179:179))</f>
        <v>0</v>
      </c>
      <c r="O179" s="45">
        <f>IF(COUNTIF('Premade Flavors'!$A:$A, $C179) &gt; 0,_xlfn.XLOOKUP($C179,'Premade Flavors'!$A:$A,'Premade Flavors'!O:O),_xlfn.XLOOKUP("How Dense Should the Mix Ins Be?",[1]Sheet1!$1:$1,[1]Sheet1!179:179))</f>
        <v>0</v>
      </c>
      <c r="P179" s="45">
        <f>IF(COUNTIF('Premade Flavors'!$A:$A, $C179) &gt; 0,_xlfn.XLOOKUP($C179,'Premade Flavors'!$A:$A,'Premade Flavors'!P:P),_xlfn.XLOOKUP("How Much Of The First Sweetner? ",[1]Sheet1!$1:$1,[1]Sheet1!179:179))</f>
        <v>0</v>
      </c>
      <c r="Q179" s="45">
        <f>IF(COUNTIF('Premade Flavors'!$A:$A, $C179) &gt; 0,_xlfn.XLOOKUP($C179,'Premade Flavors'!$A:$A,'Premade Flavors'!Q:Q),[2]Sheet1!S179)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Flavors'!E:E),_xlfn.XLOOKUP("What's The First Flavor You Want? ",[1]Sheet1!$1:$1,[1]Sheet1!180:180))</f>
        <v>0</v>
      </c>
      <c r="G180" s="31">
        <f>IF(COUNTIF('Premade Flavors'!$A:$A, $C180) &gt; 0,_xlfn.XLOOKUP($C180,'Premade Flavors'!$A:$A,'Premade Flavors'!F:F),_xlfn.XLOOKUP("What's the Second Flavor You Want?",[1]Sheet1!$1:$1,[1]Sheet1!180:180))</f>
        <v>0</v>
      </c>
      <c r="H180" s="31">
        <f>IF(COUNTIF('Premade Flavors'!$A:$A, $C180) &gt; 0,_xlfn.XLOOKUP($C180,'Premade Flavors'!$A:$A,'Premade Flavors'!G:G),_xlfn.XLOOKUP("What's The First Mix In That You Want? ",[1]Sheet1!$1:$1,[1]Sheet1!180:180))</f>
        <v>0</v>
      </c>
      <c r="I180" s="31">
        <f>IF(COUNTIF('Premade Flavors'!$A:$A, $C178) &gt; 0,_xlfn.XLOOKUP($C178,'Premade Flavors'!$A:$A,'Premade Flavors'!H:H),IF([2]Sheet1!W178=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Flavors'!I:I),"Stevia"),_xlfn.XLOOKUP("What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Flavors'!M:M),_xlfn.XLOOKUP("How Strong Do You Want The First Flavor?",[1]Sheet1!$1:$1,[1]Sheet1!180:180))</f>
        <v>0</v>
      </c>
      <c r="N180" s="45">
        <f>IF(COUNTIF('Premade Flavors'!$A:$A, $C180) &gt; 0,_xlfn.XLOOKUP($C180,'Premade Flavors'!$A:$A,'Premade Flavors'!N:N),_xlfn.XLOOKUP("How Strong Do You Want The Second Flavor?",[1]Sheet1!$1:$1,[1]Sheet1!180:180))</f>
        <v>0</v>
      </c>
      <c r="O180" s="45">
        <f>IF(COUNTIF('Premade Flavors'!$A:$A, $C180) &gt; 0,_xlfn.XLOOKUP($C180,'Premade Flavors'!$A:$A,'Premade Flavors'!O:O),_xlfn.XLOOKUP("How Dense Should the Mix Ins Be?",[1]Sheet1!$1:$1,[1]Sheet1!180:180))</f>
        <v>0</v>
      </c>
      <c r="P180" s="45">
        <f>IF(COUNTIF('Premade Flavors'!$A:$A, $C180) &gt; 0,_xlfn.XLOOKUP($C180,'Premade Flavors'!$A:$A,'Premade Flavors'!P:P),_xlfn.XLOOKUP("How Much Of The First Sweetner? ",[1]Sheet1!$1:$1,[1]Sheet1!180:180))</f>
        <v>0</v>
      </c>
      <c r="Q180" s="45">
        <f>IF(COUNTIF('Premade Flavors'!$A:$A, $C180) &gt; 0,_xlfn.XLOOKUP($C180,'Premade Flavors'!$A:$A,'Premade Flavors'!Q:Q),[2]Sheet1!S180)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Flavors'!E:E),_xlfn.XLOOKUP("What's The First Flavor You Want? ",[1]Sheet1!$1:$1,[1]Sheet1!181:181))</f>
        <v>0</v>
      </c>
      <c r="G181" s="31">
        <f>IF(COUNTIF('Premade Flavors'!$A:$A, $C181) &gt; 0,_xlfn.XLOOKUP($C181,'Premade Flavors'!$A:$A,'Premade Flavors'!F:F),_xlfn.XLOOKUP("What's the Second Flavor You Want?",[1]Sheet1!$1:$1,[1]Sheet1!181:181))</f>
        <v>0</v>
      </c>
      <c r="H181" s="31">
        <f>IF(COUNTIF('Premade Flavors'!$A:$A, $C181) &gt; 0,_xlfn.XLOOKUP($C181,'Premade Flavors'!$A:$A,'Premade Flavors'!G:G),_xlfn.XLOOKUP("What's The First Mix In That You Want? ",[1]Sheet1!$1:$1,[1]Sheet1!181:181))</f>
        <v>0</v>
      </c>
      <c r="I181" s="31">
        <f>IF(COUNTIF('Premade Flavors'!$A:$A, $C179) &gt; 0,_xlfn.XLOOKUP($C179,'Premade Flavors'!$A:$A,'Premade Flavors'!H:H),IF([2]Sheet1!W179=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Flavors'!I:I),"Stevia"),_xlfn.XLOOKUP("What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Flavors'!M:M),_xlfn.XLOOKUP("How Strong Do You Want The First Flavor?",[1]Sheet1!$1:$1,[1]Sheet1!181:181))</f>
        <v>0</v>
      </c>
      <c r="N181" s="45">
        <f>IF(COUNTIF('Premade Flavors'!$A:$A, $C181) &gt; 0,_xlfn.XLOOKUP($C181,'Premade Flavors'!$A:$A,'Premade Flavors'!N:N),_xlfn.XLOOKUP("How Strong Do You Want The Second Flavor?",[1]Sheet1!$1:$1,[1]Sheet1!181:181))</f>
        <v>0</v>
      </c>
      <c r="O181" s="45">
        <f>IF(COUNTIF('Premade Flavors'!$A:$A, $C181) &gt; 0,_xlfn.XLOOKUP($C181,'Premade Flavors'!$A:$A,'Premade Flavors'!O:O),_xlfn.XLOOKUP("How Dense Should the Mix Ins Be?",[1]Sheet1!$1:$1,[1]Sheet1!181:181))</f>
        <v>0</v>
      </c>
      <c r="P181" s="45">
        <f>IF(COUNTIF('Premade Flavors'!$A:$A, $C181) &gt; 0,_xlfn.XLOOKUP($C181,'Premade Flavors'!$A:$A,'Premade Flavors'!P:P),_xlfn.XLOOKUP("How Much Of The First Sweetner? ",[1]Sheet1!$1:$1,[1]Sheet1!181:181))</f>
        <v>0</v>
      </c>
      <c r="Q181" s="45">
        <f>IF(COUNTIF('Premade Flavors'!$A:$A, $C181) &gt; 0,_xlfn.XLOOKUP($C181,'Premade Flavors'!$A:$A,'Premade Flavors'!Q:Q),[2]Sheet1!S181)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Flavors'!E:E),_xlfn.XLOOKUP("What's The First Flavor You Want? ",[1]Sheet1!$1:$1,[1]Sheet1!182:182))</f>
        <v>0</v>
      </c>
      <c r="G182" s="31">
        <f>IF(COUNTIF('Premade Flavors'!$A:$A, $C182) &gt; 0,_xlfn.XLOOKUP($C182,'Premade Flavors'!$A:$A,'Premade Flavors'!F:F),_xlfn.XLOOKUP("What's the Second Flavor You Want?",[1]Sheet1!$1:$1,[1]Sheet1!182:182))</f>
        <v>0</v>
      </c>
      <c r="H182" s="31">
        <f>IF(COUNTIF('Premade Flavors'!$A:$A, $C182) &gt; 0,_xlfn.XLOOKUP($C182,'Premade Flavors'!$A:$A,'Premade Flavors'!G:G),_xlfn.XLOOKUP("What's The First Mix In That You Want? ",[1]Sheet1!$1:$1,[1]Sheet1!182:182))</f>
        <v>0</v>
      </c>
      <c r="I182" s="31">
        <f>IF(COUNTIF('Premade Flavors'!$A:$A, $C180) &gt; 0,_xlfn.XLOOKUP($C180,'Premade Flavors'!$A:$A,'Premade Flavors'!H:H),IF([2]Sheet1!W180=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Flavors'!I:I),"Stevia"),_xlfn.XLOOKUP("What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Flavors'!M:M),_xlfn.XLOOKUP("How Strong Do You Want The First Flavor?",[1]Sheet1!$1:$1,[1]Sheet1!182:182))</f>
        <v>0</v>
      </c>
      <c r="N182" s="45">
        <f>IF(COUNTIF('Premade Flavors'!$A:$A, $C182) &gt; 0,_xlfn.XLOOKUP($C182,'Premade Flavors'!$A:$A,'Premade Flavors'!N:N),_xlfn.XLOOKUP("How Strong Do You Want The Second Flavor?",[1]Sheet1!$1:$1,[1]Sheet1!182:182))</f>
        <v>0</v>
      </c>
      <c r="O182" s="45">
        <f>IF(COUNTIF('Premade Flavors'!$A:$A, $C182) &gt; 0,_xlfn.XLOOKUP($C182,'Premade Flavors'!$A:$A,'Premade Flavors'!O:O),_xlfn.XLOOKUP("How Dense Should the Mix Ins Be?",[1]Sheet1!$1:$1,[1]Sheet1!182:182))</f>
        <v>0</v>
      </c>
      <c r="P182" s="45">
        <f>IF(COUNTIF('Premade Flavors'!$A:$A, $C182) &gt; 0,_xlfn.XLOOKUP($C182,'Premade Flavors'!$A:$A,'Premade Flavors'!P:P),_xlfn.XLOOKUP("How Much Of The First Sweetner? ",[1]Sheet1!$1:$1,[1]Sheet1!182:182))</f>
        <v>0</v>
      </c>
      <c r="Q182" s="45">
        <f>IF(COUNTIF('Premade Flavors'!$A:$A, $C182) &gt; 0,_xlfn.XLOOKUP($C182,'Premade Flavors'!$A:$A,'Premade Flavors'!Q:Q),[2]Sheet1!S182)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Flavors'!E:E),_xlfn.XLOOKUP("What's The First Flavor You Want? ",[1]Sheet1!$1:$1,[1]Sheet1!183:183))</f>
        <v>0</v>
      </c>
      <c r="G183" s="31">
        <f>IF(COUNTIF('Premade Flavors'!$A:$A, $C183) &gt; 0,_xlfn.XLOOKUP($C183,'Premade Flavors'!$A:$A,'Premade Flavors'!F:F),_xlfn.XLOOKUP("What's the Second Flavor You Want?",[1]Sheet1!$1:$1,[1]Sheet1!183:183))</f>
        <v>0</v>
      </c>
      <c r="H183" s="31">
        <f>IF(COUNTIF('Premade Flavors'!$A:$A, $C183) &gt; 0,_xlfn.XLOOKUP($C183,'Premade Flavors'!$A:$A,'Premade Flavors'!G:G),_xlfn.XLOOKUP("What's The First Mix In That You Want? ",[1]Sheet1!$1:$1,[1]Sheet1!183:183))</f>
        <v>0</v>
      </c>
      <c r="I183" s="31">
        <f>IF(COUNTIF('Premade Flavors'!$A:$A, $C181) &gt; 0,_xlfn.XLOOKUP($C181,'Premade Flavors'!$A:$A,'Premade Flavors'!H:H),IF([2]Sheet1!W181=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Flavors'!I:I),"Stevia"),_xlfn.XLOOKUP("What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Flavors'!M:M),_xlfn.XLOOKUP("How Strong Do You Want The First Flavor?",[1]Sheet1!$1:$1,[1]Sheet1!183:183))</f>
        <v>0</v>
      </c>
      <c r="N183" s="45">
        <f>IF(COUNTIF('Premade Flavors'!$A:$A, $C183) &gt; 0,_xlfn.XLOOKUP($C183,'Premade Flavors'!$A:$A,'Premade Flavors'!N:N),_xlfn.XLOOKUP("How Strong Do You Want The Second Flavor?",[1]Sheet1!$1:$1,[1]Sheet1!183:183))</f>
        <v>0</v>
      </c>
      <c r="O183" s="45">
        <f>IF(COUNTIF('Premade Flavors'!$A:$A, $C183) &gt; 0,_xlfn.XLOOKUP($C183,'Premade Flavors'!$A:$A,'Premade Flavors'!O:O),_xlfn.XLOOKUP("How Dense Should the Mix Ins Be?",[1]Sheet1!$1:$1,[1]Sheet1!183:183))</f>
        <v>0</v>
      </c>
      <c r="P183" s="45">
        <f>IF(COUNTIF('Premade Flavors'!$A:$A, $C183) &gt; 0,_xlfn.XLOOKUP($C183,'Premade Flavors'!$A:$A,'Premade Flavors'!P:P),_xlfn.XLOOKUP("How Much Of The First Sweetner? ",[1]Sheet1!$1:$1,[1]Sheet1!183:183))</f>
        <v>0</v>
      </c>
      <c r="Q183" s="45">
        <f>IF(COUNTIF('Premade Flavors'!$A:$A, $C183) &gt; 0,_xlfn.XLOOKUP($C183,'Premade Flavors'!$A:$A,'Premade Flavors'!Q:Q),[2]Sheet1!S183)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Flavors'!E:E),_xlfn.XLOOKUP("What's The First Flavor You Want? ",[1]Sheet1!$1:$1,[1]Sheet1!184:184))</f>
        <v>0</v>
      </c>
      <c r="G184" s="31">
        <f>IF(COUNTIF('Premade Flavors'!$A:$A, $C184) &gt; 0,_xlfn.XLOOKUP($C184,'Premade Flavors'!$A:$A,'Premade Flavors'!F:F),_xlfn.XLOOKUP("What's the Second Flavor You Want?",[1]Sheet1!$1:$1,[1]Sheet1!184:184))</f>
        <v>0</v>
      </c>
      <c r="H184" s="31">
        <f>IF(COUNTIF('Premade Flavors'!$A:$A, $C184) &gt; 0,_xlfn.XLOOKUP($C184,'Premade Flavors'!$A:$A,'Premade Flavors'!G:G),_xlfn.XLOOKUP("What's The First Mix In That You Want? ",[1]Sheet1!$1:$1,[1]Sheet1!184:184))</f>
        <v>0</v>
      </c>
      <c r="I184" s="31">
        <f>IF(COUNTIF('Premade Flavors'!$A:$A, $C182) &gt; 0,_xlfn.XLOOKUP($C182,'Premade Flavors'!$A:$A,'Premade Flavors'!H:H),IF([2]Sheet1!W182=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Flavors'!I:I),"Stevia"),_xlfn.XLOOKUP("What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Flavors'!M:M),_xlfn.XLOOKUP("How Strong Do You Want The First Flavor?",[1]Sheet1!$1:$1,[1]Sheet1!184:184))</f>
        <v>0</v>
      </c>
      <c r="N184" s="45">
        <f>IF(COUNTIF('Premade Flavors'!$A:$A, $C184) &gt; 0,_xlfn.XLOOKUP($C184,'Premade Flavors'!$A:$A,'Premade Flavors'!N:N),_xlfn.XLOOKUP("How Strong Do You Want The Second Flavor?",[1]Sheet1!$1:$1,[1]Sheet1!184:184))</f>
        <v>0</v>
      </c>
      <c r="O184" s="45">
        <f>IF(COUNTIF('Premade Flavors'!$A:$A, $C184) &gt; 0,_xlfn.XLOOKUP($C184,'Premade Flavors'!$A:$A,'Premade Flavors'!O:O),_xlfn.XLOOKUP("How Dense Should the Mix Ins Be?",[1]Sheet1!$1:$1,[1]Sheet1!184:184))</f>
        <v>0</v>
      </c>
      <c r="P184" s="45">
        <f>IF(COUNTIF('Premade Flavors'!$A:$A, $C184) &gt; 0,_xlfn.XLOOKUP($C184,'Premade Flavors'!$A:$A,'Premade Flavors'!P:P),_xlfn.XLOOKUP("How Much Of The First Sweetner? ",[1]Sheet1!$1:$1,[1]Sheet1!184:184))</f>
        <v>0</v>
      </c>
      <c r="Q184" s="45">
        <f>IF(COUNTIF('Premade Flavors'!$A:$A, $C184) &gt; 0,_xlfn.XLOOKUP($C184,'Premade Flavors'!$A:$A,'Premade Flavors'!Q:Q),[2]Sheet1!S184)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Flavors'!E:E),_xlfn.XLOOKUP("What's The First Flavor You Want? ",[1]Sheet1!$1:$1,[1]Sheet1!185:185))</f>
        <v>0</v>
      </c>
      <c r="G185" s="31">
        <f>IF(COUNTIF('Premade Flavors'!$A:$A, $C185) &gt; 0,_xlfn.XLOOKUP($C185,'Premade Flavors'!$A:$A,'Premade Flavors'!F:F),_xlfn.XLOOKUP("What's the Second Flavor You Want?",[1]Sheet1!$1:$1,[1]Sheet1!185:185))</f>
        <v>0</v>
      </c>
      <c r="H185" s="31">
        <f>IF(COUNTIF('Premade Flavors'!$A:$A, $C185) &gt; 0,_xlfn.XLOOKUP($C185,'Premade Flavors'!$A:$A,'Premade Flavors'!G:G),_xlfn.XLOOKUP("What's The First Mix In That You Want? ",[1]Sheet1!$1:$1,[1]Sheet1!185:185))</f>
        <v>0</v>
      </c>
      <c r="I185" s="31">
        <f>IF(COUNTIF('Premade Flavors'!$A:$A, $C183) &gt; 0,_xlfn.XLOOKUP($C183,'Premade Flavors'!$A:$A,'Premade Flavors'!H:H),IF([2]Sheet1!W183=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Flavors'!I:I),"Stevia"),_xlfn.XLOOKUP("What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Flavors'!M:M),_xlfn.XLOOKUP("How Strong Do You Want The First Flavor?",[1]Sheet1!$1:$1,[1]Sheet1!185:185))</f>
        <v>0</v>
      </c>
      <c r="N185" s="45">
        <f>IF(COUNTIF('Premade Flavors'!$A:$A, $C185) &gt; 0,_xlfn.XLOOKUP($C185,'Premade Flavors'!$A:$A,'Premade Flavors'!N:N),_xlfn.XLOOKUP("How Strong Do You Want The Second Flavor?",[1]Sheet1!$1:$1,[1]Sheet1!185:185))</f>
        <v>0</v>
      </c>
      <c r="O185" s="45">
        <f>IF(COUNTIF('Premade Flavors'!$A:$A, $C185) &gt; 0,_xlfn.XLOOKUP($C185,'Premade Flavors'!$A:$A,'Premade Flavors'!O:O),_xlfn.XLOOKUP("How Dense Should the Mix Ins Be?",[1]Sheet1!$1:$1,[1]Sheet1!185:185))</f>
        <v>0</v>
      </c>
      <c r="P185" s="45">
        <f>IF(COUNTIF('Premade Flavors'!$A:$A, $C185) &gt; 0,_xlfn.XLOOKUP($C185,'Premade Flavors'!$A:$A,'Premade Flavors'!P:P),_xlfn.XLOOKUP("How Much Of The First Sweetner? ",[1]Sheet1!$1:$1,[1]Sheet1!185:185))</f>
        <v>0</v>
      </c>
      <c r="Q185" s="45">
        <f>IF(COUNTIF('Premade Flavors'!$A:$A, $C185) &gt; 0,_xlfn.XLOOKUP($C185,'Premade Flavors'!$A:$A,'Premade Flavors'!Q:Q),[2]Sheet1!S185)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Flavors'!E:E),_xlfn.XLOOKUP("What's The First Flavor You Want? ",[1]Sheet1!$1:$1,[1]Sheet1!186:186))</f>
        <v>0</v>
      </c>
      <c r="G186" s="31">
        <f>IF(COUNTIF('Premade Flavors'!$A:$A, $C186) &gt; 0,_xlfn.XLOOKUP($C186,'Premade Flavors'!$A:$A,'Premade Flavors'!F:F),_xlfn.XLOOKUP("What's the Second Flavor You Want?",[1]Sheet1!$1:$1,[1]Sheet1!186:186))</f>
        <v>0</v>
      </c>
      <c r="H186" s="31">
        <f>IF(COUNTIF('Premade Flavors'!$A:$A, $C186) &gt; 0,_xlfn.XLOOKUP($C186,'Premade Flavors'!$A:$A,'Premade Flavors'!G:G),_xlfn.XLOOKUP("What's The First Mix In That You Want? ",[1]Sheet1!$1:$1,[1]Sheet1!186:186))</f>
        <v>0</v>
      </c>
      <c r="I186" s="31">
        <f>IF(COUNTIF('Premade Flavors'!$A:$A, $C184) &gt; 0,_xlfn.XLOOKUP($C184,'Premade Flavors'!$A:$A,'Premade Flavors'!H:H),IF([2]Sheet1!W184=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Flavors'!I:I),"Stevia"),_xlfn.XLOOKUP("What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Flavors'!M:M),_xlfn.XLOOKUP("How Strong Do You Want The First Flavor?",[1]Sheet1!$1:$1,[1]Sheet1!186:186))</f>
        <v>0</v>
      </c>
      <c r="N186" s="45">
        <f>IF(COUNTIF('Premade Flavors'!$A:$A, $C186) &gt; 0,_xlfn.XLOOKUP($C186,'Premade Flavors'!$A:$A,'Premade Flavors'!N:N),_xlfn.XLOOKUP("How Strong Do You Want The Second Flavor?",[1]Sheet1!$1:$1,[1]Sheet1!186:186))</f>
        <v>0</v>
      </c>
      <c r="O186" s="45">
        <f>IF(COUNTIF('Premade Flavors'!$A:$A, $C186) &gt; 0,_xlfn.XLOOKUP($C186,'Premade Flavors'!$A:$A,'Premade Flavors'!O:O),_xlfn.XLOOKUP("How Dense Should the Mix Ins Be?",[1]Sheet1!$1:$1,[1]Sheet1!186:186))</f>
        <v>0</v>
      </c>
      <c r="P186" s="45">
        <f>IF(COUNTIF('Premade Flavors'!$A:$A, $C186) &gt; 0,_xlfn.XLOOKUP($C186,'Premade Flavors'!$A:$A,'Premade Flavors'!P:P),_xlfn.XLOOKUP("How Much Of The First Sweetner? ",[1]Sheet1!$1:$1,[1]Sheet1!186:186))</f>
        <v>0</v>
      </c>
      <c r="Q186" s="45">
        <f>IF(COUNTIF('Premade Flavors'!$A:$A, $C186) &gt; 0,_xlfn.XLOOKUP($C186,'Premade Flavors'!$A:$A,'Premade Flavors'!Q:Q),[2]Sheet1!S186)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Flavors'!E:E),_xlfn.XLOOKUP("What's The First Flavor You Want? ",[1]Sheet1!$1:$1,[1]Sheet1!187:187))</f>
        <v>0</v>
      </c>
      <c r="G187" s="31">
        <f>IF(COUNTIF('Premade Flavors'!$A:$A, $C187) &gt; 0,_xlfn.XLOOKUP($C187,'Premade Flavors'!$A:$A,'Premade Flavors'!F:F),_xlfn.XLOOKUP("What's the Second Flavor You Want?",[1]Sheet1!$1:$1,[1]Sheet1!187:187))</f>
        <v>0</v>
      </c>
      <c r="H187" s="31">
        <f>IF(COUNTIF('Premade Flavors'!$A:$A, $C187) &gt; 0,_xlfn.XLOOKUP($C187,'Premade Flavors'!$A:$A,'Premade Flavors'!G:G),_xlfn.XLOOKUP("What's The First Mix In That You Want? ",[1]Sheet1!$1:$1,[1]Sheet1!187:187))</f>
        <v>0</v>
      </c>
      <c r="I187" s="31">
        <f>IF(COUNTIF('Premade Flavors'!$A:$A, $C185) &gt; 0,_xlfn.XLOOKUP($C185,'Premade Flavors'!$A:$A,'Premade Flavors'!H:H),IF([2]Sheet1!W185=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Flavors'!I:I),"Stevia"),_xlfn.XLOOKUP("What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Flavors'!M:M),_xlfn.XLOOKUP("How Strong Do You Want The First Flavor?",[1]Sheet1!$1:$1,[1]Sheet1!187:187))</f>
        <v>0</v>
      </c>
      <c r="N187" s="45">
        <f>IF(COUNTIF('Premade Flavors'!$A:$A, $C187) &gt; 0,_xlfn.XLOOKUP($C187,'Premade Flavors'!$A:$A,'Premade Flavors'!N:N),_xlfn.XLOOKUP("How Strong Do You Want The Second Flavor?",[1]Sheet1!$1:$1,[1]Sheet1!187:187))</f>
        <v>0</v>
      </c>
      <c r="O187" s="45">
        <f>IF(COUNTIF('Premade Flavors'!$A:$A, $C187) &gt; 0,_xlfn.XLOOKUP($C187,'Premade Flavors'!$A:$A,'Premade Flavors'!O:O),_xlfn.XLOOKUP("How Dense Should the Mix Ins Be?",[1]Sheet1!$1:$1,[1]Sheet1!187:187))</f>
        <v>0</v>
      </c>
      <c r="P187" s="45">
        <f>IF(COUNTIF('Premade Flavors'!$A:$A, $C187) &gt; 0,_xlfn.XLOOKUP($C187,'Premade Flavors'!$A:$A,'Premade Flavors'!P:P),_xlfn.XLOOKUP("How Much Of The First Sweetner? ",[1]Sheet1!$1:$1,[1]Sheet1!187:187))</f>
        <v>0</v>
      </c>
      <c r="Q187" s="45">
        <f>IF(COUNTIF('Premade Flavors'!$A:$A, $C187) &gt; 0,_xlfn.XLOOKUP($C187,'Premade Flavors'!$A:$A,'Premade Flavors'!Q:Q),[2]Sheet1!S187)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Flavors'!E:E),_xlfn.XLOOKUP("What's The First Flavor You Want? ",[1]Sheet1!$1:$1,[1]Sheet1!188:188))</f>
        <v>0</v>
      </c>
      <c r="G188" s="31">
        <f>IF(COUNTIF('Premade Flavors'!$A:$A, $C188) &gt; 0,_xlfn.XLOOKUP($C188,'Premade Flavors'!$A:$A,'Premade Flavors'!F:F),_xlfn.XLOOKUP("What's the Second Flavor You Want?",[1]Sheet1!$1:$1,[1]Sheet1!188:188))</f>
        <v>0</v>
      </c>
      <c r="H188" s="31">
        <f>IF(COUNTIF('Premade Flavors'!$A:$A, $C188) &gt; 0,_xlfn.XLOOKUP($C188,'Premade Flavors'!$A:$A,'Premade Flavors'!G:G),_xlfn.XLOOKUP("What's The First Mix In That You Want? ",[1]Sheet1!$1:$1,[1]Sheet1!188:188))</f>
        <v>0</v>
      </c>
      <c r="I188" s="31">
        <f>IF(COUNTIF('Premade Flavors'!$A:$A, $C186) &gt; 0,_xlfn.XLOOKUP($C186,'Premade Flavors'!$A:$A,'Premade Flavors'!H:H),IF([2]Sheet1!W186=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Flavors'!I:I),"Stevia"),_xlfn.XLOOKUP("What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Flavors'!M:M),_xlfn.XLOOKUP("How Strong Do You Want The First Flavor?",[1]Sheet1!$1:$1,[1]Sheet1!188:188))</f>
        <v>0</v>
      </c>
      <c r="N188" s="45">
        <f>IF(COUNTIF('Premade Flavors'!$A:$A, $C188) &gt; 0,_xlfn.XLOOKUP($C188,'Premade Flavors'!$A:$A,'Premade Flavors'!N:N),_xlfn.XLOOKUP("How Strong Do You Want The Second Flavor?",[1]Sheet1!$1:$1,[1]Sheet1!188:188))</f>
        <v>0</v>
      </c>
      <c r="O188" s="45">
        <f>IF(COUNTIF('Premade Flavors'!$A:$A, $C188) &gt; 0,_xlfn.XLOOKUP($C188,'Premade Flavors'!$A:$A,'Premade Flavors'!O:O),_xlfn.XLOOKUP("How Dense Should the Mix Ins Be?",[1]Sheet1!$1:$1,[1]Sheet1!188:188))</f>
        <v>0</v>
      </c>
      <c r="P188" s="45">
        <f>IF(COUNTIF('Premade Flavors'!$A:$A, $C188) &gt; 0,_xlfn.XLOOKUP($C188,'Premade Flavors'!$A:$A,'Premade Flavors'!P:P),_xlfn.XLOOKUP("How Much Of The First Sweetner? ",[1]Sheet1!$1:$1,[1]Sheet1!188:188))</f>
        <v>0</v>
      </c>
      <c r="Q188" s="45">
        <f>IF(COUNTIF('Premade Flavors'!$A:$A, $C188) &gt; 0,_xlfn.XLOOKUP($C188,'Premade Flavors'!$A:$A,'Premade Flavors'!Q:Q),[2]Sheet1!S188)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Flavors'!E:E),_xlfn.XLOOKUP("What's The First Flavor You Want? ",[1]Sheet1!$1:$1,[1]Sheet1!189:189))</f>
        <v>0</v>
      </c>
      <c r="G189" s="31">
        <f>IF(COUNTIF('Premade Flavors'!$A:$A, $C189) &gt; 0,_xlfn.XLOOKUP($C189,'Premade Flavors'!$A:$A,'Premade Flavors'!F:F),_xlfn.XLOOKUP("What's the Second Flavor You Want?",[1]Sheet1!$1:$1,[1]Sheet1!189:189))</f>
        <v>0</v>
      </c>
      <c r="H189" s="31">
        <f>IF(COUNTIF('Premade Flavors'!$A:$A, $C189) &gt; 0,_xlfn.XLOOKUP($C189,'Premade Flavors'!$A:$A,'Premade Flavors'!G:G),_xlfn.XLOOKUP("What's The First Mix In That You Want? ",[1]Sheet1!$1:$1,[1]Sheet1!189:189))</f>
        <v>0</v>
      </c>
      <c r="I189" s="31">
        <f>IF(COUNTIF('Premade Flavors'!$A:$A, $C187) &gt; 0,_xlfn.XLOOKUP($C187,'Premade Flavors'!$A:$A,'Premade Flavors'!H:H),IF([2]Sheet1!W187=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Flavors'!I:I),"Stevia"),_xlfn.XLOOKUP("What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Flavors'!M:M),_xlfn.XLOOKUP("How Strong Do You Want The First Flavor?",[1]Sheet1!$1:$1,[1]Sheet1!189:189))</f>
        <v>0</v>
      </c>
      <c r="N189" s="45">
        <f>IF(COUNTIF('Premade Flavors'!$A:$A, $C189) &gt; 0,_xlfn.XLOOKUP($C189,'Premade Flavors'!$A:$A,'Premade Flavors'!N:N),_xlfn.XLOOKUP("How Strong Do You Want The Second Flavor?",[1]Sheet1!$1:$1,[1]Sheet1!189:189))</f>
        <v>0</v>
      </c>
      <c r="O189" s="45">
        <f>IF(COUNTIF('Premade Flavors'!$A:$A, $C189) &gt; 0,_xlfn.XLOOKUP($C189,'Premade Flavors'!$A:$A,'Premade Flavors'!O:O),_xlfn.XLOOKUP("How Dense Should the Mix Ins Be?",[1]Sheet1!$1:$1,[1]Sheet1!189:189))</f>
        <v>0</v>
      </c>
      <c r="P189" s="45">
        <f>IF(COUNTIF('Premade Flavors'!$A:$A, $C189) &gt; 0,_xlfn.XLOOKUP($C189,'Premade Flavors'!$A:$A,'Premade Flavors'!P:P),_xlfn.XLOOKUP("How Much Of The First Sweetner? ",[1]Sheet1!$1:$1,[1]Sheet1!189:189))</f>
        <v>0</v>
      </c>
      <c r="Q189" s="45">
        <f>IF(COUNTIF('Premade Flavors'!$A:$A, $C189) &gt; 0,_xlfn.XLOOKUP($C189,'Premade Flavors'!$A:$A,'Premade Flavors'!Q:Q),[2]Sheet1!S189)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Flavors'!E:E),_xlfn.XLOOKUP("What's The First Flavor You Want? ",[1]Sheet1!$1:$1,[1]Sheet1!190:190))</f>
        <v>0</v>
      </c>
      <c r="G190" s="31">
        <f>IF(COUNTIF('Premade Flavors'!$A:$A, $C190) &gt; 0,_xlfn.XLOOKUP($C190,'Premade Flavors'!$A:$A,'Premade Flavors'!F:F),_xlfn.XLOOKUP("What's the Second Flavor You Want?",[1]Sheet1!$1:$1,[1]Sheet1!190:190))</f>
        <v>0</v>
      </c>
      <c r="H190" s="31">
        <f>IF(COUNTIF('Premade Flavors'!$A:$A, $C190) &gt; 0,_xlfn.XLOOKUP($C190,'Premade Flavors'!$A:$A,'Premade Flavors'!G:G),_xlfn.XLOOKUP("What's The First Mix In That You Want? ",[1]Sheet1!$1:$1,[1]Sheet1!190:190))</f>
        <v>0</v>
      </c>
      <c r="I190" s="31">
        <f>IF(COUNTIF('Premade Flavors'!$A:$A, $C188) &gt; 0,_xlfn.XLOOKUP($C188,'Premade Flavors'!$A:$A,'Premade Flavors'!H:H),IF([2]Sheet1!W188=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Flavors'!I:I),"Stevia"),_xlfn.XLOOKUP("What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Flavors'!M:M),_xlfn.XLOOKUP("How Strong Do You Want The First Flavor?",[1]Sheet1!$1:$1,[1]Sheet1!190:190))</f>
        <v>0</v>
      </c>
      <c r="N190" s="45">
        <f>IF(COUNTIF('Premade Flavors'!$A:$A, $C190) &gt; 0,_xlfn.XLOOKUP($C190,'Premade Flavors'!$A:$A,'Premade Flavors'!N:N),_xlfn.XLOOKUP("How Strong Do You Want The Second Flavor?",[1]Sheet1!$1:$1,[1]Sheet1!190:190))</f>
        <v>0</v>
      </c>
      <c r="O190" s="45">
        <f>IF(COUNTIF('Premade Flavors'!$A:$A, $C190) &gt; 0,_xlfn.XLOOKUP($C190,'Premade Flavors'!$A:$A,'Premade Flavors'!O:O),_xlfn.XLOOKUP("How Dense Should the Mix Ins Be?",[1]Sheet1!$1:$1,[1]Sheet1!190:190))</f>
        <v>0</v>
      </c>
      <c r="P190" s="45">
        <f>IF(COUNTIF('Premade Flavors'!$A:$A, $C190) &gt; 0,_xlfn.XLOOKUP($C190,'Premade Flavors'!$A:$A,'Premade Flavors'!P:P),_xlfn.XLOOKUP("How Much Of The First Sweetner? ",[1]Sheet1!$1:$1,[1]Sheet1!190:190))</f>
        <v>0</v>
      </c>
      <c r="Q190" s="45">
        <f>IF(COUNTIF('Premade Flavors'!$A:$A, $C190) &gt; 0,_xlfn.XLOOKUP($C190,'Premade Flavors'!$A:$A,'Premade Flavors'!Q:Q),[2]Sheet1!S190)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Flavors'!E:E),_xlfn.XLOOKUP("What's The First Flavor You Want? ",[1]Sheet1!$1:$1,[1]Sheet1!191:191))</f>
        <v>0</v>
      </c>
      <c r="G191" s="31">
        <f>IF(COUNTIF('Premade Flavors'!$A:$A, $C191) &gt; 0,_xlfn.XLOOKUP($C191,'Premade Flavors'!$A:$A,'Premade Flavors'!F:F),_xlfn.XLOOKUP("What's the Second Flavor You Want?",[1]Sheet1!$1:$1,[1]Sheet1!191:191))</f>
        <v>0</v>
      </c>
      <c r="H191" s="31">
        <f>IF(COUNTIF('Premade Flavors'!$A:$A, $C191) &gt; 0,_xlfn.XLOOKUP($C191,'Premade Flavors'!$A:$A,'Premade Flavors'!G:G),_xlfn.XLOOKUP("What's The First Mix In That You Want? ",[1]Sheet1!$1:$1,[1]Sheet1!191:191))</f>
        <v>0</v>
      </c>
      <c r="I191" s="31">
        <f>IF(COUNTIF('Premade Flavors'!$A:$A, $C189) &gt; 0,_xlfn.XLOOKUP($C189,'Premade Flavors'!$A:$A,'Premade Flavors'!H:H),IF([2]Sheet1!W189=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Flavors'!I:I),"Stevia"),_xlfn.XLOOKUP("What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Flavors'!M:M),_xlfn.XLOOKUP("How Strong Do You Want The First Flavor?",[1]Sheet1!$1:$1,[1]Sheet1!191:191))</f>
        <v>0</v>
      </c>
      <c r="N191" s="45">
        <f>IF(COUNTIF('Premade Flavors'!$A:$A, $C191) &gt; 0,_xlfn.XLOOKUP($C191,'Premade Flavors'!$A:$A,'Premade Flavors'!N:N),_xlfn.XLOOKUP("How Strong Do You Want The Second Flavor?",[1]Sheet1!$1:$1,[1]Sheet1!191:191))</f>
        <v>0</v>
      </c>
      <c r="O191" s="45">
        <f>IF(COUNTIF('Premade Flavors'!$A:$A, $C191) &gt; 0,_xlfn.XLOOKUP($C191,'Premade Flavors'!$A:$A,'Premade Flavors'!O:O),_xlfn.XLOOKUP("How Dense Should the Mix Ins Be?",[1]Sheet1!$1:$1,[1]Sheet1!191:191))</f>
        <v>0</v>
      </c>
      <c r="P191" s="45">
        <f>IF(COUNTIF('Premade Flavors'!$A:$A, $C191) &gt; 0,_xlfn.XLOOKUP($C191,'Premade Flavors'!$A:$A,'Premade Flavors'!P:P),_xlfn.XLOOKUP("How Much Of The First Sweetner? ",[1]Sheet1!$1:$1,[1]Sheet1!191:191))</f>
        <v>0</v>
      </c>
      <c r="Q191" s="45">
        <f>IF(COUNTIF('Premade Flavors'!$A:$A, $C191) &gt; 0,_xlfn.XLOOKUP($C191,'Premade Flavors'!$A:$A,'Premade Flavors'!Q:Q),[2]Sheet1!S191)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Flavors'!E:E),_xlfn.XLOOKUP("What's The First Flavor You Want? ",[1]Sheet1!$1:$1,[1]Sheet1!192:192))</f>
        <v>0</v>
      </c>
      <c r="G192" s="31">
        <f>IF(COUNTIF('Premade Flavors'!$A:$A, $C192) &gt; 0,_xlfn.XLOOKUP($C192,'Premade Flavors'!$A:$A,'Premade Flavors'!F:F),_xlfn.XLOOKUP("What's the Second Flavor You Want?",[1]Sheet1!$1:$1,[1]Sheet1!192:192))</f>
        <v>0</v>
      </c>
      <c r="H192" s="31">
        <f>IF(COUNTIF('Premade Flavors'!$A:$A, $C192) &gt; 0,_xlfn.XLOOKUP($C192,'Premade Flavors'!$A:$A,'Premade Flavors'!G:G),_xlfn.XLOOKUP("What's The First Mix In That You Want? ",[1]Sheet1!$1:$1,[1]Sheet1!192:192))</f>
        <v>0</v>
      </c>
      <c r="I192" s="31">
        <f>IF(COUNTIF('Premade Flavors'!$A:$A, $C190) &gt; 0,_xlfn.XLOOKUP($C190,'Premade Flavors'!$A:$A,'Premade Flavors'!H:H),IF([2]Sheet1!W190=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Flavors'!I:I),"Stevia"),_xlfn.XLOOKUP("What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Flavors'!M:M),_xlfn.XLOOKUP("How Strong Do You Want The First Flavor?",[1]Sheet1!$1:$1,[1]Sheet1!192:192))</f>
        <v>0</v>
      </c>
      <c r="N192" s="45">
        <f>IF(COUNTIF('Premade Flavors'!$A:$A, $C192) &gt; 0,_xlfn.XLOOKUP($C192,'Premade Flavors'!$A:$A,'Premade Flavors'!N:N),_xlfn.XLOOKUP("How Strong Do You Want The Second Flavor?",[1]Sheet1!$1:$1,[1]Sheet1!192:192))</f>
        <v>0</v>
      </c>
      <c r="O192" s="45">
        <f>IF(COUNTIF('Premade Flavors'!$A:$A, $C192) &gt; 0,_xlfn.XLOOKUP($C192,'Premade Flavors'!$A:$A,'Premade Flavors'!O:O),_xlfn.XLOOKUP("How Dense Should the Mix Ins Be?",[1]Sheet1!$1:$1,[1]Sheet1!192:192))</f>
        <v>0</v>
      </c>
      <c r="P192" s="45">
        <f>IF(COUNTIF('Premade Flavors'!$A:$A, $C192) &gt; 0,_xlfn.XLOOKUP($C192,'Premade Flavors'!$A:$A,'Premade Flavors'!P:P),_xlfn.XLOOKUP("How Much Of The First Sweetner? ",[1]Sheet1!$1:$1,[1]Sheet1!192:192))</f>
        <v>0</v>
      </c>
      <c r="Q192" s="45">
        <f>IF(COUNTIF('Premade Flavors'!$A:$A, $C192) &gt; 0,_xlfn.XLOOKUP($C192,'Premade Flavors'!$A:$A,'Premade Flavors'!Q:Q),[2]Sheet1!S192)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Flavors'!E:E),_xlfn.XLOOKUP("What's The First Flavor You Want? ",[1]Sheet1!$1:$1,[1]Sheet1!193:193))</f>
        <v>0</v>
      </c>
      <c r="G193" s="31">
        <f>IF(COUNTIF('Premade Flavors'!$A:$A, $C193) &gt; 0,_xlfn.XLOOKUP($C193,'Premade Flavors'!$A:$A,'Premade Flavors'!F:F),_xlfn.XLOOKUP("What's the Second Flavor You Want?",[1]Sheet1!$1:$1,[1]Sheet1!193:193))</f>
        <v>0</v>
      </c>
      <c r="H193" s="31">
        <f>IF(COUNTIF('Premade Flavors'!$A:$A, $C193) &gt; 0,_xlfn.XLOOKUP($C193,'Premade Flavors'!$A:$A,'Premade Flavors'!G:G),_xlfn.XLOOKUP("What's The First Mix In That You Want? ",[1]Sheet1!$1:$1,[1]Sheet1!193:193))</f>
        <v>0</v>
      </c>
      <c r="I193" s="31">
        <f>IF(COUNTIF('Premade Flavors'!$A:$A, $C191) &gt; 0,_xlfn.XLOOKUP($C191,'Premade Flavors'!$A:$A,'Premade Flavors'!H:H),IF([2]Sheet1!W191=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Flavors'!I:I),"Stevia"),_xlfn.XLOOKUP("What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Flavors'!M:M),_xlfn.XLOOKUP("How Strong Do You Want The First Flavor?",[1]Sheet1!$1:$1,[1]Sheet1!193:193))</f>
        <v>0</v>
      </c>
      <c r="N193" s="45">
        <f>IF(COUNTIF('Premade Flavors'!$A:$A, $C193) &gt; 0,_xlfn.XLOOKUP($C193,'Premade Flavors'!$A:$A,'Premade Flavors'!N:N),_xlfn.XLOOKUP("How Strong Do You Want The Second Flavor?",[1]Sheet1!$1:$1,[1]Sheet1!193:193))</f>
        <v>0</v>
      </c>
      <c r="O193" s="45">
        <f>IF(COUNTIF('Premade Flavors'!$A:$A, $C193) &gt; 0,_xlfn.XLOOKUP($C193,'Premade Flavors'!$A:$A,'Premade Flavors'!O:O),_xlfn.XLOOKUP("How Dense Should the Mix Ins Be?",[1]Sheet1!$1:$1,[1]Sheet1!193:193))</f>
        <v>0</v>
      </c>
      <c r="P193" s="45">
        <f>IF(COUNTIF('Premade Flavors'!$A:$A, $C193) &gt; 0,_xlfn.XLOOKUP($C193,'Premade Flavors'!$A:$A,'Premade Flavors'!P:P),_xlfn.XLOOKUP("How Much Of The First Sweetner? ",[1]Sheet1!$1:$1,[1]Sheet1!193:193))</f>
        <v>0</v>
      </c>
      <c r="Q193" s="45">
        <f>IF(COUNTIF('Premade Flavors'!$A:$A, $C193) &gt; 0,_xlfn.XLOOKUP($C193,'Premade Flavors'!$A:$A,'Premade Flavors'!Q:Q),[2]Sheet1!S193)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Flavors'!E:E),_xlfn.XLOOKUP("What's The First Flavor You Want? ",[1]Sheet1!$1:$1,[1]Sheet1!194:194))</f>
        <v>0</v>
      </c>
      <c r="G194" s="31">
        <f>IF(COUNTIF('Premade Flavors'!$A:$A, $C194) &gt; 0,_xlfn.XLOOKUP($C194,'Premade Flavors'!$A:$A,'Premade Flavors'!F:F),_xlfn.XLOOKUP("What's the Second Flavor You Want?",[1]Sheet1!$1:$1,[1]Sheet1!194:194))</f>
        <v>0</v>
      </c>
      <c r="H194" s="31">
        <f>IF(COUNTIF('Premade Flavors'!$A:$A, $C194) &gt; 0,_xlfn.XLOOKUP($C194,'Premade Flavors'!$A:$A,'Premade Flavors'!G:G),_xlfn.XLOOKUP("What's The First Mix In That You Want? ",[1]Sheet1!$1:$1,[1]Sheet1!194:194))</f>
        <v>0</v>
      </c>
      <c r="I194" s="31">
        <f>IF(COUNTIF('Premade Flavors'!$A:$A, $C192) &gt; 0,_xlfn.XLOOKUP($C192,'Premade Flavors'!$A:$A,'Premade Flavors'!H:H),IF([2]Sheet1!W192=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Flavors'!I:I),"Stevia"),_xlfn.XLOOKUP("What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Flavors'!M:M),_xlfn.XLOOKUP("How Strong Do You Want The First Flavor?",[1]Sheet1!$1:$1,[1]Sheet1!194:194))</f>
        <v>0</v>
      </c>
      <c r="N194" s="45">
        <f>IF(COUNTIF('Premade Flavors'!$A:$A, $C194) &gt; 0,_xlfn.XLOOKUP($C194,'Premade Flavors'!$A:$A,'Premade Flavors'!N:N),_xlfn.XLOOKUP("How Strong Do You Want The Second Flavor?",[1]Sheet1!$1:$1,[1]Sheet1!194:194))</f>
        <v>0</v>
      </c>
      <c r="O194" s="45">
        <f>IF(COUNTIF('Premade Flavors'!$A:$A, $C194) &gt; 0,_xlfn.XLOOKUP($C194,'Premade Flavors'!$A:$A,'Premade Flavors'!O:O),_xlfn.XLOOKUP("How Dense Should the Mix Ins Be?",[1]Sheet1!$1:$1,[1]Sheet1!194:194))</f>
        <v>0</v>
      </c>
      <c r="P194" s="45">
        <f>IF(COUNTIF('Premade Flavors'!$A:$A, $C194) &gt; 0,_xlfn.XLOOKUP($C194,'Premade Flavors'!$A:$A,'Premade Flavors'!P:P),_xlfn.XLOOKUP("How Much Of The First Sweetner? ",[1]Sheet1!$1:$1,[1]Sheet1!194:194))</f>
        <v>0</v>
      </c>
      <c r="Q194" s="45">
        <f>IF(COUNTIF('Premade Flavors'!$A:$A, $C194) &gt; 0,_xlfn.XLOOKUP($C194,'Premade Flavors'!$A:$A,'Premade Flavors'!Q:Q),[2]Sheet1!S194)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Flavors'!E:E),_xlfn.XLOOKUP("What's The First Flavor You Want? ",[1]Sheet1!$1:$1,[1]Sheet1!195:195))</f>
        <v>0</v>
      </c>
      <c r="G195" s="31">
        <f>IF(COUNTIF('Premade Flavors'!$A:$A, $C195) &gt; 0,_xlfn.XLOOKUP($C195,'Premade Flavors'!$A:$A,'Premade Flavors'!F:F),_xlfn.XLOOKUP("What's the Second Flavor You Want?",[1]Sheet1!$1:$1,[1]Sheet1!195:195))</f>
        <v>0</v>
      </c>
      <c r="H195" s="31">
        <f>IF(COUNTIF('Premade Flavors'!$A:$A, $C195) &gt; 0,_xlfn.XLOOKUP($C195,'Premade Flavors'!$A:$A,'Premade Flavors'!G:G),_xlfn.XLOOKUP("What's The First Mix In That You Want? ",[1]Sheet1!$1:$1,[1]Sheet1!195:195))</f>
        <v>0</v>
      </c>
      <c r="I195" s="31">
        <f>IF(COUNTIF('Premade Flavors'!$A:$A, $C193) &gt; 0,_xlfn.XLOOKUP($C193,'Premade Flavors'!$A:$A,'Premade Flavors'!H:H),IF([2]Sheet1!W193=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Flavors'!I:I),"Stevia"),_xlfn.XLOOKUP("What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Flavors'!M:M),_xlfn.XLOOKUP("How Strong Do You Want The First Flavor?",[1]Sheet1!$1:$1,[1]Sheet1!195:195))</f>
        <v>0</v>
      </c>
      <c r="N195" s="45">
        <f>IF(COUNTIF('Premade Flavors'!$A:$A, $C195) &gt; 0,_xlfn.XLOOKUP($C195,'Premade Flavors'!$A:$A,'Premade Flavors'!N:N),_xlfn.XLOOKUP("How Strong Do You Want The Second Flavor?",[1]Sheet1!$1:$1,[1]Sheet1!195:195))</f>
        <v>0</v>
      </c>
      <c r="O195" s="45">
        <f>IF(COUNTIF('Premade Flavors'!$A:$A, $C195) &gt; 0,_xlfn.XLOOKUP($C195,'Premade Flavors'!$A:$A,'Premade Flavors'!O:O),_xlfn.XLOOKUP("How Dense Should the Mix Ins Be?",[1]Sheet1!$1:$1,[1]Sheet1!195:195))</f>
        <v>0</v>
      </c>
      <c r="P195" s="45">
        <f>IF(COUNTIF('Premade Flavors'!$A:$A, $C195) &gt; 0,_xlfn.XLOOKUP($C195,'Premade Flavors'!$A:$A,'Premade Flavors'!P:P),_xlfn.XLOOKUP("How Much Of The First Sweetner? ",[1]Sheet1!$1:$1,[1]Sheet1!195:195))</f>
        <v>0</v>
      </c>
      <c r="Q195" s="45">
        <f>IF(COUNTIF('Premade Flavors'!$A:$A, $C195) &gt; 0,_xlfn.XLOOKUP($C195,'Premade Flavors'!$A:$A,'Premade Flavors'!Q:Q),[2]Sheet1!S195)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Flavors'!E:E),_xlfn.XLOOKUP("What's The First Flavor You Want? ",[1]Sheet1!$1:$1,[1]Sheet1!196:196))</f>
        <v>0</v>
      </c>
      <c r="G196" s="31">
        <f>IF(COUNTIF('Premade Flavors'!$A:$A, $C196) &gt; 0,_xlfn.XLOOKUP($C196,'Premade Flavors'!$A:$A,'Premade Flavors'!F:F),_xlfn.XLOOKUP("What's the Second Flavor You Want?",[1]Sheet1!$1:$1,[1]Sheet1!196:196))</f>
        <v>0</v>
      </c>
      <c r="H196" s="31">
        <f>IF(COUNTIF('Premade Flavors'!$A:$A, $C196) &gt; 0,_xlfn.XLOOKUP($C196,'Premade Flavors'!$A:$A,'Premade Flavors'!G:G),_xlfn.XLOOKUP("What's The First Mix In That You Want? ",[1]Sheet1!$1:$1,[1]Sheet1!196:196))</f>
        <v>0</v>
      </c>
      <c r="I196" s="31">
        <f>IF(COUNTIF('Premade Flavors'!$A:$A, $C194) &gt; 0,_xlfn.XLOOKUP($C194,'Premade Flavors'!$A:$A,'Premade Flavors'!H:H),IF([2]Sheet1!W194=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Flavors'!I:I),"Stevia"),_xlfn.XLOOKUP("What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Flavors'!M:M),_xlfn.XLOOKUP("How Strong Do You Want The First Flavor?",[1]Sheet1!$1:$1,[1]Sheet1!196:196))</f>
        <v>0</v>
      </c>
      <c r="N196" s="45">
        <f>IF(COUNTIF('Premade Flavors'!$A:$A, $C196) &gt; 0,_xlfn.XLOOKUP($C196,'Premade Flavors'!$A:$A,'Premade Flavors'!N:N),_xlfn.XLOOKUP("How Strong Do You Want The Second Flavor?",[1]Sheet1!$1:$1,[1]Sheet1!196:196))</f>
        <v>0</v>
      </c>
      <c r="O196" s="45">
        <f>IF(COUNTIF('Premade Flavors'!$A:$A, $C196) &gt; 0,_xlfn.XLOOKUP($C196,'Premade Flavors'!$A:$A,'Premade Flavors'!O:O),_xlfn.XLOOKUP("How Dense Should the Mix Ins Be?",[1]Sheet1!$1:$1,[1]Sheet1!196:196))</f>
        <v>0</v>
      </c>
      <c r="P196" s="45">
        <f>IF(COUNTIF('Premade Flavors'!$A:$A, $C196) &gt; 0,_xlfn.XLOOKUP($C196,'Premade Flavors'!$A:$A,'Premade Flavors'!P:P),_xlfn.XLOOKUP("How Much Of The First Sweetner? ",[1]Sheet1!$1:$1,[1]Sheet1!196:196))</f>
        <v>0</v>
      </c>
      <c r="Q196" s="45">
        <f>IF(COUNTIF('Premade Flavors'!$A:$A, $C196) &gt; 0,_xlfn.XLOOKUP($C196,'Premade Flavors'!$A:$A,'Premade Flavors'!Q:Q),[2]Sheet1!S196)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Flavors'!E:E),_xlfn.XLOOKUP("What's The First Flavor You Want? ",[1]Sheet1!$1:$1,[1]Sheet1!197:197))</f>
        <v>0</v>
      </c>
      <c r="G197" s="31">
        <f>IF(COUNTIF('Premade Flavors'!$A:$A, $C197) &gt; 0,_xlfn.XLOOKUP($C197,'Premade Flavors'!$A:$A,'Premade Flavors'!F:F),_xlfn.XLOOKUP("What's the Second Flavor You Want?",[1]Sheet1!$1:$1,[1]Sheet1!197:197))</f>
        <v>0</v>
      </c>
      <c r="H197" s="31">
        <f>IF(COUNTIF('Premade Flavors'!$A:$A, $C197) &gt; 0,_xlfn.XLOOKUP($C197,'Premade Flavors'!$A:$A,'Premade Flavors'!G:G),_xlfn.XLOOKUP("What's The First Mix In That You Want? ",[1]Sheet1!$1:$1,[1]Sheet1!197:197))</f>
        <v>0</v>
      </c>
      <c r="I197" s="31">
        <f>IF(COUNTIF('Premade Flavors'!$A:$A, $C195) &gt; 0,_xlfn.XLOOKUP($C195,'Premade Flavors'!$A:$A,'Premade Flavors'!H:H),IF([2]Sheet1!W195=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Flavors'!I:I),"Stevia"),_xlfn.XLOOKUP("What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Flavors'!M:M),_xlfn.XLOOKUP("How Strong Do You Want The First Flavor?",[1]Sheet1!$1:$1,[1]Sheet1!197:197))</f>
        <v>0</v>
      </c>
      <c r="N197" s="45">
        <f>IF(COUNTIF('Premade Flavors'!$A:$A, $C197) &gt; 0,_xlfn.XLOOKUP($C197,'Premade Flavors'!$A:$A,'Premade Flavors'!N:N),_xlfn.XLOOKUP("How Strong Do You Want The Second Flavor?",[1]Sheet1!$1:$1,[1]Sheet1!197:197))</f>
        <v>0</v>
      </c>
      <c r="O197" s="45">
        <f>IF(COUNTIF('Premade Flavors'!$A:$A, $C197) &gt; 0,_xlfn.XLOOKUP($C197,'Premade Flavors'!$A:$A,'Premade Flavors'!O:O),_xlfn.XLOOKUP("How Dense Should the Mix Ins Be?",[1]Sheet1!$1:$1,[1]Sheet1!197:197))</f>
        <v>0</v>
      </c>
      <c r="P197" s="45">
        <f>IF(COUNTIF('Premade Flavors'!$A:$A, $C197) &gt; 0,_xlfn.XLOOKUP($C197,'Premade Flavors'!$A:$A,'Premade Flavors'!P:P),_xlfn.XLOOKUP("How Much Of The First Sweetner? ",[1]Sheet1!$1:$1,[1]Sheet1!197:197))</f>
        <v>0</v>
      </c>
      <c r="Q197" s="45">
        <f>IF(COUNTIF('Premade Flavors'!$A:$A, $C197) &gt; 0,_xlfn.XLOOKUP($C197,'Premade Flavors'!$A:$A,'Premade Flavors'!Q:Q),[2]Sheet1!S197)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Flavors'!E:E),_xlfn.XLOOKUP("What's The First Flavor You Want? ",[1]Sheet1!$1:$1,[1]Sheet1!198:198))</f>
        <v>0</v>
      </c>
      <c r="G198" s="31">
        <f>IF(COUNTIF('Premade Flavors'!$A:$A, $C198) &gt; 0,_xlfn.XLOOKUP($C198,'Premade Flavors'!$A:$A,'Premade Flavors'!F:F),_xlfn.XLOOKUP("What's the Second Flavor You Want?",[1]Sheet1!$1:$1,[1]Sheet1!198:198))</f>
        <v>0</v>
      </c>
      <c r="H198" s="31">
        <f>IF(COUNTIF('Premade Flavors'!$A:$A, $C198) &gt; 0,_xlfn.XLOOKUP($C198,'Premade Flavors'!$A:$A,'Premade Flavors'!G:G),_xlfn.XLOOKUP("What's The First Mix In That You Want? ",[1]Sheet1!$1:$1,[1]Sheet1!198:198))</f>
        <v>0</v>
      </c>
      <c r="I198" s="31">
        <f>IF(COUNTIF('Premade Flavors'!$A:$A, $C196) &gt; 0,_xlfn.XLOOKUP($C196,'Premade Flavors'!$A:$A,'Premade Flavors'!H:H),IF([2]Sheet1!W196=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Flavors'!I:I),"Stevia"),_xlfn.XLOOKUP("What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Flavors'!M:M),_xlfn.XLOOKUP("How Strong Do You Want The First Flavor?",[1]Sheet1!$1:$1,[1]Sheet1!198:198))</f>
        <v>0</v>
      </c>
      <c r="N198" s="45">
        <f>IF(COUNTIF('Premade Flavors'!$A:$A, $C198) &gt; 0,_xlfn.XLOOKUP($C198,'Premade Flavors'!$A:$A,'Premade Flavors'!N:N),_xlfn.XLOOKUP("How Strong Do You Want The Second Flavor?",[1]Sheet1!$1:$1,[1]Sheet1!198:198))</f>
        <v>0</v>
      </c>
      <c r="O198" s="45">
        <f>IF(COUNTIF('Premade Flavors'!$A:$A, $C198) &gt; 0,_xlfn.XLOOKUP($C198,'Premade Flavors'!$A:$A,'Premade Flavors'!O:O),_xlfn.XLOOKUP("How Dense Should the Mix Ins Be?",[1]Sheet1!$1:$1,[1]Sheet1!198:198))</f>
        <v>0</v>
      </c>
      <c r="P198" s="45">
        <f>IF(COUNTIF('Premade Flavors'!$A:$A, $C198) &gt; 0,_xlfn.XLOOKUP($C198,'Premade Flavors'!$A:$A,'Premade Flavors'!P:P),_xlfn.XLOOKUP("How Much Of The First Sweetner? ",[1]Sheet1!$1:$1,[1]Sheet1!198:198))</f>
        <v>0</v>
      </c>
      <c r="Q198" s="45">
        <f>IF(COUNTIF('Premade Flavors'!$A:$A, $C198) &gt; 0,_xlfn.XLOOKUP($C198,'Premade Flavors'!$A:$A,'Premade Flavors'!Q:Q),[2]Sheet1!S198)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Flavors'!E:E),_xlfn.XLOOKUP("What's The First Flavor You Want? ",[1]Sheet1!$1:$1,[1]Sheet1!199:199))</f>
        <v>0</v>
      </c>
      <c r="G199" s="31">
        <f>IF(COUNTIF('Premade Flavors'!$A:$A, $C199) &gt; 0,_xlfn.XLOOKUP($C199,'Premade Flavors'!$A:$A,'Premade Flavors'!F:F),_xlfn.XLOOKUP("What's the Second Flavor You Want?",[1]Sheet1!$1:$1,[1]Sheet1!199:199))</f>
        <v>0</v>
      </c>
      <c r="H199" s="31">
        <f>IF(COUNTIF('Premade Flavors'!$A:$A, $C199) &gt; 0,_xlfn.XLOOKUP($C199,'Premade Flavors'!$A:$A,'Premade Flavors'!G:G),_xlfn.XLOOKUP("What's The First Mix In That You Want? ",[1]Sheet1!$1:$1,[1]Sheet1!199:199))</f>
        <v>0</v>
      </c>
      <c r="I199" s="31">
        <f>IF(COUNTIF('Premade Flavors'!$A:$A, $C197) &gt; 0,_xlfn.XLOOKUP($C197,'Premade Flavors'!$A:$A,'Premade Flavors'!H:H),IF([2]Sheet1!W197=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Flavors'!I:I),"Stevia"),_xlfn.XLOOKUP("What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Flavors'!M:M),_xlfn.XLOOKUP("How Strong Do You Want The First Flavor?",[1]Sheet1!$1:$1,[1]Sheet1!199:199))</f>
        <v>0</v>
      </c>
      <c r="N199" s="45">
        <f>IF(COUNTIF('Premade Flavors'!$A:$A, $C199) &gt; 0,_xlfn.XLOOKUP($C199,'Premade Flavors'!$A:$A,'Premade Flavors'!N:N),_xlfn.XLOOKUP("How Strong Do You Want The Second Flavor?",[1]Sheet1!$1:$1,[1]Sheet1!199:199))</f>
        <v>0</v>
      </c>
      <c r="O199" s="45">
        <f>IF(COUNTIF('Premade Flavors'!$A:$A, $C199) &gt; 0,_xlfn.XLOOKUP($C199,'Premade Flavors'!$A:$A,'Premade Flavors'!O:O),_xlfn.XLOOKUP("How Dense Should the Mix Ins Be?",[1]Sheet1!$1:$1,[1]Sheet1!199:199))</f>
        <v>0</v>
      </c>
      <c r="P199" s="45">
        <f>IF(COUNTIF('Premade Flavors'!$A:$A, $C199) &gt; 0,_xlfn.XLOOKUP($C199,'Premade Flavors'!$A:$A,'Premade Flavors'!P:P),_xlfn.XLOOKUP("How Much Of The First Sweetner? ",[1]Sheet1!$1:$1,[1]Sheet1!199:199))</f>
        <v>0</v>
      </c>
      <c r="Q199" s="45">
        <f>IF(COUNTIF('Premade Flavors'!$A:$A, $C199) &gt; 0,_xlfn.XLOOKUP($C199,'Premade Flavors'!$A:$A,'Premade Flavors'!Q:Q),[2]Sheet1!S199)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Flavors'!E:E),_xlfn.XLOOKUP("What's The First Flavor You Want? ",[1]Sheet1!$1:$1,[1]Sheet1!200:200))</f>
        <v>0</v>
      </c>
      <c r="G200" s="31">
        <f>IF(COUNTIF('Premade Flavors'!$A:$A, $C200) &gt; 0,_xlfn.XLOOKUP($C200,'Premade Flavors'!$A:$A,'Premade Flavors'!F:F),_xlfn.XLOOKUP("What's the Second Flavor You Want?",[1]Sheet1!$1:$1,[1]Sheet1!200:200))</f>
        <v>0</v>
      </c>
      <c r="H200" s="31">
        <f>IF(COUNTIF('Premade Flavors'!$A:$A, $C200) &gt; 0,_xlfn.XLOOKUP($C200,'Premade Flavors'!$A:$A,'Premade Flavors'!G:G),_xlfn.XLOOKUP("What's The First Mix In That You Want? ",[1]Sheet1!$1:$1,[1]Sheet1!200:200))</f>
        <v>0</v>
      </c>
      <c r="I200" s="31">
        <f>IF(COUNTIF('Premade Flavors'!$A:$A, $C198) &gt; 0,_xlfn.XLOOKUP($C198,'Premade Flavors'!$A:$A,'Premade Flavors'!H:H),IF([2]Sheet1!W198=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Flavors'!I:I),"Stevia"),_xlfn.XLOOKUP("What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Flavors'!M:M),_xlfn.XLOOKUP("How Strong Do You Want The First Flavor?",[1]Sheet1!$1:$1,[1]Sheet1!200:200))</f>
        <v>0</v>
      </c>
      <c r="N200" s="45">
        <f>IF(COUNTIF('Premade Flavors'!$A:$A, $C200) &gt; 0,_xlfn.XLOOKUP($C200,'Premade Flavors'!$A:$A,'Premade Flavors'!N:N),_xlfn.XLOOKUP("How Strong Do You Want The Second Flavor?",[1]Sheet1!$1:$1,[1]Sheet1!200:200))</f>
        <v>0</v>
      </c>
      <c r="O200" s="45">
        <f>IF(COUNTIF('Premade Flavors'!$A:$A, $C200) &gt; 0,_xlfn.XLOOKUP($C200,'Premade Flavors'!$A:$A,'Premade Flavors'!O:O),_xlfn.XLOOKUP("How Dense Should the Mix Ins Be?",[1]Sheet1!$1:$1,[1]Sheet1!200:200))</f>
        <v>0</v>
      </c>
      <c r="P200" s="45">
        <f>IF(COUNTIF('Premade Flavors'!$A:$A, $C200) &gt; 0,_xlfn.XLOOKUP($C200,'Premade Flavors'!$A:$A,'Premade Flavors'!P:P),_xlfn.XLOOKUP("How Much Of The First Sweetner? ",[1]Sheet1!$1:$1,[1]Sheet1!200:200))</f>
        <v>0</v>
      </c>
      <c r="Q200" s="45">
        <f>IF(COUNTIF('Premade Flavors'!$A:$A, $C200) &gt; 0,_xlfn.XLOOKUP($C200,'Premade Flavors'!$A:$A,'Premade Flavors'!Q:Q),[2]Sheet1!S200)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Flavors'!E:E),_xlfn.XLOOKUP("What's The First Flavor You Want? ",[1]Sheet1!$1:$1,[1]Sheet1!201:201))</f>
        <v>0</v>
      </c>
      <c r="G201" s="31">
        <f>IF(COUNTIF('Premade Flavors'!$A:$A, $C201) &gt; 0,_xlfn.XLOOKUP($C201,'Premade Flavors'!$A:$A,'Premade Flavors'!F:F),_xlfn.XLOOKUP("What's the Second Flavor You Want?",[1]Sheet1!$1:$1,[1]Sheet1!201:201))</f>
        <v>0</v>
      </c>
      <c r="H201" s="31">
        <f>IF(COUNTIF('Premade Flavors'!$A:$A, $C201) &gt; 0,_xlfn.XLOOKUP($C201,'Premade Flavors'!$A:$A,'Premade Flavors'!G:G),_xlfn.XLOOKUP("What's The First Mix In That You Want? ",[1]Sheet1!$1:$1,[1]Sheet1!201:201))</f>
        <v>0</v>
      </c>
      <c r="I201" s="31">
        <f>IF(COUNTIF('Premade Flavors'!$A:$A, $C199) &gt; 0,_xlfn.XLOOKUP($C199,'Premade Flavors'!$A:$A,'Premade Flavors'!H:H),IF([2]Sheet1!W199=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Flavors'!I:I),"Stevia"),_xlfn.XLOOKUP("What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Flavors'!M:M),_xlfn.XLOOKUP("How Strong Do You Want The First Flavor?",[1]Sheet1!$1:$1,[1]Sheet1!201:201))</f>
        <v>0</v>
      </c>
      <c r="N201" s="45">
        <f>IF(COUNTIF('Premade Flavors'!$A:$A, $C201) &gt; 0,_xlfn.XLOOKUP($C201,'Premade Flavors'!$A:$A,'Premade Flavors'!N:N),_xlfn.XLOOKUP("How Strong Do You Want The Second Flavor?",[1]Sheet1!$1:$1,[1]Sheet1!201:201))</f>
        <v>0</v>
      </c>
      <c r="O201" s="45">
        <f>IF(COUNTIF('Premade Flavors'!$A:$A, $C201) &gt; 0,_xlfn.XLOOKUP($C201,'Premade Flavors'!$A:$A,'Premade Flavors'!O:O),_xlfn.XLOOKUP("How Dense Should the Mix Ins Be?",[1]Sheet1!$1:$1,[1]Sheet1!201:201))</f>
        <v>0</v>
      </c>
      <c r="P201" s="45">
        <f>IF(COUNTIF('Premade Flavors'!$A:$A, $C201) &gt; 0,_xlfn.XLOOKUP($C201,'Premade Flavors'!$A:$A,'Premade Flavors'!P:P),_xlfn.XLOOKUP("How Much Of The First Sweetner? ",[1]Sheet1!$1:$1,[1]Sheet1!201:201))</f>
        <v>0</v>
      </c>
      <c r="Q201" s="45">
        <f>IF(COUNTIF('Premade Flavors'!$A:$A, $C201) &gt; 0,_xlfn.XLOOKUP($C201,'Premade Flavors'!$A:$A,'Premade Flavors'!Q:Q),[2]Sheet1!S201)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Flavors'!E:E),_xlfn.XLOOKUP("What's The First Flavor You Want? ",[1]Sheet1!$1:$1,[1]Sheet1!202:202))</f>
        <v>0</v>
      </c>
      <c r="G202" s="31">
        <f>IF(COUNTIF('Premade Flavors'!$A:$A, $C202) &gt; 0,_xlfn.XLOOKUP($C202,'Premade Flavors'!$A:$A,'Premade Flavors'!F:F),_xlfn.XLOOKUP("What's the Second Flavor You Want?",[1]Sheet1!$1:$1,[1]Sheet1!202:202))</f>
        <v>0</v>
      </c>
      <c r="H202" s="31">
        <f>IF(COUNTIF('Premade Flavors'!$A:$A, $C202) &gt; 0,_xlfn.XLOOKUP($C202,'Premade Flavors'!$A:$A,'Premade Flavors'!G:G),_xlfn.XLOOKUP("What's The First Mix In That You Want? ",[1]Sheet1!$1:$1,[1]Sheet1!202:202))</f>
        <v>0</v>
      </c>
      <c r="I202" s="31">
        <f>IF(COUNTIF('Premade Flavors'!$A:$A, $C200) &gt; 0,_xlfn.XLOOKUP($C200,'Premade Flavors'!$A:$A,'Premade Flavors'!H:H),IF([2]Sheet1!W200=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Flavors'!I:I),"Stevia"),_xlfn.XLOOKUP("What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Flavors'!M:M),_xlfn.XLOOKUP("How Strong Do You Want The First Flavor?",[1]Sheet1!$1:$1,[1]Sheet1!202:202))</f>
        <v>0</v>
      </c>
      <c r="N202" s="45">
        <f>IF(COUNTIF('Premade Flavors'!$A:$A, $C202) &gt; 0,_xlfn.XLOOKUP($C202,'Premade Flavors'!$A:$A,'Premade Flavors'!N:N),_xlfn.XLOOKUP("How Strong Do You Want The Second Flavor?",[1]Sheet1!$1:$1,[1]Sheet1!202:202))</f>
        <v>0</v>
      </c>
      <c r="O202" s="45">
        <f>IF(COUNTIF('Premade Flavors'!$A:$A, $C202) &gt; 0,_xlfn.XLOOKUP($C202,'Premade Flavors'!$A:$A,'Premade Flavors'!O:O),_xlfn.XLOOKUP("How Dense Should the Mix Ins Be?",[1]Sheet1!$1:$1,[1]Sheet1!202:202))</f>
        <v>0</v>
      </c>
      <c r="P202" s="45">
        <f>IF(COUNTIF('Premade Flavors'!$A:$A, $C202) &gt; 0,_xlfn.XLOOKUP($C202,'Premade Flavors'!$A:$A,'Premade Flavors'!P:P),_xlfn.XLOOKUP("How Much Of The First Sweetner? ",[1]Sheet1!$1:$1,[1]Sheet1!202:202))</f>
        <v>0</v>
      </c>
      <c r="Q202" s="45">
        <f>IF(COUNTIF('Premade Flavors'!$A:$A, $C202) &gt; 0,_xlfn.XLOOKUP($C202,'Premade Flavors'!$A:$A,'Premade Flavors'!Q:Q),[2]Sheet1!S202)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Flavors'!E:E),_xlfn.XLOOKUP("What's The First Flavor You Want? ",[1]Sheet1!$1:$1,[1]Sheet1!203:203))</f>
        <v>0</v>
      </c>
      <c r="G203" s="31">
        <f>IF(COUNTIF('Premade Flavors'!$A:$A, $C203) &gt; 0,_xlfn.XLOOKUP($C203,'Premade Flavors'!$A:$A,'Premade Flavors'!F:F),_xlfn.XLOOKUP("What's the Second Flavor You Want?",[1]Sheet1!$1:$1,[1]Sheet1!203:203))</f>
        <v>0</v>
      </c>
      <c r="H203" s="31">
        <f>IF(COUNTIF('Premade Flavors'!$A:$A, $C203) &gt; 0,_xlfn.XLOOKUP($C203,'Premade Flavors'!$A:$A,'Premade Flavors'!G:G),_xlfn.XLOOKUP("What's The First Mix In That You Want? ",[1]Sheet1!$1:$1,[1]Sheet1!203:203))</f>
        <v>0</v>
      </c>
      <c r="I203" s="31">
        <f>IF(COUNTIF('Premade Flavors'!$A:$A, $C201) &gt; 0,_xlfn.XLOOKUP($C201,'Premade Flavors'!$A:$A,'Premade Flavors'!H:H),IF([2]Sheet1!W201=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Flavors'!I:I),"Stevia"),_xlfn.XLOOKUP("What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Flavors'!M:M),_xlfn.XLOOKUP("How Strong Do You Want The First Flavor?",[1]Sheet1!$1:$1,[1]Sheet1!203:203))</f>
        <v>0</v>
      </c>
      <c r="N203" s="45">
        <f>IF(COUNTIF('Premade Flavors'!$A:$A, $C203) &gt; 0,_xlfn.XLOOKUP($C203,'Premade Flavors'!$A:$A,'Premade Flavors'!N:N),_xlfn.XLOOKUP("How Strong Do You Want The Second Flavor?",[1]Sheet1!$1:$1,[1]Sheet1!203:203))</f>
        <v>0</v>
      </c>
      <c r="O203" s="45">
        <f>IF(COUNTIF('Premade Flavors'!$A:$A, $C203) &gt; 0,_xlfn.XLOOKUP($C203,'Premade Flavors'!$A:$A,'Premade Flavors'!O:O),_xlfn.XLOOKUP("How Dense Should the Mix Ins Be?",[1]Sheet1!$1:$1,[1]Sheet1!203:203))</f>
        <v>0</v>
      </c>
      <c r="P203" s="45">
        <f>IF(COUNTIF('Premade Flavors'!$A:$A, $C203) &gt; 0,_xlfn.XLOOKUP($C203,'Premade Flavors'!$A:$A,'Premade Flavors'!P:P),_xlfn.XLOOKUP("How Much Of The First Sweetner? ",[1]Sheet1!$1:$1,[1]Sheet1!203:203))</f>
        <v>0</v>
      </c>
      <c r="Q203" s="45">
        <f>IF(COUNTIF('Premade Flavors'!$A:$A, $C203) &gt; 0,_xlfn.XLOOKUP($C203,'Premade Flavors'!$A:$A,'Premade Flavors'!Q:Q),[2]Sheet1!S203)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Flavors'!E:E),_xlfn.XLOOKUP("What's The First Flavor You Want? ",[1]Sheet1!$1:$1,[1]Sheet1!204:204))</f>
        <v>0</v>
      </c>
      <c r="G204" s="31">
        <f>IF(COUNTIF('Premade Flavors'!$A:$A, $C204) &gt; 0,_xlfn.XLOOKUP($C204,'Premade Flavors'!$A:$A,'Premade Flavors'!F:F),_xlfn.XLOOKUP("What's the Second Flavor You Want?",[1]Sheet1!$1:$1,[1]Sheet1!204:204))</f>
        <v>0</v>
      </c>
      <c r="H204" s="31">
        <f>IF(COUNTIF('Premade Flavors'!$A:$A, $C204) &gt; 0,_xlfn.XLOOKUP($C204,'Premade Flavors'!$A:$A,'Premade Flavors'!G:G),_xlfn.XLOOKUP("What's The First Mix In That You Want? ",[1]Sheet1!$1:$1,[1]Sheet1!204:204))</f>
        <v>0</v>
      </c>
      <c r="I204" s="31">
        <f>IF(COUNTIF('Premade Flavors'!$A:$A, $C202) &gt; 0,_xlfn.XLOOKUP($C202,'Premade Flavors'!$A:$A,'Premade Flavors'!H:H),IF([2]Sheet1!W202=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Flavors'!I:I),"Stevia"),_xlfn.XLOOKUP("What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Flavors'!M:M),_xlfn.XLOOKUP("How Strong Do You Want The First Flavor?",[1]Sheet1!$1:$1,[1]Sheet1!204:204))</f>
        <v>0</v>
      </c>
      <c r="N204" s="45">
        <f>IF(COUNTIF('Premade Flavors'!$A:$A, $C204) &gt; 0,_xlfn.XLOOKUP($C204,'Premade Flavors'!$A:$A,'Premade Flavors'!N:N),_xlfn.XLOOKUP("How Strong Do You Want The Second Flavor?",[1]Sheet1!$1:$1,[1]Sheet1!204:204))</f>
        <v>0</v>
      </c>
      <c r="O204" s="45">
        <f>IF(COUNTIF('Premade Flavors'!$A:$A, $C204) &gt; 0,_xlfn.XLOOKUP($C204,'Premade Flavors'!$A:$A,'Premade Flavors'!O:O),_xlfn.XLOOKUP("How Dense Should the Mix Ins Be?",[1]Sheet1!$1:$1,[1]Sheet1!204:204))</f>
        <v>0</v>
      </c>
      <c r="P204" s="45">
        <f>IF(COUNTIF('Premade Flavors'!$A:$A, $C204) &gt; 0,_xlfn.XLOOKUP($C204,'Premade Flavors'!$A:$A,'Premade Flavors'!P:P),_xlfn.XLOOKUP("How Much Of The First Sweetner? ",[1]Sheet1!$1:$1,[1]Sheet1!204:204))</f>
        <v>0</v>
      </c>
      <c r="Q204" s="45">
        <f>IF(COUNTIF('Premade Flavors'!$A:$A, $C204) &gt; 0,_xlfn.XLOOKUP($C204,'Premade Flavors'!$A:$A,'Premade Flavors'!Q:Q),[2]Sheet1!S204)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Flavors'!E:E),_xlfn.XLOOKUP("What's The First Flavor You Want? ",[1]Sheet1!$1:$1,[1]Sheet1!205:205))</f>
        <v>0</v>
      </c>
      <c r="G205" s="31">
        <f>IF(COUNTIF('Premade Flavors'!$A:$A, $C205) &gt; 0,_xlfn.XLOOKUP($C205,'Premade Flavors'!$A:$A,'Premade Flavors'!F:F),_xlfn.XLOOKUP("What's the Second Flavor You Want?",[1]Sheet1!$1:$1,[1]Sheet1!205:205))</f>
        <v>0</v>
      </c>
      <c r="H205" s="31">
        <f>IF(COUNTIF('Premade Flavors'!$A:$A, $C205) &gt; 0,_xlfn.XLOOKUP($C205,'Premade Flavors'!$A:$A,'Premade Flavors'!G:G),_xlfn.XLOOKUP("What's The First Mix In That You Want? ",[1]Sheet1!$1:$1,[1]Sheet1!205:205))</f>
        <v>0</v>
      </c>
      <c r="I205" s="31">
        <f>IF(COUNTIF('Premade Flavors'!$A:$A, $C203) &gt; 0,_xlfn.XLOOKUP($C203,'Premade Flavors'!$A:$A,'Premade Flavors'!H:H),IF([2]Sheet1!W203=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Flavors'!I:I),"Stevia"),_xlfn.XLOOKUP("What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Flavors'!M:M),_xlfn.XLOOKUP("How Strong Do You Want The First Flavor?",[1]Sheet1!$1:$1,[1]Sheet1!205:205))</f>
        <v>0</v>
      </c>
      <c r="N205" s="45">
        <f>IF(COUNTIF('Premade Flavors'!$A:$A, $C205) &gt; 0,_xlfn.XLOOKUP($C205,'Premade Flavors'!$A:$A,'Premade Flavors'!N:N),_xlfn.XLOOKUP("How Strong Do You Want The Second Flavor?",[1]Sheet1!$1:$1,[1]Sheet1!205:205))</f>
        <v>0</v>
      </c>
      <c r="O205" s="45">
        <f>IF(COUNTIF('Premade Flavors'!$A:$A, $C205) &gt; 0,_xlfn.XLOOKUP($C205,'Premade Flavors'!$A:$A,'Premade Flavors'!O:O),_xlfn.XLOOKUP("How Dense Should the Mix Ins Be?",[1]Sheet1!$1:$1,[1]Sheet1!205:205))</f>
        <v>0</v>
      </c>
      <c r="P205" s="45">
        <f>IF(COUNTIF('Premade Flavors'!$A:$A, $C205) &gt; 0,_xlfn.XLOOKUP($C205,'Premade Flavors'!$A:$A,'Premade Flavors'!P:P),_xlfn.XLOOKUP("How Much Of The First Sweetner? ",[1]Sheet1!$1:$1,[1]Sheet1!205:205))</f>
        <v>0</v>
      </c>
      <c r="Q205" s="45">
        <f>IF(COUNTIF('Premade Flavors'!$A:$A, $C205) &gt; 0,_xlfn.XLOOKUP($C205,'Premade Flavors'!$A:$A,'Premade Flavors'!Q:Q),[2]Sheet1!S205)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Flavors'!E:E),_xlfn.XLOOKUP("What's The First Flavor You Want? ",[1]Sheet1!$1:$1,[1]Sheet1!206:206))</f>
        <v>0</v>
      </c>
      <c r="G206" s="31">
        <f>IF(COUNTIF('Premade Flavors'!$A:$A, $C206) &gt; 0,_xlfn.XLOOKUP($C206,'Premade Flavors'!$A:$A,'Premade Flavors'!F:F),_xlfn.XLOOKUP("What's the Second Flavor You Want?",[1]Sheet1!$1:$1,[1]Sheet1!206:206))</f>
        <v>0</v>
      </c>
      <c r="H206" s="31">
        <f>IF(COUNTIF('Premade Flavors'!$A:$A, $C206) &gt; 0,_xlfn.XLOOKUP($C206,'Premade Flavors'!$A:$A,'Premade Flavors'!G:G),_xlfn.XLOOKUP("What's The First Mix In That You Want? ",[1]Sheet1!$1:$1,[1]Sheet1!206:206))</f>
        <v>0</v>
      </c>
      <c r="I206" s="31">
        <f>IF(COUNTIF('Premade Flavors'!$A:$A, $C204) &gt; 0,_xlfn.XLOOKUP($C204,'Premade Flavors'!$A:$A,'Premade Flavors'!H:H),IF([2]Sheet1!W204=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Flavors'!I:I),"Stevia"),_xlfn.XLOOKUP("What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Flavors'!M:M),_xlfn.XLOOKUP("How Strong Do You Want The First Flavor?",[1]Sheet1!$1:$1,[1]Sheet1!206:206))</f>
        <v>0</v>
      </c>
      <c r="N206" s="45">
        <f>IF(COUNTIF('Premade Flavors'!$A:$A, $C206) &gt; 0,_xlfn.XLOOKUP($C206,'Premade Flavors'!$A:$A,'Premade Flavors'!N:N),_xlfn.XLOOKUP("How Strong Do You Want The Second Flavor?",[1]Sheet1!$1:$1,[1]Sheet1!206:206))</f>
        <v>0</v>
      </c>
      <c r="O206" s="45">
        <f>IF(COUNTIF('Premade Flavors'!$A:$A, $C206) &gt; 0,_xlfn.XLOOKUP($C206,'Premade Flavors'!$A:$A,'Premade Flavors'!O:O),_xlfn.XLOOKUP("How Dense Should the Mix Ins Be?",[1]Sheet1!$1:$1,[1]Sheet1!206:206))</f>
        <v>0</v>
      </c>
      <c r="P206" s="45">
        <f>IF(COUNTIF('Premade Flavors'!$A:$A, $C206) &gt; 0,_xlfn.XLOOKUP($C206,'Premade Flavors'!$A:$A,'Premade Flavors'!P:P),_xlfn.XLOOKUP("How Much Of The First Sweetner? ",[1]Sheet1!$1:$1,[1]Sheet1!206:206))</f>
        <v>0</v>
      </c>
      <c r="Q206" s="45">
        <f>IF(COUNTIF('Premade Flavors'!$A:$A, $C206) &gt; 0,_xlfn.XLOOKUP($C206,'Premade Flavors'!$A:$A,'Premade Flavors'!Q:Q),[2]Sheet1!S206)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Flavors'!E:E),_xlfn.XLOOKUP("What's The First Flavor You Want? ",[1]Sheet1!$1:$1,[1]Sheet1!207:207))</f>
        <v>0</v>
      </c>
      <c r="G207" s="31">
        <f>IF(COUNTIF('Premade Flavors'!$A:$A, $C207) &gt; 0,_xlfn.XLOOKUP($C207,'Premade Flavors'!$A:$A,'Premade Flavors'!F:F),_xlfn.XLOOKUP("What's the Second Flavor You Want?",[1]Sheet1!$1:$1,[1]Sheet1!207:207))</f>
        <v>0</v>
      </c>
      <c r="H207" s="31">
        <f>IF(COUNTIF('Premade Flavors'!$A:$A, $C207) &gt; 0,_xlfn.XLOOKUP($C207,'Premade Flavors'!$A:$A,'Premade Flavors'!G:G),_xlfn.XLOOKUP("What's The First Mix In That You Want? ",[1]Sheet1!$1:$1,[1]Sheet1!207:207))</f>
        <v>0</v>
      </c>
      <c r="I207" s="31">
        <f>IF(COUNTIF('Premade Flavors'!$A:$A, $C205) &gt; 0,_xlfn.XLOOKUP($C205,'Premade Flavors'!$A:$A,'Premade Flavors'!H:H),IF([2]Sheet1!W205=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Flavors'!I:I),"Stevia"),_xlfn.XLOOKUP("What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Flavors'!M:M),_xlfn.XLOOKUP("How Strong Do You Want The First Flavor?",[1]Sheet1!$1:$1,[1]Sheet1!207:207))</f>
        <v>0</v>
      </c>
      <c r="N207" s="45">
        <f>IF(COUNTIF('Premade Flavors'!$A:$A, $C207) &gt; 0,_xlfn.XLOOKUP($C207,'Premade Flavors'!$A:$A,'Premade Flavors'!N:N),_xlfn.XLOOKUP("How Strong Do You Want The Second Flavor?",[1]Sheet1!$1:$1,[1]Sheet1!207:207))</f>
        <v>0</v>
      </c>
      <c r="O207" s="45">
        <f>IF(COUNTIF('Premade Flavors'!$A:$A, $C207) &gt; 0,_xlfn.XLOOKUP($C207,'Premade Flavors'!$A:$A,'Premade Flavors'!O:O),_xlfn.XLOOKUP("How Dense Should the Mix Ins Be?",[1]Sheet1!$1:$1,[1]Sheet1!207:207))</f>
        <v>0</v>
      </c>
      <c r="P207" s="45">
        <f>IF(COUNTIF('Premade Flavors'!$A:$A, $C207) &gt; 0,_xlfn.XLOOKUP($C207,'Premade Flavors'!$A:$A,'Premade Flavors'!P:P),_xlfn.XLOOKUP("How Much Of The First Sweetner? ",[1]Sheet1!$1:$1,[1]Sheet1!207:207))</f>
        <v>0</v>
      </c>
      <c r="Q207" s="45">
        <f>IF(COUNTIF('Premade Flavors'!$A:$A, $C207) &gt; 0,_xlfn.XLOOKUP($C207,'Premade Flavors'!$A:$A,'Premade Flavors'!Q:Q),[2]Sheet1!S207)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Flavors'!E:E),_xlfn.XLOOKUP("What's The First Flavor You Want? ",[1]Sheet1!$1:$1,[1]Sheet1!208:208))</f>
        <v>0</v>
      </c>
      <c r="G208" s="31">
        <f>IF(COUNTIF('Premade Flavors'!$A:$A, $C208) &gt; 0,_xlfn.XLOOKUP($C208,'Premade Flavors'!$A:$A,'Premade Flavors'!F:F),_xlfn.XLOOKUP("What's the Second Flavor You Want?",[1]Sheet1!$1:$1,[1]Sheet1!208:208))</f>
        <v>0</v>
      </c>
      <c r="H208" s="31">
        <f>IF(COUNTIF('Premade Flavors'!$A:$A, $C208) &gt; 0,_xlfn.XLOOKUP($C208,'Premade Flavors'!$A:$A,'Premade Flavors'!G:G),_xlfn.XLOOKUP("What's The First Mix In That You Want? ",[1]Sheet1!$1:$1,[1]Sheet1!208:208))</f>
        <v>0</v>
      </c>
      <c r="I208" s="31">
        <f>IF(COUNTIF('Premade Flavors'!$A:$A, $C206) &gt; 0,_xlfn.XLOOKUP($C206,'Premade Flavors'!$A:$A,'Premade Flavors'!H:H),IF([2]Sheet1!W206=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Flavors'!I:I),"Stevia"),_xlfn.XLOOKUP("What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Flavors'!M:M),_xlfn.XLOOKUP("How Strong Do You Want The First Flavor?",[1]Sheet1!$1:$1,[1]Sheet1!208:208))</f>
        <v>0</v>
      </c>
      <c r="N208" s="45">
        <f>IF(COUNTIF('Premade Flavors'!$A:$A, $C208) &gt; 0,_xlfn.XLOOKUP($C208,'Premade Flavors'!$A:$A,'Premade Flavors'!N:N),_xlfn.XLOOKUP("How Strong Do You Want The Second Flavor?",[1]Sheet1!$1:$1,[1]Sheet1!208:208))</f>
        <v>0</v>
      </c>
      <c r="O208" s="45">
        <f>IF(COUNTIF('Premade Flavors'!$A:$A, $C208) &gt; 0,_xlfn.XLOOKUP($C208,'Premade Flavors'!$A:$A,'Premade Flavors'!O:O),_xlfn.XLOOKUP("How Dense Should the Mix Ins Be?",[1]Sheet1!$1:$1,[1]Sheet1!208:208))</f>
        <v>0</v>
      </c>
      <c r="P208" s="45">
        <f>IF(COUNTIF('Premade Flavors'!$A:$A, $C208) &gt; 0,_xlfn.XLOOKUP($C208,'Premade Flavors'!$A:$A,'Premade Flavors'!P:P),_xlfn.XLOOKUP("How Much Of The First Sweetner? ",[1]Sheet1!$1:$1,[1]Sheet1!208:208))</f>
        <v>0</v>
      </c>
      <c r="Q208" s="45">
        <f>IF(COUNTIF('Premade Flavors'!$A:$A, $C208) &gt; 0,_xlfn.XLOOKUP($C208,'Premade Flavors'!$A:$A,'Premade Flavors'!Q:Q),[2]Sheet1!S208)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Flavors'!E:E),_xlfn.XLOOKUP("What's The First Flavor You Want? ",[1]Sheet1!$1:$1,[1]Sheet1!209:209))</f>
        <v>0</v>
      </c>
      <c r="G209" s="31">
        <f>IF(COUNTIF('Premade Flavors'!$A:$A, $C209) &gt; 0,_xlfn.XLOOKUP($C209,'Premade Flavors'!$A:$A,'Premade Flavors'!F:F),_xlfn.XLOOKUP("What's the Second Flavor You Want?",[1]Sheet1!$1:$1,[1]Sheet1!209:209))</f>
        <v>0</v>
      </c>
      <c r="H209" s="31">
        <f>IF(COUNTIF('Premade Flavors'!$A:$A, $C209) &gt; 0,_xlfn.XLOOKUP($C209,'Premade Flavors'!$A:$A,'Premade Flavors'!G:G),_xlfn.XLOOKUP("What's The First Mix In That You Want? ",[1]Sheet1!$1:$1,[1]Sheet1!209:209))</f>
        <v>0</v>
      </c>
      <c r="I209" s="31">
        <f>IF(COUNTIF('Premade Flavors'!$A:$A, $C207) &gt; 0,_xlfn.XLOOKUP($C207,'Premade Flavors'!$A:$A,'Premade Flavors'!H:H),IF([2]Sheet1!W207=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Flavors'!I:I),"Stevia"),_xlfn.XLOOKUP("What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Flavors'!M:M),_xlfn.XLOOKUP("How Strong Do You Want The First Flavor?",[1]Sheet1!$1:$1,[1]Sheet1!209:209))</f>
        <v>0</v>
      </c>
      <c r="N209" s="45">
        <f>IF(COUNTIF('Premade Flavors'!$A:$A, $C209) &gt; 0,_xlfn.XLOOKUP($C209,'Premade Flavors'!$A:$A,'Premade Flavors'!N:N),_xlfn.XLOOKUP("How Strong Do You Want The Second Flavor?",[1]Sheet1!$1:$1,[1]Sheet1!209:209))</f>
        <v>0</v>
      </c>
      <c r="O209" s="45">
        <f>IF(COUNTIF('Premade Flavors'!$A:$A, $C209) &gt; 0,_xlfn.XLOOKUP($C209,'Premade Flavors'!$A:$A,'Premade Flavors'!O:O),_xlfn.XLOOKUP("How Dense Should the Mix Ins Be?",[1]Sheet1!$1:$1,[1]Sheet1!209:209))</f>
        <v>0</v>
      </c>
      <c r="P209" s="45">
        <f>IF(COUNTIF('Premade Flavors'!$A:$A, $C209) &gt; 0,_xlfn.XLOOKUP($C209,'Premade Flavors'!$A:$A,'Premade Flavors'!P:P),_xlfn.XLOOKUP("How Much Of The First Sweetner? ",[1]Sheet1!$1:$1,[1]Sheet1!209:209))</f>
        <v>0</v>
      </c>
      <c r="Q209" s="45">
        <f>IF(COUNTIF('Premade Flavors'!$A:$A, $C209) &gt; 0,_xlfn.XLOOKUP($C209,'Premade Flavors'!$A:$A,'Premade Flavors'!Q:Q),[2]Sheet1!S209)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Flavors'!E:E),_xlfn.XLOOKUP("What's The First Flavor You Want? ",[1]Sheet1!$1:$1,[1]Sheet1!210:210))</f>
        <v>0</v>
      </c>
      <c r="G210" s="31">
        <f>IF(COUNTIF('Premade Flavors'!$A:$A, $C210) &gt; 0,_xlfn.XLOOKUP($C210,'Premade Flavors'!$A:$A,'Premade Flavors'!F:F),_xlfn.XLOOKUP("What's the Second Flavor You Want?",[1]Sheet1!$1:$1,[1]Sheet1!210:210))</f>
        <v>0</v>
      </c>
      <c r="H210" s="31">
        <f>IF(COUNTIF('Premade Flavors'!$A:$A, $C210) &gt; 0,_xlfn.XLOOKUP($C210,'Premade Flavors'!$A:$A,'Premade Flavors'!G:G),_xlfn.XLOOKUP("What's The First Mix In That You Want? ",[1]Sheet1!$1:$1,[1]Sheet1!210:210))</f>
        <v>0</v>
      </c>
      <c r="I210" s="31">
        <f>IF(COUNTIF('Premade Flavors'!$A:$A, $C208) &gt; 0,_xlfn.XLOOKUP($C208,'Premade Flavors'!$A:$A,'Premade Flavors'!H:H),IF([2]Sheet1!W208=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Flavors'!I:I),"Stevia"),_xlfn.XLOOKUP("What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Flavors'!M:M),_xlfn.XLOOKUP("How Strong Do You Want The First Flavor?",[1]Sheet1!$1:$1,[1]Sheet1!210:210))</f>
        <v>0</v>
      </c>
      <c r="N210" s="45">
        <f>IF(COUNTIF('Premade Flavors'!$A:$A, $C210) &gt; 0,_xlfn.XLOOKUP($C210,'Premade Flavors'!$A:$A,'Premade Flavors'!N:N),_xlfn.XLOOKUP("How Strong Do You Want The Second Flavor?",[1]Sheet1!$1:$1,[1]Sheet1!210:210))</f>
        <v>0</v>
      </c>
      <c r="O210" s="45">
        <f>IF(COUNTIF('Premade Flavors'!$A:$A, $C210) &gt; 0,_xlfn.XLOOKUP($C210,'Premade Flavors'!$A:$A,'Premade Flavors'!O:O),_xlfn.XLOOKUP("How Dense Should the Mix Ins Be?",[1]Sheet1!$1:$1,[1]Sheet1!210:210))</f>
        <v>0</v>
      </c>
      <c r="P210" s="45">
        <f>IF(COUNTIF('Premade Flavors'!$A:$A, $C210) &gt; 0,_xlfn.XLOOKUP($C210,'Premade Flavors'!$A:$A,'Premade Flavors'!P:P),_xlfn.XLOOKUP("How Much Of The First Sweetner? ",[1]Sheet1!$1:$1,[1]Sheet1!210:210))</f>
        <v>0</v>
      </c>
      <c r="Q210" s="45">
        <f>IF(COUNTIF('Premade Flavors'!$A:$A, $C210) &gt; 0,_xlfn.XLOOKUP($C210,'Premade Flavors'!$A:$A,'Premade Flavors'!Q:Q),[2]Sheet1!S210)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Flavors'!E:E),_xlfn.XLOOKUP("What's The First Flavor You Want? ",[1]Sheet1!$1:$1,[1]Sheet1!211:211))</f>
        <v>0</v>
      </c>
      <c r="G211" s="31">
        <f>IF(COUNTIF('Premade Flavors'!$A:$A, $C211) &gt; 0,_xlfn.XLOOKUP($C211,'Premade Flavors'!$A:$A,'Premade Flavors'!F:F),_xlfn.XLOOKUP("What's the Second Flavor You Want?",[1]Sheet1!$1:$1,[1]Sheet1!211:211))</f>
        <v>0</v>
      </c>
      <c r="H211" s="31">
        <f>IF(COUNTIF('Premade Flavors'!$A:$A, $C211) &gt; 0,_xlfn.XLOOKUP($C211,'Premade Flavors'!$A:$A,'Premade Flavors'!G:G),_xlfn.XLOOKUP("What's The First Mix In That You Want? ",[1]Sheet1!$1:$1,[1]Sheet1!211:211))</f>
        <v>0</v>
      </c>
      <c r="I211" s="31">
        <f>IF(COUNTIF('Premade Flavors'!$A:$A, $C209) &gt; 0,_xlfn.XLOOKUP($C209,'Premade Flavors'!$A:$A,'Premade Flavors'!H:H),IF([2]Sheet1!W209=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Flavors'!I:I),"Stevia"),_xlfn.XLOOKUP("What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Flavors'!M:M),_xlfn.XLOOKUP("How Strong Do You Want The First Flavor?",[1]Sheet1!$1:$1,[1]Sheet1!211:211))</f>
        <v>0</v>
      </c>
      <c r="N211" s="45">
        <f>IF(COUNTIF('Premade Flavors'!$A:$A, $C211) &gt; 0,_xlfn.XLOOKUP($C211,'Premade Flavors'!$A:$A,'Premade Flavors'!N:N),_xlfn.XLOOKUP("How Strong Do You Want The Second Flavor?",[1]Sheet1!$1:$1,[1]Sheet1!211:211))</f>
        <v>0</v>
      </c>
      <c r="O211" s="45">
        <f>IF(COUNTIF('Premade Flavors'!$A:$A, $C211) &gt; 0,_xlfn.XLOOKUP($C211,'Premade Flavors'!$A:$A,'Premade Flavors'!O:O),_xlfn.XLOOKUP("How Dense Should the Mix Ins Be?",[1]Sheet1!$1:$1,[1]Sheet1!211:211))</f>
        <v>0</v>
      </c>
      <c r="P211" s="45">
        <f>IF(COUNTIF('Premade Flavors'!$A:$A, $C211) &gt; 0,_xlfn.XLOOKUP($C211,'Premade Flavors'!$A:$A,'Premade Flavors'!P:P),_xlfn.XLOOKUP("How Much Of The First Sweetner? ",[1]Sheet1!$1:$1,[1]Sheet1!211:211))</f>
        <v>0</v>
      </c>
      <c r="Q211" s="45">
        <f>IF(COUNTIF('Premade Flavors'!$A:$A, $C211) &gt; 0,_xlfn.XLOOKUP($C211,'Premade Flavors'!$A:$A,'Premade Flavors'!Q:Q),[2]Sheet1!S211)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Flavors'!E:E),_xlfn.XLOOKUP("What's The First Flavor You Want? ",[1]Sheet1!$1:$1,[1]Sheet1!212:212))</f>
        <v>0</v>
      </c>
      <c r="G212" s="31">
        <f>IF(COUNTIF('Premade Flavors'!$A:$A, $C212) &gt; 0,_xlfn.XLOOKUP($C212,'Premade Flavors'!$A:$A,'Premade Flavors'!F:F),_xlfn.XLOOKUP("What's the Second Flavor You Want?",[1]Sheet1!$1:$1,[1]Sheet1!212:212))</f>
        <v>0</v>
      </c>
      <c r="H212" s="31">
        <f>IF(COUNTIF('Premade Flavors'!$A:$A, $C212) &gt; 0,_xlfn.XLOOKUP($C212,'Premade Flavors'!$A:$A,'Premade Flavors'!G:G),_xlfn.XLOOKUP("What's The First Mix In That You Want? ",[1]Sheet1!$1:$1,[1]Sheet1!212:212))</f>
        <v>0</v>
      </c>
      <c r="I212" s="31">
        <f>IF(COUNTIF('Premade Flavors'!$A:$A, $C210) &gt; 0,_xlfn.XLOOKUP($C210,'Premade Flavors'!$A:$A,'Premade Flavors'!H:H),IF([2]Sheet1!W210=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Flavors'!I:I),"Stevia"),_xlfn.XLOOKUP("What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Flavors'!M:M),_xlfn.XLOOKUP("How Strong Do You Want The First Flavor?",[1]Sheet1!$1:$1,[1]Sheet1!212:212))</f>
        <v>0</v>
      </c>
      <c r="N212" s="45">
        <f>IF(COUNTIF('Premade Flavors'!$A:$A, $C212) &gt; 0,_xlfn.XLOOKUP($C212,'Premade Flavors'!$A:$A,'Premade Flavors'!N:N),_xlfn.XLOOKUP("How Strong Do You Want The Second Flavor?",[1]Sheet1!$1:$1,[1]Sheet1!212:212))</f>
        <v>0</v>
      </c>
      <c r="O212" s="45">
        <f>IF(COUNTIF('Premade Flavors'!$A:$A, $C212) &gt; 0,_xlfn.XLOOKUP($C212,'Premade Flavors'!$A:$A,'Premade Flavors'!O:O),_xlfn.XLOOKUP("How Dense Should the Mix Ins Be?",[1]Sheet1!$1:$1,[1]Sheet1!212:212))</f>
        <v>0</v>
      </c>
      <c r="P212" s="45">
        <f>IF(COUNTIF('Premade Flavors'!$A:$A, $C212) &gt; 0,_xlfn.XLOOKUP($C212,'Premade Flavors'!$A:$A,'Premade Flavors'!P:P),_xlfn.XLOOKUP("How Much Of The First Sweetner? ",[1]Sheet1!$1:$1,[1]Sheet1!212:212))</f>
        <v>0</v>
      </c>
      <c r="Q212" s="45">
        <f>IF(COUNTIF('Premade Flavors'!$A:$A, $C212) &gt; 0,_xlfn.XLOOKUP($C212,'Premade Flavors'!$A:$A,'Premade Flavors'!Q:Q),[2]Sheet1!S212)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Flavors'!E:E),_xlfn.XLOOKUP("What's The First Flavor You Want? ",[1]Sheet1!$1:$1,[1]Sheet1!213:213))</f>
        <v>0</v>
      </c>
      <c r="G213" s="31">
        <f>IF(COUNTIF('Premade Flavors'!$A:$A, $C213) &gt; 0,_xlfn.XLOOKUP($C213,'Premade Flavors'!$A:$A,'Premade Flavors'!F:F),_xlfn.XLOOKUP("What's the Second Flavor You Want?",[1]Sheet1!$1:$1,[1]Sheet1!213:213))</f>
        <v>0</v>
      </c>
      <c r="H213" s="31">
        <f>IF(COUNTIF('Premade Flavors'!$A:$A, $C213) &gt; 0,_xlfn.XLOOKUP($C213,'Premade Flavors'!$A:$A,'Premade Flavors'!G:G),_xlfn.XLOOKUP("What's The First Mix In That You Want? ",[1]Sheet1!$1:$1,[1]Sheet1!213:213))</f>
        <v>0</v>
      </c>
      <c r="I213" s="31">
        <f>IF(COUNTIF('Premade Flavors'!$A:$A, $C211) &gt; 0,_xlfn.XLOOKUP($C211,'Premade Flavors'!$A:$A,'Premade Flavors'!H:H),IF([2]Sheet1!W211=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Flavors'!I:I),"Stevia"),_xlfn.XLOOKUP("What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Flavors'!M:M),_xlfn.XLOOKUP("How Strong Do You Want The First Flavor?",[1]Sheet1!$1:$1,[1]Sheet1!213:213))</f>
        <v>0</v>
      </c>
      <c r="N213" s="45">
        <f>IF(COUNTIF('Premade Flavors'!$A:$A, $C213) &gt; 0,_xlfn.XLOOKUP($C213,'Premade Flavors'!$A:$A,'Premade Flavors'!N:N),_xlfn.XLOOKUP("How Strong Do You Want The Second Flavor?",[1]Sheet1!$1:$1,[1]Sheet1!213:213))</f>
        <v>0</v>
      </c>
      <c r="O213" s="45">
        <f>IF(COUNTIF('Premade Flavors'!$A:$A, $C213) &gt; 0,_xlfn.XLOOKUP($C213,'Premade Flavors'!$A:$A,'Premade Flavors'!O:O),_xlfn.XLOOKUP("How Dense Should the Mix Ins Be?",[1]Sheet1!$1:$1,[1]Sheet1!213:213))</f>
        <v>0</v>
      </c>
      <c r="P213" s="45">
        <f>IF(COUNTIF('Premade Flavors'!$A:$A, $C213) &gt; 0,_xlfn.XLOOKUP($C213,'Premade Flavors'!$A:$A,'Premade Flavors'!P:P),_xlfn.XLOOKUP("How Much Of The First Sweetner? ",[1]Sheet1!$1:$1,[1]Sheet1!213:213))</f>
        <v>0</v>
      </c>
      <c r="Q213" s="45">
        <f>IF(COUNTIF('Premade Flavors'!$A:$A, $C213) &gt; 0,_xlfn.XLOOKUP($C213,'Premade Flavors'!$A:$A,'Premade Flavors'!Q:Q),[2]Sheet1!S213)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Flavors'!E:E),_xlfn.XLOOKUP("What's The First Flavor You Want? ",[1]Sheet1!$1:$1,[1]Sheet1!214:214))</f>
        <v>0</v>
      </c>
      <c r="G214" s="31">
        <f>IF(COUNTIF('Premade Flavors'!$A:$A, $C214) &gt; 0,_xlfn.XLOOKUP($C214,'Premade Flavors'!$A:$A,'Premade Flavors'!F:F),_xlfn.XLOOKUP("What's the Second Flavor You Want?",[1]Sheet1!$1:$1,[1]Sheet1!214:214))</f>
        <v>0</v>
      </c>
      <c r="H214" s="31">
        <f>IF(COUNTIF('Premade Flavors'!$A:$A, $C214) &gt; 0,_xlfn.XLOOKUP($C214,'Premade Flavors'!$A:$A,'Premade Flavors'!G:G),_xlfn.XLOOKUP("What's The First Mix In That You Want? ",[1]Sheet1!$1:$1,[1]Sheet1!214:214))</f>
        <v>0</v>
      </c>
      <c r="I214" s="31">
        <f>IF(COUNTIF('Premade Flavors'!$A:$A, $C212) &gt; 0,_xlfn.XLOOKUP($C212,'Premade Flavors'!$A:$A,'Premade Flavors'!H:H),IF([2]Sheet1!W212=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Flavors'!I:I),"Stevia"),_xlfn.XLOOKUP("What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Flavors'!M:M),_xlfn.XLOOKUP("How Strong Do You Want The First Flavor?",[1]Sheet1!$1:$1,[1]Sheet1!214:214))</f>
        <v>0</v>
      </c>
      <c r="N214" s="45">
        <f>IF(COUNTIF('Premade Flavors'!$A:$A, $C214) &gt; 0,_xlfn.XLOOKUP($C214,'Premade Flavors'!$A:$A,'Premade Flavors'!N:N),_xlfn.XLOOKUP("How Strong Do You Want The Second Flavor?",[1]Sheet1!$1:$1,[1]Sheet1!214:214))</f>
        <v>0</v>
      </c>
      <c r="O214" s="45">
        <f>IF(COUNTIF('Premade Flavors'!$A:$A, $C214) &gt; 0,_xlfn.XLOOKUP($C214,'Premade Flavors'!$A:$A,'Premade Flavors'!O:O),_xlfn.XLOOKUP("How Dense Should the Mix Ins Be?",[1]Sheet1!$1:$1,[1]Sheet1!214:214))</f>
        <v>0</v>
      </c>
      <c r="P214" s="45">
        <f>IF(COUNTIF('Premade Flavors'!$A:$A, $C214) &gt; 0,_xlfn.XLOOKUP($C214,'Premade Flavors'!$A:$A,'Premade Flavors'!P:P),_xlfn.XLOOKUP("How Much Of The First Sweetner? ",[1]Sheet1!$1:$1,[1]Sheet1!214:214))</f>
        <v>0</v>
      </c>
      <c r="Q214" s="45">
        <f>IF(COUNTIF('Premade Flavors'!$A:$A, $C214) &gt; 0,_xlfn.XLOOKUP($C214,'Premade Flavors'!$A:$A,'Premade Flavors'!Q:Q),[2]Sheet1!S214)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Flavors'!E:E),_xlfn.XLOOKUP("What's The First Flavor You Want? ",[1]Sheet1!$1:$1,[1]Sheet1!215:215))</f>
        <v>0</v>
      </c>
      <c r="G215" s="31">
        <f>IF(COUNTIF('Premade Flavors'!$A:$A, $C215) &gt; 0,_xlfn.XLOOKUP($C215,'Premade Flavors'!$A:$A,'Premade Flavors'!F:F),_xlfn.XLOOKUP("What's the Second Flavor You Want?",[1]Sheet1!$1:$1,[1]Sheet1!215:215))</f>
        <v>0</v>
      </c>
      <c r="H215" s="31">
        <f>IF(COUNTIF('Premade Flavors'!$A:$A, $C215) &gt; 0,_xlfn.XLOOKUP($C215,'Premade Flavors'!$A:$A,'Premade Flavors'!G:G),_xlfn.XLOOKUP("What's The First Mix In That You Want? ",[1]Sheet1!$1:$1,[1]Sheet1!215:215))</f>
        <v>0</v>
      </c>
      <c r="I215" s="31">
        <f>IF(COUNTIF('Premade Flavors'!$A:$A, $C213) &gt; 0,_xlfn.XLOOKUP($C213,'Premade Flavors'!$A:$A,'Premade Flavors'!H:H),IF([2]Sheet1!W213=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Flavors'!I:I),"Stevia"),_xlfn.XLOOKUP("What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Flavors'!M:M),_xlfn.XLOOKUP("How Strong Do You Want The First Flavor?",[1]Sheet1!$1:$1,[1]Sheet1!215:215))</f>
        <v>0</v>
      </c>
      <c r="N215" s="45">
        <f>IF(COUNTIF('Premade Flavors'!$A:$A, $C215) &gt; 0,_xlfn.XLOOKUP($C215,'Premade Flavors'!$A:$A,'Premade Flavors'!N:N),_xlfn.XLOOKUP("How Strong Do You Want The Second Flavor?",[1]Sheet1!$1:$1,[1]Sheet1!215:215))</f>
        <v>0</v>
      </c>
      <c r="O215" s="45">
        <f>IF(COUNTIF('Premade Flavors'!$A:$A, $C215) &gt; 0,_xlfn.XLOOKUP($C215,'Premade Flavors'!$A:$A,'Premade Flavors'!O:O),_xlfn.XLOOKUP("How Dense Should the Mix Ins Be?",[1]Sheet1!$1:$1,[1]Sheet1!215:215))</f>
        <v>0</v>
      </c>
      <c r="P215" s="45">
        <f>IF(COUNTIF('Premade Flavors'!$A:$A, $C215) &gt; 0,_xlfn.XLOOKUP($C215,'Premade Flavors'!$A:$A,'Premade Flavors'!P:P),_xlfn.XLOOKUP("How Much Of The First Sweetner? ",[1]Sheet1!$1:$1,[1]Sheet1!215:215))</f>
        <v>0</v>
      </c>
      <c r="Q215" s="45">
        <f>IF(COUNTIF('Premade Flavors'!$A:$A, $C215) &gt; 0,_xlfn.XLOOKUP($C215,'Premade Flavors'!$A:$A,'Premade Flavors'!Q:Q),[2]Sheet1!S215)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Flavors'!E:E),_xlfn.XLOOKUP("What's The First Flavor You Want? ",[1]Sheet1!$1:$1,[1]Sheet1!216:216))</f>
        <v>0</v>
      </c>
      <c r="G216" s="31">
        <f>IF(COUNTIF('Premade Flavors'!$A:$A, $C216) &gt; 0,_xlfn.XLOOKUP($C216,'Premade Flavors'!$A:$A,'Premade Flavors'!F:F),_xlfn.XLOOKUP("What's the Second Flavor You Want?",[1]Sheet1!$1:$1,[1]Sheet1!216:216))</f>
        <v>0</v>
      </c>
      <c r="H216" s="31">
        <f>IF(COUNTIF('Premade Flavors'!$A:$A, $C216) &gt; 0,_xlfn.XLOOKUP($C216,'Premade Flavors'!$A:$A,'Premade Flavors'!G:G),_xlfn.XLOOKUP("What's The First Mix In That You Want? ",[1]Sheet1!$1:$1,[1]Sheet1!216:216))</f>
        <v>0</v>
      </c>
      <c r="I216" s="31">
        <f>IF(COUNTIF('Premade Flavors'!$A:$A, $C214) &gt; 0,_xlfn.XLOOKUP($C214,'Premade Flavors'!$A:$A,'Premade Flavors'!H:H),IF([2]Sheet1!W214=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Flavors'!I:I),"Stevia"),_xlfn.XLOOKUP("What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Flavors'!M:M),_xlfn.XLOOKUP("How Strong Do You Want The First Flavor?",[1]Sheet1!$1:$1,[1]Sheet1!216:216))</f>
        <v>0</v>
      </c>
      <c r="N216" s="45">
        <f>IF(COUNTIF('Premade Flavors'!$A:$A, $C216) &gt; 0,_xlfn.XLOOKUP($C216,'Premade Flavors'!$A:$A,'Premade Flavors'!N:N),_xlfn.XLOOKUP("How Strong Do You Want The Second Flavor?",[1]Sheet1!$1:$1,[1]Sheet1!216:216))</f>
        <v>0</v>
      </c>
      <c r="O216" s="45">
        <f>IF(COUNTIF('Premade Flavors'!$A:$A, $C216) &gt; 0,_xlfn.XLOOKUP($C216,'Premade Flavors'!$A:$A,'Premade Flavors'!O:O),_xlfn.XLOOKUP("How Dense Should the Mix Ins Be?",[1]Sheet1!$1:$1,[1]Sheet1!216:216))</f>
        <v>0</v>
      </c>
      <c r="P216" s="45">
        <f>IF(COUNTIF('Premade Flavors'!$A:$A, $C216) &gt; 0,_xlfn.XLOOKUP($C216,'Premade Flavors'!$A:$A,'Premade Flavors'!P:P),_xlfn.XLOOKUP("How Much Of The First Sweetner? ",[1]Sheet1!$1:$1,[1]Sheet1!216:216))</f>
        <v>0</v>
      </c>
      <c r="Q216" s="45">
        <f>IF(COUNTIF('Premade Flavors'!$A:$A, $C216) &gt; 0,_xlfn.XLOOKUP($C216,'Premade Flavors'!$A:$A,'Premade Flavors'!Q:Q),[2]Sheet1!S216)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Flavors'!E:E),_xlfn.XLOOKUP("What's The First Flavor You Want? ",[1]Sheet1!$1:$1,[1]Sheet1!217:217))</f>
        <v>0</v>
      </c>
      <c r="G217" s="31">
        <f>IF(COUNTIF('Premade Flavors'!$A:$A, $C217) &gt; 0,_xlfn.XLOOKUP($C217,'Premade Flavors'!$A:$A,'Premade Flavors'!F:F),_xlfn.XLOOKUP("What's the Second Flavor You Want?",[1]Sheet1!$1:$1,[1]Sheet1!217:217))</f>
        <v>0</v>
      </c>
      <c r="H217" s="31">
        <f>IF(COUNTIF('Premade Flavors'!$A:$A, $C217) &gt; 0,_xlfn.XLOOKUP($C217,'Premade Flavors'!$A:$A,'Premade Flavors'!G:G),_xlfn.XLOOKUP("What's The First Mix In That You Want? ",[1]Sheet1!$1:$1,[1]Sheet1!217:217))</f>
        <v>0</v>
      </c>
      <c r="I217" s="31">
        <f>IF(COUNTIF('Premade Flavors'!$A:$A, $C215) &gt; 0,_xlfn.XLOOKUP($C215,'Premade Flavors'!$A:$A,'Premade Flavors'!H:H),IF([2]Sheet1!W215=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Flavors'!I:I),"Stevia"),_xlfn.XLOOKUP("What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Flavors'!M:M),_xlfn.XLOOKUP("How Strong Do You Want The First Flavor?",[1]Sheet1!$1:$1,[1]Sheet1!217:217))</f>
        <v>0</v>
      </c>
      <c r="N217" s="45">
        <f>IF(COUNTIF('Premade Flavors'!$A:$A, $C217) &gt; 0,_xlfn.XLOOKUP($C217,'Premade Flavors'!$A:$A,'Premade Flavors'!N:N),_xlfn.XLOOKUP("How Strong Do You Want The Second Flavor?",[1]Sheet1!$1:$1,[1]Sheet1!217:217))</f>
        <v>0</v>
      </c>
      <c r="O217" s="45">
        <f>IF(COUNTIF('Premade Flavors'!$A:$A, $C217) &gt; 0,_xlfn.XLOOKUP($C217,'Premade Flavors'!$A:$A,'Premade Flavors'!O:O),_xlfn.XLOOKUP("How Dense Should the Mix Ins Be?",[1]Sheet1!$1:$1,[1]Sheet1!217:217))</f>
        <v>0</v>
      </c>
      <c r="P217" s="45">
        <f>IF(COUNTIF('Premade Flavors'!$A:$A, $C217) &gt; 0,_xlfn.XLOOKUP($C217,'Premade Flavors'!$A:$A,'Premade Flavors'!P:P),_xlfn.XLOOKUP("How Much Of The First Sweetner? ",[1]Sheet1!$1:$1,[1]Sheet1!217:217))</f>
        <v>0</v>
      </c>
      <c r="Q217" s="45">
        <f>IF(COUNTIF('Premade Flavors'!$A:$A, $C217) &gt; 0,_xlfn.XLOOKUP($C217,'Premade Flavors'!$A:$A,'Premade Flavors'!Q:Q),[2]Sheet1!S217)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Flavors'!E:E),_xlfn.XLOOKUP("What's The First Flavor You Want? ",[1]Sheet1!$1:$1,[1]Sheet1!218:218))</f>
        <v>0</v>
      </c>
      <c r="G218" s="31">
        <f>IF(COUNTIF('Premade Flavors'!$A:$A, $C218) &gt; 0,_xlfn.XLOOKUP($C218,'Premade Flavors'!$A:$A,'Premade Flavors'!F:F),_xlfn.XLOOKUP("What's the Second Flavor You Want?",[1]Sheet1!$1:$1,[1]Sheet1!218:218))</f>
        <v>0</v>
      </c>
      <c r="H218" s="31">
        <f>IF(COUNTIF('Premade Flavors'!$A:$A, $C218) &gt; 0,_xlfn.XLOOKUP($C218,'Premade Flavors'!$A:$A,'Premade Flavors'!G:G),_xlfn.XLOOKUP("What's The First Mix In That You Want? ",[1]Sheet1!$1:$1,[1]Sheet1!218:218))</f>
        <v>0</v>
      </c>
      <c r="I218" s="31">
        <f>IF(COUNTIF('Premade Flavors'!$A:$A, $C216) &gt; 0,_xlfn.XLOOKUP($C216,'Premade Flavors'!$A:$A,'Premade Flavors'!H:H),IF([2]Sheet1!W216=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Flavors'!I:I),"Stevia"),_xlfn.XLOOKUP("What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Flavors'!M:M),_xlfn.XLOOKUP("How Strong Do You Want The First Flavor?",[1]Sheet1!$1:$1,[1]Sheet1!218:218))</f>
        <v>0</v>
      </c>
      <c r="N218" s="45">
        <f>IF(COUNTIF('Premade Flavors'!$A:$A, $C218) &gt; 0,_xlfn.XLOOKUP($C218,'Premade Flavors'!$A:$A,'Premade Flavors'!N:N),_xlfn.XLOOKUP("How Strong Do You Want The Second Flavor?",[1]Sheet1!$1:$1,[1]Sheet1!218:218))</f>
        <v>0</v>
      </c>
      <c r="O218" s="45">
        <f>IF(COUNTIF('Premade Flavors'!$A:$A, $C218) &gt; 0,_xlfn.XLOOKUP($C218,'Premade Flavors'!$A:$A,'Premade Flavors'!O:O),_xlfn.XLOOKUP("How Dense Should the Mix Ins Be?",[1]Sheet1!$1:$1,[1]Sheet1!218:218))</f>
        <v>0</v>
      </c>
      <c r="P218" s="45">
        <f>IF(COUNTIF('Premade Flavors'!$A:$A, $C218) &gt; 0,_xlfn.XLOOKUP($C218,'Premade Flavors'!$A:$A,'Premade Flavors'!P:P),_xlfn.XLOOKUP("How Much Of The First Sweetner? ",[1]Sheet1!$1:$1,[1]Sheet1!218:218))</f>
        <v>0</v>
      </c>
      <c r="Q218" s="45">
        <f>IF(COUNTIF('Premade Flavors'!$A:$A, $C218) &gt; 0,_xlfn.XLOOKUP($C218,'Premade Flavors'!$A:$A,'Premade Flavors'!Q:Q),[2]Sheet1!S218)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Flavors'!E:E),_xlfn.XLOOKUP("What's The First Flavor You Want? ",[1]Sheet1!$1:$1,[1]Sheet1!219:219))</f>
        <v>0</v>
      </c>
      <c r="G219" s="31">
        <f>IF(COUNTIF('Premade Flavors'!$A:$A, $C219) &gt; 0,_xlfn.XLOOKUP($C219,'Premade Flavors'!$A:$A,'Premade Flavors'!F:F),_xlfn.XLOOKUP("What's the Second Flavor You Want?",[1]Sheet1!$1:$1,[1]Sheet1!219:219))</f>
        <v>0</v>
      </c>
      <c r="H219" s="31">
        <f>IF(COUNTIF('Premade Flavors'!$A:$A, $C219) &gt; 0,_xlfn.XLOOKUP($C219,'Premade Flavors'!$A:$A,'Premade Flavors'!G:G),_xlfn.XLOOKUP("What's The First Mix In That You Want? ",[1]Sheet1!$1:$1,[1]Sheet1!219:219))</f>
        <v>0</v>
      </c>
      <c r="I219" s="31">
        <f>IF(COUNTIF('Premade Flavors'!$A:$A, $C217) &gt; 0,_xlfn.XLOOKUP($C217,'Premade Flavors'!$A:$A,'Premade Flavors'!H:H),IF([2]Sheet1!W217=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Flavors'!I:I),"Stevia"),_xlfn.XLOOKUP("What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Flavors'!M:M),_xlfn.XLOOKUP("How Strong Do You Want The First Flavor?",[1]Sheet1!$1:$1,[1]Sheet1!219:219))</f>
        <v>0</v>
      </c>
      <c r="N219" s="45">
        <f>IF(COUNTIF('Premade Flavors'!$A:$A, $C219) &gt; 0,_xlfn.XLOOKUP($C219,'Premade Flavors'!$A:$A,'Premade Flavors'!N:N),_xlfn.XLOOKUP("How Strong Do You Want The Second Flavor?",[1]Sheet1!$1:$1,[1]Sheet1!219:219))</f>
        <v>0</v>
      </c>
      <c r="O219" s="45">
        <f>IF(COUNTIF('Premade Flavors'!$A:$A, $C219) &gt; 0,_xlfn.XLOOKUP($C219,'Premade Flavors'!$A:$A,'Premade Flavors'!O:O),_xlfn.XLOOKUP("How Dense Should the Mix Ins Be?",[1]Sheet1!$1:$1,[1]Sheet1!219:219))</f>
        <v>0</v>
      </c>
      <c r="P219" s="45">
        <f>IF(COUNTIF('Premade Flavors'!$A:$A, $C219) &gt; 0,_xlfn.XLOOKUP($C219,'Premade Flavors'!$A:$A,'Premade Flavors'!P:P),_xlfn.XLOOKUP("How Much Of The First Sweetner? ",[1]Sheet1!$1:$1,[1]Sheet1!219:219))</f>
        <v>0</v>
      </c>
      <c r="Q219" s="45">
        <f>IF(COUNTIF('Premade Flavors'!$A:$A, $C219) &gt; 0,_xlfn.XLOOKUP($C219,'Premade Flavors'!$A:$A,'Premade Flavors'!Q:Q),[2]Sheet1!S219)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Flavors'!E:E),_xlfn.XLOOKUP("What's The First Flavor You Want? ",[1]Sheet1!$1:$1,[1]Sheet1!220:220))</f>
        <v>0</v>
      </c>
      <c r="G220" s="31">
        <f>IF(COUNTIF('Premade Flavors'!$A:$A, $C220) &gt; 0,_xlfn.XLOOKUP($C220,'Premade Flavors'!$A:$A,'Premade Flavors'!F:F),_xlfn.XLOOKUP("What's the Second Flavor You Want?",[1]Sheet1!$1:$1,[1]Sheet1!220:220))</f>
        <v>0</v>
      </c>
      <c r="H220" s="31">
        <f>IF(COUNTIF('Premade Flavors'!$A:$A, $C220) &gt; 0,_xlfn.XLOOKUP($C220,'Premade Flavors'!$A:$A,'Premade Flavors'!G:G),_xlfn.XLOOKUP("What's The First Mix In That You Want? ",[1]Sheet1!$1:$1,[1]Sheet1!220:220))</f>
        <v>0</v>
      </c>
      <c r="I220" s="31">
        <f>IF(COUNTIF('Premade Flavors'!$A:$A, $C218) &gt; 0,_xlfn.XLOOKUP($C218,'Premade Flavors'!$A:$A,'Premade Flavors'!H:H),IF([2]Sheet1!W218=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Flavors'!I:I),"Stevia"),_xlfn.XLOOKUP("What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Flavors'!M:M),_xlfn.XLOOKUP("How Strong Do You Want The First Flavor?",[1]Sheet1!$1:$1,[1]Sheet1!220:220))</f>
        <v>0</v>
      </c>
      <c r="N220" s="45">
        <f>IF(COUNTIF('Premade Flavors'!$A:$A, $C220) &gt; 0,_xlfn.XLOOKUP($C220,'Premade Flavors'!$A:$A,'Premade Flavors'!N:N),_xlfn.XLOOKUP("How Strong Do You Want The Second Flavor?",[1]Sheet1!$1:$1,[1]Sheet1!220:220))</f>
        <v>0</v>
      </c>
      <c r="O220" s="45">
        <f>IF(COUNTIF('Premade Flavors'!$A:$A, $C220) &gt; 0,_xlfn.XLOOKUP($C220,'Premade Flavors'!$A:$A,'Premade Flavors'!O:O),_xlfn.XLOOKUP("How Dense Should the Mix Ins Be?",[1]Sheet1!$1:$1,[1]Sheet1!220:220))</f>
        <v>0</v>
      </c>
      <c r="P220" s="45">
        <f>IF(COUNTIF('Premade Flavors'!$A:$A, $C220) &gt; 0,_xlfn.XLOOKUP($C220,'Premade Flavors'!$A:$A,'Premade Flavors'!P:P),_xlfn.XLOOKUP("How Much Of The First Sweetner? ",[1]Sheet1!$1:$1,[1]Sheet1!220:220))</f>
        <v>0</v>
      </c>
      <c r="Q220" s="45">
        <f>IF(COUNTIF('Premade Flavors'!$A:$A, $C220) &gt; 0,_xlfn.XLOOKUP($C220,'Premade Flavors'!$A:$A,'Premade Flavors'!Q:Q),[2]Sheet1!S220)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Flavors'!E:E),_xlfn.XLOOKUP("What's The First Flavor You Want? ",[1]Sheet1!$1:$1,[1]Sheet1!221:221))</f>
        <v>0</v>
      </c>
      <c r="G221" s="31">
        <f>IF(COUNTIF('Premade Flavors'!$A:$A, $C221) &gt; 0,_xlfn.XLOOKUP($C221,'Premade Flavors'!$A:$A,'Premade Flavors'!F:F),_xlfn.XLOOKUP("What's the Second Flavor You Want?",[1]Sheet1!$1:$1,[1]Sheet1!221:221))</f>
        <v>0</v>
      </c>
      <c r="H221" s="31">
        <f>IF(COUNTIF('Premade Flavors'!$A:$A, $C221) &gt; 0,_xlfn.XLOOKUP($C221,'Premade Flavors'!$A:$A,'Premade Flavors'!G:G),_xlfn.XLOOKUP("What's The First Mix In That You Want? ",[1]Sheet1!$1:$1,[1]Sheet1!221:221))</f>
        <v>0</v>
      </c>
      <c r="I221" s="31">
        <f>IF(COUNTIF('Premade Flavors'!$A:$A, $C219) &gt; 0,_xlfn.XLOOKUP($C219,'Premade Flavors'!$A:$A,'Premade Flavors'!H:H),IF([2]Sheet1!W219=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Flavors'!I:I),"Stevia"),_xlfn.XLOOKUP("What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Flavors'!M:M),_xlfn.XLOOKUP("How Strong Do You Want The First Flavor?",[1]Sheet1!$1:$1,[1]Sheet1!221:221))</f>
        <v>0</v>
      </c>
      <c r="N221" s="45">
        <f>IF(COUNTIF('Premade Flavors'!$A:$A, $C221) &gt; 0,_xlfn.XLOOKUP($C221,'Premade Flavors'!$A:$A,'Premade Flavors'!N:N),_xlfn.XLOOKUP("How Strong Do You Want The Second Flavor?",[1]Sheet1!$1:$1,[1]Sheet1!221:221))</f>
        <v>0</v>
      </c>
      <c r="O221" s="45">
        <f>IF(COUNTIF('Premade Flavors'!$A:$A, $C221) &gt; 0,_xlfn.XLOOKUP($C221,'Premade Flavors'!$A:$A,'Premade Flavors'!O:O),_xlfn.XLOOKUP("How Dense Should the Mix Ins Be?",[1]Sheet1!$1:$1,[1]Sheet1!221:221))</f>
        <v>0</v>
      </c>
      <c r="P221" s="45">
        <f>IF(COUNTIF('Premade Flavors'!$A:$A, $C221) &gt; 0,_xlfn.XLOOKUP($C221,'Premade Flavors'!$A:$A,'Premade Flavors'!P:P),_xlfn.XLOOKUP("How Much Of The First Sweetner? ",[1]Sheet1!$1:$1,[1]Sheet1!221:221))</f>
        <v>0</v>
      </c>
      <c r="Q221" s="45">
        <f>IF(COUNTIF('Premade Flavors'!$A:$A, $C221) &gt; 0,_xlfn.XLOOKUP($C221,'Premade Flavors'!$A:$A,'Premade Flavors'!Q:Q),[2]Sheet1!S221)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Flavors'!E:E),_xlfn.XLOOKUP("What's The First Flavor You Want? ",[1]Sheet1!$1:$1,[1]Sheet1!222:222))</f>
        <v>0</v>
      </c>
      <c r="G222" s="31">
        <f>IF(COUNTIF('Premade Flavors'!$A:$A, $C222) &gt; 0,_xlfn.XLOOKUP($C222,'Premade Flavors'!$A:$A,'Premade Flavors'!F:F),_xlfn.XLOOKUP("What's the Second Flavor You Want?",[1]Sheet1!$1:$1,[1]Sheet1!222:222))</f>
        <v>0</v>
      </c>
      <c r="H222" s="31">
        <f>IF(COUNTIF('Premade Flavors'!$A:$A, $C222) &gt; 0,_xlfn.XLOOKUP($C222,'Premade Flavors'!$A:$A,'Premade Flavors'!G:G),_xlfn.XLOOKUP("What's The First Mix In That You Want? ",[1]Sheet1!$1:$1,[1]Sheet1!222:222))</f>
        <v>0</v>
      </c>
      <c r="I222" s="31">
        <f>IF(COUNTIF('Premade Flavors'!$A:$A, $C220) &gt; 0,_xlfn.XLOOKUP($C220,'Premade Flavors'!$A:$A,'Premade Flavors'!H:H),IF([2]Sheet1!W220=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Flavors'!I:I),"Stevia"),_xlfn.XLOOKUP("What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Flavors'!M:M),_xlfn.XLOOKUP("How Strong Do You Want The First Flavor?",[1]Sheet1!$1:$1,[1]Sheet1!222:222))</f>
        <v>0</v>
      </c>
      <c r="N222" s="45">
        <f>IF(COUNTIF('Premade Flavors'!$A:$A, $C222) &gt; 0,_xlfn.XLOOKUP($C222,'Premade Flavors'!$A:$A,'Premade Flavors'!N:N),_xlfn.XLOOKUP("How Strong Do You Want The Second Flavor?",[1]Sheet1!$1:$1,[1]Sheet1!222:222))</f>
        <v>0</v>
      </c>
      <c r="O222" s="45">
        <f>IF(COUNTIF('Premade Flavors'!$A:$A, $C222) &gt; 0,_xlfn.XLOOKUP($C222,'Premade Flavors'!$A:$A,'Premade Flavors'!O:O),_xlfn.XLOOKUP("How Dense Should the Mix Ins Be?",[1]Sheet1!$1:$1,[1]Sheet1!222:222))</f>
        <v>0</v>
      </c>
      <c r="P222" s="45">
        <f>IF(COUNTIF('Premade Flavors'!$A:$A, $C222) &gt; 0,_xlfn.XLOOKUP($C222,'Premade Flavors'!$A:$A,'Premade Flavors'!P:P),_xlfn.XLOOKUP("How Much Of The First Sweetner? ",[1]Sheet1!$1:$1,[1]Sheet1!222:222))</f>
        <v>0</v>
      </c>
      <c r="Q222" s="45">
        <f>IF(COUNTIF('Premade Flavors'!$A:$A, $C222) &gt; 0,_xlfn.XLOOKUP($C222,'Premade Flavors'!$A:$A,'Premade Flavors'!Q:Q),[2]Sheet1!S222)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Flavors'!E:E),_xlfn.XLOOKUP("What's The First Flavor You Want? ",[1]Sheet1!$1:$1,[1]Sheet1!223:223))</f>
        <v>0</v>
      </c>
      <c r="G223" s="31">
        <f>IF(COUNTIF('Premade Flavors'!$A:$A, $C223) &gt; 0,_xlfn.XLOOKUP($C223,'Premade Flavors'!$A:$A,'Premade Flavors'!F:F),_xlfn.XLOOKUP("What's the Second Flavor You Want?",[1]Sheet1!$1:$1,[1]Sheet1!223:223))</f>
        <v>0</v>
      </c>
      <c r="H223" s="31">
        <f>IF(COUNTIF('Premade Flavors'!$A:$A, $C223) &gt; 0,_xlfn.XLOOKUP($C223,'Premade Flavors'!$A:$A,'Premade Flavors'!G:G),_xlfn.XLOOKUP("What's The First Mix In That You Want? ",[1]Sheet1!$1:$1,[1]Sheet1!223:223))</f>
        <v>0</v>
      </c>
      <c r="I223" s="31">
        <f>IF(COUNTIF('Premade Flavors'!$A:$A, $C221) &gt; 0,_xlfn.XLOOKUP($C221,'Premade Flavors'!$A:$A,'Premade Flavors'!H:H),IF([2]Sheet1!W221=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Flavors'!I:I),"Stevia"),_xlfn.XLOOKUP("What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Flavors'!M:M),_xlfn.XLOOKUP("How Strong Do You Want The First Flavor?",[1]Sheet1!$1:$1,[1]Sheet1!223:223))</f>
        <v>0</v>
      </c>
      <c r="N223" s="45">
        <f>IF(COUNTIF('Premade Flavors'!$A:$A, $C223) &gt; 0,_xlfn.XLOOKUP($C223,'Premade Flavors'!$A:$A,'Premade Flavors'!N:N),_xlfn.XLOOKUP("How Strong Do You Want The Second Flavor?",[1]Sheet1!$1:$1,[1]Sheet1!223:223))</f>
        <v>0</v>
      </c>
      <c r="O223" s="45">
        <f>IF(COUNTIF('Premade Flavors'!$A:$A, $C223) &gt; 0,_xlfn.XLOOKUP($C223,'Premade Flavors'!$A:$A,'Premade Flavors'!O:O),_xlfn.XLOOKUP("How Dense Should the Mix Ins Be?",[1]Sheet1!$1:$1,[1]Sheet1!223:223))</f>
        <v>0</v>
      </c>
      <c r="P223" s="45">
        <f>IF(COUNTIF('Premade Flavors'!$A:$A, $C223) &gt; 0,_xlfn.XLOOKUP($C223,'Premade Flavors'!$A:$A,'Premade Flavors'!P:P),_xlfn.XLOOKUP("How Much Of The First Sweetner? ",[1]Sheet1!$1:$1,[1]Sheet1!223:223))</f>
        <v>0</v>
      </c>
      <c r="Q223" s="45">
        <f>IF(COUNTIF('Premade Flavors'!$A:$A, $C223) &gt; 0,_xlfn.XLOOKUP($C223,'Premade Flavors'!$A:$A,'Premade Flavors'!Q:Q),[2]Sheet1!S223)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Flavors'!E:E),_xlfn.XLOOKUP("What's The First Flavor You Want? ",[1]Sheet1!$1:$1,[1]Sheet1!224:224))</f>
        <v>0</v>
      </c>
      <c r="G224" s="31">
        <f>IF(COUNTIF('Premade Flavors'!$A:$A, $C224) &gt; 0,_xlfn.XLOOKUP($C224,'Premade Flavors'!$A:$A,'Premade Flavors'!F:F),_xlfn.XLOOKUP("What's the Second Flavor You Want?",[1]Sheet1!$1:$1,[1]Sheet1!224:224))</f>
        <v>0</v>
      </c>
      <c r="H224" s="31">
        <f>IF(COUNTIF('Premade Flavors'!$A:$A, $C224) &gt; 0,_xlfn.XLOOKUP($C224,'Premade Flavors'!$A:$A,'Premade Flavors'!G:G),_xlfn.XLOOKUP("What's The First Mix In That You Want? ",[1]Sheet1!$1:$1,[1]Sheet1!224:224))</f>
        <v>0</v>
      </c>
      <c r="I224" s="31">
        <f>IF(COUNTIF('Premade Flavors'!$A:$A, $C222) &gt; 0,_xlfn.XLOOKUP($C222,'Premade Flavors'!$A:$A,'Premade Flavors'!H:H),IF([2]Sheet1!W222=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Flavors'!I:I),"Stevia"),_xlfn.XLOOKUP("What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Flavors'!M:M),_xlfn.XLOOKUP("How Strong Do You Want The First Flavor?",[1]Sheet1!$1:$1,[1]Sheet1!224:224))</f>
        <v>0</v>
      </c>
      <c r="N224" s="45">
        <f>IF(COUNTIF('Premade Flavors'!$A:$A, $C224) &gt; 0,_xlfn.XLOOKUP($C224,'Premade Flavors'!$A:$A,'Premade Flavors'!N:N),_xlfn.XLOOKUP("How Strong Do You Want The Second Flavor?",[1]Sheet1!$1:$1,[1]Sheet1!224:224))</f>
        <v>0</v>
      </c>
      <c r="O224" s="45">
        <f>IF(COUNTIF('Premade Flavors'!$A:$A, $C224) &gt; 0,_xlfn.XLOOKUP($C224,'Premade Flavors'!$A:$A,'Premade Flavors'!O:O),_xlfn.XLOOKUP("How Dense Should the Mix Ins Be?",[1]Sheet1!$1:$1,[1]Sheet1!224:224))</f>
        <v>0</v>
      </c>
      <c r="P224" s="45">
        <f>IF(COUNTIF('Premade Flavors'!$A:$A, $C224) &gt; 0,_xlfn.XLOOKUP($C224,'Premade Flavors'!$A:$A,'Premade Flavors'!P:P),_xlfn.XLOOKUP("How Much Of The First Sweetner? ",[1]Sheet1!$1:$1,[1]Sheet1!224:224))</f>
        <v>0</v>
      </c>
      <c r="Q224" s="45">
        <f>IF(COUNTIF('Premade Flavors'!$A:$A, $C224) &gt; 0,_xlfn.XLOOKUP($C224,'Premade Flavors'!$A:$A,'Premade Flavors'!Q:Q),[2]Sheet1!S224)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Flavors'!E:E),_xlfn.XLOOKUP("What's The First Flavor You Want? ",[1]Sheet1!$1:$1,[1]Sheet1!225:225))</f>
        <v>0</v>
      </c>
      <c r="G225" s="31">
        <f>IF(COUNTIF('Premade Flavors'!$A:$A, $C225) &gt; 0,_xlfn.XLOOKUP($C225,'Premade Flavors'!$A:$A,'Premade Flavors'!F:F),_xlfn.XLOOKUP("What's the Second Flavor You Want?",[1]Sheet1!$1:$1,[1]Sheet1!225:225))</f>
        <v>0</v>
      </c>
      <c r="H225" s="31">
        <f>IF(COUNTIF('Premade Flavors'!$A:$A, $C225) &gt; 0,_xlfn.XLOOKUP($C225,'Premade Flavors'!$A:$A,'Premade Flavors'!G:G),_xlfn.XLOOKUP("What's The First Mix In That You Want? ",[1]Sheet1!$1:$1,[1]Sheet1!225:225))</f>
        <v>0</v>
      </c>
      <c r="I225" s="31">
        <f>IF(COUNTIF('Premade Flavors'!$A:$A, $C223) &gt; 0,_xlfn.XLOOKUP($C223,'Premade Flavors'!$A:$A,'Premade Flavors'!H:H),IF([2]Sheet1!W223=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Flavors'!I:I),"Stevia"),_xlfn.XLOOKUP("What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Flavors'!M:M),_xlfn.XLOOKUP("How Strong Do You Want The First Flavor?",[1]Sheet1!$1:$1,[1]Sheet1!225:225))</f>
        <v>0</v>
      </c>
      <c r="N225" s="45">
        <f>IF(COUNTIF('Premade Flavors'!$A:$A, $C225) &gt; 0,_xlfn.XLOOKUP($C225,'Premade Flavors'!$A:$A,'Premade Flavors'!N:N),_xlfn.XLOOKUP("How Strong Do You Want The Second Flavor?",[1]Sheet1!$1:$1,[1]Sheet1!225:225))</f>
        <v>0</v>
      </c>
      <c r="O225" s="45">
        <f>IF(COUNTIF('Premade Flavors'!$A:$A, $C225) &gt; 0,_xlfn.XLOOKUP($C225,'Premade Flavors'!$A:$A,'Premade Flavors'!O:O),_xlfn.XLOOKUP("How Dense Should the Mix Ins Be?",[1]Sheet1!$1:$1,[1]Sheet1!225:225))</f>
        <v>0</v>
      </c>
      <c r="P225" s="45">
        <f>IF(COUNTIF('Premade Flavors'!$A:$A, $C225) &gt; 0,_xlfn.XLOOKUP($C225,'Premade Flavors'!$A:$A,'Premade Flavors'!P:P),_xlfn.XLOOKUP("How Much Of The First Sweetner? ",[1]Sheet1!$1:$1,[1]Sheet1!225:225))</f>
        <v>0</v>
      </c>
      <c r="Q225" s="45">
        <f>IF(COUNTIF('Premade Flavors'!$A:$A, $C225) &gt; 0,_xlfn.XLOOKUP($C225,'Premade Flavors'!$A:$A,'Premade Flavors'!Q:Q),[2]Sheet1!S225)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Flavors'!E:E),_xlfn.XLOOKUP("What's The First Flavor You Want? ",[1]Sheet1!$1:$1,[1]Sheet1!226:226))</f>
        <v>0</v>
      </c>
      <c r="G226" s="31">
        <f>IF(COUNTIF('Premade Flavors'!$A:$A, $C226) &gt; 0,_xlfn.XLOOKUP($C226,'Premade Flavors'!$A:$A,'Premade Flavors'!F:F),_xlfn.XLOOKUP("What's the Second Flavor You Want?",[1]Sheet1!$1:$1,[1]Sheet1!226:226))</f>
        <v>0</v>
      </c>
      <c r="H226" s="31">
        <f>IF(COUNTIF('Premade Flavors'!$A:$A, $C226) &gt; 0,_xlfn.XLOOKUP($C226,'Premade Flavors'!$A:$A,'Premade Flavors'!G:G),_xlfn.XLOOKUP("What's The First Mix In That You Want? ",[1]Sheet1!$1:$1,[1]Sheet1!226:226))</f>
        <v>0</v>
      </c>
      <c r="I226" s="31">
        <f>IF(COUNTIF('Premade Flavors'!$A:$A, $C224) &gt; 0,_xlfn.XLOOKUP($C224,'Premade Flavors'!$A:$A,'Premade Flavors'!H:H),IF([2]Sheet1!W224=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Flavors'!I:I),"Stevia"),_xlfn.XLOOKUP("What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Flavors'!M:M),_xlfn.XLOOKUP("How Strong Do You Want The First Flavor?",[1]Sheet1!$1:$1,[1]Sheet1!226:226))</f>
        <v>0</v>
      </c>
      <c r="N226" s="45">
        <f>IF(COUNTIF('Premade Flavors'!$A:$A, $C226) &gt; 0,_xlfn.XLOOKUP($C226,'Premade Flavors'!$A:$A,'Premade Flavors'!N:N),_xlfn.XLOOKUP("How Strong Do You Want The Second Flavor?",[1]Sheet1!$1:$1,[1]Sheet1!226:226))</f>
        <v>0</v>
      </c>
      <c r="O226" s="45">
        <f>IF(COUNTIF('Premade Flavors'!$A:$A, $C226) &gt; 0,_xlfn.XLOOKUP($C226,'Premade Flavors'!$A:$A,'Premade Flavors'!O:O),_xlfn.XLOOKUP("How Dense Should the Mix Ins Be?",[1]Sheet1!$1:$1,[1]Sheet1!226:226))</f>
        <v>0</v>
      </c>
      <c r="P226" s="45">
        <f>IF(COUNTIF('Premade Flavors'!$A:$A, $C226) &gt; 0,_xlfn.XLOOKUP($C226,'Premade Flavors'!$A:$A,'Premade Flavors'!P:P),_xlfn.XLOOKUP("How Much Of The First Sweetner? ",[1]Sheet1!$1:$1,[1]Sheet1!226:226))</f>
        <v>0</v>
      </c>
      <c r="Q226" s="45">
        <f>IF(COUNTIF('Premade Flavors'!$A:$A, $C226) &gt; 0,_xlfn.XLOOKUP($C226,'Premade Flavors'!$A:$A,'Premade Flavors'!Q:Q),[2]Sheet1!S226)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Flavors'!E:E),_xlfn.XLOOKUP("What's The First Flavor You Want? ",[1]Sheet1!$1:$1,[1]Sheet1!227:227))</f>
        <v>0</v>
      </c>
      <c r="G227" s="31">
        <f>IF(COUNTIF('Premade Flavors'!$A:$A, $C227) &gt; 0,_xlfn.XLOOKUP($C227,'Premade Flavors'!$A:$A,'Premade Flavors'!F:F),_xlfn.XLOOKUP("What's the Second Flavor You Want?",[1]Sheet1!$1:$1,[1]Sheet1!227:227))</f>
        <v>0</v>
      </c>
      <c r="H227" s="31">
        <f>IF(COUNTIF('Premade Flavors'!$A:$A, $C227) &gt; 0,_xlfn.XLOOKUP($C227,'Premade Flavors'!$A:$A,'Premade Flavors'!G:G),_xlfn.XLOOKUP("What's The First Mix In That You Want? ",[1]Sheet1!$1:$1,[1]Sheet1!227:227))</f>
        <v>0</v>
      </c>
      <c r="I227" s="31">
        <f>IF(COUNTIF('Premade Flavors'!$A:$A, $C225) &gt; 0,_xlfn.XLOOKUP($C225,'Premade Flavors'!$A:$A,'Premade Flavors'!H:H),IF([2]Sheet1!W225=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Flavors'!I:I),"Stevia"),_xlfn.XLOOKUP("What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Flavors'!M:M),_xlfn.XLOOKUP("How Strong Do You Want The First Flavor?",[1]Sheet1!$1:$1,[1]Sheet1!227:227))</f>
        <v>0</v>
      </c>
      <c r="N227" s="45">
        <f>IF(COUNTIF('Premade Flavors'!$A:$A, $C227) &gt; 0,_xlfn.XLOOKUP($C227,'Premade Flavors'!$A:$A,'Premade Flavors'!N:N),_xlfn.XLOOKUP("How Strong Do You Want The Second Flavor?",[1]Sheet1!$1:$1,[1]Sheet1!227:227))</f>
        <v>0</v>
      </c>
      <c r="O227" s="45">
        <f>IF(COUNTIF('Premade Flavors'!$A:$A, $C227) &gt; 0,_xlfn.XLOOKUP($C227,'Premade Flavors'!$A:$A,'Premade Flavors'!O:O),_xlfn.XLOOKUP("How Dense Should the Mix Ins Be?",[1]Sheet1!$1:$1,[1]Sheet1!227:227))</f>
        <v>0</v>
      </c>
      <c r="P227" s="45">
        <f>IF(COUNTIF('Premade Flavors'!$A:$A, $C227) &gt; 0,_xlfn.XLOOKUP($C227,'Premade Flavors'!$A:$A,'Premade Flavors'!P:P),_xlfn.XLOOKUP("How Much Of The First Sweetner? ",[1]Sheet1!$1:$1,[1]Sheet1!227:227))</f>
        <v>0</v>
      </c>
      <c r="Q227" s="45">
        <f>IF(COUNTIF('Premade Flavors'!$A:$A, $C227) &gt; 0,_xlfn.XLOOKUP($C227,'Premade Flavors'!$A:$A,'Premade Flavors'!Q:Q),[2]Sheet1!S227)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Flavors'!E:E),_xlfn.XLOOKUP("What's The First Flavor You Want? ",[1]Sheet1!$1:$1,[1]Sheet1!228:228))</f>
        <v>0</v>
      </c>
      <c r="G228" s="31">
        <f>IF(COUNTIF('Premade Flavors'!$A:$A, $C228) &gt; 0,_xlfn.XLOOKUP($C228,'Premade Flavors'!$A:$A,'Premade Flavors'!F:F),_xlfn.XLOOKUP("What's the Second Flavor You Want?",[1]Sheet1!$1:$1,[1]Sheet1!228:228))</f>
        <v>0</v>
      </c>
      <c r="H228" s="31">
        <f>IF(COUNTIF('Premade Flavors'!$A:$A, $C228) &gt; 0,_xlfn.XLOOKUP($C228,'Premade Flavors'!$A:$A,'Premade Flavors'!G:G),_xlfn.XLOOKUP("What's The First Mix In That You Want? ",[1]Sheet1!$1:$1,[1]Sheet1!228:228))</f>
        <v>0</v>
      </c>
      <c r="I228" s="31">
        <f>IF(COUNTIF('Premade Flavors'!$A:$A, $C226) &gt; 0,_xlfn.XLOOKUP($C226,'Premade Flavors'!$A:$A,'Premade Flavors'!H:H),IF([2]Sheet1!W226=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Flavors'!I:I),"Stevia"),_xlfn.XLOOKUP("What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Flavors'!M:M),_xlfn.XLOOKUP("How Strong Do You Want The First Flavor?",[1]Sheet1!$1:$1,[1]Sheet1!228:228))</f>
        <v>0</v>
      </c>
      <c r="N228" s="45">
        <f>IF(COUNTIF('Premade Flavors'!$A:$A, $C228) &gt; 0,_xlfn.XLOOKUP($C228,'Premade Flavors'!$A:$A,'Premade Flavors'!N:N),_xlfn.XLOOKUP("How Strong Do You Want The Second Flavor?",[1]Sheet1!$1:$1,[1]Sheet1!228:228))</f>
        <v>0</v>
      </c>
      <c r="O228" s="45">
        <f>IF(COUNTIF('Premade Flavors'!$A:$A, $C228) &gt; 0,_xlfn.XLOOKUP($C228,'Premade Flavors'!$A:$A,'Premade Flavors'!O:O),_xlfn.XLOOKUP("How Dense Should the Mix Ins Be?",[1]Sheet1!$1:$1,[1]Sheet1!228:228))</f>
        <v>0</v>
      </c>
      <c r="P228" s="45">
        <f>IF(COUNTIF('Premade Flavors'!$A:$A, $C228) &gt; 0,_xlfn.XLOOKUP($C228,'Premade Flavors'!$A:$A,'Premade Flavors'!P:P),_xlfn.XLOOKUP("How Much Of The First Sweetner? ",[1]Sheet1!$1:$1,[1]Sheet1!228:228))</f>
        <v>0</v>
      </c>
      <c r="Q228" s="45">
        <f>IF(COUNTIF('Premade Flavors'!$A:$A, $C228) &gt; 0,_xlfn.XLOOKUP($C228,'Premade Flavors'!$A:$A,'Premade Flavors'!Q:Q),[2]Sheet1!S228)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Flavors'!E:E),_xlfn.XLOOKUP("What's The First Flavor You Want? ",[1]Sheet1!$1:$1,[1]Sheet1!229:229))</f>
        <v>0</v>
      </c>
      <c r="G229" s="31">
        <f>IF(COUNTIF('Premade Flavors'!$A:$A, $C229) &gt; 0,_xlfn.XLOOKUP($C229,'Premade Flavors'!$A:$A,'Premade Flavors'!F:F),_xlfn.XLOOKUP("What's the Second Flavor You Want?",[1]Sheet1!$1:$1,[1]Sheet1!229:229))</f>
        <v>0</v>
      </c>
      <c r="H229" s="31">
        <f>IF(COUNTIF('Premade Flavors'!$A:$A, $C229) &gt; 0,_xlfn.XLOOKUP($C229,'Premade Flavors'!$A:$A,'Premade Flavors'!G:G),_xlfn.XLOOKUP("What's The First Mix In That You Want? ",[1]Sheet1!$1:$1,[1]Sheet1!229:229))</f>
        <v>0</v>
      </c>
      <c r="I229" s="31">
        <f>IF(COUNTIF('Premade Flavors'!$A:$A, $C227) &gt; 0,_xlfn.XLOOKUP($C227,'Premade Flavors'!$A:$A,'Premade Flavors'!H:H),IF([2]Sheet1!W227=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Flavors'!I:I),"Stevia"),_xlfn.XLOOKUP("What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Flavors'!M:M),_xlfn.XLOOKUP("How Strong Do You Want The First Flavor?",[1]Sheet1!$1:$1,[1]Sheet1!229:229))</f>
        <v>0</v>
      </c>
      <c r="N229" s="45">
        <f>IF(COUNTIF('Premade Flavors'!$A:$A, $C229) &gt; 0,_xlfn.XLOOKUP($C229,'Premade Flavors'!$A:$A,'Premade Flavors'!N:N),_xlfn.XLOOKUP("How Strong Do You Want The Second Flavor?",[1]Sheet1!$1:$1,[1]Sheet1!229:229))</f>
        <v>0</v>
      </c>
      <c r="O229" s="45">
        <f>IF(COUNTIF('Premade Flavors'!$A:$A, $C229) &gt; 0,_xlfn.XLOOKUP($C229,'Premade Flavors'!$A:$A,'Premade Flavors'!O:O),_xlfn.XLOOKUP("How Dense Should the Mix Ins Be?",[1]Sheet1!$1:$1,[1]Sheet1!229:229))</f>
        <v>0</v>
      </c>
      <c r="P229" s="45">
        <f>IF(COUNTIF('Premade Flavors'!$A:$A, $C229) &gt; 0,_xlfn.XLOOKUP($C229,'Premade Flavors'!$A:$A,'Premade Flavors'!P:P),_xlfn.XLOOKUP("How Much Of The First Sweetner? ",[1]Sheet1!$1:$1,[1]Sheet1!229:229))</f>
        <v>0</v>
      </c>
      <c r="Q229" s="45">
        <f>IF(COUNTIF('Premade Flavors'!$A:$A, $C229) &gt; 0,_xlfn.XLOOKUP($C229,'Premade Flavors'!$A:$A,'Premade Flavors'!Q:Q),[2]Sheet1!S229)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Flavors'!E:E),_xlfn.XLOOKUP("What's The First Flavor You Want? ",[1]Sheet1!$1:$1,[1]Sheet1!230:230))</f>
        <v>0</v>
      </c>
      <c r="G230" s="31">
        <f>IF(COUNTIF('Premade Flavors'!$A:$A, $C230) &gt; 0,_xlfn.XLOOKUP($C230,'Premade Flavors'!$A:$A,'Premade Flavors'!F:F),_xlfn.XLOOKUP("What's the Second Flavor You Want?",[1]Sheet1!$1:$1,[1]Sheet1!230:230))</f>
        <v>0</v>
      </c>
      <c r="H230" s="31">
        <f>IF(COUNTIF('Premade Flavors'!$A:$A, $C230) &gt; 0,_xlfn.XLOOKUP($C230,'Premade Flavors'!$A:$A,'Premade Flavors'!G:G),_xlfn.XLOOKUP("What's The First Mix In That You Want? ",[1]Sheet1!$1:$1,[1]Sheet1!230:230))</f>
        <v>0</v>
      </c>
      <c r="I230" s="31">
        <f>IF(COUNTIF('Premade Flavors'!$A:$A, $C228) &gt; 0,_xlfn.XLOOKUP($C228,'Premade Flavors'!$A:$A,'Premade Flavors'!H:H),IF([2]Sheet1!W228=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Flavors'!I:I),"Stevia"),_xlfn.XLOOKUP("What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Flavors'!M:M),_xlfn.XLOOKUP("How Strong Do You Want The First Flavor?",[1]Sheet1!$1:$1,[1]Sheet1!230:230))</f>
        <v>0</v>
      </c>
      <c r="N230" s="45">
        <f>IF(COUNTIF('Premade Flavors'!$A:$A, $C230) &gt; 0,_xlfn.XLOOKUP($C230,'Premade Flavors'!$A:$A,'Premade Flavors'!N:N),_xlfn.XLOOKUP("How Strong Do You Want The Second Flavor?",[1]Sheet1!$1:$1,[1]Sheet1!230:230))</f>
        <v>0</v>
      </c>
      <c r="O230" s="45">
        <f>IF(COUNTIF('Premade Flavors'!$A:$A, $C230) &gt; 0,_xlfn.XLOOKUP($C230,'Premade Flavors'!$A:$A,'Premade Flavors'!O:O),_xlfn.XLOOKUP("How Dense Should the Mix Ins Be?",[1]Sheet1!$1:$1,[1]Sheet1!230:230))</f>
        <v>0</v>
      </c>
      <c r="P230" s="45">
        <f>IF(COUNTIF('Premade Flavors'!$A:$A, $C230) &gt; 0,_xlfn.XLOOKUP($C230,'Premade Flavors'!$A:$A,'Premade Flavors'!P:P),_xlfn.XLOOKUP("How Much Of The First Sweetner? ",[1]Sheet1!$1:$1,[1]Sheet1!230:230))</f>
        <v>0</v>
      </c>
      <c r="Q230" s="45">
        <f>IF(COUNTIF('Premade Flavors'!$A:$A, $C230) &gt; 0,_xlfn.XLOOKUP($C230,'Premade Flavors'!$A:$A,'Premade Flavors'!Q:Q),[2]Sheet1!S230)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Flavors'!E:E),_xlfn.XLOOKUP("What's The First Flavor You Want? ",[1]Sheet1!$1:$1,[1]Sheet1!231:231))</f>
        <v>0</v>
      </c>
      <c r="G231" s="31">
        <f>IF(COUNTIF('Premade Flavors'!$A:$A, $C231) &gt; 0,_xlfn.XLOOKUP($C231,'Premade Flavors'!$A:$A,'Premade Flavors'!F:F),_xlfn.XLOOKUP("What's the Second Flavor You Want?",[1]Sheet1!$1:$1,[1]Sheet1!231:231))</f>
        <v>0</v>
      </c>
      <c r="H231" s="31">
        <f>IF(COUNTIF('Premade Flavors'!$A:$A, $C231) &gt; 0,_xlfn.XLOOKUP($C231,'Premade Flavors'!$A:$A,'Premade Flavors'!G:G),_xlfn.XLOOKUP("What's The First Mix In That You Want? ",[1]Sheet1!$1:$1,[1]Sheet1!231:231))</f>
        <v>0</v>
      </c>
      <c r="I231" s="31">
        <f>IF(COUNTIF('Premade Flavors'!$A:$A, $C229) &gt; 0,_xlfn.XLOOKUP($C229,'Premade Flavors'!$A:$A,'Premade Flavors'!H:H),IF([2]Sheet1!W229=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Flavors'!I:I),"Stevia"),_xlfn.XLOOKUP("What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Flavors'!M:M),_xlfn.XLOOKUP("How Strong Do You Want The First Flavor?",[1]Sheet1!$1:$1,[1]Sheet1!231:231))</f>
        <v>0</v>
      </c>
      <c r="N231" s="45">
        <f>IF(COUNTIF('Premade Flavors'!$A:$A, $C231) &gt; 0,_xlfn.XLOOKUP($C231,'Premade Flavors'!$A:$A,'Premade Flavors'!N:N),_xlfn.XLOOKUP("How Strong Do You Want The Second Flavor?",[1]Sheet1!$1:$1,[1]Sheet1!231:231))</f>
        <v>0</v>
      </c>
      <c r="O231" s="45">
        <f>IF(COUNTIF('Premade Flavors'!$A:$A, $C231) &gt; 0,_xlfn.XLOOKUP($C231,'Premade Flavors'!$A:$A,'Premade Flavors'!O:O),_xlfn.XLOOKUP("How Dense Should the Mix Ins Be?",[1]Sheet1!$1:$1,[1]Sheet1!231:231))</f>
        <v>0</v>
      </c>
      <c r="P231" s="45">
        <f>IF(COUNTIF('Premade Flavors'!$A:$A, $C231) &gt; 0,_xlfn.XLOOKUP($C231,'Premade Flavors'!$A:$A,'Premade Flavors'!P:P),_xlfn.XLOOKUP("How Much Of The First Sweetner? ",[1]Sheet1!$1:$1,[1]Sheet1!231:231))</f>
        <v>0</v>
      </c>
      <c r="Q231" s="45">
        <f>IF(COUNTIF('Premade Flavors'!$A:$A, $C231) &gt; 0,_xlfn.XLOOKUP($C231,'Premade Flavors'!$A:$A,'Premade Flavors'!Q:Q),[2]Sheet1!S231)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Flavors'!E:E),_xlfn.XLOOKUP("What's The First Flavor You Want? ",[1]Sheet1!$1:$1,[1]Sheet1!232:232))</f>
        <v>0</v>
      </c>
      <c r="G232" s="31">
        <f>IF(COUNTIF('Premade Flavors'!$A:$A, $C232) &gt; 0,_xlfn.XLOOKUP($C232,'Premade Flavors'!$A:$A,'Premade Flavors'!F:F),_xlfn.XLOOKUP("What's the Second Flavor You Want?",[1]Sheet1!$1:$1,[1]Sheet1!232:232))</f>
        <v>0</v>
      </c>
      <c r="H232" s="31">
        <f>IF(COUNTIF('Premade Flavors'!$A:$A, $C232) &gt; 0,_xlfn.XLOOKUP($C232,'Premade Flavors'!$A:$A,'Premade Flavors'!G:G),_xlfn.XLOOKUP("What's The First Mix In That You Want? ",[1]Sheet1!$1:$1,[1]Sheet1!232:232))</f>
        <v>0</v>
      </c>
      <c r="I232" s="31">
        <f>IF(COUNTIF('Premade Flavors'!$A:$A, $C230) &gt; 0,_xlfn.XLOOKUP($C230,'Premade Flavors'!$A:$A,'Premade Flavors'!H:H),IF([2]Sheet1!W230=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Flavors'!I:I),"Stevia"),_xlfn.XLOOKUP("What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Flavors'!M:M),_xlfn.XLOOKUP("How Strong Do You Want The First Flavor?",[1]Sheet1!$1:$1,[1]Sheet1!232:232))</f>
        <v>0</v>
      </c>
      <c r="N232" s="45">
        <f>IF(COUNTIF('Premade Flavors'!$A:$A, $C232) &gt; 0,_xlfn.XLOOKUP($C232,'Premade Flavors'!$A:$A,'Premade Flavors'!N:N),_xlfn.XLOOKUP("How Strong Do You Want The Second Flavor?",[1]Sheet1!$1:$1,[1]Sheet1!232:232))</f>
        <v>0</v>
      </c>
      <c r="O232" s="45">
        <f>IF(COUNTIF('Premade Flavors'!$A:$A, $C232) &gt; 0,_xlfn.XLOOKUP($C232,'Premade Flavors'!$A:$A,'Premade Flavors'!O:O),_xlfn.XLOOKUP("How Dense Should the Mix Ins Be?",[1]Sheet1!$1:$1,[1]Sheet1!232:232))</f>
        <v>0</v>
      </c>
      <c r="P232" s="45">
        <f>IF(COUNTIF('Premade Flavors'!$A:$A, $C232) &gt; 0,_xlfn.XLOOKUP($C232,'Premade Flavors'!$A:$A,'Premade Flavors'!P:P),_xlfn.XLOOKUP("How Much Of The First Sweetner? ",[1]Sheet1!$1:$1,[1]Sheet1!232:232))</f>
        <v>0</v>
      </c>
      <c r="Q232" s="45">
        <f>IF(COUNTIF('Premade Flavors'!$A:$A, $C232) &gt; 0,_xlfn.XLOOKUP($C232,'Premade Flavors'!$A:$A,'Premade Flavors'!Q:Q),[2]Sheet1!S232)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Flavors'!E:E),_xlfn.XLOOKUP("What's The First Flavor You Want? ",[1]Sheet1!$1:$1,[1]Sheet1!233:233))</f>
        <v>0</v>
      </c>
      <c r="G233" s="31">
        <f>IF(COUNTIF('Premade Flavors'!$A:$A, $C233) &gt; 0,_xlfn.XLOOKUP($C233,'Premade Flavors'!$A:$A,'Premade Flavors'!F:F),_xlfn.XLOOKUP("What's the Second Flavor You Want?",[1]Sheet1!$1:$1,[1]Sheet1!233:233))</f>
        <v>0</v>
      </c>
      <c r="H233" s="31">
        <f>IF(COUNTIF('Premade Flavors'!$A:$A, $C233) &gt; 0,_xlfn.XLOOKUP($C233,'Premade Flavors'!$A:$A,'Premade Flavors'!G:G),_xlfn.XLOOKUP("What's The First Mix In That You Want? ",[1]Sheet1!$1:$1,[1]Sheet1!233:233))</f>
        <v>0</v>
      </c>
      <c r="I233" s="31">
        <f>IF(COUNTIF('Premade Flavors'!$A:$A, $C231) &gt; 0,_xlfn.XLOOKUP($C231,'Premade Flavors'!$A:$A,'Premade Flavors'!H:H),IF([2]Sheet1!W231=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Flavors'!I:I),"Stevia"),_xlfn.XLOOKUP("What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Flavors'!M:M),_xlfn.XLOOKUP("How Strong Do You Want The First Flavor?",[1]Sheet1!$1:$1,[1]Sheet1!233:233))</f>
        <v>0</v>
      </c>
      <c r="N233" s="45">
        <f>IF(COUNTIF('Premade Flavors'!$A:$A, $C233) &gt; 0,_xlfn.XLOOKUP($C233,'Premade Flavors'!$A:$A,'Premade Flavors'!N:N),_xlfn.XLOOKUP("How Strong Do You Want The Second Flavor?",[1]Sheet1!$1:$1,[1]Sheet1!233:233))</f>
        <v>0</v>
      </c>
      <c r="O233" s="45">
        <f>IF(COUNTIF('Premade Flavors'!$A:$A, $C233) &gt; 0,_xlfn.XLOOKUP($C233,'Premade Flavors'!$A:$A,'Premade Flavors'!O:O),_xlfn.XLOOKUP("How Dense Should the Mix Ins Be?",[1]Sheet1!$1:$1,[1]Sheet1!233:233))</f>
        <v>0</v>
      </c>
      <c r="P233" s="45">
        <f>IF(COUNTIF('Premade Flavors'!$A:$A, $C233) &gt; 0,_xlfn.XLOOKUP($C233,'Premade Flavors'!$A:$A,'Premade Flavors'!P:P),_xlfn.XLOOKUP("How Much Of The First Sweetner? ",[1]Sheet1!$1:$1,[1]Sheet1!233:233))</f>
        <v>0</v>
      </c>
      <c r="Q233" s="45">
        <f>IF(COUNTIF('Premade Flavors'!$A:$A, $C233) &gt; 0,_xlfn.XLOOKUP($C233,'Premade Flavors'!$A:$A,'Premade Flavors'!Q:Q),[2]Sheet1!S233)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Flavors'!E:E),_xlfn.XLOOKUP("What's The First Flavor You Want? ",[1]Sheet1!$1:$1,[1]Sheet1!234:234))</f>
        <v>0</v>
      </c>
      <c r="G234" s="31">
        <f>IF(COUNTIF('Premade Flavors'!$A:$A, $C234) &gt; 0,_xlfn.XLOOKUP($C234,'Premade Flavors'!$A:$A,'Premade Flavors'!F:F),_xlfn.XLOOKUP("What's the Second Flavor You Want?",[1]Sheet1!$1:$1,[1]Sheet1!234:234))</f>
        <v>0</v>
      </c>
      <c r="H234" s="31">
        <f>IF(COUNTIF('Premade Flavors'!$A:$A, $C234) &gt; 0,_xlfn.XLOOKUP($C234,'Premade Flavors'!$A:$A,'Premade Flavors'!G:G),_xlfn.XLOOKUP("What's The First Mix In That You Want? ",[1]Sheet1!$1:$1,[1]Sheet1!234:234))</f>
        <v>0</v>
      </c>
      <c r="I234" s="31">
        <f>IF(COUNTIF('Premade Flavors'!$A:$A, $C232) &gt; 0,_xlfn.XLOOKUP($C232,'Premade Flavors'!$A:$A,'Premade Flavors'!H:H),IF([2]Sheet1!W232=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Flavors'!I:I),"Stevia"),_xlfn.XLOOKUP("What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Flavors'!M:M),_xlfn.XLOOKUP("How Strong Do You Want The First Flavor?",[1]Sheet1!$1:$1,[1]Sheet1!234:234))</f>
        <v>0</v>
      </c>
      <c r="N234" s="45">
        <f>IF(COUNTIF('Premade Flavors'!$A:$A, $C234) &gt; 0,_xlfn.XLOOKUP($C234,'Premade Flavors'!$A:$A,'Premade Flavors'!N:N),_xlfn.XLOOKUP("How Strong Do You Want The Second Flavor?",[1]Sheet1!$1:$1,[1]Sheet1!234:234))</f>
        <v>0</v>
      </c>
      <c r="O234" s="45">
        <f>IF(COUNTIF('Premade Flavors'!$A:$A, $C234) &gt; 0,_xlfn.XLOOKUP($C234,'Premade Flavors'!$A:$A,'Premade Flavors'!O:O),_xlfn.XLOOKUP("How Dense Should the Mix Ins Be?",[1]Sheet1!$1:$1,[1]Sheet1!234:234))</f>
        <v>0</v>
      </c>
      <c r="P234" s="45">
        <f>IF(COUNTIF('Premade Flavors'!$A:$A, $C234) &gt; 0,_xlfn.XLOOKUP($C234,'Premade Flavors'!$A:$A,'Premade Flavors'!P:P),_xlfn.XLOOKUP("How Much Of The First Sweetner? ",[1]Sheet1!$1:$1,[1]Sheet1!234:234))</f>
        <v>0</v>
      </c>
      <c r="Q234" s="45">
        <f>IF(COUNTIF('Premade Flavors'!$A:$A, $C234) &gt; 0,_xlfn.XLOOKUP($C234,'Premade Flavors'!$A:$A,'Premade Flavors'!Q:Q),[2]Sheet1!S234)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Flavors'!E:E),_xlfn.XLOOKUP("What's The First Flavor You Want? ",[1]Sheet1!$1:$1,[1]Sheet1!235:235))</f>
        <v>0</v>
      </c>
      <c r="G235" s="31">
        <f>IF(COUNTIF('Premade Flavors'!$A:$A, $C235) &gt; 0,_xlfn.XLOOKUP($C235,'Premade Flavors'!$A:$A,'Premade Flavors'!F:F),_xlfn.XLOOKUP("What's the Second Flavor You Want?",[1]Sheet1!$1:$1,[1]Sheet1!235:235))</f>
        <v>0</v>
      </c>
      <c r="H235" s="31">
        <f>IF(COUNTIF('Premade Flavors'!$A:$A, $C235) &gt; 0,_xlfn.XLOOKUP($C235,'Premade Flavors'!$A:$A,'Premade Flavors'!G:G),_xlfn.XLOOKUP("What's The First Mix In That You Want? ",[1]Sheet1!$1:$1,[1]Sheet1!235:235))</f>
        <v>0</v>
      </c>
      <c r="I235" s="31">
        <f>IF(COUNTIF('Premade Flavors'!$A:$A, $C233) &gt; 0,_xlfn.XLOOKUP($C233,'Premade Flavors'!$A:$A,'Premade Flavors'!H:H),IF([2]Sheet1!W233=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Flavors'!I:I),"Stevia"),_xlfn.XLOOKUP("What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Flavors'!M:M),_xlfn.XLOOKUP("How Strong Do You Want The First Flavor?",[1]Sheet1!$1:$1,[1]Sheet1!235:235))</f>
        <v>0</v>
      </c>
      <c r="N235" s="45">
        <f>IF(COUNTIF('Premade Flavors'!$A:$A, $C235) &gt; 0,_xlfn.XLOOKUP($C235,'Premade Flavors'!$A:$A,'Premade Flavors'!N:N),_xlfn.XLOOKUP("How Strong Do You Want The Second Flavor?",[1]Sheet1!$1:$1,[1]Sheet1!235:235))</f>
        <v>0</v>
      </c>
      <c r="O235" s="45">
        <f>IF(COUNTIF('Premade Flavors'!$A:$A, $C235) &gt; 0,_xlfn.XLOOKUP($C235,'Premade Flavors'!$A:$A,'Premade Flavors'!O:O),_xlfn.XLOOKUP("How Dense Should the Mix Ins Be?",[1]Sheet1!$1:$1,[1]Sheet1!235:235))</f>
        <v>0</v>
      </c>
      <c r="P235" s="45">
        <f>IF(COUNTIF('Premade Flavors'!$A:$A, $C235) &gt; 0,_xlfn.XLOOKUP($C235,'Premade Flavors'!$A:$A,'Premade Flavors'!P:P),_xlfn.XLOOKUP("How Much Of The First Sweetner? ",[1]Sheet1!$1:$1,[1]Sheet1!235:235))</f>
        <v>0</v>
      </c>
      <c r="Q235" s="45">
        <f>IF(COUNTIF('Premade Flavors'!$A:$A, $C235) &gt; 0,_xlfn.XLOOKUP($C235,'Premade Flavors'!$A:$A,'Premade Flavors'!Q:Q),[2]Sheet1!S235)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Flavors'!E:E),_xlfn.XLOOKUP("What's The First Flavor You Want? ",[1]Sheet1!$1:$1,[1]Sheet1!236:236))</f>
        <v>0</v>
      </c>
      <c r="G236" s="31">
        <f>IF(COUNTIF('Premade Flavors'!$A:$A, $C236) &gt; 0,_xlfn.XLOOKUP($C236,'Premade Flavors'!$A:$A,'Premade Flavors'!F:F),_xlfn.XLOOKUP("What's the Second Flavor You Want?",[1]Sheet1!$1:$1,[1]Sheet1!236:236))</f>
        <v>0</v>
      </c>
      <c r="H236" s="31">
        <f>IF(COUNTIF('Premade Flavors'!$A:$A, $C236) &gt; 0,_xlfn.XLOOKUP($C236,'Premade Flavors'!$A:$A,'Premade Flavors'!G:G),_xlfn.XLOOKUP("What's The First Mix In That You Want? ",[1]Sheet1!$1:$1,[1]Sheet1!236:236))</f>
        <v>0</v>
      </c>
      <c r="I236" s="31">
        <f>IF(COUNTIF('Premade Flavors'!$A:$A, $C234) &gt; 0,_xlfn.XLOOKUP($C234,'Premade Flavors'!$A:$A,'Premade Flavors'!H:H),IF([2]Sheet1!W234=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Flavors'!I:I),"Stevia"),_xlfn.XLOOKUP("What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Flavors'!M:M),_xlfn.XLOOKUP("How Strong Do You Want The First Flavor?",[1]Sheet1!$1:$1,[1]Sheet1!236:236))</f>
        <v>0</v>
      </c>
      <c r="N236" s="45">
        <f>IF(COUNTIF('Premade Flavors'!$A:$A, $C236) &gt; 0,_xlfn.XLOOKUP($C236,'Premade Flavors'!$A:$A,'Premade Flavors'!N:N),_xlfn.XLOOKUP("How Strong Do You Want The Second Flavor?",[1]Sheet1!$1:$1,[1]Sheet1!236:236))</f>
        <v>0</v>
      </c>
      <c r="O236" s="45">
        <f>IF(COUNTIF('Premade Flavors'!$A:$A, $C236) &gt; 0,_xlfn.XLOOKUP($C236,'Premade Flavors'!$A:$A,'Premade Flavors'!O:O),_xlfn.XLOOKUP("How Dense Should the Mix Ins Be?",[1]Sheet1!$1:$1,[1]Sheet1!236:236))</f>
        <v>0</v>
      </c>
      <c r="P236" s="45">
        <f>IF(COUNTIF('Premade Flavors'!$A:$A, $C236) &gt; 0,_xlfn.XLOOKUP($C236,'Premade Flavors'!$A:$A,'Premade Flavors'!P:P),_xlfn.XLOOKUP("How Much Of The First Sweetner? ",[1]Sheet1!$1:$1,[1]Sheet1!236:236))</f>
        <v>0</v>
      </c>
      <c r="Q236" s="45">
        <f>IF(COUNTIF('Premade Flavors'!$A:$A, $C236) &gt; 0,_xlfn.XLOOKUP($C236,'Premade Flavors'!$A:$A,'Premade Flavors'!Q:Q),[2]Sheet1!S236)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Flavors'!E:E),_xlfn.XLOOKUP("What's The First Flavor You Want? ",[1]Sheet1!$1:$1,[1]Sheet1!237:237))</f>
        <v>0</v>
      </c>
      <c r="G237" s="31">
        <f>IF(COUNTIF('Premade Flavors'!$A:$A, $C237) &gt; 0,_xlfn.XLOOKUP($C237,'Premade Flavors'!$A:$A,'Premade Flavors'!F:F),_xlfn.XLOOKUP("What's the Second Flavor You Want?",[1]Sheet1!$1:$1,[1]Sheet1!237:237))</f>
        <v>0</v>
      </c>
      <c r="H237" s="31">
        <f>IF(COUNTIF('Premade Flavors'!$A:$A, $C237) &gt; 0,_xlfn.XLOOKUP($C237,'Premade Flavors'!$A:$A,'Premade Flavors'!G:G),_xlfn.XLOOKUP("What's The First Mix In That You Want? ",[1]Sheet1!$1:$1,[1]Sheet1!237:237))</f>
        <v>0</v>
      </c>
      <c r="I237" s="31">
        <f>IF(COUNTIF('Premade Flavors'!$A:$A, $C235) &gt; 0,_xlfn.XLOOKUP($C235,'Premade Flavors'!$A:$A,'Premade Flavors'!H:H),IF([2]Sheet1!W235=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Flavors'!I:I),"Stevia"),_xlfn.XLOOKUP("What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Flavors'!M:M),_xlfn.XLOOKUP("How Strong Do You Want The First Flavor?",[1]Sheet1!$1:$1,[1]Sheet1!237:237))</f>
        <v>0</v>
      </c>
      <c r="N237" s="45">
        <f>IF(COUNTIF('Premade Flavors'!$A:$A, $C237) &gt; 0,_xlfn.XLOOKUP($C237,'Premade Flavors'!$A:$A,'Premade Flavors'!N:N),_xlfn.XLOOKUP("How Strong Do You Want The Second Flavor?",[1]Sheet1!$1:$1,[1]Sheet1!237:237))</f>
        <v>0</v>
      </c>
      <c r="O237" s="45">
        <f>IF(COUNTIF('Premade Flavors'!$A:$A, $C237) &gt; 0,_xlfn.XLOOKUP($C237,'Premade Flavors'!$A:$A,'Premade Flavors'!O:O),_xlfn.XLOOKUP("How Dense Should the Mix Ins Be?",[1]Sheet1!$1:$1,[1]Sheet1!237:237))</f>
        <v>0</v>
      </c>
      <c r="P237" s="45">
        <f>IF(COUNTIF('Premade Flavors'!$A:$A, $C237) &gt; 0,_xlfn.XLOOKUP($C237,'Premade Flavors'!$A:$A,'Premade Flavors'!P:P),_xlfn.XLOOKUP("How Much Of The First Sweetner? ",[1]Sheet1!$1:$1,[1]Sheet1!237:237))</f>
        <v>0</v>
      </c>
      <c r="Q237" s="45">
        <f>IF(COUNTIF('Premade Flavors'!$A:$A, $C237) &gt; 0,_xlfn.XLOOKUP($C237,'Premade Flavors'!$A:$A,'Premade Flavors'!Q:Q),[2]Sheet1!S237)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Flavors'!E:E),_xlfn.XLOOKUP("What's The First Flavor You Want? ",[1]Sheet1!$1:$1,[1]Sheet1!238:238))</f>
        <v>0</v>
      </c>
      <c r="G238" s="31">
        <f>IF(COUNTIF('Premade Flavors'!$A:$A, $C238) &gt; 0,_xlfn.XLOOKUP($C238,'Premade Flavors'!$A:$A,'Premade Flavors'!F:F),_xlfn.XLOOKUP("What's the Second Flavor You Want?",[1]Sheet1!$1:$1,[1]Sheet1!238:238))</f>
        <v>0</v>
      </c>
      <c r="H238" s="31">
        <f>IF(COUNTIF('Premade Flavors'!$A:$A, $C238) &gt; 0,_xlfn.XLOOKUP($C238,'Premade Flavors'!$A:$A,'Premade Flavors'!G:G),_xlfn.XLOOKUP("What's The First Mix In That You Want? ",[1]Sheet1!$1:$1,[1]Sheet1!238:238))</f>
        <v>0</v>
      </c>
      <c r="I238" s="31">
        <f>IF(COUNTIF('Premade Flavors'!$A:$A, $C236) &gt; 0,_xlfn.XLOOKUP($C236,'Premade Flavors'!$A:$A,'Premade Flavors'!H:H),IF([2]Sheet1!W236=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Flavors'!I:I),"Stevia"),_xlfn.XLOOKUP("What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Flavors'!M:M),_xlfn.XLOOKUP("How Strong Do You Want The First Flavor?",[1]Sheet1!$1:$1,[1]Sheet1!238:238))</f>
        <v>0</v>
      </c>
      <c r="N238" s="45">
        <f>IF(COUNTIF('Premade Flavors'!$A:$A, $C238) &gt; 0,_xlfn.XLOOKUP($C238,'Premade Flavors'!$A:$A,'Premade Flavors'!N:N),_xlfn.XLOOKUP("How Strong Do You Want The Second Flavor?",[1]Sheet1!$1:$1,[1]Sheet1!238:238))</f>
        <v>0</v>
      </c>
      <c r="O238" s="45">
        <f>IF(COUNTIF('Premade Flavors'!$A:$A, $C238) &gt; 0,_xlfn.XLOOKUP($C238,'Premade Flavors'!$A:$A,'Premade Flavors'!O:O),_xlfn.XLOOKUP("How Dense Should the Mix Ins Be?",[1]Sheet1!$1:$1,[1]Sheet1!238:238))</f>
        <v>0</v>
      </c>
      <c r="P238" s="45">
        <f>IF(COUNTIF('Premade Flavors'!$A:$A, $C238) &gt; 0,_xlfn.XLOOKUP($C238,'Premade Flavors'!$A:$A,'Premade Flavors'!P:P),_xlfn.XLOOKUP("How Much Of The First Sweetner? ",[1]Sheet1!$1:$1,[1]Sheet1!238:238))</f>
        <v>0</v>
      </c>
      <c r="Q238" s="45">
        <f>IF(COUNTIF('Premade Flavors'!$A:$A, $C238) &gt; 0,_xlfn.XLOOKUP($C238,'Premade Flavors'!$A:$A,'Premade Flavors'!Q:Q),[2]Sheet1!S238)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Flavors'!E:E),_xlfn.XLOOKUP("What's The First Flavor You Want? ",[1]Sheet1!$1:$1,[1]Sheet1!239:239))</f>
        <v>0</v>
      </c>
      <c r="G239" s="31">
        <f>IF(COUNTIF('Premade Flavors'!$A:$A, $C239) &gt; 0,_xlfn.XLOOKUP($C239,'Premade Flavors'!$A:$A,'Premade Flavors'!F:F),_xlfn.XLOOKUP("What's the Second Flavor You Want?",[1]Sheet1!$1:$1,[1]Sheet1!239:239))</f>
        <v>0</v>
      </c>
      <c r="H239" s="31">
        <f>IF(COUNTIF('Premade Flavors'!$A:$A, $C239) &gt; 0,_xlfn.XLOOKUP($C239,'Premade Flavors'!$A:$A,'Premade Flavors'!G:G),_xlfn.XLOOKUP("What's The First Mix In That You Want? ",[1]Sheet1!$1:$1,[1]Sheet1!239:239))</f>
        <v>0</v>
      </c>
      <c r="I239" s="31">
        <f>IF(COUNTIF('Premade Flavors'!$A:$A, $C237) &gt; 0,_xlfn.XLOOKUP($C237,'Premade Flavors'!$A:$A,'Premade Flavors'!H:H),IF([2]Sheet1!W237=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Flavors'!I:I),"Stevia"),_xlfn.XLOOKUP("What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Flavors'!M:M),_xlfn.XLOOKUP("How Strong Do You Want The First Flavor?",[1]Sheet1!$1:$1,[1]Sheet1!239:239))</f>
        <v>0</v>
      </c>
      <c r="N239" s="45">
        <f>IF(COUNTIF('Premade Flavors'!$A:$A, $C239) &gt; 0,_xlfn.XLOOKUP($C239,'Premade Flavors'!$A:$A,'Premade Flavors'!N:N),_xlfn.XLOOKUP("How Strong Do You Want The Second Flavor?",[1]Sheet1!$1:$1,[1]Sheet1!239:239))</f>
        <v>0</v>
      </c>
      <c r="O239" s="45">
        <f>IF(COUNTIF('Premade Flavors'!$A:$A, $C239) &gt; 0,_xlfn.XLOOKUP($C239,'Premade Flavors'!$A:$A,'Premade Flavors'!O:O),_xlfn.XLOOKUP("How Dense Should the Mix Ins Be?",[1]Sheet1!$1:$1,[1]Sheet1!239:239))</f>
        <v>0</v>
      </c>
      <c r="P239" s="45">
        <f>IF(COUNTIF('Premade Flavors'!$A:$A, $C239) &gt; 0,_xlfn.XLOOKUP($C239,'Premade Flavors'!$A:$A,'Premade Flavors'!P:P),_xlfn.XLOOKUP("How Much Of The First Sweetner? ",[1]Sheet1!$1:$1,[1]Sheet1!239:239))</f>
        <v>0</v>
      </c>
      <c r="Q239" s="45">
        <f>IF(COUNTIF('Premade Flavors'!$A:$A, $C239) &gt; 0,_xlfn.XLOOKUP($C239,'Premade Flavors'!$A:$A,'Premade Flavors'!Q:Q),[2]Sheet1!S239)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Flavors'!E:E),_xlfn.XLOOKUP("What's The First Flavor You Want? ",[1]Sheet1!$1:$1,[1]Sheet1!240:240))</f>
        <v>0</v>
      </c>
      <c r="G240" s="31">
        <f>IF(COUNTIF('Premade Flavors'!$A:$A, $C240) &gt; 0,_xlfn.XLOOKUP($C240,'Premade Flavors'!$A:$A,'Premade Flavors'!F:F),_xlfn.XLOOKUP("What's the Second Flavor You Want?",[1]Sheet1!$1:$1,[1]Sheet1!240:240))</f>
        <v>0</v>
      </c>
      <c r="H240" s="31">
        <f>IF(COUNTIF('Premade Flavors'!$A:$A, $C240) &gt; 0,_xlfn.XLOOKUP($C240,'Premade Flavors'!$A:$A,'Premade Flavors'!G:G),_xlfn.XLOOKUP("What's The First Mix In That You Want? ",[1]Sheet1!$1:$1,[1]Sheet1!240:240))</f>
        <v>0</v>
      </c>
      <c r="I240" s="31">
        <f>IF(COUNTIF('Premade Flavors'!$A:$A, $C238) &gt; 0,_xlfn.XLOOKUP($C238,'Premade Flavors'!$A:$A,'Premade Flavors'!H:H),IF([2]Sheet1!W238=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Flavors'!I:I),"Stevia"),_xlfn.XLOOKUP("What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Flavors'!M:M),_xlfn.XLOOKUP("How Strong Do You Want The First Flavor?",[1]Sheet1!$1:$1,[1]Sheet1!240:240))</f>
        <v>0</v>
      </c>
      <c r="N240" s="45">
        <f>IF(COUNTIF('Premade Flavors'!$A:$A, $C240) &gt; 0,_xlfn.XLOOKUP($C240,'Premade Flavors'!$A:$A,'Premade Flavors'!N:N),_xlfn.XLOOKUP("How Strong Do You Want The Second Flavor?",[1]Sheet1!$1:$1,[1]Sheet1!240:240))</f>
        <v>0</v>
      </c>
      <c r="O240" s="45">
        <f>IF(COUNTIF('Premade Flavors'!$A:$A, $C240) &gt; 0,_xlfn.XLOOKUP($C240,'Premade Flavors'!$A:$A,'Premade Flavors'!O:O),_xlfn.XLOOKUP("How Dense Should the Mix Ins Be?",[1]Sheet1!$1:$1,[1]Sheet1!240:240))</f>
        <v>0</v>
      </c>
      <c r="P240" s="45">
        <f>IF(COUNTIF('Premade Flavors'!$A:$A, $C240) &gt; 0,_xlfn.XLOOKUP($C240,'Premade Flavors'!$A:$A,'Premade Flavors'!P:P),_xlfn.XLOOKUP("How Much Of The First Sweetner? ",[1]Sheet1!$1:$1,[1]Sheet1!240:240))</f>
        <v>0</v>
      </c>
      <c r="Q240" s="45">
        <f>IF(COUNTIF('Premade Flavors'!$A:$A, $C240) &gt; 0,_xlfn.XLOOKUP($C240,'Premade Flavors'!$A:$A,'Premade Flavors'!Q:Q),[2]Sheet1!S240)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Flavors'!E:E),_xlfn.XLOOKUP("What's The First Flavor You Want? ",[1]Sheet1!$1:$1,[1]Sheet1!241:241))</f>
        <v>0</v>
      </c>
      <c r="G241" s="31">
        <f>IF(COUNTIF('Premade Flavors'!$A:$A, $C241) &gt; 0,_xlfn.XLOOKUP($C241,'Premade Flavors'!$A:$A,'Premade Flavors'!F:F),_xlfn.XLOOKUP("What's the Second Flavor You Want?",[1]Sheet1!$1:$1,[1]Sheet1!241:241))</f>
        <v>0</v>
      </c>
      <c r="H241" s="31">
        <f>IF(COUNTIF('Premade Flavors'!$A:$A, $C241) &gt; 0,_xlfn.XLOOKUP($C241,'Premade Flavors'!$A:$A,'Premade Flavors'!G:G),_xlfn.XLOOKUP("What's The First Mix In That You Want? ",[1]Sheet1!$1:$1,[1]Sheet1!241:241))</f>
        <v>0</v>
      </c>
      <c r="I241" s="31">
        <f>IF(COUNTIF('Premade Flavors'!$A:$A, $C239) &gt; 0,_xlfn.XLOOKUP($C239,'Premade Flavors'!$A:$A,'Premade Flavors'!H:H),IF([2]Sheet1!W239=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Flavors'!I:I),"Stevia"),_xlfn.XLOOKUP("What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Flavors'!M:M),_xlfn.XLOOKUP("How Strong Do You Want The First Flavor?",[1]Sheet1!$1:$1,[1]Sheet1!241:241))</f>
        <v>0</v>
      </c>
      <c r="N241" s="45">
        <f>IF(COUNTIF('Premade Flavors'!$A:$A, $C241) &gt; 0,_xlfn.XLOOKUP($C241,'Premade Flavors'!$A:$A,'Premade Flavors'!N:N),_xlfn.XLOOKUP("How Strong Do You Want The Second Flavor?",[1]Sheet1!$1:$1,[1]Sheet1!241:241))</f>
        <v>0</v>
      </c>
      <c r="O241" s="45">
        <f>IF(COUNTIF('Premade Flavors'!$A:$A, $C241) &gt; 0,_xlfn.XLOOKUP($C241,'Premade Flavors'!$A:$A,'Premade Flavors'!O:O),_xlfn.XLOOKUP("How Dense Should the Mix Ins Be?",[1]Sheet1!$1:$1,[1]Sheet1!241:241))</f>
        <v>0</v>
      </c>
      <c r="P241" s="45">
        <f>IF(COUNTIF('Premade Flavors'!$A:$A, $C241) &gt; 0,_xlfn.XLOOKUP($C241,'Premade Flavors'!$A:$A,'Premade Flavors'!P:P),_xlfn.XLOOKUP("How Much Of The First Sweetner? ",[1]Sheet1!$1:$1,[1]Sheet1!241:241))</f>
        <v>0</v>
      </c>
      <c r="Q241" s="45">
        <f>IF(COUNTIF('Premade Flavors'!$A:$A, $C241) &gt; 0,_xlfn.XLOOKUP($C241,'Premade Flavors'!$A:$A,'Premade Flavors'!Q:Q),[2]Sheet1!S241)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Flavors'!E:E),_xlfn.XLOOKUP("What's The First Flavor You Want? ",[1]Sheet1!$1:$1,[1]Sheet1!242:242))</f>
        <v>0</v>
      </c>
      <c r="G242" s="31">
        <f>IF(COUNTIF('Premade Flavors'!$A:$A, $C242) &gt; 0,_xlfn.XLOOKUP($C242,'Premade Flavors'!$A:$A,'Premade Flavors'!F:F),_xlfn.XLOOKUP("What's the Second Flavor You Want?",[1]Sheet1!$1:$1,[1]Sheet1!242:242))</f>
        <v>0</v>
      </c>
      <c r="H242" s="31">
        <f>IF(COUNTIF('Premade Flavors'!$A:$A, $C242) &gt; 0,_xlfn.XLOOKUP($C242,'Premade Flavors'!$A:$A,'Premade Flavors'!G:G),_xlfn.XLOOKUP("What's The First Mix In That You Want? ",[1]Sheet1!$1:$1,[1]Sheet1!242:242))</f>
        <v>0</v>
      </c>
      <c r="I242" s="31">
        <f>IF(COUNTIF('Premade Flavors'!$A:$A, $C240) &gt; 0,_xlfn.XLOOKUP($C240,'Premade Flavors'!$A:$A,'Premade Flavors'!H:H),IF([2]Sheet1!W240=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Flavors'!I:I),"Stevia"),_xlfn.XLOOKUP("What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Flavors'!M:M),_xlfn.XLOOKUP("How Strong Do You Want The First Flavor?",[1]Sheet1!$1:$1,[1]Sheet1!242:242))</f>
        <v>0</v>
      </c>
      <c r="N242" s="45">
        <f>IF(COUNTIF('Premade Flavors'!$A:$A, $C242) &gt; 0,_xlfn.XLOOKUP($C242,'Premade Flavors'!$A:$A,'Premade Flavors'!N:N),_xlfn.XLOOKUP("How Strong Do You Want The Second Flavor?",[1]Sheet1!$1:$1,[1]Sheet1!242:242))</f>
        <v>0</v>
      </c>
      <c r="O242" s="45">
        <f>IF(COUNTIF('Premade Flavors'!$A:$A, $C242) &gt; 0,_xlfn.XLOOKUP($C242,'Premade Flavors'!$A:$A,'Premade Flavors'!O:O),_xlfn.XLOOKUP("How Dense Should the Mix Ins Be?",[1]Sheet1!$1:$1,[1]Sheet1!242:242))</f>
        <v>0</v>
      </c>
      <c r="P242" s="45">
        <f>IF(COUNTIF('Premade Flavors'!$A:$A, $C242) &gt; 0,_xlfn.XLOOKUP($C242,'Premade Flavors'!$A:$A,'Premade Flavors'!P:P),_xlfn.XLOOKUP("How Much Of The First Sweetner? ",[1]Sheet1!$1:$1,[1]Sheet1!242:242))</f>
        <v>0</v>
      </c>
      <c r="Q242" s="45">
        <f>IF(COUNTIF('Premade Flavors'!$A:$A, $C242) &gt; 0,_xlfn.XLOOKUP($C242,'Premade Flavors'!$A:$A,'Premade Flavors'!Q:Q),[2]Sheet1!S242)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Flavors'!E:E),_xlfn.XLOOKUP("What's The First Flavor You Want? ",[1]Sheet1!$1:$1,[1]Sheet1!243:243))</f>
        <v>0</v>
      </c>
      <c r="G243" s="31">
        <f>IF(COUNTIF('Premade Flavors'!$A:$A, $C243) &gt; 0,_xlfn.XLOOKUP($C243,'Premade Flavors'!$A:$A,'Premade Flavors'!F:F),_xlfn.XLOOKUP("What's the Second Flavor You Want?",[1]Sheet1!$1:$1,[1]Sheet1!243:243))</f>
        <v>0</v>
      </c>
      <c r="H243" s="31">
        <f>IF(COUNTIF('Premade Flavors'!$A:$A, $C243) &gt; 0,_xlfn.XLOOKUP($C243,'Premade Flavors'!$A:$A,'Premade Flavors'!G:G),_xlfn.XLOOKUP("What's The First Mix In That You Want? ",[1]Sheet1!$1:$1,[1]Sheet1!243:243))</f>
        <v>0</v>
      </c>
      <c r="I243" s="31">
        <f>IF(COUNTIF('Premade Flavors'!$A:$A, $C241) &gt; 0,_xlfn.XLOOKUP($C241,'Premade Flavors'!$A:$A,'Premade Flavors'!H:H),IF([2]Sheet1!W241=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Flavors'!I:I),"Stevia"),_xlfn.XLOOKUP("What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Flavors'!M:M),_xlfn.XLOOKUP("How Strong Do You Want The First Flavor?",[1]Sheet1!$1:$1,[1]Sheet1!243:243))</f>
        <v>0</v>
      </c>
      <c r="N243" s="45">
        <f>IF(COUNTIF('Premade Flavors'!$A:$A, $C243) &gt; 0,_xlfn.XLOOKUP($C243,'Premade Flavors'!$A:$A,'Premade Flavors'!N:N),_xlfn.XLOOKUP("How Strong Do You Want The Second Flavor?",[1]Sheet1!$1:$1,[1]Sheet1!243:243))</f>
        <v>0</v>
      </c>
      <c r="O243" s="45">
        <f>IF(COUNTIF('Premade Flavors'!$A:$A, $C243) &gt; 0,_xlfn.XLOOKUP($C243,'Premade Flavors'!$A:$A,'Premade Flavors'!O:O),_xlfn.XLOOKUP("How Dense Should the Mix Ins Be?",[1]Sheet1!$1:$1,[1]Sheet1!243:243))</f>
        <v>0</v>
      </c>
      <c r="P243" s="45">
        <f>IF(COUNTIF('Premade Flavors'!$A:$A, $C243) &gt; 0,_xlfn.XLOOKUP($C243,'Premade Flavors'!$A:$A,'Premade Flavors'!P:P),_xlfn.XLOOKUP("How Much Of The First Sweetner? ",[1]Sheet1!$1:$1,[1]Sheet1!243:243))</f>
        <v>0</v>
      </c>
      <c r="Q243" s="45">
        <f>IF(COUNTIF('Premade Flavors'!$A:$A, $C243) &gt; 0,_xlfn.XLOOKUP($C243,'Premade Flavors'!$A:$A,'Premade Flavors'!Q:Q),[2]Sheet1!S243)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Flavors'!E:E),_xlfn.XLOOKUP("What's The First Flavor You Want? ",[1]Sheet1!$1:$1,[1]Sheet1!244:244))</f>
        <v>0</v>
      </c>
      <c r="G244" s="31">
        <f>IF(COUNTIF('Premade Flavors'!$A:$A, $C244) &gt; 0,_xlfn.XLOOKUP($C244,'Premade Flavors'!$A:$A,'Premade Flavors'!F:F),_xlfn.XLOOKUP("What's the Second Flavor You Want?",[1]Sheet1!$1:$1,[1]Sheet1!244:244))</f>
        <v>0</v>
      </c>
      <c r="H244" s="31">
        <f>IF(COUNTIF('Premade Flavors'!$A:$A, $C244) &gt; 0,_xlfn.XLOOKUP($C244,'Premade Flavors'!$A:$A,'Premade Flavors'!G:G),_xlfn.XLOOKUP("What's The First Mix In That You Want? ",[1]Sheet1!$1:$1,[1]Sheet1!244:244))</f>
        <v>0</v>
      </c>
      <c r="I244" s="31">
        <f>IF(COUNTIF('Premade Flavors'!$A:$A, $C242) &gt; 0,_xlfn.XLOOKUP($C242,'Premade Flavors'!$A:$A,'Premade Flavors'!H:H),IF([2]Sheet1!W242=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Flavors'!I:I),"Stevia"),_xlfn.XLOOKUP("What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Flavors'!M:M),_xlfn.XLOOKUP("How Strong Do You Want The First Flavor?",[1]Sheet1!$1:$1,[1]Sheet1!244:244))</f>
        <v>0</v>
      </c>
      <c r="N244" s="45">
        <f>IF(COUNTIF('Premade Flavors'!$A:$A, $C244) &gt; 0,_xlfn.XLOOKUP($C244,'Premade Flavors'!$A:$A,'Premade Flavors'!N:N),_xlfn.XLOOKUP("How Strong Do You Want The Second Flavor?",[1]Sheet1!$1:$1,[1]Sheet1!244:244))</f>
        <v>0</v>
      </c>
      <c r="O244" s="45">
        <f>IF(COUNTIF('Premade Flavors'!$A:$A, $C244) &gt; 0,_xlfn.XLOOKUP($C244,'Premade Flavors'!$A:$A,'Premade Flavors'!O:O),_xlfn.XLOOKUP("How Dense Should the Mix Ins Be?",[1]Sheet1!$1:$1,[1]Sheet1!244:244))</f>
        <v>0</v>
      </c>
      <c r="P244" s="45">
        <f>IF(COUNTIF('Premade Flavors'!$A:$A, $C244) &gt; 0,_xlfn.XLOOKUP($C244,'Premade Flavors'!$A:$A,'Premade Flavors'!P:P),_xlfn.XLOOKUP("How Much Of The First Sweetner? ",[1]Sheet1!$1:$1,[1]Sheet1!244:244))</f>
        <v>0</v>
      </c>
      <c r="Q244" s="45">
        <f>IF(COUNTIF('Premade Flavors'!$A:$A, $C244) &gt; 0,_xlfn.XLOOKUP($C244,'Premade Flavors'!$A:$A,'Premade Flavors'!Q:Q),[2]Sheet1!S244)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Flavors'!E:E),_xlfn.XLOOKUP("What's The First Flavor You Want? ",[1]Sheet1!$1:$1,[1]Sheet1!245:245))</f>
        <v>0</v>
      </c>
      <c r="G245" s="31">
        <f>IF(COUNTIF('Premade Flavors'!$A:$A, $C245) &gt; 0,_xlfn.XLOOKUP($C245,'Premade Flavors'!$A:$A,'Premade Flavors'!F:F),_xlfn.XLOOKUP("What's the Second Flavor You Want?",[1]Sheet1!$1:$1,[1]Sheet1!245:245))</f>
        <v>0</v>
      </c>
      <c r="H245" s="31">
        <f>IF(COUNTIF('Premade Flavors'!$A:$A, $C245) &gt; 0,_xlfn.XLOOKUP($C245,'Premade Flavors'!$A:$A,'Premade Flavors'!G:G),_xlfn.XLOOKUP("What's The First Mix In That You Want? ",[1]Sheet1!$1:$1,[1]Sheet1!245:245))</f>
        <v>0</v>
      </c>
      <c r="I245" s="31">
        <f>IF(COUNTIF('Premade Flavors'!$A:$A, $C243) &gt; 0,_xlfn.XLOOKUP($C243,'Premade Flavors'!$A:$A,'Premade Flavors'!H:H),IF([2]Sheet1!W243=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Flavors'!I:I),"Stevia"),_xlfn.XLOOKUP("What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Flavors'!M:M),_xlfn.XLOOKUP("How Strong Do You Want The First Flavor?",[1]Sheet1!$1:$1,[1]Sheet1!245:245))</f>
        <v>0</v>
      </c>
      <c r="N245" s="45">
        <f>IF(COUNTIF('Premade Flavors'!$A:$A, $C245) &gt; 0,_xlfn.XLOOKUP($C245,'Premade Flavors'!$A:$A,'Premade Flavors'!N:N),_xlfn.XLOOKUP("How Strong Do You Want The Second Flavor?",[1]Sheet1!$1:$1,[1]Sheet1!245:245))</f>
        <v>0</v>
      </c>
      <c r="O245" s="45">
        <f>IF(COUNTIF('Premade Flavors'!$A:$A, $C245) &gt; 0,_xlfn.XLOOKUP($C245,'Premade Flavors'!$A:$A,'Premade Flavors'!O:O),_xlfn.XLOOKUP("How Dense Should the Mix Ins Be?",[1]Sheet1!$1:$1,[1]Sheet1!245:245))</f>
        <v>0</v>
      </c>
      <c r="P245" s="45">
        <f>IF(COUNTIF('Premade Flavors'!$A:$A, $C245) &gt; 0,_xlfn.XLOOKUP($C245,'Premade Flavors'!$A:$A,'Premade Flavors'!P:P),_xlfn.XLOOKUP("How Much Of The First Sweetner? ",[1]Sheet1!$1:$1,[1]Sheet1!245:245))</f>
        <v>0</v>
      </c>
      <c r="Q245" s="45">
        <f>IF(COUNTIF('Premade Flavors'!$A:$A, $C245) &gt; 0,_xlfn.XLOOKUP($C245,'Premade Flavors'!$A:$A,'Premade Flavors'!Q:Q),[2]Sheet1!S245)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Flavors'!E:E),_xlfn.XLOOKUP("What's The First Flavor You Want? ",[1]Sheet1!$1:$1,[1]Sheet1!246:246))</f>
        <v>0</v>
      </c>
      <c r="G246" s="31">
        <f>IF(COUNTIF('Premade Flavors'!$A:$A, $C246) &gt; 0,_xlfn.XLOOKUP($C246,'Premade Flavors'!$A:$A,'Premade Flavors'!F:F),_xlfn.XLOOKUP("What's the Second Flavor You Want?",[1]Sheet1!$1:$1,[1]Sheet1!246:246))</f>
        <v>0</v>
      </c>
      <c r="H246" s="31">
        <f>IF(COUNTIF('Premade Flavors'!$A:$A, $C246) &gt; 0,_xlfn.XLOOKUP($C246,'Premade Flavors'!$A:$A,'Premade Flavors'!G:G),_xlfn.XLOOKUP("What's The First Mix In That You Want? ",[1]Sheet1!$1:$1,[1]Sheet1!246:246))</f>
        <v>0</v>
      </c>
      <c r="I246" s="31">
        <f>IF(COUNTIF('Premade Flavors'!$A:$A, $C244) &gt; 0,_xlfn.XLOOKUP($C244,'Premade Flavors'!$A:$A,'Premade Flavors'!H:H),IF([2]Sheet1!W244=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Flavors'!I:I),"Stevia"),_xlfn.XLOOKUP("What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Flavors'!M:M),_xlfn.XLOOKUP("How Strong Do You Want The First Flavor?",[1]Sheet1!$1:$1,[1]Sheet1!246:246))</f>
        <v>0</v>
      </c>
      <c r="N246" s="45">
        <f>IF(COUNTIF('Premade Flavors'!$A:$A, $C246) &gt; 0,_xlfn.XLOOKUP($C246,'Premade Flavors'!$A:$A,'Premade Flavors'!N:N),_xlfn.XLOOKUP("How Strong Do You Want The Second Flavor?",[1]Sheet1!$1:$1,[1]Sheet1!246:246))</f>
        <v>0</v>
      </c>
      <c r="O246" s="45">
        <f>IF(COUNTIF('Premade Flavors'!$A:$A, $C246) &gt; 0,_xlfn.XLOOKUP($C246,'Premade Flavors'!$A:$A,'Premade Flavors'!O:O),_xlfn.XLOOKUP("How Dense Should the Mix Ins Be?",[1]Sheet1!$1:$1,[1]Sheet1!246:246))</f>
        <v>0</v>
      </c>
      <c r="P246" s="45">
        <f>IF(COUNTIF('Premade Flavors'!$A:$A, $C246) &gt; 0,_xlfn.XLOOKUP($C246,'Premade Flavors'!$A:$A,'Premade Flavors'!P:P),_xlfn.XLOOKUP("How Much Of The First Sweetner? ",[1]Sheet1!$1:$1,[1]Sheet1!246:246))</f>
        <v>0</v>
      </c>
      <c r="Q246" s="45">
        <f>IF(COUNTIF('Premade Flavors'!$A:$A, $C246) &gt; 0,_xlfn.XLOOKUP($C246,'Premade Flavors'!$A:$A,'Premade Flavors'!Q:Q),[2]Sheet1!S246)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Flavors'!E:E),_xlfn.XLOOKUP("What's The First Flavor You Want? ",[1]Sheet1!$1:$1,[1]Sheet1!247:247))</f>
        <v>0</v>
      </c>
      <c r="G247" s="31">
        <f>IF(COUNTIF('Premade Flavors'!$A:$A, $C247) &gt; 0,_xlfn.XLOOKUP($C247,'Premade Flavors'!$A:$A,'Premade Flavors'!F:F),_xlfn.XLOOKUP("What's the Second Flavor You Want?",[1]Sheet1!$1:$1,[1]Sheet1!247:247))</f>
        <v>0</v>
      </c>
      <c r="H247" s="31">
        <f>IF(COUNTIF('Premade Flavors'!$A:$A, $C247) &gt; 0,_xlfn.XLOOKUP($C247,'Premade Flavors'!$A:$A,'Premade Flavors'!G:G),_xlfn.XLOOKUP("What's The First Mix In That You Want? ",[1]Sheet1!$1:$1,[1]Sheet1!247:247))</f>
        <v>0</v>
      </c>
      <c r="I247" s="31">
        <f>IF(COUNTIF('Premade Flavors'!$A:$A, $C245) &gt; 0,_xlfn.XLOOKUP($C245,'Premade Flavors'!$A:$A,'Premade Flavors'!H:H),IF([2]Sheet1!W245=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Flavors'!I:I),"Stevia"),_xlfn.XLOOKUP("What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Flavors'!M:M),_xlfn.XLOOKUP("How Strong Do You Want The First Flavor?",[1]Sheet1!$1:$1,[1]Sheet1!247:247))</f>
        <v>0</v>
      </c>
      <c r="N247" s="45">
        <f>IF(COUNTIF('Premade Flavors'!$A:$A, $C247) &gt; 0,_xlfn.XLOOKUP($C247,'Premade Flavors'!$A:$A,'Premade Flavors'!N:N),_xlfn.XLOOKUP("How Strong Do You Want The Second Flavor?",[1]Sheet1!$1:$1,[1]Sheet1!247:247))</f>
        <v>0</v>
      </c>
      <c r="O247" s="45">
        <f>IF(COUNTIF('Premade Flavors'!$A:$A, $C247) &gt; 0,_xlfn.XLOOKUP($C247,'Premade Flavors'!$A:$A,'Premade Flavors'!O:O),_xlfn.XLOOKUP("How Dense Should the Mix Ins Be?",[1]Sheet1!$1:$1,[1]Sheet1!247:247))</f>
        <v>0</v>
      </c>
      <c r="P247" s="45">
        <f>IF(COUNTIF('Premade Flavors'!$A:$A, $C247) &gt; 0,_xlfn.XLOOKUP($C247,'Premade Flavors'!$A:$A,'Premade Flavors'!P:P),_xlfn.XLOOKUP("How Much Of The First Sweetner? ",[1]Sheet1!$1:$1,[1]Sheet1!247:247))</f>
        <v>0</v>
      </c>
      <c r="Q247" s="45">
        <f>IF(COUNTIF('Premade Flavors'!$A:$A, $C247) &gt; 0,_xlfn.XLOOKUP($C247,'Premade Flavors'!$A:$A,'Premade Flavors'!Q:Q),[2]Sheet1!S247)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Flavors'!E:E),_xlfn.XLOOKUP("What's The First Flavor You Want? ",[1]Sheet1!$1:$1,[1]Sheet1!248:248))</f>
        <v>0</v>
      </c>
      <c r="G248" s="31">
        <f>IF(COUNTIF('Premade Flavors'!$A:$A, $C248) &gt; 0,_xlfn.XLOOKUP($C248,'Premade Flavors'!$A:$A,'Premade Flavors'!F:F),_xlfn.XLOOKUP("What's the Second Flavor You Want?",[1]Sheet1!$1:$1,[1]Sheet1!248:248))</f>
        <v>0</v>
      </c>
      <c r="H248" s="31">
        <f>IF(COUNTIF('Premade Flavors'!$A:$A, $C248) &gt; 0,_xlfn.XLOOKUP($C248,'Premade Flavors'!$A:$A,'Premade Flavors'!G:G),_xlfn.XLOOKUP("What's The First Mix In That You Want? ",[1]Sheet1!$1:$1,[1]Sheet1!248:248))</f>
        <v>0</v>
      </c>
      <c r="I248" s="31">
        <f>IF(COUNTIF('Premade Flavors'!$A:$A, $C246) &gt; 0,_xlfn.XLOOKUP($C246,'Premade Flavors'!$A:$A,'Premade Flavors'!H:H),IF([2]Sheet1!W246=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Flavors'!I:I),"Stevia"),_xlfn.XLOOKUP("What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Flavors'!M:M),_xlfn.XLOOKUP("How Strong Do You Want The First Flavor?",[1]Sheet1!$1:$1,[1]Sheet1!248:248))</f>
        <v>0</v>
      </c>
      <c r="N248" s="45">
        <f>IF(COUNTIF('Premade Flavors'!$A:$A, $C248) &gt; 0,_xlfn.XLOOKUP($C248,'Premade Flavors'!$A:$A,'Premade Flavors'!N:N),_xlfn.XLOOKUP("How Strong Do You Want The Second Flavor?",[1]Sheet1!$1:$1,[1]Sheet1!248:248))</f>
        <v>0</v>
      </c>
      <c r="O248" s="45">
        <f>IF(COUNTIF('Premade Flavors'!$A:$A, $C248) &gt; 0,_xlfn.XLOOKUP($C248,'Premade Flavors'!$A:$A,'Premade Flavors'!O:O),_xlfn.XLOOKUP("How Dense Should the Mix Ins Be?",[1]Sheet1!$1:$1,[1]Sheet1!248:248))</f>
        <v>0</v>
      </c>
      <c r="P248" s="45">
        <f>IF(COUNTIF('Premade Flavors'!$A:$A, $C248) &gt; 0,_xlfn.XLOOKUP($C248,'Premade Flavors'!$A:$A,'Premade Flavors'!P:P),_xlfn.XLOOKUP("How Much Of The First Sweetner? ",[1]Sheet1!$1:$1,[1]Sheet1!248:248))</f>
        <v>0</v>
      </c>
      <c r="Q248" s="45">
        <f>IF(COUNTIF('Premade Flavors'!$A:$A, $C248) &gt; 0,_xlfn.XLOOKUP($C248,'Premade Flavors'!$A:$A,'Premade Flavors'!Q:Q),[2]Sheet1!S248)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Flavors'!E:E),_xlfn.XLOOKUP("What's The First Flavor You Want? ",[1]Sheet1!$1:$1,[1]Sheet1!249:249))</f>
        <v>0</v>
      </c>
      <c r="G249" s="31">
        <f>IF(COUNTIF('Premade Flavors'!$A:$A, $C249) &gt; 0,_xlfn.XLOOKUP($C249,'Premade Flavors'!$A:$A,'Premade Flavors'!F:F),_xlfn.XLOOKUP("What's the Second Flavor You Want?",[1]Sheet1!$1:$1,[1]Sheet1!249:249))</f>
        <v>0</v>
      </c>
      <c r="H249" s="31">
        <f>IF(COUNTIF('Premade Flavors'!$A:$A, $C249) &gt; 0,_xlfn.XLOOKUP($C249,'Premade Flavors'!$A:$A,'Premade Flavors'!G:G),_xlfn.XLOOKUP("What's The First Mix In That You Want? ",[1]Sheet1!$1:$1,[1]Sheet1!249:249))</f>
        <v>0</v>
      </c>
      <c r="I249" s="31">
        <f>IF(COUNTIF('Premade Flavors'!$A:$A, $C247) &gt; 0,_xlfn.XLOOKUP($C247,'Premade Flavors'!$A:$A,'Premade Flavors'!H:H),IF([2]Sheet1!W247=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Flavors'!I:I),"Stevia"),_xlfn.XLOOKUP("What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Flavors'!M:M),_xlfn.XLOOKUP("How Strong Do You Want The First Flavor?",[1]Sheet1!$1:$1,[1]Sheet1!249:249))</f>
        <v>0</v>
      </c>
      <c r="N249" s="45">
        <f>IF(COUNTIF('Premade Flavors'!$A:$A, $C249) &gt; 0,_xlfn.XLOOKUP($C249,'Premade Flavors'!$A:$A,'Premade Flavors'!N:N),_xlfn.XLOOKUP("How Strong Do You Want The Second Flavor?",[1]Sheet1!$1:$1,[1]Sheet1!249:249))</f>
        <v>0</v>
      </c>
      <c r="O249" s="45">
        <f>IF(COUNTIF('Premade Flavors'!$A:$A, $C249) &gt; 0,_xlfn.XLOOKUP($C249,'Premade Flavors'!$A:$A,'Premade Flavors'!O:O),_xlfn.XLOOKUP("How Dense Should the Mix Ins Be?",[1]Sheet1!$1:$1,[1]Sheet1!249:249))</f>
        <v>0</v>
      </c>
      <c r="P249" s="45">
        <f>IF(COUNTIF('Premade Flavors'!$A:$A, $C249) &gt; 0,_xlfn.XLOOKUP($C249,'Premade Flavors'!$A:$A,'Premade Flavors'!P:P),_xlfn.XLOOKUP("How Much Of The First Sweetner? ",[1]Sheet1!$1:$1,[1]Sheet1!249:249))</f>
        <v>0</v>
      </c>
      <c r="Q249" s="45">
        <f>IF(COUNTIF('Premade Flavors'!$A:$A, $C249) &gt; 0,_xlfn.XLOOKUP($C249,'Premade Flavors'!$A:$A,'Premade Flavors'!Q:Q),[2]Sheet1!S249)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Flavors'!E:E),_xlfn.XLOOKUP("What's The First Flavor You Want? ",[1]Sheet1!$1:$1,[1]Sheet1!250:250))</f>
        <v>0</v>
      </c>
      <c r="G250" s="31">
        <f>IF(COUNTIF('Premade Flavors'!$A:$A, $C250) &gt; 0,_xlfn.XLOOKUP($C250,'Premade Flavors'!$A:$A,'Premade Flavors'!F:F),_xlfn.XLOOKUP("What's the Second Flavor You Want?",[1]Sheet1!$1:$1,[1]Sheet1!250:250))</f>
        <v>0</v>
      </c>
      <c r="H250" s="31">
        <f>IF(COUNTIF('Premade Flavors'!$A:$A, $C250) &gt; 0,_xlfn.XLOOKUP($C250,'Premade Flavors'!$A:$A,'Premade Flavors'!G:G),_xlfn.XLOOKUP("What's The First Mix In That You Want? ",[1]Sheet1!$1:$1,[1]Sheet1!250:250))</f>
        <v>0</v>
      </c>
      <c r="I250" s="31">
        <f>IF(COUNTIF('Premade Flavors'!$A:$A, $C248) &gt; 0,_xlfn.XLOOKUP($C248,'Premade Flavors'!$A:$A,'Premade Flavors'!H:H),IF([2]Sheet1!W248=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Flavors'!I:I),"Stevia"),_xlfn.XLOOKUP("What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Flavors'!M:M),_xlfn.XLOOKUP("How Strong Do You Want The First Flavor?",[1]Sheet1!$1:$1,[1]Sheet1!250:250))</f>
        <v>0</v>
      </c>
      <c r="N250" s="45">
        <f>IF(COUNTIF('Premade Flavors'!$A:$A, $C250) &gt; 0,_xlfn.XLOOKUP($C250,'Premade Flavors'!$A:$A,'Premade Flavors'!N:N),_xlfn.XLOOKUP("How Strong Do You Want The Second Flavor?",[1]Sheet1!$1:$1,[1]Sheet1!250:250))</f>
        <v>0</v>
      </c>
      <c r="O250" s="45">
        <f>IF(COUNTIF('Premade Flavors'!$A:$A, $C250) &gt; 0,_xlfn.XLOOKUP($C250,'Premade Flavors'!$A:$A,'Premade Flavors'!O:O),_xlfn.XLOOKUP("How Dense Should the Mix Ins Be?",[1]Sheet1!$1:$1,[1]Sheet1!250:250))</f>
        <v>0</v>
      </c>
      <c r="P250" s="45">
        <f>IF(COUNTIF('Premade Flavors'!$A:$A, $C250) &gt; 0,_xlfn.XLOOKUP($C250,'Premade Flavors'!$A:$A,'Premade Flavors'!P:P),_xlfn.XLOOKUP("How Much Of The First Sweetner? ",[1]Sheet1!$1:$1,[1]Sheet1!250:250))</f>
        <v>0</v>
      </c>
      <c r="Q250" s="45">
        <f>IF(COUNTIF('Premade Flavors'!$A:$A, $C250) &gt; 0,_xlfn.XLOOKUP($C250,'Premade Flavors'!$A:$A,'Premade Flavors'!Q:Q),[2]Sheet1!S250)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Flavors'!E:E),_xlfn.XLOOKUP("What's The First Flavor You Want? ",[1]Sheet1!$1:$1,[1]Sheet1!251:251))</f>
        <v>0</v>
      </c>
      <c r="G251" s="31">
        <f>IF(COUNTIF('Premade Flavors'!$A:$A, $C251) &gt; 0,_xlfn.XLOOKUP($C251,'Premade Flavors'!$A:$A,'Premade Flavors'!F:F),_xlfn.XLOOKUP("What's the Second Flavor You Want?",[1]Sheet1!$1:$1,[1]Sheet1!251:251))</f>
        <v>0</v>
      </c>
      <c r="H251" s="31">
        <f>IF(COUNTIF('Premade Flavors'!$A:$A, $C251) &gt; 0,_xlfn.XLOOKUP($C251,'Premade Flavors'!$A:$A,'Premade Flavors'!G:G),_xlfn.XLOOKUP("What's The First Mix In That You Want? ",[1]Sheet1!$1:$1,[1]Sheet1!251:251))</f>
        <v>0</v>
      </c>
      <c r="I251" s="31">
        <f>IF(COUNTIF('Premade Flavors'!$A:$A, $C249) &gt; 0,_xlfn.XLOOKUP($C249,'Premade Flavors'!$A:$A,'Premade Flavors'!H:H),IF([2]Sheet1!W249=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Flavors'!I:I),"Stevia"),_xlfn.XLOOKUP("What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Flavors'!M:M),_xlfn.XLOOKUP("How Strong Do You Want The First Flavor?",[1]Sheet1!$1:$1,[1]Sheet1!251:251))</f>
        <v>0</v>
      </c>
      <c r="N251" s="45">
        <f>IF(COUNTIF('Premade Flavors'!$A:$A, $C251) &gt; 0,_xlfn.XLOOKUP($C251,'Premade Flavors'!$A:$A,'Premade Flavors'!N:N),_xlfn.XLOOKUP("How Strong Do You Want The Second Flavor?",[1]Sheet1!$1:$1,[1]Sheet1!251:251))</f>
        <v>0</v>
      </c>
      <c r="O251" s="45">
        <f>IF(COUNTIF('Premade Flavors'!$A:$A, $C251) &gt; 0,_xlfn.XLOOKUP($C251,'Premade Flavors'!$A:$A,'Premade Flavors'!O:O),_xlfn.XLOOKUP("How Dense Should the Mix Ins Be?",[1]Sheet1!$1:$1,[1]Sheet1!251:251))</f>
        <v>0</v>
      </c>
      <c r="P251" s="45">
        <f>IF(COUNTIF('Premade Flavors'!$A:$A, $C251) &gt; 0,_xlfn.XLOOKUP($C251,'Premade Flavors'!$A:$A,'Premade Flavors'!P:P),_xlfn.XLOOKUP("How Much Of The First Sweetner? ",[1]Sheet1!$1:$1,[1]Sheet1!251:251))</f>
        <v>0</v>
      </c>
      <c r="Q251" s="45">
        <f>IF(COUNTIF('Premade Flavors'!$A:$A, $C251) &gt; 0,_xlfn.XLOOKUP($C251,'Premade Flavors'!$A:$A,'Premade Flavors'!Q:Q),[2]Sheet1!S251)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Flavors'!E:E),_xlfn.XLOOKUP("What's The First Flavor You Want? ",[1]Sheet1!$1:$1,[1]Sheet1!252:252))</f>
        <v>0</v>
      </c>
      <c r="G252" s="31">
        <f>IF(COUNTIF('Premade Flavors'!$A:$A, $C252) &gt; 0,_xlfn.XLOOKUP($C252,'Premade Flavors'!$A:$A,'Premade Flavors'!F:F),_xlfn.XLOOKUP("What's the Second Flavor You Want?",[1]Sheet1!$1:$1,[1]Sheet1!252:252))</f>
        <v>0</v>
      </c>
      <c r="H252" s="31">
        <f>IF(COUNTIF('Premade Flavors'!$A:$A, $C252) &gt; 0,_xlfn.XLOOKUP($C252,'Premade Flavors'!$A:$A,'Premade Flavors'!G:G),_xlfn.XLOOKUP("What's The First Mix In That You Want? ",[1]Sheet1!$1:$1,[1]Sheet1!252:252))</f>
        <v>0</v>
      </c>
      <c r="I252" s="31">
        <f>IF(COUNTIF('Premade Flavors'!$A:$A, $C250) &gt; 0,_xlfn.XLOOKUP($C250,'Premade Flavors'!$A:$A,'Premade Flavors'!H:H),IF([2]Sheet1!W250=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Flavors'!I:I),"Stevia"),_xlfn.XLOOKUP("What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Flavors'!M:M),_xlfn.XLOOKUP("How Strong Do You Want The First Flavor?",[1]Sheet1!$1:$1,[1]Sheet1!252:252))</f>
        <v>0</v>
      </c>
      <c r="N252" s="45">
        <f>IF(COUNTIF('Premade Flavors'!$A:$A, $C252) &gt; 0,_xlfn.XLOOKUP($C252,'Premade Flavors'!$A:$A,'Premade Flavors'!N:N),_xlfn.XLOOKUP("How Strong Do You Want The Second Flavor?",[1]Sheet1!$1:$1,[1]Sheet1!252:252))</f>
        <v>0</v>
      </c>
      <c r="O252" s="45">
        <f>IF(COUNTIF('Premade Flavors'!$A:$A, $C252) &gt; 0,_xlfn.XLOOKUP($C252,'Premade Flavors'!$A:$A,'Premade Flavors'!O:O),_xlfn.XLOOKUP("How Dense Should the Mix Ins Be?",[1]Sheet1!$1:$1,[1]Sheet1!252:252))</f>
        <v>0</v>
      </c>
      <c r="P252" s="45">
        <f>IF(COUNTIF('Premade Flavors'!$A:$A, $C252) &gt; 0,_xlfn.XLOOKUP($C252,'Premade Flavors'!$A:$A,'Premade Flavors'!P:P),_xlfn.XLOOKUP("How Much Of The First Sweetner? ",[1]Sheet1!$1:$1,[1]Sheet1!252:252))</f>
        <v>0</v>
      </c>
      <c r="Q252" s="45">
        <f>IF(COUNTIF('Premade Flavors'!$A:$A, $C252) &gt; 0,_xlfn.XLOOKUP($C252,'Premade Flavors'!$A:$A,'Premade Flavors'!Q:Q),[2]Sheet1!S252)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Flavors'!E:E),_xlfn.XLOOKUP("What's The First Flavor You Want? ",[1]Sheet1!$1:$1,[1]Sheet1!253:253))</f>
        <v>0</v>
      </c>
      <c r="G253" s="31">
        <f>IF(COUNTIF('Premade Flavors'!$A:$A, $C253) &gt; 0,_xlfn.XLOOKUP($C253,'Premade Flavors'!$A:$A,'Premade Flavors'!F:F),_xlfn.XLOOKUP("What's the Second Flavor You Want?",[1]Sheet1!$1:$1,[1]Sheet1!253:253))</f>
        <v>0</v>
      </c>
      <c r="H253" s="31">
        <f>IF(COUNTIF('Premade Flavors'!$A:$A, $C253) &gt; 0,_xlfn.XLOOKUP($C253,'Premade Flavors'!$A:$A,'Premade Flavors'!G:G),_xlfn.XLOOKUP("What's The First Mix In That You Want? ",[1]Sheet1!$1:$1,[1]Sheet1!253:253))</f>
        <v>0</v>
      </c>
      <c r="I253" s="31">
        <f>IF(COUNTIF('Premade Flavors'!$A:$A, $C251) &gt; 0,_xlfn.XLOOKUP($C251,'Premade Flavors'!$A:$A,'Premade Flavors'!H:H),IF([2]Sheet1!W251=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Flavors'!I:I),"Stevia"),_xlfn.XLOOKUP("What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Flavors'!M:M),_xlfn.XLOOKUP("How Strong Do You Want The First Flavor?",[1]Sheet1!$1:$1,[1]Sheet1!253:253))</f>
        <v>0</v>
      </c>
      <c r="N253" s="45">
        <f>IF(COUNTIF('Premade Flavors'!$A:$A, $C253) &gt; 0,_xlfn.XLOOKUP($C253,'Premade Flavors'!$A:$A,'Premade Flavors'!N:N),_xlfn.XLOOKUP("How Strong Do You Want The Second Flavor?",[1]Sheet1!$1:$1,[1]Sheet1!253:253))</f>
        <v>0</v>
      </c>
      <c r="O253" s="45">
        <f>IF(COUNTIF('Premade Flavors'!$A:$A, $C253) &gt; 0,_xlfn.XLOOKUP($C253,'Premade Flavors'!$A:$A,'Premade Flavors'!O:O),_xlfn.XLOOKUP("How Dense Should the Mix Ins Be?",[1]Sheet1!$1:$1,[1]Sheet1!253:253))</f>
        <v>0</v>
      </c>
      <c r="P253" s="45">
        <f>IF(COUNTIF('Premade Flavors'!$A:$A, $C253) &gt; 0,_xlfn.XLOOKUP($C253,'Premade Flavors'!$A:$A,'Premade Flavors'!P:P),_xlfn.XLOOKUP("How Much Of The First Sweetner? ",[1]Sheet1!$1:$1,[1]Sheet1!253:253))</f>
        <v>0</v>
      </c>
      <c r="Q253" s="45">
        <f>IF(COUNTIF('Premade Flavors'!$A:$A, $C253) &gt; 0,_xlfn.XLOOKUP($C253,'Premade Flavors'!$A:$A,'Premade Flavors'!Q:Q),[2]Sheet1!S253)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Flavors'!E:E),_xlfn.XLOOKUP("What's The First Flavor You Want? ",[1]Sheet1!$1:$1,[1]Sheet1!254:254))</f>
        <v>0</v>
      </c>
      <c r="G254" s="31">
        <f>IF(COUNTIF('Premade Flavors'!$A:$A, $C254) &gt; 0,_xlfn.XLOOKUP($C254,'Premade Flavors'!$A:$A,'Premade Flavors'!F:F),_xlfn.XLOOKUP("What's the Second Flavor You Want?",[1]Sheet1!$1:$1,[1]Sheet1!254:254))</f>
        <v>0</v>
      </c>
      <c r="H254" s="31">
        <f>IF(COUNTIF('Premade Flavors'!$A:$A, $C254) &gt; 0,_xlfn.XLOOKUP($C254,'Premade Flavors'!$A:$A,'Premade Flavors'!G:G),_xlfn.XLOOKUP("What's The First Mix In That You Want? ",[1]Sheet1!$1:$1,[1]Sheet1!254:254))</f>
        <v>0</v>
      </c>
      <c r="I254" s="31">
        <f>IF(COUNTIF('Premade Flavors'!$A:$A, $C252) &gt; 0,_xlfn.XLOOKUP($C252,'Premade Flavors'!$A:$A,'Premade Flavors'!H:H),IF([2]Sheet1!W252=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Flavors'!I:I),"Stevia"),_xlfn.XLOOKUP("What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Flavors'!M:M),_xlfn.XLOOKUP("How Strong Do You Want The First Flavor?",[1]Sheet1!$1:$1,[1]Sheet1!254:254))</f>
        <v>0</v>
      </c>
      <c r="N254" s="45">
        <f>IF(COUNTIF('Premade Flavors'!$A:$A, $C254) &gt; 0,_xlfn.XLOOKUP($C254,'Premade Flavors'!$A:$A,'Premade Flavors'!N:N),_xlfn.XLOOKUP("How Strong Do You Want The Second Flavor?",[1]Sheet1!$1:$1,[1]Sheet1!254:254))</f>
        <v>0</v>
      </c>
      <c r="O254" s="45">
        <f>IF(COUNTIF('Premade Flavors'!$A:$A, $C254) &gt; 0,_xlfn.XLOOKUP($C254,'Premade Flavors'!$A:$A,'Premade Flavors'!O:O),_xlfn.XLOOKUP("How Dense Should the Mix Ins Be?",[1]Sheet1!$1:$1,[1]Sheet1!254:254))</f>
        <v>0</v>
      </c>
      <c r="P254" s="45">
        <f>IF(COUNTIF('Premade Flavors'!$A:$A, $C254) &gt; 0,_xlfn.XLOOKUP($C254,'Premade Flavors'!$A:$A,'Premade Flavors'!P:P),_xlfn.XLOOKUP("How Much Of The First Sweetner? ",[1]Sheet1!$1:$1,[1]Sheet1!254:254))</f>
        <v>0</v>
      </c>
      <c r="Q254" s="45">
        <f>IF(COUNTIF('Premade Flavors'!$A:$A, $C254) &gt; 0,_xlfn.XLOOKUP($C254,'Premade Flavors'!$A:$A,'Premade Flavors'!Q:Q),[2]Sheet1!S254)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Flavors'!E:E),_xlfn.XLOOKUP("What's The First Flavor You Want? ",[1]Sheet1!$1:$1,[1]Sheet1!255:255))</f>
        <v>0</v>
      </c>
      <c r="G255" s="31">
        <f>IF(COUNTIF('Premade Flavors'!$A:$A, $C255) &gt; 0,_xlfn.XLOOKUP($C255,'Premade Flavors'!$A:$A,'Premade Flavors'!F:F),_xlfn.XLOOKUP("What's the Second Flavor You Want?",[1]Sheet1!$1:$1,[1]Sheet1!255:255))</f>
        <v>0</v>
      </c>
      <c r="H255" s="31">
        <f>IF(COUNTIF('Premade Flavors'!$A:$A, $C255) &gt; 0,_xlfn.XLOOKUP($C255,'Premade Flavors'!$A:$A,'Premade Flavors'!G:G),_xlfn.XLOOKUP("What's The First Mix In That You Want? ",[1]Sheet1!$1:$1,[1]Sheet1!255:255))</f>
        <v>0</v>
      </c>
      <c r="I255" s="31">
        <f>IF(COUNTIF('Premade Flavors'!$A:$A, $C253) &gt; 0,_xlfn.XLOOKUP($C253,'Premade Flavors'!$A:$A,'Premade Flavors'!H:H),IF([2]Sheet1!W253=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Flavors'!I:I),"Stevia"),_xlfn.XLOOKUP("What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Flavors'!M:M),_xlfn.XLOOKUP("How Strong Do You Want The First Flavor?",[1]Sheet1!$1:$1,[1]Sheet1!255:255))</f>
        <v>0</v>
      </c>
      <c r="N255" s="45">
        <f>IF(COUNTIF('Premade Flavors'!$A:$A, $C255) &gt; 0,_xlfn.XLOOKUP($C255,'Premade Flavors'!$A:$A,'Premade Flavors'!N:N),_xlfn.XLOOKUP("How Strong Do You Want The Second Flavor?",[1]Sheet1!$1:$1,[1]Sheet1!255:255))</f>
        <v>0</v>
      </c>
      <c r="O255" s="45">
        <f>IF(COUNTIF('Premade Flavors'!$A:$A, $C255) &gt; 0,_xlfn.XLOOKUP($C255,'Premade Flavors'!$A:$A,'Premade Flavors'!O:O),_xlfn.XLOOKUP("How Dense Should the Mix Ins Be?",[1]Sheet1!$1:$1,[1]Sheet1!255:255))</f>
        <v>0</v>
      </c>
      <c r="P255" s="45">
        <f>IF(COUNTIF('Premade Flavors'!$A:$A, $C255) &gt; 0,_xlfn.XLOOKUP($C255,'Premade Flavors'!$A:$A,'Premade Flavors'!P:P),_xlfn.XLOOKUP("How Much Of The First Sweetner? ",[1]Sheet1!$1:$1,[1]Sheet1!255:255))</f>
        <v>0</v>
      </c>
      <c r="Q255" s="45">
        <f>IF(COUNTIF('Premade Flavors'!$A:$A, $C255) &gt; 0,_xlfn.XLOOKUP($C255,'Premade Flavors'!$A:$A,'Premade Flavors'!Q:Q),[2]Sheet1!S255)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Flavors'!E:E),_xlfn.XLOOKUP("What's The First Flavor You Want? ",[1]Sheet1!$1:$1,[1]Sheet1!256:256))</f>
        <v>0</v>
      </c>
      <c r="G256" s="31">
        <f>IF(COUNTIF('Premade Flavors'!$A:$A, $C256) &gt; 0,_xlfn.XLOOKUP($C256,'Premade Flavors'!$A:$A,'Premade Flavors'!F:F),_xlfn.XLOOKUP("What's the Second Flavor You Want?",[1]Sheet1!$1:$1,[1]Sheet1!256:256))</f>
        <v>0</v>
      </c>
      <c r="H256" s="31">
        <f>IF(COUNTIF('Premade Flavors'!$A:$A, $C256) &gt; 0,_xlfn.XLOOKUP($C256,'Premade Flavors'!$A:$A,'Premade Flavors'!G:G),_xlfn.XLOOKUP("What's The First Mix In That You Want? ",[1]Sheet1!$1:$1,[1]Sheet1!256:256))</f>
        <v>0</v>
      </c>
      <c r="I256" s="31">
        <f>IF(COUNTIF('Premade Flavors'!$A:$A, $C254) &gt; 0,_xlfn.XLOOKUP($C254,'Premade Flavors'!$A:$A,'Premade Flavors'!H:H),IF([2]Sheet1!W254=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Flavors'!I:I),"Stevia"),_xlfn.XLOOKUP("What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Flavors'!M:M),_xlfn.XLOOKUP("How Strong Do You Want The First Flavor?",[1]Sheet1!$1:$1,[1]Sheet1!256:256))</f>
        <v>0</v>
      </c>
      <c r="N256" s="45">
        <f>IF(COUNTIF('Premade Flavors'!$A:$A, $C256) &gt; 0,_xlfn.XLOOKUP($C256,'Premade Flavors'!$A:$A,'Premade Flavors'!N:N),_xlfn.XLOOKUP("How Strong Do You Want The Second Flavor?",[1]Sheet1!$1:$1,[1]Sheet1!256:256))</f>
        <v>0</v>
      </c>
      <c r="O256" s="45">
        <f>IF(COUNTIF('Premade Flavors'!$A:$A, $C256) &gt; 0,_xlfn.XLOOKUP($C256,'Premade Flavors'!$A:$A,'Premade Flavors'!O:O),_xlfn.XLOOKUP("How Dense Should the Mix Ins Be?",[1]Sheet1!$1:$1,[1]Sheet1!256:256))</f>
        <v>0</v>
      </c>
      <c r="P256" s="45">
        <f>IF(COUNTIF('Premade Flavors'!$A:$A, $C256) &gt; 0,_xlfn.XLOOKUP($C256,'Premade Flavors'!$A:$A,'Premade Flavors'!P:P),_xlfn.XLOOKUP("How Much Of The First Sweetner? ",[1]Sheet1!$1:$1,[1]Sheet1!256:256))</f>
        <v>0</v>
      </c>
      <c r="Q256" s="45">
        <f>IF(COUNTIF('Premade Flavors'!$A:$A, $C256) &gt; 0,_xlfn.XLOOKUP($C256,'Premade Flavors'!$A:$A,'Premade Flavors'!Q:Q),[2]Sheet1!S256)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Flavors'!E:E),_xlfn.XLOOKUP("What's The First Flavor You Want? ",[1]Sheet1!$1:$1,[1]Sheet1!257:257))</f>
        <v>0</v>
      </c>
      <c r="G257" s="31">
        <f>IF(COUNTIF('Premade Flavors'!$A:$A, $C257) &gt; 0,_xlfn.XLOOKUP($C257,'Premade Flavors'!$A:$A,'Premade Flavors'!F:F),_xlfn.XLOOKUP("What's the Second Flavor You Want?",[1]Sheet1!$1:$1,[1]Sheet1!257:257))</f>
        <v>0</v>
      </c>
      <c r="H257" s="31">
        <f>IF(COUNTIF('Premade Flavors'!$A:$A, $C257) &gt; 0,_xlfn.XLOOKUP($C257,'Premade Flavors'!$A:$A,'Premade Flavors'!G:G),_xlfn.XLOOKUP("What's The First Mix In That You Want? ",[1]Sheet1!$1:$1,[1]Sheet1!257:257))</f>
        <v>0</v>
      </c>
      <c r="I257" s="31">
        <f>IF(COUNTIF('Premade Flavors'!$A:$A, $C255) &gt; 0,_xlfn.XLOOKUP($C255,'Premade Flavors'!$A:$A,'Premade Flavors'!H:H),IF([2]Sheet1!W255=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Flavors'!I:I),"Stevia"),_xlfn.XLOOKUP("What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Flavors'!M:M),_xlfn.XLOOKUP("How Strong Do You Want The First Flavor?",[1]Sheet1!$1:$1,[1]Sheet1!257:257))</f>
        <v>0</v>
      </c>
      <c r="N257" s="45">
        <f>IF(COUNTIF('Premade Flavors'!$A:$A, $C257) &gt; 0,_xlfn.XLOOKUP($C257,'Premade Flavors'!$A:$A,'Premade Flavors'!N:N),_xlfn.XLOOKUP("How Strong Do You Want The Second Flavor?",[1]Sheet1!$1:$1,[1]Sheet1!257:257))</f>
        <v>0</v>
      </c>
      <c r="O257" s="45">
        <f>IF(COUNTIF('Premade Flavors'!$A:$A, $C257) &gt; 0,_xlfn.XLOOKUP($C257,'Premade Flavors'!$A:$A,'Premade Flavors'!O:O),_xlfn.XLOOKUP("How Dense Should the Mix Ins Be?",[1]Sheet1!$1:$1,[1]Sheet1!257:257))</f>
        <v>0</v>
      </c>
      <c r="P257" s="45">
        <f>IF(COUNTIF('Premade Flavors'!$A:$A, $C257) &gt; 0,_xlfn.XLOOKUP($C257,'Premade Flavors'!$A:$A,'Premade Flavors'!P:P),_xlfn.XLOOKUP("How Much Of The First Sweetner? ",[1]Sheet1!$1:$1,[1]Sheet1!257:257))</f>
        <v>0</v>
      </c>
      <c r="Q257" s="45">
        <f>IF(COUNTIF('Premade Flavors'!$A:$A, $C257) &gt; 0,_xlfn.XLOOKUP($C257,'Premade Flavors'!$A:$A,'Premade Flavors'!Q:Q),[2]Sheet1!S257)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Flavors'!E:E),_xlfn.XLOOKUP("What's The First Flavor You Want? ",[1]Sheet1!$1:$1,[1]Sheet1!258:258))</f>
        <v>0</v>
      </c>
      <c r="G258" s="31">
        <f>IF(COUNTIF('Premade Flavors'!$A:$A, $C258) &gt; 0,_xlfn.XLOOKUP($C258,'Premade Flavors'!$A:$A,'Premade Flavors'!F:F),_xlfn.XLOOKUP("What's the Second Flavor You Want?",[1]Sheet1!$1:$1,[1]Sheet1!258:258))</f>
        <v>0</v>
      </c>
      <c r="H258" s="31">
        <f>IF(COUNTIF('Premade Flavors'!$A:$A, $C258) &gt; 0,_xlfn.XLOOKUP($C258,'Premade Flavors'!$A:$A,'Premade Flavors'!G:G),_xlfn.XLOOKUP("What's The First Mix In That You Want? ",[1]Sheet1!$1:$1,[1]Sheet1!258:258))</f>
        <v>0</v>
      </c>
      <c r="I258" s="31">
        <f>IF(COUNTIF('Premade Flavors'!$A:$A, $C256) &gt; 0,_xlfn.XLOOKUP($C256,'Premade Flavors'!$A:$A,'Premade Flavors'!H:H),IF([2]Sheet1!W256=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Flavors'!I:I),"Stevia"),_xlfn.XLOOKUP("What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Flavors'!M:M),_xlfn.XLOOKUP("How Strong Do You Want The First Flavor?",[1]Sheet1!$1:$1,[1]Sheet1!258:258))</f>
        <v>0</v>
      </c>
      <c r="N258" s="45">
        <f>IF(COUNTIF('Premade Flavors'!$A:$A, $C258) &gt; 0,_xlfn.XLOOKUP($C258,'Premade Flavors'!$A:$A,'Premade Flavors'!N:N),_xlfn.XLOOKUP("How Strong Do You Want The Second Flavor?",[1]Sheet1!$1:$1,[1]Sheet1!258:258))</f>
        <v>0</v>
      </c>
      <c r="O258" s="45">
        <f>IF(COUNTIF('Premade Flavors'!$A:$A, $C258) &gt; 0,_xlfn.XLOOKUP($C258,'Premade Flavors'!$A:$A,'Premade Flavors'!O:O),_xlfn.XLOOKUP("How Dense Should the Mix Ins Be?",[1]Sheet1!$1:$1,[1]Sheet1!258:258))</f>
        <v>0</v>
      </c>
      <c r="P258" s="45">
        <f>IF(COUNTIF('Premade Flavors'!$A:$A, $C258) &gt; 0,_xlfn.XLOOKUP($C258,'Premade Flavors'!$A:$A,'Premade Flavors'!P:P),_xlfn.XLOOKUP("How Much Of The First Sweetner? ",[1]Sheet1!$1:$1,[1]Sheet1!258:258))</f>
        <v>0</v>
      </c>
      <c r="Q258" s="45">
        <f>IF(COUNTIF('Premade Flavors'!$A:$A, $C258) &gt; 0,_xlfn.XLOOKUP($C258,'Premade Flavors'!$A:$A,'Premade Flavors'!Q:Q),[2]Sheet1!S258)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Flavors'!E:E),_xlfn.XLOOKUP("What's The First Flavor You Want? ",[1]Sheet1!$1:$1,[1]Sheet1!259:259))</f>
        <v>0</v>
      </c>
      <c r="G259" s="31">
        <f>IF(COUNTIF('Premade Flavors'!$A:$A, $C259) &gt; 0,_xlfn.XLOOKUP($C259,'Premade Flavors'!$A:$A,'Premade Flavors'!F:F),_xlfn.XLOOKUP("What's the Second Flavor You Want?",[1]Sheet1!$1:$1,[1]Sheet1!259:259))</f>
        <v>0</v>
      </c>
      <c r="H259" s="31">
        <f>IF(COUNTIF('Premade Flavors'!$A:$A, $C259) &gt; 0,_xlfn.XLOOKUP($C259,'Premade Flavors'!$A:$A,'Premade Flavors'!G:G),_xlfn.XLOOKUP("What's The First Mix In That You Want? ",[1]Sheet1!$1:$1,[1]Sheet1!259:259))</f>
        <v>0</v>
      </c>
      <c r="I259" s="31">
        <f>IF(COUNTIF('Premade Flavors'!$A:$A, $C257) &gt; 0,_xlfn.XLOOKUP($C257,'Premade Flavors'!$A:$A,'Premade Flavors'!H:H),IF([2]Sheet1!W257=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Flavors'!I:I),"Stevia"),_xlfn.XLOOKUP("What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Flavors'!M:M),_xlfn.XLOOKUP("How Strong Do You Want The First Flavor?",[1]Sheet1!$1:$1,[1]Sheet1!259:259))</f>
        <v>0</v>
      </c>
      <c r="N259" s="45">
        <f>IF(COUNTIF('Premade Flavors'!$A:$A, $C259) &gt; 0,_xlfn.XLOOKUP($C259,'Premade Flavors'!$A:$A,'Premade Flavors'!N:N),_xlfn.XLOOKUP("How Strong Do You Want The Second Flavor?",[1]Sheet1!$1:$1,[1]Sheet1!259:259))</f>
        <v>0</v>
      </c>
      <c r="O259" s="45">
        <f>IF(COUNTIF('Premade Flavors'!$A:$A, $C259) &gt; 0,_xlfn.XLOOKUP($C259,'Premade Flavors'!$A:$A,'Premade Flavors'!O:O),_xlfn.XLOOKUP("How Dense Should the Mix Ins Be?",[1]Sheet1!$1:$1,[1]Sheet1!259:259))</f>
        <v>0</v>
      </c>
      <c r="P259" s="45">
        <f>IF(COUNTIF('Premade Flavors'!$A:$A, $C259) &gt; 0,_xlfn.XLOOKUP($C259,'Premade Flavors'!$A:$A,'Premade Flavors'!P:P),_xlfn.XLOOKUP("How Much Of The First Sweetner? ",[1]Sheet1!$1:$1,[1]Sheet1!259:259))</f>
        <v>0</v>
      </c>
      <c r="Q259" s="45">
        <f>IF(COUNTIF('Premade Flavors'!$A:$A, $C259) &gt; 0,_xlfn.XLOOKUP($C259,'Premade Flavors'!$A:$A,'Premade Flavors'!Q:Q),[2]Sheet1!S259)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Flavors'!E:E),_xlfn.XLOOKUP("What's The First Flavor You Want? ",[1]Sheet1!$1:$1,[1]Sheet1!260:260))</f>
        <v>0</v>
      </c>
      <c r="G260" s="31">
        <f>IF(COUNTIF('Premade Flavors'!$A:$A, $C260) &gt; 0,_xlfn.XLOOKUP($C260,'Premade Flavors'!$A:$A,'Premade Flavors'!F:F),_xlfn.XLOOKUP("What's the Second Flavor You Want?",[1]Sheet1!$1:$1,[1]Sheet1!260:260))</f>
        <v>0</v>
      </c>
      <c r="H260" s="31">
        <f>IF(COUNTIF('Premade Flavors'!$A:$A, $C260) &gt; 0,_xlfn.XLOOKUP($C260,'Premade Flavors'!$A:$A,'Premade Flavors'!G:G),_xlfn.XLOOKUP("What's The First Mix In That You Want? ",[1]Sheet1!$1:$1,[1]Sheet1!260:260))</f>
        <v>0</v>
      </c>
      <c r="I260" s="31">
        <f>IF(COUNTIF('Premade Flavors'!$A:$A, $C258) &gt; 0,_xlfn.XLOOKUP($C258,'Premade Flavors'!$A:$A,'Premade Flavors'!H:H),IF([2]Sheet1!W258=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Flavors'!I:I),"Stevia"),_xlfn.XLOOKUP("What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Flavors'!M:M),_xlfn.XLOOKUP("How Strong Do You Want The First Flavor?",[1]Sheet1!$1:$1,[1]Sheet1!260:260))</f>
        <v>0</v>
      </c>
      <c r="N260" s="45">
        <f>IF(COUNTIF('Premade Flavors'!$A:$A, $C260) &gt; 0,_xlfn.XLOOKUP($C260,'Premade Flavors'!$A:$A,'Premade Flavors'!N:N),_xlfn.XLOOKUP("How Strong Do You Want The Second Flavor?",[1]Sheet1!$1:$1,[1]Sheet1!260:260))</f>
        <v>0</v>
      </c>
      <c r="O260" s="45">
        <f>IF(COUNTIF('Premade Flavors'!$A:$A, $C260) &gt; 0,_xlfn.XLOOKUP($C260,'Premade Flavors'!$A:$A,'Premade Flavors'!O:O),_xlfn.XLOOKUP("How Dense Should the Mix Ins Be?",[1]Sheet1!$1:$1,[1]Sheet1!260:260))</f>
        <v>0</v>
      </c>
      <c r="P260" s="45">
        <f>IF(COUNTIF('Premade Flavors'!$A:$A, $C260) &gt; 0,_xlfn.XLOOKUP($C260,'Premade Flavors'!$A:$A,'Premade Flavors'!P:P),_xlfn.XLOOKUP("How Much Of The First Sweetner? ",[1]Sheet1!$1:$1,[1]Sheet1!260:260))</f>
        <v>0</v>
      </c>
      <c r="Q260" s="45">
        <f>IF(COUNTIF('Premade Flavors'!$A:$A, $C260) &gt; 0,_xlfn.XLOOKUP($C260,'Premade Flavors'!$A:$A,'Premade Flavors'!Q:Q),[2]Sheet1!S260)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Flavors'!E:E),_xlfn.XLOOKUP("What's The First Flavor You Want? ",[1]Sheet1!$1:$1,[1]Sheet1!261:261))</f>
        <v>0</v>
      </c>
      <c r="G261" s="31">
        <f>IF(COUNTIF('Premade Flavors'!$A:$A, $C261) &gt; 0,_xlfn.XLOOKUP($C261,'Premade Flavors'!$A:$A,'Premade Flavors'!F:F),_xlfn.XLOOKUP("What's the Second Flavor You Want?",[1]Sheet1!$1:$1,[1]Sheet1!261:261))</f>
        <v>0</v>
      </c>
      <c r="H261" s="31">
        <f>IF(COUNTIF('Premade Flavors'!$A:$A, $C261) &gt; 0,_xlfn.XLOOKUP($C261,'Premade Flavors'!$A:$A,'Premade Flavors'!G:G),_xlfn.XLOOKUP("What's The First Mix In That You Want? ",[1]Sheet1!$1:$1,[1]Sheet1!261:261))</f>
        <v>0</v>
      </c>
      <c r="I261" s="31">
        <f>IF(COUNTIF('Premade Flavors'!$A:$A, $C259) &gt; 0,_xlfn.XLOOKUP($C259,'Premade Flavors'!$A:$A,'Premade Flavors'!H:H),IF([2]Sheet1!W259=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Flavors'!I:I),"Stevia"),_xlfn.XLOOKUP("What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Flavors'!M:M),_xlfn.XLOOKUP("How Strong Do You Want The First Flavor?",[1]Sheet1!$1:$1,[1]Sheet1!261:261))</f>
        <v>0</v>
      </c>
      <c r="N261" s="45">
        <f>IF(COUNTIF('Premade Flavors'!$A:$A, $C261) &gt; 0,_xlfn.XLOOKUP($C261,'Premade Flavors'!$A:$A,'Premade Flavors'!N:N),_xlfn.XLOOKUP("How Strong Do You Want The Second Flavor?",[1]Sheet1!$1:$1,[1]Sheet1!261:261))</f>
        <v>0</v>
      </c>
      <c r="O261" s="45">
        <f>IF(COUNTIF('Premade Flavors'!$A:$A, $C261) &gt; 0,_xlfn.XLOOKUP($C261,'Premade Flavors'!$A:$A,'Premade Flavors'!O:O),_xlfn.XLOOKUP("How Dense Should the Mix Ins Be?",[1]Sheet1!$1:$1,[1]Sheet1!261:261))</f>
        <v>0</v>
      </c>
      <c r="P261" s="45">
        <f>IF(COUNTIF('Premade Flavors'!$A:$A, $C261) &gt; 0,_xlfn.XLOOKUP($C261,'Premade Flavors'!$A:$A,'Premade Flavors'!P:P),_xlfn.XLOOKUP("How Much Of The First Sweetner? ",[1]Sheet1!$1:$1,[1]Sheet1!261:261))</f>
        <v>0</v>
      </c>
      <c r="Q261" s="45">
        <f>IF(COUNTIF('Premade Flavors'!$A:$A, $C261) &gt; 0,_xlfn.XLOOKUP($C261,'Premade Flavors'!$A:$A,'Premade Flavors'!Q:Q),[2]Sheet1!S261)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Flavors'!E:E),_xlfn.XLOOKUP("What's The First Flavor You Want? ",[1]Sheet1!$1:$1,[1]Sheet1!262:262))</f>
        <v>0</v>
      </c>
      <c r="G262" s="31">
        <f>IF(COUNTIF('Premade Flavors'!$A:$A, $C262) &gt; 0,_xlfn.XLOOKUP($C262,'Premade Flavors'!$A:$A,'Premade Flavors'!F:F),_xlfn.XLOOKUP("What's the Second Flavor You Want?",[1]Sheet1!$1:$1,[1]Sheet1!262:262))</f>
        <v>0</v>
      </c>
      <c r="H262" s="31">
        <f>IF(COUNTIF('Premade Flavors'!$A:$A, $C262) &gt; 0,_xlfn.XLOOKUP($C262,'Premade Flavors'!$A:$A,'Premade Flavors'!G:G),_xlfn.XLOOKUP("What's The First Mix In That You Want? ",[1]Sheet1!$1:$1,[1]Sheet1!262:262))</f>
        <v>0</v>
      </c>
      <c r="I262" s="31">
        <f>IF(COUNTIF('Premade Flavors'!$A:$A, $C260) &gt; 0,_xlfn.XLOOKUP($C260,'Premade Flavors'!$A:$A,'Premade Flavors'!H:H),IF([2]Sheet1!W260=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Flavors'!I:I),"Stevia"),_xlfn.XLOOKUP("What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Flavors'!M:M),_xlfn.XLOOKUP("How Strong Do You Want The First Flavor?",[1]Sheet1!$1:$1,[1]Sheet1!262:262))</f>
        <v>0</v>
      </c>
      <c r="N262" s="45">
        <f>IF(COUNTIF('Premade Flavors'!$A:$A, $C262) &gt; 0,_xlfn.XLOOKUP($C262,'Premade Flavors'!$A:$A,'Premade Flavors'!N:N),_xlfn.XLOOKUP("How Strong Do You Want The Second Flavor?",[1]Sheet1!$1:$1,[1]Sheet1!262:262))</f>
        <v>0</v>
      </c>
      <c r="O262" s="45">
        <f>IF(COUNTIF('Premade Flavors'!$A:$A, $C262) &gt; 0,_xlfn.XLOOKUP($C262,'Premade Flavors'!$A:$A,'Premade Flavors'!O:O),_xlfn.XLOOKUP("How Dense Should the Mix Ins Be?",[1]Sheet1!$1:$1,[1]Sheet1!262:262))</f>
        <v>0</v>
      </c>
      <c r="P262" s="45">
        <f>IF(COUNTIF('Premade Flavors'!$A:$A, $C262) &gt; 0,_xlfn.XLOOKUP($C262,'Premade Flavors'!$A:$A,'Premade Flavors'!P:P),_xlfn.XLOOKUP("How Much Of The First Sweetner? ",[1]Sheet1!$1:$1,[1]Sheet1!262:262))</f>
        <v>0</v>
      </c>
      <c r="Q262" s="45">
        <f>IF(COUNTIF('Premade Flavors'!$A:$A, $C262) &gt; 0,_xlfn.XLOOKUP($C262,'Premade Flavors'!$A:$A,'Premade Flavors'!Q:Q),[2]Sheet1!S262)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Flavors'!E:E),_xlfn.XLOOKUP("What's The First Flavor You Want? ",[1]Sheet1!$1:$1,[1]Sheet1!263:263))</f>
        <v>0</v>
      </c>
      <c r="G263" s="31">
        <f>IF(COUNTIF('Premade Flavors'!$A:$A, $C263) &gt; 0,_xlfn.XLOOKUP($C263,'Premade Flavors'!$A:$A,'Premade Flavors'!F:F),_xlfn.XLOOKUP("What's the Second Flavor You Want?",[1]Sheet1!$1:$1,[1]Sheet1!263:263))</f>
        <v>0</v>
      </c>
      <c r="H263" s="31">
        <f>IF(COUNTIF('Premade Flavors'!$A:$A, $C263) &gt; 0,_xlfn.XLOOKUP($C263,'Premade Flavors'!$A:$A,'Premade Flavors'!G:G),_xlfn.XLOOKUP("What's The First Mix In That You Want? ",[1]Sheet1!$1:$1,[1]Sheet1!263:263))</f>
        <v>0</v>
      </c>
      <c r="I263" s="31">
        <f>IF(COUNTIF('Premade Flavors'!$A:$A, $C261) &gt; 0,_xlfn.XLOOKUP($C261,'Premade Flavors'!$A:$A,'Premade Flavors'!H:H),IF([2]Sheet1!W261=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Flavors'!I:I),"Stevia"),_xlfn.XLOOKUP("What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Flavors'!M:M),_xlfn.XLOOKUP("How Strong Do You Want The First Flavor?",[1]Sheet1!$1:$1,[1]Sheet1!263:263))</f>
        <v>0</v>
      </c>
      <c r="N263" s="45">
        <f>IF(COUNTIF('Premade Flavors'!$A:$A, $C263) &gt; 0,_xlfn.XLOOKUP($C263,'Premade Flavors'!$A:$A,'Premade Flavors'!N:N),_xlfn.XLOOKUP("How Strong Do You Want The Second Flavor?",[1]Sheet1!$1:$1,[1]Sheet1!263:263))</f>
        <v>0</v>
      </c>
      <c r="O263" s="45">
        <f>IF(COUNTIF('Premade Flavors'!$A:$A, $C263) &gt; 0,_xlfn.XLOOKUP($C263,'Premade Flavors'!$A:$A,'Premade Flavors'!O:O),_xlfn.XLOOKUP("How Dense Should the Mix Ins Be?",[1]Sheet1!$1:$1,[1]Sheet1!263:263))</f>
        <v>0</v>
      </c>
      <c r="P263" s="45">
        <f>IF(COUNTIF('Premade Flavors'!$A:$A, $C263) &gt; 0,_xlfn.XLOOKUP($C263,'Premade Flavors'!$A:$A,'Premade Flavors'!P:P),_xlfn.XLOOKUP("How Much Of The First Sweetner? ",[1]Sheet1!$1:$1,[1]Sheet1!263:263))</f>
        <v>0</v>
      </c>
      <c r="Q263" s="45">
        <f>IF(COUNTIF('Premade Flavors'!$A:$A, $C263) &gt; 0,_xlfn.XLOOKUP($C263,'Premade Flavors'!$A:$A,'Premade Flavors'!Q:Q),[2]Sheet1!S263)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Flavors'!E:E),_xlfn.XLOOKUP("What's The First Flavor You Want? ",[1]Sheet1!$1:$1,[1]Sheet1!264:264))</f>
        <v>0</v>
      </c>
      <c r="G264" s="31">
        <f>IF(COUNTIF('Premade Flavors'!$A:$A, $C264) &gt; 0,_xlfn.XLOOKUP($C264,'Premade Flavors'!$A:$A,'Premade Flavors'!F:F),_xlfn.XLOOKUP("What's the Second Flavor You Want?",[1]Sheet1!$1:$1,[1]Sheet1!264:264))</f>
        <v>0</v>
      </c>
      <c r="H264" s="31">
        <f>IF(COUNTIF('Premade Flavors'!$A:$A, $C264) &gt; 0,_xlfn.XLOOKUP($C264,'Premade Flavors'!$A:$A,'Premade Flavors'!G:G),_xlfn.XLOOKUP("What's The First Mix In That You Want? ",[1]Sheet1!$1:$1,[1]Sheet1!264:264))</f>
        <v>0</v>
      </c>
      <c r="I264" s="31">
        <f>IF(COUNTIF('Premade Flavors'!$A:$A, $C262) &gt; 0,_xlfn.XLOOKUP($C262,'Premade Flavors'!$A:$A,'Premade Flavors'!H:H),IF([2]Sheet1!W262=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Flavors'!I:I),"Stevia"),_xlfn.XLOOKUP("What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Flavors'!M:M),_xlfn.XLOOKUP("How Strong Do You Want The First Flavor?",[1]Sheet1!$1:$1,[1]Sheet1!264:264))</f>
        <v>0</v>
      </c>
      <c r="N264" s="45">
        <f>IF(COUNTIF('Premade Flavors'!$A:$A, $C264) &gt; 0,_xlfn.XLOOKUP($C264,'Premade Flavors'!$A:$A,'Premade Flavors'!N:N),_xlfn.XLOOKUP("How Strong Do You Want The Second Flavor?",[1]Sheet1!$1:$1,[1]Sheet1!264:264))</f>
        <v>0</v>
      </c>
      <c r="O264" s="45">
        <f>IF(COUNTIF('Premade Flavors'!$A:$A, $C264) &gt; 0,_xlfn.XLOOKUP($C264,'Premade Flavors'!$A:$A,'Premade Flavors'!O:O),_xlfn.XLOOKUP("How Dense Should the Mix Ins Be?",[1]Sheet1!$1:$1,[1]Sheet1!264:264))</f>
        <v>0</v>
      </c>
      <c r="P264" s="45">
        <f>IF(COUNTIF('Premade Flavors'!$A:$A, $C264) &gt; 0,_xlfn.XLOOKUP($C264,'Premade Flavors'!$A:$A,'Premade Flavors'!P:P),_xlfn.XLOOKUP("How Much Of The First Sweetner? ",[1]Sheet1!$1:$1,[1]Sheet1!264:264))</f>
        <v>0</v>
      </c>
      <c r="Q264" s="45">
        <f>IF(COUNTIF('Premade Flavors'!$A:$A, $C264) &gt; 0,_xlfn.XLOOKUP($C264,'Premade Flavors'!$A:$A,'Premade Flavors'!Q:Q),[2]Sheet1!S264)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Flavors'!E:E),_xlfn.XLOOKUP("What's The First Flavor You Want? ",[1]Sheet1!$1:$1,[1]Sheet1!265:265))</f>
        <v>0</v>
      </c>
      <c r="G265" s="31">
        <f>IF(COUNTIF('Premade Flavors'!$A:$A, $C265) &gt; 0,_xlfn.XLOOKUP($C265,'Premade Flavors'!$A:$A,'Premade Flavors'!F:F),_xlfn.XLOOKUP("What's the Second Flavor You Want?",[1]Sheet1!$1:$1,[1]Sheet1!265:265))</f>
        <v>0</v>
      </c>
      <c r="H265" s="31">
        <f>IF(COUNTIF('Premade Flavors'!$A:$A, $C265) &gt; 0,_xlfn.XLOOKUP($C265,'Premade Flavors'!$A:$A,'Premade Flavors'!G:G),_xlfn.XLOOKUP("What's The First Mix In That You Want? ",[1]Sheet1!$1:$1,[1]Sheet1!265:265))</f>
        <v>0</v>
      </c>
      <c r="I265" s="31">
        <f>IF(COUNTIF('Premade Flavors'!$A:$A, $C263) &gt; 0,_xlfn.XLOOKUP($C263,'Premade Flavors'!$A:$A,'Premade Flavors'!H:H),IF([2]Sheet1!W263=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Flavors'!I:I),"Stevia"),_xlfn.XLOOKUP("What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Flavors'!M:M),_xlfn.XLOOKUP("How Strong Do You Want The First Flavor?",[1]Sheet1!$1:$1,[1]Sheet1!265:265))</f>
        <v>0</v>
      </c>
      <c r="N265" s="45">
        <f>IF(COUNTIF('Premade Flavors'!$A:$A, $C265) &gt; 0,_xlfn.XLOOKUP($C265,'Premade Flavors'!$A:$A,'Premade Flavors'!N:N),_xlfn.XLOOKUP("How Strong Do You Want The Second Flavor?",[1]Sheet1!$1:$1,[1]Sheet1!265:265))</f>
        <v>0</v>
      </c>
      <c r="O265" s="45">
        <f>IF(COUNTIF('Premade Flavors'!$A:$A, $C265) &gt; 0,_xlfn.XLOOKUP($C265,'Premade Flavors'!$A:$A,'Premade Flavors'!O:O),_xlfn.XLOOKUP("How Dense Should the Mix Ins Be?",[1]Sheet1!$1:$1,[1]Sheet1!265:265))</f>
        <v>0</v>
      </c>
      <c r="P265" s="45">
        <f>IF(COUNTIF('Premade Flavors'!$A:$A, $C265) &gt; 0,_xlfn.XLOOKUP($C265,'Premade Flavors'!$A:$A,'Premade Flavors'!P:P),_xlfn.XLOOKUP("How Much Of The First Sweetner? ",[1]Sheet1!$1:$1,[1]Sheet1!265:265))</f>
        <v>0</v>
      </c>
      <c r="Q265" s="45">
        <f>IF(COUNTIF('Premade Flavors'!$A:$A, $C265) &gt; 0,_xlfn.XLOOKUP($C265,'Premade Flavors'!$A:$A,'Premade Flavors'!Q:Q),[2]Sheet1!S265)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Flavors'!E:E),_xlfn.XLOOKUP("What's The First Flavor You Want? ",[1]Sheet1!$1:$1,[1]Sheet1!266:266))</f>
        <v>0</v>
      </c>
      <c r="G266" s="31">
        <f>IF(COUNTIF('Premade Flavors'!$A:$A, $C266) &gt; 0,_xlfn.XLOOKUP($C266,'Premade Flavors'!$A:$A,'Premade Flavors'!F:F),_xlfn.XLOOKUP("What's the Second Flavor You Want?",[1]Sheet1!$1:$1,[1]Sheet1!266:266))</f>
        <v>0</v>
      </c>
      <c r="H266" s="31">
        <f>IF(COUNTIF('Premade Flavors'!$A:$A, $C266) &gt; 0,_xlfn.XLOOKUP($C266,'Premade Flavors'!$A:$A,'Premade Flavors'!G:G),_xlfn.XLOOKUP("What's The First Mix In That You Want? ",[1]Sheet1!$1:$1,[1]Sheet1!266:266))</f>
        <v>0</v>
      </c>
      <c r="I266" s="31">
        <f>IF(COUNTIF('Premade Flavors'!$A:$A, $C264) &gt; 0,_xlfn.XLOOKUP($C264,'Premade Flavors'!$A:$A,'Premade Flavors'!H:H),IF([2]Sheet1!W264=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Flavors'!I:I),"Stevia"),_xlfn.XLOOKUP("What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Flavors'!M:M),_xlfn.XLOOKUP("How Strong Do You Want The First Flavor?",[1]Sheet1!$1:$1,[1]Sheet1!266:266))</f>
        <v>0</v>
      </c>
      <c r="N266" s="45">
        <f>IF(COUNTIF('Premade Flavors'!$A:$A, $C266) &gt; 0,_xlfn.XLOOKUP($C266,'Premade Flavors'!$A:$A,'Premade Flavors'!N:N),_xlfn.XLOOKUP("How Strong Do You Want The Second Flavor?",[1]Sheet1!$1:$1,[1]Sheet1!266:266))</f>
        <v>0</v>
      </c>
      <c r="O266" s="45">
        <f>IF(COUNTIF('Premade Flavors'!$A:$A, $C266) &gt; 0,_xlfn.XLOOKUP($C266,'Premade Flavors'!$A:$A,'Premade Flavors'!O:O),_xlfn.XLOOKUP("How Dense Should the Mix Ins Be?",[1]Sheet1!$1:$1,[1]Sheet1!266:266))</f>
        <v>0</v>
      </c>
      <c r="P266" s="45">
        <f>IF(COUNTIF('Premade Flavors'!$A:$A, $C266) &gt; 0,_xlfn.XLOOKUP($C266,'Premade Flavors'!$A:$A,'Premade Flavors'!P:P),_xlfn.XLOOKUP("How Much Of The First Sweetner? ",[1]Sheet1!$1:$1,[1]Sheet1!266:266))</f>
        <v>0</v>
      </c>
      <c r="Q266" s="45">
        <f>IF(COUNTIF('Premade Flavors'!$A:$A, $C266) &gt; 0,_xlfn.XLOOKUP($C266,'Premade Flavors'!$A:$A,'Premade Flavors'!Q:Q),[2]Sheet1!S266)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Flavors'!E:E),_xlfn.XLOOKUP("What's The First Flavor You Want? ",[1]Sheet1!$1:$1,[1]Sheet1!267:267))</f>
        <v>0</v>
      </c>
      <c r="G267" s="31">
        <f>IF(COUNTIF('Premade Flavors'!$A:$A, $C267) &gt; 0,_xlfn.XLOOKUP($C267,'Premade Flavors'!$A:$A,'Premade Flavors'!F:F),_xlfn.XLOOKUP("What's the Second Flavor You Want?",[1]Sheet1!$1:$1,[1]Sheet1!267:267))</f>
        <v>0</v>
      </c>
      <c r="H267" s="31">
        <f>IF(COUNTIF('Premade Flavors'!$A:$A, $C267) &gt; 0,_xlfn.XLOOKUP($C267,'Premade Flavors'!$A:$A,'Premade Flavors'!G:G),_xlfn.XLOOKUP("What's The First Mix In That You Want? ",[1]Sheet1!$1:$1,[1]Sheet1!267:267))</f>
        <v>0</v>
      </c>
      <c r="I267" s="31">
        <f>IF(COUNTIF('Premade Flavors'!$A:$A, $C265) &gt; 0,_xlfn.XLOOKUP($C265,'Premade Flavors'!$A:$A,'Premade Flavors'!H:H),IF([2]Sheet1!W265=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Flavors'!I:I),"Stevia"),_xlfn.XLOOKUP("What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Flavors'!M:M),_xlfn.XLOOKUP("How Strong Do You Want The First Flavor?",[1]Sheet1!$1:$1,[1]Sheet1!267:267))</f>
        <v>0</v>
      </c>
      <c r="N267" s="45">
        <f>IF(COUNTIF('Premade Flavors'!$A:$A, $C267) &gt; 0,_xlfn.XLOOKUP($C267,'Premade Flavors'!$A:$A,'Premade Flavors'!N:N),_xlfn.XLOOKUP("How Strong Do You Want The Second Flavor?",[1]Sheet1!$1:$1,[1]Sheet1!267:267))</f>
        <v>0</v>
      </c>
      <c r="O267" s="45">
        <f>IF(COUNTIF('Premade Flavors'!$A:$A, $C267) &gt; 0,_xlfn.XLOOKUP($C267,'Premade Flavors'!$A:$A,'Premade Flavors'!O:O),_xlfn.XLOOKUP("How Dense Should the Mix Ins Be?",[1]Sheet1!$1:$1,[1]Sheet1!267:267))</f>
        <v>0</v>
      </c>
      <c r="P267" s="45">
        <f>IF(COUNTIF('Premade Flavors'!$A:$A, $C267) &gt; 0,_xlfn.XLOOKUP($C267,'Premade Flavors'!$A:$A,'Premade Flavors'!P:P),_xlfn.XLOOKUP("How Much Of The First Sweetner? ",[1]Sheet1!$1:$1,[1]Sheet1!267:267))</f>
        <v>0</v>
      </c>
      <c r="Q267" s="45">
        <f>IF(COUNTIF('Premade Flavors'!$A:$A, $C267) &gt; 0,_xlfn.XLOOKUP($C267,'Premade Flavors'!$A:$A,'Premade Flavors'!Q:Q),[2]Sheet1!S267)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Flavors'!E:E),_xlfn.XLOOKUP("What's The First Flavor You Want? ",[1]Sheet1!$1:$1,[1]Sheet1!268:268))</f>
        <v>0</v>
      </c>
      <c r="G268" s="31">
        <f>IF(COUNTIF('Premade Flavors'!$A:$A, $C268) &gt; 0,_xlfn.XLOOKUP($C268,'Premade Flavors'!$A:$A,'Premade Flavors'!F:F),_xlfn.XLOOKUP("What's the Second Flavor You Want?",[1]Sheet1!$1:$1,[1]Sheet1!268:268))</f>
        <v>0</v>
      </c>
      <c r="H268" s="31">
        <f>IF(COUNTIF('Premade Flavors'!$A:$A, $C268) &gt; 0,_xlfn.XLOOKUP($C268,'Premade Flavors'!$A:$A,'Premade Flavors'!G:G),_xlfn.XLOOKUP("What's The First Mix In That You Want? ",[1]Sheet1!$1:$1,[1]Sheet1!268:268))</f>
        <v>0</v>
      </c>
      <c r="I268" s="31">
        <f>IF(COUNTIF('Premade Flavors'!$A:$A, $C266) &gt; 0,_xlfn.XLOOKUP($C266,'Premade Flavors'!$A:$A,'Premade Flavors'!H:H),IF([2]Sheet1!W266=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Flavors'!I:I),"Stevia"),_xlfn.XLOOKUP("What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Flavors'!M:M),_xlfn.XLOOKUP("How Strong Do You Want The First Flavor?",[1]Sheet1!$1:$1,[1]Sheet1!268:268))</f>
        <v>0</v>
      </c>
      <c r="N268" s="45">
        <f>IF(COUNTIF('Premade Flavors'!$A:$A, $C268) &gt; 0,_xlfn.XLOOKUP($C268,'Premade Flavors'!$A:$A,'Premade Flavors'!N:N),_xlfn.XLOOKUP("How Strong Do You Want The Second Flavor?",[1]Sheet1!$1:$1,[1]Sheet1!268:268))</f>
        <v>0</v>
      </c>
      <c r="O268" s="45">
        <f>IF(COUNTIF('Premade Flavors'!$A:$A, $C268) &gt; 0,_xlfn.XLOOKUP($C268,'Premade Flavors'!$A:$A,'Premade Flavors'!O:O),_xlfn.XLOOKUP("How Dense Should the Mix Ins Be?",[1]Sheet1!$1:$1,[1]Sheet1!268:268))</f>
        <v>0</v>
      </c>
      <c r="P268" s="45">
        <f>IF(COUNTIF('Premade Flavors'!$A:$A, $C268) &gt; 0,_xlfn.XLOOKUP($C268,'Premade Flavors'!$A:$A,'Premade Flavors'!P:P),_xlfn.XLOOKUP("How Much Of The First Sweetner? ",[1]Sheet1!$1:$1,[1]Sheet1!268:268))</f>
        <v>0</v>
      </c>
      <c r="Q268" s="45">
        <f>IF(COUNTIF('Premade Flavors'!$A:$A, $C268) &gt; 0,_xlfn.XLOOKUP($C268,'Premade Flavors'!$A:$A,'Premade Flavors'!Q:Q),[2]Sheet1!S268)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Flavors'!E:E),_xlfn.XLOOKUP("What's The First Flavor You Want? ",[1]Sheet1!$1:$1,[1]Sheet1!269:269))</f>
        <v>0</v>
      </c>
      <c r="G269" s="31">
        <f>IF(COUNTIF('Premade Flavors'!$A:$A, $C269) &gt; 0,_xlfn.XLOOKUP($C269,'Premade Flavors'!$A:$A,'Premade Flavors'!F:F),_xlfn.XLOOKUP("What's the Second Flavor You Want?",[1]Sheet1!$1:$1,[1]Sheet1!269:269))</f>
        <v>0</v>
      </c>
      <c r="H269" s="31">
        <f>IF(COUNTIF('Premade Flavors'!$A:$A, $C269) &gt; 0,_xlfn.XLOOKUP($C269,'Premade Flavors'!$A:$A,'Premade Flavors'!G:G),_xlfn.XLOOKUP("What's The First Mix In That You Want? ",[1]Sheet1!$1:$1,[1]Sheet1!269:269))</f>
        <v>0</v>
      </c>
      <c r="I269" s="31">
        <f>IF(COUNTIF('Premade Flavors'!$A:$A, $C267) &gt; 0,_xlfn.XLOOKUP($C267,'Premade Flavors'!$A:$A,'Premade Flavors'!H:H),IF([2]Sheet1!W267=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Flavors'!I:I),"Stevia"),_xlfn.XLOOKUP("What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Flavors'!M:M),_xlfn.XLOOKUP("How Strong Do You Want The First Flavor?",[1]Sheet1!$1:$1,[1]Sheet1!269:269))</f>
        <v>0</v>
      </c>
      <c r="N269" s="45">
        <f>IF(COUNTIF('Premade Flavors'!$A:$A, $C269) &gt; 0,_xlfn.XLOOKUP($C269,'Premade Flavors'!$A:$A,'Premade Flavors'!N:N),_xlfn.XLOOKUP("How Strong Do You Want The Second Flavor?",[1]Sheet1!$1:$1,[1]Sheet1!269:269))</f>
        <v>0</v>
      </c>
      <c r="O269" s="45">
        <f>IF(COUNTIF('Premade Flavors'!$A:$A, $C269) &gt; 0,_xlfn.XLOOKUP($C269,'Premade Flavors'!$A:$A,'Premade Flavors'!O:O),_xlfn.XLOOKUP("How Dense Should the Mix Ins Be?",[1]Sheet1!$1:$1,[1]Sheet1!269:269))</f>
        <v>0</v>
      </c>
      <c r="P269" s="45">
        <f>IF(COUNTIF('Premade Flavors'!$A:$A, $C269) &gt; 0,_xlfn.XLOOKUP($C269,'Premade Flavors'!$A:$A,'Premade Flavors'!P:P),_xlfn.XLOOKUP("How Much Of The First Sweetner? ",[1]Sheet1!$1:$1,[1]Sheet1!269:269))</f>
        <v>0</v>
      </c>
      <c r="Q269" s="45">
        <f>IF(COUNTIF('Premade Flavors'!$A:$A, $C269) &gt; 0,_xlfn.XLOOKUP($C269,'Premade Flavors'!$A:$A,'Premade Flavors'!Q:Q),[2]Sheet1!S269)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Flavors'!E:E),_xlfn.XLOOKUP("What's The First Flavor You Want? ",[1]Sheet1!$1:$1,[1]Sheet1!270:270))</f>
        <v>0</v>
      </c>
      <c r="G270" s="31">
        <f>IF(COUNTIF('Premade Flavors'!$A:$A, $C270) &gt; 0,_xlfn.XLOOKUP($C270,'Premade Flavors'!$A:$A,'Premade Flavors'!F:F),_xlfn.XLOOKUP("What's the Second Flavor You Want?",[1]Sheet1!$1:$1,[1]Sheet1!270:270))</f>
        <v>0</v>
      </c>
      <c r="H270" s="31">
        <f>IF(COUNTIF('Premade Flavors'!$A:$A, $C270) &gt; 0,_xlfn.XLOOKUP($C270,'Premade Flavors'!$A:$A,'Premade Flavors'!G:G),_xlfn.XLOOKUP("What's The First Mix In That You Want? ",[1]Sheet1!$1:$1,[1]Sheet1!270:270))</f>
        <v>0</v>
      </c>
      <c r="I270" s="31">
        <f>IF(COUNTIF('Premade Flavors'!$A:$A, $C268) &gt; 0,_xlfn.XLOOKUP($C268,'Premade Flavors'!$A:$A,'Premade Flavors'!H:H),IF([2]Sheet1!W268=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Flavors'!I:I),"Stevia"),_xlfn.XLOOKUP("What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Flavors'!M:M),_xlfn.XLOOKUP("How Strong Do You Want The First Flavor?",[1]Sheet1!$1:$1,[1]Sheet1!270:270))</f>
        <v>0</v>
      </c>
      <c r="N270" s="45">
        <f>IF(COUNTIF('Premade Flavors'!$A:$A, $C270) &gt; 0,_xlfn.XLOOKUP($C270,'Premade Flavors'!$A:$A,'Premade Flavors'!N:N),_xlfn.XLOOKUP("How Strong Do You Want The Second Flavor?",[1]Sheet1!$1:$1,[1]Sheet1!270:270))</f>
        <v>0</v>
      </c>
      <c r="O270" s="45">
        <f>IF(COUNTIF('Premade Flavors'!$A:$A, $C270) &gt; 0,_xlfn.XLOOKUP($C270,'Premade Flavors'!$A:$A,'Premade Flavors'!O:O),_xlfn.XLOOKUP("How Dense Should the Mix Ins Be?",[1]Sheet1!$1:$1,[1]Sheet1!270:270))</f>
        <v>0</v>
      </c>
      <c r="P270" s="45">
        <f>IF(COUNTIF('Premade Flavors'!$A:$A, $C270) &gt; 0,_xlfn.XLOOKUP($C270,'Premade Flavors'!$A:$A,'Premade Flavors'!P:P),_xlfn.XLOOKUP("How Much Of The First Sweetner? ",[1]Sheet1!$1:$1,[1]Sheet1!270:270))</f>
        <v>0</v>
      </c>
      <c r="Q270" s="45">
        <f>IF(COUNTIF('Premade Flavors'!$A:$A, $C270) &gt; 0,_xlfn.XLOOKUP($C270,'Premade Flavors'!$A:$A,'Premade Flavors'!Q:Q),[2]Sheet1!S270)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Flavors'!E:E),_xlfn.XLOOKUP("What's The First Flavor You Want? ",[1]Sheet1!$1:$1,[1]Sheet1!271:271))</f>
        <v>0</v>
      </c>
      <c r="G271" s="31">
        <f>IF(COUNTIF('Premade Flavors'!$A:$A, $C271) &gt; 0,_xlfn.XLOOKUP($C271,'Premade Flavors'!$A:$A,'Premade Flavors'!F:F),_xlfn.XLOOKUP("What's the Second Flavor You Want?",[1]Sheet1!$1:$1,[1]Sheet1!271:271))</f>
        <v>0</v>
      </c>
      <c r="H271" s="31">
        <f>IF(COUNTIF('Premade Flavors'!$A:$A, $C271) &gt; 0,_xlfn.XLOOKUP($C271,'Premade Flavors'!$A:$A,'Premade Flavors'!G:G),_xlfn.XLOOKUP("What's The First Mix In That You Want? ",[1]Sheet1!$1:$1,[1]Sheet1!271:271))</f>
        <v>0</v>
      </c>
      <c r="I271" s="31">
        <f>IF(COUNTIF('Premade Flavors'!$A:$A, $C269) &gt; 0,_xlfn.XLOOKUP($C269,'Premade Flavors'!$A:$A,'Premade Flavors'!H:H),IF([2]Sheet1!W269=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Flavors'!I:I),"Stevia"),_xlfn.XLOOKUP("What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Flavors'!M:M),_xlfn.XLOOKUP("How Strong Do You Want The First Flavor?",[1]Sheet1!$1:$1,[1]Sheet1!271:271))</f>
        <v>0</v>
      </c>
      <c r="N271" s="45">
        <f>IF(COUNTIF('Premade Flavors'!$A:$A, $C271) &gt; 0,_xlfn.XLOOKUP($C271,'Premade Flavors'!$A:$A,'Premade Flavors'!N:N),_xlfn.XLOOKUP("How Strong Do You Want The Second Flavor?",[1]Sheet1!$1:$1,[1]Sheet1!271:271))</f>
        <v>0</v>
      </c>
      <c r="O271" s="45">
        <f>IF(COUNTIF('Premade Flavors'!$A:$A, $C271) &gt; 0,_xlfn.XLOOKUP($C271,'Premade Flavors'!$A:$A,'Premade Flavors'!O:O),_xlfn.XLOOKUP("How Dense Should the Mix Ins Be?",[1]Sheet1!$1:$1,[1]Sheet1!271:271))</f>
        <v>0</v>
      </c>
      <c r="P271" s="45">
        <f>IF(COUNTIF('Premade Flavors'!$A:$A, $C271) &gt; 0,_xlfn.XLOOKUP($C271,'Premade Flavors'!$A:$A,'Premade Flavors'!P:P),_xlfn.XLOOKUP("How Much Of The First Sweetner? ",[1]Sheet1!$1:$1,[1]Sheet1!271:271))</f>
        <v>0</v>
      </c>
      <c r="Q271" s="45">
        <f>IF(COUNTIF('Premade Flavors'!$A:$A, $C271) &gt; 0,_xlfn.XLOOKUP($C271,'Premade Flavors'!$A:$A,'Premade Flavors'!Q:Q),[2]Sheet1!S271)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Flavors'!E:E),_xlfn.XLOOKUP("What's The First Flavor You Want? ",[1]Sheet1!$1:$1,[1]Sheet1!272:272))</f>
        <v>0</v>
      </c>
      <c r="G272" s="31">
        <f>IF(COUNTIF('Premade Flavors'!$A:$A, $C272) &gt; 0,_xlfn.XLOOKUP($C272,'Premade Flavors'!$A:$A,'Premade Flavors'!F:F),_xlfn.XLOOKUP("What's the Second Flavor You Want?",[1]Sheet1!$1:$1,[1]Sheet1!272:272))</f>
        <v>0</v>
      </c>
      <c r="H272" s="31">
        <f>IF(COUNTIF('Premade Flavors'!$A:$A, $C272) &gt; 0,_xlfn.XLOOKUP($C272,'Premade Flavors'!$A:$A,'Premade Flavors'!G:G),_xlfn.XLOOKUP("What's The First Mix In That You Want? ",[1]Sheet1!$1:$1,[1]Sheet1!272:272))</f>
        <v>0</v>
      </c>
      <c r="I272" s="31">
        <f>IF(COUNTIF('Premade Flavors'!$A:$A, $C270) &gt; 0,_xlfn.XLOOKUP($C270,'Premade Flavors'!$A:$A,'Premade Flavors'!H:H),IF([2]Sheet1!W270=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Flavors'!I:I),"Stevia"),_xlfn.XLOOKUP("What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Flavors'!M:M),_xlfn.XLOOKUP("How Strong Do You Want The First Flavor?",[1]Sheet1!$1:$1,[1]Sheet1!272:272))</f>
        <v>0</v>
      </c>
      <c r="N272" s="45">
        <f>IF(COUNTIF('Premade Flavors'!$A:$A, $C272) &gt; 0,_xlfn.XLOOKUP($C272,'Premade Flavors'!$A:$A,'Premade Flavors'!N:N),_xlfn.XLOOKUP("How Strong Do You Want The Second Flavor?",[1]Sheet1!$1:$1,[1]Sheet1!272:272))</f>
        <v>0</v>
      </c>
      <c r="O272" s="45">
        <f>IF(COUNTIF('Premade Flavors'!$A:$A, $C272) &gt; 0,_xlfn.XLOOKUP($C272,'Premade Flavors'!$A:$A,'Premade Flavors'!O:O),_xlfn.XLOOKUP("How Dense Should the Mix Ins Be?",[1]Sheet1!$1:$1,[1]Sheet1!272:272))</f>
        <v>0</v>
      </c>
      <c r="P272" s="45">
        <f>IF(COUNTIF('Premade Flavors'!$A:$A, $C272) &gt; 0,_xlfn.XLOOKUP($C272,'Premade Flavors'!$A:$A,'Premade Flavors'!P:P),_xlfn.XLOOKUP("How Much Of The First Sweetner? ",[1]Sheet1!$1:$1,[1]Sheet1!272:272))</f>
        <v>0</v>
      </c>
      <c r="Q272" s="45">
        <f>IF(COUNTIF('Premade Flavors'!$A:$A, $C272) &gt; 0,_xlfn.XLOOKUP($C272,'Premade Flavors'!$A:$A,'Premade Flavors'!Q:Q),[2]Sheet1!S272)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Flavors'!E:E),_xlfn.XLOOKUP("What's The First Flavor You Want? ",[1]Sheet1!$1:$1,[1]Sheet1!273:273))</f>
        <v>0</v>
      </c>
      <c r="G273" s="31">
        <f>IF(COUNTIF('Premade Flavors'!$A:$A, $C273) &gt; 0,_xlfn.XLOOKUP($C273,'Premade Flavors'!$A:$A,'Premade Flavors'!F:F),_xlfn.XLOOKUP("What's the Second Flavor You Want?",[1]Sheet1!$1:$1,[1]Sheet1!273:273))</f>
        <v>0</v>
      </c>
      <c r="H273" s="31">
        <f>IF(COUNTIF('Premade Flavors'!$A:$A, $C273) &gt; 0,_xlfn.XLOOKUP($C273,'Premade Flavors'!$A:$A,'Premade Flavors'!G:G),_xlfn.XLOOKUP("What's The First Mix In That You Want? ",[1]Sheet1!$1:$1,[1]Sheet1!273:273))</f>
        <v>0</v>
      </c>
      <c r="I273" s="31">
        <f>IF(COUNTIF('Premade Flavors'!$A:$A, $C271) &gt; 0,_xlfn.XLOOKUP($C271,'Premade Flavors'!$A:$A,'Premade Flavors'!H:H),IF([2]Sheet1!W271=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Flavors'!I:I),"Stevia"),_xlfn.XLOOKUP("What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Flavors'!M:M),_xlfn.XLOOKUP("How Strong Do You Want The First Flavor?",[1]Sheet1!$1:$1,[1]Sheet1!273:273))</f>
        <v>0</v>
      </c>
      <c r="N273" s="45">
        <f>IF(COUNTIF('Premade Flavors'!$A:$A, $C273) &gt; 0,_xlfn.XLOOKUP($C273,'Premade Flavors'!$A:$A,'Premade Flavors'!N:N),_xlfn.XLOOKUP("How Strong Do You Want The Second Flavor?",[1]Sheet1!$1:$1,[1]Sheet1!273:273))</f>
        <v>0</v>
      </c>
      <c r="O273" s="45">
        <f>IF(COUNTIF('Premade Flavors'!$A:$A, $C273) &gt; 0,_xlfn.XLOOKUP($C273,'Premade Flavors'!$A:$A,'Premade Flavors'!O:O),_xlfn.XLOOKUP("How Dense Should the Mix Ins Be?",[1]Sheet1!$1:$1,[1]Sheet1!273:273))</f>
        <v>0</v>
      </c>
      <c r="P273" s="45">
        <f>IF(COUNTIF('Premade Flavors'!$A:$A, $C273) &gt; 0,_xlfn.XLOOKUP($C273,'Premade Flavors'!$A:$A,'Premade Flavors'!P:P),_xlfn.XLOOKUP("How Much Of The First Sweetner? ",[1]Sheet1!$1:$1,[1]Sheet1!273:273))</f>
        <v>0</v>
      </c>
      <c r="Q273" s="45">
        <f>IF(COUNTIF('Premade Flavors'!$A:$A, $C273) &gt; 0,_xlfn.XLOOKUP($C273,'Premade Flavors'!$A:$A,'Premade Flavors'!Q:Q),[2]Sheet1!S273)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Flavors'!E:E),_xlfn.XLOOKUP("What's The First Flavor You Want? ",[1]Sheet1!$1:$1,[1]Sheet1!274:274))</f>
        <v>0</v>
      </c>
      <c r="G274" s="31">
        <f>IF(COUNTIF('Premade Flavors'!$A:$A, $C274) &gt; 0,_xlfn.XLOOKUP($C274,'Premade Flavors'!$A:$A,'Premade Flavors'!F:F),_xlfn.XLOOKUP("What's the Second Flavor You Want?",[1]Sheet1!$1:$1,[1]Sheet1!274:274))</f>
        <v>0</v>
      </c>
      <c r="H274" s="31">
        <f>IF(COUNTIF('Premade Flavors'!$A:$A, $C274) &gt; 0,_xlfn.XLOOKUP($C274,'Premade Flavors'!$A:$A,'Premade Flavors'!G:G),_xlfn.XLOOKUP("What's The First Mix In That You Want? ",[1]Sheet1!$1:$1,[1]Sheet1!274:274))</f>
        <v>0</v>
      </c>
      <c r="I274" s="31">
        <f>IF(COUNTIF('Premade Flavors'!$A:$A, $C272) &gt; 0,_xlfn.XLOOKUP($C272,'Premade Flavors'!$A:$A,'Premade Flavors'!H:H),IF([2]Sheet1!W272=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Flavors'!I:I),"Stevia"),_xlfn.XLOOKUP("What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Flavors'!M:M),_xlfn.XLOOKUP("How Strong Do You Want The First Flavor?",[1]Sheet1!$1:$1,[1]Sheet1!274:274))</f>
        <v>0</v>
      </c>
      <c r="N274" s="45">
        <f>IF(COUNTIF('Premade Flavors'!$A:$A, $C274) &gt; 0,_xlfn.XLOOKUP($C274,'Premade Flavors'!$A:$A,'Premade Flavors'!N:N),_xlfn.XLOOKUP("How Strong Do You Want The Second Flavor?",[1]Sheet1!$1:$1,[1]Sheet1!274:274))</f>
        <v>0</v>
      </c>
      <c r="O274" s="45">
        <f>IF(COUNTIF('Premade Flavors'!$A:$A, $C274) &gt; 0,_xlfn.XLOOKUP($C274,'Premade Flavors'!$A:$A,'Premade Flavors'!O:O),_xlfn.XLOOKUP("How Dense Should the Mix Ins Be?",[1]Sheet1!$1:$1,[1]Sheet1!274:274))</f>
        <v>0</v>
      </c>
      <c r="P274" s="45">
        <f>IF(COUNTIF('Premade Flavors'!$A:$A, $C274) &gt; 0,_xlfn.XLOOKUP($C274,'Premade Flavors'!$A:$A,'Premade Flavors'!P:P),_xlfn.XLOOKUP("How Much Of The First Sweetner? ",[1]Sheet1!$1:$1,[1]Sheet1!274:274))</f>
        <v>0</v>
      </c>
      <c r="Q274" s="45">
        <f>IF(COUNTIF('Premade Flavors'!$A:$A, $C274) &gt; 0,_xlfn.XLOOKUP($C274,'Premade Flavors'!$A:$A,'Premade Flavors'!Q:Q),[2]Sheet1!S274)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Flavors'!E:E),_xlfn.XLOOKUP("What's The First Flavor You Want? ",[1]Sheet1!$1:$1,[1]Sheet1!275:275))</f>
        <v>0</v>
      </c>
      <c r="G275" s="31">
        <f>IF(COUNTIF('Premade Flavors'!$A:$A, $C275) &gt; 0,_xlfn.XLOOKUP($C275,'Premade Flavors'!$A:$A,'Premade Flavors'!F:F),_xlfn.XLOOKUP("What's the Second Flavor You Want?",[1]Sheet1!$1:$1,[1]Sheet1!275:275))</f>
        <v>0</v>
      </c>
      <c r="H275" s="31">
        <f>IF(COUNTIF('Premade Flavors'!$A:$A, $C275) &gt; 0,_xlfn.XLOOKUP($C275,'Premade Flavors'!$A:$A,'Premade Flavors'!G:G),_xlfn.XLOOKUP("What's The First Mix In That You Want? ",[1]Sheet1!$1:$1,[1]Sheet1!275:275))</f>
        <v>0</v>
      </c>
      <c r="I275" s="31">
        <f>IF(COUNTIF('Premade Flavors'!$A:$A, $C273) &gt; 0,_xlfn.XLOOKUP($C273,'Premade Flavors'!$A:$A,'Premade Flavors'!H:H),IF([2]Sheet1!W273=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Flavors'!I:I),"Stevia"),_xlfn.XLOOKUP("What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Flavors'!M:M),_xlfn.XLOOKUP("How Strong Do You Want The First Flavor?",[1]Sheet1!$1:$1,[1]Sheet1!275:275))</f>
        <v>0</v>
      </c>
      <c r="N275" s="45">
        <f>IF(COUNTIF('Premade Flavors'!$A:$A, $C275) &gt; 0,_xlfn.XLOOKUP($C275,'Premade Flavors'!$A:$A,'Premade Flavors'!N:N),_xlfn.XLOOKUP("How Strong Do You Want The Second Flavor?",[1]Sheet1!$1:$1,[1]Sheet1!275:275))</f>
        <v>0</v>
      </c>
      <c r="O275" s="45">
        <f>IF(COUNTIF('Premade Flavors'!$A:$A, $C275) &gt; 0,_xlfn.XLOOKUP($C275,'Premade Flavors'!$A:$A,'Premade Flavors'!O:O),_xlfn.XLOOKUP("How Dense Should the Mix Ins Be?",[1]Sheet1!$1:$1,[1]Sheet1!275:275))</f>
        <v>0</v>
      </c>
      <c r="P275" s="45">
        <f>IF(COUNTIF('Premade Flavors'!$A:$A, $C275) &gt; 0,_xlfn.XLOOKUP($C275,'Premade Flavors'!$A:$A,'Premade Flavors'!P:P),_xlfn.XLOOKUP("How Much Of The First Sweetner? ",[1]Sheet1!$1:$1,[1]Sheet1!275:275))</f>
        <v>0</v>
      </c>
      <c r="Q275" s="45">
        <f>IF(COUNTIF('Premade Flavors'!$A:$A, $C275) &gt; 0,_xlfn.XLOOKUP($C275,'Premade Flavors'!$A:$A,'Premade Flavors'!Q:Q),[2]Sheet1!S275)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Flavors'!E:E),_xlfn.XLOOKUP("What's The First Flavor You Want? ",[1]Sheet1!$1:$1,[1]Sheet1!276:276))</f>
        <v>0</v>
      </c>
      <c r="G276" s="31">
        <f>IF(COUNTIF('Premade Flavors'!$A:$A, $C276) &gt; 0,_xlfn.XLOOKUP($C276,'Premade Flavors'!$A:$A,'Premade Flavors'!F:F),_xlfn.XLOOKUP("What's the Second Flavor You Want?",[1]Sheet1!$1:$1,[1]Sheet1!276:276))</f>
        <v>0</v>
      </c>
      <c r="H276" s="31">
        <f>IF(COUNTIF('Premade Flavors'!$A:$A, $C276) &gt; 0,_xlfn.XLOOKUP($C276,'Premade Flavors'!$A:$A,'Premade Flavors'!G:G),_xlfn.XLOOKUP("What's The First Mix In That You Want? ",[1]Sheet1!$1:$1,[1]Sheet1!276:276))</f>
        <v>0</v>
      </c>
      <c r="I276" s="31">
        <f>IF(COUNTIF('Premade Flavors'!$A:$A, $C274) &gt; 0,_xlfn.XLOOKUP($C274,'Premade Flavors'!$A:$A,'Premade Flavors'!H:H),IF([2]Sheet1!W274=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Flavors'!I:I),"Stevia"),_xlfn.XLOOKUP("What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Flavors'!M:M),_xlfn.XLOOKUP("How Strong Do You Want The First Flavor?",[1]Sheet1!$1:$1,[1]Sheet1!276:276))</f>
        <v>0</v>
      </c>
      <c r="N276" s="45">
        <f>IF(COUNTIF('Premade Flavors'!$A:$A, $C276) &gt; 0,_xlfn.XLOOKUP($C276,'Premade Flavors'!$A:$A,'Premade Flavors'!N:N),_xlfn.XLOOKUP("How Strong Do You Want The Second Flavor?",[1]Sheet1!$1:$1,[1]Sheet1!276:276))</f>
        <v>0</v>
      </c>
      <c r="O276" s="45">
        <f>IF(COUNTIF('Premade Flavors'!$A:$A, $C276) &gt; 0,_xlfn.XLOOKUP($C276,'Premade Flavors'!$A:$A,'Premade Flavors'!O:O),_xlfn.XLOOKUP("How Dense Should the Mix Ins Be?",[1]Sheet1!$1:$1,[1]Sheet1!276:276))</f>
        <v>0</v>
      </c>
      <c r="P276" s="45">
        <f>IF(COUNTIF('Premade Flavors'!$A:$A, $C276) &gt; 0,_xlfn.XLOOKUP($C276,'Premade Flavors'!$A:$A,'Premade Flavors'!P:P),_xlfn.XLOOKUP("How Much Of The First Sweetner? ",[1]Sheet1!$1:$1,[1]Sheet1!276:276))</f>
        <v>0</v>
      </c>
      <c r="Q276" s="45">
        <f>IF(COUNTIF('Premade Flavors'!$A:$A, $C276) &gt; 0,_xlfn.XLOOKUP($C276,'Premade Flavors'!$A:$A,'Premade Flavors'!Q:Q),[2]Sheet1!S276)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Flavors'!E:E),_xlfn.XLOOKUP("What's The First Flavor You Want? ",[1]Sheet1!$1:$1,[1]Sheet1!277:277))</f>
        <v>0</v>
      </c>
      <c r="G277" s="31">
        <f>IF(COUNTIF('Premade Flavors'!$A:$A, $C277) &gt; 0,_xlfn.XLOOKUP($C277,'Premade Flavors'!$A:$A,'Premade Flavors'!F:F),_xlfn.XLOOKUP("What's the Second Flavor You Want?",[1]Sheet1!$1:$1,[1]Sheet1!277:277))</f>
        <v>0</v>
      </c>
      <c r="H277" s="31">
        <f>IF(COUNTIF('Premade Flavors'!$A:$A, $C277) &gt; 0,_xlfn.XLOOKUP($C277,'Premade Flavors'!$A:$A,'Premade Flavors'!G:G),_xlfn.XLOOKUP("What's The First Mix In That You Want? ",[1]Sheet1!$1:$1,[1]Sheet1!277:277))</f>
        <v>0</v>
      </c>
      <c r="I277" s="31">
        <f>IF(COUNTIF('Premade Flavors'!$A:$A, $C275) &gt; 0,_xlfn.XLOOKUP($C275,'Premade Flavors'!$A:$A,'Premade Flavors'!H:H),IF([2]Sheet1!W275=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Flavors'!I:I),"Stevia"),_xlfn.XLOOKUP("What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Flavors'!M:M),_xlfn.XLOOKUP("How Strong Do You Want The First Flavor?",[1]Sheet1!$1:$1,[1]Sheet1!277:277))</f>
        <v>0</v>
      </c>
      <c r="N277" s="45">
        <f>IF(COUNTIF('Premade Flavors'!$A:$A, $C277) &gt; 0,_xlfn.XLOOKUP($C277,'Premade Flavors'!$A:$A,'Premade Flavors'!N:N),_xlfn.XLOOKUP("How Strong Do You Want The Second Flavor?",[1]Sheet1!$1:$1,[1]Sheet1!277:277))</f>
        <v>0</v>
      </c>
      <c r="O277" s="45">
        <f>IF(COUNTIF('Premade Flavors'!$A:$A, $C277) &gt; 0,_xlfn.XLOOKUP($C277,'Premade Flavors'!$A:$A,'Premade Flavors'!O:O),_xlfn.XLOOKUP("How Dense Should the Mix Ins Be?",[1]Sheet1!$1:$1,[1]Sheet1!277:277))</f>
        <v>0</v>
      </c>
      <c r="P277" s="45">
        <f>IF(COUNTIF('Premade Flavors'!$A:$A, $C277) &gt; 0,_xlfn.XLOOKUP($C277,'Premade Flavors'!$A:$A,'Premade Flavors'!P:P),_xlfn.XLOOKUP("How Much Of The First Sweetner? ",[1]Sheet1!$1:$1,[1]Sheet1!277:277))</f>
        <v>0</v>
      </c>
      <c r="Q277" s="45">
        <f>IF(COUNTIF('Premade Flavors'!$A:$A, $C277) &gt; 0,_xlfn.XLOOKUP($C277,'Premade Flavors'!$A:$A,'Premade Flavors'!Q:Q),[2]Sheet1!S277)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Flavors'!E:E),_xlfn.XLOOKUP("What's The First Flavor You Want? ",[1]Sheet1!$1:$1,[1]Sheet1!278:278))</f>
        <v>0</v>
      </c>
      <c r="G278" s="31">
        <f>IF(COUNTIF('Premade Flavors'!$A:$A, $C278) &gt; 0,_xlfn.XLOOKUP($C278,'Premade Flavors'!$A:$A,'Premade Flavors'!F:F),_xlfn.XLOOKUP("What's the Second Flavor You Want?",[1]Sheet1!$1:$1,[1]Sheet1!278:278))</f>
        <v>0</v>
      </c>
      <c r="H278" s="31">
        <f>IF(COUNTIF('Premade Flavors'!$A:$A, $C278) &gt; 0,_xlfn.XLOOKUP($C278,'Premade Flavors'!$A:$A,'Premade Flavors'!G:G),_xlfn.XLOOKUP("What's The First Mix In That You Want? ",[1]Sheet1!$1:$1,[1]Sheet1!278:278))</f>
        <v>0</v>
      </c>
      <c r="I278" s="31">
        <f>IF(COUNTIF('Premade Flavors'!$A:$A, $C276) &gt; 0,_xlfn.XLOOKUP($C276,'Premade Flavors'!$A:$A,'Premade Flavors'!H:H),IF([2]Sheet1!W276=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Flavors'!I:I),"Stevia"),_xlfn.XLOOKUP("What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Flavors'!M:M),_xlfn.XLOOKUP("How Strong Do You Want The First Flavor?",[1]Sheet1!$1:$1,[1]Sheet1!278:278))</f>
        <v>0</v>
      </c>
      <c r="N278" s="45">
        <f>IF(COUNTIF('Premade Flavors'!$A:$A, $C278) &gt; 0,_xlfn.XLOOKUP($C278,'Premade Flavors'!$A:$A,'Premade Flavors'!N:N),_xlfn.XLOOKUP("How Strong Do You Want The Second Flavor?",[1]Sheet1!$1:$1,[1]Sheet1!278:278))</f>
        <v>0</v>
      </c>
      <c r="O278" s="45">
        <f>IF(COUNTIF('Premade Flavors'!$A:$A, $C278) &gt; 0,_xlfn.XLOOKUP($C278,'Premade Flavors'!$A:$A,'Premade Flavors'!O:O),_xlfn.XLOOKUP("How Dense Should the Mix Ins Be?",[1]Sheet1!$1:$1,[1]Sheet1!278:278))</f>
        <v>0</v>
      </c>
      <c r="P278" s="45">
        <f>IF(COUNTIF('Premade Flavors'!$A:$A, $C278) &gt; 0,_xlfn.XLOOKUP($C278,'Premade Flavors'!$A:$A,'Premade Flavors'!P:P),_xlfn.XLOOKUP("How Much Of The First Sweetner? ",[1]Sheet1!$1:$1,[1]Sheet1!278:278))</f>
        <v>0</v>
      </c>
      <c r="Q278" s="45">
        <f>IF(COUNTIF('Premade Flavors'!$A:$A, $C278) &gt; 0,_xlfn.XLOOKUP($C278,'Premade Flavors'!$A:$A,'Premade Flavors'!Q:Q),[2]Sheet1!S278)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Flavors'!E:E),_xlfn.XLOOKUP("What's The First Flavor You Want? ",[1]Sheet1!$1:$1,[1]Sheet1!279:279))</f>
        <v>0</v>
      </c>
      <c r="G279" s="31">
        <f>IF(COUNTIF('Premade Flavors'!$A:$A, $C279) &gt; 0,_xlfn.XLOOKUP($C279,'Premade Flavors'!$A:$A,'Premade Flavors'!F:F),_xlfn.XLOOKUP("What's the Second Flavor You Want?",[1]Sheet1!$1:$1,[1]Sheet1!279:279))</f>
        <v>0</v>
      </c>
      <c r="H279" s="31">
        <f>IF(COUNTIF('Premade Flavors'!$A:$A, $C279) &gt; 0,_xlfn.XLOOKUP($C279,'Premade Flavors'!$A:$A,'Premade Flavors'!G:G),_xlfn.XLOOKUP("What's The First Mix In That You Want? ",[1]Sheet1!$1:$1,[1]Sheet1!279:279))</f>
        <v>0</v>
      </c>
      <c r="I279" s="31">
        <f>IF(COUNTIF('Premade Flavors'!$A:$A, $C277) &gt; 0,_xlfn.XLOOKUP($C277,'Premade Flavors'!$A:$A,'Premade Flavors'!H:H),IF([2]Sheet1!W277=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Flavors'!I:I),"Stevia"),_xlfn.XLOOKUP("What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Flavors'!M:M),_xlfn.XLOOKUP("How Strong Do You Want The First Flavor?",[1]Sheet1!$1:$1,[1]Sheet1!279:279))</f>
        <v>0</v>
      </c>
      <c r="N279" s="45">
        <f>IF(COUNTIF('Premade Flavors'!$A:$A, $C279) &gt; 0,_xlfn.XLOOKUP($C279,'Premade Flavors'!$A:$A,'Premade Flavors'!N:N),_xlfn.XLOOKUP("How Strong Do You Want The Second Flavor?",[1]Sheet1!$1:$1,[1]Sheet1!279:279))</f>
        <v>0</v>
      </c>
      <c r="O279" s="45">
        <f>IF(COUNTIF('Premade Flavors'!$A:$A, $C279) &gt; 0,_xlfn.XLOOKUP($C279,'Premade Flavors'!$A:$A,'Premade Flavors'!O:O),_xlfn.XLOOKUP("How Dense Should the Mix Ins Be?",[1]Sheet1!$1:$1,[1]Sheet1!279:279))</f>
        <v>0</v>
      </c>
      <c r="P279" s="45">
        <f>IF(COUNTIF('Premade Flavors'!$A:$A, $C279) &gt; 0,_xlfn.XLOOKUP($C279,'Premade Flavors'!$A:$A,'Premade Flavors'!P:P),_xlfn.XLOOKUP("How Much Of The First Sweetner? ",[1]Sheet1!$1:$1,[1]Sheet1!279:279))</f>
        <v>0</v>
      </c>
      <c r="Q279" s="45">
        <f>IF(COUNTIF('Premade Flavors'!$A:$A, $C279) &gt; 0,_xlfn.XLOOKUP($C279,'Premade Flavors'!$A:$A,'Premade Flavors'!Q:Q),[2]Sheet1!S279)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Flavors'!E:E),_xlfn.XLOOKUP("What's The First Flavor You Want? ",[1]Sheet1!$1:$1,[1]Sheet1!280:280))</f>
        <v>0</v>
      </c>
      <c r="G280" s="31">
        <f>IF(COUNTIF('Premade Flavors'!$A:$A, $C280) &gt; 0,_xlfn.XLOOKUP($C280,'Premade Flavors'!$A:$A,'Premade Flavors'!F:F),_xlfn.XLOOKUP("What's the Second Flavor You Want?",[1]Sheet1!$1:$1,[1]Sheet1!280:280))</f>
        <v>0</v>
      </c>
      <c r="H280" s="31">
        <f>IF(COUNTIF('Premade Flavors'!$A:$A, $C280) &gt; 0,_xlfn.XLOOKUP($C280,'Premade Flavors'!$A:$A,'Premade Flavors'!G:G),_xlfn.XLOOKUP("What's The First Mix In That You Want? ",[1]Sheet1!$1:$1,[1]Sheet1!280:280))</f>
        <v>0</v>
      </c>
      <c r="I280" s="31">
        <f>IF(COUNTIF('Premade Flavors'!$A:$A, $C278) &gt; 0,_xlfn.XLOOKUP($C278,'Premade Flavors'!$A:$A,'Premade Flavors'!H:H),IF([2]Sheet1!W278=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Flavors'!I:I),"Stevia"),_xlfn.XLOOKUP("What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Flavors'!M:M),_xlfn.XLOOKUP("How Strong Do You Want The First Flavor?",[1]Sheet1!$1:$1,[1]Sheet1!280:280))</f>
        <v>0</v>
      </c>
      <c r="N280" s="45">
        <f>IF(COUNTIF('Premade Flavors'!$A:$A, $C280) &gt; 0,_xlfn.XLOOKUP($C280,'Premade Flavors'!$A:$A,'Premade Flavors'!N:N),_xlfn.XLOOKUP("How Strong Do You Want The Second Flavor?",[1]Sheet1!$1:$1,[1]Sheet1!280:280))</f>
        <v>0</v>
      </c>
      <c r="O280" s="45">
        <f>IF(COUNTIF('Premade Flavors'!$A:$A, $C280) &gt; 0,_xlfn.XLOOKUP($C280,'Premade Flavors'!$A:$A,'Premade Flavors'!O:O),_xlfn.XLOOKUP("How Dense Should the Mix Ins Be?",[1]Sheet1!$1:$1,[1]Sheet1!280:280))</f>
        <v>0</v>
      </c>
      <c r="P280" s="45">
        <f>IF(COUNTIF('Premade Flavors'!$A:$A, $C280) &gt; 0,_xlfn.XLOOKUP($C280,'Premade Flavors'!$A:$A,'Premade Flavors'!P:P),_xlfn.XLOOKUP("How Much Of The First Sweetner? ",[1]Sheet1!$1:$1,[1]Sheet1!280:280))</f>
        <v>0</v>
      </c>
      <c r="Q280" s="45">
        <f>IF(COUNTIF('Premade Flavors'!$A:$A, $C280) &gt; 0,_xlfn.XLOOKUP($C280,'Premade Flavors'!$A:$A,'Premade Flavors'!Q:Q),[2]Sheet1!S280)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Flavors'!E:E),_xlfn.XLOOKUP("What's The First Flavor You Want? ",[1]Sheet1!$1:$1,[1]Sheet1!281:281))</f>
        <v>0</v>
      </c>
      <c r="G281" s="31">
        <f>IF(COUNTIF('Premade Flavors'!$A:$A, $C281) &gt; 0,_xlfn.XLOOKUP($C281,'Premade Flavors'!$A:$A,'Premade Flavors'!F:F),_xlfn.XLOOKUP("What's the Second Flavor You Want?",[1]Sheet1!$1:$1,[1]Sheet1!281:281))</f>
        <v>0</v>
      </c>
      <c r="H281" s="31">
        <f>IF(COUNTIF('Premade Flavors'!$A:$A, $C281) &gt; 0,_xlfn.XLOOKUP($C281,'Premade Flavors'!$A:$A,'Premade Flavors'!G:G),_xlfn.XLOOKUP("What's The First Mix In That You Want? ",[1]Sheet1!$1:$1,[1]Sheet1!281:281))</f>
        <v>0</v>
      </c>
      <c r="I281" s="31">
        <f>IF(COUNTIF('Premade Flavors'!$A:$A, $C279) &gt; 0,_xlfn.XLOOKUP($C279,'Premade Flavors'!$A:$A,'Premade Flavors'!H:H),IF([2]Sheet1!W279=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Flavors'!I:I),"Stevia"),_xlfn.XLOOKUP("What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Flavors'!M:M),_xlfn.XLOOKUP("How Strong Do You Want The First Flavor?",[1]Sheet1!$1:$1,[1]Sheet1!281:281))</f>
        <v>0</v>
      </c>
      <c r="N281" s="45">
        <f>IF(COUNTIF('Premade Flavors'!$A:$A, $C281) &gt; 0,_xlfn.XLOOKUP($C281,'Premade Flavors'!$A:$A,'Premade Flavors'!N:N),_xlfn.XLOOKUP("How Strong Do You Want The Second Flavor?",[1]Sheet1!$1:$1,[1]Sheet1!281:281))</f>
        <v>0</v>
      </c>
      <c r="O281" s="45">
        <f>IF(COUNTIF('Premade Flavors'!$A:$A, $C281) &gt; 0,_xlfn.XLOOKUP($C281,'Premade Flavors'!$A:$A,'Premade Flavors'!O:O),_xlfn.XLOOKUP("How Dense Should the Mix Ins Be?",[1]Sheet1!$1:$1,[1]Sheet1!281:281))</f>
        <v>0</v>
      </c>
      <c r="P281" s="45">
        <f>IF(COUNTIF('Premade Flavors'!$A:$A, $C281) &gt; 0,_xlfn.XLOOKUP($C281,'Premade Flavors'!$A:$A,'Premade Flavors'!P:P),_xlfn.XLOOKUP("How Much Of The First Sweetner? ",[1]Sheet1!$1:$1,[1]Sheet1!281:281))</f>
        <v>0</v>
      </c>
      <c r="Q281" s="45">
        <f>IF(COUNTIF('Premade Flavors'!$A:$A, $C281) &gt; 0,_xlfn.XLOOKUP($C281,'Premade Flavors'!$A:$A,'Premade Flavors'!Q:Q),[2]Sheet1!S281)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Flavors'!E:E),_xlfn.XLOOKUP("What's The First Flavor You Want? ",[1]Sheet1!$1:$1,[1]Sheet1!282:282))</f>
        <v>0</v>
      </c>
      <c r="G282" s="31">
        <f>IF(COUNTIF('Premade Flavors'!$A:$A, $C282) &gt; 0,_xlfn.XLOOKUP($C282,'Premade Flavors'!$A:$A,'Premade Flavors'!F:F),_xlfn.XLOOKUP("What's the Second Flavor You Want?",[1]Sheet1!$1:$1,[1]Sheet1!282:282))</f>
        <v>0</v>
      </c>
      <c r="H282" s="31">
        <f>IF(COUNTIF('Premade Flavors'!$A:$A, $C282) &gt; 0,_xlfn.XLOOKUP($C282,'Premade Flavors'!$A:$A,'Premade Flavors'!G:G),_xlfn.XLOOKUP("What's The First Mix In That You Want? ",[1]Sheet1!$1:$1,[1]Sheet1!282:282))</f>
        <v>0</v>
      </c>
      <c r="I282" s="31">
        <f>IF(COUNTIF('Premade Flavors'!$A:$A, $C280) &gt; 0,_xlfn.XLOOKUP($C280,'Premade Flavors'!$A:$A,'Premade Flavors'!H:H),IF([2]Sheet1!W280=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Flavors'!I:I),"Stevia"),_xlfn.XLOOKUP("What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Flavors'!M:M),_xlfn.XLOOKUP("How Strong Do You Want The First Flavor?",[1]Sheet1!$1:$1,[1]Sheet1!282:282))</f>
        <v>0</v>
      </c>
      <c r="N282" s="45">
        <f>IF(COUNTIF('Premade Flavors'!$A:$A, $C282) &gt; 0,_xlfn.XLOOKUP($C282,'Premade Flavors'!$A:$A,'Premade Flavors'!N:N),_xlfn.XLOOKUP("How Strong Do You Want The Second Flavor?",[1]Sheet1!$1:$1,[1]Sheet1!282:282))</f>
        <v>0</v>
      </c>
      <c r="O282" s="45">
        <f>IF(COUNTIF('Premade Flavors'!$A:$A, $C282) &gt; 0,_xlfn.XLOOKUP($C282,'Premade Flavors'!$A:$A,'Premade Flavors'!O:O),_xlfn.XLOOKUP("How Dense Should the Mix Ins Be?",[1]Sheet1!$1:$1,[1]Sheet1!282:282))</f>
        <v>0</v>
      </c>
      <c r="P282" s="45">
        <f>IF(COUNTIF('Premade Flavors'!$A:$A, $C282) &gt; 0,_xlfn.XLOOKUP($C282,'Premade Flavors'!$A:$A,'Premade Flavors'!P:P),_xlfn.XLOOKUP("How Much Of The First Sweetner? ",[1]Sheet1!$1:$1,[1]Sheet1!282:282))</f>
        <v>0</v>
      </c>
      <c r="Q282" s="45">
        <f>IF(COUNTIF('Premade Flavors'!$A:$A, $C282) &gt; 0,_xlfn.XLOOKUP($C282,'Premade Flavors'!$A:$A,'Premade Flavors'!Q:Q),[2]Sheet1!S282)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Flavors'!E:E),_xlfn.XLOOKUP("What's The First Flavor You Want? ",[1]Sheet1!$1:$1,[1]Sheet1!283:283))</f>
        <v>0</v>
      </c>
      <c r="G283" s="31">
        <f>IF(COUNTIF('Premade Flavors'!$A:$A, $C283) &gt; 0,_xlfn.XLOOKUP($C283,'Premade Flavors'!$A:$A,'Premade Flavors'!F:F),_xlfn.XLOOKUP("What's the Second Flavor You Want?",[1]Sheet1!$1:$1,[1]Sheet1!283:283))</f>
        <v>0</v>
      </c>
      <c r="H283" s="31">
        <f>IF(COUNTIF('Premade Flavors'!$A:$A, $C283) &gt; 0,_xlfn.XLOOKUP($C283,'Premade Flavors'!$A:$A,'Premade Flavors'!G:G),_xlfn.XLOOKUP("What's The First Mix In That You Want? ",[1]Sheet1!$1:$1,[1]Sheet1!283:283))</f>
        <v>0</v>
      </c>
      <c r="I283" s="31">
        <f>IF(COUNTIF('Premade Flavors'!$A:$A, $C281) &gt; 0,_xlfn.XLOOKUP($C281,'Premade Flavors'!$A:$A,'Premade Flavors'!H:H),IF([2]Sheet1!W281=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Flavors'!I:I),"Stevia"),_xlfn.XLOOKUP("What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Flavors'!M:M),_xlfn.XLOOKUP("How Strong Do You Want The First Flavor?",[1]Sheet1!$1:$1,[1]Sheet1!283:283))</f>
        <v>0</v>
      </c>
      <c r="N283" s="45">
        <f>IF(COUNTIF('Premade Flavors'!$A:$A, $C283) &gt; 0,_xlfn.XLOOKUP($C283,'Premade Flavors'!$A:$A,'Premade Flavors'!N:N),_xlfn.XLOOKUP("How Strong Do You Want The Second Flavor?",[1]Sheet1!$1:$1,[1]Sheet1!283:283))</f>
        <v>0</v>
      </c>
      <c r="O283" s="45">
        <f>IF(COUNTIF('Premade Flavors'!$A:$A, $C283) &gt; 0,_xlfn.XLOOKUP($C283,'Premade Flavors'!$A:$A,'Premade Flavors'!O:O),_xlfn.XLOOKUP("How Dense Should the Mix Ins Be?",[1]Sheet1!$1:$1,[1]Sheet1!283:283))</f>
        <v>0</v>
      </c>
      <c r="P283" s="45">
        <f>IF(COUNTIF('Premade Flavors'!$A:$A, $C283) &gt; 0,_xlfn.XLOOKUP($C283,'Premade Flavors'!$A:$A,'Premade Flavors'!P:P),_xlfn.XLOOKUP("How Much Of The First Sweetner? ",[1]Sheet1!$1:$1,[1]Sheet1!283:283))</f>
        <v>0</v>
      </c>
      <c r="Q283" s="45">
        <f>IF(COUNTIF('Premade Flavors'!$A:$A, $C283) &gt; 0,_xlfn.XLOOKUP($C283,'Premade Flavors'!$A:$A,'Premade Flavors'!Q:Q),[2]Sheet1!S283)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Flavors'!E:E),_xlfn.XLOOKUP("What's The First Flavor You Want? ",[1]Sheet1!$1:$1,[1]Sheet1!284:284))</f>
        <v>0</v>
      </c>
      <c r="G284" s="31">
        <f>IF(COUNTIF('Premade Flavors'!$A:$A, $C284) &gt; 0,_xlfn.XLOOKUP($C284,'Premade Flavors'!$A:$A,'Premade Flavors'!F:F),_xlfn.XLOOKUP("What's the Second Flavor You Want?",[1]Sheet1!$1:$1,[1]Sheet1!284:284))</f>
        <v>0</v>
      </c>
      <c r="H284" s="31">
        <f>IF(COUNTIF('Premade Flavors'!$A:$A, $C284) &gt; 0,_xlfn.XLOOKUP($C284,'Premade Flavors'!$A:$A,'Premade Flavors'!G:G),_xlfn.XLOOKUP("What's The First Mix In That You Want? ",[1]Sheet1!$1:$1,[1]Sheet1!284:284))</f>
        <v>0</v>
      </c>
      <c r="I284" s="31">
        <f>IF(COUNTIF('Premade Flavors'!$A:$A, $C282) &gt; 0,_xlfn.XLOOKUP($C282,'Premade Flavors'!$A:$A,'Premade Flavors'!H:H),IF([2]Sheet1!W282=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Flavors'!I:I),"Stevia"),_xlfn.XLOOKUP("What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Flavors'!M:M),_xlfn.XLOOKUP("How Strong Do You Want The First Flavor?",[1]Sheet1!$1:$1,[1]Sheet1!284:284))</f>
        <v>0</v>
      </c>
      <c r="N284" s="45">
        <f>IF(COUNTIF('Premade Flavors'!$A:$A, $C284) &gt; 0,_xlfn.XLOOKUP($C284,'Premade Flavors'!$A:$A,'Premade Flavors'!N:N),_xlfn.XLOOKUP("How Strong Do You Want The Second Flavor?",[1]Sheet1!$1:$1,[1]Sheet1!284:284))</f>
        <v>0</v>
      </c>
      <c r="O284" s="45">
        <f>IF(COUNTIF('Premade Flavors'!$A:$A, $C284) &gt; 0,_xlfn.XLOOKUP($C284,'Premade Flavors'!$A:$A,'Premade Flavors'!O:O),_xlfn.XLOOKUP("How Dense Should the Mix Ins Be?",[1]Sheet1!$1:$1,[1]Sheet1!284:284))</f>
        <v>0</v>
      </c>
      <c r="P284" s="45">
        <f>IF(COUNTIF('Premade Flavors'!$A:$A, $C284) &gt; 0,_xlfn.XLOOKUP($C284,'Premade Flavors'!$A:$A,'Premade Flavors'!P:P),_xlfn.XLOOKUP("How Much Of The First Sweetner? ",[1]Sheet1!$1:$1,[1]Sheet1!284:284))</f>
        <v>0</v>
      </c>
      <c r="Q284" s="45">
        <f>IF(COUNTIF('Premade Flavors'!$A:$A, $C284) &gt; 0,_xlfn.XLOOKUP($C284,'Premade Flavors'!$A:$A,'Premade Flavors'!Q:Q),[2]Sheet1!S284)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Flavors'!E:E),_xlfn.XLOOKUP("What's The First Flavor You Want? ",[1]Sheet1!$1:$1,[1]Sheet1!285:285))</f>
        <v>0</v>
      </c>
      <c r="G285" s="31">
        <f>IF(COUNTIF('Premade Flavors'!$A:$A, $C285) &gt; 0,_xlfn.XLOOKUP($C285,'Premade Flavors'!$A:$A,'Premade Flavors'!F:F),_xlfn.XLOOKUP("What's the Second Flavor You Want?",[1]Sheet1!$1:$1,[1]Sheet1!285:285))</f>
        <v>0</v>
      </c>
      <c r="H285" s="31">
        <f>IF(COUNTIF('Premade Flavors'!$A:$A, $C285) &gt; 0,_xlfn.XLOOKUP($C285,'Premade Flavors'!$A:$A,'Premade Flavors'!G:G),_xlfn.XLOOKUP("What's The First Mix In That You Want? ",[1]Sheet1!$1:$1,[1]Sheet1!285:285))</f>
        <v>0</v>
      </c>
      <c r="I285" s="31">
        <f>IF(COUNTIF('Premade Flavors'!$A:$A, $C283) &gt; 0,_xlfn.XLOOKUP($C283,'Premade Flavors'!$A:$A,'Premade Flavors'!H:H),IF([2]Sheet1!W283=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Flavors'!I:I),"Stevia"),_xlfn.XLOOKUP("What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Flavors'!M:M),_xlfn.XLOOKUP("How Strong Do You Want The First Flavor?",[1]Sheet1!$1:$1,[1]Sheet1!285:285))</f>
        <v>0</v>
      </c>
      <c r="N285" s="45">
        <f>IF(COUNTIF('Premade Flavors'!$A:$A, $C285) &gt; 0,_xlfn.XLOOKUP($C285,'Premade Flavors'!$A:$A,'Premade Flavors'!N:N),_xlfn.XLOOKUP("How Strong Do You Want The Second Flavor?",[1]Sheet1!$1:$1,[1]Sheet1!285:285))</f>
        <v>0</v>
      </c>
      <c r="O285" s="45">
        <f>IF(COUNTIF('Premade Flavors'!$A:$A, $C285) &gt; 0,_xlfn.XLOOKUP($C285,'Premade Flavors'!$A:$A,'Premade Flavors'!O:O),_xlfn.XLOOKUP("How Dense Should the Mix Ins Be?",[1]Sheet1!$1:$1,[1]Sheet1!285:285))</f>
        <v>0</v>
      </c>
      <c r="P285" s="45">
        <f>IF(COUNTIF('Premade Flavors'!$A:$A, $C285) &gt; 0,_xlfn.XLOOKUP($C285,'Premade Flavors'!$A:$A,'Premade Flavors'!P:P),_xlfn.XLOOKUP("How Much Of The First Sweetner? ",[1]Sheet1!$1:$1,[1]Sheet1!285:285))</f>
        <v>0</v>
      </c>
      <c r="Q285" s="45">
        <f>IF(COUNTIF('Premade Flavors'!$A:$A, $C285) &gt; 0,_xlfn.XLOOKUP($C285,'Premade Flavors'!$A:$A,'Premade Flavors'!Q:Q),[2]Sheet1!S285)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Flavors'!E:E),_xlfn.XLOOKUP("What's The First Flavor You Want? ",[1]Sheet1!$1:$1,[1]Sheet1!286:286))</f>
        <v>0</v>
      </c>
      <c r="G286" s="31">
        <f>IF(COUNTIF('Premade Flavors'!$A:$A, $C286) &gt; 0,_xlfn.XLOOKUP($C286,'Premade Flavors'!$A:$A,'Premade Flavors'!F:F),_xlfn.XLOOKUP("What's the Second Flavor You Want?",[1]Sheet1!$1:$1,[1]Sheet1!286:286))</f>
        <v>0</v>
      </c>
      <c r="H286" s="31">
        <f>IF(COUNTIF('Premade Flavors'!$A:$A, $C286) &gt; 0,_xlfn.XLOOKUP($C286,'Premade Flavors'!$A:$A,'Premade Flavors'!G:G),_xlfn.XLOOKUP("What's The First Mix In That You Want? ",[1]Sheet1!$1:$1,[1]Sheet1!286:286))</f>
        <v>0</v>
      </c>
      <c r="I286" s="31">
        <f>IF(COUNTIF('Premade Flavors'!$A:$A, $C284) &gt; 0,_xlfn.XLOOKUP($C284,'Premade Flavors'!$A:$A,'Premade Flavors'!H:H),IF([2]Sheet1!W284=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Flavors'!I:I),"Stevia"),_xlfn.XLOOKUP("What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Flavors'!M:M),_xlfn.XLOOKUP("How Strong Do You Want The First Flavor?",[1]Sheet1!$1:$1,[1]Sheet1!286:286))</f>
        <v>0</v>
      </c>
      <c r="N286" s="45">
        <f>IF(COUNTIF('Premade Flavors'!$A:$A, $C286) &gt; 0,_xlfn.XLOOKUP($C286,'Premade Flavors'!$A:$A,'Premade Flavors'!N:N),_xlfn.XLOOKUP("How Strong Do You Want The Second Flavor?",[1]Sheet1!$1:$1,[1]Sheet1!286:286))</f>
        <v>0</v>
      </c>
      <c r="O286" s="45">
        <f>IF(COUNTIF('Premade Flavors'!$A:$A, $C286) &gt; 0,_xlfn.XLOOKUP($C286,'Premade Flavors'!$A:$A,'Premade Flavors'!O:O),_xlfn.XLOOKUP("How Dense Should the Mix Ins Be?",[1]Sheet1!$1:$1,[1]Sheet1!286:286))</f>
        <v>0</v>
      </c>
      <c r="P286" s="45">
        <f>IF(COUNTIF('Premade Flavors'!$A:$A, $C286) &gt; 0,_xlfn.XLOOKUP($C286,'Premade Flavors'!$A:$A,'Premade Flavors'!P:P),_xlfn.XLOOKUP("How Much Of The First Sweetner? ",[1]Sheet1!$1:$1,[1]Sheet1!286:286))</f>
        <v>0</v>
      </c>
      <c r="Q286" s="45">
        <f>IF(COUNTIF('Premade Flavors'!$A:$A, $C286) &gt; 0,_xlfn.XLOOKUP($C286,'Premade Flavors'!$A:$A,'Premade Flavors'!Q:Q),[2]Sheet1!S286)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Flavors'!E:E),_xlfn.XLOOKUP("What's The First Flavor You Want? ",[1]Sheet1!$1:$1,[1]Sheet1!287:287))</f>
        <v>0</v>
      </c>
      <c r="G287" s="31">
        <f>IF(COUNTIF('Premade Flavors'!$A:$A, $C287) &gt; 0,_xlfn.XLOOKUP($C287,'Premade Flavors'!$A:$A,'Premade Flavors'!F:F),_xlfn.XLOOKUP("What's the Second Flavor You Want?",[1]Sheet1!$1:$1,[1]Sheet1!287:287))</f>
        <v>0</v>
      </c>
      <c r="H287" s="31">
        <f>IF(COUNTIF('Premade Flavors'!$A:$A, $C287) &gt; 0,_xlfn.XLOOKUP($C287,'Premade Flavors'!$A:$A,'Premade Flavors'!G:G),_xlfn.XLOOKUP("What's The First Mix In That You Want? ",[1]Sheet1!$1:$1,[1]Sheet1!287:287))</f>
        <v>0</v>
      </c>
      <c r="I287" s="31">
        <f>IF(COUNTIF('Premade Flavors'!$A:$A, $C285) &gt; 0,_xlfn.XLOOKUP($C285,'Premade Flavors'!$A:$A,'Premade Flavors'!H:H),IF([2]Sheet1!W285=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Flavors'!I:I),"Stevia"),_xlfn.XLOOKUP("What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Flavors'!M:M),_xlfn.XLOOKUP("How Strong Do You Want The First Flavor?",[1]Sheet1!$1:$1,[1]Sheet1!287:287))</f>
        <v>0</v>
      </c>
      <c r="N287" s="45">
        <f>IF(COUNTIF('Premade Flavors'!$A:$A, $C287) &gt; 0,_xlfn.XLOOKUP($C287,'Premade Flavors'!$A:$A,'Premade Flavors'!N:N),_xlfn.XLOOKUP("How Strong Do You Want The Second Flavor?",[1]Sheet1!$1:$1,[1]Sheet1!287:287))</f>
        <v>0</v>
      </c>
      <c r="O287" s="45">
        <f>IF(COUNTIF('Premade Flavors'!$A:$A, $C287) &gt; 0,_xlfn.XLOOKUP($C287,'Premade Flavors'!$A:$A,'Premade Flavors'!O:O),_xlfn.XLOOKUP("How Dense Should the Mix Ins Be?",[1]Sheet1!$1:$1,[1]Sheet1!287:287))</f>
        <v>0</v>
      </c>
      <c r="P287" s="45">
        <f>IF(COUNTIF('Premade Flavors'!$A:$A, $C287) &gt; 0,_xlfn.XLOOKUP($C287,'Premade Flavors'!$A:$A,'Premade Flavors'!P:P),_xlfn.XLOOKUP("How Much Of The First Sweetner? ",[1]Sheet1!$1:$1,[1]Sheet1!287:287))</f>
        <v>0</v>
      </c>
      <c r="Q287" s="45">
        <f>IF(COUNTIF('Premade Flavors'!$A:$A, $C287) &gt; 0,_xlfn.XLOOKUP($C287,'Premade Flavors'!$A:$A,'Premade Flavors'!Q:Q),[2]Sheet1!S287)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Flavors'!E:E),_xlfn.XLOOKUP("What's The First Flavor You Want? ",[1]Sheet1!$1:$1,[1]Sheet1!288:288))</f>
        <v>0</v>
      </c>
      <c r="G288" s="31">
        <f>IF(COUNTIF('Premade Flavors'!$A:$A, $C288) &gt; 0,_xlfn.XLOOKUP($C288,'Premade Flavors'!$A:$A,'Premade Flavors'!F:F),_xlfn.XLOOKUP("What's the Second Flavor You Want?",[1]Sheet1!$1:$1,[1]Sheet1!288:288))</f>
        <v>0</v>
      </c>
      <c r="H288" s="31">
        <f>IF(COUNTIF('Premade Flavors'!$A:$A, $C288) &gt; 0,_xlfn.XLOOKUP($C288,'Premade Flavors'!$A:$A,'Premade Flavors'!G:G),_xlfn.XLOOKUP("What's The First Mix In That You Want? ",[1]Sheet1!$1:$1,[1]Sheet1!288:288))</f>
        <v>0</v>
      </c>
      <c r="I288" s="31">
        <f>IF(COUNTIF('Premade Flavors'!$A:$A, $C286) &gt; 0,_xlfn.XLOOKUP($C286,'Premade Flavors'!$A:$A,'Premade Flavors'!H:H),IF([2]Sheet1!W286=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Flavors'!I:I),"Stevia"),_xlfn.XLOOKUP("What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Flavors'!M:M),_xlfn.XLOOKUP("How Strong Do You Want The First Flavor?",[1]Sheet1!$1:$1,[1]Sheet1!288:288))</f>
        <v>0</v>
      </c>
      <c r="N288" s="45">
        <f>IF(COUNTIF('Premade Flavors'!$A:$A, $C288) &gt; 0,_xlfn.XLOOKUP($C288,'Premade Flavors'!$A:$A,'Premade Flavors'!N:N),_xlfn.XLOOKUP("How Strong Do You Want The Second Flavor?",[1]Sheet1!$1:$1,[1]Sheet1!288:288))</f>
        <v>0</v>
      </c>
      <c r="O288" s="45">
        <f>IF(COUNTIF('Premade Flavors'!$A:$A, $C288) &gt; 0,_xlfn.XLOOKUP($C288,'Premade Flavors'!$A:$A,'Premade Flavors'!O:O),_xlfn.XLOOKUP("How Dense Should the Mix Ins Be?",[1]Sheet1!$1:$1,[1]Sheet1!288:288))</f>
        <v>0</v>
      </c>
      <c r="P288" s="45">
        <f>IF(COUNTIF('Premade Flavors'!$A:$A, $C288) &gt; 0,_xlfn.XLOOKUP($C288,'Premade Flavors'!$A:$A,'Premade Flavors'!P:P),_xlfn.XLOOKUP("How Much Of The First Sweetner? ",[1]Sheet1!$1:$1,[1]Sheet1!288:288))</f>
        <v>0</v>
      </c>
      <c r="Q288" s="45">
        <f>IF(COUNTIF('Premade Flavors'!$A:$A, $C288) &gt; 0,_xlfn.XLOOKUP($C288,'Premade Flavors'!$A:$A,'Premade Flavors'!Q:Q),[2]Sheet1!S288)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Flavors'!E:E),_xlfn.XLOOKUP("What's The First Flavor You Want? ",[1]Sheet1!$1:$1,[1]Sheet1!289:289))</f>
        <v>0</v>
      </c>
      <c r="G289" s="31">
        <f>IF(COUNTIF('Premade Flavors'!$A:$A, $C289) &gt; 0,_xlfn.XLOOKUP($C289,'Premade Flavors'!$A:$A,'Premade Flavors'!F:F),_xlfn.XLOOKUP("What's the Second Flavor You Want?",[1]Sheet1!$1:$1,[1]Sheet1!289:289))</f>
        <v>0</v>
      </c>
      <c r="H289" s="31">
        <f>IF(COUNTIF('Premade Flavors'!$A:$A, $C289) &gt; 0,_xlfn.XLOOKUP($C289,'Premade Flavors'!$A:$A,'Premade Flavors'!G:G),_xlfn.XLOOKUP("What's The First Mix In That You Want? ",[1]Sheet1!$1:$1,[1]Sheet1!289:289))</f>
        <v>0</v>
      </c>
      <c r="I289" s="31">
        <f>IF(COUNTIF('Premade Flavors'!$A:$A, $C287) &gt; 0,_xlfn.XLOOKUP($C287,'Premade Flavors'!$A:$A,'Premade Flavors'!H:H),IF([2]Sheet1!W287=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Flavors'!I:I),"Stevia"),_xlfn.XLOOKUP("What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Flavors'!M:M),_xlfn.XLOOKUP("How Strong Do You Want The First Flavor?",[1]Sheet1!$1:$1,[1]Sheet1!289:289))</f>
        <v>0</v>
      </c>
      <c r="N289" s="45">
        <f>IF(COUNTIF('Premade Flavors'!$A:$A, $C289) &gt; 0,_xlfn.XLOOKUP($C289,'Premade Flavors'!$A:$A,'Premade Flavors'!N:N),_xlfn.XLOOKUP("How Strong Do You Want The Second Flavor?",[1]Sheet1!$1:$1,[1]Sheet1!289:289))</f>
        <v>0</v>
      </c>
      <c r="O289" s="45">
        <f>IF(COUNTIF('Premade Flavors'!$A:$A, $C289) &gt; 0,_xlfn.XLOOKUP($C289,'Premade Flavors'!$A:$A,'Premade Flavors'!O:O),_xlfn.XLOOKUP("How Dense Should the Mix Ins Be?",[1]Sheet1!$1:$1,[1]Sheet1!289:289))</f>
        <v>0</v>
      </c>
      <c r="P289" s="45">
        <f>IF(COUNTIF('Premade Flavors'!$A:$A, $C289) &gt; 0,_xlfn.XLOOKUP($C289,'Premade Flavors'!$A:$A,'Premade Flavors'!P:P),_xlfn.XLOOKUP("How Much Of The First Sweetner? ",[1]Sheet1!$1:$1,[1]Sheet1!289:289))</f>
        <v>0</v>
      </c>
      <c r="Q289" s="45">
        <f>IF(COUNTIF('Premade Flavors'!$A:$A, $C289) &gt; 0,_xlfn.XLOOKUP($C289,'Premade Flavors'!$A:$A,'Premade Flavors'!Q:Q),[2]Sheet1!S289)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Flavors'!E:E),_xlfn.XLOOKUP("What's The First Flavor You Want? ",[1]Sheet1!$1:$1,[1]Sheet1!290:290))</f>
        <v>0</v>
      </c>
      <c r="G290" s="31">
        <f>IF(COUNTIF('Premade Flavors'!$A:$A, $C290) &gt; 0,_xlfn.XLOOKUP($C290,'Premade Flavors'!$A:$A,'Premade Flavors'!F:F),_xlfn.XLOOKUP("What's the Second Flavor You Want?",[1]Sheet1!$1:$1,[1]Sheet1!290:290))</f>
        <v>0</v>
      </c>
      <c r="H290" s="31">
        <f>IF(COUNTIF('Premade Flavors'!$A:$A, $C290) &gt; 0,_xlfn.XLOOKUP($C290,'Premade Flavors'!$A:$A,'Premade Flavors'!G:G),_xlfn.XLOOKUP("What's The First Mix In That You Want? ",[1]Sheet1!$1:$1,[1]Sheet1!290:290))</f>
        <v>0</v>
      </c>
      <c r="I290" s="31">
        <f>IF(COUNTIF('Premade Flavors'!$A:$A, $C288) &gt; 0,_xlfn.XLOOKUP($C288,'Premade Flavors'!$A:$A,'Premade Flavors'!H:H),IF([2]Sheet1!W288=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Flavors'!I:I),"Stevia"),_xlfn.XLOOKUP("What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Flavors'!M:M),_xlfn.XLOOKUP("How Strong Do You Want The First Flavor?",[1]Sheet1!$1:$1,[1]Sheet1!290:290))</f>
        <v>0</v>
      </c>
      <c r="N290" s="45">
        <f>IF(COUNTIF('Premade Flavors'!$A:$A, $C290) &gt; 0,_xlfn.XLOOKUP($C290,'Premade Flavors'!$A:$A,'Premade Flavors'!N:N),_xlfn.XLOOKUP("How Strong Do You Want The Second Flavor?",[1]Sheet1!$1:$1,[1]Sheet1!290:290))</f>
        <v>0</v>
      </c>
      <c r="O290" s="45">
        <f>IF(COUNTIF('Premade Flavors'!$A:$A, $C290) &gt; 0,_xlfn.XLOOKUP($C290,'Premade Flavors'!$A:$A,'Premade Flavors'!O:O),_xlfn.XLOOKUP("How Dense Should the Mix Ins Be?",[1]Sheet1!$1:$1,[1]Sheet1!290:290))</f>
        <v>0</v>
      </c>
      <c r="P290" s="45">
        <f>IF(COUNTIF('Premade Flavors'!$A:$A, $C290) &gt; 0,_xlfn.XLOOKUP($C290,'Premade Flavors'!$A:$A,'Premade Flavors'!P:P),_xlfn.XLOOKUP("How Much Of The First Sweetner? ",[1]Sheet1!$1:$1,[1]Sheet1!290:290))</f>
        <v>0</v>
      </c>
      <c r="Q290" s="45">
        <f>IF(COUNTIF('Premade Flavors'!$A:$A, $C290) &gt; 0,_xlfn.XLOOKUP($C290,'Premade Flavors'!$A:$A,'Premade Flavors'!Q:Q),[2]Sheet1!S290)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Flavors'!E:E),_xlfn.XLOOKUP("What's The First Flavor You Want? ",[1]Sheet1!$1:$1,[1]Sheet1!291:291))</f>
        <v>0</v>
      </c>
      <c r="G291" s="31">
        <f>IF(COUNTIF('Premade Flavors'!$A:$A, $C291) &gt; 0,_xlfn.XLOOKUP($C291,'Premade Flavors'!$A:$A,'Premade Flavors'!F:F),_xlfn.XLOOKUP("What's the Second Flavor You Want?",[1]Sheet1!$1:$1,[1]Sheet1!291:291))</f>
        <v>0</v>
      </c>
      <c r="H291" s="31">
        <f>IF(COUNTIF('Premade Flavors'!$A:$A, $C291) &gt; 0,_xlfn.XLOOKUP($C291,'Premade Flavors'!$A:$A,'Premade Flavors'!G:G),_xlfn.XLOOKUP("What's The First Mix In That You Want? ",[1]Sheet1!$1:$1,[1]Sheet1!291:291))</f>
        <v>0</v>
      </c>
      <c r="I291" s="31">
        <f>IF(COUNTIF('Premade Flavors'!$A:$A, $C289) &gt; 0,_xlfn.XLOOKUP($C289,'Premade Flavors'!$A:$A,'Premade Flavors'!H:H),IF([2]Sheet1!W289=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Flavors'!I:I),"Stevia"),_xlfn.XLOOKUP("What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Flavors'!M:M),_xlfn.XLOOKUP("How Strong Do You Want The First Flavor?",[1]Sheet1!$1:$1,[1]Sheet1!291:291))</f>
        <v>0</v>
      </c>
      <c r="N291" s="45">
        <f>IF(COUNTIF('Premade Flavors'!$A:$A, $C291) &gt; 0,_xlfn.XLOOKUP($C291,'Premade Flavors'!$A:$A,'Premade Flavors'!N:N),_xlfn.XLOOKUP("How Strong Do You Want The Second Flavor?",[1]Sheet1!$1:$1,[1]Sheet1!291:291))</f>
        <v>0</v>
      </c>
      <c r="O291" s="45">
        <f>IF(COUNTIF('Premade Flavors'!$A:$A, $C291) &gt; 0,_xlfn.XLOOKUP($C291,'Premade Flavors'!$A:$A,'Premade Flavors'!O:O),_xlfn.XLOOKUP("How Dense Should the Mix Ins Be?",[1]Sheet1!$1:$1,[1]Sheet1!291:291))</f>
        <v>0</v>
      </c>
      <c r="P291" s="45">
        <f>IF(COUNTIF('Premade Flavors'!$A:$A, $C291) &gt; 0,_xlfn.XLOOKUP($C291,'Premade Flavors'!$A:$A,'Premade Flavors'!P:P),_xlfn.XLOOKUP("How Much Of The First Sweetner? ",[1]Sheet1!$1:$1,[1]Sheet1!291:291))</f>
        <v>0</v>
      </c>
      <c r="Q291" s="45">
        <f>IF(COUNTIF('Premade Flavors'!$A:$A, $C291) &gt; 0,_xlfn.XLOOKUP($C291,'Premade Flavors'!$A:$A,'Premade Flavors'!Q:Q),[2]Sheet1!S291)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Flavors'!E:E),_xlfn.XLOOKUP("What's The First Flavor You Want? ",[1]Sheet1!$1:$1,[1]Sheet1!292:292))</f>
        <v>0</v>
      </c>
      <c r="G292" s="31">
        <f>IF(COUNTIF('Premade Flavors'!$A:$A, $C292) &gt; 0,_xlfn.XLOOKUP($C292,'Premade Flavors'!$A:$A,'Premade Flavors'!F:F),_xlfn.XLOOKUP("What's the Second Flavor You Want?",[1]Sheet1!$1:$1,[1]Sheet1!292:292))</f>
        <v>0</v>
      </c>
      <c r="H292" s="31">
        <f>IF(COUNTIF('Premade Flavors'!$A:$A, $C292) &gt; 0,_xlfn.XLOOKUP($C292,'Premade Flavors'!$A:$A,'Premade Flavors'!G:G),_xlfn.XLOOKUP("What's The First Mix In That You Want? ",[1]Sheet1!$1:$1,[1]Sheet1!292:292))</f>
        <v>0</v>
      </c>
      <c r="I292" s="31">
        <f>IF(COUNTIF('Premade Flavors'!$A:$A, $C290) &gt; 0,_xlfn.XLOOKUP($C290,'Premade Flavors'!$A:$A,'Premade Flavors'!H:H),IF([2]Sheet1!W290=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Flavors'!I:I),"Stevia"),_xlfn.XLOOKUP("What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Flavors'!M:M),_xlfn.XLOOKUP("How Strong Do You Want The First Flavor?",[1]Sheet1!$1:$1,[1]Sheet1!292:292))</f>
        <v>0</v>
      </c>
      <c r="N292" s="45">
        <f>IF(COUNTIF('Premade Flavors'!$A:$A, $C292) &gt; 0,_xlfn.XLOOKUP($C292,'Premade Flavors'!$A:$A,'Premade Flavors'!N:N),_xlfn.XLOOKUP("How Strong Do You Want The Second Flavor?",[1]Sheet1!$1:$1,[1]Sheet1!292:292))</f>
        <v>0</v>
      </c>
      <c r="O292" s="45">
        <f>IF(COUNTIF('Premade Flavors'!$A:$A, $C292) &gt; 0,_xlfn.XLOOKUP($C292,'Premade Flavors'!$A:$A,'Premade Flavors'!O:O),_xlfn.XLOOKUP("How Dense Should the Mix Ins Be?",[1]Sheet1!$1:$1,[1]Sheet1!292:292))</f>
        <v>0</v>
      </c>
      <c r="P292" s="45">
        <f>IF(COUNTIF('Premade Flavors'!$A:$A, $C292) &gt; 0,_xlfn.XLOOKUP($C292,'Premade Flavors'!$A:$A,'Premade Flavors'!P:P),_xlfn.XLOOKUP("How Much Of The First Sweetner? ",[1]Sheet1!$1:$1,[1]Sheet1!292:292))</f>
        <v>0</v>
      </c>
      <c r="Q292" s="45">
        <f>IF(COUNTIF('Premade Flavors'!$A:$A, $C292) &gt; 0,_xlfn.XLOOKUP($C292,'Premade Flavors'!$A:$A,'Premade Flavors'!Q:Q),[2]Sheet1!S292)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Flavors'!E:E),_xlfn.XLOOKUP("What's The First Flavor You Want? ",[1]Sheet1!$1:$1,[1]Sheet1!293:293))</f>
        <v>0</v>
      </c>
      <c r="G293" s="31">
        <f>IF(COUNTIF('Premade Flavors'!$A:$A, $C293) &gt; 0,_xlfn.XLOOKUP($C293,'Premade Flavors'!$A:$A,'Premade Flavors'!F:F),_xlfn.XLOOKUP("What's the Second Flavor You Want?",[1]Sheet1!$1:$1,[1]Sheet1!293:293))</f>
        <v>0</v>
      </c>
      <c r="H293" s="31">
        <f>IF(COUNTIF('Premade Flavors'!$A:$A, $C293) &gt; 0,_xlfn.XLOOKUP($C293,'Premade Flavors'!$A:$A,'Premade Flavors'!G:G),_xlfn.XLOOKUP("What's The First Mix In That You Want? ",[1]Sheet1!$1:$1,[1]Sheet1!293:293))</f>
        <v>0</v>
      </c>
      <c r="I293" s="31">
        <f>IF(COUNTIF('Premade Flavors'!$A:$A, $C291) &gt; 0,_xlfn.XLOOKUP($C291,'Premade Flavors'!$A:$A,'Premade Flavors'!H:H),IF([2]Sheet1!W291=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Flavors'!I:I),"Stevia"),_xlfn.XLOOKUP("What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Flavors'!M:M),_xlfn.XLOOKUP("How Strong Do You Want The First Flavor?",[1]Sheet1!$1:$1,[1]Sheet1!293:293))</f>
        <v>0</v>
      </c>
      <c r="N293" s="45">
        <f>IF(COUNTIF('Premade Flavors'!$A:$A, $C293) &gt; 0,_xlfn.XLOOKUP($C293,'Premade Flavors'!$A:$A,'Premade Flavors'!N:N),_xlfn.XLOOKUP("How Strong Do You Want The Second Flavor?",[1]Sheet1!$1:$1,[1]Sheet1!293:293))</f>
        <v>0</v>
      </c>
      <c r="O293" s="45">
        <f>IF(COUNTIF('Premade Flavors'!$A:$A, $C293) &gt; 0,_xlfn.XLOOKUP($C293,'Premade Flavors'!$A:$A,'Premade Flavors'!O:O),_xlfn.XLOOKUP("How Dense Should the Mix Ins Be?",[1]Sheet1!$1:$1,[1]Sheet1!293:293))</f>
        <v>0</v>
      </c>
      <c r="P293" s="45">
        <f>IF(COUNTIF('Premade Flavors'!$A:$A, $C293) &gt; 0,_xlfn.XLOOKUP($C293,'Premade Flavors'!$A:$A,'Premade Flavors'!P:P),_xlfn.XLOOKUP("How Much Of The First Sweetner? ",[1]Sheet1!$1:$1,[1]Sheet1!293:293))</f>
        <v>0</v>
      </c>
      <c r="Q293" s="45">
        <f>IF(COUNTIF('Premade Flavors'!$A:$A, $C293) &gt; 0,_xlfn.XLOOKUP($C293,'Premade Flavors'!$A:$A,'Premade Flavors'!Q:Q),[2]Sheet1!S293)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Flavors'!E:E),_xlfn.XLOOKUP("What's The First Flavor You Want? ",[1]Sheet1!$1:$1,[1]Sheet1!294:294))</f>
        <v>0</v>
      </c>
      <c r="G294" s="31">
        <f>IF(COUNTIF('Premade Flavors'!$A:$A, $C294) &gt; 0,_xlfn.XLOOKUP($C294,'Premade Flavors'!$A:$A,'Premade Flavors'!F:F),_xlfn.XLOOKUP("What's the Second Flavor You Want?",[1]Sheet1!$1:$1,[1]Sheet1!294:294))</f>
        <v>0</v>
      </c>
      <c r="H294" s="31">
        <f>IF(COUNTIF('Premade Flavors'!$A:$A, $C294) &gt; 0,_xlfn.XLOOKUP($C294,'Premade Flavors'!$A:$A,'Premade Flavors'!G:G),_xlfn.XLOOKUP("What's The First Mix In That You Want? ",[1]Sheet1!$1:$1,[1]Sheet1!294:294))</f>
        <v>0</v>
      </c>
      <c r="I294" s="31">
        <f>IF(COUNTIF('Premade Flavors'!$A:$A, $C292) &gt; 0,_xlfn.XLOOKUP($C292,'Premade Flavors'!$A:$A,'Premade Flavors'!H:H),IF([2]Sheet1!W292=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Flavors'!I:I),"Stevia"),_xlfn.XLOOKUP("What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Flavors'!M:M),_xlfn.XLOOKUP("How Strong Do You Want The First Flavor?",[1]Sheet1!$1:$1,[1]Sheet1!294:294))</f>
        <v>0</v>
      </c>
      <c r="N294" s="45">
        <f>IF(COUNTIF('Premade Flavors'!$A:$A, $C294) &gt; 0,_xlfn.XLOOKUP($C294,'Premade Flavors'!$A:$A,'Premade Flavors'!N:N),_xlfn.XLOOKUP("How Strong Do You Want The Second Flavor?",[1]Sheet1!$1:$1,[1]Sheet1!294:294))</f>
        <v>0</v>
      </c>
      <c r="O294" s="45">
        <f>IF(COUNTIF('Premade Flavors'!$A:$A, $C294) &gt; 0,_xlfn.XLOOKUP($C294,'Premade Flavors'!$A:$A,'Premade Flavors'!O:O),_xlfn.XLOOKUP("How Dense Should the Mix Ins Be?",[1]Sheet1!$1:$1,[1]Sheet1!294:294))</f>
        <v>0</v>
      </c>
      <c r="P294" s="45">
        <f>IF(COUNTIF('Premade Flavors'!$A:$A, $C294) &gt; 0,_xlfn.XLOOKUP($C294,'Premade Flavors'!$A:$A,'Premade Flavors'!P:P),_xlfn.XLOOKUP("How Much Of The First Sweetner? ",[1]Sheet1!$1:$1,[1]Sheet1!294:294))</f>
        <v>0</v>
      </c>
      <c r="Q294" s="45">
        <f>IF(COUNTIF('Premade Flavors'!$A:$A, $C294) &gt; 0,_xlfn.XLOOKUP($C294,'Premade Flavors'!$A:$A,'Premade Flavors'!Q:Q),[2]Sheet1!S294)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Flavors'!E:E),_xlfn.XLOOKUP("What's The First Flavor You Want? ",[1]Sheet1!$1:$1,[1]Sheet1!295:295))</f>
        <v>0</v>
      </c>
      <c r="G295" s="31">
        <f>IF(COUNTIF('Premade Flavors'!$A:$A, $C295) &gt; 0,_xlfn.XLOOKUP($C295,'Premade Flavors'!$A:$A,'Premade Flavors'!F:F),_xlfn.XLOOKUP("What's the Second Flavor You Want?",[1]Sheet1!$1:$1,[1]Sheet1!295:295))</f>
        <v>0</v>
      </c>
      <c r="H295" s="31">
        <f>IF(COUNTIF('Premade Flavors'!$A:$A, $C295) &gt; 0,_xlfn.XLOOKUP($C295,'Premade Flavors'!$A:$A,'Premade Flavors'!G:G),_xlfn.XLOOKUP("What's The First Mix In That You Want? ",[1]Sheet1!$1:$1,[1]Sheet1!295:295))</f>
        <v>0</v>
      </c>
      <c r="I295" s="31">
        <f>IF(COUNTIF('Premade Flavors'!$A:$A, $C293) &gt; 0,_xlfn.XLOOKUP($C293,'Premade Flavors'!$A:$A,'Premade Flavors'!H:H),IF([2]Sheet1!W293=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Flavors'!I:I),"Stevia"),_xlfn.XLOOKUP("What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Flavors'!M:M),_xlfn.XLOOKUP("How Strong Do You Want The First Flavor?",[1]Sheet1!$1:$1,[1]Sheet1!295:295))</f>
        <v>0</v>
      </c>
      <c r="N295" s="45">
        <f>IF(COUNTIF('Premade Flavors'!$A:$A, $C295) &gt; 0,_xlfn.XLOOKUP($C295,'Premade Flavors'!$A:$A,'Premade Flavors'!N:N),_xlfn.XLOOKUP("How Strong Do You Want The Second Flavor?",[1]Sheet1!$1:$1,[1]Sheet1!295:295))</f>
        <v>0</v>
      </c>
      <c r="O295" s="45">
        <f>IF(COUNTIF('Premade Flavors'!$A:$A, $C295) &gt; 0,_xlfn.XLOOKUP($C295,'Premade Flavors'!$A:$A,'Premade Flavors'!O:O),_xlfn.XLOOKUP("How Dense Should the Mix Ins Be?",[1]Sheet1!$1:$1,[1]Sheet1!295:295))</f>
        <v>0</v>
      </c>
      <c r="P295" s="45">
        <f>IF(COUNTIF('Premade Flavors'!$A:$A, $C295) &gt; 0,_xlfn.XLOOKUP($C295,'Premade Flavors'!$A:$A,'Premade Flavors'!P:P),_xlfn.XLOOKUP("How Much Of The First Sweetner? ",[1]Sheet1!$1:$1,[1]Sheet1!295:295))</f>
        <v>0</v>
      </c>
      <c r="Q295" s="45">
        <f>IF(COUNTIF('Premade Flavors'!$A:$A, $C295) &gt; 0,_xlfn.XLOOKUP($C295,'Premade Flavors'!$A:$A,'Premade Flavors'!Q:Q),[2]Sheet1!S295)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Flavors'!E:E),_xlfn.XLOOKUP("What's The First Flavor You Want? ",[1]Sheet1!$1:$1,[1]Sheet1!296:296))</f>
        <v>0</v>
      </c>
      <c r="G296" s="31">
        <f>IF(COUNTIF('Premade Flavors'!$A:$A, $C296) &gt; 0,_xlfn.XLOOKUP($C296,'Premade Flavors'!$A:$A,'Premade Flavors'!F:F),_xlfn.XLOOKUP("What's the Second Flavor You Want?",[1]Sheet1!$1:$1,[1]Sheet1!296:296))</f>
        <v>0</v>
      </c>
      <c r="H296" s="31">
        <f>IF(COUNTIF('Premade Flavors'!$A:$A, $C296) &gt; 0,_xlfn.XLOOKUP($C296,'Premade Flavors'!$A:$A,'Premade Flavors'!G:G),_xlfn.XLOOKUP("What's The First Mix In That You Want? ",[1]Sheet1!$1:$1,[1]Sheet1!296:296))</f>
        <v>0</v>
      </c>
      <c r="I296" s="31">
        <f>IF(COUNTIF('Premade Flavors'!$A:$A, $C294) &gt; 0,_xlfn.XLOOKUP($C294,'Premade Flavors'!$A:$A,'Premade Flavors'!H:H),IF([2]Sheet1!W294=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Flavors'!I:I),"Stevia"),_xlfn.XLOOKUP("What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Flavors'!M:M),_xlfn.XLOOKUP("How Strong Do You Want The First Flavor?",[1]Sheet1!$1:$1,[1]Sheet1!296:296))</f>
        <v>0</v>
      </c>
      <c r="N296" s="45">
        <f>IF(COUNTIF('Premade Flavors'!$A:$A, $C296) &gt; 0,_xlfn.XLOOKUP($C296,'Premade Flavors'!$A:$A,'Premade Flavors'!N:N),_xlfn.XLOOKUP("How Strong Do You Want The Second Flavor?",[1]Sheet1!$1:$1,[1]Sheet1!296:296))</f>
        <v>0</v>
      </c>
      <c r="O296" s="45">
        <f>IF(COUNTIF('Premade Flavors'!$A:$A, $C296) &gt; 0,_xlfn.XLOOKUP($C296,'Premade Flavors'!$A:$A,'Premade Flavors'!O:O),_xlfn.XLOOKUP("How Dense Should the Mix Ins Be?",[1]Sheet1!$1:$1,[1]Sheet1!296:296))</f>
        <v>0</v>
      </c>
      <c r="P296" s="45">
        <f>IF(COUNTIF('Premade Flavors'!$A:$A, $C296) &gt; 0,_xlfn.XLOOKUP($C296,'Premade Flavors'!$A:$A,'Premade Flavors'!P:P),_xlfn.XLOOKUP("How Much Of The First Sweetner? ",[1]Sheet1!$1:$1,[1]Sheet1!296:296))</f>
        <v>0</v>
      </c>
      <c r="Q296" s="45">
        <f>IF(COUNTIF('Premade Flavors'!$A:$A, $C296) &gt; 0,_xlfn.XLOOKUP($C296,'Premade Flavors'!$A:$A,'Premade Flavors'!Q:Q),[2]Sheet1!S296)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Flavors'!E:E),_xlfn.XLOOKUP("What's The First Flavor You Want? ",[1]Sheet1!$1:$1,[1]Sheet1!297:297))</f>
        <v>0</v>
      </c>
      <c r="G297" s="31">
        <f>IF(COUNTIF('Premade Flavors'!$A:$A, $C297) &gt; 0,_xlfn.XLOOKUP($C297,'Premade Flavors'!$A:$A,'Premade Flavors'!F:F),_xlfn.XLOOKUP("What's the Second Flavor You Want?",[1]Sheet1!$1:$1,[1]Sheet1!297:297))</f>
        <v>0</v>
      </c>
      <c r="H297" s="31">
        <f>IF(COUNTIF('Premade Flavors'!$A:$A, $C297) &gt; 0,_xlfn.XLOOKUP($C297,'Premade Flavors'!$A:$A,'Premade Flavors'!G:G),_xlfn.XLOOKUP("What's The First Mix In That You Want? ",[1]Sheet1!$1:$1,[1]Sheet1!297:297))</f>
        <v>0</v>
      </c>
      <c r="I297" s="31">
        <f>IF(COUNTIF('Premade Flavors'!$A:$A, $C295) &gt; 0,_xlfn.XLOOKUP($C295,'Premade Flavors'!$A:$A,'Premade Flavors'!H:H),IF([2]Sheet1!W295=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Flavors'!I:I),"Stevia"),_xlfn.XLOOKUP("What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Flavors'!M:M),_xlfn.XLOOKUP("How Strong Do You Want The First Flavor?",[1]Sheet1!$1:$1,[1]Sheet1!297:297))</f>
        <v>0</v>
      </c>
      <c r="N297" s="45">
        <f>IF(COUNTIF('Premade Flavors'!$A:$A, $C297) &gt; 0,_xlfn.XLOOKUP($C297,'Premade Flavors'!$A:$A,'Premade Flavors'!N:N),_xlfn.XLOOKUP("How Strong Do You Want The Second Flavor?",[1]Sheet1!$1:$1,[1]Sheet1!297:297))</f>
        <v>0</v>
      </c>
      <c r="O297" s="45">
        <f>IF(COUNTIF('Premade Flavors'!$A:$A, $C297) &gt; 0,_xlfn.XLOOKUP($C297,'Premade Flavors'!$A:$A,'Premade Flavors'!O:O),_xlfn.XLOOKUP("How Dense Should the Mix Ins Be?",[1]Sheet1!$1:$1,[1]Sheet1!297:297))</f>
        <v>0</v>
      </c>
      <c r="P297" s="45">
        <f>IF(COUNTIF('Premade Flavors'!$A:$A, $C297) &gt; 0,_xlfn.XLOOKUP($C297,'Premade Flavors'!$A:$A,'Premade Flavors'!P:P),_xlfn.XLOOKUP("How Much Of The First Sweetner? ",[1]Sheet1!$1:$1,[1]Sheet1!297:297))</f>
        <v>0</v>
      </c>
      <c r="Q297" s="45">
        <f>IF(COUNTIF('Premade Flavors'!$A:$A, $C297) &gt; 0,_xlfn.XLOOKUP($C297,'Premade Flavors'!$A:$A,'Premade Flavors'!Q:Q),[2]Sheet1!S297)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Flavors'!E:E),_xlfn.XLOOKUP("What's The First Flavor You Want? ",[1]Sheet1!$1:$1,[1]Sheet1!298:298))</f>
        <v>0</v>
      </c>
      <c r="G298" s="31">
        <f>IF(COUNTIF('Premade Flavors'!$A:$A, $C298) &gt; 0,_xlfn.XLOOKUP($C298,'Premade Flavors'!$A:$A,'Premade Flavors'!F:F),_xlfn.XLOOKUP("What's the Second Flavor You Want?",[1]Sheet1!$1:$1,[1]Sheet1!298:298))</f>
        <v>0</v>
      </c>
      <c r="H298" s="31">
        <f>IF(COUNTIF('Premade Flavors'!$A:$A, $C298) &gt; 0,_xlfn.XLOOKUP($C298,'Premade Flavors'!$A:$A,'Premade Flavors'!G:G),_xlfn.XLOOKUP("What's The First Mix In That You Want? ",[1]Sheet1!$1:$1,[1]Sheet1!298:298))</f>
        <v>0</v>
      </c>
      <c r="I298" s="31">
        <f>IF(COUNTIF('Premade Flavors'!$A:$A, $C296) &gt; 0,_xlfn.XLOOKUP($C296,'Premade Flavors'!$A:$A,'Premade Flavors'!H:H),IF([2]Sheet1!W296=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Flavors'!I:I),"Stevia"),_xlfn.XLOOKUP("What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Flavors'!M:M),_xlfn.XLOOKUP("How Strong Do You Want The First Flavor?",[1]Sheet1!$1:$1,[1]Sheet1!298:298))</f>
        <v>0</v>
      </c>
      <c r="N298" s="45">
        <f>IF(COUNTIF('Premade Flavors'!$A:$A, $C298) &gt; 0,_xlfn.XLOOKUP($C298,'Premade Flavors'!$A:$A,'Premade Flavors'!N:N),_xlfn.XLOOKUP("How Strong Do You Want The Second Flavor?",[1]Sheet1!$1:$1,[1]Sheet1!298:298))</f>
        <v>0</v>
      </c>
      <c r="O298" s="45">
        <f>IF(COUNTIF('Premade Flavors'!$A:$A, $C298) &gt; 0,_xlfn.XLOOKUP($C298,'Premade Flavors'!$A:$A,'Premade Flavors'!O:O),_xlfn.XLOOKUP("How Dense Should the Mix Ins Be?",[1]Sheet1!$1:$1,[1]Sheet1!298:298))</f>
        <v>0</v>
      </c>
      <c r="P298" s="45">
        <f>IF(COUNTIF('Premade Flavors'!$A:$A, $C298) &gt; 0,_xlfn.XLOOKUP($C298,'Premade Flavors'!$A:$A,'Premade Flavors'!P:P),_xlfn.XLOOKUP("How Much Of The First Sweetner? ",[1]Sheet1!$1:$1,[1]Sheet1!298:298))</f>
        <v>0</v>
      </c>
      <c r="Q298" s="45">
        <f>IF(COUNTIF('Premade Flavors'!$A:$A, $C298) &gt; 0,_xlfn.XLOOKUP($C298,'Premade Flavors'!$A:$A,'Premade Flavors'!Q:Q),[2]Sheet1!S298)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Flavors'!E:E),_xlfn.XLOOKUP("What's The First Flavor You Want? ",[1]Sheet1!$1:$1,[1]Sheet1!299:299))</f>
        <v>0</v>
      </c>
      <c r="G299" s="31">
        <f>IF(COUNTIF('Premade Flavors'!$A:$A, $C299) &gt; 0,_xlfn.XLOOKUP($C299,'Premade Flavors'!$A:$A,'Premade Flavors'!F:F),_xlfn.XLOOKUP("What's the Second Flavor You Want?",[1]Sheet1!$1:$1,[1]Sheet1!299:299))</f>
        <v>0</v>
      </c>
      <c r="H299" s="31">
        <f>IF(COUNTIF('Premade Flavors'!$A:$A, $C299) &gt; 0,_xlfn.XLOOKUP($C299,'Premade Flavors'!$A:$A,'Premade Flavors'!G:G),_xlfn.XLOOKUP("What's The First Mix In That You Want? ",[1]Sheet1!$1:$1,[1]Sheet1!299:299))</f>
        <v>0</v>
      </c>
      <c r="I299" s="31">
        <f>IF(COUNTIF('Premade Flavors'!$A:$A, $C297) &gt; 0,_xlfn.XLOOKUP($C297,'Premade Flavors'!$A:$A,'Premade Flavors'!H:H),IF([2]Sheet1!W297=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Flavors'!I:I),"Stevia"),_xlfn.XLOOKUP("What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Flavors'!M:M),_xlfn.XLOOKUP("How Strong Do You Want The First Flavor?",[1]Sheet1!$1:$1,[1]Sheet1!299:299))</f>
        <v>0</v>
      </c>
      <c r="N299" s="45">
        <f>IF(COUNTIF('Premade Flavors'!$A:$A, $C299) &gt; 0,_xlfn.XLOOKUP($C299,'Premade Flavors'!$A:$A,'Premade Flavors'!N:N),_xlfn.XLOOKUP("How Strong Do You Want The Second Flavor?",[1]Sheet1!$1:$1,[1]Sheet1!299:299))</f>
        <v>0</v>
      </c>
      <c r="O299" s="45">
        <f>IF(COUNTIF('Premade Flavors'!$A:$A, $C299) &gt; 0,_xlfn.XLOOKUP($C299,'Premade Flavors'!$A:$A,'Premade Flavors'!O:O),_xlfn.XLOOKUP("How Dense Should the Mix Ins Be?",[1]Sheet1!$1:$1,[1]Sheet1!299:299))</f>
        <v>0</v>
      </c>
      <c r="P299" s="45">
        <f>IF(COUNTIF('Premade Flavors'!$A:$A, $C299) &gt; 0,_xlfn.XLOOKUP($C299,'Premade Flavors'!$A:$A,'Premade Flavors'!P:P),_xlfn.XLOOKUP("How Much Of The First Sweetner? ",[1]Sheet1!$1:$1,[1]Sheet1!299:299))</f>
        <v>0</v>
      </c>
      <c r="Q299" s="45">
        <f>IF(COUNTIF('Premade Flavors'!$A:$A, $C299) &gt; 0,_xlfn.XLOOKUP($C299,'Premade Flavors'!$A:$A,'Premade Flavors'!Q:Q),[2]Sheet1!S299)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Flavors'!E:E),_xlfn.XLOOKUP("What's The First Flavor You Want? ",[1]Sheet1!$1:$1,[1]Sheet1!300:300))</f>
        <v>0</v>
      </c>
      <c r="G300" s="31">
        <f>IF(COUNTIF('Premade Flavors'!$A:$A, $C300) &gt; 0,_xlfn.XLOOKUP($C300,'Premade Flavors'!$A:$A,'Premade Flavors'!F:F),_xlfn.XLOOKUP("What's the Second Flavor You Want?",[1]Sheet1!$1:$1,[1]Sheet1!300:300))</f>
        <v>0</v>
      </c>
      <c r="H300" s="31">
        <f>IF(COUNTIF('Premade Flavors'!$A:$A, $C300) &gt; 0,_xlfn.XLOOKUP($C300,'Premade Flavors'!$A:$A,'Premade Flavors'!G:G),_xlfn.XLOOKUP("What's The First Mix In That You Want? ",[1]Sheet1!$1:$1,[1]Sheet1!300:300))</f>
        <v>0</v>
      </c>
      <c r="I300" s="31">
        <f>IF(COUNTIF('Premade Flavors'!$A:$A, $C298) &gt; 0,_xlfn.XLOOKUP($C298,'Premade Flavors'!$A:$A,'Premade Flavors'!H:H),IF([2]Sheet1!W298=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Flavors'!I:I),"Stevia"),_xlfn.XLOOKUP("What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Flavors'!M:M),_xlfn.XLOOKUP("How Strong Do You Want The First Flavor?",[1]Sheet1!$1:$1,[1]Sheet1!300:300))</f>
        <v>0</v>
      </c>
      <c r="N300" s="45">
        <f>IF(COUNTIF('Premade Flavors'!$A:$A, $C300) &gt; 0,_xlfn.XLOOKUP($C300,'Premade Flavors'!$A:$A,'Premade Flavors'!N:N),_xlfn.XLOOKUP("How Strong Do You Want The Second Flavor?",[1]Sheet1!$1:$1,[1]Sheet1!300:300))</f>
        <v>0</v>
      </c>
      <c r="O300" s="45">
        <f>IF(COUNTIF('Premade Flavors'!$A:$A, $C300) &gt; 0,_xlfn.XLOOKUP($C300,'Premade Flavors'!$A:$A,'Premade Flavors'!O:O),_xlfn.XLOOKUP("How Dense Should the Mix Ins Be?",[1]Sheet1!$1:$1,[1]Sheet1!300:300))</f>
        <v>0</v>
      </c>
      <c r="P300" s="45">
        <f>IF(COUNTIF('Premade Flavors'!$A:$A, $C300) &gt; 0,_xlfn.XLOOKUP($C300,'Premade Flavors'!$A:$A,'Premade Flavors'!P:P),_xlfn.XLOOKUP("How Much Of The First Sweetner? ",[1]Sheet1!$1:$1,[1]Sheet1!300:300))</f>
        <v>0</v>
      </c>
      <c r="Q300" s="45">
        <f>IF(COUNTIF('Premade Flavors'!$A:$A, $C300) &gt; 0,_xlfn.XLOOKUP($C300,'Premade Flavors'!$A:$A,'Premade Flavors'!Q:Q),[2]Sheet1!S300)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Flavors'!E:E),_xlfn.XLOOKUP("What's The First Flavor You Want? ",[1]Sheet1!$1:$1,[1]Sheet1!301:301))</f>
        <v>0</v>
      </c>
      <c r="G301" s="31">
        <f>IF(COUNTIF('Premade Flavors'!$A:$A, $C301) &gt; 0,_xlfn.XLOOKUP($C301,'Premade Flavors'!$A:$A,'Premade Flavors'!F:F),_xlfn.XLOOKUP("What's the Second Flavor You Want?",[1]Sheet1!$1:$1,[1]Sheet1!301:301))</f>
        <v>0</v>
      </c>
      <c r="H301" s="31">
        <f>IF(COUNTIF('Premade Flavors'!$A:$A, $C301) &gt; 0,_xlfn.XLOOKUP($C301,'Premade Flavors'!$A:$A,'Premade Flavors'!G:G),_xlfn.XLOOKUP("What's The First Mix In That You Want? ",[1]Sheet1!$1:$1,[1]Sheet1!301:301))</f>
        <v>0</v>
      </c>
      <c r="I301" s="31">
        <f>IF(COUNTIF('Premade Flavors'!$A:$A, $C299) &gt; 0,_xlfn.XLOOKUP($C299,'Premade Flavors'!$A:$A,'Premade Flavors'!H:H),IF([2]Sheet1!W299=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Flavors'!I:I),"Stevia"),_xlfn.XLOOKUP("What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Flavors'!M:M),_xlfn.XLOOKUP("How Strong Do You Want The First Flavor?",[1]Sheet1!$1:$1,[1]Sheet1!301:301))</f>
        <v>0</v>
      </c>
      <c r="N301" s="45">
        <f>IF(COUNTIF('Premade Flavors'!$A:$A, $C301) &gt; 0,_xlfn.XLOOKUP($C301,'Premade Flavors'!$A:$A,'Premade Flavors'!N:N),_xlfn.XLOOKUP("How Strong Do You Want The Second Flavor?",[1]Sheet1!$1:$1,[1]Sheet1!301:301))</f>
        <v>0</v>
      </c>
      <c r="O301" s="45">
        <f>IF(COUNTIF('Premade Flavors'!$A:$A, $C301) &gt; 0,_xlfn.XLOOKUP($C301,'Premade Flavors'!$A:$A,'Premade Flavors'!O:O),_xlfn.XLOOKUP("How Dense Should the Mix Ins Be?",[1]Sheet1!$1:$1,[1]Sheet1!301:301))</f>
        <v>0</v>
      </c>
      <c r="P301" s="45">
        <f>IF(COUNTIF('Premade Flavors'!$A:$A, $C301) &gt; 0,_xlfn.XLOOKUP($C301,'Premade Flavors'!$A:$A,'Premade Flavors'!P:P),_xlfn.XLOOKUP("How Much Of The First Sweetner? ",[1]Sheet1!$1:$1,[1]Sheet1!301:301))</f>
        <v>0</v>
      </c>
      <c r="Q301" s="45">
        <f>IF(COUNTIF('Premade Flavors'!$A:$A, $C301) &gt; 0,_xlfn.XLOOKUP($C301,'Premade Flavors'!$A:$A,'Premade Flavors'!Q:Q),[2]Sheet1!S301)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Flavors'!E:E),_xlfn.XLOOKUP("What's The First Flavor You Want? ",[1]Sheet1!$1:$1,[1]Sheet1!302:302))</f>
        <v>0</v>
      </c>
      <c r="G302" s="31">
        <f>IF(COUNTIF('Premade Flavors'!$A:$A, $C302) &gt; 0,_xlfn.XLOOKUP($C302,'Premade Flavors'!$A:$A,'Premade Flavors'!F:F),_xlfn.XLOOKUP("What's the Second Flavor You Want?",[1]Sheet1!$1:$1,[1]Sheet1!302:302))</f>
        <v>0</v>
      </c>
      <c r="H302" s="31">
        <f>IF(COUNTIF('Premade Flavors'!$A:$A, $C302) &gt; 0,_xlfn.XLOOKUP($C302,'Premade Flavors'!$A:$A,'Premade Flavors'!G:G),_xlfn.XLOOKUP("What's The First Mix In That You Want? ",[1]Sheet1!$1:$1,[1]Sheet1!302:302))</f>
        <v>0</v>
      </c>
      <c r="I302" s="31">
        <f>IF(COUNTIF('Premade Flavors'!$A:$A, $C300) &gt; 0,_xlfn.XLOOKUP($C300,'Premade Flavors'!$A:$A,'Premade Flavors'!H:H),IF([2]Sheet1!W300=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Flavors'!I:I),"Stevia"),_xlfn.XLOOKUP("What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Flavors'!M:M),_xlfn.XLOOKUP("How Strong Do You Want The First Flavor?",[1]Sheet1!$1:$1,[1]Sheet1!302:302))</f>
        <v>0</v>
      </c>
      <c r="N302" s="45">
        <f>IF(COUNTIF('Premade Flavors'!$A:$A, $C302) &gt; 0,_xlfn.XLOOKUP($C302,'Premade Flavors'!$A:$A,'Premade Flavors'!N:N),_xlfn.XLOOKUP("How Strong Do You Want The Second Flavor?",[1]Sheet1!$1:$1,[1]Sheet1!302:302))</f>
        <v>0</v>
      </c>
      <c r="O302" s="45">
        <f>IF(COUNTIF('Premade Flavors'!$A:$A, $C302) &gt; 0,_xlfn.XLOOKUP($C302,'Premade Flavors'!$A:$A,'Premade Flavors'!O:O),_xlfn.XLOOKUP("How Dense Should the Mix Ins Be?",[1]Sheet1!$1:$1,[1]Sheet1!302:302))</f>
        <v>0</v>
      </c>
      <c r="P302" s="45">
        <f>IF(COUNTIF('Premade Flavors'!$A:$A, $C302) &gt; 0,_xlfn.XLOOKUP($C302,'Premade Flavors'!$A:$A,'Premade Flavors'!P:P),_xlfn.XLOOKUP("How Much Of The First Sweetner? ",[1]Sheet1!$1:$1,[1]Sheet1!302:302))</f>
        <v>0</v>
      </c>
      <c r="Q302" s="45">
        <f>IF(COUNTIF('Premade Flavors'!$A:$A, $C302) &gt; 0,_xlfn.XLOOKUP($C302,'Premade Flavors'!$A:$A,'Premade Flavors'!Q:Q),[2]Sheet1!S302)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Flavors'!E:E),_xlfn.XLOOKUP("What's The First Flavor You Want? ",[1]Sheet1!$1:$1,[1]Sheet1!303:303))</f>
        <v>0</v>
      </c>
      <c r="G303" s="31">
        <f>IF(COUNTIF('Premade Flavors'!$A:$A, $C303) &gt; 0,_xlfn.XLOOKUP($C303,'Premade Flavors'!$A:$A,'Premade Flavors'!F:F),_xlfn.XLOOKUP("What's the Second Flavor You Want?",[1]Sheet1!$1:$1,[1]Sheet1!303:303))</f>
        <v>0</v>
      </c>
      <c r="H303" s="31">
        <f>IF(COUNTIF('Premade Flavors'!$A:$A, $C303) &gt; 0,_xlfn.XLOOKUP($C303,'Premade Flavors'!$A:$A,'Premade Flavors'!G:G),_xlfn.XLOOKUP("What's The First Mix In That You Want? ",[1]Sheet1!$1:$1,[1]Sheet1!303:303))</f>
        <v>0</v>
      </c>
      <c r="I303" s="31">
        <f>IF(COUNTIF('Premade Flavors'!$A:$A, $C301) &gt; 0,_xlfn.XLOOKUP($C301,'Premade Flavors'!$A:$A,'Premade Flavors'!H:H),IF([2]Sheet1!W301=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Flavors'!I:I),"Stevia"),_xlfn.XLOOKUP("What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Flavors'!M:M),_xlfn.XLOOKUP("How Strong Do You Want The First Flavor?",[1]Sheet1!$1:$1,[1]Sheet1!303:303))</f>
        <v>0</v>
      </c>
      <c r="N303" s="45">
        <f>IF(COUNTIF('Premade Flavors'!$A:$A, $C303) &gt; 0,_xlfn.XLOOKUP($C303,'Premade Flavors'!$A:$A,'Premade Flavors'!N:N),_xlfn.XLOOKUP("How Strong Do You Want The Second Flavor?",[1]Sheet1!$1:$1,[1]Sheet1!303:303))</f>
        <v>0</v>
      </c>
      <c r="O303" s="45">
        <f>IF(COUNTIF('Premade Flavors'!$A:$A, $C303) &gt; 0,_xlfn.XLOOKUP($C303,'Premade Flavors'!$A:$A,'Premade Flavors'!O:O),_xlfn.XLOOKUP("How Dense Should the Mix Ins Be?",[1]Sheet1!$1:$1,[1]Sheet1!303:303))</f>
        <v>0</v>
      </c>
      <c r="P303" s="45">
        <f>IF(COUNTIF('Premade Flavors'!$A:$A, $C303) &gt; 0,_xlfn.XLOOKUP($C303,'Premade Flavors'!$A:$A,'Premade Flavors'!P:P),_xlfn.XLOOKUP("How Much Of The First Sweetner? ",[1]Sheet1!$1:$1,[1]Sheet1!303:303))</f>
        <v>0</v>
      </c>
      <c r="Q303" s="45">
        <f>IF(COUNTIF('Premade Flavors'!$A:$A, $C303) &gt; 0,_xlfn.XLOOKUP($C303,'Premade Flavors'!$A:$A,'Premade Flavors'!Q:Q),[2]Sheet1!S303)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Flavors'!E:E),_xlfn.XLOOKUP("What's The First Flavor You Want? ",[1]Sheet1!$1:$1,[1]Sheet1!304:304))</f>
        <v>0</v>
      </c>
      <c r="G304" s="31">
        <f>IF(COUNTIF('Premade Flavors'!$A:$A, $C304) &gt; 0,_xlfn.XLOOKUP($C304,'Premade Flavors'!$A:$A,'Premade Flavors'!F:F),_xlfn.XLOOKUP("What's the Second Flavor You Want?",[1]Sheet1!$1:$1,[1]Sheet1!304:304))</f>
        <v>0</v>
      </c>
      <c r="H304" s="31">
        <f>IF(COUNTIF('Premade Flavors'!$A:$A, $C304) &gt; 0,_xlfn.XLOOKUP($C304,'Premade Flavors'!$A:$A,'Premade Flavors'!G:G),_xlfn.XLOOKUP("What's The First Mix In That You Want? ",[1]Sheet1!$1:$1,[1]Sheet1!304:304))</f>
        <v>0</v>
      </c>
      <c r="I304" s="31">
        <f>IF(COUNTIF('Premade Flavors'!$A:$A, $C302) &gt; 0,_xlfn.XLOOKUP($C302,'Premade Flavors'!$A:$A,'Premade Flavors'!H:H),IF([2]Sheet1!W302=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Flavors'!I:I),"Stevia"),_xlfn.XLOOKUP("What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Flavors'!M:M),_xlfn.XLOOKUP("How Strong Do You Want The First Flavor?",[1]Sheet1!$1:$1,[1]Sheet1!304:304))</f>
        <v>0</v>
      </c>
      <c r="N304" s="45">
        <f>IF(COUNTIF('Premade Flavors'!$A:$A, $C304) &gt; 0,_xlfn.XLOOKUP($C304,'Premade Flavors'!$A:$A,'Premade Flavors'!N:N),_xlfn.XLOOKUP("How Strong Do You Want The Second Flavor?",[1]Sheet1!$1:$1,[1]Sheet1!304:304))</f>
        <v>0</v>
      </c>
      <c r="O304" s="45">
        <f>IF(COUNTIF('Premade Flavors'!$A:$A, $C304) &gt; 0,_xlfn.XLOOKUP($C304,'Premade Flavors'!$A:$A,'Premade Flavors'!O:O),_xlfn.XLOOKUP("How Dense Should the Mix Ins Be?",[1]Sheet1!$1:$1,[1]Sheet1!304:304))</f>
        <v>0</v>
      </c>
      <c r="P304" s="45">
        <f>IF(COUNTIF('Premade Flavors'!$A:$A, $C304) &gt; 0,_xlfn.XLOOKUP($C304,'Premade Flavors'!$A:$A,'Premade Flavors'!P:P),_xlfn.XLOOKUP("How Much Of The First Sweetner? ",[1]Sheet1!$1:$1,[1]Sheet1!304:304))</f>
        <v>0</v>
      </c>
      <c r="Q304" s="45">
        <f>IF(COUNTIF('Premade Flavors'!$A:$A, $C304) &gt; 0,_xlfn.XLOOKUP($C304,'Premade Flavors'!$A:$A,'Premade Flavors'!Q:Q),[2]Sheet1!S304)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Flavors'!E:E),_xlfn.XLOOKUP("What's The First Flavor You Want? ",[1]Sheet1!$1:$1,[1]Sheet1!305:305))</f>
        <v>0</v>
      </c>
      <c r="G305" s="31">
        <f>IF(COUNTIF('Premade Flavors'!$A:$A, $C305) &gt; 0,_xlfn.XLOOKUP($C305,'Premade Flavors'!$A:$A,'Premade Flavors'!F:F),_xlfn.XLOOKUP("What's the Second Flavor You Want?",[1]Sheet1!$1:$1,[1]Sheet1!305:305))</f>
        <v>0</v>
      </c>
      <c r="H305" s="31">
        <f>IF(COUNTIF('Premade Flavors'!$A:$A, $C305) &gt; 0,_xlfn.XLOOKUP($C305,'Premade Flavors'!$A:$A,'Premade Flavors'!G:G),_xlfn.XLOOKUP("What's The First Mix In That You Want? ",[1]Sheet1!$1:$1,[1]Sheet1!305:305))</f>
        <v>0</v>
      </c>
      <c r="I305" s="31">
        <f>IF(COUNTIF('Premade Flavors'!$A:$A, $C303) &gt; 0,_xlfn.XLOOKUP($C303,'Premade Flavors'!$A:$A,'Premade Flavors'!H:H),IF([2]Sheet1!W303=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Flavors'!I:I),"Stevia"),_xlfn.XLOOKUP("What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Flavors'!M:M),_xlfn.XLOOKUP("How Strong Do You Want The First Flavor?",[1]Sheet1!$1:$1,[1]Sheet1!305:305))</f>
        <v>0</v>
      </c>
      <c r="N305" s="45">
        <f>IF(COUNTIF('Premade Flavors'!$A:$A, $C305) &gt; 0,_xlfn.XLOOKUP($C305,'Premade Flavors'!$A:$A,'Premade Flavors'!N:N),_xlfn.XLOOKUP("How Strong Do You Want The Second Flavor?",[1]Sheet1!$1:$1,[1]Sheet1!305:305))</f>
        <v>0</v>
      </c>
      <c r="O305" s="45">
        <f>IF(COUNTIF('Premade Flavors'!$A:$A, $C305) &gt; 0,_xlfn.XLOOKUP($C305,'Premade Flavors'!$A:$A,'Premade Flavors'!O:O),_xlfn.XLOOKUP("How Dense Should the Mix Ins Be?",[1]Sheet1!$1:$1,[1]Sheet1!305:305))</f>
        <v>0</v>
      </c>
      <c r="P305" s="45">
        <f>IF(COUNTIF('Premade Flavors'!$A:$A, $C305) &gt; 0,_xlfn.XLOOKUP($C305,'Premade Flavors'!$A:$A,'Premade Flavors'!P:P),_xlfn.XLOOKUP("How Much Of The First Sweetner? ",[1]Sheet1!$1:$1,[1]Sheet1!305:305))</f>
        <v>0</v>
      </c>
      <c r="Q305" s="45">
        <f>IF(COUNTIF('Premade Flavors'!$A:$A, $C305) &gt; 0,_xlfn.XLOOKUP($C305,'Premade Flavors'!$A:$A,'Premade Flavors'!Q:Q),[2]Sheet1!S305)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F49:F305 J2:L305 D2:E305 F2:F45</xm:sqref>
        </x14:dataValidation>
        <x14:dataValidation type="list" allowBlank="1" showInputMessage="1" xr:uid="{9FD9C447-8D93-4A12-9453-B283B7F11C33}">
          <x14:formula1>
            <xm:f>Specs!$D:$D</xm:f>
          </x14:formula1>
          <xm:sqref>N2:N305 M1:M1048576 O49:P305 O2:Q45</xm:sqref>
        </x14:dataValidation>
        <x14:dataValidation type="list" allowBlank="1" showInputMessage="1" xr:uid="{BF122E81-65F9-461C-A67D-E81AADF97C62}">
          <x14:formula1>
            <xm:f>Specs!$H:$H</xm:f>
          </x14:formula1>
          <xm:sqref>O306:O1048576 O1 O46:O48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xr:uid="{5DCC5746-3251-4232-8F71-097950DDBC8E}">
          <x14:formula1>
            <xm:f>'Liquid Mix In Nutrition'!$A:$A</xm:f>
          </x14:formula1>
          <xm:sqref>F306:F1048576 F1 F46:F48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P306:P1048576 P1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O52"/>
  <sheetViews>
    <sheetView zoomScale="92" zoomScaleNormal="80" workbookViewId="0">
      <selection activeCell="B1" sqref="B1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6" width="31.28515625" style="1" bestFit="1" customWidth="1"/>
    <col min="7" max="7" width="41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3" width="29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0" width="23.140625" customWidth="1"/>
    <col min="21" max="23" width="23.7109375" bestFit="1" customWidth="1"/>
    <col min="24" max="25" width="21.28515625" bestFit="1" customWidth="1"/>
    <col min="26" max="27" width="24.140625" bestFit="1" customWidth="1"/>
    <col min="28" max="29" width="24.140625" customWidth="1"/>
    <col min="30" max="31" width="18.7109375" bestFit="1" customWidth="1"/>
    <col min="32" max="32" width="20.28515625" bestFit="1" customWidth="1"/>
    <col min="33" max="34" width="22.28515625" customWidth="1"/>
    <col min="35" max="35" width="18.710937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t="s">
        <v>11</v>
      </c>
      <c r="B1" s="1" t="s">
        <v>12</v>
      </c>
      <c r="C1" s="1" t="s">
        <v>13</v>
      </c>
      <c r="D1" s="1" t="s">
        <v>883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  <c r="K1" s="2" t="s">
        <v>20</v>
      </c>
      <c r="L1" s="2" t="s">
        <v>881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868</v>
      </c>
      <c r="R1" s="3" t="s">
        <v>26</v>
      </c>
      <c r="S1" s="3" t="s">
        <v>27</v>
      </c>
      <c r="T1" s="3" t="s">
        <v>313</v>
      </c>
      <c r="U1" s="3" t="s">
        <v>882</v>
      </c>
      <c r="V1" s="3" t="s">
        <v>28</v>
      </c>
      <c r="W1" s="3" t="s">
        <v>29</v>
      </c>
      <c r="X1" s="3" t="s">
        <v>30</v>
      </c>
      <c r="Y1" s="3" t="s">
        <v>31</v>
      </c>
      <c r="Z1" s="3" t="s">
        <v>32</v>
      </c>
      <c r="AA1" s="3" t="s">
        <v>33</v>
      </c>
      <c r="AB1" s="3" t="s">
        <v>34</v>
      </c>
      <c r="AC1" s="3" t="s">
        <v>35</v>
      </c>
      <c r="AD1" s="1" t="s">
        <v>36</v>
      </c>
      <c r="AE1" s="1" t="s">
        <v>37</v>
      </c>
      <c r="AF1" s="1" t="s">
        <v>38</v>
      </c>
      <c r="AG1" s="1" t="s">
        <v>39</v>
      </c>
      <c r="AH1" s="1" t="s">
        <v>40</v>
      </c>
      <c r="AI1" s="1" t="s">
        <v>787</v>
      </c>
      <c r="AJ1" s="1" t="s">
        <v>41</v>
      </c>
      <c r="AK1" s="1" t="s">
        <v>187</v>
      </c>
      <c r="AL1" s="1" t="s">
        <v>188</v>
      </c>
      <c r="AM1" s="1" t="s">
        <v>42</v>
      </c>
      <c r="AN1" s="1" t="s">
        <v>172</v>
      </c>
    </row>
    <row r="2" spans="1:40" x14ac:dyDescent="0.25">
      <c r="A2" s="26" t="s">
        <v>846</v>
      </c>
      <c r="K2" s="2"/>
      <c r="L2" s="2"/>
      <c r="M2" s="2"/>
      <c r="N2" s="2"/>
      <c r="O2" s="2"/>
      <c r="P2" s="2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 t="s">
        <v>252</v>
      </c>
      <c r="B3" s="1" t="s">
        <v>62</v>
      </c>
      <c r="C3" s="1" t="s">
        <v>65</v>
      </c>
      <c r="E3" s="1" t="s">
        <v>0</v>
      </c>
      <c r="F3" s="1" t="s">
        <v>5</v>
      </c>
      <c r="G3" s="1" t="s">
        <v>249</v>
      </c>
      <c r="H3" s="1" t="s">
        <v>234</v>
      </c>
      <c r="I3" s="1" t="s">
        <v>1</v>
      </c>
      <c r="K3" t="s">
        <v>4</v>
      </c>
      <c r="M3" t="s">
        <v>450</v>
      </c>
      <c r="N3" t="s">
        <v>451</v>
      </c>
      <c r="O3" t="s">
        <v>156</v>
      </c>
      <c r="P3" t="s">
        <v>448</v>
      </c>
      <c r="R3" cm="1">
        <f t="array" aca="1" ref="R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_xlpm.Result,(_xlpm.IceCreamAmount-_xlpm.ThickenerAmount-_xlpm.LiquidMix1Amount-_xlpm.LiquidMix2Amount-((_xlpm.SolidMix1Amount/_xlpm.SolidMix1Factor)*240)-((_xlpm.SolidMix2Amount/_xlpm.SolidMix2Factor)*240))*0.66,
_xlpm.Result
)</f>
        <v>189.58500000000001</v>
      </c>
      <c r="S3" cm="1">
        <f t="array" aca="1" ref="S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_xlpm.Result,(_xlpm.IceCreamAmount-_xlpm.ThickenerAmount-_xlpm.LiquidMix1Amount-_xlpm.LiquidMix2Amount-((_xlpm.SolidMix1Amount/_xlpm.SolidMix1Factor)*240)-((_xlpm.SolidMix2Amount/_xlpm.SolidMix2Factor)*240))*0.33,
_xlpm.Result)</f>
        <v>94.792500000000004</v>
      </c>
      <c r="T3">
        <f ca="1">R3+S3</f>
        <v>284.3775</v>
      </c>
      <c r="U3" cm="1">
        <f t="array" aca="1" ref="U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" cm="1">
        <f t="array" aca="1" ref="V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" cm="1">
        <f t="array" aca="1" ref="W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" cm="1">
        <f t="array" aca="1" ref="X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Y3" cm="1">
        <f t="array" aca="1" ref="Y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Z3" cm="1">
        <f t="array" aca="1" ref="Z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" cm="1">
        <f t="array" aca="1" ref="AA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" s="4" cm="1">
        <f t="array" aca="1" ref="AB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" s="5" cm="1">
        <f t="array" aca="1" ref="AC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" s="6" cm="1">
        <f t="array" aca="1" ref="AD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1451.3453982359497</v>
      </c>
      <c r="AE3" s="6" cm="1">
        <f t="array" aca="1" ref="AE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59.600447512424175</v>
      </c>
      <c r="AF3" s="6" cm="1">
        <f t="array" aca="1" ref="AF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42.159750000000003</v>
      </c>
      <c r="AG3" s="7" cm="1">
        <f t="array" aca="1" ref="AG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121.13040769111305</v>
      </c>
      <c r="AH3" s="8" cm="1">
        <f t="array" aca="1" ref="AH3" ca="1">$AG3 / (_xlfn.XLOOKUP(ValueFromColumnName("Ice Cream Amount",ROW()),Specs!A:A,Specs!B:B,0))</f>
        <v>0.25608965685224744</v>
      </c>
      <c r="AI3" s="6" cm="1">
        <f t="array" aca="1" ref="AI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17.440697512424173</v>
      </c>
      <c r="AJ3" s="7" cm="1">
        <f t="array" aca="1" ref="AJ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K3" s="7" cm="1">
        <f t="array" aca="1" ref="AK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L3" s="7" cm="1">
        <f t="array" aca="1" ref="AL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M3" s="9" cm="1">
        <f t="array" aca="1" ref="AM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2.8261235118971726</v>
      </c>
      <c r="AN3" s="10" t="e" cm="1">
        <f t="array" ref="AN3">ROUNDUP((ValueFromColumnName("Cost",ROW())+Specs!$Q$2+_xlfn.XLOOKUP(ValueFromColumnName("Ice Cream Amount",ROW()),Specs!A:A,Specs!V:V,0))*Specs!$N$2,0)</f>
        <v>#VALUE!</v>
      </c>
    </row>
    <row r="4" spans="1:40" x14ac:dyDescent="0.25">
      <c r="A4" t="s">
        <v>847</v>
      </c>
      <c r="B4" s="1" t="s">
        <v>62</v>
      </c>
      <c r="C4" s="1" t="s">
        <v>65</v>
      </c>
      <c r="E4" s="1" t="s">
        <v>0</v>
      </c>
      <c r="I4" s="1" t="s">
        <v>1</v>
      </c>
      <c r="J4" s="1" t="s">
        <v>2</v>
      </c>
      <c r="K4" t="s">
        <v>4</v>
      </c>
      <c r="M4" t="s">
        <v>450</v>
      </c>
      <c r="N4" t="s">
        <v>44</v>
      </c>
      <c r="P4" t="s">
        <v>158</v>
      </c>
      <c r="Q4" t="s">
        <v>448</v>
      </c>
      <c r="R4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4" cm="1">
        <f t="array" aca="1" ref="S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4">
        <f t="shared" ref="T4:T47" ca="1" si="0">R4+S4</f>
        <v>460.84500000000003</v>
      </c>
      <c r="U4" cm="1">
        <f t="array" aca="1" ref="U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" cm="1">
        <f t="array" aca="1" ref="V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4" cm="1">
        <f t="array" aca="1" ref="W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" cm="1">
        <f t="array" aca="1" ref="X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" cm="1">
        <f t="array" aca="1" ref="Y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" cm="1">
        <f t="array" aca="1" ref="Z4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4" cm="1">
        <f t="array" aca="1" ref="AA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AB4" s="4" cm="1">
        <f t="array" aca="1" ref="AB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4" s="5" cm="1">
        <f t="array" aca="1" ref="AC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4" s="6" cm="1">
        <f t="array" aca="1" ref="AD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1389.7950000000001</v>
      </c>
      <c r="AE4" s="6" cm="1">
        <f t="array" aca="1" ref="AE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F4" s="6" cm="1">
        <f t="array" aca="1" ref="AF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47.1205</v>
      </c>
      <c r="AG4" s="7" cm="1">
        <f t="array" aca="1" ref="AG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4" s="8" cm="1">
        <f t="array" aca="1" ref="AH4" ca="1">$AG4 / (_xlfn.XLOOKUP(ValueFromColumnName("Ice Cream Amount",ROW()),Specs!A:A,Specs!B:B,0))</f>
        <v>0.29770348837209309</v>
      </c>
      <c r="AI4" s="6" cm="1">
        <f t="array" aca="1" ref="AI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" s="7" cm="1">
        <f t="array" aca="1" ref="AJ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K4" s="7" cm="1">
        <f t="array" aca="1" ref="AK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L4" s="7" cm="1">
        <f t="array" aca="1" ref="AL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4" s="9" cm="1">
        <f t="array" aca="1" ref="AM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N4" s="10">
        <f ca="1">ROUNDUP((AM4+Specs!$Q$2+_xlfn.XLOOKUP($K4,Specs!A:A,Specs!V:V,0))*Specs!$N$2,0)</f>
        <v>8</v>
      </c>
    </row>
    <row r="5" spans="1:40" x14ac:dyDescent="0.25">
      <c r="A5" s="49" t="s">
        <v>854</v>
      </c>
      <c r="B5" s="1" t="s">
        <v>62</v>
      </c>
      <c r="C5" s="1" t="s">
        <v>65</v>
      </c>
      <c r="E5" s="1" t="s">
        <v>864</v>
      </c>
      <c r="F5" s="1" t="s">
        <v>0</v>
      </c>
      <c r="G5" s="1" t="s">
        <v>3</v>
      </c>
      <c r="I5" s="1" t="s">
        <v>1</v>
      </c>
      <c r="K5" t="s">
        <v>340</v>
      </c>
      <c r="M5" t="s">
        <v>451</v>
      </c>
      <c r="N5" t="s">
        <v>450</v>
      </c>
      <c r="O5" t="s">
        <v>156</v>
      </c>
      <c r="P5" t="s">
        <v>448</v>
      </c>
      <c r="Q5" t="s">
        <v>44</v>
      </c>
      <c r="R5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S5" cm="1">
        <f t="array" aca="1" ref="S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T5">
        <f t="shared" ca="1" si="0"/>
        <v>1064.0025000000001</v>
      </c>
      <c r="U5" cm="1">
        <f t="array" aca="1" ref="U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5" cm="1">
        <f t="array" aca="1" ref="V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5" cm="1">
        <f t="array" aca="1" ref="W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5" cm="1">
        <f t="array" aca="1" ref="X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5" cm="1">
        <f t="array" aca="1" ref="Y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5" cm="1">
        <f t="array" aca="1" ref="Z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5" cm="1">
        <f t="array" aca="1" ref="AA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5" s="4" cm="1">
        <f t="array" aca="1" ref="AB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C5" s="5" cm="1">
        <f t="array" aca="1" ref="AC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5" s="6" cm="1">
        <f t="array" aca="1" ref="AD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4564.6047058823533</v>
      </c>
      <c r="AE5" s="6" cm="1">
        <f t="array" aca="1" ref="AE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309.65166176470586</v>
      </c>
      <c r="AF5" s="6" cm="1">
        <f t="array" aca="1" ref="AF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235.82225</v>
      </c>
      <c r="AG5" s="7" cm="1">
        <f t="array" aca="1" ref="AG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362.02658088235302</v>
      </c>
      <c r="AH5" s="8" cm="1">
        <f t="array" aca="1" ref="AH5" ca="1">$AG5 / (_xlfn.XLOOKUP(ValueFromColumnName("Ice Cream Amount",ROW()),Specs!A:A,Specs!B:B,0))</f>
        <v>0.20191108805485389</v>
      </c>
      <c r="AI5" s="6" cm="1">
        <f t="array" aca="1" ref="AI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5" s="7" cm="1">
        <f t="array" aca="1" ref="AJ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K5" s="7" cm="1">
        <f t="array" aca="1" ref="AK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L5" s="7" cm="1">
        <f t="array" aca="1" ref="AL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M5" s="9" cm="1">
        <f t="array" aca="1" ref="AM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15.478883552305813</v>
      </c>
      <c r="AN5" s="10">
        <f ca="1">ROUNDUP((AM5+Specs!$Q$2+_xlfn.XLOOKUP($K5,Specs!A:A,Specs!V:V,0))*Specs!$N$2,0)</f>
        <v>36</v>
      </c>
    </row>
    <row r="6" spans="1:40" x14ac:dyDescent="0.25">
      <c r="A6" s="75" t="s">
        <v>723</v>
      </c>
      <c r="B6" s="1" t="s">
        <v>65</v>
      </c>
      <c r="C6" s="1" t="s">
        <v>273</v>
      </c>
      <c r="E6" s="1" t="s">
        <v>0</v>
      </c>
      <c r="F6" s="1" t="s">
        <v>775</v>
      </c>
      <c r="G6" s="1" t="s">
        <v>406</v>
      </c>
      <c r="K6" t="s">
        <v>4</v>
      </c>
      <c r="M6" t="s">
        <v>450</v>
      </c>
      <c r="N6" t="s">
        <v>451</v>
      </c>
      <c r="O6" t="s">
        <v>154</v>
      </c>
      <c r="P6" t="s">
        <v>44</v>
      </c>
      <c r="R6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S6" cm="1">
        <f t="array" aca="1" ref="S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T6">
        <f t="shared" ca="1" si="0"/>
        <v>331.20450000000005</v>
      </c>
      <c r="U6" cm="1">
        <f t="array" aca="1" ref="U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6" cm="1">
        <f t="array" aca="1" ref="V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6" cm="1">
        <f t="array" aca="1" ref="W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6" cm="1">
        <f t="array" aca="1" ref="X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Y6" cm="1">
        <f t="array" aca="1" ref="Y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6" cm="1">
        <f t="array" aca="1" ref="Z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0</v>
      </c>
      <c r="AA6" cm="1">
        <f t="array" aca="1" ref="AA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6" s="4" cm="1">
        <f t="array" aca="1" ref="AB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C6" s="5" cm="1">
        <f t="array" aca="1" ref="AC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6" s="6" cm="1">
        <f t="array" aca="1" ref="AD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1098.6794511278197</v>
      </c>
      <c r="AE6" s="6" cm="1">
        <f t="array" aca="1" ref="AE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65.025477819548868</v>
      </c>
      <c r="AF6" s="6" cm="1">
        <f t="array" aca="1" ref="AF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50.539852819548869</v>
      </c>
      <c r="AG6" s="7" cm="1">
        <f t="array" aca="1" ref="AG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68.489358928571434</v>
      </c>
      <c r="AH6" s="8" cm="1">
        <f t="array" aca="1" ref="AH6" ca="1">$AG6 / (_xlfn.XLOOKUP(ValueFromColumnName("Ice Cream Amount",ROW()),Specs!A:A,Specs!B:B,0))</f>
        <v>0.14479779900332226</v>
      </c>
      <c r="AI6" s="6" cm="1">
        <f t="array" aca="1" ref="AI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14.485625000000001</v>
      </c>
      <c r="AJ6" s="7" cm="1">
        <f t="array" aca="1" ref="AJ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K6" s="7" cm="1">
        <f t="array" aca="1" ref="AK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L6" s="7" cm="1">
        <f t="array" aca="1" ref="AL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M6" s="9" cm="1">
        <f t="array" aca="1" ref="AM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4.6110365493144059</v>
      </c>
      <c r="AN6" s="10">
        <f ca="1">ROUNDUP((AM6+Specs!$Q$2+_xlfn.XLOOKUP($K6,Specs!A:A,Specs!V:V,0))*Specs!$N$2,0)</f>
        <v>12</v>
      </c>
    </row>
    <row r="7" spans="1:40" x14ac:dyDescent="0.25">
      <c r="A7" s="52" t="s">
        <v>869</v>
      </c>
      <c r="B7" s="1" t="s">
        <v>62</v>
      </c>
      <c r="C7" s="1" t="s">
        <v>65</v>
      </c>
      <c r="E7" s="1" t="s">
        <v>0</v>
      </c>
      <c r="F7" s="1" t="s">
        <v>486</v>
      </c>
      <c r="G7" s="1" t="s">
        <v>406</v>
      </c>
      <c r="I7" s="1" t="s">
        <v>2</v>
      </c>
      <c r="K7" t="s">
        <v>4</v>
      </c>
      <c r="M7" t="s">
        <v>450</v>
      </c>
      <c r="N7" t="s">
        <v>451</v>
      </c>
      <c r="O7" t="s">
        <v>156</v>
      </c>
      <c r="P7" t="s">
        <v>448</v>
      </c>
      <c r="R7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7" cm="1">
        <f t="array" aca="1" ref="S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7">
        <f t="shared" ca="1" si="0"/>
        <v>284.3775</v>
      </c>
      <c r="U7" cm="1">
        <f t="array" aca="1" ref="U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7" cm="1">
        <f t="array" aca="1" ref="V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7" cm="1">
        <f t="array" aca="1" ref="W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7" cm="1">
        <f t="array" aca="1" ref="X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7" cm="1">
        <f t="array" aca="1" ref="Y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7" cm="1">
        <f t="array" aca="1" ref="Z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7" cm="1">
        <f t="array" aca="1" ref="AA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7" s="4" cm="1">
        <f t="array" aca="1" ref="AB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7" s="5" cm="1">
        <f t="array" aca="1" ref="AC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7" s="6" cm="1">
        <f t="array" aca="1" ref="AD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1465.8295833333334</v>
      </c>
      <c r="AE7" s="6" cm="1">
        <f t="array" aca="1" ref="AE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93.802458333333334</v>
      </c>
      <c r="AF7" s="6" cm="1">
        <f t="array" aca="1" ref="AF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69.659750000000003</v>
      </c>
      <c r="AG7" s="7" cm="1">
        <f t="array" aca="1" ref="AG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98.964479166666663</v>
      </c>
      <c r="AH7" s="8" cm="1">
        <f t="array" aca="1" ref="AH7" ca="1">$AG7 / (_xlfn.XLOOKUP(ValueFromColumnName("Ice Cream Amount",ROW()),Specs!A:A,Specs!B:B,0))</f>
        <v>0.20922722868217053</v>
      </c>
      <c r="AI7" s="6" cm="1">
        <f t="array" aca="1" ref="AI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7" s="7" cm="1">
        <f t="array" aca="1" ref="AJ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K7" s="7" cm="1">
        <f t="array" aca="1" ref="AK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L7" s="7" cm="1">
        <f t="array" aca="1" ref="AL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M7" s="9" cm="1">
        <f t="array" aca="1" ref="AM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3.7620324074746581</v>
      </c>
      <c r="AN7" s="10">
        <f ca="1">ROUNDUP((AM7+Specs!$Q$2+_xlfn.XLOOKUP($K7,Specs!A:A,Specs!V:V,0))*Specs!$N$2,0)</f>
        <v>11</v>
      </c>
    </row>
    <row r="8" spans="1:40" x14ac:dyDescent="0.25">
      <c r="A8" s="26"/>
      <c r="U8" t="e" cm="1">
        <f t="array" aca="1" ref="U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8" s="4"/>
      <c r="AC8" s="5"/>
      <c r="AD8" s="6" t="e" cm="1">
        <f t="array" aca="1" ref="AD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8" s="6" cm="1">
        <f t="array" aca="1" ref="AE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8" s="6" t="e" cm="1">
        <f t="array" aca="1" ref="AF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8" s="7" t="e" cm="1">
        <f t="array" aca="1" ref="AG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8" s="8"/>
      <c r="AI8" s="6" cm="1">
        <f t="array" aca="1" ref="AI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8" s="7"/>
      <c r="AK8" s="7"/>
      <c r="AL8" s="7"/>
      <c r="AM8" s="9"/>
      <c r="AN8" s="10"/>
    </row>
    <row r="9" spans="1:40" x14ac:dyDescent="0.25">
      <c r="A9" s="26" t="s">
        <v>843</v>
      </c>
      <c r="U9" t="e" cm="1">
        <f t="array" aca="1" ref="U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9" s="6" t="e" cm="1">
        <f t="array" aca="1" ref="AD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9" s="6" cm="1">
        <f t="array" aca="1" ref="AE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9" s="6" t="e" cm="1">
        <f t="array" aca="1" ref="AF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9" s="7" t="e" cm="1">
        <f t="array" aca="1" ref="AG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9" s="6" cm="1">
        <f t="array" aca="1" ref="AI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10" spans="1:40" x14ac:dyDescent="0.25">
      <c r="A10" t="s">
        <v>358</v>
      </c>
      <c r="B10" s="1" t="s">
        <v>62</v>
      </c>
      <c r="C10" s="1" t="s">
        <v>65</v>
      </c>
      <c r="E10" s="1" t="s">
        <v>0</v>
      </c>
      <c r="I10" s="1" t="s">
        <v>1</v>
      </c>
      <c r="K10" t="s">
        <v>4</v>
      </c>
      <c r="M10" t="s">
        <v>450</v>
      </c>
      <c r="N10" t="s">
        <v>44</v>
      </c>
      <c r="P10" t="s">
        <v>173</v>
      </c>
      <c r="R1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10" cm="1">
        <f t="array" aca="1" ref="S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10">
        <f t="shared" ca="1" si="0"/>
        <v>460.84500000000003</v>
      </c>
      <c r="U10" cm="1">
        <f t="array" aca="1" ref="U1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0" cm="1">
        <f t="array" aca="1" ref="V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0" cm="1">
        <f t="array" aca="1" ref="W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0" cm="1">
        <f t="array" aca="1" ref="X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0" cm="1">
        <f t="array" aca="1" ref="Y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0" cm="1">
        <f t="array" aca="1" ref="Z1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0" cm="1">
        <f t="array" aca="1" ref="AA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0" s="4" cm="1">
        <f t="array" aca="1" ref="AB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10" s="5" cm="1">
        <f t="array" aca="1" ref="AC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0" s="6" cm="1">
        <f t="array" aca="1" ref="AD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1444.92</v>
      </c>
      <c r="AE10" s="6" cm="1">
        <f t="array" aca="1" ref="AE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F10" s="6" cm="1">
        <f t="array" aca="1" ref="AF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59.6205</v>
      </c>
      <c r="AG10" s="7" cm="1">
        <f t="array" aca="1" ref="AG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10" s="8" cm="1">
        <f t="array" aca="1" ref="AH10" ca="1">$AG10 / (_xlfn.XLOOKUP(ValueFromColumnName("Ice Cream Amount",ROW()),Specs!A:A,Specs!B:B,0))</f>
        <v>0.29770348837209309</v>
      </c>
      <c r="AI10" s="6" cm="1">
        <f t="array" aca="1" ref="AI1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0" s="7" cm="1">
        <f t="array" aca="1" ref="AJ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K10" s="7" cm="1">
        <f t="array" aca="1" ref="AK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L10" s="7" cm="1">
        <f t="array" aca="1" ref="AL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10" s="9" cm="1">
        <f t="array" aca="1" ref="AM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N10" s="10">
        <f ca="1">ROUNDUP((AM10+Specs!$Q$2+_xlfn.XLOOKUP($K10,Specs!A:A,Specs!V:V,0))*Specs!$N$2,0)</f>
        <v>7</v>
      </c>
    </row>
    <row r="11" spans="1:40" x14ac:dyDescent="0.25">
      <c r="A11" t="s">
        <v>148</v>
      </c>
      <c r="B11" s="1" t="s">
        <v>62</v>
      </c>
      <c r="C11" s="1" t="s">
        <v>65</v>
      </c>
      <c r="D11" s="1" t="s">
        <v>96</v>
      </c>
      <c r="E11" s="1" t="s">
        <v>0</v>
      </c>
      <c r="I11" s="1" t="s">
        <v>1</v>
      </c>
      <c r="K11" t="s">
        <v>340</v>
      </c>
      <c r="L11" t="s">
        <v>452</v>
      </c>
      <c r="M11" t="s">
        <v>46</v>
      </c>
      <c r="P11" t="s">
        <v>173</v>
      </c>
      <c r="R11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1" cm="1">
        <f t="array" aca="1" ref="S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1">
        <f t="shared" ca="1" si="0"/>
        <v>1715.67</v>
      </c>
      <c r="U11" cm="1">
        <f t="array" aca="1" ref="U1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180</v>
      </c>
      <c r="V11" cm="1">
        <f t="array" aca="1" ref="V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1" cm="1">
        <f t="array" aca="1" ref="W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1" cm="1">
        <f t="array" aca="1" ref="X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1" cm="1">
        <f t="array" aca="1" ref="Y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1" cm="1">
        <f t="array" aca="1" ref="Z11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1" cm="1">
        <f t="array" aca="1" ref="AA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1" s="4" cm="1">
        <f t="array" aca="1" ref="AB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1" s="5" cm="1">
        <f t="array" aca="1" ref="AC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1" s="6" cm="1">
        <f t="array" aca="1" ref="AD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6189.12</v>
      </c>
      <c r="AE11" s="6" cm="1">
        <f t="array" aca="1" ref="AE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F11" s="6" cm="1">
        <f t="array" aca="1" ref="AF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256.26299999999998</v>
      </c>
      <c r="AG11" s="7" cm="1">
        <f t="array" aca="1" ref="AG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578.35249999999996</v>
      </c>
      <c r="AH11" s="8" cm="1">
        <f t="array" aca="1" ref="AH11" ca="1">$AG11 / (_xlfn.XLOOKUP(ValueFromColumnName("Ice Cream Amount",ROW()),Specs!A:A,Specs!B:B,0))</f>
        <v>0.32256134969325151</v>
      </c>
      <c r="AI11" s="6" cm="1">
        <f t="array" aca="1" ref="AI1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1" s="7" cm="1">
        <f t="array" aca="1" ref="AJ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K11" s="7" cm="1">
        <f t="array" aca="1" ref="AK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L11" s="7" cm="1">
        <f t="array" aca="1" ref="AL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M11" s="9" cm="1">
        <f t="array" aca="1" ref="AM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N11" s="10">
        <f ca="1">ROUNDUP((AM11+Specs!$Q$2+_xlfn.XLOOKUP($K11,Specs!A:A,Specs!V:V,0))*Specs!$N$2,0)</f>
        <v>25</v>
      </c>
    </row>
    <row r="12" spans="1:40" x14ac:dyDescent="0.25">
      <c r="A12" t="s">
        <v>426</v>
      </c>
      <c r="B12" s="1" t="s">
        <v>62</v>
      </c>
      <c r="C12" s="1" t="s">
        <v>65</v>
      </c>
      <c r="E12" s="1" t="s">
        <v>248</v>
      </c>
      <c r="I12" s="1" t="s">
        <v>1</v>
      </c>
      <c r="K12" t="s">
        <v>340</v>
      </c>
      <c r="M12" t="s">
        <v>46</v>
      </c>
      <c r="N12" t="s">
        <v>44</v>
      </c>
      <c r="P12" t="s">
        <v>173</v>
      </c>
      <c r="R12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2" cm="1">
        <f t="array" aca="1" ref="S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2">
        <f t="shared" ca="1" si="0"/>
        <v>1715.67</v>
      </c>
      <c r="U12" cm="1">
        <f t="array" aca="1" ref="U1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2" cm="1">
        <f t="array" aca="1" ref="V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2" cm="1">
        <f t="array" aca="1" ref="W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2" cm="1">
        <f t="array" aca="1" ref="X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2" cm="1">
        <f t="array" aca="1" ref="Y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2" cm="1">
        <f t="array" aca="1" ref="Z1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2" cm="1">
        <f t="array" aca="1" ref="AA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2" s="4" cm="1">
        <f t="array" aca="1" ref="AB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2" s="5" cm="1">
        <f t="array" aca="1" ref="AC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2" s="6" cm="1">
        <f t="array" aca="1" ref="AD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5477.6914285714283</v>
      </c>
      <c r="AE12" s="6" cm="1">
        <f t="array" aca="1" ref="AE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F12" s="6" cm="1">
        <f t="array" aca="1" ref="AF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219.06299999999999</v>
      </c>
      <c r="AG12" s="7" cm="1">
        <f t="array" aca="1" ref="AG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532.80392857142851</v>
      </c>
      <c r="AH12" s="8" cm="1">
        <f t="array" aca="1" ref="AH12" ca="1">$AG12 / (_xlfn.XLOOKUP(ValueFromColumnName("Ice Cream Amount",ROW()),Specs!A:A,Specs!B:B,0))</f>
        <v>0.29715779619153848</v>
      </c>
      <c r="AI12" s="6" cm="1">
        <f t="array" aca="1" ref="AI1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2" s="7" cm="1">
        <f t="array" aca="1" ref="AJ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K12" s="7" cm="1">
        <f t="array" aca="1" ref="AK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L12" s="7" cm="1">
        <f t="array" aca="1" ref="AL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M12" s="9" cm="1">
        <f t="array" aca="1" ref="AM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N12" s="10">
        <f ca="1">ROUNDUP((AM12+Specs!$Q$2+_xlfn.XLOOKUP($K12,Specs!A:A,Specs!V:V,0))*Specs!$N$2,0)</f>
        <v>24</v>
      </c>
    </row>
    <row r="13" spans="1:40" x14ac:dyDescent="0.25">
      <c r="A13" t="s">
        <v>237</v>
      </c>
      <c r="B13" s="1" t="s">
        <v>62</v>
      </c>
      <c r="C13" s="1" t="s">
        <v>65</v>
      </c>
      <c r="E13" s="1" t="s">
        <v>0</v>
      </c>
      <c r="F13" s="1" t="s">
        <v>102</v>
      </c>
      <c r="G13" s="1" t="s">
        <v>102</v>
      </c>
      <c r="I13" s="1" t="s">
        <v>1</v>
      </c>
      <c r="K13" t="s">
        <v>43</v>
      </c>
      <c r="M13" t="s">
        <v>450</v>
      </c>
      <c r="N13" t="s">
        <v>48</v>
      </c>
      <c r="O13" t="s">
        <v>154</v>
      </c>
      <c r="P13" t="s">
        <v>173</v>
      </c>
      <c r="R13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S13" cm="1">
        <f t="array" aca="1" ref="S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T13">
        <f t="shared" ca="1" si="0"/>
        <v>603.00900000000001</v>
      </c>
      <c r="U13" cm="1">
        <f t="array" aca="1" ref="U1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3" cm="1">
        <f t="array" aca="1" ref="V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3" cm="1">
        <f t="array" aca="1" ref="W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X13" cm="1">
        <f t="array" aca="1" ref="X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Y13" cm="1">
        <f t="array" aca="1" ref="Y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3" cm="1">
        <f t="array" aca="1" ref="Z1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13" cm="1">
        <f t="array" aca="1" ref="AA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3" s="4" cm="1">
        <f t="array" aca="1" ref="AB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C13" s="5" cm="1">
        <f t="array" aca="1" ref="AC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3" s="6" cm="1">
        <f t="array" aca="1" ref="AD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2129.6493055555557</v>
      </c>
      <c r="AE13" s="6" cm="1">
        <f t="array" aca="1" ref="AE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129.22115902777779</v>
      </c>
      <c r="AF13" s="6" cm="1">
        <f t="array" aca="1" ref="AF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124.45009999999999</v>
      </c>
      <c r="AG13" s="7" cm="1">
        <f t="array" aca="1" ref="AG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185.02538194444449</v>
      </c>
      <c r="AH13" s="8" cm="1">
        <f t="array" aca="1" ref="AH13" ca="1">$AG13 / (_xlfn.XLOOKUP(ValueFromColumnName("Ice Cream Amount",ROW()),Specs!A:A,Specs!B:B,0))</f>
        <v>0.19558708450786944</v>
      </c>
      <c r="AI13" s="6" cm="1">
        <f t="array" aca="1" ref="AI1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4.7710590277777776</v>
      </c>
      <c r="AJ13" s="7" cm="1">
        <f t="array" aca="1" ref="AJ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K13" s="7" cm="1">
        <f t="array" aca="1" ref="AK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L13" s="7" cm="1">
        <f t="array" aca="1" ref="AL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M13" s="9" cm="1">
        <f t="array" aca="1" ref="AM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4.0807554708256077</v>
      </c>
      <c r="AN13" s="10">
        <f ca="1">ROUNDUP((AM13+Specs!$Q$2+_xlfn.XLOOKUP($K13,Specs!A:A,Specs!V:V,0))*Specs!$N$2,0)</f>
        <v>12</v>
      </c>
    </row>
    <row r="14" spans="1:40" x14ac:dyDescent="0.25">
      <c r="A14" t="s">
        <v>508</v>
      </c>
      <c r="B14" s="1" t="s">
        <v>62</v>
      </c>
      <c r="C14" s="1" t="s">
        <v>65</v>
      </c>
      <c r="E14" s="1" t="s">
        <v>0</v>
      </c>
      <c r="G14" s="1" t="s">
        <v>3</v>
      </c>
      <c r="I14" s="1" t="s">
        <v>1</v>
      </c>
      <c r="K14" t="s">
        <v>4</v>
      </c>
      <c r="M14" t="s">
        <v>450</v>
      </c>
      <c r="O14" t="s">
        <v>156</v>
      </c>
      <c r="P14" t="s">
        <v>173</v>
      </c>
      <c r="R14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4" cm="1">
        <f t="array" aca="1" ref="S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4">
        <f t="shared" ca="1" si="0"/>
        <v>343.77750000000003</v>
      </c>
      <c r="U14" cm="1">
        <f t="array" aca="1" ref="U1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4" cm="1">
        <f t="array" aca="1" ref="V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4" cm="1">
        <f t="array" aca="1" ref="W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4" cm="1">
        <f t="array" aca="1" ref="X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14" cm="1">
        <f t="array" aca="1" ref="Y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4" cm="1">
        <f t="array" aca="1" ref="Z14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4" cm="1">
        <f t="array" aca="1" ref="AA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4" s="4" cm="1">
        <f t="array" aca="1" ref="AB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4" s="5" cm="1">
        <f t="array" aca="1" ref="AC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4" s="6" cm="1">
        <f t="array" aca="1" ref="AD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1355.3282352941178</v>
      </c>
      <c r="AE14" s="6" cm="1">
        <f t="array" aca="1" ref="AE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77.796220588235286</v>
      </c>
      <c r="AF14" s="6" cm="1">
        <f t="array" aca="1" ref="AF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58.319749999999999</v>
      </c>
      <c r="AG14" s="7" cm="1">
        <f t="array" aca="1" ref="AG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114.78136029411765</v>
      </c>
      <c r="AH14" s="8" cm="1">
        <f t="array" aca="1" ref="AH14" ca="1">$AG14 / (_xlfn.XLOOKUP(ValueFromColumnName("Ice Cream Amount",ROW()),Specs!A:A,Specs!B:B,0))</f>
        <v>0.24266672366621067</v>
      </c>
      <c r="AI14" s="6" cm="1">
        <f t="array" aca="1" ref="AI1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14" s="7" cm="1">
        <f t="array" aca="1" ref="AJ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K14" s="7" cm="1">
        <f t="array" aca="1" ref="AK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L14" s="7" cm="1">
        <f t="array" aca="1" ref="AL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M14" s="9" cm="1">
        <f t="array" aca="1" ref="AM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2.1558988802929879</v>
      </c>
      <c r="AN14" s="10">
        <f ca="1">ROUNDUP((AM14+Specs!$Q$2+_xlfn.XLOOKUP($K14,Specs!A:A,Specs!V:V,0))*Specs!$N$2,0)</f>
        <v>7</v>
      </c>
    </row>
    <row r="15" spans="1:40" x14ac:dyDescent="0.25">
      <c r="A15" t="s">
        <v>844</v>
      </c>
      <c r="B15" s="1" t="s">
        <v>62</v>
      </c>
      <c r="C15" s="1" t="s">
        <v>65</v>
      </c>
      <c r="E15" s="1" t="s">
        <v>98</v>
      </c>
      <c r="G15" s="1" t="s">
        <v>422</v>
      </c>
      <c r="I15" s="1" t="s">
        <v>1</v>
      </c>
      <c r="K15" t="s">
        <v>340</v>
      </c>
      <c r="M15" t="s">
        <v>46</v>
      </c>
      <c r="O15" t="s">
        <v>156</v>
      </c>
      <c r="P15" t="s">
        <v>173</v>
      </c>
      <c r="R15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S15" cm="1">
        <f t="array" aca="1" ref="S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T15">
        <f t="shared" ca="1" si="0"/>
        <v>1271.9025000000001</v>
      </c>
      <c r="U15" cm="1">
        <f t="array" aca="1" ref="U1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5" cm="1">
        <f t="array" aca="1" ref="V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5" cm="1">
        <f t="array" aca="1" ref="W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5" cm="1">
        <f t="array" aca="1" ref="X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Y15" cm="1">
        <f t="array" aca="1" ref="Y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5" cm="1">
        <f t="array" aca="1" ref="Z1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15" cm="1">
        <f t="array" aca="1" ref="AA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5" s="4" cm="1">
        <f t="array" aca="1" ref="AB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C15" s="5" cm="1">
        <f t="array" aca="1" ref="AC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15" s="6" cm="1">
        <f t="array" aca="1" ref="AD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5921.3858333333337</v>
      </c>
      <c r="AE15" s="6" cm="1">
        <f t="array" aca="1" ref="AE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400.90308333333337</v>
      </c>
      <c r="AF15" s="6" cm="1">
        <f t="array" aca="1" ref="AF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214.13225</v>
      </c>
      <c r="AG15" s="7" cm="1">
        <f t="array" aca="1" ref="AG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468.94833333333338</v>
      </c>
      <c r="AH15" s="8" cm="1">
        <f t="array" aca="1" ref="AH15" ca="1">$AG15 / (_xlfn.XLOOKUP(ValueFromColumnName("Ice Cream Amount",ROW()),Specs!A:A,Specs!B:B,0))</f>
        <v>0.2615439672801636</v>
      </c>
      <c r="AI15" s="6" cm="1">
        <f t="array" aca="1" ref="AI1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186.77083333333334</v>
      </c>
      <c r="AJ15" s="7" cm="1">
        <f t="array" aca="1" ref="AJ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K15" s="7" cm="1">
        <f t="array" aca="1" ref="AK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L15" s="7" cm="1">
        <f t="array" aca="1" ref="AL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M15" s="9" cm="1">
        <f t="array" aca="1" ref="AM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10.106363395490016</v>
      </c>
      <c r="AN15" s="10">
        <f ca="1">ROUNDUP((AM15+Specs!$Q$2+_xlfn.XLOOKUP($K15,Specs!A:A,Specs!V:V,0))*Specs!$N$2,0)</f>
        <v>25</v>
      </c>
    </row>
    <row r="16" spans="1:40" x14ac:dyDescent="0.25">
      <c r="A16" s="75" t="s">
        <v>772</v>
      </c>
      <c r="B16" s="1" t="s">
        <v>62</v>
      </c>
      <c r="C16" s="1" t="s">
        <v>65</v>
      </c>
      <c r="E16" s="1" t="s">
        <v>99</v>
      </c>
      <c r="F16" s="1" t="s">
        <v>0</v>
      </c>
      <c r="G16" s="1" t="s">
        <v>126</v>
      </c>
      <c r="I16" s="1" t="s">
        <v>1</v>
      </c>
      <c r="K16" t="s">
        <v>4</v>
      </c>
      <c r="M16" t="s">
        <v>175</v>
      </c>
      <c r="N16" t="s">
        <v>175</v>
      </c>
      <c r="O16" t="s">
        <v>154</v>
      </c>
      <c r="P16" t="s">
        <v>173</v>
      </c>
      <c r="R16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S16" cm="1">
        <f t="array" aca="1" ref="S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T16">
        <f t="shared" ca="1" si="0"/>
        <v>394.31700000000006</v>
      </c>
      <c r="U16" cm="1">
        <f t="array" aca="1" ref="U1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6" cm="1">
        <f t="array" aca="1" ref="V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W16" cm="1">
        <f t="array" aca="1" ref="W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X16" cm="1">
        <f t="array" aca="1" ref="X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Y16" cm="1">
        <f t="array" aca="1" ref="Y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6" cm="1">
        <f t="array" aca="1" ref="Z1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6" cm="1">
        <f t="array" aca="1" ref="AA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6" s="4" cm="1">
        <f t="array" aca="1" ref="AB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C16" s="5" cm="1">
        <f t="array" aca="1" ref="AC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6" s="6" cm="1">
        <f t="array" aca="1" ref="AD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1492.5370000000003</v>
      </c>
      <c r="AE16" s="6" cm="1">
        <f t="array" aca="1" ref="AE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58.700050000000005</v>
      </c>
      <c r="AF16" s="6" cm="1">
        <f t="array" aca="1" ref="AF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55.7438</v>
      </c>
      <c r="AG16" s="7" cm="1">
        <f t="array" aca="1" ref="AG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139.70137500000004</v>
      </c>
      <c r="AH16" s="8" cm="1">
        <f t="array" aca="1" ref="AH16" ca="1">$AG16 / (_xlfn.XLOOKUP(ValueFromColumnName("Ice Cream Amount",ROW()),Specs!A:A,Specs!B:B,0))</f>
        <v>0.29535174418604659</v>
      </c>
      <c r="AI16" s="6" cm="1">
        <f t="array" aca="1" ref="AI1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2.9562500000000003</v>
      </c>
      <c r="AJ16" s="7" cm="1">
        <f t="array" aca="1" ref="AJ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K16" s="7" cm="1">
        <f t="array" aca="1" ref="AK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L16" s="7" cm="1">
        <f t="array" aca="1" ref="AL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M16" s="9" cm="1">
        <f t="array" aca="1" ref="AM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2.7855904875076267</v>
      </c>
      <c r="AN16" s="10">
        <f ca="1">ROUNDUP((AM16+Specs!$Q$2+_xlfn.XLOOKUP($K16,Specs!A:A,Specs!V:V,0))*Specs!$N$2,0)</f>
        <v>9</v>
      </c>
    </row>
    <row r="17" spans="1:40" x14ac:dyDescent="0.25">
      <c r="A17" t="s">
        <v>251</v>
      </c>
      <c r="B17" s="1" t="s">
        <v>62</v>
      </c>
      <c r="C17" s="1" t="s">
        <v>65</v>
      </c>
      <c r="E17" s="1" t="s">
        <v>0</v>
      </c>
      <c r="G17" s="1" t="s">
        <v>249</v>
      </c>
      <c r="I17" s="1" t="s">
        <v>1</v>
      </c>
      <c r="K17" t="s">
        <v>43</v>
      </c>
      <c r="M17" t="s">
        <v>450</v>
      </c>
      <c r="O17" t="s">
        <v>156</v>
      </c>
      <c r="P17" t="s">
        <v>173</v>
      </c>
      <c r="R17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S17" cm="1">
        <f t="array" aca="1" ref="S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T17">
        <f t="shared" ca="1" si="0"/>
        <v>687.55500000000006</v>
      </c>
      <c r="U17" cm="1">
        <f t="array" aca="1" ref="U1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7" cm="1">
        <f t="array" aca="1" ref="V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7" cm="1">
        <f t="array" aca="1" ref="W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7" cm="1">
        <f t="array" aca="1" ref="X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Y17" cm="1">
        <f t="array" aca="1" ref="Y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7" cm="1">
        <f t="array" aca="1" ref="Z1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17" cm="1">
        <f t="array" aca="1" ref="AA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7" s="4" cm="1">
        <f t="array" aca="1" ref="AB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C17" s="5" cm="1">
        <f t="array" aca="1" ref="AC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17" s="6" cm="1">
        <f t="array" aca="1" ref="AD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3393.0161762771322</v>
      </c>
      <c r="AE17" s="6" cm="1">
        <f t="array" aca="1" ref="AE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185.41687338303001</v>
      </c>
      <c r="AF17" s="6" cm="1">
        <f t="array" aca="1" ref="AF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116.6395</v>
      </c>
      <c r="AG17" s="7" cm="1">
        <f t="array" aca="1" ref="AG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258.04996409778556</v>
      </c>
      <c r="AH17" s="8" cm="1">
        <f t="array" aca="1" ref="AH17" ca="1">$AG17 / (_xlfn.XLOOKUP(ValueFromColumnName("Ice Cream Amount",ROW()),Specs!A:A,Specs!B:B,0))</f>
        <v>0.27278008889829342</v>
      </c>
      <c r="AI17" s="6" cm="1">
        <f t="array" aca="1" ref="AI1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68.777373383030024</v>
      </c>
      <c r="AJ17" s="7" cm="1">
        <f t="array" aca="1" ref="AJ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K17" s="7" cm="1">
        <f t="array" aca="1" ref="AK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L17" s="7" cm="1">
        <f t="array" aca="1" ref="AL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M17" s="9" cm="1">
        <f t="array" aca="1" ref="AM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4.7164120861017098</v>
      </c>
      <c r="AN17" s="10">
        <f ca="1">ROUNDUP((AM17+Specs!$Q$2+_xlfn.XLOOKUP($K17,Specs!A:A,Specs!V:V,0))*Specs!$N$2,0)</f>
        <v>13</v>
      </c>
    </row>
    <row r="18" spans="1:40" x14ac:dyDescent="0.25">
      <c r="A18" t="s">
        <v>443</v>
      </c>
      <c r="B18" s="1" t="s">
        <v>62</v>
      </c>
      <c r="C18" s="1" t="s">
        <v>65</v>
      </c>
      <c r="E18" s="1" t="s">
        <v>0</v>
      </c>
      <c r="F18" s="1" t="s">
        <v>8</v>
      </c>
      <c r="G18" s="1" t="s">
        <v>415</v>
      </c>
      <c r="I18" s="1" t="s">
        <v>1</v>
      </c>
      <c r="K18" t="s">
        <v>4</v>
      </c>
      <c r="M18" t="s">
        <v>450</v>
      </c>
      <c r="O18" t="s">
        <v>154</v>
      </c>
      <c r="P18" t="s">
        <v>173</v>
      </c>
      <c r="R18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S18" cm="1">
        <f t="array" aca="1" ref="S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T18">
        <f t="shared" ca="1" si="0"/>
        <v>390.60450000000003</v>
      </c>
      <c r="U18" cm="1">
        <f t="array" aca="1" ref="U1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8" cm="1">
        <f t="array" aca="1" ref="V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8" cm="1">
        <f t="array" aca="1" ref="W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8" cm="1">
        <f t="array" aca="1" ref="X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Y18" cm="1">
        <f t="array" aca="1" ref="Y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8" cm="1">
        <f t="array" aca="1" ref="Z18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8" cm="1">
        <f t="array" aca="1" ref="AA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8" s="4" cm="1">
        <f t="array" aca="1" ref="AB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C18" s="5" cm="1">
        <f t="array" aca="1" ref="AC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8" s="6" cm="1">
        <f t="array" aca="1" ref="AD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1427.1036666666669</v>
      </c>
      <c r="AE18" s="6" cm="1">
        <f t="array" aca="1" ref="AE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89.58505000000001</v>
      </c>
      <c r="AF18" s="6" cm="1">
        <f t="array" aca="1" ref="AF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58.840050000000005</v>
      </c>
      <c r="AG18" s="7" cm="1">
        <f t="array" aca="1" ref="AG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119.351375</v>
      </c>
      <c r="AH18" s="8" cm="1">
        <f t="array" aca="1" ref="AH18" ca="1">$AG18 / (_xlfn.XLOOKUP(ValueFromColumnName("Ice Cream Amount",ROW()),Specs!A:A,Specs!B:B,0))</f>
        <v>0.25232848837209304</v>
      </c>
      <c r="AI18" s="6" cm="1">
        <f t="array" aca="1" ref="AI1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30.745000000000005</v>
      </c>
      <c r="AJ18" s="7" cm="1">
        <f t="array" aca="1" ref="AJ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K18" s="7" cm="1">
        <f t="array" aca="1" ref="AK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L18" s="7" cm="1">
        <f t="array" aca="1" ref="AL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M18" s="9" cm="1">
        <f t="array" aca="1" ref="AM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2.4438087730341005</v>
      </c>
      <c r="AN18" s="10">
        <f ca="1">ROUNDUP((AM18+Specs!$Q$2+_xlfn.XLOOKUP($K18,Specs!A:A,Specs!V:V,0))*Specs!$N$2,0)</f>
        <v>8</v>
      </c>
    </row>
    <row r="19" spans="1:40" ht="16.5" x14ac:dyDescent="0.3">
      <c r="A19" s="22" t="s">
        <v>757</v>
      </c>
      <c r="B19" s="1" t="s">
        <v>62</v>
      </c>
      <c r="C19" s="1" t="s">
        <v>65</v>
      </c>
      <c r="E19" s="1" t="s">
        <v>248</v>
      </c>
      <c r="G19" s="1" t="s">
        <v>269</v>
      </c>
      <c r="H19" s="1" t="s">
        <v>267</v>
      </c>
      <c r="I19" s="1" t="s">
        <v>1</v>
      </c>
      <c r="K19" t="s">
        <v>4</v>
      </c>
      <c r="M19" t="s">
        <v>450</v>
      </c>
      <c r="O19" t="s">
        <v>156</v>
      </c>
      <c r="P19" t="s">
        <v>173</v>
      </c>
      <c r="R19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9" cm="1">
        <f t="array" aca="1" ref="S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9">
        <f t="shared" ca="1" si="0"/>
        <v>343.77750000000003</v>
      </c>
      <c r="U19" cm="1">
        <f t="array" aca="1" ref="U1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9" cm="1">
        <f t="array" aca="1" ref="V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9" cm="1">
        <f t="array" aca="1" ref="W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9" cm="1">
        <f t="array" aca="1" ref="X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Y19" cm="1">
        <f t="array" aca="1" ref="Y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Z19" cm="1">
        <f t="array" aca="1" ref="Z19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19" cm="1">
        <f t="array" aca="1" ref="AA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9" s="4" cm="1">
        <f t="array" aca="1" ref="AB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9" s="5" cm="1">
        <f t="array" aca="1" ref="AC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9" s="6" cm="1">
        <f t="array" aca="1" ref="AD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1320.8256398809524</v>
      </c>
      <c r="AE19" s="6" cm="1">
        <f t="array" aca="1" ref="AE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56.494452380952382</v>
      </c>
      <c r="AF19" s="6" cm="1">
        <f t="array" aca="1" ref="AF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53.819749999999999</v>
      </c>
      <c r="AG19" s="7" cm="1">
        <f t="array" aca="1" ref="AG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123.35934523809524</v>
      </c>
      <c r="AH19" s="8" cm="1">
        <f t="array" aca="1" ref="AH19" ca="1">$AG19 / (_xlfn.XLOOKUP(ValueFromColumnName("Ice Cream Amount",ROW()),Specs!A:A,Specs!B:B,0))</f>
        <v>0.2608019983892077</v>
      </c>
      <c r="AI19" s="6" cm="1">
        <f t="array" aca="1" ref="AI1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2.6747023809523816</v>
      </c>
      <c r="AJ19" s="7" cm="1">
        <f t="array" aca="1" ref="AJ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K19" s="7" cm="1">
        <f t="array" aca="1" ref="AK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L19" s="7" cm="1">
        <f t="array" aca="1" ref="AL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M19" s="9" cm="1">
        <f t="array" aca="1" ref="AM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2.7135590156595524</v>
      </c>
      <c r="AN19" s="10">
        <f ca="1">ROUNDUP((AM19+Specs!$Q$2+_xlfn.XLOOKUP($K19,Specs!A:A,Specs!V:V,0))*Specs!$N$2,0)</f>
        <v>8</v>
      </c>
    </row>
    <row r="20" spans="1:40" x14ac:dyDescent="0.25">
      <c r="U20" t="e" cm="1">
        <f t="array" aca="1" ref="U2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0" s="4"/>
      <c r="AC20" s="5"/>
      <c r="AD20" s="6" t="e" cm="1">
        <f t="array" aca="1" ref="AD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0" s="6" cm="1">
        <f t="array" aca="1" ref="AE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0" s="6" t="e" cm="1">
        <f t="array" aca="1" ref="AF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0" s="7" t="e" cm="1">
        <f t="array" aca="1" ref="AG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0" s="8"/>
      <c r="AI20" s="6" cm="1">
        <f t="array" aca="1" ref="AI2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0" s="7"/>
      <c r="AK20" s="7"/>
      <c r="AL20" s="7"/>
      <c r="AM20" s="9"/>
      <c r="AN20" s="10"/>
    </row>
    <row r="21" spans="1:40" x14ac:dyDescent="0.25">
      <c r="A21" s="26" t="s">
        <v>850</v>
      </c>
      <c r="U21" t="e" cm="1">
        <f t="array" aca="1" ref="U2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1" s="6" t="e" cm="1">
        <f t="array" aca="1" ref="AD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1" s="6" cm="1">
        <f t="array" aca="1" ref="AE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1" s="6" t="e" cm="1">
        <f t="array" aca="1" ref="AF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1" s="7" t="e" cm="1">
        <f t="array" aca="1" ref="AG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1" s="6" cm="1">
        <f t="array" aca="1" ref="AI2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2" spans="1:40" x14ac:dyDescent="0.25">
      <c r="A22" t="s">
        <v>298</v>
      </c>
      <c r="B22" s="1" t="s">
        <v>66</v>
      </c>
      <c r="C22" s="1" t="s">
        <v>283</v>
      </c>
      <c r="D22" s="1" t="s">
        <v>96</v>
      </c>
      <c r="E22" s="1" t="s">
        <v>0</v>
      </c>
      <c r="I22" s="1" t="s">
        <v>133</v>
      </c>
      <c r="K22" t="s">
        <v>4</v>
      </c>
      <c r="L22" t="s">
        <v>46</v>
      </c>
      <c r="M22" t="s">
        <v>450</v>
      </c>
      <c r="P22" t="s">
        <v>158</v>
      </c>
      <c r="Q22" t="s">
        <v>44</v>
      </c>
      <c r="R22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22" cm="1">
        <f t="array" aca="1" ref="S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22">
        <f t="shared" ca="1" si="0"/>
        <v>460.84500000000003</v>
      </c>
      <c r="U22" cm="1">
        <f t="array" aca="1" ref="U2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22" cm="1">
        <f t="array" aca="1" ref="V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22" cm="1">
        <f t="array" aca="1" ref="W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2" cm="1">
        <f t="array" aca="1" ref="X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2" cm="1">
        <f t="array" aca="1" ref="Y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2" cm="1">
        <f t="array" aca="1" ref="Z2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22" cm="1">
        <f t="array" aca="1" ref="AA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2" s="4" cm="1">
        <f t="array" aca="1" ref="AB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C22" s="5" cm="1">
        <f t="array" aca="1" ref="AC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22" s="6" cm="1">
        <f t="array" aca="1" ref="AD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410.33250000000004</v>
      </c>
      <c r="AE22" s="6" cm="1">
        <f t="array" aca="1" ref="AE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F22" s="6" cm="1">
        <f t="array" aca="1" ref="AF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40.443500000000007</v>
      </c>
      <c r="AG22" s="7" cm="1">
        <f t="array" aca="1" ref="AG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4.51</v>
      </c>
      <c r="AH22" s="8" cm="1">
        <f t="array" aca="1" ref="AH22" ca="1">$AG22 / (_xlfn.XLOOKUP(ValueFromColumnName("Ice Cream Amount",ROW()),Specs!A:A,Specs!B:B,0))</f>
        <v>9.5348837209302314E-3</v>
      </c>
      <c r="AI22" s="6" cm="1">
        <f t="array" aca="1" ref="AI2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2" s="7" cm="1">
        <f t="array" aca="1" ref="AJ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K22" s="7" cm="1">
        <f t="array" aca="1" ref="AK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L22" s="7" cm="1">
        <f t="array" aca="1" ref="AL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M22" s="9" cm="1">
        <f t="array" aca="1" ref="AM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N22" s="10">
        <f ca="1">ROUNDUP((AM22+Specs!$Q$2+_xlfn.XLOOKUP($K22,Specs!A:A,Specs!V:V,0))*Specs!$N$2,0)</f>
        <v>8</v>
      </c>
    </row>
    <row r="23" spans="1:40" x14ac:dyDescent="0.25">
      <c r="U23" t="e" cm="1">
        <f t="array" aca="1" ref="U2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3" s="4"/>
      <c r="AC23" s="5"/>
      <c r="AD23" s="6" t="e" cm="1">
        <f t="array" aca="1" ref="AD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3" s="6" cm="1">
        <f t="array" aca="1" ref="AE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3" s="6" t="e" cm="1">
        <f t="array" aca="1" ref="AF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3" s="7" t="e" cm="1">
        <f t="array" aca="1" ref="AG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3" s="8"/>
      <c r="AI23" s="6" cm="1">
        <f t="array" aca="1" ref="AI2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3" s="7"/>
      <c r="AK23" s="7"/>
      <c r="AL23" s="7"/>
      <c r="AM23" s="9"/>
      <c r="AN23" s="10"/>
    </row>
    <row r="24" spans="1:40" x14ac:dyDescent="0.25">
      <c r="A24" t="s">
        <v>851</v>
      </c>
      <c r="U24" t="e" cm="1">
        <f t="array" aca="1" ref="U2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4" s="6" t="e" cm="1">
        <f t="array" aca="1" ref="AD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4" s="6" cm="1">
        <f t="array" aca="1" ref="AE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4" s="6" t="e" cm="1">
        <f t="array" aca="1" ref="AF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4" s="7" t="e" cm="1">
        <f t="array" aca="1" ref="AG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4" s="6" cm="1">
        <f t="array" aca="1" ref="AI2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5" spans="1:40" x14ac:dyDescent="0.25">
      <c r="A25" t="s">
        <v>400</v>
      </c>
      <c r="B25" s="1" t="s">
        <v>62</v>
      </c>
      <c r="C25" s="1" t="s">
        <v>65</v>
      </c>
      <c r="E25" s="1" t="s">
        <v>0</v>
      </c>
      <c r="G25" s="1" t="s">
        <v>415</v>
      </c>
      <c r="I25" s="1" t="s">
        <v>816</v>
      </c>
      <c r="K25" t="s">
        <v>340</v>
      </c>
      <c r="M25" t="s">
        <v>450</v>
      </c>
      <c r="O25" t="s">
        <v>154</v>
      </c>
      <c r="P25" t="s">
        <v>173</v>
      </c>
      <c r="R25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S25" cm="1">
        <f t="array" aca="1" ref="S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T25">
        <f t="shared" ca="1" si="0"/>
        <v>1479.1095</v>
      </c>
      <c r="U25" cm="1">
        <f t="array" aca="1" ref="U2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5" cm="1">
        <f t="array" aca="1" ref="V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25" cm="1">
        <f t="array" aca="1" ref="W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5" cm="1">
        <f t="array" aca="1" ref="X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Y25" cm="1">
        <f t="array" aca="1" ref="Y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5" cm="1">
        <f t="array" aca="1" ref="Z2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25" cm="1">
        <f t="array" aca="1" ref="AA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5" s="4" cm="1">
        <f t="array" aca="1" ref="AB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C25" s="5" cm="1">
        <f t="array" aca="1" ref="AC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25" s="6" cm="1">
        <f t="array" aca="1" ref="AD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4676.7836666666662</v>
      </c>
      <c r="AE25" s="6" cm="1">
        <f t="array" aca="1" ref="AE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150.97955000000002</v>
      </c>
      <c r="AF25" s="6" cm="1">
        <f t="array" aca="1" ref="AF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34.434550000000002</v>
      </c>
      <c r="AG25" s="7" cm="1">
        <f t="array" aca="1" ref="AG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451.9501249999999</v>
      </c>
      <c r="AH25" s="8" cm="1">
        <f t="array" aca="1" ref="AH25" ca="1">$AG25 / (_xlfn.XLOOKUP(ValueFromColumnName("Ice Cream Amount",ROW()),Specs!A:A,Specs!B:B,0))</f>
        <v>0.25206365030674843</v>
      </c>
      <c r="AI25" s="6" cm="1">
        <f t="array" aca="1" ref="AI2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116.545</v>
      </c>
      <c r="AJ25" s="7" cm="1">
        <f t="array" aca="1" ref="AJ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K25" s="7" cm="1">
        <f t="array" aca="1" ref="AK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L25" s="7" cm="1">
        <f t="array" aca="1" ref="AL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M25" s="9" cm="1">
        <f t="array" aca="1" ref="AM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11.376384937156413</v>
      </c>
      <c r="AN25" s="10">
        <f ca="1">ROUNDUP((AM25+Specs!$Q$2+_xlfn.XLOOKUP($K25,Specs!A:A,Specs!V:V,0))*Specs!$N$2,0)</f>
        <v>28</v>
      </c>
    </row>
    <row r="26" spans="1:40" x14ac:dyDescent="0.25">
      <c r="U26" t="e" cm="1">
        <f t="array" aca="1" ref="U2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26" s="4"/>
      <c r="AC26" s="5"/>
      <c r="AD26" s="6" t="e" cm="1">
        <f t="array" aca="1" ref="AD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6" s="6" cm="1">
        <f t="array" aca="1" ref="AE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6" s="6" t="e" cm="1">
        <f t="array" aca="1" ref="AF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6" s="7" t="e" cm="1">
        <f t="array" aca="1" ref="AG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6" s="8"/>
      <c r="AI26" s="6" cm="1">
        <f t="array" aca="1" ref="AI2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6" s="7"/>
      <c r="AK26" s="7"/>
      <c r="AL26" s="7"/>
      <c r="AM26" s="9"/>
      <c r="AN26" s="10"/>
    </row>
    <row r="27" spans="1:40" x14ac:dyDescent="0.25">
      <c r="A27" s="122" t="s">
        <v>849</v>
      </c>
      <c r="U27" t="e" cm="1">
        <f t="array" aca="1" ref="U2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27" s="6" t="e" cm="1">
        <f t="array" aca="1" ref="AD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7" s="6" cm="1">
        <f t="array" aca="1" ref="AE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27" s="6" t="e" cm="1">
        <f t="array" aca="1" ref="AF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7" s="7" t="e" cm="1">
        <f t="array" aca="1" ref="AG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7" s="6" cm="1">
        <f t="array" aca="1" ref="AI2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28" spans="1:40" x14ac:dyDescent="0.25">
      <c r="A28" t="s">
        <v>810</v>
      </c>
      <c r="B28" s="1" t="s">
        <v>71</v>
      </c>
      <c r="C28" s="1" t="s">
        <v>177</v>
      </c>
      <c r="E28" s="1" t="s">
        <v>0</v>
      </c>
      <c r="I28" s="1" t="s">
        <v>1</v>
      </c>
      <c r="K28" t="s">
        <v>4</v>
      </c>
      <c r="M28" t="s">
        <v>46</v>
      </c>
      <c r="N28" t="s">
        <v>44</v>
      </c>
      <c r="P28" t="s">
        <v>173</v>
      </c>
      <c r="R28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S28" cm="1">
        <f t="array" aca="1" ref="S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T28">
        <f t="shared" ca="1" si="0"/>
        <v>453.42000000000007</v>
      </c>
      <c r="U28" cm="1">
        <f t="array" aca="1" ref="U2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8" cm="1">
        <f t="array" aca="1" ref="V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28" cm="1">
        <f t="array" aca="1" ref="W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8" cm="1">
        <f t="array" aca="1" ref="X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8" cm="1">
        <f t="array" aca="1" ref="Y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8" cm="1">
        <f t="array" aca="1" ref="Z28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28" cm="1">
        <f t="array" aca="1" ref="AA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8" s="4" cm="1">
        <f t="array" aca="1" ref="AB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C28" s="5" cm="1">
        <f t="array" aca="1" ref="AC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28" s="6" cm="1">
        <f t="array" aca="1" ref="AD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1296.48</v>
      </c>
      <c r="AE28" s="6" cm="1">
        <f t="array" aca="1" ref="AE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</v>
      </c>
      <c r="AF28" s="6" cm="1">
        <f t="array" aca="1" ref="AF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59</v>
      </c>
      <c r="AG28" s="7" cm="1">
        <f t="array" aca="1" ref="AG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105.798</v>
      </c>
      <c r="AH28" s="8" cm="1">
        <f t="array" aca="1" ref="AH28" ca="1">$AG28 / (_xlfn.XLOOKUP(ValueFromColumnName("Ice Cream Amount",ROW()),Specs!A:A,Specs!B:B,0))</f>
        <v>0.22367441860465118</v>
      </c>
      <c r="AI28" s="6" cm="1">
        <f t="array" aca="1" ref="AI2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8" s="7" cm="1">
        <f t="array" aca="1" ref="AJ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164.45835095137423</v>
      </c>
      <c r="AK28" s="7" cm="1">
        <f t="array" aca="1" ref="AK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7.4841437632135301</v>
      </c>
      <c r="AL28" s="7" cm="1">
        <f t="array" aca="1" ref="AL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M28" s="9" cm="1">
        <f t="array" aca="1" ref="AM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4.2986930409955235</v>
      </c>
      <c r="AN28" s="10">
        <f ca="1">ROUNDUP((AM28+Specs!$Q$2+_xlfn.XLOOKUP($K28,Specs!A:A,Specs!V:V,0))*Specs!$N$2,0)</f>
        <v>12</v>
      </c>
    </row>
    <row r="29" spans="1:40" x14ac:dyDescent="0.25">
      <c r="A29" t="s">
        <v>848</v>
      </c>
      <c r="B29" s="1" t="s">
        <v>71</v>
      </c>
      <c r="C29" s="1" t="s">
        <v>177</v>
      </c>
      <c r="E29" s="1" t="s">
        <v>0</v>
      </c>
      <c r="G29" s="1" t="s">
        <v>3</v>
      </c>
      <c r="I29" s="1" t="s">
        <v>1</v>
      </c>
      <c r="K29" t="s">
        <v>340</v>
      </c>
      <c r="M29" t="s">
        <v>46</v>
      </c>
      <c r="N29" t="s">
        <v>451</v>
      </c>
      <c r="O29" t="s">
        <v>156</v>
      </c>
      <c r="P29" t="s">
        <v>448</v>
      </c>
      <c r="R29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S29" cm="1">
        <f t="array" aca="1" ref="S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T29">
        <f t="shared" ca="1" si="0"/>
        <v>1034.3025000000002</v>
      </c>
      <c r="U29" cm="1">
        <f t="array" aca="1" ref="U2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9" cm="1">
        <f t="array" aca="1" ref="V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29" cm="1">
        <f t="array" aca="1" ref="W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X29" cm="1">
        <f t="array" aca="1" ref="X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29" cm="1">
        <f t="array" aca="1" ref="Y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9" cm="1">
        <f t="array" aca="1" ref="Z29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29" cm="1">
        <f t="array" aca="1" ref="AA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9" s="4" cm="1">
        <f t="array" aca="1" ref="AB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C29" s="5" cm="1">
        <f t="array" aca="1" ref="AC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29" s="6" cm="1">
        <f t="array" aca="1" ref="AD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3630.6372058823536</v>
      </c>
      <c r="AE29" s="6" cm="1">
        <f t="array" aca="1" ref="AE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159.8294117647059</v>
      </c>
      <c r="AF29" s="6" cm="1">
        <f t="array" aca="1" ref="AF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86</v>
      </c>
      <c r="AG29" s="7" cm="1">
        <f t="array" aca="1" ref="AG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278.251955882353</v>
      </c>
      <c r="AH29" s="8" cm="1">
        <f t="array" aca="1" ref="AH29" ca="1">$AG29 / (_xlfn.XLOOKUP(ValueFromColumnName("Ice Cream Amount",ROW()),Specs!A:A,Specs!B:B,0))</f>
        <v>0.15518792854565142</v>
      </c>
      <c r="AI29" s="6" cm="1">
        <f t="array" aca="1" ref="AI2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29" s="7" cm="1">
        <f t="array" aca="1" ref="AJ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K29" s="7" cm="1">
        <f t="array" aca="1" ref="AK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L29" s="7" cm="1">
        <f t="array" aca="1" ref="AL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M29" s="9" cm="1">
        <f t="array" aca="1" ref="AM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12.323357694601755</v>
      </c>
      <c r="AN29" s="10">
        <f ca="1">ROUNDUP((AM29+Specs!$Q$2+_xlfn.XLOOKUP($K29,Specs!A:A,Specs!V:V,0))*Specs!$N$2,0)</f>
        <v>30</v>
      </c>
    </row>
    <row r="30" spans="1:40" x14ac:dyDescent="0.25">
      <c r="A30" t="s">
        <v>421</v>
      </c>
      <c r="B30" s="1" t="s">
        <v>71</v>
      </c>
      <c r="C30" s="1" t="s">
        <v>65</v>
      </c>
      <c r="E30" s="1" t="s">
        <v>0</v>
      </c>
      <c r="F30" s="1" t="s">
        <v>236</v>
      </c>
      <c r="G30" s="1" t="s">
        <v>102</v>
      </c>
      <c r="I30" s="1" t="s">
        <v>1</v>
      </c>
      <c r="K30" t="s">
        <v>4</v>
      </c>
      <c r="M30" t="s">
        <v>450</v>
      </c>
      <c r="N30" t="s">
        <v>451</v>
      </c>
      <c r="O30" t="s">
        <v>156</v>
      </c>
      <c r="P30" t="s">
        <v>448</v>
      </c>
      <c r="R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30" cm="1">
        <f t="array" aca="1" ref="S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30">
        <f t="shared" ca="1" si="0"/>
        <v>284.3775</v>
      </c>
      <c r="U30" cm="1">
        <f t="array" aca="1" ref="U3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0" cm="1">
        <f t="array" aca="1" ref="V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0" cm="1">
        <f t="array" aca="1" ref="W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0" cm="1">
        <f t="array" aca="1" ref="X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Y30" cm="1">
        <f t="array" aca="1" ref="Y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0" cm="1">
        <f t="array" aca="1" ref="Z3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0" cm="1">
        <f t="array" aca="1" ref="AA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0" s="4" cm="1">
        <f t="array" aca="1" ref="AB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0" s="5" cm="1">
        <f t="array" aca="1" ref="AC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0" s="6" cm="1">
        <f t="array" aca="1" ref="AD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792.3744212962963</v>
      </c>
      <c r="AE30" s="6" cm="1">
        <f t="array" aca="1" ref="AE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24.135632523148146</v>
      </c>
      <c r="AF30" s="6" cm="1">
        <f t="array" aca="1" ref="AF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20.159750000000003</v>
      </c>
      <c r="AG30" s="7" cm="1">
        <f t="array" aca="1" ref="AG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68.16181828703705</v>
      </c>
      <c r="AH30" s="8" cm="1">
        <f t="array" aca="1" ref="AH30" ca="1">$AG30 / (_xlfn.XLOOKUP(ValueFromColumnName("Ice Cream Amount",ROW()),Specs!A:A,Specs!B:B,0))</f>
        <v>0.14410532407407411</v>
      </c>
      <c r="AI30" s="6" cm="1">
        <f t="array" aca="1" ref="AI3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3.9758825231481474</v>
      </c>
      <c r="AJ30" s="7" cm="1">
        <f t="array" aca="1" ref="AJ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K30" s="7" cm="1">
        <f t="array" aca="1" ref="AK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L30" s="7" cm="1">
        <f t="array" aca="1" ref="AL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M30" s="9" cm="1">
        <f t="array" aca="1" ref="AM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2.5142496799012046</v>
      </c>
      <c r="AN30" s="10">
        <f ca="1">ROUNDUP((AM30+Specs!$Q$2+_xlfn.XLOOKUP($K30,Specs!A:A,Specs!V:V,0))*Specs!$N$2,0)</f>
        <v>8</v>
      </c>
    </row>
    <row r="31" spans="1:40" x14ac:dyDescent="0.25">
      <c r="U31" t="e" cm="1">
        <f t="array" aca="1" ref="U3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1" s="6" t="e" cm="1">
        <f t="array" aca="1" ref="AD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1" s="6" cm="1">
        <f t="array" aca="1" ref="AE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1" s="6" t="e" cm="1">
        <f t="array" aca="1" ref="AF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1" s="7" t="e" cm="1">
        <f t="array" aca="1" ref="AG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1" s="6" cm="1">
        <f t="array" aca="1" ref="AI3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2" spans="1:40" x14ac:dyDescent="0.25">
      <c r="A32" s="26" t="s">
        <v>877</v>
      </c>
      <c r="U32" t="e" cm="1">
        <f t="array" aca="1" ref="U3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2" s="6" t="e" cm="1">
        <f t="array" aca="1" ref="AD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2" s="6" cm="1">
        <f t="array" aca="1" ref="AE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2" s="6" t="e" cm="1">
        <f t="array" aca="1" ref="AF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2" s="7" t="e" cm="1">
        <f t="array" aca="1" ref="AG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2" s="6" cm="1">
        <f t="array" aca="1" ref="AI3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3" spans="1:40" x14ac:dyDescent="0.25">
      <c r="A33" s="26" t="s">
        <v>878</v>
      </c>
      <c r="B33" s="1" t="s">
        <v>873</v>
      </c>
      <c r="C33" s="1" t="s">
        <v>782</v>
      </c>
      <c r="D33" s="1" t="s">
        <v>786</v>
      </c>
      <c r="E33" s="1" t="s">
        <v>98</v>
      </c>
      <c r="G33" s="1" t="s">
        <v>3</v>
      </c>
      <c r="I33" s="1" t="s">
        <v>816</v>
      </c>
      <c r="J33"/>
      <c r="K33" t="s">
        <v>4</v>
      </c>
      <c r="L33" t="s">
        <v>46</v>
      </c>
      <c r="M33" t="s">
        <v>450</v>
      </c>
      <c r="O33" t="s">
        <v>156</v>
      </c>
      <c r="P33" t="s">
        <v>448</v>
      </c>
      <c r="R33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33" cm="1">
        <f t="array" aca="1" ref="S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33">
        <f t="shared" ref="T33" ca="1" si="1">R33+S33</f>
        <v>343.77750000000003</v>
      </c>
      <c r="U33" cm="1">
        <f t="array" aca="1" ref="U3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33" cm="1">
        <f t="array" aca="1" ref="V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3" cm="1">
        <f t="array" aca="1" ref="W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3" cm="1">
        <f t="array" aca="1" ref="X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33" cm="1">
        <f t="array" aca="1" ref="Y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3" cm="1">
        <f t="array" aca="1" ref="Z33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33" cm="1">
        <f t="array" aca="1" ref="AA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3" s="4" cm="1">
        <f t="array" aca="1" ref="AB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33" s="5" cm="1">
        <f t="array" aca="1" ref="AC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3" s="6" cm="1">
        <f t="array" aca="1" ref="AD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643.32640378553776</v>
      </c>
      <c r="AE33" s="6" cm="1">
        <f t="array" aca="1" ref="AE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36.286145225039164</v>
      </c>
      <c r="AF33" s="6" cm="1">
        <f t="array" aca="1" ref="AF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24.635761593325611</v>
      </c>
      <c r="AG33" s="7" cm="1">
        <f t="array" aca="1" ref="AG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24.281956541091013</v>
      </c>
      <c r="AH33" s="8" cm="1">
        <f t="array" aca="1" ref="AH33" ca="1">$AG33 / (_xlfn.XLOOKUP(ValueFromColumnName("Ice Cream Amount",ROW()),Specs!A:A,Specs!B:B,0))</f>
        <v>5.1336060340572968E-2</v>
      </c>
      <c r="AI33" s="6" cm="1">
        <f t="array" aca="1" ref="AI3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33" s="7" cm="1">
        <f t="array" aca="1" ref="AJ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K33" s="7" cm="1">
        <f t="array" aca="1" ref="AK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L33" s="7" cm="1">
        <f t="array" aca="1" ref="AL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M33" s="9" cm="1">
        <f t="array" aca="1" ref="AM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3.8396392074571835</v>
      </c>
      <c r="AN33" s="10">
        <f ca="1">ROUNDUP((AM33+Specs!$Q$2+_xlfn.XLOOKUP($K33,Specs!A:A,Specs!V:V,0))*Specs!$N$2,0)</f>
        <v>11</v>
      </c>
    </row>
    <row r="34" spans="1:40" x14ac:dyDescent="0.25">
      <c r="U34" t="e" cm="1">
        <f t="array" aca="1" ref="U3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34" s="4"/>
      <c r="AC34" s="5"/>
      <c r="AD34" s="6" t="e" cm="1">
        <f t="array" aca="1" ref="AD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4" s="6" cm="1">
        <f t="array" aca="1" ref="AE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4" s="6" t="e" cm="1">
        <f t="array" aca="1" ref="AF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4" s="7" t="e" cm="1">
        <f t="array" aca="1" ref="AG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4" s="8"/>
      <c r="AI34" s="6" cm="1">
        <f t="array" aca="1" ref="AI3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4" s="7"/>
      <c r="AK34" s="7"/>
      <c r="AL34" s="7"/>
      <c r="AM34" s="9"/>
      <c r="AN34" s="10"/>
    </row>
    <row r="35" spans="1:40" x14ac:dyDescent="0.25">
      <c r="A35" s="120" t="s">
        <v>853</v>
      </c>
      <c r="U35" t="e" cm="1">
        <f t="array" aca="1" ref="U3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5" s="6" t="e" cm="1">
        <f t="array" aca="1" ref="AD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5" s="6" cm="1">
        <f t="array" aca="1" ref="AE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5" s="6" t="e" cm="1">
        <f t="array" aca="1" ref="AF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5" s="7" t="e" cm="1">
        <f t="array" aca="1" ref="AG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5" s="6" cm="1">
        <f t="array" aca="1" ref="AI3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6" spans="1:40" x14ac:dyDescent="0.25">
      <c r="A36" s="121" t="s">
        <v>636</v>
      </c>
      <c r="B36" s="1" t="s">
        <v>62</v>
      </c>
      <c r="C36" s="1" t="s">
        <v>636</v>
      </c>
      <c r="E36" s="1" t="s">
        <v>176</v>
      </c>
      <c r="I36" s="1" t="s">
        <v>1</v>
      </c>
      <c r="K36" t="s">
        <v>4</v>
      </c>
      <c r="M36" t="s">
        <v>450</v>
      </c>
      <c r="N36" t="s">
        <v>44</v>
      </c>
      <c r="O36" t="s">
        <v>44</v>
      </c>
      <c r="P36" t="s">
        <v>158</v>
      </c>
      <c r="R36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36" cm="1">
        <f t="array" aca="1" ref="S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36">
        <f t="shared" ca="1" si="0"/>
        <v>460.84500000000003</v>
      </c>
      <c r="U36" cm="1">
        <f t="array" aca="1" ref="U3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6" cm="1">
        <f t="array" aca="1" ref="V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6" cm="1">
        <f t="array" aca="1" ref="W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6" cm="1">
        <f t="array" aca="1" ref="X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36" cm="1">
        <f t="array" aca="1" ref="Y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6" cm="1">
        <f t="array" aca="1" ref="Z36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25</v>
      </c>
      <c r="AA36" cm="1">
        <f t="array" aca="1" ref="AA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6" s="4" cm="1">
        <f t="array" aca="1" ref="AB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36" s="5" cm="1">
        <f t="array" aca="1" ref="AC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6" s="6" cm="1">
        <f t="array" aca="1" ref="AD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1387.5225000000003</v>
      </c>
      <c r="AE36" s="6" cm="1">
        <f t="array" aca="1" ref="AE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F36" s="6" cm="1">
        <f t="array" aca="1" ref="AF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48.412125000000003</v>
      </c>
      <c r="AG36" s="7" cm="1">
        <f t="array" aca="1" ref="AG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134.41312500000004</v>
      </c>
      <c r="AH36" s="8" cm="1">
        <f t="array" aca="1" ref="AH36" ca="1">$AG36 / (_xlfn.XLOOKUP(ValueFromColumnName("Ice Cream Amount",ROW()),Specs!A:A,Specs!B:B,0))</f>
        <v>0.28417151162790705</v>
      </c>
      <c r="AI36" s="6" cm="1">
        <f t="array" aca="1" ref="AI3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6" s="7" cm="1">
        <f t="array" aca="1" ref="AJ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K36" s="7" cm="1">
        <f t="array" aca="1" ref="AK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L36" s="7" cm="1">
        <f t="array" aca="1" ref="AL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M36" s="9" cm="1">
        <f t="array" aca="1" ref="AM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N36" s="10">
        <f ca="1">ROUNDUP((AM36+Specs!$Q$2+_xlfn.XLOOKUP($K36,Specs!A:A,Specs!V:V,0))*Specs!$N$2,0)</f>
        <v>9</v>
      </c>
    </row>
    <row r="37" spans="1:40" x14ac:dyDescent="0.25">
      <c r="U37" t="e" cm="1">
        <f t="array" aca="1" ref="U3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37" s="4"/>
      <c r="AC37" s="5"/>
      <c r="AD37" s="6" t="e" cm="1">
        <f t="array" aca="1" ref="AD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7" s="6" cm="1">
        <f t="array" aca="1" ref="AE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7" s="6" t="e" cm="1">
        <f t="array" aca="1" ref="AF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7" s="7" t="e" cm="1">
        <f t="array" aca="1" ref="AG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7" s="8"/>
      <c r="AI37" s="6" cm="1">
        <f t="array" aca="1" ref="AI3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7" s="7"/>
      <c r="AK37" s="7"/>
      <c r="AL37" s="7"/>
      <c r="AM37" s="9"/>
      <c r="AN37" s="10"/>
    </row>
    <row r="38" spans="1:40" x14ac:dyDescent="0.25">
      <c r="A38" s="123" t="s">
        <v>852</v>
      </c>
      <c r="U38" t="e" cm="1">
        <f t="array" aca="1" ref="U3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8" s="6" t="e" cm="1">
        <f t="array" aca="1" ref="AD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8" s="6" cm="1">
        <f t="array" aca="1" ref="AE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8" s="6" t="e" cm="1">
        <f t="array" aca="1" ref="AF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8" s="7" t="e" cm="1">
        <f t="array" aca="1" ref="AG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8" s="6" cm="1">
        <f t="array" aca="1" ref="AI3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39" spans="1:40" x14ac:dyDescent="0.25">
      <c r="A39" s="52" t="s">
        <v>842</v>
      </c>
      <c r="U39" t="e" cm="1">
        <f t="array" aca="1" ref="U3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39" s="6" t="e" cm="1">
        <f t="array" aca="1" ref="AD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9" s="6" cm="1">
        <f t="array" aca="1" ref="AE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39" s="6" t="e" cm="1">
        <f t="array" aca="1" ref="AF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9" s="7" t="e" cm="1">
        <f t="array" aca="1" ref="AG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9" s="6" cm="1">
        <f t="array" aca="1" ref="AI3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40" spans="1:40" x14ac:dyDescent="0.25">
      <c r="A40" s="52" t="s">
        <v>515</v>
      </c>
      <c r="B40" s="1" t="s">
        <v>62</v>
      </c>
      <c r="C40" s="1" t="s">
        <v>65</v>
      </c>
      <c r="E40" s="1" t="s">
        <v>512</v>
      </c>
      <c r="F40" s="1" t="s">
        <v>0</v>
      </c>
      <c r="G40" s="1" t="s">
        <v>491</v>
      </c>
      <c r="I40" s="1" t="s">
        <v>1</v>
      </c>
      <c r="K40" t="s">
        <v>340</v>
      </c>
      <c r="M40" t="s">
        <v>450</v>
      </c>
      <c r="N40" t="s">
        <v>175</v>
      </c>
      <c r="O40" t="s">
        <v>156</v>
      </c>
      <c r="P40" t="s">
        <v>173</v>
      </c>
      <c r="R4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S40" cm="1">
        <f t="array" aca="1" ref="S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T40">
        <f t="shared" ca="1" si="0"/>
        <v>1294.1775000000002</v>
      </c>
      <c r="U40" cm="1">
        <f t="array" aca="1" ref="U4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0" cm="1">
        <f t="array" aca="1" ref="V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0" cm="1">
        <f t="array" aca="1" ref="W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X40" cm="1">
        <f t="array" aca="1" ref="X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Y40" cm="1">
        <f t="array" aca="1" ref="Y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0" cm="1">
        <f t="array" aca="1" ref="Z40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200</v>
      </c>
      <c r="AA40" cm="1">
        <f t="array" aca="1" ref="AA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0" s="4" cm="1">
        <f t="array" aca="1" ref="AB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C40" s="5" cm="1">
        <f t="array" aca="1" ref="AC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0" s="6" cm="1">
        <f t="array" aca="1" ref="AD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4850.9097916666669</v>
      </c>
      <c r="AE40" s="6" cm="1">
        <f t="array" aca="1" ref="AE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265.57245833333332</v>
      </c>
      <c r="AF40" s="6" cm="1">
        <f t="array" aca="1" ref="AF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218.87975</v>
      </c>
      <c r="AG40" s="7" cm="1">
        <f t="array" aca="1" ref="AG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415.98791666666671</v>
      </c>
      <c r="AH40" s="8" cm="1">
        <f t="array" aca="1" ref="AH40" ca="1">$AG40 / (_xlfn.XLOOKUP(ValueFromColumnName("Ice Cream Amount",ROW()),Specs!A:A,Specs!B:B,0))</f>
        <v>0.23200664621676895</v>
      </c>
      <c r="AI40" s="6" cm="1">
        <f t="array" aca="1" ref="AI4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46.692708333333336</v>
      </c>
      <c r="AJ40" s="7" cm="1">
        <f t="array" aca="1" ref="AJ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K40" s="7" cm="1">
        <f t="array" aca="1" ref="AK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L40" s="7" cm="1">
        <f t="array" aca="1" ref="AL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M40" s="9" cm="1">
        <f t="array" aca="1" ref="AM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8.1900347987372619</v>
      </c>
      <c r="AN40" s="10">
        <f ca="1">ROUNDUP((AM40+Specs!$Q$2+_xlfn.XLOOKUP($K40,Specs!A:A,Specs!V:V,0))*Specs!$N$2,0)</f>
        <v>22</v>
      </c>
    </row>
    <row r="41" spans="1:40" x14ac:dyDescent="0.25">
      <c r="A41" s="52" t="s">
        <v>499</v>
      </c>
      <c r="B41" s="1" t="s">
        <v>62</v>
      </c>
      <c r="C41" s="1" t="s">
        <v>65</v>
      </c>
      <c r="E41" s="1" t="s">
        <v>485</v>
      </c>
      <c r="G41" s="1" t="s">
        <v>462</v>
      </c>
      <c r="J41" s="1" t="s">
        <v>1</v>
      </c>
      <c r="K41" t="s">
        <v>340</v>
      </c>
      <c r="M41" t="s">
        <v>451</v>
      </c>
      <c r="N41" t="s">
        <v>44</v>
      </c>
      <c r="O41" t="s">
        <v>156</v>
      </c>
      <c r="P41" t="s">
        <v>448</v>
      </c>
      <c r="Q41" t="s">
        <v>44</v>
      </c>
      <c r="R41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1" cm="1">
        <f t="array" aca="1" ref="S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1">
        <f t="shared" ca="1" si="0"/>
        <v>1093.7024999999999</v>
      </c>
      <c r="U41" cm="1">
        <f t="array" aca="1" ref="U4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1" cm="1">
        <f t="array" aca="1" ref="V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1" cm="1">
        <f t="array" aca="1" ref="W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1" cm="1">
        <f t="array" aca="1" ref="X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41" cm="1">
        <f t="array" aca="1" ref="Y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1" cm="1">
        <f t="array" aca="1" ref="Z41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50</v>
      </c>
      <c r="AA41" cm="1">
        <f t="array" aca="1" ref="AA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1" s="4" cm="1">
        <f t="array" aca="1" ref="AB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1" s="5" cm="1">
        <f t="array" aca="1" ref="AC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1" s="6" cm="1">
        <f t="array" aca="1" ref="AD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4377.2871264367823</v>
      </c>
      <c r="AE41" s="6" cm="1">
        <f t="array" aca="1" ref="AE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200.16259482758625</v>
      </c>
      <c r="AF41" s="6" cm="1">
        <f t="array" aca="1" ref="AF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132.15225000000001</v>
      </c>
      <c r="AG41" s="7" cm="1">
        <f t="array" aca="1" ref="AG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377.46618534482758</v>
      </c>
      <c r="AH41" s="8" cm="1">
        <f t="array" aca="1" ref="AH41" ca="1">$AG41 / (_xlfn.XLOOKUP(ValueFromColumnName("Ice Cream Amount",ROW()),Specs!A:A,Specs!B:B,0))</f>
        <v>0.21052213348847049</v>
      </c>
      <c r="AI41" s="6" cm="1">
        <f t="array" aca="1" ref="AI4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68.010344827586223</v>
      </c>
      <c r="AJ41" s="7" cm="1">
        <f t="array" aca="1" ref="AJ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K41" s="7" cm="1">
        <f t="array" aca="1" ref="AK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L41" s="7" cm="1">
        <f t="array" aca="1" ref="AL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M41" s="9" cm="1">
        <f t="array" aca="1" ref="AM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10.691293189898468</v>
      </c>
      <c r="AN41" s="10">
        <f ca="1">ROUNDUP((AM41+Specs!$Q$2+_xlfn.XLOOKUP($K41,Specs!A:A,Specs!V:V,0))*Specs!$N$2,0)</f>
        <v>27</v>
      </c>
    </row>
    <row r="42" spans="1:40" x14ac:dyDescent="0.25">
      <c r="A42" s="52" t="s">
        <v>489</v>
      </c>
      <c r="B42" s="1" t="s">
        <v>62</v>
      </c>
      <c r="C42" s="1" t="s">
        <v>65</v>
      </c>
      <c r="E42" s="1" t="s">
        <v>83</v>
      </c>
      <c r="F42" s="1" t="s">
        <v>473</v>
      </c>
      <c r="G42" s="1" t="s">
        <v>490</v>
      </c>
      <c r="J42" s="1" t="s">
        <v>1</v>
      </c>
      <c r="K42" t="s">
        <v>340</v>
      </c>
      <c r="M42" t="s">
        <v>10</v>
      </c>
      <c r="N42" t="s">
        <v>10</v>
      </c>
      <c r="O42" t="s">
        <v>156</v>
      </c>
      <c r="P42" t="s">
        <v>158</v>
      </c>
      <c r="R42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2" cm="1">
        <f t="array" aca="1" ref="S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2">
        <f t="shared" ca="1" si="0"/>
        <v>1093.7024999999999</v>
      </c>
      <c r="U42" cm="1">
        <f t="array" aca="1" ref="U4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2" cm="1">
        <f t="array" aca="1" ref="V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W42" cm="1">
        <f t="array" aca="1" ref="W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X42" cm="1">
        <f t="array" aca="1" ref="X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Y42" cm="1">
        <f t="array" aca="1" ref="Y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2" cm="1">
        <f t="array" aca="1" ref="Z42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42" cm="1">
        <f t="array" aca="1" ref="AA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2" s="4" cm="1">
        <f t="array" aca="1" ref="AB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2" s="5" cm="1">
        <f t="array" aca="1" ref="AC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2" s="6" cm="1">
        <f t="array" aca="1" ref="AD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3379.5036270491805</v>
      </c>
      <c r="AE42" s="6" cm="1">
        <f t="array" aca="1" ref="AE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65.433884221311473</v>
      </c>
      <c r="AF42" s="6" cm="1">
        <f t="array" aca="1" ref="AF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60.152250000000002</v>
      </c>
      <c r="AG42" s="7" cm="1">
        <f t="array" aca="1" ref="AG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340.18687499999999</v>
      </c>
      <c r="AH42" s="8" cm="1">
        <f t="array" aca="1" ref="AH42" ca="1">$AG42 / (_xlfn.XLOOKUP(ValueFromColumnName("Ice Cream Amount",ROW()),Specs!A:A,Specs!B:B,0))</f>
        <v>0.18973054935861683</v>
      </c>
      <c r="AI42" s="6" cm="1">
        <f t="array" aca="1" ref="AI4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5.2816342213114753</v>
      </c>
      <c r="AJ42" s="7" cm="1">
        <f t="array" aca="1" ref="AJ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K42" s="7" cm="1">
        <f t="array" aca="1" ref="AK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L42" s="7" cm="1">
        <f t="array" aca="1" ref="AL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M42" s="9" cm="1">
        <f t="array" aca="1" ref="AM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7.8013835185667944</v>
      </c>
      <c r="AN42" s="10">
        <f ca="1">ROUNDUP((AM42+Specs!$Q$2+_xlfn.XLOOKUP($K42,Specs!A:A,Specs!V:V,0))*Specs!$N$2,0)</f>
        <v>21</v>
      </c>
    </row>
    <row r="43" spans="1:40" x14ac:dyDescent="0.25">
      <c r="A43" s="75"/>
      <c r="U43" t="e" cm="1">
        <f t="array" aca="1" ref="U4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43" s="4"/>
      <c r="AC43" s="5"/>
      <c r="AD43" s="6" t="e" cm="1">
        <f t="array" aca="1" ref="AD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3" s="6" cm="1">
        <f t="array" aca="1" ref="AE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3" s="6" t="e" cm="1">
        <f t="array" aca="1" ref="AF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3" s="7" t="e" cm="1">
        <f t="array" aca="1" ref="AG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3" s="8"/>
      <c r="AI43" s="6" cm="1">
        <f t="array" aca="1" ref="AI4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3" s="7"/>
      <c r="AK43" s="7"/>
      <c r="AL43" s="7"/>
      <c r="AM43" s="9"/>
      <c r="AN43" s="10"/>
    </row>
    <row r="44" spans="1:40" x14ac:dyDescent="0.25">
      <c r="A44" s="118" t="s">
        <v>845</v>
      </c>
      <c r="B44"/>
      <c r="C44"/>
      <c r="D44"/>
      <c r="E44"/>
      <c r="F44"/>
      <c r="G44"/>
      <c r="H44"/>
      <c r="I44"/>
      <c r="J44"/>
      <c r="U44" t="e" cm="1">
        <f t="array" aca="1" ref="U4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D44" s="6" t="e" cm="1">
        <f t="array" aca="1" ref="AD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4" s="6" cm="1">
        <f t="array" aca="1" ref="AE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4" s="6" t="e" cm="1">
        <f t="array" aca="1" ref="AF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4" s="7" t="e" cm="1">
        <f t="array" aca="1" ref="AG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44" s="6" cm="1">
        <f t="array" aca="1" ref="AI4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</row>
    <row r="45" spans="1:40" x14ac:dyDescent="0.25">
      <c r="A45" s="119" t="s">
        <v>170</v>
      </c>
      <c r="B45" s="1" t="s">
        <v>62</v>
      </c>
      <c r="C45" s="1" t="s">
        <v>65</v>
      </c>
      <c r="E45" s="1" t="s">
        <v>89</v>
      </c>
      <c r="F45" s="1" t="s">
        <v>0</v>
      </c>
      <c r="I45" s="1" t="s">
        <v>1</v>
      </c>
      <c r="K45" t="s">
        <v>340</v>
      </c>
      <c r="M45" t="s">
        <v>451</v>
      </c>
      <c r="N45" t="s">
        <v>450</v>
      </c>
      <c r="P45" t="s">
        <v>158</v>
      </c>
      <c r="R45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S45" cm="1">
        <f t="array" aca="1" ref="S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T45">
        <f t="shared" ca="1" si="0"/>
        <v>1507.77</v>
      </c>
      <c r="U45" cm="1">
        <f t="array" aca="1" ref="U4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5" cm="1">
        <f t="array" aca="1" ref="V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5" cm="1">
        <f t="array" aca="1" ref="W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5" cm="1">
        <f t="array" aca="1" ref="X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5" cm="1">
        <f t="array" aca="1" ref="Y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5" cm="1">
        <f t="array" aca="1" ref="Z45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100</v>
      </c>
      <c r="AA45" cm="1">
        <f t="array" aca="1" ref="AA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5" s="4" cm="1">
        <f t="array" aca="1" ref="AB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C45" s="5" cm="1">
        <f t="array" aca="1" ref="AC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45" s="6" cm="1">
        <f t="array" aca="1" ref="AD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5637.7199999999993</v>
      </c>
      <c r="AE45" s="6" cm="1">
        <f t="array" aca="1" ref="AE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F45" s="6" cm="1">
        <f t="array" aca="1" ref="AF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260.75299999999999</v>
      </c>
      <c r="AG45" s="7" cm="1">
        <f t="array" aca="1" ref="AG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511.70749999999998</v>
      </c>
      <c r="AH45" s="8" cm="1">
        <f t="array" aca="1" ref="AH45" ca="1">$AG45 / (_xlfn.XLOOKUP(ValueFromColumnName("Ice Cream Amount",ROW()),Specs!A:A,Specs!B:B,0))</f>
        <v>0.28539180145008364</v>
      </c>
      <c r="AI45" s="6" cm="1">
        <f t="array" aca="1" ref="AI4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5" s="7" cm="1">
        <f t="array" aca="1" ref="AJ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K45" s="7" cm="1">
        <f t="array" aca="1" ref="AK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L45" s="7" cm="1">
        <f t="array" aca="1" ref="AL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M45" s="9" cm="1">
        <f t="array" aca="1" ref="AM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N45" s="10">
        <f ca="1">ROUNDUP((AM45+Specs!$Q$2+_xlfn.XLOOKUP($K45,Specs!A:A,Specs!V:V,0))*Specs!$N$2,0)</f>
        <v>23</v>
      </c>
    </row>
    <row r="46" spans="1:40" x14ac:dyDescent="0.25">
      <c r="A46" s="75"/>
      <c r="U46" t="e" cm="1">
        <f t="array" aca="1" ref="U4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AB46" s="4"/>
      <c r="AC46" s="5"/>
      <c r="AD46" s="6" t="e" cm="1">
        <f t="array" aca="1" ref="AD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6" s="6" cm="1">
        <f t="array" aca="1" ref="AE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F46" s="6" t="e" cm="1">
        <f t="array" aca="1" ref="AF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6" s="7" t="e" cm="1">
        <f t="array" aca="1" ref="AG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6" s="8"/>
      <c r="AI46" s="6" cm="1">
        <f t="array" aca="1" ref="AI4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6" s="7"/>
      <c r="AK46" s="7"/>
      <c r="AL46" s="7"/>
      <c r="AM46" s="9"/>
      <c r="AN46" s="10"/>
    </row>
    <row r="47" spans="1:40" x14ac:dyDescent="0.25">
      <c r="A47" s="52" t="s">
        <v>869</v>
      </c>
      <c r="B47" s="1" t="s">
        <v>62</v>
      </c>
      <c r="C47" s="1" t="s">
        <v>65</v>
      </c>
      <c r="E47" s="1" t="s">
        <v>486</v>
      </c>
      <c r="G47" s="1" t="s">
        <v>406</v>
      </c>
      <c r="I47" s="1" t="s">
        <v>2</v>
      </c>
      <c r="K47" t="s">
        <v>4</v>
      </c>
      <c r="M47" t="s">
        <v>10</v>
      </c>
      <c r="N47" t="s">
        <v>10</v>
      </c>
      <c r="O47" t="s">
        <v>156</v>
      </c>
      <c r="P47" t="s">
        <v>448</v>
      </c>
      <c r="R47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S47" cm="1">
        <f t="array" aca="1" ref="S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T47">
        <f t="shared" ca="1" si="0"/>
        <v>291.80250000000001</v>
      </c>
      <c r="U47" cm="1">
        <f t="array" aca="1" ref="U4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7" cm="1">
        <f t="array" aca="1" ref="V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7" cm="1">
        <f t="array" aca="1" ref="W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7" cm="1">
        <f t="array" aca="1" ref="X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47" cm="1">
        <f t="array" aca="1" ref="Y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7" cm="1">
        <f t="array" aca="1" ref="Z47" ca="1">_xlfn.LET(
    _xlpm.SweetnerType1Amount, _xlfn.XLOOKUP(ValueFromColumnName("Sweetner Type 1 Amount (x 100g)", ROW()), Specs!F:F, Specs!G:G, 0),
    _xlpm.IceCreamAmount, _xlfn.XLOOKUP(ValueFromColumnName("Ice Cream Amount", ROW()), Specs!A:A, Specs!C:C, 0),
    _xlpm.Dummy, SUM(INDIRECT("B" &amp; ROW() &amp; ":O" &amp; ROW())),
    _xlpm.Result, _xlpm.SweetnerType1Amount * 100 * _xlpm.IceCreamAmount,
    _xlpm.Result
)</f>
        <v>12.5</v>
      </c>
      <c r="AA47" cm="1">
        <f t="array" aca="1" ref="AA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7" s="4" cm="1">
        <f t="array" aca="1" ref="AB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C47" s="5" cm="1">
        <f t="array" aca="1" ref="AC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47" s="6" cm="1">
        <f t="array" aca="1" ref="AD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1365.6295833333334</v>
      </c>
      <c r="AE47" s="6" cm="1">
        <f t="array" aca="1" ref="AE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64.634958333333344</v>
      </c>
      <c r="AF47" s="6" cm="1">
        <f t="array" aca="1" ref="AF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40.492249999999999</v>
      </c>
      <c r="AG47" s="7" cm="1">
        <f t="array" aca="1" ref="AG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101.23322916666666</v>
      </c>
      <c r="AH47" s="8" cm="1">
        <f t="array" aca="1" ref="AH47" ca="1">$AG47 / (_xlfn.XLOOKUP(ValueFromColumnName("Ice Cream Amount",ROW()),Specs!A:A,Specs!B:B,0))</f>
        <v>0.21402374031007751</v>
      </c>
      <c r="AI47" s="6" cm="1">
        <f t="array" aca="1" ref="AI4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47" s="7" cm="1">
        <f t="array" aca="1" ref="AJ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K47" s="7" cm="1">
        <f t="array" aca="1" ref="AK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L47" s="7" cm="1">
        <f t="array" aca="1" ref="AL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M47" s="9" cm="1">
        <f t="array" aca="1" ref="AM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2.6270828729383973</v>
      </c>
      <c r="AN47" s="10">
        <f ca="1">ROUNDUP((AM47+Specs!$Q$2+_xlfn.XLOOKUP($K47,Specs!A:A,Specs!V:V,0))*Specs!$N$2,0)</f>
        <v>8</v>
      </c>
    </row>
    <row r="48" spans="1:40" x14ac:dyDescent="0.25">
      <c r="AB48" s="4"/>
      <c r="AC48" s="5"/>
      <c r="AD48" s="6"/>
      <c r="AE48" s="6"/>
      <c r="AF48" s="6"/>
      <c r="AG48" s="7"/>
      <c r="AH48" s="8"/>
      <c r="AI48" s="6"/>
      <c r="AJ48" s="7"/>
      <c r="AK48" s="7"/>
      <c r="AL48" s="7"/>
      <c r="AM48" s="9"/>
      <c r="AN48" s="10"/>
    </row>
    <row r="49" spans="28:41" x14ac:dyDescent="0.25">
      <c r="AB49" s="4"/>
      <c r="AC49" s="5"/>
      <c r="AD49" s="6"/>
      <c r="AE49" s="6"/>
      <c r="AF49" s="6"/>
      <c r="AG49" s="7"/>
      <c r="AH49" s="8"/>
      <c r="AI49" s="6"/>
      <c r="AJ49" s="7"/>
      <c r="AK49" s="7"/>
      <c r="AL49" s="7"/>
      <c r="AM49" s="9"/>
      <c r="AN49" s="10"/>
      <c r="AO49" s="10"/>
    </row>
    <row r="50" spans="28:41" x14ac:dyDescent="0.25">
      <c r="AB50" s="4"/>
      <c r="AC50" s="5"/>
      <c r="AD50" s="6"/>
      <c r="AE50" s="6"/>
      <c r="AF50" s="6"/>
      <c r="AG50" s="7"/>
      <c r="AH50" s="8"/>
      <c r="AI50" s="6"/>
      <c r="AJ50" s="7"/>
      <c r="AK50" s="7"/>
      <c r="AL50" s="7"/>
      <c r="AM50" s="9"/>
      <c r="AN50" s="10"/>
    </row>
    <row r="52" spans="28:41" x14ac:dyDescent="0.25">
      <c r="AO52" s="1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207B46E-FAD9-4F2F-8244-C8D6E00E3495}">
          <x14:formula1>
            <xm:f>'Sweetener Mix In Nutrition'!$A:$A</xm:f>
          </x14:formula1>
          <xm:sqref>J51:J481 I47:I267 I45 I3:I7 I17 I18:J18 I10:J16 J6:J7 J38:J47 I19:I37 I25:J32 I34:J36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J45 J3:J7 J13 J47:J50 I33 J17:J32 J34:J37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B3:C7 B48:B56 B10:C47 C48:C57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L57:N70 K10:K32 J33 K34:K70 K3:K7</xm:sqref>
        </x14:dataValidation>
        <x14:dataValidation type="list" allowBlank="1" showInputMessage="1" xr:uid="{300B8858-522C-4C65-AB57-7E8EB46CEA0D}">
          <x14:formula1>
            <xm:f>Specs!$F:$F</xm:f>
          </x14:formula1>
          <xm:sqref>I268:I277 P40 P45:Q45 P41:Q41 Q48:Q112 P3:Q7 P42:P46 P48:P237 P47:Q47 O33:P33 P10:Q32 P34:Q39</xm:sqref>
        </x14:dataValidation>
        <x14:dataValidation type="list" allowBlank="1" showInputMessage="1" xr:uid="{4B47FA7D-6001-431C-9804-6004245A2850}">
          <x14:formula1>
            <xm:f>Specs!$D:$D</xm:f>
          </x14:formula1>
          <xm:sqref>L3:N7 L34:N56 L10:N32 K33:M33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O3:O7 N33 O10:O32 O34:O57</xm:sqref>
        </x14:dataValidation>
        <x14:dataValidation type="list" showInputMessage="1" xr:uid="{9E5373E7-8D12-49CE-8266-263C654DEB83}">
          <x14:formula1>
            <xm:f>'Solid Mix In Nutrition'!$A:$A</xm:f>
          </x14:formula1>
          <xm:sqref>G35:I36 G27:I27 G47:H55 G10:H39 G3:H7 G16:I16 G5:I7 G40:I47</xm:sqref>
        </x14:dataValidation>
        <x14:dataValidation type="list" allowBlank="1" xr:uid="{7DFA5BDD-2A1B-41D3-AB24-623AFC67DD51}">
          <x14:formula1>
            <xm:f>'Liquid Mix In Nutrition'!$A:$A</xm:f>
          </x14:formula1>
          <xm:sqref>D51:E56 F17 D18:F18 F3:F7 F35:F56 D10:F10 D12:F16 D11:E11 D22 F19:F21 F23:F27 D25:F32 D34:F36 D33:E33</xm:sqref>
        </x14:dataValidation>
        <x14:dataValidation type="list" allowBlank="1" showInputMessage="1" xr:uid="{14D0D8D4-89CC-405C-932D-5A99A7B889EF}">
          <x14:formula1>
            <xm:f>'Liquid Mix In Nutrition'!$A:$A</xm:f>
          </x14:formula1>
          <xm:sqref>D45:E45 D3:E7 D13:E13 D17:E37 D47:E50</xm:sqref>
        </x14:dataValidation>
        <x14:dataValidation type="list" allowBlank="1" showInputMessage="1" showErrorMessage="1" xr:uid="{4CA6D572-D013-4ED3-829C-6BE2B5B93FA8}">
          <x14:formula1>
            <xm:f>'Liquid Mix In Nutrition'!$A:$A</xm:f>
          </x14:formula1>
          <xm:sqref>D16:E16 D27:E27 D35:E36 D5:E7 D38:E47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M100"/>
  <sheetViews>
    <sheetView topLeftCell="A16" zoomScale="70" zoomScaleNormal="70" workbookViewId="0">
      <selection activeCell="Q77" sqref="Q77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7.28515625" style="1" bestFit="1" customWidth="1"/>
    <col min="11" max="11" width="18.7109375" bestFit="1" customWidth="1"/>
    <col min="12" max="12" width="29.7109375" bestFit="1" customWidth="1"/>
    <col min="13" max="13" width="26.85546875" bestFit="1" customWidth="1"/>
    <col min="14" max="14" width="35.85546875" bestFit="1" customWidth="1"/>
    <col min="15" max="15" width="32.85546875" bestFit="1" customWidth="1"/>
    <col min="16" max="16" width="33.5703125" bestFit="1" customWidth="1"/>
    <col min="17" max="18" width="23.140625" bestFit="1" customWidth="1"/>
    <col min="19" max="19" width="23.140625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8" width="18.7109375" style="58" bestFit="1" customWidth="1"/>
    <col min="29" max="29" width="18.7109375" bestFit="1" customWidth="1"/>
    <col min="30" max="30" width="20.28515625" bestFit="1" customWidth="1"/>
    <col min="31" max="33" width="22.28515625" customWidth="1"/>
    <col min="34" max="34" width="22.28515625" style="55" bestFit="1" customWidth="1"/>
    <col min="35" max="37" width="22.28515625" bestFit="1" customWidth="1"/>
    <col min="38" max="38" width="11" bestFit="1" customWidth="1"/>
    <col min="39" max="39" width="20.28515625" bestFit="1" customWidth="1"/>
  </cols>
  <sheetData>
    <row r="1" spans="1:39" x14ac:dyDescent="0.25">
      <c r="A1" s="30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31" t="s">
        <v>337</v>
      </c>
      <c r="I1" s="1" t="s">
        <v>18</v>
      </c>
      <c r="J1" s="1" t="s">
        <v>19</v>
      </c>
      <c r="K1" s="2" t="s">
        <v>20</v>
      </c>
      <c r="L1" s="2" t="s">
        <v>21</v>
      </c>
      <c r="M1" s="2" t="s">
        <v>22</v>
      </c>
      <c r="N1" s="2" t="s">
        <v>23</v>
      </c>
      <c r="O1" s="2" t="s">
        <v>24</v>
      </c>
      <c r="P1" s="2" t="s">
        <v>868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56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787</v>
      </c>
      <c r="AH1" s="53" t="s">
        <v>41</v>
      </c>
      <c r="AI1" s="31" t="s">
        <v>187</v>
      </c>
      <c r="AJ1" s="31" t="s">
        <v>188</v>
      </c>
      <c r="AK1" s="31" t="s">
        <v>788</v>
      </c>
      <c r="AL1" s="31" t="s">
        <v>42</v>
      </c>
      <c r="AM1" s="31" t="s">
        <v>172</v>
      </c>
    </row>
    <row r="2" spans="1:39" x14ac:dyDescent="0.25">
      <c r="A2" s="30" t="s">
        <v>238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157</v>
      </c>
      <c r="M2" s="30"/>
      <c r="N2" s="30" t="s">
        <v>156</v>
      </c>
      <c r="O2" s="30" t="s">
        <v>173</v>
      </c>
      <c r="P2" s="30"/>
      <c r="Q2" s="30" t="e" cm="1">
        <f t="array" aca="1" ref="Q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" s="30" t="e" cm="1">
        <f t="array" aca="1" ref="R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" s="30" t="e">
        <f ca="1">Q2+R2</f>
        <v>#VALUE!</v>
      </c>
      <c r="T2" s="30" t="e" cm="1">
        <f t="array" aca="1" ref="T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" s="30" t="e" cm="1">
        <f t="array" aca="1" ref="U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" s="30" t="e" cm="1">
        <f t="array" aca="1" ref="V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" s="30" t="e" cm="1">
        <f t="array" aca="1" ref="W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" s="30" cm="1">
        <f t="array" aca="1" ref="X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" s="30" t="e" cm="1">
        <f t="array" aca="1" ref="Y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" s="34" cm="1">
        <f t="array" aca="1" ref="Z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" s="35" cm="1">
        <f t="array" aca="1" ref="AA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" s="57" cm="1">
        <f t="array" aca="1" ref="AB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" s="36" cm="1">
        <f t="array" aca="1" ref="AC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" s="36" cm="1">
        <f t="array" aca="1" ref="AD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" s="37" cm="1">
        <f t="array" aca="1" ref="AE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" s="38" t="e" cm="1">
        <f t="array" aca="1" ref="AF2" ca="1">$AE3 / (_xlfn.XLOOKUP(ValueFromColumnName("Ice Cream Amount",ROW()),Specs!A:A,Specs!B:B,0))</f>
        <v>#DIV/0!</v>
      </c>
      <c r="AG2" s="37" cm="1">
        <f t="array" aca="1" ref="AG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" s="54" t="e" cm="1">
        <f t="array" aca="1" ref="AH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2" s="37" t="e" cm="1">
        <f t="array" aca="1" ref="AI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2" s="37" t="e" cm="1">
        <f t="array" aca="1" ref="AJ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2" s="37" t="e" cm="1">
        <f t="array" aca="1" ref="AK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2" s="39" cm="1">
        <f t="array" aca="1" ref="AL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" s="40" t="e" cm="1">
        <f t="array" ref="AM2">ROUNDUP((ValueFromColumnName("Cost",ROW())+Specs!$Q$2+_xlfn.XLOOKUP(ValueFromColumnName("Ice Cream Amount",ROW()),Specs!A:A,Specs!V:V,0))*Specs!$N$2,0)</f>
        <v>#VALUE!</v>
      </c>
    </row>
    <row r="3" spans="1:39" x14ac:dyDescent="0.25">
      <c r="A3" s="42" t="s">
        <v>253</v>
      </c>
      <c r="B3" s="31" t="s">
        <v>66</v>
      </c>
      <c r="C3" s="31" t="s">
        <v>283</v>
      </c>
      <c r="D3" s="31" t="s">
        <v>0</v>
      </c>
      <c r="E3" s="31" t="s">
        <v>96</v>
      </c>
      <c r="F3" s="31" t="s">
        <v>234</v>
      </c>
      <c r="G3" s="31"/>
      <c r="H3" s="31"/>
      <c r="I3" s="31" t="s">
        <v>132</v>
      </c>
      <c r="J3" s="31"/>
      <c r="K3" s="30" t="s">
        <v>4</v>
      </c>
      <c r="L3" s="30" t="s">
        <v>157</v>
      </c>
      <c r="M3" s="30" t="s">
        <v>46</v>
      </c>
      <c r="N3" s="30" t="s">
        <v>156</v>
      </c>
      <c r="O3" s="30" t="s">
        <v>158</v>
      </c>
      <c r="P3" s="30" t="s">
        <v>44</v>
      </c>
      <c r="Q3" s="30" cm="1">
        <f t="array" aca="1" ref="Q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" s="30" cm="1">
        <f t="array" aca="1" ref="R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" s="30">
        <f t="shared" ref="S3:S66" ca="1" si="0">Q3+R3</f>
        <v>284.3775</v>
      </c>
      <c r="T3" s="30" cm="1">
        <f t="array" aca="1" ref="T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" s="30" cm="1">
        <f t="array" aca="1" ref="U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" s="30" cm="1">
        <f t="array" aca="1" ref="V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W3" s="30" cm="1">
        <f t="array" aca="1" ref="W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X3" s="30" cm="1">
        <f t="array" aca="1" ref="X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" s="30" cm="1">
        <f t="array" aca="1" ref="Y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" s="34" cm="1">
        <f t="array" aca="1" ref="Z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" s="35" cm="1">
        <f t="array" aca="1" ref="AA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" s="57" cm="1">
        <f t="array" aca="1" ref="AB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1169.4613541666668</v>
      </c>
      <c r="AC3" s="36" cm="1">
        <f t="array" aca="1" ref="AC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25.8671875</v>
      </c>
      <c r="AD3" s="36" cm="1">
        <f t="array" aca="1" ref="AD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42.406104166666665</v>
      </c>
      <c r="AE3" s="37" cm="1">
        <f t="array" aca="1" ref="AE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123.92072916666666</v>
      </c>
      <c r="AF3" s="38" cm="1">
        <f t="array" aca="1" ref="AF3" ca="1">$AE4 / (_xlfn.XLOOKUP(ValueFromColumnName("Ice Cream Amount",ROW()),Specs!A:A,Specs!B:B,0))</f>
        <v>0.29770348837209309</v>
      </c>
      <c r="AG3" s="37" cm="1">
        <f t="array" aca="1" ref="AG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7.8696458333333341</v>
      </c>
      <c r="AH3" s="54" cm="1">
        <f t="array" aca="1" ref="AH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I3" s="37" cm="1">
        <f t="array" aca="1" ref="AI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J3" s="37" cm="1">
        <f t="array" aca="1" ref="AJ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K3" s="37" cm="1">
        <f t="array" aca="1" ref="AK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2.2123506358254765</v>
      </c>
      <c r="AL3" s="39" cm="1">
        <f t="array" aca="1" ref="AL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2.7247538303720402</v>
      </c>
      <c r="AM3" s="40" t="e" cm="1">
        <f t="array" ref="AM3">ROUNDUP((ValueFromColumnName("Cost",ROW())+Specs!$Q$2+_xlfn.XLOOKUP(ValueFromColumnName("Ice Cream Amount",ROW()),Specs!A:A,Specs!V:V,0))*Specs!$N$2,0)</f>
        <v>#VALUE!</v>
      </c>
    </row>
    <row r="4" spans="1:39" x14ac:dyDescent="0.25">
      <c r="A4" s="30" t="s">
        <v>235</v>
      </c>
      <c r="B4" s="31" t="s">
        <v>62</v>
      </c>
      <c r="C4" s="31" t="s">
        <v>65</v>
      </c>
      <c r="D4" s="31" t="s">
        <v>160</v>
      </c>
      <c r="E4" s="31"/>
      <c r="F4" s="31" t="s">
        <v>167</v>
      </c>
      <c r="G4" s="31" t="s">
        <v>165</v>
      </c>
      <c r="H4" s="31"/>
      <c r="I4" s="31" t="s">
        <v>134</v>
      </c>
      <c r="J4" s="31" t="s">
        <v>1</v>
      </c>
      <c r="K4" s="30" t="s">
        <v>4</v>
      </c>
      <c r="L4" s="30" t="s">
        <v>175</v>
      </c>
      <c r="M4" s="30"/>
      <c r="N4" s="30" t="s">
        <v>156</v>
      </c>
      <c r="O4" s="30" t="s">
        <v>158</v>
      </c>
      <c r="P4" s="30" t="s">
        <v>158</v>
      </c>
      <c r="Q4" s="30" cm="1">
        <f t="array" aca="1" ref="Q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4" s="30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4" s="30">
        <f t="shared" ca="1" si="0"/>
        <v>460.84500000000003</v>
      </c>
      <c r="T4" s="30" cm="1">
        <f t="array" aca="1" ref="T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4" s="30" cm="1">
        <f t="array" aca="1" ref="U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" s="30" cm="1">
        <f t="array" aca="1" ref="V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" s="30" cm="1">
        <f t="array" aca="1" ref="W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" s="30" cm="1">
        <f t="array" aca="1" ref="X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" s="30" cm="1">
        <f t="array" aca="1" ref="Y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Z4" s="34" cm="1">
        <f t="array" aca="1" ref="Z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4" s="35" cm="1">
        <f t="array" aca="1" ref="AA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4" s="57" cm="1">
        <f t="array" aca="1" ref="AB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1389.7950000000001</v>
      </c>
      <c r="AC4" s="36" cm="1">
        <f t="array" aca="1" ref="AC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" s="36" cm="1">
        <f t="array" aca="1" ref="AD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E4" s="37" cm="1">
        <f t="array" aca="1" ref="AE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4" s="38" cm="1">
        <f t="array" aca="1" ref="AF4" ca="1">$AE5 / (_xlfn.XLOOKUP(ValueFromColumnName("Ice Cream Amount",ROW()),Specs!A:A,Specs!B:B,0))</f>
        <v>0.78741780272654383</v>
      </c>
      <c r="AG4" s="37" cm="1">
        <f t="array" aca="1" ref="AG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4" s="54" cm="1">
        <f t="array" aca="1" ref="AH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I4" s="37" cm="1">
        <f t="array" aca="1" ref="AI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J4" s="37" cm="1">
        <f t="array" aca="1" ref="AJ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4" s="37" cm="1">
        <f t="array" aca="1" ref="AK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" s="39" cm="1">
        <f t="array" aca="1" ref="AL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M4" s="40" t="e" cm="1">
        <f t="array" ref="AM4">ROUNDUP((ValueFromColumnName("Cost",ROW())+Specs!$Q$2+_xlfn.XLOOKUP(ValueFromColumnName("Ice Cream Amount",ROW()),Specs!A:A,Specs!V:V,0))*Specs!$N$2,0)</f>
        <v>#VALUE!</v>
      </c>
    </row>
    <row r="5" spans="1:39" x14ac:dyDescent="0.25">
      <c r="A5" s="30" t="s">
        <v>168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157</v>
      </c>
      <c r="M5" s="30" t="s">
        <v>48</v>
      </c>
      <c r="N5" s="30"/>
      <c r="O5" s="30"/>
      <c r="P5" s="30"/>
      <c r="Q5" s="30" cm="1">
        <f t="array" aca="1" ref="Q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R5" s="30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S5" s="30">
        <f t="shared" ca="1" si="0"/>
        <v>1064.0025000000001</v>
      </c>
      <c r="T5" s="30" cm="1">
        <f t="array" aca="1" ref="T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5" s="30" cm="1">
        <f t="array" aca="1" ref="U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5" s="30" cm="1">
        <f t="array" aca="1" ref="V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5" s="30" cm="1">
        <f t="array" aca="1" ref="W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5" s="30" cm="1">
        <f t="array" aca="1" ref="X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" s="30" cm="1">
        <f t="array" aca="1" ref="Y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5" s="34" cm="1">
        <f t="array" aca="1" ref="Z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A5" s="35" cm="1">
        <f t="array" aca="1" ref="AA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5" s="57" cm="1">
        <f t="array" aca="1" ref="AB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4201.107857142857</v>
      </c>
      <c r="AC5" s="36" cm="1">
        <f t="array" aca="1" ref="AC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" s="36" cm="1">
        <f t="array" aca="1" ref="AD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275.84457142857144</v>
      </c>
      <c r="AE5" s="37" cm="1">
        <f t="array" aca="1" ref="AE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372.44862068965523</v>
      </c>
      <c r="AF5" s="38" cm="1">
        <f t="array" aca="1" ref="AF5" ca="1">$AE6 / (_xlfn.XLOOKUP(ValueFromColumnName("Ice Cream Amount",ROW()),Specs!A:A,Specs!B:B,0))</f>
        <v>3.5395278264680106E-2</v>
      </c>
      <c r="AG5" s="37" cm="1">
        <f t="array" aca="1" ref="AG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18.58464224137931</v>
      </c>
      <c r="AH5" s="54" cm="1">
        <f t="array" aca="1" ref="AH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I5" s="37" cm="1">
        <f t="array" aca="1" ref="AI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J5" s="37" cm="1">
        <f t="array" aca="1" ref="AJ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K5" s="37" cm="1">
        <f t="array" aca="1" ref="AK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5" s="39" cm="1">
        <f t="array" aca="1" ref="AL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15.55653471637952</v>
      </c>
      <c r="AM5" s="40" t="e" cm="1">
        <f t="array" ref="AM5">ROUNDUP((ValueFromColumnName("Cost",ROW())+Specs!$Q$2+_xlfn.XLOOKUP(ValueFromColumnName("Ice Cream Amount",ROW()),Specs!A:A,Specs!V:V,0))*Specs!$N$2,0)</f>
        <v>#VALUE!</v>
      </c>
    </row>
    <row r="6" spans="1:39" x14ac:dyDescent="0.25">
      <c r="A6" s="30" t="s">
        <v>428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234</v>
      </c>
      <c r="G6" s="31"/>
      <c r="H6" s="31"/>
      <c r="I6" s="31"/>
      <c r="J6" s="31"/>
      <c r="K6" s="30" t="s">
        <v>4</v>
      </c>
      <c r="L6" s="30" t="s">
        <v>157</v>
      </c>
      <c r="M6" s="30" t="s">
        <v>48</v>
      </c>
      <c r="N6" s="30" t="s">
        <v>156</v>
      </c>
      <c r="O6" s="30"/>
      <c r="P6" s="30"/>
      <c r="Q6" s="30" cm="1">
        <f t="array" aca="1" ref="Q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R6" s="30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S6" s="30">
        <f t="shared" ca="1" si="0"/>
        <v>331.20450000000005</v>
      </c>
      <c r="T6" s="30" cm="1">
        <f t="array" aca="1" ref="T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6" s="30" cm="1">
        <f t="array" aca="1" ref="U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6" s="30" cm="1">
        <f t="array" aca="1" ref="V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W6" s="30" cm="1">
        <f t="array" aca="1" ref="W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6" s="30" cm="1">
        <f t="array" aca="1" ref="X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" s="30" cm="1">
        <f t="array" aca="1" ref="Y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6" s="34" cm="1">
        <f t="array" aca="1" ref="Z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A6" s="35" cm="1">
        <f t="array" aca="1" ref="AA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6" s="57" cm="1">
        <f t="array" aca="1" ref="AB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1102.8182011278197</v>
      </c>
      <c r="AC6" s="36" cm="1">
        <f t="array" aca="1" ref="AC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" s="36" cm="1">
        <f t="array" aca="1" ref="AD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67.449602819548872</v>
      </c>
      <c r="AE6" s="37" cm="1">
        <f t="array" aca="1" ref="AE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63.463733928571436</v>
      </c>
      <c r="AF6" s="38" cm="1">
        <f t="array" aca="1" ref="AF6" ca="1">$AE7 / (_xlfn.XLOOKUP(ValueFromColumnName("Ice Cream Amount",ROW()),Specs!A:A,Specs!B:B,0))</f>
        <v>0.19745639534883719</v>
      </c>
      <c r="AG6" s="37" cm="1">
        <f t="array" aca="1" ref="AG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16.512885714285716</v>
      </c>
      <c r="AH6" s="54" cm="1">
        <f t="array" aca="1" ref="AH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I6" s="37" cm="1">
        <f t="array" aca="1" ref="AI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J6" s="37" cm="1">
        <f t="array" aca="1" ref="AJ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K6" s="37" cm="1">
        <f t="array" aca="1" ref="AK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1.8375000000000001</v>
      </c>
      <c r="AL6" s="39" cm="1">
        <f t="array" aca="1" ref="AL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4.4799627581972041</v>
      </c>
      <c r="AM6" s="40" t="e" cm="1">
        <f t="array" ref="AM6">ROUNDUP((ValueFromColumnName("Cost",ROW())+Specs!$Q$2+_xlfn.XLOOKUP(ValueFromColumnName("Ice Cream Amount",ROW()),Specs!A:A,Specs!V:V,0))*Specs!$N$2,0)</f>
        <v>#VALUE!</v>
      </c>
    </row>
    <row r="7" spans="1:39" x14ac:dyDescent="0.25">
      <c r="A7" s="42" t="s">
        <v>254</v>
      </c>
      <c r="B7" s="31" t="s">
        <v>66</v>
      </c>
      <c r="C7" s="31" t="s">
        <v>68</v>
      </c>
      <c r="D7" s="31" t="s">
        <v>0</v>
      </c>
      <c r="E7" s="31"/>
      <c r="F7" s="31" t="s">
        <v>166</v>
      </c>
      <c r="G7" s="31"/>
      <c r="H7" s="31"/>
      <c r="I7" s="31" t="s">
        <v>132</v>
      </c>
      <c r="J7" s="31"/>
      <c r="K7" s="30" t="s">
        <v>4</v>
      </c>
      <c r="L7" s="30" t="s">
        <v>157</v>
      </c>
      <c r="M7" s="30"/>
      <c r="N7" s="30" t="s">
        <v>156</v>
      </c>
      <c r="O7" s="30" t="s">
        <v>448</v>
      </c>
      <c r="P7" s="30"/>
      <c r="Q7" s="30" cm="1">
        <f t="array" aca="1" ref="Q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7" s="30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7" s="30">
        <f t="shared" ca="1" si="0"/>
        <v>284.3775</v>
      </c>
      <c r="T7" s="30" cm="1">
        <f t="array" aca="1" ref="T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7" s="30" cm="1">
        <f t="array" aca="1" ref="U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7" s="30" cm="1">
        <f t="array" aca="1" ref="V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7" s="30" cm="1">
        <f t="array" aca="1" ref="W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7" s="30" cm="1">
        <f t="array" aca="1" ref="X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" s="30" cm="1">
        <f t="array" aca="1" ref="Y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7" s="34" cm="1">
        <f t="array" aca="1" ref="Z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7" s="35" cm="1">
        <f t="array" aca="1" ref="AA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7" s="57" cm="1">
        <f t="array" aca="1" ref="AB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1214.5483333333334</v>
      </c>
      <c r="AC7" s="36" cm="1">
        <f t="array" aca="1" ref="AC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" s="36" cm="1">
        <f t="array" aca="1" ref="AD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74.586833333333345</v>
      </c>
      <c r="AE7" s="37" cm="1">
        <f t="array" aca="1" ref="AE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93.396874999999994</v>
      </c>
      <c r="AF7" s="38" cm="1">
        <f t="array" aca="1" ref="AF7" ca="1">$AE8 / (_xlfn.XLOOKUP(ValueFromColumnName("Ice Cream Amount",ROW()),Specs!A:A,Specs!B:B,0))</f>
        <v>0</v>
      </c>
      <c r="AG7" s="37" cm="1">
        <f t="array" aca="1" ref="AG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11.831416666666669</v>
      </c>
      <c r="AH7" s="54" cm="1">
        <f t="array" aca="1" ref="AH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I7" s="37" cm="1">
        <f t="array" aca="1" ref="AI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J7" s="37" cm="1">
        <f t="array" aca="1" ref="AJ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K7" s="37" cm="1">
        <f t="array" aca="1" ref="AK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7" s="39" cm="1">
        <f t="array" aca="1" ref="AL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3.7424950729158346</v>
      </c>
      <c r="AM7" s="40" t="e" cm="1">
        <f t="array" ref="AM7">ROUNDUP((ValueFromColumnName("Cost",ROW())+Specs!$Q$2+_xlfn.XLOOKUP(ValueFromColumnName("Ice Cream Amount",ROW()),Specs!A:A,Specs!V:V,0))*Specs!$N$2,0)</f>
        <v>#VALUE!</v>
      </c>
    </row>
    <row r="8" spans="1:39" x14ac:dyDescent="0.25">
      <c r="A8" s="42" t="s">
        <v>255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157</v>
      </c>
      <c r="M8" s="30"/>
      <c r="N8" s="30" t="s">
        <v>156</v>
      </c>
      <c r="O8" s="30" t="s">
        <v>448</v>
      </c>
      <c r="P8" s="30"/>
      <c r="Q8" s="30" t="e" cm="1">
        <f t="array" aca="1" ref="Q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" s="30" t="e" cm="1">
        <f t="array" aca="1" ref="R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" s="30" t="e">
        <f t="shared" ca="1" si="0"/>
        <v>#VALUE!</v>
      </c>
      <c r="T8" s="30" t="e" cm="1">
        <f t="array" aca="1" ref="T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" s="30" t="e" cm="1">
        <f t="array" aca="1" ref="U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" s="30" t="e" cm="1">
        <f t="array" aca="1" ref="V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" s="30" t="e" cm="1">
        <f t="array" aca="1" ref="W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" s="30" cm="1">
        <f t="array" aca="1" ref="X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" s="30" t="e" cm="1">
        <f t="array" aca="1" ref="Y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" s="34" cm="1">
        <f t="array" aca="1" ref="Z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" s="35" cm="1">
        <f t="array" aca="1" ref="AA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" s="57" cm="1">
        <f t="array" aca="1" ref="AB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" s="36" cm="1">
        <f t="array" aca="1" ref="AC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" s="36" cm="1">
        <f t="array" aca="1" ref="AD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" s="37" cm="1">
        <f t="array" aca="1" ref="AE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" s="38" t="e" cm="1">
        <f t="array" aca="1" ref="AF8" ca="1">$AE9 / (_xlfn.XLOOKUP(ValueFromColumnName("Ice Cream Amount",ROW()),Specs!A:A,Specs!B:B,0))</f>
        <v>#DIV/0!</v>
      </c>
      <c r="AG8" s="37" cm="1">
        <f t="array" aca="1" ref="AG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" s="54" t="e" cm="1">
        <f t="array" aca="1" ref="AH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" s="37" t="e" cm="1">
        <f t="array" aca="1" ref="AI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8" s="37" t="e" cm="1">
        <f t="array" aca="1" ref="AJ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" s="37" t="e" cm="1">
        <f t="array" aca="1" ref="AK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8" s="39" cm="1">
        <f t="array" aca="1" ref="AL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" s="40" t="e" cm="1">
        <f t="array" ref="AM8">ROUNDUP((ValueFromColumnName("Cost",ROW())+Specs!$Q$2+_xlfn.XLOOKUP(ValueFromColumnName("Ice Cream Amount",ROW()),Specs!A:A,Specs!V:V,0))*Specs!$N$2,0)</f>
        <v>#VALUE!</v>
      </c>
    </row>
    <row r="9" spans="1:39" x14ac:dyDescent="0.25">
      <c r="A9" s="30" t="s">
        <v>257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157</v>
      </c>
      <c r="M9" s="30"/>
      <c r="N9" s="30" t="s">
        <v>156</v>
      </c>
      <c r="O9" s="30" t="s">
        <v>173</v>
      </c>
      <c r="P9" s="30"/>
      <c r="Q9" s="30" t="e" cm="1">
        <f t="array" aca="1" ref="Q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9" s="30" t="e" cm="1">
        <f t="array" aca="1" ref="R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9" s="30" t="e">
        <f t="shared" ca="1" si="0"/>
        <v>#VALUE!</v>
      </c>
      <c r="T9" s="30" t="e" cm="1">
        <f t="array" aca="1" ref="T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9" s="30" t="e" cm="1">
        <f t="array" aca="1" ref="U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9" s="30" t="e" cm="1">
        <f t="array" aca="1" ref="V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9" s="30" t="e" cm="1">
        <f t="array" aca="1" ref="W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9" s="30" cm="1">
        <f t="array" aca="1" ref="X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9" s="30" t="e" cm="1">
        <f t="array" aca="1" ref="Y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9" s="34" cm="1">
        <f t="array" aca="1" ref="Z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9" s="35" cm="1">
        <f t="array" aca="1" ref="AA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9" s="57" cm="1">
        <f t="array" aca="1" ref="AB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9" s="36" cm="1">
        <f t="array" aca="1" ref="AC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9" s="36" cm="1">
        <f t="array" aca="1" ref="AD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9" s="37" cm="1">
        <f t="array" aca="1" ref="AE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9" s="38" t="e" cm="1">
        <f t="array" aca="1" ref="AF9" ca="1">$AE10 / (_xlfn.XLOOKUP(ValueFromColumnName("Ice Cream Amount",ROW()),Specs!A:A,Specs!B:B,0))</f>
        <v>#DIV/0!</v>
      </c>
      <c r="AG9" s="37" cm="1">
        <f t="array" aca="1" ref="AG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9" s="54" t="e" cm="1">
        <f t="array" aca="1" ref="AH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9" s="37" t="e" cm="1">
        <f t="array" aca="1" ref="AI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9" s="37" t="e" cm="1">
        <f t="array" aca="1" ref="AJ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9" s="37" t="e" cm="1">
        <f t="array" aca="1" ref="AK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9" s="39" cm="1">
        <f t="array" aca="1" ref="AL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9" s="40" t="e" cm="1">
        <f t="array" ref="AM9">ROUNDUP((ValueFromColumnName("Cost",ROW())+Specs!$Q$2+_xlfn.XLOOKUP(ValueFromColumnName("Ice Cream Amount",ROW()),Specs!A:A,Specs!V:V,0))*Specs!$N$2,0)</f>
        <v>#VALUE!</v>
      </c>
    </row>
    <row r="10" spans="1:39" x14ac:dyDescent="0.25">
      <c r="A10" s="30" t="s">
        <v>256</v>
      </c>
      <c r="B10" s="31" t="s">
        <v>62</v>
      </c>
      <c r="C10" s="31" t="s">
        <v>65</v>
      </c>
      <c r="D10" s="31" t="s">
        <v>0</v>
      </c>
      <c r="E10" s="31" t="s">
        <v>239</v>
      </c>
      <c r="F10" s="31" t="s">
        <v>241</v>
      </c>
      <c r="G10" s="31"/>
      <c r="H10" s="31"/>
      <c r="I10" s="31" t="s">
        <v>1</v>
      </c>
      <c r="J10" s="31"/>
      <c r="K10" s="30" t="s">
        <v>4</v>
      </c>
      <c r="L10" s="30" t="s">
        <v>175</v>
      </c>
      <c r="M10" s="30" t="s">
        <v>6</v>
      </c>
      <c r="N10" s="30" t="s">
        <v>156</v>
      </c>
      <c r="O10" s="30" t="s">
        <v>158</v>
      </c>
      <c r="P10" s="30"/>
      <c r="Q10" s="30" cm="1">
        <f t="array" aca="1" ref="Q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10" s="3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10" s="30">
        <f t="shared" ca="1" si="0"/>
        <v>460.84500000000003</v>
      </c>
      <c r="T10" s="30" cm="1">
        <f t="array" aca="1" ref="T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0" s="30" cm="1">
        <f t="array" aca="1" ref="U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0" s="30" cm="1">
        <f t="array" aca="1" ref="V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0" s="30" cm="1">
        <f t="array" aca="1" ref="W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0" s="30" cm="1">
        <f t="array" aca="1" ref="X1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0" s="30" cm="1">
        <f t="array" aca="1" ref="Y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0" s="34" cm="1">
        <f t="array" aca="1" ref="Z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10" s="35" cm="1">
        <f t="array" aca="1" ref="AA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0" s="57" cm="1">
        <f t="array" aca="1" ref="AB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1444.92</v>
      </c>
      <c r="AC10" s="36" cm="1">
        <f t="array" aca="1" ref="AC1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0" s="36" cm="1">
        <f t="array" aca="1" ref="AD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E10" s="37" cm="1">
        <f t="array" aca="1" ref="AE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10" s="38" cm="1">
        <f t="array" aca="1" ref="AF10" ca="1">$AE11 / (_xlfn.XLOOKUP(ValueFromColumnName("Ice Cream Amount",ROW()),Specs!A:A,Specs!B:B,0))</f>
        <v>1.1083139534883719</v>
      </c>
      <c r="AG10" s="37" cm="1">
        <f t="array" aca="1" ref="AG1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10" s="54" cm="1">
        <f t="array" aca="1" ref="AH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I10" s="37" cm="1">
        <f t="array" aca="1" ref="AI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J10" s="37" cm="1">
        <f t="array" aca="1" ref="AJ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10" s="37" cm="1">
        <f t="array" aca="1" ref="AK1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0" s="39" cm="1">
        <f t="array" aca="1" ref="AL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M10" s="40" t="e" cm="1">
        <f t="array" ref="AM10">ROUNDUP((ValueFromColumnName("Cost",ROW())+Specs!$Q$2+_xlfn.XLOOKUP(ValueFromColumnName("Ice Cream Amount",ROW()),Specs!A:A,Specs!V:V,0))*Specs!$N$2,0)</f>
        <v>#VALUE!</v>
      </c>
    </row>
    <row r="11" spans="1:39" x14ac:dyDescent="0.25">
      <c r="A11" s="41" t="s">
        <v>341</v>
      </c>
      <c r="B11" s="31" t="s">
        <v>62</v>
      </c>
      <c r="C11" s="31" t="s">
        <v>65</v>
      </c>
      <c r="D11" s="31" t="s">
        <v>243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157</v>
      </c>
      <c r="M11" s="30" t="s">
        <v>44</v>
      </c>
      <c r="N11" s="30"/>
      <c r="O11" s="30" t="s">
        <v>173</v>
      </c>
      <c r="P11" s="30"/>
      <c r="Q11" s="30" cm="1">
        <f t="array" aca="1" ref="Q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1" s="30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1" s="30">
        <f t="shared" ca="1" si="0"/>
        <v>1715.67</v>
      </c>
      <c r="T11" s="30" cm="1">
        <f t="array" aca="1" ref="T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1" s="30" cm="1">
        <f t="array" aca="1" ref="U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1" s="30" cm="1">
        <f t="array" aca="1" ref="V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1" s="30" cm="1">
        <f t="array" aca="1" ref="W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1" s="30" cm="1">
        <f t="array" aca="1" ref="X1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1" s="30" cm="1">
        <f t="array" aca="1" ref="Y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1" s="34" cm="1">
        <f t="array" aca="1" ref="Z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1" s="35" cm="1">
        <f t="array" aca="1" ref="AA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1" s="57" cm="1">
        <f t="array" aca="1" ref="AB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5529.12</v>
      </c>
      <c r="AC11" s="36" cm="1">
        <f t="array" aca="1" ref="AC1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1" s="36" cm="1">
        <f t="array" aca="1" ref="AD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E11" s="37" cm="1">
        <f t="array" aca="1" ref="AE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524.23249999999996</v>
      </c>
      <c r="AF11" s="38" cm="1">
        <f t="array" aca="1" ref="AF11" ca="1">$AE12 / (_xlfn.XLOOKUP(ValueFromColumnName("Ice Cream Amount",ROW()),Specs!A:A,Specs!B:B,0))</f>
        <v>0.29715779619153848</v>
      </c>
      <c r="AG11" s="37" cm="1">
        <f t="array" aca="1" ref="AG1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19.062999999999999</v>
      </c>
      <c r="AH11" s="54" cm="1">
        <f t="array" aca="1" ref="AH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I11" s="37" cm="1">
        <f t="array" aca="1" ref="AI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J11" s="37" cm="1">
        <f t="array" aca="1" ref="AJ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K11" s="37" cm="1">
        <f t="array" aca="1" ref="AK1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1" s="39" cm="1">
        <f t="array" aca="1" ref="AL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M11" s="40" t="e" cm="1">
        <f t="array" ref="AM11">ROUNDUP((ValueFromColumnName("Cost",ROW())+Specs!$Q$2+_xlfn.XLOOKUP(ValueFromColumnName("Ice Cream Amount",ROW()),Specs!A:A,Specs!V:V,0))*Specs!$N$2,0)</f>
        <v>#VALUE!</v>
      </c>
    </row>
    <row r="12" spans="1:39" x14ac:dyDescent="0.25">
      <c r="A12" s="41" t="s">
        <v>258</v>
      </c>
      <c r="B12" s="31" t="s">
        <v>62</v>
      </c>
      <c r="C12" s="31" t="s">
        <v>65</v>
      </c>
      <c r="D12" s="31" t="s">
        <v>176</v>
      </c>
      <c r="E12" s="31" t="s">
        <v>329</v>
      </c>
      <c r="F12" s="31" t="s">
        <v>245</v>
      </c>
      <c r="G12" s="31" t="s">
        <v>270</v>
      </c>
      <c r="H12" s="31" t="s">
        <v>106</v>
      </c>
      <c r="I12" s="31" t="s">
        <v>137</v>
      </c>
      <c r="J12" s="31"/>
      <c r="K12" s="30" t="s">
        <v>4</v>
      </c>
      <c r="L12" s="30" t="s">
        <v>157</v>
      </c>
      <c r="M12" s="30" t="s">
        <v>10</v>
      </c>
      <c r="N12" s="30" t="s">
        <v>156</v>
      </c>
      <c r="O12" s="30" t="s">
        <v>173</v>
      </c>
      <c r="P12" s="30"/>
      <c r="Q12" s="30" cm="1">
        <f t="array" aca="1" ref="Q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2" s="30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2" s="30">
        <f t="shared" ca="1" si="0"/>
        <v>1715.67</v>
      </c>
      <c r="T12" s="30" cm="1">
        <f t="array" aca="1" ref="T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2" s="30" cm="1">
        <f t="array" aca="1" ref="U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2" s="30" cm="1">
        <f t="array" aca="1" ref="V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2" s="30" cm="1">
        <f t="array" aca="1" ref="W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2" s="30" cm="1">
        <f t="array" aca="1" ref="X1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2" s="30" cm="1">
        <f t="array" aca="1" ref="Y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2" s="34" cm="1">
        <f t="array" aca="1" ref="Z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2" s="35" cm="1">
        <f t="array" aca="1" ref="AA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2" s="57" cm="1">
        <f t="array" aca="1" ref="AB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5477.6914285714283</v>
      </c>
      <c r="AC12" s="36" cm="1">
        <f t="array" aca="1" ref="AC1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2" s="36" cm="1">
        <f t="array" aca="1" ref="AD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E12" s="37" cm="1">
        <f t="array" aca="1" ref="AE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532.80392857142851</v>
      </c>
      <c r="AF12" s="38" cm="1">
        <f t="array" aca="1" ref="AF12" ca="1">$AE13 / (_xlfn.XLOOKUP(ValueFromColumnName("Ice Cream Amount",ROW()),Specs!A:A,Specs!B:B,0))</f>
        <v>0.11112011991076411</v>
      </c>
      <c r="AG12" s="37" cm="1">
        <f t="array" aca="1" ref="AG1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36.205857142857141</v>
      </c>
      <c r="AH12" s="54" cm="1">
        <f t="array" aca="1" ref="AH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I12" s="37" cm="1">
        <f t="array" aca="1" ref="AI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J12" s="37" cm="1">
        <f t="array" aca="1" ref="AJ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K12" s="37" cm="1">
        <f t="array" aca="1" ref="AK1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2" s="39" cm="1">
        <f t="array" aca="1" ref="AL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M12" s="40" t="e" cm="1">
        <f t="array" ref="AM12">ROUNDUP((ValueFromColumnName("Cost",ROW())+Specs!$Q$2+_xlfn.XLOOKUP(ValueFromColumnName("Ice Cream Amount",ROW()),Specs!A:A,Specs!V:V,0))*Specs!$N$2,0)</f>
        <v>#VALUE!</v>
      </c>
    </row>
    <row r="13" spans="1:39" x14ac:dyDescent="0.25">
      <c r="A13" s="30" t="s">
        <v>259</v>
      </c>
      <c r="B13" s="31" t="s">
        <v>65</v>
      </c>
      <c r="C13" s="31" t="s">
        <v>75</v>
      </c>
      <c r="D13" s="31" t="s">
        <v>0</v>
      </c>
      <c r="E13" s="31" t="s">
        <v>236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157</v>
      </c>
      <c r="M13" s="30" t="s">
        <v>46</v>
      </c>
      <c r="N13" s="30" t="s">
        <v>156</v>
      </c>
      <c r="O13" s="30" t="s">
        <v>448</v>
      </c>
      <c r="P13" s="30"/>
      <c r="Q13" s="30" cm="1">
        <f t="array" aca="1" ref="Q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R13" s="30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S13" s="30">
        <f t="shared" ca="1" si="0"/>
        <v>603.00900000000001</v>
      </c>
      <c r="T13" s="30" cm="1">
        <f t="array" aca="1" ref="T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3" s="30" cm="1">
        <f t="array" aca="1" ref="U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V13" s="30" cm="1">
        <f t="array" aca="1" ref="V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W13" s="30" cm="1">
        <f t="array" aca="1" ref="W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3" s="30" cm="1">
        <f t="array" aca="1" ref="X1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3" s="30" cm="1">
        <f t="array" aca="1" ref="Y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3" s="34" cm="1">
        <f t="array" aca="1" ref="Z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A13" s="35" cm="1">
        <f t="array" aca="1" ref="AA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3" s="57" cm="1">
        <f t="array" aca="1" ref="AB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2098.0240000000003</v>
      </c>
      <c r="AC13" s="36" cm="1">
        <f t="array" aca="1" ref="AC1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3" s="36" cm="1">
        <f t="array" aca="1" ref="AD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124.45009999999999</v>
      </c>
      <c r="AE13" s="37" cm="1">
        <f t="array" aca="1" ref="AE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199.23837500000005</v>
      </c>
      <c r="AF13" s="38" cm="1">
        <f t="array" aca="1" ref="AF13" ca="1">$AE14 / (_xlfn.XLOOKUP(ValueFromColumnName("Ice Cream Amount",ROW()),Specs!A:A,Specs!B:B,0))</f>
        <v>0.11103924418604652</v>
      </c>
      <c r="AG13" s="37" cm="1">
        <f t="array" aca="1" ref="AG1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16.227600000000002</v>
      </c>
      <c r="AH13" s="54" cm="1">
        <f t="array" aca="1" ref="AH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I13" s="37" cm="1">
        <f t="array" aca="1" ref="AI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J13" s="37" cm="1">
        <f t="array" aca="1" ref="AJ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K13" s="37" cm="1">
        <f t="array" aca="1" ref="AK1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0.30260416666666667</v>
      </c>
      <c r="AL13" s="39" cm="1">
        <f t="array" aca="1" ref="AL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4.3072049340527947</v>
      </c>
      <c r="AM13" s="40" t="e" cm="1">
        <f t="array" ref="AM13">ROUNDUP((ValueFromColumnName("Cost",ROW())+Specs!$Q$2+_xlfn.XLOOKUP(ValueFromColumnName("Ice Cream Amount",ROW()),Specs!A:A,Specs!V:V,0))*Specs!$N$2,0)</f>
        <v>#VALUE!</v>
      </c>
    </row>
    <row r="14" spans="1:39" x14ac:dyDescent="0.25">
      <c r="A14" s="42" t="s">
        <v>408</v>
      </c>
      <c r="B14" s="31" t="s">
        <v>65</v>
      </c>
      <c r="C14" s="31" t="s">
        <v>75</v>
      </c>
      <c r="D14" s="31" t="s">
        <v>0</v>
      </c>
      <c r="E14" s="31" t="s">
        <v>386</v>
      </c>
      <c r="F14" s="31" t="s">
        <v>406</v>
      </c>
      <c r="G14" s="31"/>
      <c r="H14" s="31"/>
      <c r="I14" s="31"/>
      <c r="J14" s="31"/>
      <c r="K14" s="30" t="s">
        <v>43</v>
      </c>
      <c r="L14" s="30" t="s">
        <v>157</v>
      </c>
      <c r="M14" s="30" t="s">
        <v>6</v>
      </c>
      <c r="N14" s="30" t="s">
        <v>154</v>
      </c>
      <c r="O14" s="30"/>
      <c r="P14" s="30"/>
      <c r="Q14" s="30" cm="1">
        <f t="array" aca="1" ref="Q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4" s="30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4" s="30">
        <f t="shared" ca="1" si="0"/>
        <v>343.77750000000003</v>
      </c>
      <c r="T14" s="30" cm="1">
        <f t="array" aca="1" ref="T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4" s="30" cm="1">
        <f t="array" aca="1" ref="U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4" s="30" cm="1">
        <f t="array" aca="1" ref="V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14" s="30" cm="1">
        <f t="array" aca="1" ref="W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4" s="30" cm="1">
        <f t="array" aca="1" ref="X1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4" s="30" cm="1">
        <f t="array" aca="1" ref="Y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4" s="34" cm="1">
        <f t="array" aca="1" ref="Z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4" s="35" cm="1">
        <f t="array" aca="1" ref="AA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4" s="57" cm="1">
        <f t="array" aca="1" ref="AB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1159.0944212962963</v>
      </c>
      <c r="AC14" s="36" cm="1">
        <f t="array" aca="1" ref="AC1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4" s="36" cm="1">
        <f t="array" aca="1" ref="AD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62.295632523148143</v>
      </c>
      <c r="AE14" s="37" cm="1">
        <f t="array" aca="1" ref="AE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105.043125</v>
      </c>
      <c r="AF14" s="38" cm="1">
        <f t="array" aca="1" ref="AF14" ca="1">$AE15 / (_xlfn.XLOOKUP(ValueFromColumnName("Ice Cream Amount",ROW()),Specs!A:A,Specs!B:B,0))</f>
        <v>0.82346320521102501</v>
      </c>
      <c r="AG14" s="37" cm="1">
        <f t="array" aca="1" ref="AG1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3.81975</v>
      </c>
      <c r="AH14" s="54" cm="1">
        <f t="array" aca="1" ref="AH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I14" s="37" cm="1">
        <f t="array" aca="1" ref="AI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J14" s="37" cm="1">
        <f t="array" aca="1" ref="AJ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K14" s="37" cm="1">
        <f t="array" aca="1" ref="AK1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14" s="39" cm="1">
        <f t="array" aca="1" ref="AL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1.7859354300005903</v>
      </c>
      <c r="AM14" s="40" t="e" cm="1">
        <f t="array" ref="AM14">ROUNDUP((ValueFromColumnName("Cost",ROW())+Specs!$Q$2+_xlfn.XLOOKUP(ValueFromColumnName("Ice Cream Amount",ROW()),Specs!A:A,Specs!V:V,0))*Specs!$N$2,0)</f>
        <v>#VALUE!</v>
      </c>
    </row>
    <row r="15" spans="1:39" x14ac:dyDescent="0.25">
      <c r="A15" s="42" t="s">
        <v>260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 cm="1">
        <f t="array" aca="1" ref="Q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R15" s="30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S15" s="30">
        <f t="shared" ca="1" si="0"/>
        <v>1271.9025000000001</v>
      </c>
      <c r="T15" s="30" cm="1">
        <f t="array" aca="1" ref="T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5" s="30" cm="1">
        <f t="array" aca="1" ref="U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5" s="30" cm="1">
        <f t="array" aca="1" ref="V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W15" s="30" cm="1">
        <f t="array" aca="1" ref="W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5" s="30" cm="1">
        <f t="array" aca="1" ref="X1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5" s="30" cm="1">
        <f t="array" aca="1" ref="Y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5" s="34" cm="1">
        <f t="array" aca="1" ref="Z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A15" s="35" cm="1">
        <f t="array" aca="1" ref="AA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15" s="57" cm="1">
        <f t="array" aca="1" ref="AB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4165.74</v>
      </c>
      <c r="AC15" s="36" cm="1">
        <f t="array" aca="1" ref="AC1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5" s="36" cm="1">
        <f t="array" aca="1" ref="AD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214.13225</v>
      </c>
      <c r="AE15" s="37" cm="1">
        <f t="array" aca="1" ref="AE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389.49809606481483</v>
      </c>
      <c r="AF15" s="38" cm="1">
        <f t="array" aca="1" ref="AF15" ca="1">$AE16 / (_xlfn.XLOOKUP(ValueFromColumnName("Ice Cream Amount",ROW()),Specs!A:A,Specs!B:B,0))</f>
        <v>6.7197852760736212E-2</v>
      </c>
      <c r="AG15" s="37" cm="1">
        <f t="array" aca="1" ref="AG1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16.285302662037036</v>
      </c>
      <c r="AH15" s="54" cm="1">
        <f t="array" aca="1" ref="AH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I15" s="37" cm="1">
        <f t="array" aca="1" ref="AI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J15" s="37" cm="1">
        <f t="array" aca="1" ref="AJ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K15" s="37" cm="1">
        <f t="array" aca="1" ref="AK1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6.25</v>
      </c>
      <c r="AL15" s="39" cm="1">
        <f t="array" aca="1" ref="AL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11.224898703740658</v>
      </c>
      <c r="AM15" s="40" t="e" cm="1">
        <f t="array" ref="AM15">ROUNDUP((ValueFromColumnName("Cost",ROW())+Specs!$Q$2+_xlfn.XLOOKUP(ValueFromColumnName("Ice Cream Amount",ROW()),Specs!A:A,Specs!V:V,0))*Specs!$N$2,0)</f>
        <v>#VALUE!</v>
      </c>
    </row>
    <row r="16" spans="1:39" x14ac:dyDescent="0.25">
      <c r="A16" s="30" t="s">
        <v>454</v>
      </c>
      <c r="B16" s="31" t="s">
        <v>71</v>
      </c>
      <c r="C16" s="31" t="s">
        <v>177</v>
      </c>
      <c r="D16" s="31" t="s">
        <v>0</v>
      </c>
      <c r="E16" s="31" t="s">
        <v>248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175</v>
      </c>
      <c r="M16" s="30" t="s">
        <v>157</v>
      </c>
      <c r="N16" s="30" t="s">
        <v>156</v>
      </c>
      <c r="O16" s="30" t="s">
        <v>158</v>
      </c>
      <c r="P16" s="30"/>
      <c r="Q16" s="30" cm="1">
        <f t="array" aca="1" ref="Q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R16" s="30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S16" s="30">
        <f t="shared" ca="1" si="0"/>
        <v>394.31700000000006</v>
      </c>
      <c r="T16" s="30" cm="1">
        <f t="array" aca="1" ref="T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U16" s="30" cm="1">
        <f t="array" aca="1" ref="U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V16" s="30" cm="1">
        <f t="array" aca="1" ref="V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W16" s="30" cm="1">
        <f t="array" aca="1" ref="W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6" s="30" cm="1">
        <f t="array" aca="1" ref="X1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6" s="30" cm="1">
        <f t="array" aca="1" ref="Y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6" s="34" cm="1">
        <f t="array" aca="1" ref="Z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A16" s="35" cm="1">
        <f t="array" aca="1" ref="AA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6" s="57" cm="1">
        <f t="array" aca="1" ref="AB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1256.0370000000003</v>
      </c>
      <c r="AC16" s="36" cm="1">
        <f t="array" aca="1" ref="AC1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6" s="36" cm="1">
        <f t="array" aca="1" ref="AD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55.7438</v>
      </c>
      <c r="AE16" s="37" cm="1">
        <f t="array" aca="1" ref="AE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120.48575000000002</v>
      </c>
      <c r="AF16" s="38" cm="1">
        <f t="array" aca="1" ref="AF16" ca="1">$AE17 / (_xlfn.XLOOKUP(ValueFromColumnName("Ice Cream Amount",ROW()),Specs!A:A,Specs!B:B,0))</f>
        <v>0.44415697674418608</v>
      </c>
      <c r="AG16" s="37" cm="1">
        <f t="array" aca="1" ref="AG1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4.3813000000000004</v>
      </c>
      <c r="AH16" s="54" cm="1">
        <f t="array" aca="1" ref="AH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I16" s="37" cm="1">
        <f t="array" aca="1" ref="AI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J16" s="37" cm="1">
        <f t="array" aca="1" ref="AJ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K16" s="37" cm="1">
        <f t="array" aca="1" ref="AK1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0.375</v>
      </c>
      <c r="AL16" s="39" cm="1">
        <f t="array" aca="1" ref="AL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1.8586390201163225</v>
      </c>
      <c r="AM16" s="40" t="e" cm="1">
        <f t="array" ref="AM16">ROUNDUP((ValueFromColumnName("Cost",ROW())+Specs!$Q$2+_xlfn.XLOOKUP(ValueFromColumnName("Ice Cream Amount",ROW()),Specs!A:A,Specs!V:V,0))*Specs!$N$2,0)</f>
        <v>#VALUE!</v>
      </c>
    </row>
    <row r="17" spans="1:39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 cm="1">
        <f t="array" aca="1" ref="Q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R17" s="30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S17" s="30">
        <f t="shared" ca="1" si="0"/>
        <v>687.55500000000006</v>
      </c>
      <c r="T17" s="30" cm="1">
        <f t="array" aca="1" ref="T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7" s="30" cm="1">
        <f t="array" aca="1" ref="U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7" s="30" cm="1">
        <f t="array" aca="1" ref="V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W17" s="30" cm="1">
        <f t="array" aca="1" ref="W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7" s="30" cm="1">
        <f t="array" aca="1" ref="X1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7" s="30" cm="1">
        <f t="array" aca="1" ref="Y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7" s="34" cm="1">
        <f t="array" aca="1" ref="Z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A17" s="35" cm="1">
        <f t="array" aca="1" ref="AA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17" s="57" cm="1">
        <f t="array" aca="1" ref="AB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2265.48</v>
      </c>
      <c r="AC17" s="36" cm="1">
        <f t="array" aca="1" ref="AC1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7" s="36" cm="1">
        <f t="array" aca="1" ref="AD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116.6395</v>
      </c>
      <c r="AE17" s="37" cm="1">
        <f t="array" aca="1" ref="AE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210.08625000000001</v>
      </c>
      <c r="AF17" s="38" cm="1">
        <f t="array" aca="1" ref="AF17" ca="1">$AE18 / (_xlfn.XLOOKUP(ValueFromColumnName("Ice Cream Amount",ROW()),Specs!A:A,Specs!B:B,0))</f>
        <v>0.12616424418604652</v>
      </c>
      <c r="AG17" s="37" cm="1">
        <f t="array" aca="1" ref="AG1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7.6395</v>
      </c>
      <c r="AH17" s="54" cm="1">
        <f t="array" aca="1" ref="AH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I17" s="37" cm="1">
        <f t="array" aca="1" ref="AI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J17" s="37" cm="1">
        <f t="array" aca="1" ref="AJ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K17" s="37" cm="1">
        <f t="array" aca="1" ref="AK1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4.3622012716509522</v>
      </c>
      <c r="AL17" s="39" cm="1">
        <f t="array" aca="1" ref="AL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3.5718708600011806</v>
      </c>
      <c r="AM17" s="40" t="e" cm="1">
        <f t="array" ref="AM17">ROUNDUP((ValueFromColumnName("Cost",ROW())+Specs!$Q$2+_xlfn.XLOOKUP(ValueFromColumnName("Ice Cream Amount",ROW()),Specs!A:A,Specs!V:V,0))*Specs!$N$2,0)</f>
        <v>#VALUE!</v>
      </c>
    </row>
    <row r="18" spans="1:39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cm="1">
        <f t="array" aca="1" ref="Q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R18" s="30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S18" s="30">
        <f t="shared" ca="1" si="0"/>
        <v>390.60450000000003</v>
      </c>
      <c r="T18" s="30" cm="1">
        <f t="array" aca="1" ref="T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8" s="30" cm="1">
        <f t="array" aca="1" ref="U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8" s="30" cm="1">
        <f t="array" aca="1" ref="V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W18" s="30" cm="1">
        <f t="array" aca="1" ref="W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8" s="30" cm="1">
        <f t="array" aca="1" ref="X1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8" s="30" cm="1">
        <f t="array" aca="1" ref="Y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8" s="34" cm="1">
        <f t="array" aca="1" ref="Z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A18" s="35" cm="1">
        <f t="array" aca="1" ref="AA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8" s="57" cm="1">
        <f t="array" aca="1" ref="AB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1494.1120000000001</v>
      </c>
      <c r="AC18" s="36" cm="1">
        <f t="array" aca="1" ref="AC1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8" s="36" cm="1">
        <f t="array" aca="1" ref="AD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61.796300000000002</v>
      </c>
      <c r="AE18" s="37" cm="1">
        <f t="array" aca="1" ref="AE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119.351375</v>
      </c>
      <c r="AF18" s="38" cm="1">
        <f t="array" aca="1" ref="AF18" ca="1">$AE19 / (_xlfn.XLOOKUP(ValueFromColumnName("Ice Cream Amount",ROW()),Specs!A:A,Specs!B:B,0))</f>
        <v>0.25871866505587432</v>
      </c>
      <c r="AG18" s="37" cm="1">
        <f t="array" aca="1" ref="AG1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4.3400500000000006</v>
      </c>
      <c r="AH18" s="54" cm="1">
        <f t="array" aca="1" ref="AH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I18" s="37" cm="1">
        <f t="array" aca="1" ref="AI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J18" s="37" cm="1">
        <f t="array" aca="1" ref="AJ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K18" s="37" cm="1">
        <f t="array" aca="1" ref="AK1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3.9000000000000008</v>
      </c>
      <c r="AL18" s="39" cm="1">
        <f t="array" aca="1" ref="AL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1.9696095887307494</v>
      </c>
      <c r="AM18" s="40" t="e" cm="1">
        <f t="array" ref="AM18">ROUNDUP((ValueFromColumnName("Cost",ROW())+Specs!$Q$2+_xlfn.XLOOKUP(ValueFromColumnName("Ice Cream Amount",ROW()),Specs!A:A,Specs!V:V,0))*Specs!$N$2,0)</f>
        <v>#VALUE!</v>
      </c>
    </row>
    <row r="19" spans="1:39" x14ac:dyDescent="0.25">
      <c r="A19" s="30" t="s">
        <v>261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cm="1">
        <f t="array" aca="1" ref="Q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9" s="30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9" s="30">
        <f t="shared" ca="1" si="0"/>
        <v>343.77750000000003</v>
      </c>
      <c r="T19" s="30" cm="1">
        <f t="array" aca="1" ref="T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9" s="30" cm="1">
        <f t="array" aca="1" ref="U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9" s="30" cm="1">
        <f t="array" aca="1" ref="V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W19" s="30" cm="1">
        <f t="array" aca="1" ref="W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X19" s="30" cm="1">
        <f t="array" aca="1" ref="X1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9" s="30" cm="1">
        <f t="array" aca="1" ref="Y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9" s="34" cm="1">
        <f t="array" aca="1" ref="Z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9" s="35" cm="1">
        <f t="array" aca="1" ref="AA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9" s="57" cm="1">
        <f t="array" aca="1" ref="AB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1323.6411160714285</v>
      </c>
      <c r="AC19" s="36" cm="1">
        <f t="array" aca="1" ref="AC1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9.8541666666666679</v>
      </c>
      <c r="AD19" s="36" cm="1">
        <f t="array" aca="1" ref="AD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56.529645833333333</v>
      </c>
      <c r="AE19" s="37" cm="1">
        <f t="array" aca="1" ref="AE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122.37392857142856</v>
      </c>
      <c r="AF19" s="38" cm="1">
        <f t="array" aca="1" ref="AF19" ca="1">$AE20 / (_xlfn.XLOOKUP(ValueFromColumnName("Ice Cream Amount",ROW()),Specs!A:A,Specs!B:B,0))</f>
        <v>0</v>
      </c>
      <c r="AG19" s="37" cm="1">
        <f t="array" aca="1" ref="AG1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13.59958630952381</v>
      </c>
      <c r="AH19" s="54" cm="1">
        <f t="array" aca="1" ref="AH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I19" s="37" cm="1">
        <f t="array" aca="1" ref="AI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J19" s="37" cm="1">
        <f t="array" aca="1" ref="AJ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K19" s="37" cm="1">
        <f t="array" aca="1" ref="AK1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0.33928571428571436</v>
      </c>
      <c r="AL19" s="39" cm="1">
        <f t="array" aca="1" ref="AL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2.7146270669430859</v>
      </c>
      <c r="AM19" s="40" t="e" cm="1">
        <f t="array" ref="AM19">ROUNDUP((ValueFromColumnName("Cost",ROW())+Specs!$Q$2+_xlfn.XLOOKUP(ValueFromColumnName("Ice Cream Amount",ROW()),Specs!A:A,Specs!V:V,0))*Specs!$N$2,0)</f>
        <v>#VALUE!</v>
      </c>
    </row>
    <row r="20" spans="1:39" x14ac:dyDescent="0.25">
      <c r="A20" s="30" t="s">
        <v>542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510</v>
      </c>
      <c r="J20" s="31"/>
      <c r="K20" s="30" t="s">
        <v>4</v>
      </c>
      <c r="L20" s="30" t="s">
        <v>175</v>
      </c>
      <c r="M20" s="30" t="s">
        <v>175</v>
      </c>
      <c r="N20" s="30" t="s">
        <v>154</v>
      </c>
      <c r="O20" s="30" t="s">
        <v>173</v>
      </c>
      <c r="P20" s="30"/>
      <c r="Q20" s="30" t="e" cm="1">
        <f t="array" aca="1" ref="Q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0" s="30" t="e" cm="1">
        <f t="array" aca="1" ref="R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0" s="30" t="e">
        <f t="shared" ca="1" si="0"/>
        <v>#VALUE!</v>
      </c>
      <c r="T20" s="30" t="e" cm="1">
        <f t="array" aca="1" ref="T2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0" s="30" t="e" cm="1">
        <f t="array" aca="1" ref="U2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0" s="30" t="e" cm="1">
        <f t="array" aca="1" ref="V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0" s="30" t="e" cm="1">
        <f t="array" aca="1" ref="W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0" s="30" t="e" cm="1">
        <f t="array" aca="1" ref="X2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0" s="30" t="e" cm="1">
        <f t="array" aca="1" ref="Y2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0" s="34" cm="1">
        <f t="array" aca="1" ref="Z2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0" s="35" cm="1">
        <f t="array" aca="1" ref="AA2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0" s="57" cm="1">
        <f t="array" aca="1" ref="AB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0" s="36" cm="1">
        <f t="array" aca="1" ref="AC2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0" s="36" cm="1">
        <f t="array" aca="1" ref="AD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0" s="37" cm="1">
        <f t="array" aca="1" ref="AE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0" s="38" t="e" cm="1">
        <f t="array" aca="1" ref="AF20" ca="1">$AE21 / (_xlfn.XLOOKUP(ValueFromColumnName("Ice Cream Amount",ROW()),Specs!A:A,Specs!B:B,0))</f>
        <v>#DIV/0!</v>
      </c>
      <c r="AG20" s="37" cm="1">
        <f t="array" aca="1" ref="AG2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0" s="54" t="e" cm="1">
        <f t="array" aca="1" ref="AH2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0" s="37" t="e" cm="1">
        <f t="array" aca="1" ref="AI2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20" s="37" t="e" cm="1">
        <f t="array" aca="1" ref="AJ2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0" s="37" t="e" cm="1">
        <f t="array" aca="1" ref="AK2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20" s="39" cm="1">
        <f t="array" aca="1" ref="AL2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0" s="40" t="e" cm="1">
        <f t="array" ref="AM20">ROUNDUP((ValueFromColumnName("Cost",ROW())+Specs!$Q$2+_xlfn.XLOOKUP(ValueFromColumnName("Ice Cream Amount",ROW()),Specs!A:A,Specs!V:V,0))*Specs!$N$2,0)</f>
        <v>#VALUE!</v>
      </c>
    </row>
    <row r="21" spans="1:39" x14ac:dyDescent="0.25">
      <c r="A21" s="30" t="s">
        <v>772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175</v>
      </c>
      <c r="M21" s="30" t="s">
        <v>175</v>
      </c>
      <c r="N21" s="30" t="s">
        <v>154</v>
      </c>
      <c r="O21" s="30" t="s">
        <v>173</v>
      </c>
      <c r="P21" s="30"/>
      <c r="Q21" s="30" t="e" cm="1">
        <f t="array" aca="1" ref="Q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1" s="30" t="e" cm="1">
        <f t="array" aca="1" ref="R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1" s="30" t="e">
        <f t="shared" ca="1" si="0"/>
        <v>#VALUE!</v>
      </c>
      <c r="T21" s="30" t="e" cm="1">
        <f t="array" aca="1" ref="T2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1" s="30" t="e" cm="1">
        <f t="array" aca="1" ref="U2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1" s="30" t="e" cm="1">
        <f t="array" aca="1" ref="V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1" s="30" t="e" cm="1">
        <f t="array" aca="1" ref="W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1" s="30" cm="1">
        <f t="array" aca="1" ref="X2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1" s="30" t="e" cm="1">
        <f t="array" aca="1" ref="Y2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1" s="34" cm="1">
        <f t="array" aca="1" ref="Z2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1" s="35" cm="1">
        <f t="array" aca="1" ref="AA2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1" s="57" cm="1">
        <f t="array" aca="1" ref="AB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1" s="36" cm="1">
        <f t="array" aca="1" ref="AC2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1" s="36" cm="1">
        <f t="array" aca="1" ref="AD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1" s="37" cm="1">
        <f t="array" aca="1" ref="AE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1" s="38" t="e" cm="1">
        <f t="array" aca="1" ref="AF21" ca="1">$AE22 / (_xlfn.XLOOKUP(ValueFromColumnName("Ice Cream Amount",ROW()),Specs!A:A,Specs!B:B,0))</f>
        <v>#DIV/0!</v>
      </c>
      <c r="AG21" s="37" cm="1">
        <f t="array" aca="1" ref="AG2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1" s="54" t="e" cm="1">
        <f t="array" aca="1" ref="AH2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1" s="37" t="e" cm="1">
        <f t="array" aca="1" ref="AI2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21" s="37" t="e" cm="1">
        <f t="array" aca="1" ref="AJ2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1" s="37" t="e" cm="1">
        <f t="array" aca="1" ref="AK2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21" s="39" cm="1">
        <f t="array" aca="1" ref="AL2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1" s="40" t="e" cm="1">
        <f t="array" ref="AM21">ROUNDUP((ValueFromColumnName("Cost",ROW())+Specs!$Q$2+_xlfn.XLOOKUP(ValueFromColumnName("Ice Cream Amount",ROW()),Specs!A:A,Specs!V:V,0))*Specs!$N$2,0)</f>
        <v>#VALUE!</v>
      </c>
    </row>
    <row r="22" spans="1:39" x14ac:dyDescent="0.25">
      <c r="A22" s="30" t="s">
        <v>445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157</v>
      </c>
      <c r="M22" s="30"/>
      <c r="N22" s="30"/>
      <c r="O22" s="30" t="s">
        <v>158</v>
      </c>
      <c r="P22" s="30" t="s">
        <v>159</v>
      </c>
      <c r="Q22" s="30" cm="1">
        <f t="array" aca="1" ref="Q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22" s="30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22" s="30">
        <f t="shared" ca="1" si="0"/>
        <v>460.84500000000003</v>
      </c>
      <c r="T22" s="30" cm="1">
        <f t="array" aca="1" ref="T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22" s="30" cm="1">
        <f t="array" aca="1" ref="U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2" s="30" cm="1">
        <f t="array" aca="1" ref="V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2" s="30" cm="1">
        <f t="array" aca="1" ref="W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2" s="30" cm="1">
        <f t="array" aca="1" ref="X2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2" s="30" cm="1">
        <f t="array" aca="1" ref="Y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2" s="34" cm="1">
        <f t="array" aca="1" ref="Z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A22" s="35" cm="1">
        <f t="array" aca="1" ref="AA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22" s="57" cm="1">
        <f t="array" aca="1" ref="AB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355.33250000000004</v>
      </c>
      <c r="AC22" s="36" cm="1">
        <f t="array" aca="1" ref="AC2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2" s="36" cm="1">
        <f t="array" aca="1" ref="AD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E22" s="37" cm="1">
        <f t="array" aca="1" ref="AE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2" s="38" cm="1">
        <f t="array" aca="1" ref="AF22" ca="1">$AE23 / (_xlfn.XLOOKUP(ValueFromColumnName("Ice Cream Amount",ROW()),Specs!A:A,Specs!B:B,0))</f>
        <v>0</v>
      </c>
      <c r="AG22" s="37" cm="1">
        <f t="array" aca="1" ref="AG2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20.482000000000003</v>
      </c>
      <c r="AH22" s="54" cm="1">
        <f t="array" aca="1" ref="AH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I22" s="37" cm="1">
        <f t="array" aca="1" ref="AI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J22" s="37" cm="1">
        <f t="array" aca="1" ref="AJ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K22" s="37" cm="1">
        <f t="array" aca="1" ref="AK2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2" s="39" cm="1">
        <f t="array" aca="1" ref="AL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M22" s="40" t="e" cm="1">
        <f t="array" ref="AM22">ROUNDUP((ValueFromColumnName("Cost",ROW())+Specs!$Q$2+_xlfn.XLOOKUP(ValueFromColumnName("Ice Cream Amount",ROW()),Specs!A:A,Specs!V:V,0))*Specs!$N$2,0)</f>
        <v>#VALUE!</v>
      </c>
    </row>
    <row r="23" spans="1:39" x14ac:dyDescent="0.25">
      <c r="A23" s="30" t="s">
        <v>446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157</v>
      </c>
      <c r="M23" s="30" t="s">
        <v>44</v>
      </c>
      <c r="N23" s="30" t="s">
        <v>156</v>
      </c>
      <c r="O23" s="30" t="s">
        <v>158</v>
      </c>
      <c r="P23" s="30" t="s">
        <v>159</v>
      </c>
      <c r="Q23" s="30" t="e" cm="1">
        <f t="array" aca="1" ref="Q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3" s="30" t="e" cm="1">
        <f t="array" aca="1" ref="R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3" s="30" t="e">
        <f t="shared" ca="1" si="0"/>
        <v>#VALUE!</v>
      </c>
      <c r="T23" s="30" t="e" cm="1">
        <f t="array" aca="1" ref="T2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3" s="30" t="e" cm="1">
        <f t="array" aca="1" ref="U2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3" s="30" t="e" cm="1">
        <f t="array" aca="1" ref="V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3" s="30" t="e" cm="1">
        <f t="array" aca="1" ref="W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3" s="30" cm="1">
        <f t="array" aca="1" ref="X2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3" s="30" t="e" cm="1">
        <f t="array" aca="1" ref="Y2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3" s="34" cm="1">
        <f t="array" aca="1" ref="Z2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3" s="35" cm="1">
        <f t="array" aca="1" ref="AA2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3" s="57" cm="1">
        <f t="array" aca="1" ref="AB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3" s="36" cm="1">
        <f t="array" aca="1" ref="AC2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3" s="36" cm="1">
        <f t="array" aca="1" ref="AD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3" s="37" cm="1">
        <f t="array" aca="1" ref="AE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3" s="38" t="e" cm="1">
        <f t="array" aca="1" ref="AF23" ca="1">$AE24 / (_xlfn.XLOOKUP(ValueFromColumnName("Ice Cream Amount",ROW()),Specs!A:A,Specs!B:B,0))</f>
        <v>#DIV/0!</v>
      </c>
      <c r="AG23" s="37" cm="1">
        <f t="array" aca="1" ref="AG2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3" s="54" t="e" cm="1">
        <f t="array" aca="1" ref="AH2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3" s="37" t="e" cm="1">
        <f t="array" aca="1" ref="AI2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23" s="37" t="e" cm="1">
        <f t="array" aca="1" ref="AJ2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3" s="37" t="e" cm="1">
        <f t="array" aca="1" ref="AK2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23" s="39" cm="1">
        <f t="array" aca="1" ref="AL2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3" s="40" t="e" cm="1">
        <f t="array" ref="AM23">ROUNDUP((ValueFromColumnName("Cost",ROW())+Specs!$Q$2+_xlfn.XLOOKUP(ValueFromColumnName("Ice Cream Amount",ROW()),Specs!A:A,Specs!V:V,0))*Specs!$N$2,0)</f>
        <v>#VALUE!</v>
      </c>
    </row>
    <row r="24" spans="1:39" x14ac:dyDescent="0.25">
      <c r="A24" s="30" t="s">
        <v>349</v>
      </c>
      <c r="B24" s="31" t="s">
        <v>65</v>
      </c>
      <c r="C24" s="31" t="s">
        <v>75</v>
      </c>
      <c r="D24" s="31" t="s">
        <v>0</v>
      </c>
      <c r="E24" s="31" t="s">
        <v>263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157</v>
      </c>
      <c r="M24" s="30" t="s">
        <v>6</v>
      </c>
      <c r="N24" s="30" t="s">
        <v>44</v>
      </c>
      <c r="O24" s="30" t="s">
        <v>158</v>
      </c>
      <c r="P24" s="30"/>
      <c r="Q24" s="30" t="e" cm="1">
        <f t="array" aca="1" ref="Q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4" s="30" t="e" cm="1">
        <f t="array" aca="1" ref="R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4" s="30" t="e">
        <f t="shared" ca="1" si="0"/>
        <v>#VALUE!</v>
      </c>
      <c r="T24" s="30" t="e" cm="1">
        <f t="array" aca="1" ref="T2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4" s="30" t="e" cm="1">
        <f t="array" aca="1" ref="U2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4" s="30" t="e" cm="1">
        <f t="array" aca="1" ref="V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4" s="30" t="e" cm="1">
        <f t="array" aca="1" ref="W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4" s="30" cm="1">
        <f t="array" aca="1" ref="X2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4" s="30" t="e" cm="1">
        <f t="array" aca="1" ref="Y2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4" s="34" cm="1">
        <f t="array" aca="1" ref="Z2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4" s="35" cm="1">
        <f t="array" aca="1" ref="AA2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4" s="57" cm="1">
        <f t="array" aca="1" ref="AB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4" s="36" cm="1">
        <f t="array" aca="1" ref="AC2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4" s="36" cm="1">
        <f t="array" aca="1" ref="AD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4" s="37" cm="1">
        <f t="array" aca="1" ref="AE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4" s="38" t="e" cm="1">
        <f t="array" aca="1" ref="AF24" ca="1">$AE25 / (_xlfn.XLOOKUP(ValueFromColumnName("Ice Cream Amount",ROW()),Specs!A:A,Specs!B:B,0))</f>
        <v>#DIV/0!</v>
      </c>
      <c r="AG24" s="37" cm="1">
        <f t="array" aca="1" ref="AG2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4" s="54" t="e" cm="1">
        <f t="array" aca="1" ref="AH2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4" s="37" t="e" cm="1">
        <f t="array" aca="1" ref="AI2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24" s="37" t="e" cm="1">
        <f t="array" aca="1" ref="AJ2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4" s="37" t="e" cm="1">
        <f t="array" aca="1" ref="AK2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24" s="39" cm="1">
        <f t="array" aca="1" ref="AL2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4" s="40" t="e" cm="1">
        <f t="array" ref="AM24">ROUNDUP((ValueFromColumnName("Cost",ROW())+Specs!$Q$2+_xlfn.XLOOKUP(ValueFromColumnName("Ice Cream Amount",ROW()),Specs!A:A,Specs!V:V,0))*Specs!$N$2,0)</f>
        <v>#VALUE!</v>
      </c>
    </row>
    <row r="25" spans="1:39" x14ac:dyDescent="0.25">
      <c r="A25" s="30" t="s">
        <v>336</v>
      </c>
      <c r="B25" s="31" t="s">
        <v>62</v>
      </c>
      <c r="C25" s="31" t="s">
        <v>65</v>
      </c>
      <c r="D25" s="31" t="s">
        <v>335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173</v>
      </c>
      <c r="P25" s="30"/>
      <c r="Q25" s="30" cm="1">
        <f t="array" aca="1" ref="Q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R25" s="30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S25" s="30">
        <f t="shared" ca="1" si="0"/>
        <v>1479.1095</v>
      </c>
      <c r="T25" s="30" cm="1">
        <f t="array" aca="1" ref="T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25" s="30" cm="1">
        <f t="array" aca="1" ref="U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5" s="30" cm="1">
        <f t="array" aca="1" ref="V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W25" s="30" cm="1">
        <f t="array" aca="1" ref="W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5" s="30" cm="1">
        <f t="array" aca="1" ref="X2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5" s="30" cm="1">
        <f t="array" aca="1" ref="Y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5" s="34" cm="1">
        <f t="array" aca="1" ref="Z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A25" s="35" cm="1">
        <f t="array" aca="1" ref="AA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25" s="57" cm="1">
        <f t="array" aca="1" ref="AB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4370.4794999999995</v>
      </c>
      <c r="AC25" s="36" cm="1">
        <f t="array" aca="1" ref="AC2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5" s="36" cm="1">
        <f t="array" aca="1" ref="AD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101.67205</v>
      </c>
      <c r="AE25" s="37" cm="1">
        <f t="array" aca="1" ref="AE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480.35217241379303</v>
      </c>
      <c r="AF25" s="38" cm="1">
        <f t="array" aca="1" ref="AF25" ca="1">$AE26 / (_xlfn.XLOOKUP(ValueFromColumnName("Ice Cream Amount",ROW()),Specs!A:A,Specs!B:B,0))</f>
        <v>0</v>
      </c>
      <c r="AG25" s="37" cm="1">
        <f t="array" aca="1" ref="AG2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20.491985344827583</v>
      </c>
      <c r="AH25" s="54" cm="1">
        <f t="array" aca="1" ref="AH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I25" s="37" cm="1">
        <f t="array" aca="1" ref="AI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J25" s="37" cm="1">
        <f t="array" aca="1" ref="AJ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K25" s="37" cm="1">
        <f t="array" aca="1" ref="AK2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3.9000000000000004</v>
      </c>
      <c r="AL25" s="39" cm="1">
        <f t="array" aca="1" ref="AL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10.46688164483669</v>
      </c>
      <c r="AM25" s="40" t="e" cm="1">
        <f t="array" ref="AM25">ROUNDUP((ValueFromColumnName("Cost",ROW())+Specs!$Q$2+_xlfn.XLOOKUP(ValueFromColumnName("Ice Cream Amount",ROW()),Specs!A:A,Specs!V:V,0))*Specs!$N$2,0)</f>
        <v>#VALUE!</v>
      </c>
    </row>
    <row r="26" spans="1:39" x14ac:dyDescent="0.25">
      <c r="A26" s="30" t="s">
        <v>334</v>
      </c>
      <c r="B26" s="31" t="s">
        <v>66</v>
      </c>
      <c r="C26" s="31" t="s">
        <v>283</v>
      </c>
      <c r="D26" s="31" t="s">
        <v>5</v>
      </c>
      <c r="E26" s="31" t="s">
        <v>96</v>
      </c>
      <c r="F26" s="31" t="s">
        <v>234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156</v>
      </c>
      <c r="O26" s="30" t="s">
        <v>44</v>
      </c>
      <c r="P26" s="30" t="s">
        <v>44</v>
      </c>
      <c r="Q26" s="30" t="e" cm="1">
        <f t="array" aca="1" ref="Q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6" s="30" t="e" cm="1">
        <f t="array" aca="1" ref="R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6" s="30" t="e">
        <f t="shared" ca="1" si="0"/>
        <v>#VALUE!</v>
      </c>
      <c r="T26" s="30" t="e" cm="1">
        <f t="array" aca="1" ref="T2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6" s="30" t="e" cm="1">
        <f t="array" aca="1" ref="U2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6" s="30" t="e" cm="1">
        <f t="array" aca="1" ref="V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6" s="30" t="e" cm="1">
        <f t="array" aca="1" ref="W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6" s="30" cm="1">
        <f t="array" aca="1" ref="X2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6" s="30" t="e" cm="1">
        <f t="array" aca="1" ref="Y2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6" s="34" cm="1">
        <f t="array" aca="1" ref="Z2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6" s="35" cm="1">
        <f t="array" aca="1" ref="AA2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6" s="57" cm="1">
        <f t="array" aca="1" ref="AB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6" s="36" cm="1">
        <f t="array" aca="1" ref="AC2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6" s="36" cm="1">
        <f t="array" aca="1" ref="AD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6" s="37" cm="1">
        <f t="array" aca="1" ref="AE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6" s="38" t="e" cm="1">
        <f t="array" aca="1" ref="AF26" ca="1">$AE27 / (_xlfn.XLOOKUP(ValueFromColumnName("Ice Cream Amount",ROW()),Specs!A:A,Specs!B:B,0))</f>
        <v>#DIV/0!</v>
      </c>
      <c r="AG26" s="37" cm="1">
        <f t="array" aca="1" ref="AG2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6" s="54" t="e" cm="1">
        <f t="array" aca="1" ref="AH2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6" s="37" t="e" cm="1">
        <f t="array" aca="1" ref="AI2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26" s="37" t="e" cm="1">
        <f t="array" aca="1" ref="AJ2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6" s="37" t="e" cm="1">
        <f t="array" aca="1" ref="AK2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26" s="39" cm="1">
        <f t="array" aca="1" ref="AL2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6" s="40" t="e" cm="1">
        <f t="array" ref="AM26">ROUNDUP((ValueFromColumnName("Cost",ROW())+Specs!$Q$2+_xlfn.XLOOKUP(ValueFromColumnName("Ice Cream Amount",ROW()),Specs!A:A,Specs!V:V,0))*Specs!$N$2,0)</f>
        <v>#VALUE!</v>
      </c>
    </row>
    <row r="27" spans="1:39" x14ac:dyDescent="0.25">
      <c r="A27" s="41" t="s">
        <v>331</v>
      </c>
      <c r="B27" s="31" t="s">
        <v>66</v>
      </c>
      <c r="C27" s="31" t="s">
        <v>283</v>
      </c>
      <c r="D27" s="31" t="s">
        <v>176</v>
      </c>
      <c r="E27" s="31" t="s">
        <v>329</v>
      </c>
      <c r="F27" s="31" t="s">
        <v>245</v>
      </c>
      <c r="G27" s="31" t="s">
        <v>106</v>
      </c>
      <c r="H27" s="31" t="s">
        <v>244</v>
      </c>
      <c r="I27" s="31" t="s">
        <v>137</v>
      </c>
      <c r="J27" s="31" t="s">
        <v>132</v>
      </c>
      <c r="K27" s="30" t="s">
        <v>43</v>
      </c>
      <c r="L27" s="30" t="s">
        <v>157</v>
      </c>
      <c r="M27" s="30" t="s">
        <v>46</v>
      </c>
      <c r="N27" s="30" t="s">
        <v>156</v>
      </c>
      <c r="O27" s="30" t="s">
        <v>448</v>
      </c>
      <c r="P27" s="30" t="s">
        <v>158</v>
      </c>
      <c r="Q27" s="30" t="e" cm="1">
        <f t="array" aca="1" ref="Q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7" s="30" t="e" cm="1">
        <f t="array" aca="1" ref="R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7" s="30" t="e">
        <f t="shared" ca="1" si="0"/>
        <v>#VALUE!</v>
      </c>
      <c r="T27" s="30" t="e" cm="1">
        <f t="array" aca="1" ref="T2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7" s="30" t="e" cm="1">
        <f t="array" aca="1" ref="U2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7" s="30" t="e" cm="1">
        <f t="array" aca="1" ref="V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7" s="30" t="e" cm="1">
        <f t="array" aca="1" ref="W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7" s="30" t="e" cm="1">
        <f t="array" aca="1" ref="X2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7" s="30" t="e" cm="1">
        <f t="array" aca="1" ref="Y2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7" s="34" cm="1">
        <f t="array" aca="1" ref="Z2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7" s="35" cm="1">
        <f t="array" aca="1" ref="AA2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7" s="57" cm="1">
        <f t="array" aca="1" ref="AB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7" s="36" cm="1">
        <f t="array" aca="1" ref="AC2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7" s="36" cm="1">
        <f t="array" aca="1" ref="AD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7" s="37" cm="1">
        <f t="array" aca="1" ref="AE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7" s="38" t="e" cm="1">
        <f t="array" aca="1" ref="AF27" ca="1">$AE28 / (_xlfn.XLOOKUP(ValueFromColumnName("Ice Cream Amount",ROW()),Specs!A:A,Specs!B:B,0))</f>
        <v>#DIV/0!</v>
      </c>
      <c r="AG27" s="37" cm="1">
        <f t="array" aca="1" ref="AG2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7" s="54" t="e" cm="1">
        <f t="array" aca="1" ref="AH2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7" s="37" t="e" cm="1">
        <f t="array" aca="1" ref="AI2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27" s="37" t="e" cm="1">
        <f t="array" aca="1" ref="AJ2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7" s="37" t="e" cm="1">
        <f t="array" aca="1" ref="AK2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27" s="39" cm="1">
        <f t="array" aca="1" ref="AL2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7" s="40" t="e" cm="1">
        <f t="array" ref="AM27">ROUNDUP((ValueFromColumnName("Cost",ROW())+Specs!$Q$2+_xlfn.XLOOKUP(ValueFromColumnName("Ice Cream Amount",ROW()),Specs!A:A,Specs!V:V,0))*Specs!$N$2,0)</f>
        <v>#VALUE!</v>
      </c>
    </row>
    <row r="28" spans="1:39" x14ac:dyDescent="0.25">
      <c r="A28" s="30" t="s">
        <v>370</v>
      </c>
      <c r="B28" s="31" t="s">
        <v>62</v>
      </c>
      <c r="C28" s="31" t="s">
        <v>65</v>
      </c>
      <c r="D28" s="31" t="s">
        <v>160</v>
      </c>
      <c r="E28" s="31" t="s">
        <v>0</v>
      </c>
      <c r="F28" s="31" t="s">
        <v>104</v>
      </c>
      <c r="G28" s="31" t="s">
        <v>3</v>
      </c>
      <c r="H28" s="31" t="s">
        <v>167</v>
      </c>
      <c r="I28" s="31" t="s">
        <v>134</v>
      </c>
      <c r="J28" s="31" t="s">
        <v>1</v>
      </c>
      <c r="K28" s="30" t="s">
        <v>4</v>
      </c>
      <c r="L28" s="30" t="s">
        <v>175</v>
      </c>
      <c r="M28" s="30" t="s">
        <v>175</v>
      </c>
      <c r="N28" s="30" t="s">
        <v>156</v>
      </c>
      <c r="O28" s="30" t="s">
        <v>158</v>
      </c>
      <c r="P28" s="30" t="s">
        <v>158</v>
      </c>
      <c r="Q28" s="30" cm="1">
        <f t="array" aca="1" ref="Q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R28" s="30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S28" s="30">
        <f t="shared" ca="1" si="0"/>
        <v>453.42000000000007</v>
      </c>
      <c r="T28" s="30" cm="1">
        <f t="array" aca="1" ref="T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28" s="30" cm="1">
        <f t="array" aca="1" ref="U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8" s="30" cm="1">
        <f t="array" aca="1" ref="V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8" s="30" cm="1">
        <f t="array" aca="1" ref="W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8" s="30" cm="1">
        <f t="array" aca="1" ref="X2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8" s="30" cm="1">
        <f t="array" aca="1" ref="Y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8" s="34" cm="1">
        <f t="array" aca="1" ref="Z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A28" s="35" cm="1">
        <f t="array" aca="1" ref="AA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28" s="57" cm="1">
        <f t="array" aca="1" ref="AB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1296.48</v>
      </c>
      <c r="AC28" s="36" cm="1">
        <f t="array" aca="1" ref="AC2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8" s="36" cm="1">
        <f t="array" aca="1" ref="AD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</v>
      </c>
      <c r="AE28" s="37" cm="1">
        <f t="array" aca="1" ref="AE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105.798</v>
      </c>
      <c r="AF28" s="38" cm="1">
        <f t="array" aca="1" ref="AF28" ca="1">$AE29 / (_xlfn.XLOOKUP(ValueFromColumnName("Ice Cream Amount",ROW()),Specs!A:A,Specs!B:B,0))</f>
        <v>0.51022674418604663</v>
      </c>
      <c r="AG28" s="37" cm="1">
        <f t="array" aca="1" ref="AG2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8" s="54" cm="1">
        <f t="array" aca="1" ref="AH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164.45835095137423</v>
      </c>
      <c r="AI28" s="37" cm="1">
        <f t="array" aca="1" ref="AI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7.4841437632135301</v>
      </c>
      <c r="AJ28" s="37" cm="1">
        <f t="array" aca="1" ref="AJ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K28" s="37" cm="1">
        <f t="array" aca="1" ref="AK2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8" s="39" cm="1">
        <f t="array" aca="1" ref="AL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4.2986930409955235</v>
      </c>
      <c r="AM28" s="40" t="e" cm="1">
        <f t="array" ref="AM28">ROUNDUP((ValueFromColumnName("Cost",ROW())+Specs!$Q$2+_xlfn.XLOOKUP(ValueFromColumnName("Ice Cream Amount",ROW()),Specs!A:A,Specs!V:V,0))*Specs!$N$2,0)</f>
        <v>#VALUE!</v>
      </c>
    </row>
    <row r="29" spans="1:39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175</v>
      </c>
      <c r="M29" s="30" t="s">
        <v>175</v>
      </c>
      <c r="N29" s="30" t="s">
        <v>156</v>
      </c>
      <c r="O29" s="30" t="s">
        <v>158</v>
      </c>
      <c r="P29" s="30" t="s">
        <v>158</v>
      </c>
      <c r="Q29" s="30" cm="1">
        <f t="array" aca="1" ref="Q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R29" s="30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S29" s="30">
        <f t="shared" ca="1" si="0"/>
        <v>1034.3025000000002</v>
      </c>
      <c r="T29" s="30" cm="1">
        <f t="array" aca="1" ref="T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29" s="30" cm="1">
        <f t="array" aca="1" ref="U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V29" s="30" cm="1">
        <f t="array" aca="1" ref="V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29" s="30" cm="1">
        <f t="array" aca="1" ref="W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9" s="30" cm="1">
        <f t="array" aca="1" ref="X2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9" s="30" cm="1">
        <f t="array" aca="1" ref="Y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9" s="34" cm="1">
        <f t="array" aca="1" ref="Z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A29" s="35" cm="1">
        <f t="array" aca="1" ref="AA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29" s="57" cm="1">
        <f t="array" aca="1" ref="AB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2786.8725000000004</v>
      </c>
      <c r="AC29" s="36" cm="1">
        <f t="array" aca="1" ref="AC2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9" s="36" cm="1">
        <f t="array" aca="1" ref="AD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86</v>
      </c>
      <c r="AE29" s="37" cm="1">
        <f t="array" aca="1" ref="AE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241.33725000000004</v>
      </c>
      <c r="AF29" s="38" cm="1">
        <f t="array" aca="1" ref="AF29" ca="1">$AE30 / (_xlfn.XLOOKUP(ValueFromColumnName("Ice Cream Amount",ROW()),Specs!A:A,Specs!B:B,0))</f>
        <v>3.7888803680981603E-2</v>
      </c>
      <c r="AG29" s="37" cm="1">
        <f t="array" aca="1" ref="AG2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9" s="54" cm="1">
        <f t="array" aca="1" ref="AH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I29" s="37" cm="1">
        <f t="array" aca="1" ref="AI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J29" s="37" cm="1">
        <f t="array" aca="1" ref="AJ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K29" s="37" cm="1">
        <f t="array" aca="1" ref="AK2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29" s="39" cm="1">
        <f t="array" aca="1" ref="AL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10.920938103958481</v>
      </c>
      <c r="AM29" s="40" t="e" cm="1">
        <f t="array" ref="AM29">ROUNDUP((ValueFromColumnName("Cost",ROW())+Specs!$Q$2+_xlfn.XLOOKUP(ValueFromColumnName("Ice Cream Amount",ROW()),Specs!A:A,Specs!V:V,0))*Specs!$N$2,0)</f>
        <v>#VALUE!</v>
      </c>
    </row>
    <row r="30" spans="1:39" x14ac:dyDescent="0.25">
      <c r="A30" s="30" t="s">
        <v>375</v>
      </c>
      <c r="B30" s="31" t="s">
        <v>62</v>
      </c>
      <c r="C30" s="31" t="s">
        <v>65</v>
      </c>
      <c r="D30" s="31" t="s">
        <v>374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 cm="1">
        <f t="array" aca="1" ref="Q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0" s="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0" s="30">
        <f t="shared" ca="1" si="0"/>
        <v>284.3775</v>
      </c>
      <c r="T30" s="30" cm="1">
        <f t="array" aca="1" ref="T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0" s="30" cm="1">
        <f t="array" aca="1" ref="U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0" s="30" cm="1">
        <f t="array" aca="1" ref="V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W30" s="30" cm="1">
        <f t="array" aca="1" ref="W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0" s="30" cm="1">
        <f t="array" aca="1" ref="X3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0" s="30" cm="1">
        <f t="array" aca="1" ref="Y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0" s="34" cm="1">
        <f t="array" aca="1" ref="Z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0" s="35" cm="1">
        <f t="array" aca="1" ref="AA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0" s="57" cm="1">
        <f t="array" aca="1" ref="AB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766.02</v>
      </c>
      <c r="AC30" s="36" cm="1">
        <f t="array" aca="1" ref="AC3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0" s="36" cm="1">
        <f t="array" aca="1" ref="AD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20.159750000000003</v>
      </c>
      <c r="AE30" s="37" cm="1">
        <f t="array" aca="1" ref="AE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67.934625000000011</v>
      </c>
      <c r="AF30" s="38" cm="1">
        <f t="array" aca="1" ref="AF30" ca="1">$AE31 / (_xlfn.XLOOKUP(ValueFromColumnName("Ice Cream Amount",ROW()),Specs!A:A,Specs!B:B,0))</f>
        <v>0</v>
      </c>
      <c r="AG30" s="37" cm="1">
        <f t="array" aca="1" ref="AG3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3.1597500000000003</v>
      </c>
      <c r="AH30" s="54" cm="1">
        <f t="array" aca="1" ref="AH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I30" s="37" cm="1">
        <f t="array" aca="1" ref="AI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J30" s="37" cm="1">
        <f t="array" aca="1" ref="AJ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K30" s="37" cm="1">
        <f t="array" aca="1" ref="AK3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0.50434027777777768</v>
      </c>
      <c r="AL30" s="39" cm="1">
        <f t="array" aca="1" ref="AL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2.2191759482768019</v>
      </c>
      <c r="AM30" s="40" t="e" cm="1">
        <f t="array" ref="AM30">ROUNDUP((ValueFromColumnName("Cost",ROW())+Specs!$Q$2+_xlfn.XLOOKUP(ValueFromColumnName("Ice Cream Amount",ROW()),Specs!A:A,Specs!V:V,0))*Specs!$N$2,0)</f>
        <v>#VALUE!</v>
      </c>
    </row>
    <row r="31" spans="1:39" x14ac:dyDescent="0.25">
      <c r="A31" s="42" t="s">
        <v>385</v>
      </c>
      <c r="B31" s="31" t="s">
        <v>66</v>
      </c>
      <c r="C31" s="31" t="s">
        <v>283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156</v>
      </c>
      <c r="O31" s="30" t="s">
        <v>173</v>
      </c>
      <c r="P31" s="30" t="s">
        <v>44</v>
      </c>
      <c r="Q31" s="30" t="e" cm="1">
        <f t="array" aca="1" ref="Q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1" s="30" t="e" cm="1">
        <f t="array" aca="1" ref="R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1" s="30" t="e">
        <f t="shared" ca="1" si="0"/>
        <v>#VALUE!</v>
      </c>
      <c r="T31" s="30" t="e" cm="1">
        <f t="array" aca="1" ref="T3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1" s="30" t="e" cm="1">
        <f t="array" aca="1" ref="U3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1" s="30" t="e" cm="1">
        <f t="array" aca="1" ref="V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1" s="30" t="e" cm="1">
        <f t="array" aca="1" ref="W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1" s="30" cm="1">
        <f t="array" aca="1" ref="X3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1" s="30" t="e" cm="1">
        <f t="array" aca="1" ref="Y3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1" s="34" cm="1">
        <f t="array" aca="1" ref="Z3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1" s="35" cm="1">
        <f t="array" aca="1" ref="AA3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1" s="57" cm="1">
        <f t="array" aca="1" ref="AB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1" s="36" cm="1">
        <f t="array" aca="1" ref="AC3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1" s="36" cm="1">
        <f t="array" aca="1" ref="AD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1" s="37" cm="1">
        <f t="array" aca="1" ref="AE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1" s="38" t="e" cm="1">
        <f t="array" aca="1" ref="AF31" ca="1">$AE32 / (_xlfn.XLOOKUP(ValueFromColumnName("Ice Cream Amount",ROW()),Specs!A:A,Specs!B:B,0))</f>
        <v>#DIV/0!</v>
      </c>
      <c r="AG31" s="37" cm="1">
        <f t="array" aca="1" ref="AG3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1" s="54" t="e" cm="1">
        <f t="array" aca="1" ref="AH3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1" s="37" t="e" cm="1">
        <f t="array" aca="1" ref="AI3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31" s="37" t="e" cm="1">
        <f t="array" aca="1" ref="AJ3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1" s="37" t="e" cm="1">
        <f t="array" aca="1" ref="AK3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31" s="39" cm="1">
        <f t="array" aca="1" ref="AL3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1" s="40" t="e" cm="1">
        <f t="array" ref="AM31">ROUNDUP((ValueFromColumnName("Cost",ROW())+Specs!$Q$2+_xlfn.XLOOKUP(ValueFromColumnName("Ice Cream Amount",ROW()),Specs!A:A,Specs!V:V,0))*Specs!$N$2,0)</f>
        <v>#VALUE!</v>
      </c>
    </row>
    <row r="32" spans="1:39" x14ac:dyDescent="0.25">
      <c r="A32" s="42" t="s">
        <v>520</v>
      </c>
      <c r="B32" s="31" t="s">
        <v>66</v>
      </c>
      <c r="C32" s="31" t="s">
        <v>283</v>
      </c>
      <c r="D32" s="31" t="s">
        <v>96</v>
      </c>
      <c r="E32" s="31" t="s">
        <v>0</v>
      </c>
      <c r="F32" s="31"/>
      <c r="G32" s="31"/>
      <c r="H32" s="31"/>
      <c r="I32" s="31" t="s">
        <v>510</v>
      </c>
      <c r="J32" s="31" t="s">
        <v>2</v>
      </c>
      <c r="K32" s="30" t="s">
        <v>4</v>
      </c>
      <c r="L32" s="30" t="s">
        <v>46</v>
      </c>
      <c r="M32" s="30" t="s">
        <v>450</v>
      </c>
      <c r="N32" s="30" t="s">
        <v>44</v>
      </c>
      <c r="O32" s="30" t="s">
        <v>158</v>
      </c>
      <c r="P32" s="30" t="s">
        <v>448</v>
      </c>
      <c r="Q32" s="30" t="e" cm="1">
        <f t="array" aca="1" ref="Q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2" s="30" t="e" cm="1">
        <f t="array" aca="1" ref="R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2" s="30" t="e">
        <f t="shared" ca="1" si="0"/>
        <v>#VALUE!</v>
      </c>
      <c r="T32" s="30" t="e" cm="1">
        <f t="array" aca="1" ref="T3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2" s="30" t="e" cm="1">
        <f t="array" aca="1" ref="U3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2" s="30" t="e" cm="1">
        <f t="array" aca="1" ref="V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2" s="30" t="e" cm="1">
        <f t="array" aca="1" ref="W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2" s="30" cm="1">
        <f t="array" aca="1" ref="X3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2" s="30" t="e" cm="1">
        <f t="array" aca="1" ref="Y3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2" s="34" cm="1">
        <f t="array" aca="1" ref="Z3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2" s="35" cm="1">
        <f t="array" aca="1" ref="AA3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2" s="57" cm="1">
        <f t="array" aca="1" ref="AB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2" s="36" cm="1">
        <f t="array" aca="1" ref="AC3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2" s="36" cm="1">
        <f t="array" aca="1" ref="AD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2" s="37" cm="1">
        <f t="array" aca="1" ref="AE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2" s="38" t="e" cm="1">
        <f t="array" aca="1" ref="AF32" ca="1">$AE33 / (_xlfn.XLOOKUP(ValueFromColumnName("Ice Cream Amount",ROW()),Specs!A:A,Specs!B:B,0))</f>
        <v>#DIV/0!</v>
      </c>
      <c r="AG32" s="37" cm="1">
        <f t="array" aca="1" ref="AG3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2" s="54" t="e" cm="1">
        <f t="array" aca="1" ref="AH3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2" s="37" t="e" cm="1">
        <f t="array" aca="1" ref="AI3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32" s="37" t="e" cm="1">
        <f t="array" aca="1" ref="AJ3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2" s="37" t="e" cm="1">
        <f t="array" aca="1" ref="AK3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32" s="39" cm="1">
        <f t="array" aca="1" ref="AL3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2" s="40" t="e" cm="1">
        <f t="array" ref="AM32">ROUNDUP((ValueFromColumnName("Cost",ROW())+Specs!$Q$2+_xlfn.XLOOKUP(ValueFromColumnName("Ice Cream Amount",ROW()),Specs!A:A,Specs!V:V,0))*Specs!$N$2,0)</f>
        <v>#VALUE!</v>
      </c>
    </row>
    <row r="33" spans="1:39" x14ac:dyDescent="0.25">
      <c r="A33" s="42" t="s">
        <v>388</v>
      </c>
      <c r="B33" s="31" t="s">
        <v>66</v>
      </c>
      <c r="C33" s="31" t="s">
        <v>283</v>
      </c>
      <c r="D33" s="31" t="s">
        <v>386</v>
      </c>
      <c r="E33" s="31" t="s">
        <v>96</v>
      </c>
      <c r="F33" s="31" t="s">
        <v>234</v>
      </c>
      <c r="G33" s="31"/>
      <c r="H33" s="31"/>
      <c r="I33" s="31" t="s">
        <v>510</v>
      </c>
      <c r="J33" s="31" t="s">
        <v>1</v>
      </c>
      <c r="K33" s="30" t="s">
        <v>340</v>
      </c>
      <c r="L33" s="30" t="s">
        <v>451</v>
      </c>
      <c r="M33" s="30" t="s">
        <v>46</v>
      </c>
      <c r="N33" s="30" t="s">
        <v>156</v>
      </c>
      <c r="O33" s="30" t="s">
        <v>158</v>
      </c>
      <c r="P33" s="30" t="s">
        <v>44</v>
      </c>
      <c r="Q33" s="30" cm="1">
        <f t="array" aca="1" ref="Q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33" s="30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33" s="30">
        <f t="shared" ca="1" si="0"/>
        <v>343.77750000000003</v>
      </c>
      <c r="T33" s="30" cm="1">
        <f t="array" aca="1" ref="T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3" s="30" cm="1">
        <f t="array" aca="1" ref="U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3" s="30" cm="1">
        <f t="array" aca="1" ref="V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33" s="30" cm="1">
        <f t="array" aca="1" ref="W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3" s="30" cm="1">
        <f t="array" aca="1" ref="X3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3" s="30" cm="1">
        <f t="array" aca="1" ref="Y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3" s="34" cm="1">
        <f t="array" aca="1" ref="Z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33" s="35" cm="1">
        <f t="array" aca="1" ref="AA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3" s="57" cm="1">
        <f t="array" aca="1" ref="AB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627.23613044794183</v>
      </c>
      <c r="AC33" s="36" cm="1">
        <f t="array" aca="1" ref="AC3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3" s="36" cm="1">
        <f t="array" aca="1" ref="AD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40.000946188528012</v>
      </c>
      <c r="AE33" s="37" cm="1">
        <f t="array" aca="1" ref="AE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27.031329005594056</v>
      </c>
      <c r="AF33" s="38" cm="1">
        <f t="array" aca="1" ref="AF33" ca="1">$AE34 / (_xlfn.XLOOKUP(ValueFromColumnName("Ice Cream Amount",ROW()),Specs!A:A,Specs!B:B,0))</f>
        <v>0</v>
      </c>
      <c r="AG33" s="37" cm="1">
        <f t="array" aca="1" ref="AG3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37.576758735493023</v>
      </c>
      <c r="AH33" s="54" cm="1">
        <f t="array" aca="1" ref="AH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I33" s="37" cm="1">
        <f t="array" aca="1" ref="AI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J33" s="37" cm="1">
        <f t="array" aca="1" ref="AJ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K33" s="37" cm="1">
        <f t="array" aca="1" ref="AK3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33" s="39" cm="1">
        <f t="array" aca="1" ref="AL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3.8601238703723326</v>
      </c>
      <c r="AM33" s="40" t="e" cm="1">
        <f t="array" ref="AM33">ROUNDUP((ValueFromColumnName("Cost",ROW())+Specs!$Q$2+_xlfn.XLOOKUP(ValueFromColumnName("Ice Cream Amount",ROW()),Specs!A:A,Specs!V:V,0))*Specs!$N$2,0)</f>
        <v>#VALUE!</v>
      </c>
    </row>
    <row r="34" spans="1:39" x14ac:dyDescent="0.25">
      <c r="A34" s="42" t="s">
        <v>518</v>
      </c>
      <c r="B34" s="31" t="s">
        <v>66</v>
      </c>
      <c r="C34" s="31" t="s">
        <v>283</v>
      </c>
      <c r="D34" s="31" t="s">
        <v>516</v>
      </c>
      <c r="E34" s="31" t="s">
        <v>75</v>
      </c>
      <c r="F34" s="31" t="s">
        <v>234</v>
      </c>
      <c r="G34" s="31"/>
      <c r="H34" s="31"/>
      <c r="I34" s="31" t="s">
        <v>132</v>
      </c>
      <c r="J34" s="31" t="s">
        <v>1</v>
      </c>
      <c r="K34" s="30" t="s">
        <v>340</v>
      </c>
      <c r="L34" s="30" t="s">
        <v>6</v>
      </c>
      <c r="M34" s="30" t="s">
        <v>46</v>
      </c>
      <c r="N34" s="30" t="s">
        <v>156</v>
      </c>
      <c r="O34" s="30" t="s">
        <v>173</v>
      </c>
      <c r="P34" s="30" t="s">
        <v>44</v>
      </c>
      <c r="Q34" s="30" t="e" cm="1">
        <f t="array" aca="1" ref="Q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4" s="30" t="e" cm="1">
        <f t="array" aca="1" ref="R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4" s="30" t="e">
        <f t="shared" ca="1" si="0"/>
        <v>#VALUE!</v>
      </c>
      <c r="T34" s="30" t="e" cm="1">
        <f t="array" aca="1" ref="T3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4" s="30" t="e" cm="1">
        <f t="array" aca="1" ref="U3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4" s="30" t="e" cm="1">
        <f t="array" aca="1" ref="V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4" s="30" t="e" cm="1">
        <f t="array" aca="1" ref="W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4" s="30" cm="1">
        <f t="array" aca="1" ref="X3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4" s="30" t="e" cm="1">
        <f t="array" aca="1" ref="Y3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4" s="34" cm="1">
        <f t="array" aca="1" ref="Z3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4" s="35" cm="1">
        <f t="array" aca="1" ref="AA3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4" s="57" cm="1">
        <f t="array" aca="1" ref="AB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4" s="36" cm="1">
        <f t="array" aca="1" ref="AC3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4" s="36" cm="1">
        <f t="array" aca="1" ref="AD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4" s="37" cm="1">
        <f t="array" aca="1" ref="AE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4" s="38" t="e" cm="1">
        <f t="array" aca="1" ref="AF34" ca="1">$AE35 / (_xlfn.XLOOKUP(ValueFromColumnName("Ice Cream Amount",ROW()),Specs!A:A,Specs!B:B,0))</f>
        <v>#DIV/0!</v>
      </c>
      <c r="AG34" s="37" cm="1">
        <f t="array" aca="1" ref="AG3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4" s="54" t="e" cm="1">
        <f t="array" aca="1" ref="AH3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4" s="37" t="e" cm="1">
        <f t="array" aca="1" ref="AI3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34" s="37" t="e" cm="1">
        <f t="array" aca="1" ref="AJ3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4" s="37" t="e" cm="1">
        <f t="array" aca="1" ref="AK3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34" s="39" cm="1">
        <f t="array" aca="1" ref="AL3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4" s="40" t="e" cm="1">
        <f t="array" ref="AM34">ROUNDUP((ValueFromColumnName("Cost",ROW())+Specs!$Q$2+_xlfn.XLOOKUP(ValueFromColumnName("Ice Cream Amount",ROW()),Specs!A:A,Specs!V:V,0))*Specs!$N$2,0)</f>
        <v>#VALUE!</v>
      </c>
    </row>
    <row r="35" spans="1:39" x14ac:dyDescent="0.25">
      <c r="A35" s="42" t="s">
        <v>429</v>
      </c>
      <c r="B35" s="31" t="s">
        <v>62</v>
      </c>
      <c r="C35" s="31" t="s">
        <v>65</v>
      </c>
      <c r="D35" s="31" t="s">
        <v>386</v>
      </c>
      <c r="E35" s="31"/>
      <c r="F35" s="31" t="s">
        <v>234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156</v>
      </c>
      <c r="O35" s="30" t="s">
        <v>448</v>
      </c>
      <c r="P35" s="30" t="s">
        <v>44</v>
      </c>
      <c r="Q35" s="30" t="e" cm="1">
        <f t="array" aca="1" ref="Q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5" s="30" t="e" cm="1">
        <f t="array" aca="1" ref="R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5" s="30" t="e">
        <f t="shared" ca="1" si="0"/>
        <v>#VALUE!</v>
      </c>
      <c r="T35" s="30" t="e" cm="1">
        <f t="array" aca="1" ref="T3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5" s="30" t="e" cm="1">
        <f t="array" aca="1" ref="U3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5" s="30" t="e" cm="1">
        <f t="array" aca="1" ref="V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5" s="30" t="e" cm="1">
        <f t="array" aca="1" ref="W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5" s="30" t="e" cm="1">
        <f t="array" aca="1" ref="X3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35" s="30" t="e" cm="1">
        <f t="array" aca="1" ref="Y3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5" s="34" cm="1">
        <f t="array" aca="1" ref="Z3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5" s="35" cm="1">
        <f t="array" aca="1" ref="AA3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5" s="57" cm="1">
        <f t="array" aca="1" ref="AB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5" s="36" cm="1">
        <f t="array" aca="1" ref="AC3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5" s="36" cm="1">
        <f t="array" aca="1" ref="AD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5" s="37" cm="1">
        <f t="array" aca="1" ref="AE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5" s="38" t="e" cm="1">
        <f t="array" aca="1" ref="AF35" ca="1">$AE36 / (_xlfn.XLOOKUP(ValueFromColumnName("Ice Cream Amount",ROW()),Specs!A:A,Specs!B:B,0))</f>
        <v>#DIV/0!</v>
      </c>
      <c r="AG35" s="37" cm="1">
        <f t="array" aca="1" ref="AG3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5" s="54" t="e" cm="1">
        <f t="array" aca="1" ref="AH3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5" s="37" t="e" cm="1">
        <f t="array" aca="1" ref="AI3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35" s="37" t="e" cm="1">
        <f t="array" aca="1" ref="AJ3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5" s="37" t="e" cm="1">
        <f t="array" aca="1" ref="AK3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35" s="39" cm="1">
        <f t="array" aca="1" ref="AL3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5" s="40" t="e" cm="1">
        <f t="array" ref="AM35">ROUNDUP((ValueFromColumnName("Cost",ROW())+Specs!$Q$2+_xlfn.XLOOKUP(ValueFromColumnName("Ice Cream Amount",ROW()),Specs!A:A,Specs!V:V,0))*Specs!$N$2,0)</f>
        <v>#VALUE!</v>
      </c>
    </row>
    <row r="36" spans="1:39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175</v>
      </c>
      <c r="M36" s="30" t="s">
        <v>175</v>
      </c>
      <c r="N36" s="30" t="s">
        <v>156</v>
      </c>
      <c r="O36" s="30" t="s">
        <v>158</v>
      </c>
      <c r="P36" s="30" t="s">
        <v>158</v>
      </c>
      <c r="Q36" s="30" cm="1">
        <f t="array" aca="1" ref="Q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36" s="30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36" s="30">
        <f t="shared" ca="1" si="0"/>
        <v>460.84500000000003</v>
      </c>
      <c r="T36" s="30" cm="1">
        <f t="array" aca="1" ref="T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6" s="30" cm="1">
        <f t="array" aca="1" ref="U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6" s="30" cm="1">
        <f t="array" aca="1" ref="V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36" s="30" cm="1">
        <f t="array" aca="1" ref="W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6" s="30" cm="1">
        <f t="array" aca="1" ref="X3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6" s="30" cm="1">
        <f t="array" aca="1" ref="Y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6" s="34" cm="1">
        <f t="array" aca="1" ref="Z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36" s="35" cm="1">
        <f t="array" aca="1" ref="AA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6" s="57" cm="1">
        <f t="array" aca="1" ref="AB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1387.5225000000003</v>
      </c>
      <c r="AC36" s="36" cm="1">
        <f t="array" aca="1" ref="AC3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6" s="36" cm="1">
        <f t="array" aca="1" ref="AD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E36" s="37" cm="1">
        <f t="array" aca="1" ref="AE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134.41312500000004</v>
      </c>
      <c r="AF36" s="38" cm="1">
        <f t="array" aca="1" ref="AF36" ca="1">$AE37 / (_xlfn.XLOOKUP(ValueFromColumnName("Ice Cream Amount",ROW()),Specs!A:A,Specs!B:B,0))</f>
        <v>0</v>
      </c>
      <c r="AG36" s="37" cm="1">
        <f t="array" aca="1" ref="AG3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7.6807500000000015</v>
      </c>
      <c r="AH36" s="54" cm="1">
        <f t="array" aca="1" ref="AH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I36" s="37" cm="1">
        <f t="array" aca="1" ref="AI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J36" s="37" cm="1">
        <f t="array" aca="1" ref="AJ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K36" s="37" cm="1">
        <f t="array" aca="1" ref="AK3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36" s="39" cm="1">
        <f t="array" aca="1" ref="AL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M36" s="40" t="e" cm="1">
        <f t="array" ref="AM36">ROUNDUP((ValueFromColumnName("Cost",ROW())+Specs!$Q$2+_xlfn.XLOOKUP(ValueFromColumnName("Ice Cream Amount",ROW()),Specs!A:A,Specs!V:V,0))*Specs!$N$2,0)</f>
        <v>#VALUE!</v>
      </c>
    </row>
    <row r="37" spans="1:39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175</v>
      </c>
      <c r="M37" s="30" t="s">
        <v>175</v>
      </c>
      <c r="N37" s="30" t="s">
        <v>156</v>
      </c>
      <c r="O37" s="30" t="s">
        <v>158</v>
      </c>
      <c r="P37" s="30" t="s">
        <v>158</v>
      </c>
      <c r="Q37" s="30" t="e" cm="1">
        <f t="array" aca="1" ref="Q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7" s="30" t="e" cm="1">
        <f t="array" aca="1" ref="R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7" s="30" t="e">
        <f t="shared" ca="1" si="0"/>
        <v>#VALUE!</v>
      </c>
      <c r="T37" s="30" t="e" cm="1">
        <f t="array" aca="1" ref="T3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7" s="30" t="e" cm="1">
        <f t="array" aca="1" ref="U3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7" s="30" t="e" cm="1">
        <f t="array" aca="1" ref="V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7" s="30" t="e" cm="1">
        <f t="array" aca="1" ref="W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7" s="30" cm="1">
        <f t="array" aca="1" ref="X3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7" s="30" t="e" cm="1">
        <f t="array" aca="1" ref="Y3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7" s="34" cm="1">
        <f t="array" aca="1" ref="Z3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7" s="35" cm="1">
        <f t="array" aca="1" ref="AA3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7" s="57" cm="1">
        <f t="array" aca="1" ref="AB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7" s="36" cm="1">
        <f t="array" aca="1" ref="AC3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7" s="36" cm="1">
        <f t="array" aca="1" ref="AD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7" s="37" cm="1">
        <f t="array" aca="1" ref="AE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7" s="38" t="e" cm="1">
        <f t="array" aca="1" ref="AF37" ca="1">$AE38 / (_xlfn.XLOOKUP(ValueFromColumnName("Ice Cream Amount",ROW()),Specs!A:A,Specs!B:B,0))</f>
        <v>#DIV/0!</v>
      </c>
      <c r="AG37" s="37" cm="1">
        <f t="array" aca="1" ref="AG3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7" s="54" t="e" cm="1">
        <f t="array" aca="1" ref="AH3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7" s="37" t="e" cm="1">
        <f t="array" aca="1" ref="AI3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37" s="37" t="e" cm="1">
        <f t="array" aca="1" ref="AJ3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7" s="37" t="e" cm="1">
        <f t="array" aca="1" ref="AK3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37" s="39" cm="1">
        <f t="array" aca="1" ref="AL3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7" s="40" t="e" cm="1">
        <f t="array" ref="AM37">ROUNDUP((ValueFromColumnName("Cost",ROW())+Specs!$Q$2+_xlfn.XLOOKUP(ValueFromColumnName("Ice Cream Amount",ROW()),Specs!A:A,Specs!V:V,0))*Specs!$N$2,0)</f>
        <v>#VALUE!</v>
      </c>
    </row>
    <row r="38" spans="1:39" x14ac:dyDescent="0.25">
      <c r="A38" s="50" t="s">
        <v>455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156</v>
      </c>
      <c r="O38" s="30" t="s">
        <v>173</v>
      </c>
      <c r="P38" s="30" t="s">
        <v>44</v>
      </c>
      <c r="Q38" s="30" t="e" cm="1">
        <f t="array" aca="1" ref="Q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8" s="30" t="e" cm="1">
        <f t="array" aca="1" ref="R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8" s="30" t="e">
        <f t="shared" ca="1" si="0"/>
        <v>#VALUE!</v>
      </c>
      <c r="T38" s="30" t="e" cm="1">
        <f t="array" aca="1" ref="T3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8" s="30" t="e" cm="1">
        <f t="array" aca="1" ref="U3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8" s="30" t="e" cm="1">
        <f t="array" aca="1" ref="V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8" s="30" t="e" cm="1">
        <f t="array" aca="1" ref="W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8" s="30" cm="1">
        <f t="array" aca="1" ref="X3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8" s="30" t="e" cm="1">
        <f t="array" aca="1" ref="Y3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8" s="34" cm="1">
        <f t="array" aca="1" ref="Z3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8" s="35" cm="1">
        <f t="array" aca="1" ref="AA3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8" s="57" cm="1">
        <f t="array" aca="1" ref="AB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8" s="36" cm="1">
        <f t="array" aca="1" ref="AC3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8" s="36" cm="1">
        <f t="array" aca="1" ref="AD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8" s="37" cm="1">
        <f t="array" aca="1" ref="AE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8" s="38" t="e" cm="1">
        <f t="array" aca="1" ref="AF38" ca="1">$AE39 / (_xlfn.XLOOKUP(ValueFromColumnName("Ice Cream Amount",ROW()),Specs!A:A,Specs!B:B,0))</f>
        <v>#DIV/0!</v>
      </c>
      <c r="AG38" s="37" cm="1">
        <f t="array" aca="1" ref="AG3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8" s="54" t="e" cm="1">
        <f t="array" aca="1" ref="AH3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8" s="37" t="e" cm="1">
        <f t="array" aca="1" ref="AI3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38" s="37" t="e" cm="1">
        <f t="array" aca="1" ref="AJ3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8" s="37" t="e" cm="1">
        <f t="array" aca="1" ref="AK3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38" s="39" cm="1">
        <f t="array" aca="1" ref="AL3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8" s="40" t="e" cm="1">
        <f t="array" ref="AM38">ROUNDUP((ValueFromColumnName("Cost",ROW())+Specs!$Q$2+_xlfn.XLOOKUP(ValueFromColumnName("Ice Cream Amount",ROW()),Specs!A:A,Specs!V:V,0))*Specs!$N$2,0)</f>
        <v>#VALUE!</v>
      </c>
    </row>
    <row r="39" spans="1:39" x14ac:dyDescent="0.25">
      <c r="A39" s="52" t="s">
        <v>499</v>
      </c>
      <c r="B39" s="31" t="s">
        <v>62</v>
      </c>
      <c r="C39" s="31" t="s">
        <v>65</v>
      </c>
      <c r="D39" s="31" t="s">
        <v>485</v>
      </c>
      <c r="E39" s="31"/>
      <c r="F39" s="31" t="s">
        <v>462</v>
      </c>
      <c r="G39" s="31"/>
      <c r="H39" s="31"/>
      <c r="I39" s="31" t="s">
        <v>1</v>
      </c>
      <c r="J39" s="31"/>
      <c r="K39" s="30" t="s">
        <v>4</v>
      </c>
      <c r="L39" s="30" t="s">
        <v>451</v>
      </c>
      <c r="M39" s="30" t="s">
        <v>44</v>
      </c>
      <c r="N39" s="30" t="s">
        <v>156</v>
      </c>
      <c r="O39" s="30" t="s">
        <v>448</v>
      </c>
      <c r="P39" s="30" t="s">
        <v>44</v>
      </c>
      <c r="Q39" s="30" t="e" cm="1">
        <f t="array" aca="1" ref="Q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9" s="30" t="e" cm="1">
        <f t="array" aca="1" ref="R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9" s="30" t="e">
        <f t="shared" ca="1" si="0"/>
        <v>#VALUE!</v>
      </c>
      <c r="T39" s="30" t="e" cm="1">
        <f t="array" aca="1" ref="T3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9" s="30" t="e" cm="1">
        <f t="array" aca="1" ref="U3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9" s="30" t="e" cm="1">
        <f t="array" aca="1" ref="V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9" s="30" t="e" cm="1">
        <f t="array" aca="1" ref="W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9" s="30" cm="1">
        <f t="array" aca="1" ref="X3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9" s="30" t="e" cm="1">
        <f t="array" aca="1" ref="Y3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9" s="34" cm="1">
        <f t="array" aca="1" ref="Z3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9" s="35" cm="1">
        <f t="array" aca="1" ref="AA3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9" s="57" cm="1">
        <f t="array" aca="1" ref="AB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39" s="36" cm="1">
        <f t="array" aca="1" ref="AC3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9" s="36" cm="1">
        <f t="array" aca="1" ref="AD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39" s="37" cm="1">
        <f t="array" aca="1" ref="AE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39" s="38" t="e" cm="1">
        <f t="array" aca="1" ref="AF39" ca="1">$AE40 / (_xlfn.XLOOKUP(ValueFromColumnName("Ice Cream Amount",ROW()),Specs!A:A,Specs!B:B,0))</f>
        <v>#DIV/0!</v>
      </c>
      <c r="AG39" s="37" cm="1">
        <f t="array" aca="1" ref="AG3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39" s="54" t="e" cm="1">
        <f t="array" aca="1" ref="AH3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9" s="37" t="e" cm="1">
        <f t="array" aca="1" ref="AI3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39" s="37" t="e" cm="1">
        <f t="array" aca="1" ref="AJ3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9" s="37" t="e" cm="1">
        <f t="array" aca="1" ref="AK3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39" s="39" cm="1">
        <f t="array" aca="1" ref="AL3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39" s="40" t="e" cm="1">
        <f t="array" ref="AM39">ROUNDUP((ValueFromColumnName("Cost",ROW())+Specs!$Q$2+_xlfn.XLOOKUP(ValueFromColumnName("Ice Cream Amount",ROW()),Specs!A:A,Specs!V:V,0))*Specs!$N$2,0)</f>
        <v>#VALUE!</v>
      </c>
    </row>
    <row r="40" spans="1:39" x14ac:dyDescent="0.25">
      <c r="A40" s="52" t="s">
        <v>487</v>
      </c>
      <c r="B40" s="31" t="s">
        <v>66</v>
      </c>
      <c r="C40" s="31" t="s">
        <v>283</v>
      </c>
      <c r="D40" s="31" t="s">
        <v>485</v>
      </c>
      <c r="E40" s="31" t="s">
        <v>96</v>
      </c>
      <c r="F40" s="31" t="s">
        <v>406</v>
      </c>
      <c r="G40" s="31"/>
      <c r="H40" s="31"/>
      <c r="I40" s="31" t="s">
        <v>133</v>
      </c>
      <c r="J40" s="31"/>
      <c r="K40" s="30" t="s">
        <v>43</v>
      </c>
      <c r="L40" s="30" t="s">
        <v>451</v>
      </c>
      <c r="M40" s="30" t="s">
        <v>46</v>
      </c>
      <c r="N40" s="30" t="s">
        <v>156</v>
      </c>
      <c r="O40" s="30" t="s">
        <v>158</v>
      </c>
      <c r="P40" s="30" t="s">
        <v>44</v>
      </c>
      <c r="Q40" s="30" cm="1">
        <f t="array" aca="1" ref="Q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R40" s="3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S40" s="30">
        <f t="shared" ca="1" si="0"/>
        <v>1294.1775000000002</v>
      </c>
      <c r="T40" s="30" cm="1">
        <f t="array" aca="1" ref="T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0" s="30" cm="1">
        <f t="array" aca="1" ref="U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V40" s="30" cm="1">
        <f t="array" aca="1" ref="V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W40" s="30" cm="1">
        <f t="array" aca="1" ref="W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0" s="30" cm="1">
        <f t="array" aca="1" ref="X4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0" s="30" cm="1">
        <f t="array" aca="1" ref="Y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0" s="34" cm="1">
        <f t="array" aca="1" ref="Z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A40" s="35" cm="1">
        <f t="array" aca="1" ref="AA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0" s="57" cm="1">
        <f t="array" aca="1" ref="AB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4247.6400000000003</v>
      </c>
      <c r="AC40" s="36" cm="1">
        <f t="array" aca="1" ref="AC4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0" s="36" cm="1">
        <f t="array" aca="1" ref="AD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218.87975</v>
      </c>
      <c r="AE40" s="37" cm="1">
        <f t="array" aca="1" ref="AE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395.44312500000001</v>
      </c>
      <c r="AF40" s="38" cm="1">
        <f t="array" aca="1" ref="AF40" ca="1">$AE41 / (_xlfn.XLOOKUP(ValueFromColumnName("Ice Cream Amount",ROW()),Specs!A:A,Specs!B:B,0))</f>
        <v>0.18638420245398774</v>
      </c>
      <c r="AG40" s="37" cm="1">
        <f t="array" aca="1" ref="AG4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14.379750000000001</v>
      </c>
      <c r="AH40" s="54" cm="1">
        <f t="array" aca="1" ref="AH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I40" s="37" cm="1">
        <f t="array" aca="1" ref="AI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J40" s="37" cm="1">
        <f t="array" aca="1" ref="AJ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K40" s="37" cm="1">
        <f t="array" aca="1" ref="AK4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1.5625</v>
      </c>
      <c r="AL40" s="39" cm="1">
        <f t="array" aca="1" ref="AL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7.1923090624083503</v>
      </c>
      <c r="AM40" s="40" t="e" cm="1">
        <f t="array" ref="AM40">ROUNDUP((ValueFromColumnName("Cost",ROW())+Specs!$Q$2+_xlfn.XLOOKUP(ValueFromColumnName("Ice Cream Amount",ROW()),Specs!A:A,Specs!V:V,0))*Specs!$N$2,0)</f>
        <v>#VALUE!</v>
      </c>
    </row>
    <row r="41" spans="1:39" x14ac:dyDescent="0.25">
      <c r="A41" s="30" t="s">
        <v>457</v>
      </c>
      <c r="B41" s="31" t="s">
        <v>65</v>
      </c>
      <c r="C41" s="31" t="s">
        <v>75</v>
      </c>
      <c r="D41" s="31" t="s">
        <v>403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451</v>
      </c>
      <c r="M41" s="30" t="s">
        <v>175</v>
      </c>
      <c r="N41" s="30" t="s">
        <v>44</v>
      </c>
      <c r="O41" s="30" t="s">
        <v>173</v>
      </c>
      <c r="P41" s="30" t="s">
        <v>44</v>
      </c>
      <c r="Q41" s="30" cm="1">
        <f t="array" aca="1" ref="Q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1" s="30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1" s="30">
        <f t="shared" ca="1" si="0"/>
        <v>1093.7024999999999</v>
      </c>
      <c r="T41" s="30" cm="1">
        <f t="array" aca="1" ref="T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1" s="30" cm="1">
        <f t="array" aca="1" ref="U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1" s="30" cm="1">
        <f t="array" aca="1" ref="V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41" s="30" cm="1">
        <f t="array" aca="1" ref="W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1" s="30" cm="1">
        <f t="array" aca="1" ref="X4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1" s="30" cm="1">
        <f t="array" aca="1" ref="Y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1" s="34" cm="1">
        <f t="array" aca="1" ref="Z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1" s="35" cm="1">
        <f t="array" aca="1" ref="AA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1" s="57" cm="1">
        <f t="array" aca="1" ref="AB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4430.4202083333339</v>
      </c>
      <c r="AC41" s="36" cm="1">
        <f t="array" aca="1" ref="AC4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1" s="36" cm="1">
        <f t="array" aca="1" ref="AD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220.06334913793106</v>
      </c>
      <c r="AE41" s="37" cm="1">
        <f t="array" aca="1" ref="AE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334.18687499999999</v>
      </c>
      <c r="AF41" s="38" cm="1">
        <f t="array" aca="1" ref="AF41" ca="1">$AE42 / (_xlfn.XLOOKUP(ValueFromColumnName("Ice Cream Amount",ROW()),Specs!A:A,Specs!B:B,0))</f>
        <v>0.21613141142758235</v>
      </c>
      <c r="AG41" s="37" cm="1">
        <f t="array" aca="1" ref="AG4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12.15225</v>
      </c>
      <c r="AH41" s="54" cm="1">
        <f t="array" aca="1" ref="AH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I41" s="37" cm="1">
        <f t="array" aca="1" ref="AI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J41" s="37" cm="1">
        <f t="array" aca="1" ref="AJ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K41" s="37" cm="1">
        <f t="array" aca="1" ref="AK4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2.2758620689655178</v>
      </c>
      <c r="AL41" s="39" cm="1">
        <f t="array" aca="1" ref="AL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6.9935709456740449</v>
      </c>
      <c r="AM41" s="40" t="e" cm="1">
        <f t="array" ref="AM41">ROUNDUP((ValueFromColumnName("Cost",ROW())+Specs!$Q$2+_xlfn.XLOOKUP(ValueFromColumnName("Ice Cream Amount",ROW()),Specs!A:A,Specs!V:V,0))*Specs!$N$2,0)</f>
        <v>#VALUE!</v>
      </c>
    </row>
    <row r="42" spans="1:39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175</v>
      </c>
      <c r="M42" s="30" t="s">
        <v>175</v>
      </c>
      <c r="N42" s="30" t="s">
        <v>156</v>
      </c>
      <c r="O42" s="30" t="s">
        <v>158</v>
      </c>
      <c r="P42" s="30" t="s">
        <v>158</v>
      </c>
      <c r="Q42" s="30" cm="1">
        <f t="array" aca="1" ref="Q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2" s="30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2" s="30">
        <f t="shared" ca="1" si="0"/>
        <v>1093.7024999999999</v>
      </c>
      <c r="T42" s="30" cm="1">
        <f t="array" aca="1" ref="T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U42" s="30" cm="1">
        <f t="array" aca="1" ref="U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V42" s="30" cm="1">
        <f t="array" aca="1" ref="V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W42" s="30" cm="1">
        <f t="array" aca="1" ref="W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2" s="30" cm="1">
        <f t="array" aca="1" ref="X4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2" s="30" cm="1">
        <f t="array" aca="1" ref="Y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2" s="34" cm="1">
        <f t="array" aca="1" ref="Z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2" s="35" cm="1">
        <f t="array" aca="1" ref="AA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2" s="57" cm="1">
        <f t="array" aca="1" ref="AB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3356.5400000000004</v>
      </c>
      <c r="AC42" s="36" cm="1">
        <f t="array" aca="1" ref="AC4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2" s="36" cm="1">
        <f t="array" aca="1" ref="AD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60.152250000000002</v>
      </c>
      <c r="AE42" s="37" cm="1">
        <f t="array" aca="1" ref="AE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387.52362068965516</v>
      </c>
      <c r="AF42" s="38" cm="1">
        <f t="array" aca="1" ref="AF42" ca="1">$AE43 / (_xlfn.XLOOKUP(ValueFromColumnName("Ice Cream Amount",ROW()),Specs!A:A,Specs!B:B,0))</f>
        <v>0</v>
      </c>
      <c r="AG42" s="37" cm="1">
        <f t="array" aca="1" ref="AG4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26.914642241379312</v>
      </c>
      <c r="AH42" s="54" cm="1">
        <f t="array" aca="1" ref="AH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I42" s="37" cm="1">
        <f t="array" aca="1" ref="AI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J42" s="37" cm="1">
        <f t="array" aca="1" ref="AJ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K42" s="37" cm="1">
        <f t="array" aca="1" ref="AK4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0.17674180327868852</v>
      </c>
      <c r="AL42" s="39" cm="1">
        <f t="array" aca="1" ref="AL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7.2052078975741241</v>
      </c>
      <c r="AM42" s="40" t="e" cm="1">
        <f t="array" ref="AM42">ROUNDUP((ValueFromColumnName("Cost",ROW())+Specs!$Q$2+_xlfn.XLOOKUP(ValueFromColumnName("Ice Cream Amount",ROW()),Specs!A:A,Specs!V:V,0))*Specs!$N$2,0)</f>
        <v>#VALUE!</v>
      </c>
    </row>
    <row r="43" spans="1:39" x14ac:dyDescent="0.25">
      <c r="A43" s="30" t="s">
        <v>419</v>
      </c>
      <c r="B43" s="31" t="s">
        <v>62</v>
      </c>
      <c r="C43" s="31" t="s">
        <v>65</v>
      </c>
      <c r="D43" s="31" t="s">
        <v>160</v>
      </c>
      <c r="E43" s="31" t="s">
        <v>0</v>
      </c>
      <c r="F43" s="31" t="s">
        <v>234</v>
      </c>
      <c r="G43" s="31" t="s">
        <v>420</v>
      </c>
      <c r="H43" s="31"/>
      <c r="I43" s="31" t="s">
        <v>1</v>
      </c>
      <c r="J43" s="31"/>
      <c r="K43" s="30" t="s">
        <v>4</v>
      </c>
      <c r="L43" s="30" t="s">
        <v>175</v>
      </c>
      <c r="M43" s="30" t="s">
        <v>175</v>
      </c>
      <c r="N43" s="30" t="s">
        <v>156</v>
      </c>
      <c r="O43" s="30" t="s">
        <v>173</v>
      </c>
      <c r="P43" s="30" t="s">
        <v>44</v>
      </c>
      <c r="Q43" s="30" t="e" cm="1">
        <f t="array" aca="1" ref="Q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3" s="30" t="e" cm="1">
        <f t="array" aca="1" ref="R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3" s="30" t="e">
        <f t="shared" ca="1" si="0"/>
        <v>#VALUE!</v>
      </c>
      <c r="T43" s="30" t="e" cm="1">
        <f t="array" aca="1" ref="T4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3" s="30" t="e" cm="1">
        <f t="array" aca="1" ref="U4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3" s="30" t="e" cm="1">
        <f t="array" aca="1" ref="V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3" s="30" t="e" cm="1">
        <f t="array" aca="1" ref="W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3" s="30" t="e" cm="1">
        <f t="array" aca="1" ref="X4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43" s="30" t="e" cm="1">
        <f t="array" aca="1" ref="Y4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3" s="34" cm="1">
        <f t="array" aca="1" ref="Z4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3" s="35" cm="1">
        <f t="array" aca="1" ref="AA4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3" s="57" cm="1">
        <f t="array" aca="1" ref="AB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3" s="36" cm="1">
        <f t="array" aca="1" ref="AC4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3" s="36" cm="1">
        <f t="array" aca="1" ref="AD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3" s="37" cm="1">
        <f t="array" aca="1" ref="AE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3" s="38" t="e" cm="1">
        <f t="array" aca="1" ref="AF43" ca="1">$AE44 / (_xlfn.XLOOKUP(ValueFromColumnName("Ice Cream Amount",ROW()),Specs!A:A,Specs!B:B,0))</f>
        <v>#DIV/0!</v>
      </c>
      <c r="AG43" s="37" cm="1">
        <f t="array" aca="1" ref="AG4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3" s="54" t="e" cm="1">
        <f t="array" aca="1" ref="AH4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3" s="37" t="e" cm="1">
        <f t="array" aca="1" ref="AI4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43" s="37" t="e" cm="1">
        <f t="array" aca="1" ref="AJ4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3" s="37" t="e" cm="1">
        <f t="array" aca="1" ref="AK4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43" s="39" cm="1">
        <f t="array" aca="1" ref="AL4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3" s="40" t="e" cm="1">
        <f t="array" ref="AM43">ROUNDUP((ValueFromColumnName("Cost",ROW())+Specs!$Q$2+_xlfn.XLOOKUP(ValueFromColumnName("Ice Cream Amount",ROW()),Specs!A:A,Specs!V:V,0))*Specs!$N$2,0)</f>
        <v>#VALUE!</v>
      </c>
    </row>
    <row r="44" spans="1:39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 t="e" cm="1">
        <f t="array" aca="1" ref="Q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4" s="30" t="e" cm="1">
        <f t="array" aca="1" ref="R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4" s="30" t="e">
        <f t="shared" ca="1" si="0"/>
        <v>#VALUE!</v>
      </c>
      <c r="T44" s="30" t="e" cm="1">
        <f t="array" aca="1" ref="T4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4" s="30" t="e" cm="1">
        <f t="array" aca="1" ref="U4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4" s="30" t="e" cm="1">
        <f t="array" aca="1" ref="V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4" s="30" t="e" cm="1">
        <f t="array" aca="1" ref="W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4" s="30" t="e" cm="1">
        <f t="array" aca="1" ref="X4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44" s="30" t="e" cm="1">
        <f t="array" aca="1" ref="Y4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4" s="34" cm="1">
        <f t="array" aca="1" ref="Z4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4" s="35" cm="1">
        <f t="array" aca="1" ref="AA4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4" s="57" cm="1">
        <f t="array" aca="1" ref="AB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4" s="36" cm="1">
        <f t="array" aca="1" ref="AC4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4" s="36" cm="1">
        <f t="array" aca="1" ref="AD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4" s="37" cm="1">
        <f t="array" aca="1" ref="AE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4" s="38" t="e" cm="1">
        <f t="array" aca="1" ref="AF44" ca="1">$AE45 / (_xlfn.XLOOKUP(ValueFromColumnName("Ice Cream Amount",ROW()),Specs!A:A,Specs!B:B,0))</f>
        <v>#DIV/0!</v>
      </c>
      <c r="AG44" s="37" cm="1">
        <f t="array" aca="1" ref="AG4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4" s="54" t="e" cm="1">
        <f t="array" aca="1" ref="AH4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4" s="37" t="e" cm="1">
        <f t="array" aca="1" ref="AI4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44" s="37" t="e" cm="1">
        <f t="array" aca="1" ref="AJ4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4" s="37" t="e" cm="1">
        <f t="array" aca="1" ref="AK4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44" s="39" cm="1">
        <f t="array" aca="1" ref="AL4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4" s="40" t="e" cm="1">
        <f t="array" ref="AM44">ROUNDUP((ValueFromColumnName("Cost",ROW())+Specs!$Q$2+_xlfn.XLOOKUP(ValueFromColumnName("Ice Cream Amount",ROW()),Specs!A:A,Specs!V:V,0))*Specs!$N$2,0)</f>
        <v>#VALUE!</v>
      </c>
    </row>
    <row r="45" spans="1:39" x14ac:dyDescent="0.25">
      <c r="A45" s="30" t="s">
        <v>425</v>
      </c>
      <c r="B45" s="31" t="s">
        <v>62</v>
      </c>
      <c r="C45" s="31" t="s">
        <v>65</v>
      </c>
      <c r="D45" s="31" t="s">
        <v>248</v>
      </c>
      <c r="E45" s="31"/>
      <c r="F45" s="31" t="s">
        <v>427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156</v>
      </c>
      <c r="O45" s="30" t="s">
        <v>173</v>
      </c>
      <c r="P45" s="30"/>
      <c r="Q45" s="30" cm="1">
        <f t="array" aca="1" ref="Q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R45" s="30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S45" s="30">
        <f t="shared" ca="1" si="0"/>
        <v>1507.77</v>
      </c>
      <c r="T45" s="30" cm="1">
        <f t="array" aca="1" ref="T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5" s="30" cm="1">
        <f t="array" aca="1" ref="U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5" s="30" cm="1">
        <f t="array" aca="1" ref="V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5" s="30" cm="1">
        <f t="array" aca="1" ref="W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5" s="30" cm="1">
        <f t="array" aca="1" ref="X4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5" s="30" cm="1">
        <f t="array" aca="1" ref="Y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5" s="34" cm="1">
        <f t="array" aca="1" ref="Z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A45" s="35" cm="1">
        <f t="array" aca="1" ref="AA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45" s="57" cm="1">
        <f t="array" aca="1" ref="AB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5637.7199999999993</v>
      </c>
      <c r="AC45" s="36" cm="1">
        <f t="array" aca="1" ref="AC4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5" s="36" cm="1">
        <f t="array" aca="1" ref="AD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E45" s="37" cm="1">
        <f t="array" aca="1" ref="AE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511.70749999999998</v>
      </c>
      <c r="AF45" s="38" cm="1">
        <f t="array" aca="1" ref="AF45" ca="1">$AE46 / (_xlfn.XLOOKUP(ValueFromColumnName("Ice Cream Amount",ROW()),Specs!A:A,Specs!B:B,0))</f>
        <v>0</v>
      </c>
      <c r="AG45" s="37" cm="1">
        <f t="array" aca="1" ref="AG4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28.753</v>
      </c>
      <c r="AH45" s="54" cm="1">
        <f t="array" aca="1" ref="AH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I45" s="37" cm="1">
        <f t="array" aca="1" ref="AI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J45" s="37" cm="1">
        <f t="array" aca="1" ref="AJ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K45" s="37" cm="1">
        <f t="array" aca="1" ref="AK4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5" s="39" cm="1">
        <f t="array" aca="1" ref="AL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M45" s="40" t="e" cm="1">
        <f t="array" ref="AM45">ROUNDUP((ValueFromColumnName("Cost",ROW())+Specs!$Q$2+_xlfn.XLOOKUP(ValueFromColumnName("Ice Cream Amount",ROW()),Specs!A:A,Specs!V:V,0))*Specs!$N$2,0)</f>
        <v>#VALUE!</v>
      </c>
    </row>
    <row r="46" spans="1:39" x14ac:dyDescent="0.25">
      <c r="A46" s="51" t="s">
        <v>447</v>
      </c>
      <c r="B46" s="31" t="s">
        <v>66</v>
      </c>
      <c r="C46" s="31" t="s">
        <v>283</v>
      </c>
      <c r="D46" s="31" t="s">
        <v>98</v>
      </c>
      <c r="E46" s="31" t="s">
        <v>96</v>
      </c>
      <c r="F46" s="31" t="s">
        <v>422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448</v>
      </c>
      <c r="P46" s="30" t="s">
        <v>158</v>
      </c>
      <c r="Q46" s="30" t="e" cm="1">
        <f t="array" aca="1" ref="Q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6" s="30" t="e" cm="1">
        <f t="array" aca="1" ref="R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6" s="30" t="e">
        <f t="shared" ca="1" si="0"/>
        <v>#VALUE!</v>
      </c>
      <c r="T46" s="30" t="e" cm="1">
        <f t="array" aca="1" ref="T4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6" s="30" t="e" cm="1">
        <f t="array" aca="1" ref="U4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6" s="30" t="e" cm="1">
        <f t="array" aca="1" ref="V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6" s="30" t="e" cm="1">
        <f t="array" aca="1" ref="W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6" s="30" cm="1">
        <f t="array" aca="1" ref="X4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6" s="30" t="e" cm="1">
        <f t="array" aca="1" ref="Y4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6" s="34" cm="1">
        <f t="array" aca="1" ref="Z4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6" s="35" cm="1">
        <f t="array" aca="1" ref="AA4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6" s="57" cm="1">
        <f t="array" aca="1" ref="AB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6" s="36" cm="1">
        <f t="array" aca="1" ref="AC4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6" s="36" cm="1">
        <f t="array" aca="1" ref="AD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6" s="37" cm="1">
        <f t="array" aca="1" ref="AE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6" s="38" t="e" cm="1">
        <f t="array" aca="1" ref="AF46" ca="1">$AE47 / (_xlfn.XLOOKUP(ValueFromColumnName("Ice Cream Amount",ROW()),Specs!A:A,Specs!B:B,0))</f>
        <v>#DIV/0!</v>
      </c>
      <c r="AG46" s="37" cm="1">
        <f t="array" aca="1" ref="AG4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6" s="54" t="e" cm="1">
        <f t="array" aca="1" ref="AH4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6" s="37" t="e" cm="1">
        <f t="array" aca="1" ref="AI4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46" s="37" t="e" cm="1">
        <f t="array" aca="1" ref="AJ4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6" s="37" t="e" cm="1">
        <f t="array" aca="1" ref="AK4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46" s="39" cm="1">
        <f t="array" aca="1" ref="AL4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6" s="40" t="e" cm="1">
        <f t="array" ref="AM46">ROUNDUP((ValueFromColumnName("Cost",ROW())+Specs!$Q$2+_xlfn.XLOOKUP(ValueFromColumnName("Ice Cream Amount",ROW()),Specs!A:A,Specs!V:V,0))*Specs!$N$2,0)</f>
        <v>#VALUE!</v>
      </c>
    </row>
    <row r="47" spans="1:39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 cm="1">
        <f t="array" aca="1" ref="Q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R47" s="30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S47" s="30">
        <f t="shared" ca="1" si="0"/>
        <v>291.80250000000001</v>
      </c>
      <c r="T47" s="30" cm="1">
        <f t="array" aca="1" ref="T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7" s="30" cm="1">
        <f t="array" aca="1" ref="U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7" s="30" cm="1">
        <f t="array" aca="1" ref="V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47" s="30" cm="1">
        <f t="array" aca="1" ref="W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7" s="30" cm="1">
        <f t="array" aca="1" ref="X4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7" s="30" cm="1">
        <f t="array" aca="1" ref="Y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7" s="34" cm="1">
        <f t="array" aca="1" ref="Z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A47" s="35" cm="1">
        <f t="array" aca="1" ref="AA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47" s="57" cm="1">
        <f t="array" aca="1" ref="AB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1139.8532352941177</v>
      </c>
      <c r="AC47" s="36" cm="1">
        <f t="array" aca="1" ref="AC4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7" s="36" cm="1">
        <f t="array" aca="1" ref="AD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59.9687205882353</v>
      </c>
      <c r="AE47" s="37" cm="1">
        <f t="array" aca="1" ref="AE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98.900110294117638</v>
      </c>
      <c r="AF47" s="38" cm="1">
        <f t="array" aca="1" ref="AF47" ca="1">$AE48 / (_xlfn.XLOOKUP(ValueFromColumnName("Ice Cream Amount",ROW()),Specs!A:A,Specs!B:B,0))</f>
        <v>0</v>
      </c>
      <c r="AG47" s="37" cm="1">
        <f t="array" aca="1" ref="AG4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4.6334264705882351</v>
      </c>
      <c r="AH47" s="54" cm="1">
        <f t="array" aca="1" ref="AH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I47" s="37" cm="1">
        <f t="array" aca="1" ref="AI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J47" s="37" cm="1">
        <f t="array" aca="1" ref="AJ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K47" s="37" cm="1">
        <f t="array" aca="1" ref="AK4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47" s="39" cm="1">
        <f t="array" aca="1" ref="AL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2.6365858556812021</v>
      </c>
      <c r="AM47" s="40" t="e" cm="1">
        <f t="array" ref="AM47">ROUNDUP((ValueFromColumnName("Cost",ROW())+Specs!$Q$2+_xlfn.XLOOKUP(ValueFromColumnName("Ice Cream Amount",ROW()),Specs!A:A,Specs!V:V,0))*Specs!$N$2,0)</f>
        <v>#VALUE!</v>
      </c>
    </row>
    <row r="48" spans="1:39" x14ac:dyDescent="0.25">
      <c r="A48" s="75" t="s">
        <v>488</v>
      </c>
      <c r="B48" s="31" t="s">
        <v>65</v>
      </c>
      <c r="C48" s="31" t="s">
        <v>73</v>
      </c>
      <c r="D48" s="31" t="s">
        <v>0</v>
      </c>
      <c r="E48" s="31" t="s">
        <v>473</v>
      </c>
      <c r="F48" s="31" t="s">
        <v>420</v>
      </c>
      <c r="G48" s="31"/>
      <c r="H48" s="31"/>
      <c r="I48" s="31"/>
      <c r="J48" s="31"/>
      <c r="K48" s="30" t="s">
        <v>43</v>
      </c>
      <c r="L48" s="30" t="s">
        <v>157</v>
      </c>
      <c r="M48" s="30" t="s">
        <v>6</v>
      </c>
      <c r="N48" s="30" t="s">
        <v>156</v>
      </c>
      <c r="O48" s="30"/>
      <c r="P48" s="30"/>
      <c r="Q48" s="30" t="e" cm="1">
        <f t="array" aca="1" ref="Q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8" s="30" t="e" cm="1">
        <f t="array" aca="1" ref="R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8" s="30" t="e">
        <f t="shared" ca="1" si="0"/>
        <v>#VALUE!</v>
      </c>
      <c r="T48" s="30" t="e" cm="1">
        <f t="array" aca="1" ref="T4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8" s="30" t="e" cm="1">
        <f t="array" aca="1" ref="U4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8" s="30" t="e" cm="1">
        <f t="array" aca="1" ref="V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8" s="30" t="e" cm="1">
        <f t="array" aca="1" ref="W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8" s="30" cm="1">
        <f t="array" aca="1" ref="X4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8" s="30" t="e" cm="1">
        <f t="array" aca="1" ref="Y4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8" s="34" cm="1">
        <f t="array" aca="1" ref="Z4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8" s="35" cm="1">
        <f t="array" aca="1" ref="AA4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8" s="57" cm="1">
        <f t="array" aca="1" ref="AB4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8" s="36" cm="1">
        <f t="array" aca="1" ref="AC4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8" s="36" cm="1">
        <f t="array" aca="1" ref="AD4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8" s="37" cm="1">
        <f t="array" aca="1" ref="AE4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8" s="38" t="e" cm="1">
        <f t="array" aca="1" ref="AF48" ca="1">$AE49 / (_xlfn.XLOOKUP(ValueFromColumnName("Ice Cream Amount",ROW()),Specs!A:A,Specs!B:B,0))</f>
        <v>#DIV/0!</v>
      </c>
      <c r="AG48" s="37" cm="1">
        <f t="array" aca="1" ref="AG4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8" s="54" t="e" cm="1">
        <f t="array" aca="1" ref="AH4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48" s="37" t="e" cm="1">
        <f t="array" aca="1" ref="AI4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48" s="37" t="e" cm="1">
        <f t="array" aca="1" ref="AJ4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48" s="37" t="e" cm="1">
        <f t="array" aca="1" ref="AK4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48" s="39" cm="1">
        <f t="array" aca="1" ref="AL4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8" s="40" t="e" cm="1">
        <f t="array" ref="AM48">ROUNDUP((ValueFromColumnName("Cost",ROW())+Specs!$Q$2+_xlfn.XLOOKUP(ValueFromColumnName("Ice Cream Amount",ROW()),Specs!A:A,Specs!V:V,0))*Specs!$N$2,0)</f>
        <v>#VALUE!</v>
      </c>
    </row>
    <row r="49" spans="1:39" x14ac:dyDescent="0.25">
      <c r="A49" s="75" t="s">
        <v>472</v>
      </c>
      <c r="B49" s="31" t="s">
        <v>66</v>
      </c>
      <c r="C49" s="31" t="s">
        <v>283</v>
      </c>
      <c r="D49" s="31" t="s">
        <v>0</v>
      </c>
      <c r="E49" s="31" t="s">
        <v>473</v>
      </c>
      <c r="F49" s="31" t="s">
        <v>420</v>
      </c>
      <c r="G49" s="31"/>
      <c r="H49" s="31"/>
      <c r="I49" s="31"/>
      <c r="J49" s="31"/>
      <c r="K49" s="30" t="s">
        <v>43</v>
      </c>
      <c r="L49" s="30" t="s">
        <v>157</v>
      </c>
      <c r="M49" s="30" t="s">
        <v>6</v>
      </c>
      <c r="N49" s="30" t="s">
        <v>156</v>
      </c>
      <c r="O49" s="30"/>
      <c r="P49" s="30"/>
      <c r="Q49" s="30" t="e" cm="1">
        <f t="array" aca="1" ref="Q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9" s="30" t="e" cm="1">
        <f t="array" aca="1" ref="R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9" s="30" t="e">
        <f t="shared" ca="1" si="0"/>
        <v>#VALUE!</v>
      </c>
      <c r="T49" s="30" t="e" cm="1">
        <f t="array" aca="1" ref="T4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9" s="30" t="e" cm="1">
        <f t="array" aca="1" ref="U4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9" s="30" t="e" cm="1">
        <f t="array" aca="1" ref="V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9" s="30" t="e" cm="1">
        <f t="array" aca="1" ref="W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9" s="30" cm="1">
        <f t="array" aca="1" ref="X4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9" s="30" t="e" cm="1">
        <f t="array" aca="1" ref="Y4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9" s="34" cm="1">
        <f t="array" aca="1" ref="Z4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9" s="35" cm="1">
        <f t="array" aca="1" ref="AA4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9" s="57" cm="1">
        <f t="array" aca="1" ref="AB4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9" s="36" cm="1">
        <f t="array" aca="1" ref="AC4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9" s="36" cm="1">
        <f t="array" aca="1" ref="AD4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9" s="37" cm="1">
        <f t="array" aca="1" ref="AE4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9" s="38" t="e" cm="1">
        <f t="array" aca="1" ref="AF49" ca="1">$AE50 / (_xlfn.XLOOKUP(ValueFromColumnName("Ice Cream Amount",ROW()),Specs!A:A,Specs!B:B,0))</f>
        <v>#DIV/0!</v>
      </c>
      <c r="AG49" s="37" cm="1">
        <f t="array" aca="1" ref="AG4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9" s="54" t="e" cm="1">
        <f t="array" aca="1" ref="AH4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49" s="37" t="e" cm="1">
        <f t="array" aca="1" ref="AI4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49" s="37" t="e" cm="1">
        <f t="array" aca="1" ref="AJ4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49" s="37" t="e" cm="1">
        <f t="array" aca="1" ref="AK4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49" s="39" cm="1">
        <f t="array" aca="1" ref="AL4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9" s="40" t="e" cm="1">
        <f t="array" ref="AM49">ROUNDUP((ValueFromColumnName("Cost",ROW())+Specs!$Q$2+_xlfn.XLOOKUP(ValueFromColumnName("Ice Cream Amount",ROW()),Specs!A:A,Specs!V:V,0))*Specs!$N$2,0)</f>
        <v>#VALUE!</v>
      </c>
    </row>
    <row r="50" spans="1:39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 cm="1">
        <f t="array" aca="1" ref="Q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0" s="30" t="e" cm="1">
        <f t="array" aca="1" ref="R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0" s="30" t="e">
        <f t="shared" ca="1" si="0"/>
        <v>#VALUE!</v>
      </c>
      <c r="T50" s="30" t="e" cm="1">
        <f t="array" aca="1" ref="T5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0" s="30" t="e" cm="1">
        <f t="array" aca="1" ref="U5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0" s="30" t="e" cm="1">
        <f t="array" aca="1" ref="V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0" s="30" t="e" cm="1">
        <f t="array" aca="1" ref="W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0" s="30" cm="1">
        <f t="array" aca="1" ref="X5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0" s="30" t="e" cm="1">
        <f t="array" aca="1" ref="Y5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0" s="34" cm="1">
        <f t="array" aca="1" ref="Z5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0" s="35" cm="1">
        <f t="array" aca="1" ref="AA5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0" s="57" cm="1">
        <f t="array" aca="1" ref="AB5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0" s="36" cm="1">
        <f t="array" aca="1" ref="AC5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0" s="36" cm="1">
        <f t="array" aca="1" ref="AD5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0" s="37" cm="1">
        <f t="array" aca="1" ref="AE5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0" s="38" t="e" cm="1">
        <f t="array" aca="1" ref="AF50" ca="1">$AE51 / (_xlfn.XLOOKUP(ValueFromColumnName("Ice Cream Amount",ROW()),Specs!A:A,Specs!B:B,0))</f>
        <v>#DIV/0!</v>
      </c>
      <c r="AG50" s="37" cm="1">
        <f t="array" aca="1" ref="AG5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0" s="54" t="e" cm="1">
        <f t="array" aca="1" ref="AH5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0" s="37" t="e" cm="1">
        <f t="array" aca="1" ref="AI5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0" s="37" t="e" cm="1">
        <f t="array" aca="1" ref="AJ5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0" s="37" t="e" cm="1">
        <f t="array" aca="1" ref="AK5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0" s="39" cm="1">
        <f t="array" aca="1" ref="AL5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0" s="40" t="e" cm="1">
        <f t="array" ref="AM50">ROUNDUP((ValueFromColumnName("Cost",ROW())+Specs!$Q$2+_xlfn.XLOOKUP(ValueFromColumnName("Ice Cream Amount",ROW()),Specs!A:A,Specs!V:V,0))*Specs!$N$2,0)</f>
        <v>#VALUE!</v>
      </c>
    </row>
    <row r="51" spans="1:39" x14ac:dyDescent="0.25">
      <c r="A51" s="75" t="s">
        <v>622</v>
      </c>
      <c r="B51" s="31" t="s">
        <v>66</v>
      </c>
      <c r="C51" s="31" t="s">
        <v>283</v>
      </c>
      <c r="D51" s="31" t="s">
        <v>176</v>
      </c>
      <c r="E51" s="31" t="s">
        <v>458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157</v>
      </c>
      <c r="M51" s="30" t="s">
        <v>46</v>
      </c>
      <c r="N51" s="30" t="s">
        <v>44</v>
      </c>
      <c r="O51" s="30" t="s">
        <v>448</v>
      </c>
      <c r="P51" s="30" t="s">
        <v>158</v>
      </c>
      <c r="Q51" s="30" t="e" cm="1">
        <f t="array" aca="1" ref="Q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1" s="30" t="e" cm="1">
        <f t="array" aca="1" ref="R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1" s="30" t="e">
        <f t="shared" ca="1" si="0"/>
        <v>#VALUE!</v>
      </c>
      <c r="T51" s="30" t="e" cm="1">
        <f t="array" aca="1" ref="T5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1" s="30" t="e" cm="1">
        <f t="array" aca="1" ref="U5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1" s="30" t="e" cm="1">
        <f t="array" aca="1" ref="V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1" s="30" t="e" cm="1">
        <f t="array" aca="1" ref="W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1" s="30" t="e" cm="1">
        <f t="array" aca="1" ref="X5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51" s="30" t="e" cm="1">
        <f t="array" aca="1" ref="Y5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1" s="34" cm="1">
        <f t="array" aca="1" ref="Z5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1" s="35" cm="1">
        <f t="array" aca="1" ref="AA5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1" s="57" cm="1">
        <f t="array" aca="1" ref="AB5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1" s="36" cm="1">
        <f t="array" aca="1" ref="AC5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1" s="36" cm="1">
        <f t="array" aca="1" ref="AD5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1" s="37" cm="1">
        <f t="array" aca="1" ref="AE5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1" s="38" t="e" cm="1">
        <f t="array" aca="1" ref="AF51" ca="1">$AE52 / (_xlfn.XLOOKUP(ValueFromColumnName("Ice Cream Amount",ROW()),Specs!A:A,Specs!B:B,0))</f>
        <v>#DIV/0!</v>
      </c>
      <c r="AG51" s="37" cm="1">
        <f t="array" aca="1" ref="AG5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1" s="54" t="e" cm="1">
        <f t="array" aca="1" ref="AH5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1" s="37" t="e" cm="1">
        <f t="array" aca="1" ref="AI5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1" s="37" t="e" cm="1">
        <f t="array" aca="1" ref="AJ5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1" s="37" t="e" cm="1">
        <f t="array" aca="1" ref="AK5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1" s="39" cm="1">
        <f t="array" aca="1" ref="AL5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1" s="40" t="e" cm="1">
        <f t="array" ref="AM51">ROUNDUP((ValueFromColumnName("Cost",ROW())+Specs!$Q$2+_xlfn.XLOOKUP(ValueFromColumnName("Ice Cream Amount",ROW()),Specs!A:A,Specs!V:V,0))*Specs!$N$2,0)</f>
        <v>#VALUE!</v>
      </c>
    </row>
    <row r="52" spans="1:39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 t="e" cm="1">
        <f t="array" aca="1" ref="Q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2" s="30" t="e" cm="1">
        <f t="array" aca="1" ref="R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2" s="30" t="e">
        <f t="shared" ca="1" si="0"/>
        <v>#VALUE!</v>
      </c>
      <c r="T52" s="30" t="e" cm="1">
        <f t="array" aca="1" ref="T5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2" s="30" t="e" cm="1">
        <f t="array" aca="1" ref="U5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2" s="30" t="e" cm="1">
        <f t="array" aca="1" ref="V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2" s="30" t="e" cm="1">
        <f t="array" aca="1" ref="W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2" s="30" cm="1">
        <f t="array" aca="1" ref="X5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2" s="30" t="e" cm="1">
        <f t="array" aca="1" ref="Y5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2" s="34" cm="1">
        <f t="array" aca="1" ref="Z5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2" s="35" cm="1">
        <f t="array" aca="1" ref="AA5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2" s="57" cm="1">
        <f t="array" aca="1" ref="AB5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2" s="36" cm="1">
        <f t="array" aca="1" ref="AC5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2" s="36" cm="1">
        <f t="array" aca="1" ref="AD5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2" s="37" cm="1">
        <f t="array" aca="1" ref="AE5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2" s="38" t="e" cm="1">
        <f t="array" aca="1" ref="AF52" ca="1">$AE53 / (_xlfn.XLOOKUP(ValueFromColumnName("Ice Cream Amount",ROW()),Specs!A:A,Specs!B:B,0))</f>
        <v>#DIV/0!</v>
      </c>
      <c r="AG52" s="37" cm="1">
        <f t="array" aca="1" ref="AG5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2" s="54" t="e" cm="1">
        <f t="array" aca="1" ref="AH5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2" s="37" t="e" cm="1">
        <f t="array" aca="1" ref="AI5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2" s="37" t="e" cm="1">
        <f t="array" aca="1" ref="AJ5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2" s="37" t="e" cm="1">
        <f t="array" aca="1" ref="AK5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2" s="39" cm="1">
        <f t="array" aca="1" ref="AL5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2" s="40" t="e" cm="1">
        <f t="array" ref="AM52">ROUNDUP((ValueFromColumnName("Cost",ROW())+Specs!$Q$2+_xlfn.XLOOKUP(ValueFromColumnName("Ice Cream Amount",ROW()),Specs!A:A,Specs!V:V,0))*Specs!$N$2,0)</f>
        <v>#VALUE!</v>
      </c>
    </row>
    <row r="53" spans="1:39" x14ac:dyDescent="0.25">
      <c r="Q53" s="30" t="e" cm="1">
        <f t="array" aca="1" ref="Q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3" s="30" t="e" cm="1">
        <f t="array" aca="1" ref="R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3" s="30" t="e">
        <f t="shared" ca="1" si="0"/>
        <v>#VALUE!</v>
      </c>
      <c r="T53" s="30" t="e" cm="1">
        <f t="array" aca="1" ref="T5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3" s="30" t="e" cm="1">
        <f t="array" aca="1" ref="U5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3" s="30" t="e" cm="1">
        <f t="array" aca="1" ref="V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3" s="30" t="e" cm="1">
        <f t="array" aca="1" ref="W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3" s="30" cm="1">
        <f t="array" aca="1" ref="X5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3" s="30" t="e" cm="1">
        <f t="array" aca="1" ref="Y5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3" s="34" cm="1">
        <f t="array" aca="1" ref="Z5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3" s="35" cm="1">
        <f t="array" aca="1" ref="AA5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3" s="57" cm="1">
        <f t="array" aca="1" ref="AB5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3" s="36" cm="1">
        <f t="array" aca="1" ref="AC5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3" s="36" cm="1">
        <f t="array" aca="1" ref="AD5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3" s="37" cm="1">
        <f t="array" aca="1" ref="AE5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3" s="38" t="e" cm="1">
        <f t="array" aca="1" ref="AF53" ca="1">$AE54 / (_xlfn.XLOOKUP(ValueFromColumnName("Ice Cream Amount",ROW()),Specs!A:A,Specs!B:B,0))</f>
        <v>#DIV/0!</v>
      </c>
      <c r="AG53" s="37" cm="1">
        <f t="array" aca="1" ref="AG5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3" s="54" t="e" cm="1">
        <f t="array" aca="1" ref="AH5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3" s="37" t="e" cm="1">
        <f t="array" aca="1" ref="AI5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3" s="37" t="e" cm="1">
        <f t="array" aca="1" ref="AJ5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3" s="37" t="e" cm="1">
        <f t="array" aca="1" ref="AK5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3" s="39" cm="1">
        <f t="array" aca="1" ref="AL5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3" s="40" t="e" cm="1">
        <f t="array" ref="AM53">ROUNDUP((ValueFromColumnName("Cost",ROW())+Specs!$Q$2+_xlfn.XLOOKUP(ValueFromColumnName("Ice Cream Amount",ROW()),Specs!A:A,Specs!V:V,0))*Specs!$N$2,0)</f>
        <v>#VALUE!</v>
      </c>
    </row>
    <row r="54" spans="1:39" ht="16.5" customHeight="1" x14ac:dyDescent="0.25">
      <c r="A54" s="42" t="s">
        <v>547</v>
      </c>
      <c r="B54" s="31" t="s">
        <v>71</v>
      </c>
      <c r="C54" s="31" t="s">
        <v>177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173</v>
      </c>
      <c r="P54" s="30"/>
      <c r="Q54" s="30" t="e" cm="1">
        <f t="array" aca="1" ref="Q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4" s="30" t="e" cm="1">
        <f t="array" aca="1" ref="R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4" s="30" t="e">
        <f t="shared" ca="1" si="0"/>
        <v>#VALUE!</v>
      </c>
      <c r="T54" s="30" t="e" cm="1">
        <f t="array" aca="1" ref="T5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4" s="30" t="e" cm="1">
        <f t="array" aca="1" ref="U5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4" s="30" t="e" cm="1">
        <f t="array" aca="1" ref="V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4" s="30" t="e" cm="1">
        <f t="array" aca="1" ref="W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4" s="30" cm="1">
        <f t="array" aca="1" ref="X5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4" s="30" t="e" cm="1">
        <f t="array" aca="1" ref="Y5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4" s="34" cm="1">
        <f t="array" aca="1" ref="Z5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4" s="35" cm="1">
        <f t="array" aca="1" ref="AA5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4" s="57" cm="1">
        <f t="array" aca="1" ref="AB5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4" s="36" cm="1">
        <f t="array" aca="1" ref="AC5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4" s="36" cm="1">
        <f t="array" aca="1" ref="AD5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4" s="37" cm="1">
        <f t="array" aca="1" ref="AE5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4" s="38" t="e" cm="1">
        <f t="array" aca="1" ref="AF54" ca="1">$AE55 / (_xlfn.XLOOKUP(ValueFromColumnName("Ice Cream Amount",ROW()),Specs!A:A,Specs!B:B,0))</f>
        <v>#DIV/0!</v>
      </c>
      <c r="AG54" s="37" cm="1">
        <f t="array" aca="1" ref="AG5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4" s="54" t="e" cm="1">
        <f t="array" aca="1" ref="AH5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4" s="37" t="e" cm="1">
        <f t="array" aca="1" ref="AI5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4" s="37" t="e" cm="1">
        <f t="array" aca="1" ref="AJ5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4" s="37" t="e" cm="1">
        <f t="array" aca="1" ref="AK5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4" s="39" cm="1">
        <f t="array" aca="1" ref="AL5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4" s="40" t="e" cm="1">
        <f t="array" ref="AM54">ROUNDUP((ValueFromColumnName("Cost",ROW())+Specs!$Q$2+_xlfn.XLOOKUP(ValueFromColumnName("Ice Cream Amount",ROW()),Specs!A:A,Specs!V:V,0))*Specs!$N$2,0)</f>
        <v>#VALUE!</v>
      </c>
    </row>
    <row r="55" spans="1:39" x14ac:dyDescent="0.25">
      <c r="B55" s="31" t="s">
        <v>71</v>
      </c>
      <c r="Q55" s="30" t="e" cm="1">
        <f t="array" aca="1" ref="Q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5" s="30" t="e" cm="1">
        <f t="array" aca="1" ref="R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5" s="30" t="e">
        <f t="shared" ca="1" si="0"/>
        <v>#VALUE!</v>
      </c>
      <c r="T55" s="30" t="e" cm="1">
        <f t="array" aca="1" ref="T5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5" s="30" t="e" cm="1">
        <f t="array" aca="1" ref="U5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5" s="30" t="e" cm="1">
        <f t="array" aca="1" ref="V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5" s="30" t="e" cm="1">
        <f t="array" aca="1" ref="W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5" s="30" cm="1">
        <f t="array" aca="1" ref="X5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5" s="30" t="e" cm="1">
        <f t="array" aca="1" ref="Y5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5" s="34" cm="1">
        <f t="array" aca="1" ref="Z5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5" s="35" cm="1">
        <f t="array" aca="1" ref="AA5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5" s="57" cm="1">
        <f t="array" aca="1" ref="AB5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5" s="36" cm="1">
        <f t="array" aca="1" ref="AC5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5" s="36" cm="1">
        <f t="array" aca="1" ref="AD5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5" s="37" cm="1">
        <f t="array" aca="1" ref="AE5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5" s="38" t="e" cm="1">
        <f t="array" aca="1" ref="AF55" ca="1">$AE56 / (_xlfn.XLOOKUP(ValueFromColumnName("Ice Cream Amount",ROW()),Specs!A:A,Specs!B:B,0))</f>
        <v>#DIV/0!</v>
      </c>
      <c r="AG55" s="37" cm="1">
        <f t="array" aca="1" ref="AG5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5" s="54" t="e" cm="1">
        <f t="array" aca="1" ref="AH5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5" s="37" t="e" cm="1">
        <f t="array" aca="1" ref="AI5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5" s="37" t="e" cm="1">
        <f t="array" aca="1" ref="AJ5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5" s="37" t="e" cm="1">
        <f t="array" aca="1" ref="AK5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5" s="39" cm="1">
        <f t="array" aca="1" ref="AL5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5" s="40" t="e" cm="1">
        <f t="array" ref="AM55">ROUNDUP((ValueFromColumnName("Cost",ROW())+Specs!$Q$2+_xlfn.XLOOKUP(ValueFromColumnName("Ice Cream Amount",ROW()),Specs!A:A,Specs!V:V,0))*Specs!$N$2,0)</f>
        <v>#VALUE!</v>
      </c>
    </row>
    <row r="56" spans="1:39" ht="16.5" customHeight="1" x14ac:dyDescent="0.25">
      <c r="A56" s="52" t="s">
        <v>640</v>
      </c>
      <c r="B56" s="31" t="s">
        <v>62</v>
      </c>
      <c r="C56" s="31" t="s">
        <v>65</v>
      </c>
      <c r="D56" s="31" t="s">
        <v>0</v>
      </c>
      <c r="E56" s="31" t="s">
        <v>486</v>
      </c>
      <c r="F56" s="31" t="s">
        <v>406</v>
      </c>
      <c r="G56" s="31"/>
      <c r="H56" s="31"/>
      <c r="I56" s="31" t="s">
        <v>2</v>
      </c>
      <c r="J56" s="31"/>
      <c r="K56" s="30" t="s">
        <v>43</v>
      </c>
      <c r="L56" s="30" t="s">
        <v>450</v>
      </c>
      <c r="M56" s="30" t="s">
        <v>451</v>
      </c>
      <c r="N56" s="30" t="s">
        <v>44</v>
      </c>
      <c r="O56" s="30" t="s">
        <v>158</v>
      </c>
      <c r="P56" s="30"/>
      <c r="Q56" s="30" t="e" cm="1">
        <f t="array" aca="1" ref="Q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6" s="30" t="e" cm="1">
        <f t="array" aca="1" ref="R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6" s="30" t="e">
        <f t="shared" ca="1" si="0"/>
        <v>#VALUE!</v>
      </c>
      <c r="T56" s="30" t="e" cm="1">
        <f t="array" aca="1" ref="T5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6" s="30" t="e" cm="1">
        <f t="array" aca="1" ref="U5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6" s="30" t="e" cm="1">
        <f t="array" aca="1" ref="V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6" s="30" t="e" cm="1">
        <f t="array" aca="1" ref="W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6" s="30" cm="1">
        <f t="array" aca="1" ref="X5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6" s="30" t="e" cm="1">
        <f t="array" aca="1" ref="Y5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6" s="34" cm="1">
        <f t="array" aca="1" ref="Z5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6" s="35" cm="1">
        <f t="array" aca="1" ref="AA5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6" s="57" cm="1">
        <f t="array" aca="1" ref="AB5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6" s="36" cm="1">
        <f t="array" aca="1" ref="AC5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6" s="36" cm="1">
        <f t="array" aca="1" ref="AD5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6" s="37" cm="1">
        <f t="array" aca="1" ref="AE5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6" s="38" t="e" cm="1">
        <f t="array" aca="1" ref="AF56" ca="1">$AE57 / (_xlfn.XLOOKUP(ValueFromColumnName("Ice Cream Amount",ROW()),Specs!A:A,Specs!B:B,0))</f>
        <v>#DIV/0!</v>
      </c>
      <c r="AG56" s="37" cm="1">
        <f t="array" aca="1" ref="AG5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6" s="54" t="e" cm="1">
        <f t="array" aca="1" ref="AH5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6" s="37" t="e" cm="1">
        <f t="array" aca="1" ref="AI5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6" s="37" t="e" cm="1">
        <f t="array" aca="1" ref="AJ5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6" s="37" t="e" cm="1">
        <f t="array" aca="1" ref="AK5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6" s="39" cm="1">
        <f t="array" aca="1" ref="AL5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6" s="40" t="e" cm="1">
        <f t="array" ref="AM56">ROUNDUP((ValueFromColumnName("Cost",ROW())+Specs!$Q$2+_xlfn.XLOOKUP(ValueFromColumnName("Ice Cream Amount",ROW()),Specs!A:A,Specs!V:V,0))*Specs!$N$2,0)</f>
        <v>#VALUE!</v>
      </c>
    </row>
    <row r="57" spans="1:39" x14ac:dyDescent="0.25">
      <c r="Q57" s="30" t="e" cm="1">
        <f t="array" aca="1" ref="Q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7" s="30" t="e" cm="1">
        <f t="array" aca="1" ref="R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7" s="30" t="e">
        <f t="shared" ca="1" si="0"/>
        <v>#VALUE!</v>
      </c>
      <c r="T57" s="30" t="e" cm="1">
        <f t="array" aca="1" ref="T5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7" s="30" t="e" cm="1">
        <f t="array" aca="1" ref="U5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7" s="30" t="e" cm="1">
        <f t="array" aca="1" ref="V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7" s="30" t="e" cm="1">
        <f t="array" aca="1" ref="W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7" s="30" cm="1">
        <f t="array" aca="1" ref="X5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7" s="30" t="e" cm="1">
        <f t="array" aca="1" ref="Y5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7" s="34" cm="1">
        <f t="array" aca="1" ref="Z5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7" s="35" cm="1">
        <f t="array" aca="1" ref="AA5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7" s="57" cm="1">
        <f t="array" aca="1" ref="AB5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7" s="36" cm="1">
        <f t="array" aca="1" ref="AC5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7" s="36" cm="1">
        <f t="array" aca="1" ref="AD5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7" s="37" cm="1">
        <f t="array" aca="1" ref="AE5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7" s="38" t="e" cm="1">
        <f t="array" aca="1" ref="AF57" ca="1">$AE58 / (_xlfn.XLOOKUP(ValueFromColumnName("Ice Cream Amount",ROW()),Specs!A:A,Specs!B:B,0))</f>
        <v>#DIV/0!</v>
      </c>
      <c r="AG57" s="37" cm="1">
        <f t="array" aca="1" ref="AG5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7" s="54" t="e" cm="1">
        <f t="array" aca="1" ref="AH5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7" s="37" t="e" cm="1">
        <f t="array" aca="1" ref="AI5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7" s="37" t="e" cm="1">
        <f t="array" aca="1" ref="AJ5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7" s="37" t="e" cm="1">
        <f t="array" aca="1" ref="AK5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7" s="39" cm="1">
        <f t="array" aca="1" ref="AL5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7" s="40" t="e" cm="1">
        <f t="array" ref="AM57">ROUNDUP((ValueFromColumnName("Cost",ROW())+Specs!$Q$2+_xlfn.XLOOKUP(ValueFromColumnName("Ice Cream Amount",ROW()),Specs!A:A,Specs!V:V,0))*Specs!$N$2,0)</f>
        <v>#VALUE!</v>
      </c>
    </row>
    <row r="58" spans="1:39" x14ac:dyDescent="0.25">
      <c r="A58" s="52" t="s">
        <v>489</v>
      </c>
      <c r="B58" s="31" t="s">
        <v>62</v>
      </c>
      <c r="C58" s="31" t="s">
        <v>65</v>
      </c>
      <c r="D58" s="31" t="s">
        <v>83</v>
      </c>
      <c r="E58" s="31" t="s">
        <v>473</v>
      </c>
      <c r="F58" s="31" t="s">
        <v>490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156</v>
      </c>
      <c r="O58" s="30" t="s">
        <v>158</v>
      </c>
      <c r="P58" s="30"/>
      <c r="Q58" s="30" t="e" cm="1">
        <f t="array" aca="1" ref="Q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8" s="30" t="e" cm="1">
        <f t="array" aca="1" ref="R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8" s="30" t="e">
        <f t="shared" ca="1" si="0"/>
        <v>#VALUE!</v>
      </c>
      <c r="T58" s="30" t="e" cm="1">
        <f t="array" aca="1" ref="T5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8" s="30" t="e" cm="1">
        <f t="array" aca="1" ref="U5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8" s="30" t="e" cm="1">
        <f t="array" aca="1" ref="V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8" s="30" t="e" cm="1">
        <f t="array" aca="1" ref="W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8" s="30" cm="1">
        <f t="array" aca="1" ref="X5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8" s="30" t="e" cm="1">
        <f t="array" aca="1" ref="Y5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8" s="34" cm="1">
        <f t="array" aca="1" ref="Z5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8" s="35" cm="1">
        <f t="array" aca="1" ref="AA5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8" s="57" cm="1">
        <f t="array" aca="1" ref="AB5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8" s="36" cm="1">
        <f t="array" aca="1" ref="AC5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8" s="36" cm="1">
        <f t="array" aca="1" ref="AD5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8" s="37" cm="1">
        <f t="array" aca="1" ref="AE5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8" s="38" t="e" cm="1">
        <f t="array" aca="1" ref="AF58" ca="1">$AE59 / (_xlfn.XLOOKUP(ValueFromColumnName("Ice Cream Amount",ROW()),Specs!A:A,Specs!B:B,0))</f>
        <v>#DIV/0!</v>
      </c>
      <c r="AG58" s="37" cm="1">
        <f t="array" aca="1" ref="AG5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8" s="54" t="e" cm="1">
        <f t="array" aca="1" ref="AH5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8" s="37" t="e" cm="1">
        <f t="array" aca="1" ref="AI5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8" s="37" t="e" cm="1">
        <f t="array" aca="1" ref="AJ5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8" s="37" t="e" cm="1">
        <f t="array" aca="1" ref="AK5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8" s="39" cm="1">
        <f t="array" aca="1" ref="AL5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8" s="40" t="e" cm="1">
        <f t="array" ref="AM58">ROUNDUP((ValueFromColumnName("Cost",ROW())+Specs!$Q$2+_xlfn.XLOOKUP(ValueFromColumnName("Ice Cream Amount",ROW()),Specs!A:A,Specs!V:V,0))*Specs!$N$2,0)</f>
        <v>#VALUE!</v>
      </c>
    </row>
    <row r="59" spans="1:39" x14ac:dyDescent="0.25">
      <c r="A59" s="52" t="s">
        <v>511</v>
      </c>
      <c r="B59" s="31" t="s">
        <v>62</v>
      </c>
      <c r="C59" s="31" t="s">
        <v>65</v>
      </c>
      <c r="D59" s="31" t="s">
        <v>512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450</v>
      </c>
      <c r="M59" s="30" t="s">
        <v>175</v>
      </c>
      <c r="N59" s="30" t="s">
        <v>156</v>
      </c>
      <c r="O59" s="30" t="s">
        <v>173</v>
      </c>
      <c r="P59" s="30"/>
      <c r="Q59" s="30" t="e" cm="1">
        <f t="array" aca="1" ref="Q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9" s="30" t="e" cm="1">
        <f t="array" aca="1" ref="R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9" s="30" t="e">
        <f t="shared" ca="1" si="0"/>
        <v>#VALUE!</v>
      </c>
      <c r="T59" s="30" t="e" cm="1">
        <f t="array" aca="1" ref="T5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9" s="30" t="e" cm="1">
        <f t="array" aca="1" ref="U5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9" s="30" t="e" cm="1">
        <f t="array" aca="1" ref="V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9" s="30" t="e" cm="1">
        <f t="array" aca="1" ref="W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9" s="30" cm="1">
        <f t="array" aca="1" ref="X5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9" s="30" t="e" cm="1">
        <f t="array" aca="1" ref="Y5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9" s="34" cm="1">
        <f t="array" aca="1" ref="Z5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9" s="35" cm="1">
        <f t="array" aca="1" ref="AA5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9" s="57" cm="1">
        <f t="array" aca="1" ref="AB5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9" s="36" cm="1">
        <f t="array" aca="1" ref="AC5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9" s="36" cm="1">
        <f t="array" aca="1" ref="AD5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9" s="37" cm="1">
        <f t="array" aca="1" ref="AE5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9" s="38" t="e" cm="1">
        <f t="array" aca="1" ref="AF59" ca="1">$AE60 / (_xlfn.XLOOKUP(ValueFromColumnName("Ice Cream Amount",ROW()),Specs!A:A,Specs!B:B,0))</f>
        <v>#DIV/0!</v>
      </c>
      <c r="AG59" s="37" cm="1">
        <f t="array" aca="1" ref="AG5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9" s="54" t="e" cm="1">
        <f t="array" aca="1" ref="AH5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59" s="37" t="e" cm="1">
        <f t="array" aca="1" ref="AI5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59" s="37" t="e" cm="1">
        <f t="array" aca="1" ref="AJ5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59" s="37" t="e" cm="1">
        <f t="array" aca="1" ref="AK5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59" s="39" cm="1">
        <f t="array" aca="1" ref="AL5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9" s="40" t="e" cm="1">
        <f t="array" ref="AM59">ROUNDUP((ValueFromColumnName("Cost",ROW())+Specs!$Q$2+_xlfn.XLOOKUP(ValueFromColumnName("Ice Cream Amount",ROW()),Specs!A:A,Specs!V:V,0))*Specs!$N$2,0)</f>
        <v>#VALUE!</v>
      </c>
    </row>
    <row r="60" spans="1:39" ht="21" customHeight="1" x14ac:dyDescent="0.25">
      <c r="A60" s="52" t="s">
        <v>519</v>
      </c>
      <c r="B60" s="31" t="s">
        <v>66</v>
      </c>
      <c r="C60" s="31" t="s">
        <v>283</v>
      </c>
      <c r="D60" s="31" t="s">
        <v>512</v>
      </c>
      <c r="E60" s="31" t="s">
        <v>96</v>
      </c>
      <c r="F60" s="31" t="s">
        <v>491</v>
      </c>
      <c r="G60" s="31"/>
      <c r="H60" s="31"/>
      <c r="I60" s="31" t="s">
        <v>510</v>
      </c>
      <c r="J60" s="31" t="s">
        <v>1</v>
      </c>
      <c r="K60" s="30" t="s">
        <v>43</v>
      </c>
      <c r="L60" s="30" t="s">
        <v>450</v>
      </c>
      <c r="M60" s="30" t="s">
        <v>46</v>
      </c>
      <c r="N60" s="30" t="s">
        <v>156</v>
      </c>
      <c r="O60" s="30" t="s">
        <v>158</v>
      </c>
      <c r="P60" s="30" t="s">
        <v>158</v>
      </c>
      <c r="Q60" s="30" t="e" cm="1">
        <f t="array" aca="1" ref="Q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0" s="30" t="e" cm="1">
        <f t="array" aca="1" ref="R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0" s="30" t="e">
        <f t="shared" ca="1" si="0"/>
        <v>#VALUE!</v>
      </c>
      <c r="T60" s="30" t="e" cm="1">
        <f t="array" aca="1" ref="T6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0" s="30" t="e" cm="1">
        <f t="array" aca="1" ref="U6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0" s="30" t="e" cm="1">
        <f t="array" aca="1" ref="V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0" s="30" t="e" cm="1">
        <f t="array" aca="1" ref="W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0" s="30" cm="1">
        <f t="array" aca="1" ref="X6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0" s="30" t="e" cm="1">
        <f t="array" aca="1" ref="Y6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0" s="34" cm="1">
        <f t="array" aca="1" ref="Z6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0" s="35" cm="1">
        <f t="array" aca="1" ref="AA6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0" s="57" cm="1">
        <f t="array" aca="1" ref="AB6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0" s="36" cm="1">
        <f t="array" aca="1" ref="AC6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0" s="36" cm="1">
        <f t="array" aca="1" ref="AD6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0" s="37" cm="1">
        <f t="array" aca="1" ref="AE6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0" s="38" t="e" cm="1">
        <f t="array" aca="1" ref="AF60" ca="1">$AE61 / (_xlfn.XLOOKUP(ValueFromColumnName("Ice Cream Amount",ROW()),Specs!A:A,Specs!B:B,0))</f>
        <v>#DIV/0!</v>
      </c>
      <c r="AG60" s="37" cm="1">
        <f t="array" aca="1" ref="AG6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0" s="54" t="e" cm="1">
        <f t="array" aca="1" ref="AH6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0" s="37" t="e" cm="1">
        <f t="array" aca="1" ref="AI6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0" s="37" t="e" cm="1">
        <f t="array" aca="1" ref="AJ6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0" s="37" t="e" cm="1">
        <f t="array" aca="1" ref="AK6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0" s="39" cm="1">
        <f t="array" aca="1" ref="AL6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0" s="40" t="e" cm="1">
        <f t="array" ref="AM60">ROUNDUP((ValueFromColumnName("Cost",ROW())+Specs!$Q$2+_xlfn.XLOOKUP(ValueFromColumnName("Ice Cream Amount",ROW()),Specs!A:A,Specs!V:V,0))*Specs!$N$2,0)</f>
        <v>#VALUE!</v>
      </c>
    </row>
    <row r="61" spans="1:39" ht="21" customHeight="1" x14ac:dyDescent="0.25">
      <c r="A61" s="42" t="s">
        <v>546</v>
      </c>
      <c r="B61" s="31" t="s">
        <v>66</v>
      </c>
      <c r="C61" s="31" t="s">
        <v>545</v>
      </c>
      <c r="D61" s="31" t="s">
        <v>0</v>
      </c>
      <c r="E61" s="31" t="s">
        <v>96</v>
      </c>
      <c r="F61" s="31" t="s">
        <v>420</v>
      </c>
      <c r="G61" s="31"/>
      <c r="H61" s="31"/>
      <c r="I61" s="31" t="s">
        <v>510</v>
      </c>
      <c r="J61" s="31" t="s">
        <v>1</v>
      </c>
      <c r="K61" s="30" t="s">
        <v>43</v>
      </c>
      <c r="L61" s="30" t="s">
        <v>450</v>
      </c>
      <c r="M61" s="30" t="s">
        <v>46</v>
      </c>
      <c r="N61" s="30" t="s">
        <v>156</v>
      </c>
      <c r="O61" s="30" t="s">
        <v>158</v>
      </c>
      <c r="P61" s="30" t="s">
        <v>158</v>
      </c>
      <c r="Q61" s="30" t="e" cm="1">
        <f t="array" aca="1" ref="Q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1" s="30" t="e" cm="1">
        <f t="array" aca="1" ref="R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1" s="30" t="e">
        <f t="shared" ca="1" si="0"/>
        <v>#VALUE!</v>
      </c>
      <c r="T61" s="30" t="e" cm="1">
        <f t="array" aca="1" ref="T6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1" s="30" t="e" cm="1">
        <f t="array" aca="1" ref="U6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1" s="30" t="e" cm="1">
        <f t="array" aca="1" ref="V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1" s="30" t="e" cm="1">
        <f t="array" aca="1" ref="W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1" s="30" cm="1">
        <f t="array" aca="1" ref="X6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1" s="30" t="e" cm="1">
        <f t="array" aca="1" ref="Y6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1" s="34" cm="1">
        <f t="array" aca="1" ref="Z6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1" s="35" cm="1">
        <f t="array" aca="1" ref="AA6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1" s="57" cm="1">
        <f t="array" aca="1" ref="AB6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1" s="36" cm="1">
        <f t="array" aca="1" ref="AC6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1" s="36" cm="1">
        <f t="array" aca="1" ref="AD6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1" s="37" cm="1">
        <f t="array" aca="1" ref="AE6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1" s="38" t="e" cm="1">
        <f t="array" aca="1" ref="AF61" ca="1">$AE62 / (_xlfn.XLOOKUP(ValueFromColumnName("Ice Cream Amount",ROW()),Specs!A:A,Specs!B:B,0))</f>
        <v>#DIV/0!</v>
      </c>
      <c r="AG61" s="37" cm="1">
        <f t="array" aca="1" ref="AG6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1" s="54" t="e" cm="1">
        <f t="array" aca="1" ref="AH6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1" s="37" t="e" cm="1">
        <f t="array" aca="1" ref="AI6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1" s="37" t="e" cm="1">
        <f t="array" aca="1" ref="AJ6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1" s="37" t="e" cm="1">
        <f t="array" aca="1" ref="AK6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1" s="39" cm="1">
        <f t="array" aca="1" ref="AL6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1" s="40" t="e" cm="1">
        <f t="array" ref="AM61">ROUNDUP((ValueFromColumnName("Cost",ROW())+Specs!$Q$2+_xlfn.XLOOKUP(ValueFromColumnName("Ice Cream Amount",ROW()),Specs!A:A,Specs!V:V,0))*Specs!$N$2,0)</f>
        <v>#VALUE!</v>
      </c>
    </row>
    <row r="62" spans="1:39" ht="21" customHeight="1" x14ac:dyDescent="0.25">
      <c r="A62" s="41" t="s">
        <v>641</v>
      </c>
      <c r="B62" s="31" t="s">
        <v>66</v>
      </c>
      <c r="C62" s="31" t="s">
        <v>283</v>
      </c>
      <c r="D62" s="31" t="s">
        <v>484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451</v>
      </c>
      <c r="M62" s="30" t="s">
        <v>46</v>
      </c>
      <c r="N62" s="30" t="s">
        <v>156</v>
      </c>
      <c r="O62" s="30" t="s">
        <v>44</v>
      </c>
      <c r="P62" s="30" t="s">
        <v>44</v>
      </c>
      <c r="Q62" s="30" t="e" cm="1">
        <f t="array" aca="1" ref="Q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2" s="30" t="e" cm="1">
        <f t="array" aca="1" ref="R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2" s="30" t="e">
        <f t="shared" ca="1" si="0"/>
        <v>#VALUE!</v>
      </c>
      <c r="T62" s="30" t="e" cm="1">
        <f t="array" aca="1" ref="T6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2" s="30" t="e" cm="1">
        <f t="array" aca="1" ref="U6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2" s="30" t="e" cm="1">
        <f t="array" aca="1" ref="V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2" s="30" t="e" cm="1">
        <f t="array" aca="1" ref="W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2" s="30" cm="1">
        <f t="array" aca="1" ref="X6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2" s="30" t="e" cm="1">
        <f t="array" aca="1" ref="Y6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2" s="34" cm="1">
        <f t="array" aca="1" ref="Z6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2" s="35" cm="1">
        <f t="array" aca="1" ref="AA6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2" s="57" cm="1">
        <f t="array" aca="1" ref="AB6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2" s="36" cm="1">
        <f t="array" aca="1" ref="AC6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2" s="36" cm="1">
        <f t="array" aca="1" ref="AD6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2" s="37" cm="1">
        <f t="array" aca="1" ref="AE6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2" s="38" t="e" cm="1">
        <f t="array" aca="1" ref="AF62" ca="1">$AE63 / (_xlfn.XLOOKUP(ValueFromColumnName("Ice Cream Amount",ROW()),Specs!A:A,Specs!B:B,0))</f>
        <v>#DIV/0!</v>
      </c>
      <c r="AG62" s="37" cm="1">
        <f t="array" aca="1" ref="AG6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2" s="54" t="e" cm="1">
        <f t="array" aca="1" ref="AH6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2" s="37" t="e" cm="1">
        <f t="array" aca="1" ref="AI6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2" s="37" t="e" cm="1">
        <f t="array" aca="1" ref="AJ6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2" s="37" t="e" cm="1">
        <f t="array" aca="1" ref="AK6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2" s="39" cm="1">
        <f t="array" aca="1" ref="AL6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2" s="40" t="e" cm="1">
        <f t="array" ref="AM62">ROUNDUP((ValueFromColumnName("Cost",ROW())+Specs!$Q$2+_xlfn.XLOOKUP(ValueFromColumnName("Ice Cream Amount",ROW()),Specs!A:A,Specs!V:V,0))*Specs!$N$2,0)</f>
        <v>#VALUE!</v>
      </c>
    </row>
    <row r="63" spans="1:39" ht="21" customHeight="1" x14ac:dyDescent="0.25">
      <c r="A63" s="41" t="s">
        <v>620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163</v>
      </c>
      <c r="G63" s="31"/>
      <c r="H63" s="31"/>
      <c r="I63" s="31" t="s">
        <v>133</v>
      </c>
      <c r="J63" s="31"/>
      <c r="K63" s="30" t="s">
        <v>43</v>
      </c>
      <c r="L63" s="30" t="s">
        <v>451</v>
      </c>
      <c r="M63" s="30" t="s">
        <v>452</v>
      </c>
      <c r="N63" s="30" t="s">
        <v>156</v>
      </c>
      <c r="O63" s="30" t="s">
        <v>158</v>
      </c>
      <c r="P63" s="30" t="s">
        <v>44</v>
      </c>
      <c r="Q63" s="30" t="e" cm="1">
        <f t="array" aca="1" ref="Q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3" s="30" t="e" cm="1">
        <f t="array" aca="1" ref="R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3" s="30" t="e">
        <f t="shared" ca="1" si="0"/>
        <v>#VALUE!</v>
      </c>
      <c r="T63" s="30" t="e" cm="1">
        <f t="array" aca="1" ref="T6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3" s="30" t="e" cm="1">
        <f t="array" aca="1" ref="U6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3" s="30" t="e" cm="1">
        <f t="array" aca="1" ref="V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3" s="30" t="e" cm="1">
        <f t="array" aca="1" ref="W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3" s="30" cm="1">
        <f t="array" aca="1" ref="X6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3" s="30" t="e" cm="1">
        <f t="array" aca="1" ref="Y6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3" s="34" cm="1">
        <f t="array" aca="1" ref="Z6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3" s="35" cm="1">
        <f t="array" aca="1" ref="AA6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3" s="57" cm="1">
        <f t="array" aca="1" ref="AB6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3" s="36" cm="1">
        <f t="array" aca="1" ref="AC6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3" s="36" cm="1">
        <f t="array" aca="1" ref="AD6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3" s="37" cm="1">
        <f t="array" aca="1" ref="AE6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3" s="38" t="e" cm="1">
        <f t="array" aca="1" ref="AF63" ca="1">$AE64 / (_xlfn.XLOOKUP(ValueFromColumnName("Ice Cream Amount",ROW()),Specs!A:A,Specs!B:B,0))</f>
        <v>#DIV/0!</v>
      </c>
      <c r="AG63" s="37" cm="1">
        <f t="array" aca="1" ref="AG6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3" s="54" t="e" cm="1">
        <f t="array" aca="1" ref="AH6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3" s="37" t="e" cm="1">
        <f t="array" aca="1" ref="AI6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3" s="37" t="e" cm="1">
        <f t="array" aca="1" ref="AJ6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3" s="37" t="e" cm="1">
        <f t="array" aca="1" ref="AK6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3" s="39" cm="1">
        <f t="array" aca="1" ref="AL6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3" s="40" t="e" cm="1">
        <f t="array" ref="AM63">ROUNDUP((ValueFromColumnName("Cost",ROW())+Specs!$Q$2+_xlfn.XLOOKUP(ValueFromColumnName("Ice Cream Amount",ROW()),Specs!A:A,Specs!V:V,0))*Specs!$N$2,0)</f>
        <v>#VALUE!</v>
      </c>
    </row>
    <row r="64" spans="1:39" x14ac:dyDescent="0.25">
      <c r="A64" t="s">
        <v>623</v>
      </c>
      <c r="B64" s="1" t="s">
        <v>62</v>
      </c>
      <c r="C64" s="1" t="s">
        <v>65</v>
      </c>
      <c r="D64" s="1" t="s">
        <v>248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156</v>
      </c>
      <c r="O64" t="s">
        <v>173</v>
      </c>
      <c r="Q64" s="30" t="e" cm="1">
        <f t="array" aca="1" ref="Q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4" s="30" t="e" cm="1">
        <f t="array" aca="1" ref="R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4" s="30" t="e">
        <f t="shared" ca="1" si="0"/>
        <v>#VALUE!</v>
      </c>
      <c r="T64" s="30" t="e" cm="1">
        <f t="array" aca="1" ref="T6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4" s="30" t="e" cm="1">
        <f t="array" aca="1" ref="U6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4" s="30" t="e" cm="1">
        <f t="array" aca="1" ref="V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4" s="30" t="e" cm="1">
        <f t="array" aca="1" ref="W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4" s="30" cm="1">
        <f t="array" aca="1" ref="X6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4" s="30" t="e" cm="1">
        <f t="array" aca="1" ref="Y6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4" s="34" cm="1">
        <f t="array" aca="1" ref="Z6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4" s="35" cm="1">
        <f t="array" aca="1" ref="AA6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4" s="57" cm="1">
        <f t="array" aca="1" ref="AB6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4" s="36" cm="1">
        <f t="array" aca="1" ref="AC6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4" s="36" cm="1">
        <f t="array" aca="1" ref="AD6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4" s="37" cm="1">
        <f t="array" aca="1" ref="AE6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4" s="38" t="e" cm="1">
        <f t="array" aca="1" ref="AF64" ca="1">$AE65 / (_xlfn.XLOOKUP(ValueFromColumnName("Ice Cream Amount",ROW()),Specs!A:A,Specs!B:B,0))</f>
        <v>#DIV/0!</v>
      </c>
      <c r="AG64" s="37" cm="1">
        <f t="array" aca="1" ref="AG6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4" s="54" t="e" cm="1">
        <f t="array" aca="1" ref="AH6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4" s="37" t="e" cm="1">
        <f t="array" aca="1" ref="AI6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4" s="37" t="e" cm="1">
        <f t="array" aca="1" ref="AJ6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4" s="37" t="e" cm="1">
        <f t="array" aca="1" ref="AK6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4" s="39" cm="1">
        <f t="array" aca="1" ref="AL6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4" s="40" t="e" cm="1">
        <f t="array" ref="AM64">ROUNDUP((ValueFromColumnName("Cost",ROW())+Specs!$Q$2+_xlfn.XLOOKUP(ValueFromColumnName("Ice Cream Amount",ROW()),Specs!A:A,Specs!V:V,0))*Specs!$N$2,0)</f>
        <v>#VALUE!</v>
      </c>
    </row>
    <row r="65" spans="1:39" x14ac:dyDescent="0.25">
      <c r="Q65" s="30" t="e" cm="1">
        <f t="array" aca="1" ref="Q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5" s="30" t="e" cm="1">
        <f t="array" aca="1" ref="R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5" s="30" t="e">
        <f t="shared" ca="1" si="0"/>
        <v>#VALUE!</v>
      </c>
      <c r="T65" s="30" t="e" cm="1">
        <f t="array" aca="1" ref="T6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5" s="30" t="e" cm="1">
        <f t="array" aca="1" ref="U6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5" s="30" t="e" cm="1">
        <f t="array" aca="1" ref="V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5" s="30" t="e" cm="1">
        <f t="array" aca="1" ref="W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5" s="30" cm="1">
        <f t="array" aca="1" ref="X6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5" s="30" t="e" cm="1">
        <f t="array" aca="1" ref="Y6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5" s="34" cm="1">
        <f t="array" aca="1" ref="Z6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5" s="35" cm="1">
        <f t="array" aca="1" ref="AA6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5" s="57" cm="1">
        <f t="array" aca="1" ref="AB6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5" s="36" cm="1">
        <f t="array" aca="1" ref="AC6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5" s="36" cm="1">
        <f t="array" aca="1" ref="AD6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5" s="37" cm="1">
        <f t="array" aca="1" ref="AE6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5" s="38" t="e" cm="1">
        <f t="array" aca="1" ref="AF65" ca="1">$AE66 / (_xlfn.XLOOKUP(ValueFromColumnName("Ice Cream Amount",ROW()),Specs!A:A,Specs!B:B,0))</f>
        <v>#DIV/0!</v>
      </c>
      <c r="AG65" s="37" cm="1">
        <f t="array" aca="1" ref="AG6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5" s="54" t="e" cm="1">
        <f t="array" aca="1" ref="AH6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5" s="37" t="e" cm="1">
        <f t="array" aca="1" ref="AI6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5" s="37" t="e" cm="1">
        <f t="array" aca="1" ref="AJ6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5" s="37" t="e" cm="1">
        <f t="array" aca="1" ref="AK6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5" s="39" cm="1">
        <f t="array" aca="1" ref="AL6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5" s="40" t="e" cm="1">
        <f t="array" ref="AM65">ROUNDUP((ValueFromColumnName("Cost",ROW())+Specs!$Q$2+_xlfn.XLOOKUP(ValueFromColumnName("Ice Cream Amount",ROW()),Specs!A:A,Specs!V:V,0))*Specs!$N$2,0)</f>
        <v>#VALUE!</v>
      </c>
    </row>
    <row r="66" spans="1:39" x14ac:dyDescent="0.25">
      <c r="A66" t="s">
        <v>644</v>
      </c>
      <c r="B66" s="1" t="s">
        <v>66</v>
      </c>
      <c r="C66" s="1" t="s">
        <v>283</v>
      </c>
      <c r="D66" s="1" t="s">
        <v>639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450</v>
      </c>
      <c r="M66" t="s">
        <v>46</v>
      </c>
      <c r="N66" t="s">
        <v>44</v>
      </c>
      <c r="O66" t="s">
        <v>448</v>
      </c>
      <c r="P66" t="s">
        <v>158</v>
      </c>
      <c r="Q66" s="30" t="e" cm="1">
        <f t="array" aca="1" ref="Q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6" s="30" t="e" cm="1">
        <f t="array" aca="1" ref="R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6" s="30" t="e">
        <f t="shared" ca="1" si="0"/>
        <v>#VALUE!</v>
      </c>
      <c r="T66" s="30" t="e" cm="1">
        <f t="array" aca="1" ref="T6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6" s="30" t="e" cm="1">
        <f t="array" aca="1" ref="U6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6" s="30" t="e" cm="1">
        <f t="array" aca="1" ref="V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6" s="30" t="e" cm="1">
        <f t="array" aca="1" ref="W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6" s="30" cm="1">
        <f t="array" aca="1" ref="X6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6" s="30" t="e" cm="1">
        <f t="array" aca="1" ref="Y6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6" s="34" cm="1">
        <f t="array" aca="1" ref="Z6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6" s="35" cm="1">
        <f t="array" aca="1" ref="AA6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6" s="57" cm="1">
        <f t="array" aca="1" ref="AB6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6" s="36" cm="1">
        <f t="array" aca="1" ref="AC6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6" s="36" cm="1">
        <f t="array" aca="1" ref="AD6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6" s="37" cm="1">
        <f t="array" aca="1" ref="AE6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6" s="38" t="e" cm="1">
        <f t="array" aca="1" ref="AF66" ca="1">$AE67 / (_xlfn.XLOOKUP(ValueFromColumnName("Ice Cream Amount",ROW()),Specs!A:A,Specs!B:B,0))</f>
        <v>#DIV/0!</v>
      </c>
      <c r="AG66" s="37" cm="1">
        <f t="array" aca="1" ref="AG6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6" s="54" t="e" cm="1">
        <f t="array" aca="1" ref="AH6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6" s="37" t="e" cm="1">
        <f t="array" aca="1" ref="AI6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6" s="37" t="e" cm="1">
        <f t="array" aca="1" ref="AJ6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6" s="37" t="e" cm="1">
        <f t="array" aca="1" ref="AK6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6" s="39" cm="1">
        <f t="array" aca="1" ref="AL6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6" s="40" t="e" cm="1">
        <f t="array" ref="AM66">ROUNDUP((ValueFromColumnName("Cost",ROW())+Specs!$Q$2+_xlfn.XLOOKUP(ValueFromColumnName("Ice Cream Amount",ROW()),Specs!A:A,Specs!V:V,0))*Specs!$N$2,0)</f>
        <v>#VALUE!</v>
      </c>
    </row>
    <row r="67" spans="1:39" x14ac:dyDescent="0.25">
      <c r="A67" t="s">
        <v>643</v>
      </c>
      <c r="B67" s="1" t="s">
        <v>62</v>
      </c>
      <c r="C67" s="1" t="s">
        <v>65</v>
      </c>
      <c r="D67" s="1" t="s">
        <v>544</v>
      </c>
      <c r="I67" s="1" t="s">
        <v>1</v>
      </c>
      <c r="K67" t="s">
        <v>4</v>
      </c>
      <c r="L67" t="s">
        <v>175</v>
      </c>
      <c r="M67" t="s">
        <v>44</v>
      </c>
      <c r="N67" t="s">
        <v>44</v>
      </c>
      <c r="O67" t="s">
        <v>173</v>
      </c>
      <c r="P67" t="s">
        <v>44</v>
      </c>
      <c r="Q67" s="30" t="e" cm="1">
        <f t="array" aca="1" ref="Q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7" s="30" t="e" cm="1">
        <f t="array" aca="1" ref="R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7" s="30" t="e">
        <f t="shared" ref="S67:S84" ca="1" si="1">Q67+R67</f>
        <v>#VALUE!</v>
      </c>
      <c r="T67" s="30" t="e" cm="1">
        <f t="array" aca="1" ref="T6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7" s="30" t="e" cm="1">
        <f t="array" aca="1" ref="U6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7" s="30" t="e" cm="1">
        <f t="array" aca="1" ref="V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7" s="30" t="e" cm="1">
        <f t="array" aca="1" ref="W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7" s="30" t="e" cm="1">
        <f t="array" aca="1" ref="X6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67" s="30" t="e" cm="1">
        <f t="array" aca="1" ref="Y6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7" s="34" cm="1">
        <f t="array" aca="1" ref="Z6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7" s="35" cm="1">
        <f t="array" aca="1" ref="AA6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7" s="57" cm="1">
        <f t="array" aca="1" ref="AB6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7" s="36" cm="1">
        <f t="array" aca="1" ref="AC6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7" s="36" cm="1">
        <f t="array" aca="1" ref="AD6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7" s="37" cm="1">
        <f t="array" aca="1" ref="AE6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7" s="38" t="e" cm="1">
        <f t="array" aca="1" ref="AF67" ca="1">$AE68 / (_xlfn.XLOOKUP(ValueFromColumnName("Ice Cream Amount",ROW()),Specs!A:A,Specs!B:B,0))</f>
        <v>#DIV/0!</v>
      </c>
      <c r="AG67" s="37" cm="1">
        <f t="array" aca="1" ref="AG6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7" s="54" t="e" cm="1">
        <f t="array" aca="1" ref="AH6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7" s="37" t="e" cm="1">
        <f t="array" aca="1" ref="AI6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7" s="37" t="e" cm="1">
        <f t="array" aca="1" ref="AJ6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7" s="37" t="e" cm="1">
        <f t="array" aca="1" ref="AK6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7" s="39" cm="1">
        <f t="array" aca="1" ref="AL6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7" s="40" t="e" cm="1">
        <f t="array" ref="AM67">ROUNDUP((ValueFromColumnName("Cost",ROW())+Specs!$Q$2+_xlfn.XLOOKUP(ValueFromColumnName("Ice Cream Amount",ROW()),Specs!A:A,Specs!V:V,0))*Specs!$N$2,0)</f>
        <v>#VALUE!</v>
      </c>
    </row>
    <row r="68" spans="1:39" x14ac:dyDescent="0.25">
      <c r="A68" t="s">
        <v>784</v>
      </c>
      <c r="B68" s="1" t="s">
        <v>62</v>
      </c>
      <c r="C68" s="1" t="s">
        <v>65</v>
      </c>
      <c r="D68" s="1" t="s">
        <v>248</v>
      </c>
      <c r="E68" s="1" t="s">
        <v>765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173</v>
      </c>
      <c r="Q68" s="30" t="e" cm="1">
        <f t="array" aca="1" ref="Q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8" s="30" t="e" cm="1">
        <f t="array" aca="1" ref="R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8" s="30" t="e">
        <f t="shared" ca="1" si="1"/>
        <v>#VALUE!</v>
      </c>
      <c r="T68" s="30" t="e" cm="1">
        <f t="array" aca="1" ref="T6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8" s="30" t="e" cm="1">
        <f t="array" aca="1" ref="U6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8" s="30" t="e" cm="1">
        <f t="array" aca="1" ref="V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8" s="30" t="e" cm="1">
        <f t="array" aca="1" ref="W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8" s="30" cm="1">
        <f t="array" aca="1" ref="X6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8" s="30" t="e" cm="1">
        <f t="array" aca="1" ref="Y6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8" s="34" cm="1">
        <f t="array" aca="1" ref="Z6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8" s="35" cm="1">
        <f t="array" aca="1" ref="AA6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8" s="57" cm="1">
        <f t="array" aca="1" ref="AB6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8" s="36" cm="1">
        <f t="array" aca="1" ref="AC6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8" s="36" cm="1">
        <f t="array" aca="1" ref="AD6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8" s="37" cm="1">
        <f t="array" aca="1" ref="AE6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8" s="38" t="e" cm="1">
        <f t="array" aca="1" ref="AF68" ca="1">$AE69 / (_xlfn.XLOOKUP(ValueFromColumnName("Ice Cream Amount",ROW()),Specs!A:A,Specs!B:B,0))</f>
        <v>#DIV/0!</v>
      </c>
      <c r="AG68" s="37" cm="1">
        <f t="array" aca="1" ref="AG6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8" s="54" t="e" cm="1">
        <f t="array" aca="1" ref="AH6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8" s="37" t="e" cm="1">
        <f t="array" aca="1" ref="AI6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8" s="37" t="e" cm="1">
        <f t="array" aca="1" ref="AJ6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8" s="37" t="e" cm="1">
        <f t="array" aca="1" ref="AK6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8" s="39" cm="1">
        <f t="array" aca="1" ref="AL6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8" s="40" t="e" cm="1">
        <f t="array" ref="AM68">ROUNDUP((ValueFromColumnName("Cost",ROW())+Specs!$Q$2+_xlfn.XLOOKUP(ValueFromColumnName("Ice Cream Amount",ROW()),Specs!A:A,Specs!V:V,0))*Specs!$N$2,0)</f>
        <v>#VALUE!</v>
      </c>
    </row>
    <row r="69" spans="1:39" x14ac:dyDescent="0.25">
      <c r="A69" t="s">
        <v>785</v>
      </c>
      <c r="B69" s="1" t="s">
        <v>780</v>
      </c>
      <c r="C69" s="1" t="s">
        <v>782</v>
      </c>
      <c r="D69" s="1" t="s">
        <v>0</v>
      </c>
      <c r="E69" s="1" t="s">
        <v>786</v>
      </c>
      <c r="I69" s="1" t="s">
        <v>133</v>
      </c>
      <c r="K69" t="s">
        <v>4</v>
      </c>
      <c r="L69" t="s">
        <v>450</v>
      </c>
      <c r="M69" t="s">
        <v>46</v>
      </c>
      <c r="N69" t="s">
        <v>44</v>
      </c>
      <c r="O69" t="s">
        <v>158</v>
      </c>
      <c r="Q69" s="30" t="e" cm="1">
        <f t="array" aca="1" ref="Q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9" s="30" t="e" cm="1">
        <f t="array" aca="1" ref="R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9" s="30" t="e">
        <f t="shared" ca="1" si="1"/>
        <v>#VALUE!</v>
      </c>
      <c r="T69" s="30" t="e" cm="1">
        <f t="array" aca="1" ref="T6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9" s="30" t="e" cm="1">
        <f t="array" aca="1" ref="U6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9" s="30" t="e" cm="1">
        <f t="array" aca="1" ref="V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9" s="30" t="e" cm="1">
        <f t="array" aca="1" ref="W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9" s="30" cm="1">
        <f t="array" aca="1" ref="X6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9" s="30" t="e" cm="1">
        <f t="array" aca="1" ref="Y6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9" s="34" cm="1">
        <f t="array" aca="1" ref="Z6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9" s="35" cm="1">
        <f t="array" aca="1" ref="AA6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9" s="57" cm="1">
        <f t="array" aca="1" ref="AB6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9" s="36" cm="1">
        <f t="array" aca="1" ref="AC6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9" s="36" cm="1">
        <f t="array" aca="1" ref="AD6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9" s="37" cm="1">
        <f t="array" aca="1" ref="AE6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9" s="38" t="e" cm="1">
        <f t="array" aca="1" ref="AF69" ca="1">$AE70 / (_xlfn.XLOOKUP(ValueFromColumnName("Ice Cream Amount",ROW()),Specs!A:A,Specs!B:B,0))</f>
        <v>#DIV/0!</v>
      </c>
      <c r="AG69" s="37" cm="1">
        <f t="array" aca="1" ref="AG6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9" s="54" t="e" cm="1">
        <f t="array" aca="1" ref="AH6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69" s="37" t="e" cm="1">
        <f t="array" aca="1" ref="AI6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69" s="37" t="e" cm="1">
        <f t="array" aca="1" ref="AJ6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69" s="37" t="e" cm="1">
        <f t="array" aca="1" ref="AK6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69" s="39" cm="1">
        <f t="array" aca="1" ref="AL6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9" s="40" t="e" cm="1">
        <f t="array" ref="AM69">ROUNDUP((ValueFromColumnName("Cost",ROW())+Specs!$Q$2+_xlfn.XLOOKUP(ValueFromColumnName("Ice Cream Amount",ROW()),Specs!A:A,Specs!V:V,0))*Specs!$N$2,0)</f>
        <v>#VALUE!</v>
      </c>
    </row>
    <row r="70" spans="1:39" x14ac:dyDescent="0.25">
      <c r="A70" s="26" t="s">
        <v>875</v>
      </c>
      <c r="B70" s="1" t="s">
        <v>873</v>
      </c>
      <c r="C70" s="1" t="s">
        <v>782</v>
      </c>
      <c r="D70" s="1" t="s">
        <v>98</v>
      </c>
      <c r="E70" s="1" t="s">
        <v>786</v>
      </c>
      <c r="F70" s="1" t="s">
        <v>3</v>
      </c>
      <c r="I70" s="1" t="s">
        <v>816</v>
      </c>
      <c r="K70" t="s">
        <v>4</v>
      </c>
      <c r="L70" t="s">
        <v>450</v>
      </c>
      <c r="M70" t="s">
        <v>46</v>
      </c>
      <c r="N70" t="s">
        <v>156</v>
      </c>
      <c r="O70" t="s">
        <v>448</v>
      </c>
      <c r="Q70" s="30" t="e" cm="1">
        <f t="array" aca="1" ref="Q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0" s="30" t="e" cm="1">
        <f t="array" aca="1" ref="R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0" s="30" t="e">
        <f t="shared" ca="1" si="1"/>
        <v>#VALUE!</v>
      </c>
      <c r="T70" s="30" t="e" cm="1">
        <f t="array" aca="1" ref="T7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0" s="30" t="e" cm="1">
        <f t="array" aca="1" ref="U7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0" s="30" t="e" cm="1">
        <f t="array" aca="1" ref="V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0" s="30" t="e" cm="1">
        <f t="array" aca="1" ref="W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0" s="30" cm="1">
        <f t="array" aca="1" ref="X7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0" s="30" t="e" cm="1">
        <f t="array" aca="1" ref="Y7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0" s="34" cm="1">
        <f t="array" aca="1" ref="Z7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0" s="35" cm="1">
        <f t="array" aca="1" ref="AA7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0" s="57" cm="1">
        <f t="array" aca="1" ref="AB7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0" s="36" cm="1">
        <f t="array" aca="1" ref="AC7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0" s="36" cm="1">
        <f t="array" aca="1" ref="AD7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0" s="37" cm="1">
        <f t="array" aca="1" ref="AE7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0" s="38" t="e" cm="1">
        <f t="array" aca="1" ref="AF70" ca="1">$AE71 / (_xlfn.XLOOKUP(ValueFromColumnName("Ice Cream Amount",ROW()),Specs!A:A,Specs!B:B,0))</f>
        <v>#DIV/0!</v>
      </c>
      <c r="AG70" s="37" cm="1">
        <f t="array" aca="1" ref="AG7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0" s="54" t="e" cm="1">
        <f t="array" aca="1" ref="AH7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70" s="37" t="e" cm="1">
        <f t="array" aca="1" ref="AI7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70" s="37" t="e" cm="1">
        <f t="array" aca="1" ref="AJ7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70" s="37" t="e" cm="1">
        <f t="array" aca="1" ref="AK7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70" s="39" cm="1">
        <f t="array" aca="1" ref="AL7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0" s="40" t="e" cm="1">
        <f t="array" ref="AM70">ROUNDUP((ValueFromColumnName("Cost",ROW())+Specs!$Q$2+_xlfn.XLOOKUP(ValueFromColumnName("Ice Cream Amount",ROW()),Specs!A:A,Specs!V:V,0))*Specs!$N$2,0)</f>
        <v>#VALUE!</v>
      </c>
    </row>
    <row r="71" spans="1:39" x14ac:dyDescent="0.25">
      <c r="A71" s="26" t="s">
        <v>876</v>
      </c>
      <c r="B71" s="1" t="s">
        <v>873</v>
      </c>
      <c r="C71" s="1" t="s">
        <v>782</v>
      </c>
      <c r="D71" s="1" t="s">
        <v>0</v>
      </c>
      <c r="E71" s="1" t="s">
        <v>786</v>
      </c>
      <c r="F71" s="1" t="s">
        <v>3</v>
      </c>
      <c r="I71" s="1" t="s">
        <v>816</v>
      </c>
      <c r="K71" t="s">
        <v>4</v>
      </c>
      <c r="L71" t="s">
        <v>450</v>
      </c>
      <c r="M71" t="s">
        <v>10</v>
      </c>
      <c r="N71" t="s">
        <v>156</v>
      </c>
      <c r="O71" t="s">
        <v>448</v>
      </c>
      <c r="Q71" s="30" t="e" cm="1">
        <f t="array" aca="1" ref="Q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1" s="30" t="e" cm="1">
        <f t="array" aca="1" ref="R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1" s="30" t="e">
        <f t="shared" ca="1" si="1"/>
        <v>#VALUE!</v>
      </c>
      <c r="T71" s="30" t="e" cm="1">
        <f t="array" aca="1" ref="T7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1" s="30" t="e" cm="1">
        <f t="array" aca="1" ref="U7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1" s="30" t="e" cm="1">
        <f t="array" aca="1" ref="V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1" s="30" t="e" cm="1">
        <f t="array" aca="1" ref="W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1" s="30" cm="1">
        <f t="array" aca="1" ref="X7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1" s="30" t="e" cm="1">
        <f t="array" aca="1" ref="Y7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1" s="34" cm="1">
        <f t="array" aca="1" ref="Z7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1" s="35" cm="1">
        <f t="array" aca="1" ref="AA7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1" s="57" cm="1">
        <f t="array" aca="1" ref="AB7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1" s="36" cm="1">
        <f t="array" aca="1" ref="AC7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1" s="36" cm="1">
        <f t="array" aca="1" ref="AD7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1" s="37" cm="1">
        <f t="array" aca="1" ref="AE7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1" s="38" t="e" cm="1">
        <f t="array" aca="1" ref="AF71" ca="1">$AE72 / (_xlfn.XLOOKUP(ValueFromColumnName("Ice Cream Amount",ROW()),Specs!A:A,Specs!B:B,0))</f>
        <v>#VALUE!</v>
      </c>
      <c r="AG71" s="37" cm="1">
        <f t="array" aca="1" ref="AG7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1" s="54" t="e" cm="1">
        <f t="array" aca="1" ref="AH7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#DIV/0!</v>
      </c>
      <c r="AI71" s="37" t="e" cm="1">
        <f t="array" aca="1" ref="AI7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#DIV/0!</v>
      </c>
      <c r="AJ71" s="37" t="e" cm="1">
        <f t="array" aca="1" ref="AJ7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#DIV/0!</v>
      </c>
      <c r="AK71" s="37" t="e" cm="1">
        <f t="array" aca="1" ref="AK7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#DIV/0!</v>
      </c>
      <c r="AL71" s="39" cm="1">
        <f t="array" aca="1" ref="AL7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1" s="40" t="e" cm="1">
        <f t="array" ref="AM71">ROUNDUP((ValueFromColumnName("Cost",ROW())+Specs!$Q$2+_xlfn.XLOOKUP(ValueFromColumnName("Ice Cream Amount",ROW()),Specs!A:A,Specs!V:V,0))*Specs!$N$2,0)</f>
        <v>#VALUE!</v>
      </c>
    </row>
    <row r="72" spans="1:39" x14ac:dyDescent="0.25">
      <c r="A72" t="s">
        <v>789</v>
      </c>
      <c r="B72" s="1" t="s">
        <v>780</v>
      </c>
      <c r="C72" s="1" t="s">
        <v>283</v>
      </c>
      <c r="D72" s="1" t="s">
        <v>473</v>
      </c>
      <c r="E72" s="1" t="s">
        <v>786</v>
      </c>
      <c r="K72" t="s">
        <v>4</v>
      </c>
      <c r="L72" t="s">
        <v>451</v>
      </c>
      <c r="M72" t="s">
        <v>46</v>
      </c>
      <c r="N72" t="s">
        <v>44</v>
      </c>
      <c r="O72" t="s">
        <v>44</v>
      </c>
      <c r="Q72" s="30" t="e" cm="1">
        <f t="array" aca="1" ref="Q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2" s="30" t="e" cm="1">
        <f t="array" aca="1" ref="R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2" s="30" t="e">
        <f t="shared" ca="1" si="1"/>
        <v>#VALUE!</v>
      </c>
      <c r="T72" s="30" t="e" cm="1">
        <f t="array" aca="1" ref="T7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2" s="30" t="e" cm="1">
        <f t="array" aca="1" ref="U7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2" s="30" t="e" cm="1">
        <f t="array" aca="1" ref="V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2" s="30" t="e" cm="1">
        <f t="array" aca="1" ref="W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2" s="30" cm="1">
        <f t="array" aca="1" ref="X7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2" s="30" t="e" cm="1">
        <f t="array" aca="1" ref="Y7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2" s="34" cm="1">
        <f t="array" aca="1" ref="Z7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2" s="35" cm="1">
        <f t="array" aca="1" ref="AA7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2" s="57" cm="1">
        <f t="array" aca="1" ref="AB7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2" s="36" cm="1">
        <f t="array" aca="1" ref="AC7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2" s="36" cm="1">
        <f t="array" aca="1" ref="AD7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2" s="37" cm="1">
        <f t="array" aca="1" ref="AE7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2" s="38" t="e" cm="1">
        <f t="array" aca="1" ref="AF72" ca="1">$AE73 / (_xlfn.XLOOKUP(ValueFromColumnName("Ice Cream Amount",ROW()),Specs!A:A,Specs!B:B,0))</f>
        <v>#VALUE!</v>
      </c>
      <c r="AG72" s="37" cm="1">
        <f t="array" aca="1" ref="AG7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2" s="54" t="e" cm="1">
        <f t="array" aca="1" ref="AH7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2" s="37" t="e" cm="1">
        <f t="array" aca="1" ref="AI7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2" s="37" t="e" cm="1">
        <f t="array" aca="1" ref="AJ7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2" s="37" t="e" cm="1">
        <f t="array" aca="1" ref="AK7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2" s="39" cm="1">
        <f t="array" aca="1" ref="AL7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2" s="40" t="e" cm="1">
        <f t="array" ref="AM72">ROUNDUP((ValueFromColumnName("Cost",ROW())+Specs!$Q$2+_xlfn.XLOOKUP(ValueFromColumnName("Ice Cream Amount",ROW()),Specs!A:A,Specs!V:V,0))*Specs!$N$2,0)</f>
        <v>#VALUE!</v>
      </c>
    </row>
    <row r="73" spans="1:39" x14ac:dyDescent="0.25">
      <c r="A73" s="74" t="s">
        <v>790</v>
      </c>
      <c r="B73" s="1" t="s">
        <v>791</v>
      </c>
      <c r="C73" s="1" t="s">
        <v>283</v>
      </c>
      <c r="D73" s="1" t="s">
        <v>0</v>
      </c>
      <c r="K73" t="s">
        <v>340</v>
      </c>
      <c r="L73" t="s">
        <v>450</v>
      </c>
      <c r="M73" t="s">
        <v>44</v>
      </c>
      <c r="N73" t="s">
        <v>44</v>
      </c>
      <c r="O73" t="s">
        <v>44</v>
      </c>
      <c r="Q73" s="30" t="e" cm="1">
        <f t="array" aca="1" ref="Q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3" s="30" t="e" cm="1">
        <f t="array" aca="1" ref="R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3" s="30" t="e">
        <f t="shared" ca="1" si="1"/>
        <v>#VALUE!</v>
      </c>
      <c r="T73" s="30" t="e" cm="1">
        <f t="array" aca="1" ref="T7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3" s="30" t="e" cm="1">
        <f t="array" aca="1" ref="U7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3" s="30" t="e" cm="1">
        <f t="array" aca="1" ref="V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3" s="30" t="e" cm="1">
        <f t="array" aca="1" ref="W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3" s="30" cm="1">
        <f t="array" aca="1" ref="X7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3" s="30" t="e" cm="1">
        <f t="array" aca="1" ref="Y7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3" s="34" cm="1">
        <f t="array" aca="1" ref="Z7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3" s="35" cm="1">
        <f t="array" aca="1" ref="AA7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3" s="57" cm="1">
        <f t="array" aca="1" ref="AB7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3" s="36" cm="1">
        <f t="array" aca="1" ref="AC7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3" s="36" cm="1">
        <f t="array" aca="1" ref="AD7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3" s="37" cm="1">
        <f t="array" aca="1" ref="AE7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3" s="38" t="e" cm="1">
        <f t="array" aca="1" ref="AF73" ca="1">$AE74 / (_xlfn.XLOOKUP(ValueFromColumnName("Ice Cream Amount",ROW()),Specs!A:A,Specs!B:B,0))</f>
        <v>#VALUE!</v>
      </c>
      <c r="AG73" s="37" cm="1">
        <f t="array" aca="1" ref="AG7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3" s="54" t="e" cm="1">
        <f t="array" aca="1" ref="AH7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3" s="37" t="e" cm="1">
        <f t="array" aca="1" ref="AI7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3" s="37" t="e" cm="1">
        <f t="array" aca="1" ref="AJ7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3" s="37" t="e" cm="1">
        <f t="array" aca="1" ref="AK7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3" s="39" cm="1">
        <f t="array" aca="1" ref="AL7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3" s="40" t="e" cm="1">
        <f t="array" ref="AM73">ROUNDUP((ValueFromColumnName("Cost",ROW())+Specs!$Q$2+_xlfn.XLOOKUP(ValueFromColumnName("Ice Cream Amount",ROW()),Specs!A:A,Specs!V:V,0))*Specs!$N$2,0)</f>
        <v>#VALUE!</v>
      </c>
    </row>
    <row r="74" spans="1:39" x14ac:dyDescent="0.25">
      <c r="A74" s="96" t="s">
        <v>794</v>
      </c>
      <c r="B74" s="1" t="s">
        <v>65</v>
      </c>
      <c r="C74" s="1" t="s">
        <v>75</v>
      </c>
      <c r="D74" s="1" t="s">
        <v>98</v>
      </c>
      <c r="I74" s="1" t="s">
        <v>1</v>
      </c>
      <c r="K74" t="s">
        <v>43</v>
      </c>
      <c r="L74" t="s">
        <v>450</v>
      </c>
      <c r="M74" t="s">
        <v>44</v>
      </c>
      <c r="N74" t="s">
        <v>44</v>
      </c>
      <c r="O74" t="s">
        <v>173</v>
      </c>
      <c r="Q74" s="30" t="e" cm="1">
        <f t="array" aca="1" ref="Q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4" s="30" t="e" cm="1">
        <f t="array" aca="1" ref="R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4" s="30" t="e">
        <f t="shared" ca="1" si="1"/>
        <v>#VALUE!</v>
      </c>
      <c r="T74" s="30" t="e" cm="1">
        <f t="array" aca="1" ref="T7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4" s="30" t="e" cm="1">
        <f t="array" aca="1" ref="U7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4" s="30" t="e" cm="1">
        <f t="array" aca="1" ref="V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4" s="30" t="e" cm="1">
        <f t="array" aca="1" ref="W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4" s="30" cm="1">
        <f t="array" aca="1" ref="X7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4" s="30" t="e" cm="1">
        <f t="array" aca="1" ref="Y7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4" s="34" cm="1">
        <f t="array" aca="1" ref="Z7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4" s="35" cm="1">
        <f t="array" aca="1" ref="AA7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4" s="57" cm="1">
        <f t="array" aca="1" ref="AB7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4" s="36" cm="1">
        <f t="array" aca="1" ref="AC7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4" s="36" cm="1">
        <f t="array" aca="1" ref="AD7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4" s="37" cm="1">
        <f t="array" aca="1" ref="AE7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4" s="38" t="e" cm="1">
        <f t="array" aca="1" ref="AF74" ca="1">$AE75 / (_xlfn.XLOOKUP(ValueFromColumnName("Ice Cream Amount",ROW()),Specs!A:A,Specs!B:B,0))</f>
        <v>#VALUE!</v>
      </c>
      <c r="AG74" s="37" cm="1">
        <f t="array" aca="1" ref="AG7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4" s="54" t="e" cm="1">
        <f t="array" aca="1" ref="AH7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4" s="37" t="e" cm="1">
        <f t="array" aca="1" ref="AI7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4" s="37" t="e" cm="1">
        <f t="array" aca="1" ref="AJ7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4" s="37" t="e" cm="1">
        <f t="array" aca="1" ref="AK7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4" s="39" cm="1">
        <f t="array" aca="1" ref="AL7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4" s="40" t="e" cm="1">
        <f t="array" ref="AM74">ROUNDUP((ValueFromColumnName("Cost",ROW())+Specs!$Q$2+_xlfn.XLOOKUP(ValueFromColumnName("Ice Cream Amount",ROW()),Specs!A:A,Specs!V:V,0))*Specs!$N$2,0)</f>
        <v>#VALUE!</v>
      </c>
    </row>
    <row r="75" spans="1:39" x14ac:dyDescent="0.25">
      <c r="A75" s="96" t="s">
        <v>801</v>
      </c>
      <c r="B75" s="1" t="s">
        <v>62</v>
      </c>
      <c r="C75" s="1" t="s">
        <v>65</v>
      </c>
      <c r="D75" s="1" t="s">
        <v>263</v>
      </c>
      <c r="E75" s="1" t="s">
        <v>473</v>
      </c>
      <c r="F75" s="1" t="s">
        <v>139</v>
      </c>
      <c r="I75" s="1" t="s">
        <v>1</v>
      </c>
      <c r="K75" t="s">
        <v>4</v>
      </c>
      <c r="L75" t="s">
        <v>10</v>
      </c>
      <c r="M75" t="s">
        <v>10</v>
      </c>
      <c r="N75" t="s">
        <v>156</v>
      </c>
      <c r="O75" t="s">
        <v>158</v>
      </c>
      <c r="Q75" s="30" t="e" cm="1">
        <f t="array" aca="1" ref="Q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5" s="30" t="e" cm="1">
        <f t="array" aca="1" ref="R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5" s="30" t="e">
        <f t="shared" ca="1" si="1"/>
        <v>#VALUE!</v>
      </c>
      <c r="T75" s="30" t="e" cm="1">
        <f t="array" aca="1" ref="T7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5" s="30" t="e" cm="1">
        <f t="array" aca="1" ref="U7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5" s="30" t="e" cm="1">
        <f t="array" aca="1" ref="V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5" s="30" t="e" cm="1">
        <f t="array" aca="1" ref="W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5" s="30" t="e" cm="1">
        <f t="array" aca="1" ref="X7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5" s="30" t="e" cm="1">
        <f t="array" aca="1" ref="Y7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5" s="34" cm="1">
        <f t="array" aca="1" ref="Z7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5" s="35" cm="1">
        <f t="array" aca="1" ref="AA7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5" s="57" cm="1">
        <f t="array" aca="1" ref="AB7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5" s="36" cm="1">
        <f t="array" aca="1" ref="AC7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5" s="36" cm="1">
        <f t="array" aca="1" ref="AD7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5" s="37" cm="1">
        <f t="array" aca="1" ref="AE7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5" s="38" t="e" cm="1">
        <f t="array" aca="1" ref="AF75" ca="1">$AE76 / (_xlfn.XLOOKUP(ValueFromColumnName("Ice Cream Amount",ROW()),Specs!A:A,Specs!B:B,0))</f>
        <v>#VALUE!</v>
      </c>
      <c r="AG75" s="37" cm="1">
        <f t="array" aca="1" ref="AG7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5" s="54" t="e" cm="1">
        <f t="array" aca="1" ref="AH7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5" s="37" t="e" cm="1">
        <f t="array" aca="1" ref="AI7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5" s="37" t="e" cm="1">
        <f t="array" aca="1" ref="AJ7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5" s="37" t="e" cm="1">
        <f t="array" aca="1" ref="AK7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5" s="39" cm="1">
        <f t="array" aca="1" ref="AL7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5" s="40" t="e" cm="1">
        <f t="array" ref="AM75">ROUNDUP((ValueFromColumnName("Cost",ROW())+Specs!$Q$2+_xlfn.XLOOKUP(ValueFromColumnName("Ice Cream Amount",ROW()),Specs!A:A,Specs!V:V,0))*Specs!$N$2,0)</f>
        <v>#VALUE!</v>
      </c>
    </row>
    <row r="76" spans="1:39" x14ac:dyDescent="0.25">
      <c r="A76" s="96"/>
      <c r="Q76" s="30" t="e" cm="1">
        <f t="array" aca="1" ref="Q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6" s="30" t="e" cm="1">
        <f t="array" aca="1" ref="R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6" s="30" t="e">
        <f t="shared" ca="1" si="1"/>
        <v>#VALUE!</v>
      </c>
      <c r="T76" s="30" t="e" cm="1">
        <f t="array" aca="1" ref="T7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6" s="30" t="e" cm="1">
        <f t="array" aca="1" ref="U7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6" s="30" t="e" cm="1">
        <f t="array" aca="1" ref="V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6" s="30" t="e" cm="1">
        <f t="array" aca="1" ref="W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6" s="30" cm="1">
        <f t="array" aca="1" ref="X7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6" s="30" t="e" cm="1">
        <f t="array" aca="1" ref="Y7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6" s="34" cm="1">
        <f t="array" aca="1" ref="Z7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6" s="35" cm="1">
        <f t="array" aca="1" ref="AA7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6" s="57" cm="1">
        <f t="array" aca="1" ref="AB7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6" s="36" cm="1">
        <f t="array" aca="1" ref="AC7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6" s="36" cm="1">
        <f t="array" aca="1" ref="AD7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6" s="37" cm="1">
        <f t="array" aca="1" ref="AE7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6" s="38" t="e" cm="1">
        <f t="array" aca="1" ref="AF76" ca="1">$AE77 / (_xlfn.XLOOKUP(ValueFromColumnName("Ice Cream Amount",ROW()),Specs!A:A,Specs!B:B,0))</f>
        <v>#VALUE!</v>
      </c>
      <c r="AG76" s="37" cm="1">
        <f t="array" aca="1" ref="AG7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6" s="54" t="e" cm="1">
        <f t="array" aca="1" ref="AH7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6" s="37" t="e" cm="1">
        <f t="array" aca="1" ref="AI7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6" s="37" t="e" cm="1">
        <f t="array" aca="1" ref="AJ7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6" s="37" t="e" cm="1">
        <f t="array" aca="1" ref="AK7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6" s="39" cm="1">
        <f t="array" aca="1" ref="AL7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6" s="40" t="e" cm="1">
        <f t="array" ref="AM76">ROUNDUP((ValueFromColumnName("Cost",ROW())+Specs!$Q$2+_xlfn.XLOOKUP(ValueFromColumnName("Ice Cream Amount",ROW()),Specs!A:A,Specs!V:V,0))*Specs!$N$2,0)</f>
        <v>#VALUE!</v>
      </c>
    </row>
    <row r="77" spans="1:39" x14ac:dyDescent="0.25">
      <c r="A77" s="96" t="s">
        <v>809</v>
      </c>
      <c r="B77" s="1" t="s">
        <v>65</v>
      </c>
      <c r="C77" s="1" t="s">
        <v>75</v>
      </c>
      <c r="D77" s="1" t="s">
        <v>0</v>
      </c>
      <c r="E77" s="1" t="s">
        <v>5</v>
      </c>
      <c r="I77" s="1" t="s">
        <v>1</v>
      </c>
      <c r="K77" t="s">
        <v>4</v>
      </c>
      <c r="L77" t="s">
        <v>450</v>
      </c>
      <c r="M77" t="s">
        <v>451</v>
      </c>
      <c r="N77" t="s">
        <v>44</v>
      </c>
      <c r="O77" t="s">
        <v>448</v>
      </c>
      <c r="Q77" s="30" t="e" cm="1">
        <f t="array" aca="1" ref="Q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7" s="30" t="e" cm="1">
        <f t="array" aca="1" ref="R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7" s="30" t="e">
        <f t="shared" ca="1" si="1"/>
        <v>#VALUE!</v>
      </c>
      <c r="T77" s="30" t="e" cm="1">
        <f t="array" aca="1" ref="T7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7" s="30" t="e" cm="1">
        <f t="array" aca="1" ref="U7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7" s="30" t="e" cm="1">
        <f t="array" aca="1" ref="V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7" s="30" t="e" cm="1">
        <f t="array" aca="1" ref="W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7" s="30" cm="1">
        <f t="array" aca="1" ref="X7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7" s="30" t="e" cm="1">
        <f t="array" aca="1" ref="Y7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7" s="34" cm="1">
        <f t="array" aca="1" ref="Z7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7" s="35" cm="1">
        <f t="array" aca="1" ref="AA7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7" s="57" cm="1">
        <f t="array" aca="1" ref="AB7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7" s="36" cm="1">
        <f t="array" aca="1" ref="AC7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7" s="36" cm="1">
        <f t="array" aca="1" ref="AD7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7" s="37" cm="1">
        <f t="array" aca="1" ref="AE7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7" s="38" t="e" cm="1">
        <f t="array" aca="1" ref="AF77" ca="1">$AE78 / (_xlfn.XLOOKUP(ValueFromColumnName("Ice Cream Amount",ROW()),Specs!A:A,Specs!B:B,0))</f>
        <v>#VALUE!</v>
      </c>
      <c r="AG77" s="37" cm="1">
        <f t="array" aca="1" ref="AG7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7" s="54" t="e" cm="1">
        <f t="array" aca="1" ref="AH7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7" s="37" t="e" cm="1">
        <f t="array" aca="1" ref="AI7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7" s="37" t="e" cm="1">
        <f t="array" aca="1" ref="AJ7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7" s="37" t="e" cm="1">
        <f t="array" aca="1" ref="AK7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7" s="39" cm="1">
        <f t="array" aca="1" ref="AL7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7" s="40" t="e" cm="1">
        <f t="array" ref="AM77">ROUNDUP((ValueFromColumnName("Cost",ROW())+Specs!$Q$2+_xlfn.XLOOKUP(ValueFromColumnName("Ice Cream Amount",ROW()),Specs!A:A,Specs!V:V,0))*Specs!$N$2,0)</f>
        <v>#VALUE!</v>
      </c>
    </row>
    <row r="78" spans="1:39" x14ac:dyDescent="0.25">
      <c r="Q78" s="30" t="e" cm="1">
        <f t="array" aca="1" ref="Q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8" s="30" t="e" cm="1">
        <f t="array" aca="1" ref="R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8" s="30" t="e">
        <f t="shared" ca="1" si="1"/>
        <v>#VALUE!</v>
      </c>
      <c r="T78" s="30" t="e" cm="1">
        <f t="array" aca="1" ref="T7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8" s="30" t="e" cm="1">
        <f t="array" aca="1" ref="U7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8" s="30" t="e" cm="1">
        <f t="array" aca="1" ref="V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8" s="30" t="e" cm="1">
        <f t="array" aca="1" ref="W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8" s="30" cm="1">
        <f t="array" aca="1" ref="X7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8" s="30" t="e" cm="1">
        <f t="array" aca="1" ref="Y7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8" s="34" cm="1">
        <f t="array" aca="1" ref="Z7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8" s="35" cm="1">
        <f t="array" aca="1" ref="AA7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8" s="57" cm="1">
        <f t="array" aca="1" ref="AB7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8" s="36" cm="1">
        <f t="array" aca="1" ref="AC7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8" s="36" cm="1">
        <f t="array" aca="1" ref="AD7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8" s="37" cm="1">
        <f t="array" aca="1" ref="AE7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8" s="38" t="e" cm="1">
        <f t="array" aca="1" ref="AF78" ca="1">$AE79 / (_xlfn.XLOOKUP(ValueFromColumnName("Ice Cream Amount",ROW()),Specs!A:A,Specs!B:B,0))</f>
        <v>#VALUE!</v>
      </c>
      <c r="AG78" s="37" cm="1">
        <f t="array" aca="1" ref="AG7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8" s="54" t="e" cm="1">
        <f t="array" aca="1" ref="AH7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8" s="37" t="e" cm="1">
        <f t="array" aca="1" ref="AI7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8" s="37" t="e" cm="1">
        <f t="array" aca="1" ref="AJ7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8" s="37" t="e" cm="1">
        <f t="array" aca="1" ref="AK7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8" s="39" cm="1">
        <f t="array" aca="1" ref="AL7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8" s="40" t="e" cm="1">
        <f t="array" ref="AM78">ROUNDUP((ValueFromColumnName("Cost",ROW())+Specs!$Q$2+_xlfn.XLOOKUP(ValueFromColumnName("Ice Cream Amount",ROW()),Specs!A:A,Specs!V:V,0))*Specs!$N$2,0)</f>
        <v>#VALUE!</v>
      </c>
    </row>
    <row r="79" spans="1:39" x14ac:dyDescent="0.25">
      <c r="A79" s="115" t="s">
        <v>811</v>
      </c>
      <c r="B79" s="1" t="s">
        <v>62</v>
      </c>
      <c r="C79" s="1" t="s">
        <v>65</v>
      </c>
      <c r="D79" s="1" t="s">
        <v>98</v>
      </c>
      <c r="E79" s="1" t="s">
        <v>418</v>
      </c>
      <c r="F79" s="1" t="s">
        <v>266</v>
      </c>
      <c r="I79" s="1" t="s">
        <v>137</v>
      </c>
      <c r="K79" t="s">
        <v>4</v>
      </c>
      <c r="L79" t="s">
        <v>450</v>
      </c>
      <c r="M79" t="s">
        <v>175</v>
      </c>
      <c r="N79" t="s">
        <v>156</v>
      </c>
      <c r="O79" t="s">
        <v>174</v>
      </c>
      <c r="Q79" s="30" t="e" cm="1">
        <f t="array" aca="1" ref="Q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9" s="30" t="e" cm="1">
        <f t="array" aca="1" ref="R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9" s="30" t="e">
        <f t="shared" ca="1" si="1"/>
        <v>#VALUE!</v>
      </c>
      <c r="T79" s="30" t="e" cm="1">
        <f t="array" aca="1" ref="T7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9" s="30" t="e" cm="1">
        <f t="array" aca="1" ref="U7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9" s="30" t="e" cm="1">
        <f t="array" aca="1" ref="V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9" s="30" t="e" cm="1">
        <f t="array" aca="1" ref="W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9" s="30" cm="1">
        <f t="array" aca="1" ref="X7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9" s="30" t="e" cm="1">
        <f t="array" aca="1" ref="Y7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9" s="34" cm="1">
        <f t="array" aca="1" ref="Z7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9" s="35" cm="1">
        <f t="array" aca="1" ref="AA7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9" s="57" cm="1">
        <f t="array" aca="1" ref="AB7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9" s="36" cm="1">
        <f t="array" aca="1" ref="AC7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9" s="36" cm="1">
        <f t="array" aca="1" ref="AD7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9" s="37" cm="1">
        <f t="array" aca="1" ref="AE7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9" s="38" t="e" cm="1">
        <f t="array" aca="1" ref="AF79" ca="1">$AE80 / (_xlfn.XLOOKUP(ValueFromColumnName("Ice Cream Amount",ROW()),Specs!A:A,Specs!B:B,0))</f>
        <v>#VALUE!</v>
      </c>
      <c r="AG79" s="37" cm="1">
        <f t="array" aca="1" ref="AG7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9" s="54" t="e" cm="1">
        <f t="array" aca="1" ref="AH7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9" s="37" t="e" cm="1">
        <f t="array" aca="1" ref="AI7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9" s="37" t="e" cm="1">
        <f t="array" aca="1" ref="AJ7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9" s="37" t="e" cm="1">
        <f t="array" aca="1" ref="AK7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9" s="39" cm="1">
        <f t="array" aca="1" ref="AL7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9" s="40" t="e" cm="1">
        <f t="array" ref="AM79">ROUNDUP((ValueFromColumnName("Cost",ROW())+Specs!$Q$2+_xlfn.XLOOKUP(ValueFromColumnName("Ice Cream Amount",ROW()),Specs!A:A,Specs!V:V,0))*Specs!$N$2,0)</f>
        <v>#VALUE!</v>
      </c>
    </row>
    <row r="80" spans="1:39" x14ac:dyDescent="0.25">
      <c r="A80" s="115" t="s">
        <v>812</v>
      </c>
      <c r="B80" s="1" t="s">
        <v>636</v>
      </c>
      <c r="C80" s="1" t="s">
        <v>62</v>
      </c>
      <c r="D80" s="1" t="s">
        <v>0</v>
      </c>
      <c r="E80" s="1" t="s">
        <v>84</v>
      </c>
      <c r="I80" s="1" t="s">
        <v>1</v>
      </c>
      <c r="J80" s="1" t="s">
        <v>2</v>
      </c>
      <c r="K80" t="s">
        <v>340</v>
      </c>
      <c r="L80" t="s">
        <v>450</v>
      </c>
      <c r="M80" t="s">
        <v>450</v>
      </c>
      <c r="N80" t="s">
        <v>44</v>
      </c>
      <c r="O80" t="s">
        <v>448</v>
      </c>
      <c r="P80" t="s">
        <v>448</v>
      </c>
      <c r="Q80" s="30" t="e" cm="1">
        <f t="array" aca="1" ref="Q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0" s="30" t="e" cm="1">
        <f t="array" aca="1" ref="R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0" s="30" t="e">
        <f t="shared" ca="1" si="1"/>
        <v>#VALUE!</v>
      </c>
      <c r="T80" s="30" t="e" cm="1">
        <f t="array" aca="1" ref="T8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0" s="30" t="e" cm="1">
        <f t="array" aca="1" ref="U8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0" s="30" t="e" cm="1">
        <f t="array" aca="1" ref="V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0" s="30" t="e" cm="1">
        <f t="array" aca="1" ref="W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0" s="30" cm="1">
        <f t="array" aca="1" ref="X8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0" s="30" t="e" cm="1">
        <f t="array" aca="1" ref="Y8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0" s="34" cm="1">
        <f t="array" aca="1" ref="Z8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0" s="35" cm="1">
        <f t="array" aca="1" ref="AA8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0" s="57" cm="1">
        <f t="array" aca="1" ref="AB8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0" s="36" cm="1">
        <f t="array" aca="1" ref="AC8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0" s="36" cm="1">
        <f t="array" aca="1" ref="AD8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0" s="37" cm="1">
        <f t="array" aca="1" ref="AE8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0" s="38" t="e" cm="1">
        <f t="array" aca="1" ref="AF80" ca="1">$AE81 / (_xlfn.XLOOKUP(ValueFromColumnName("Ice Cream Amount",ROW()),Specs!A:A,Specs!B:B,0))</f>
        <v>#VALUE!</v>
      </c>
      <c r="AG80" s="37" cm="1">
        <f t="array" aca="1" ref="AG8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0" s="54" t="e" cm="1">
        <f t="array" aca="1" ref="AH8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0" s="37" t="e" cm="1">
        <f t="array" aca="1" ref="AI8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0" s="37" t="e" cm="1">
        <f t="array" aca="1" ref="AJ8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0" s="37" t="e" cm="1">
        <f t="array" aca="1" ref="AK8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0" s="39" cm="1">
        <f t="array" aca="1" ref="AL8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0" s="40" t="e" cm="1">
        <f t="array" ref="AM80">ROUNDUP((ValueFromColumnName("Cost",ROW())+Specs!$Q$2+_xlfn.XLOOKUP(ValueFromColumnName("Ice Cream Amount",ROW()),Specs!A:A,Specs!V:V,0))*Specs!$N$2,0)</f>
        <v>#VALUE!</v>
      </c>
    </row>
    <row r="81" spans="1:39" x14ac:dyDescent="0.25">
      <c r="A81" s="115" t="s">
        <v>813</v>
      </c>
      <c r="B81" s="1" t="s">
        <v>62</v>
      </c>
      <c r="C81" s="1" t="s">
        <v>65</v>
      </c>
      <c r="D81" s="1" t="s">
        <v>516</v>
      </c>
      <c r="E81" s="1" t="s">
        <v>815</v>
      </c>
      <c r="F81" s="1" t="s">
        <v>266</v>
      </c>
      <c r="I81" s="1" t="s">
        <v>137</v>
      </c>
      <c r="K81" t="s">
        <v>4</v>
      </c>
      <c r="L81" t="s">
        <v>451</v>
      </c>
      <c r="M81" t="s">
        <v>450</v>
      </c>
      <c r="N81" t="s">
        <v>44</v>
      </c>
      <c r="O81" t="s">
        <v>174</v>
      </c>
      <c r="Q81" s="30" t="e" cm="1">
        <f t="array" aca="1" ref="Q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1" s="30" t="e" cm="1">
        <f t="array" aca="1" ref="R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1" s="30" t="e">
        <f t="shared" ca="1" si="1"/>
        <v>#VALUE!</v>
      </c>
      <c r="T81" s="30" t="e" cm="1">
        <f t="array" aca="1" ref="T8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1" s="30" t="e" cm="1">
        <f t="array" aca="1" ref="U8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1" s="30" t="e" cm="1">
        <f t="array" aca="1" ref="V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1" s="30" t="e" cm="1">
        <f t="array" aca="1" ref="W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1" s="30" cm="1">
        <f t="array" aca="1" ref="X8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1" s="30" t="e" cm="1">
        <f t="array" aca="1" ref="Y8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1" s="34" cm="1">
        <f t="array" aca="1" ref="Z8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1" s="35" cm="1">
        <f t="array" aca="1" ref="AA8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1" s="57" cm="1">
        <f t="array" aca="1" ref="AB8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1" s="36" cm="1">
        <f t="array" aca="1" ref="AC8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1" s="36" cm="1">
        <f t="array" aca="1" ref="AD8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1" s="37" cm="1">
        <f t="array" aca="1" ref="AE8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1" s="38" t="e" cm="1">
        <f t="array" aca="1" ref="AF81" ca="1">$AE82 / (_xlfn.XLOOKUP(ValueFromColumnName("Ice Cream Amount",ROW()),Specs!A:A,Specs!B:B,0))</f>
        <v>#VALUE!</v>
      </c>
      <c r="AG81" s="37" cm="1">
        <f t="array" aca="1" ref="AG8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1" s="54" t="e" cm="1">
        <f t="array" aca="1" ref="AH8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1" s="37" t="e" cm="1">
        <f t="array" aca="1" ref="AI8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1" s="37" t="e" cm="1">
        <f t="array" aca="1" ref="AJ8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1" s="37" t="e" cm="1">
        <f t="array" aca="1" ref="AK8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1" s="39" cm="1">
        <f t="array" aca="1" ref="AL8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1" s="40" t="e" cm="1">
        <f t="array" ref="AM81">ROUNDUP((ValueFromColumnName("Cost",ROW())+Specs!$Q$2+_xlfn.XLOOKUP(ValueFromColumnName("Ice Cream Amount",ROW()),Specs!A:A,Specs!V:V,0))*Specs!$N$2,0)</f>
        <v>#VALUE!</v>
      </c>
    </row>
    <row r="82" spans="1:39" x14ac:dyDescent="0.25">
      <c r="A82" s="115" t="s">
        <v>814</v>
      </c>
      <c r="B82" s="1" t="s">
        <v>62</v>
      </c>
      <c r="C82" s="1" t="s">
        <v>65</v>
      </c>
      <c r="D82" s="1" t="s">
        <v>0</v>
      </c>
      <c r="E82" s="1" t="s">
        <v>483</v>
      </c>
      <c r="I82" s="1" t="s">
        <v>1</v>
      </c>
      <c r="K82" t="s">
        <v>4</v>
      </c>
      <c r="L82" t="s">
        <v>450</v>
      </c>
      <c r="M82" t="s">
        <v>450</v>
      </c>
      <c r="N82" t="s">
        <v>44</v>
      </c>
      <c r="O82" t="s">
        <v>158</v>
      </c>
      <c r="P82" t="s">
        <v>448</v>
      </c>
      <c r="Q82" s="30" t="e" cm="1">
        <f t="array" aca="1" ref="Q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2" s="30" t="e" cm="1">
        <f t="array" aca="1" ref="R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2" s="30" t="e">
        <f t="shared" ca="1" si="1"/>
        <v>#VALUE!</v>
      </c>
      <c r="T82" s="30" t="e" cm="1">
        <f t="array" aca="1" ref="T8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2" s="30" t="e" cm="1">
        <f t="array" aca="1" ref="U8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2" s="30" t="e" cm="1">
        <f t="array" aca="1" ref="V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2" s="30" t="e" cm="1">
        <f t="array" aca="1" ref="W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2" s="30" cm="1">
        <f t="array" aca="1" ref="X8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2" s="30" t="e" cm="1">
        <f t="array" aca="1" ref="Y8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2" s="34" cm="1">
        <f t="array" aca="1" ref="Z8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2" s="35" cm="1">
        <f t="array" aca="1" ref="AA8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2" s="57" cm="1">
        <f t="array" aca="1" ref="AB8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2" s="36" cm="1">
        <f t="array" aca="1" ref="AC8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2" s="36" cm="1">
        <f t="array" aca="1" ref="AD8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2" s="37" cm="1">
        <f t="array" aca="1" ref="AE8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2" s="38" t="e" cm="1">
        <f t="array" aca="1" ref="AF82" ca="1">$AE83 / (_xlfn.XLOOKUP(ValueFromColumnName("Ice Cream Amount",ROW()),Specs!A:A,Specs!B:B,0))</f>
        <v>#VALUE!</v>
      </c>
      <c r="AG82" s="37" cm="1">
        <f t="array" aca="1" ref="AG8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2" s="54" t="e" cm="1">
        <f t="array" aca="1" ref="AH8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2" s="37" t="e" cm="1">
        <f t="array" aca="1" ref="AI8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2" s="37" t="e" cm="1">
        <f t="array" aca="1" ref="AJ8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2" s="37" t="e" cm="1">
        <f t="array" aca="1" ref="AK8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2" s="39" cm="1">
        <f t="array" aca="1" ref="AL8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2" s="40" t="e" cm="1">
        <f t="array" ref="AM82">ROUNDUP((ValueFromColumnName("Cost",ROW())+Specs!$Q$2+_xlfn.XLOOKUP(ValueFromColumnName("Ice Cream Amount",ROW()),Specs!A:A,Specs!V:V,0))*Specs!$N$2,0)</f>
        <v>#VALUE!</v>
      </c>
    </row>
    <row r="83" spans="1:39" x14ac:dyDescent="0.25">
      <c r="Q83" s="30" t="e" cm="1">
        <f t="array" aca="1" ref="Q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3" s="30" t="e" cm="1">
        <f t="array" aca="1" ref="R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3" s="30" t="e">
        <f t="shared" ca="1" si="1"/>
        <v>#VALUE!</v>
      </c>
      <c r="T83" s="30" t="e" cm="1">
        <f t="array" aca="1" ref="T8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3" s="30" t="e" cm="1">
        <f t="array" aca="1" ref="U8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3" s="30" t="e" cm="1">
        <f t="array" aca="1" ref="V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3" s="30" t="e" cm="1">
        <f t="array" aca="1" ref="W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3" s="30" t="e" cm="1">
        <f t="array" aca="1" ref="X8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83" s="30" t="e" cm="1">
        <f t="array" aca="1" ref="Y8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3" s="34" cm="1">
        <f t="array" aca="1" ref="Z8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3" s="35" cm="1">
        <f t="array" aca="1" ref="AA8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3" s="57" cm="1">
        <f t="array" aca="1" ref="AB8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3" s="36" cm="1">
        <f t="array" aca="1" ref="AC8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3" s="36" cm="1">
        <f t="array" aca="1" ref="AD8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3" s="37" cm="1">
        <f t="array" aca="1" ref="AE8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3" s="38" t="e" cm="1">
        <f t="array" aca="1" ref="AF83" ca="1">$AE84 / (_xlfn.XLOOKUP(ValueFromColumnName("Ice Cream Amount",ROW()),Specs!A:A,Specs!B:B,0))</f>
        <v>#VALUE!</v>
      </c>
      <c r="AG83" s="37" cm="1">
        <f t="array" aca="1" ref="AG8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3" s="54" t="e" cm="1">
        <f t="array" aca="1" ref="AH8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3" s="37" t="e" cm="1">
        <f t="array" aca="1" ref="AI8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3" s="37" t="e" cm="1">
        <f t="array" aca="1" ref="AJ8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3" s="37" t="e" cm="1">
        <f t="array" aca="1" ref="AK8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3" s="39" cm="1">
        <f t="array" aca="1" ref="AL8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3" s="40" t="e" cm="1">
        <f t="array" ref="AM83">ROUNDUP((ValueFromColumnName("Cost",ROW())+Specs!$Q$2+_xlfn.XLOOKUP(ValueFromColumnName("Ice Cream Amount",ROW()),Specs!A:A,Specs!V:V,0))*Specs!$N$2,0)</f>
        <v>#VALUE!</v>
      </c>
    </row>
    <row r="84" spans="1:39" x14ac:dyDescent="0.25">
      <c r="A84" s="115" t="s">
        <v>820</v>
      </c>
      <c r="B84" s="1" t="s">
        <v>62</v>
      </c>
      <c r="C84" s="1" t="s">
        <v>65</v>
      </c>
      <c r="D84" s="1" t="s">
        <v>0</v>
      </c>
      <c r="E84" s="1" t="s">
        <v>819</v>
      </c>
      <c r="F84" s="1" t="s">
        <v>102</v>
      </c>
      <c r="G84" s="1" t="s">
        <v>124</v>
      </c>
      <c r="I84" s="1" t="s">
        <v>1</v>
      </c>
      <c r="K84" t="s">
        <v>4</v>
      </c>
      <c r="L84" t="s">
        <v>450</v>
      </c>
      <c r="M84" t="s">
        <v>10</v>
      </c>
      <c r="N84" t="s">
        <v>156</v>
      </c>
      <c r="O84" t="s">
        <v>448</v>
      </c>
      <c r="P84" t="s">
        <v>44</v>
      </c>
      <c r="Q84" s="30" t="e" cm="1">
        <f t="array" aca="1" ref="Q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4" s="30" t="e" cm="1">
        <f t="array" aca="1" ref="R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4" s="30" t="e">
        <f t="shared" ca="1" si="1"/>
        <v>#VALUE!</v>
      </c>
      <c r="T84" s="30" t="e" cm="1">
        <f t="array" aca="1" ref="T8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4" s="30" t="e" cm="1">
        <f t="array" aca="1" ref="U8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4" s="30" t="e" cm="1">
        <f t="array" aca="1" ref="V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4" s="30" t="e" cm="1">
        <f t="array" aca="1" ref="W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4" s="30" cm="1">
        <f t="array" aca="1" ref="X8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4" s="30" t="e" cm="1">
        <f t="array" aca="1" ref="Y8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4" s="34" cm="1">
        <f t="array" aca="1" ref="Z8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4" s="35" cm="1">
        <f t="array" aca="1" ref="AA8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4" s="57" cm="1">
        <f t="array" aca="1" ref="AB8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4" s="36" cm="1">
        <f t="array" aca="1" ref="AC8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4" s="36" cm="1">
        <f t="array" aca="1" ref="AD8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4" s="37" cm="1">
        <f t="array" aca="1" ref="AE8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4" s="38" t="e" cm="1">
        <f t="array" ref="AF84">$AE85 / (_xlfn.XLOOKUP(ValueFromColumnName("Ice Cream Amount",ROW()),Specs!A:A,Specs!B:B,0))</f>
        <v>#DIV/0!</v>
      </c>
      <c r="AG84" s="37" cm="1">
        <f t="array" aca="1" ref="AG8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4" s="54" t="e" cm="1">
        <f t="array" aca="1" ref="AH8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4" s="37" t="e" cm="1">
        <f t="array" aca="1" ref="AI8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4" s="37" t="e" cm="1">
        <f t="array" aca="1" ref="AJ8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4" s="37" t="e" cm="1">
        <f t="array" aca="1" ref="AK8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4" s="39" cm="1">
        <f t="array" aca="1" ref="AL8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4" s="40" t="e" cm="1">
        <f t="array" ref="AM84">ROUNDUP((ValueFromColumnName("Cost",ROW())+Specs!$Q$2+_xlfn.XLOOKUP(ValueFromColumnName("Ice Cream Amount",ROW()),Specs!A:A,Specs!V:V,0))*Specs!$N$2,0)</f>
        <v>#VALUE!</v>
      </c>
    </row>
    <row r="85" spans="1:39" x14ac:dyDescent="0.25">
      <c r="AG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Nutrition'!D:D,0))+(($X85 / 100)  * _xlfn.XLOOKUP($I85,'Sweetener Mix In Nutrition'!A:A,'Sweetener Mix In Nutrition'!D:D,0))+(($Y85 / 100)  * _xlfn.XLOOKUP($J85,'Sweetener Mix In Nutrition'!A:A,'Sweetener Mix In Nutrition'!D:D,0))</f>
        <v>0</v>
      </c>
    </row>
    <row r="86" spans="1:39" x14ac:dyDescent="0.25">
      <c r="AG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Nutrition'!D:D,0))+(($X86 / 100)  * _xlfn.XLOOKUP($I86,'Sweetener Mix In Nutrition'!A:A,'Sweetener Mix In Nutrition'!D:D,0))+(($Y86 / 100)  * _xlfn.XLOOKUP($J86,'Sweetener Mix In Nutrition'!A:A,'Sweetener Mix In Nutrition'!D:D,0))</f>
        <v>0</v>
      </c>
    </row>
    <row r="87" spans="1:39" x14ac:dyDescent="0.25">
      <c r="AG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Nutrition'!D:D,0))+(($X87 / 100)  * _xlfn.XLOOKUP($I87,'Sweetener Mix In Nutrition'!A:A,'Sweetener Mix In Nutrition'!D:D,0))+(($Y87 / 100)  * _xlfn.XLOOKUP($J87,'Sweetener Mix In Nutrition'!A:A,'Sweetener Mix In Nutrition'!D:D,0))</f>
        <v>0</v>
      </c>
    </row>
    <row r="88" spans="1:39" x14ac:dyDescent="0.25">
      <c r="AG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Nutrition'!D:D,0))+(($X88 / 100)  * _xlfn.XLOOKUP($I88,'Sweetener Mix In Nutrition'!A:A,'Sweetener Mix In Nutrition'!D:D,0))+(($Y88 / 100)  * _xlfn.XLOOKUP($J88,'Sweetener Mix In Nutrition'!A:A,'Sweetener Mix In Nutrition'!D:D,0))</f>
        <v>0</v>
      </c>
    </row>
    <row r="89" spans="1:39" x14ac:dyDescent="0.25">
      <c r="AG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Nutrition'!D:D,0))+(($X89 / 100)  * _xlfn.XLOOKUP($I89,'Sweetener Mix In Nutrition'!A:A,'Sweetener Mix In Nutrition'!D:D,0))+(($Y89 / 100)  * _xlfn.XLOOKUP($J89,'Sweetener Mix In Nutrition'!A:A,'Sweetener Mix In Nutrition'!D:D,0))</f>
        <v>0</v>
      </c>
    </row>
    <row r="90" spans="1:39" x14ac:dyDescent="0.25">
      <c r="AG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Nutrition'!D:D,0))+(($X90 / 100)  * _xlfn.XLOOKUP($I90,'Sweetener Mix In Nutrition'!A:A,'Sweetener Mix In Nutrition'!D:D,0))+(($Y90 / 100)  * _xlfn.XLOOKUP($J90,'Sweetener Mix In Nutrition'!A:A,'Sweetener Mix In Nutrition'!D:D,0))</f>
        <v>0</v>
      </c>
    </row>
    <row r="91" spans="1:39" x14ac:dyDescent="0.25">
      <c r="AG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Nutrition'!D:D,0))+(($X91 / 100)  * _xlfn.XLOOKUP($I91,'Sweetener Mix In Nutrition'!A:A,'Sweetener Mix In Nutrition'!D:D,0))+(($Y91 / 100)  * _xlfn.XLOOKUP($J91,'Sweetener Mix In Nutrition'!A:A,'Sweetener Mix In Nutrition'!D:D,0))</f>
        <v>0</v>
      </c>
    </row>
    <row r="92" spans="1:39" x14ac:dyDescent="0.25">
      <c r="AG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Nutrition'!D:D,0))+(($X92 / 100)  * _xlfn.XLOOKUP($I92,'Sweetener Mix In Nutrition'!A:A,'Sweetener Mix In Nutrition'!D:D,0))+(($Y92 / 100)  * _xlfn.XLOOKUP($J92,'Sweetener Mix In Nutrition'!A:A,'Sweetener Mix In Nutrition'!D:D,0))</f>
        <v>0</v>
      </c>
    </row>
    <row r="93" spans="1:39" x14ac:dyDescent="0.25">
      <c r="AG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Nutrition'!D:D,0))+(($X93 / 100)  * _xlfn.XLOOKUP($I93,'Sweetener Mix In Nutrition'!A:A,'Sweetener Mix In Nutrition'!D:D,0))+(($Y93 / 100)  * _xlfn.XLOOKUP($J93,'Sweetener Mix In Nutrition'!A:A,'Sweetener Mix In Nutrition'!D:D,0))</f>
        <v>0</v>
      </c>
    </row>
    <row r="94" spans="1:39" x14ac:dyDescent="0.25">
      <c r="AG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Nutrition'!D:D,0))+(($X94 / 100)  * _xlfn.XLOOKUP($I94,'Sweetener Mix In Nutrition'!A:A,'Sweetener Mix In Nutrition'!D:D,0))+(($Y94 / 100)  * _xlfn.XLOOKUP($J94,'Sweetener Mix In Nutrition'!A:A,'Sweetener Mix In Nutrition'!D:D,0))</f>
        <v>0</v>
      </c>
    </row>
    <row r="95" spans="1:39" x14ac:dyDescent="0.25">
      <c r="AG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Nutrition'!D:D,0))+(($X95 / 100)  * _xlfn.XLOOKUP($I95,'Sweetener Mix In Nutrition'!A:A,'Sweetener Mix In Nutrition'!D:D,0))+(($Y95 / 100)  * _xlfn.XLOOKUP($J95,'Sweetener Mix In Nutrition'!A:A,'Sweetener Mix In Nutrition'!D:D,0))</f>
        <v>0</v>
      </c>
    </row>
    <row r="96" spans="1:39" x14ac:dyDescent="0.25">
      <c r="AG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Nutrition'!D:D,0))+(($X96 / 100)  * _xlfn.XLOOKUP($I96,'Sweetener Mix In Nutrition'!A:A,'Sweetener Mix In Nutrition'!D:D,0))+(($Y96 / 100)  * _xlfn.XLOOKUP($J96,'Sweetener Mix In Nutrition'!A:A,'Sweetener Mix In Nutrition'!D:D,0))</f>
        <v>0</v>
      </c>
    </row>
    <row r="97" spans="33:33" x14ac:dyDescent="0.25">
      <c r="AG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Nutrition'!D:D,0))+(($X97 / 100)  * _xlfn.XLOOKUP($I97,'Sweetener Mix In Nutrition'!A:A,'Sweetener Mix In Nutrition'!D:D,0))+(($Y97 / 100)  * _xlfn.XLOOKUP($J97,'Sweetener Mix In Nutrition'!A:A,'Sweetener Mix In Nutrition'!D:D,0))</f>
        <v>0</v>
      </c>
    </row>
    <row r="98" spans="33:33" x14ac:dyDescent="0.25">
      <c r="AG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Nutrition'!D:D,0))+(($X98 / 100)  * _xlfn.XLOOKUP($I98,'Sweetener Mix In Nutrition'!A:A,'Sweetener Mix In Nutrition'!D:D,0))+(($Y98 / 100)  * _xlfn.XLOOKUP($J98,'Sweetener Mix In Nutrition'!A:A,'Sweetener Mix In Nutrition'!D:D,0))</f>
        <v>0</v>
      </c>
    </row>
    <row r="99" spans="33:33" x14ac:dyDescent="0.25">
      <c r="AG99" s="37">
        <f>(($Q99 / 240) * _xlfn.XLOOKUP($B99,'Milk Types Nutrition Per Cup'!A:A,'Milk Types Nutrition Per Cup'!D:D,0)) +(($R99 / 240)  * _xlfn.XLOOKUP($C99,'Milk Types Nutrition Per Cup'!A:A,'Milk Types Nutrition Per Cup'!D:D,0)) +(($T99 / 15)  * _xlfn.XLOOKUP($D99,'Liquid Mix In Nutrition'!A:A,'Liquid Mix In Nutrition'!D:D,0))+(($U99 / 15)  * _xlfn.XLOOKUP($E99,'Liquid Mix In Nutrition'!A:A,'Liquid Mix In Nutrition'!D:D,0))+(($V99 / MAX(1, _xlfn.XLOOKUP($F99,'Solid Mix In Nutrition'!A:A,'Solid Mix In Nutrition'!I:I,1)))  * _xlfn.XLOOKUP($F99,'Solid Mix In Nutrition'!A:A,'Solid Mix In Nutrition'!D:D,0))+(($W99 / MAX(1, _xlfn.XLOOKUP($G99,'Solid Mix In Nutrition'!A:A,'Solid Mix In Nutrition'!I:I,1)))  * _xlfn.XLOOKUP($G99,'Solid Mix In Nutrition'!A:A,'Solid Mix In Nutrition'!D:D,0))+(($X99 / 100)  * _xlfn.XLOOKUP($I99,'Sweetener Mix In Nutrition'!A:A,'Sweetener Mix In Nutrition'!D:D,0))+(($Y99 / 100)  * _xlfn.XLOOKUP($J99,'Sweetener Mix In Nutrition'!A:A,'Sweetener Mix In Nutrition'!D:D,0))</f>
        <v>0</v>
      </c>
    </row>
    <row r="100" spans="33:33" x14ac:dyDescent="0.25">
      <c r="AG100" s="37">
        <f>(($Q100 / 240) * _xlfn.XLOOKUP($B100,'Milk Types Nutrition Per Cup'!A:A,'Milk Types Nutrition Per Cup'!D:D,0)) +(($R100 / 240)  * _xlfn.XLOOKUP($C100,'Milk Types Nutrition Per Cup'!A:A,'Milk Types Nutrition Per Cup'!D:D,0)) +(($T100 / 15)  * _xlfn.XLOOKUP($D100,'Liquid Mix In Nutrition'!A:A,'Liquid Mix In Nutrition'!D:D,0))+(($U100 / 15)  * _xlfn.XLOOKUP($E100,'Liquid Mix In Nutrition'!A:A,'Liquid Mix In Nutrition'!D:D,0))+(($V100 / MAX(1, _xlfn.XLOOKUP($F100,'Solid Mix In Nutrition'!A:A,'Solid Mix In Nutrition'!I:I,1)))  * _xlfn.XLOOKUP($F100,'Solid Mix In Nutrition'!A:A,'Solid Mix In Nutrition'!D:D,0))+(($W100 / MAX(1, _xlfn.XLOOKUP($G100,'Solid Mix In Nutrition'!A:A,'Solid Mix In Nutrition'!I:I,1)))  * _xlfn.XLOOKUP($G100,'Solid Mix In Nutrition'!A:A,'Solid Mix In Nutrition'!D:D,0))+(($X100 / 100)  * _xlfn.XLOOKUP($I100,'Sweetener Mix In Nutrition'!A:A,'Sweetener Mix In Nutrition'!D:D,0))+(($Y100 / 100)  * _xlfn.XLOOKUP($J100,'Sweetener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I84:J84 I82:I248 J82:J1048576 I79:J82 I66:J77 I2:J64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B84:C84 B79:C82 B55 B58:C64 B77:C77 B66:C75 B2:B51 B56:C56 C2:C52</xm:sqref>
        </x14:dataValidation>
        <x14:dataValidation type="list" allowBlank="1" showInputMessage="1" xr:uid="{32EC30D9-F141-4124-A93C-7BF3ADE074B6}">
          <x14:formula1>
            <xm:f>Specs!$F:$F</xm:f>
          </x14:formula1>
          <xm:sqref>I249:I258 O84:P84 O66:P77 O80:P80 O82:P82 P79:P1048576 O79:O218 O2:P64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K77 K58:K64 K84 K79:K82 K66:K75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N77 N58:N64 N84 N79:N82 N66:N75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L77:M77 L58:M64 L84:M84 L79:M82 L66:M75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F84:G84 F79:G82 F77:G77 F64:G64 F66:G75</xm:sqref>
        </x14:dataValidation>
        <x14:dataValidation type="list" allowBlank="1" xr:uid="{6AA4691F-18C9-48B9-B9C6-4BB5471D1D9D}">
          <x14:formula1>
            <xm:f>'Liquid Mix In Nutrition'!$A:$A</xm:f>
          </x14:formula1>
          <xm:sqref>E2:E63 D79:E82 D84:E84 D64:E64 D77:E77 D66:E75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workbookViewId="0">
      <selection activeCell="H24" sqref="H24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857</v>
      </c>
      <c r="C1" t="s">
        <v>856</v>
      </c>
      <c r="D1" t="s">
        <v>863</v>
      </c>
      <c r="F1" t="s">
        <v>861</v>
      </c>
      <c r="H1" t="s">
        <v>862</v>
      </c>
      <c r="K1" t="s">
        <v>149</v>
      </c>
      <c r="L1" t="s">
        <v>874</v>
      </c>
      <c r="N1" t="s">
        <v>171</v>
      </c>
      <c r="Q1" s="26" t="s">
        <v>855</v>
      </c>
      <c r="R1" t="s">
        <v>859</v>
      </c>
      <c r="S1" t="s">
        <v>860</v>
      </c>
      <c r="T1" t="s">
        <v>205</v>
      </c>
      <c r="V1" t="s">
        <v>417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152</v>
      </c>
      <c r="L2" s="9">
        <v>2.79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175</v>
      </c>
      <c r="E3">
        <v>0.25</v>
      </c>
      <c r="F3" t="s">
        <v>448</v>
      </c>
      <c r="G3">
        <v>0.25</v>
      </c>
      <c r="H3" t="s">
        <v>155</v>
      </c>
      <c r="I3">
        <v>0.1</v>
      </c>
      <c r="K3" t="s">
        <v>153</v>
      </c>
      <c r="L3">
        <v>20.5</v>
      </c>
      <c r="V3" s="9">
        <f>(2.99*1.07)/5</f>
        <v>0.6398600000000001</v>
      </c>
    </row>
    <row r="4" spans="1:22" x14ac:dyDescent="0.25">
      <c r="A4" t="s">
        <v>340</v>
      </c>
      <c r="B4">
        <f>360+720+225+15+473</f>
        <v>1793</v>
      </c>
      <c r="C4">
        <v>2</v>
      </c>
      <c r="D4" t="s">
        <v>450</v>
      </c>
      <c r="E4">
        <v>1</v>
      </c>
      <c r="F4" t="s">
        <v>158</v>
      </c>
      <c r="G4">
        <v>0.5</v>
      </c>
      <c r="H4" t="s">
        <v>154</v>
      </c>
      <c r="I4">
        <v>0.15</v>
      </c>
      <c r="R4" t="s">
        <v>858</v>
      </c>
      <c r="V4" s="9">
        <v>1.37</v>
      </c>
    </row>
    <row r="5" spans="1:22" x14ac:dyDescent="0.25">
      <c r="D5" t="s">
        <v>46</v>
      </c>
      <c r="E5">
        <v>2</v>
      </c>
      <c r="F5" t="s">
        <v>769</v>
      </c>
      <c r="G5">
        <v>0.75</v>
      </c>
      <c r="H5" t="s">
        <v>156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173</v>
      </c>
      <c r="G6">
        <v>1</v>
      </c>
      <c r="H6" t="s">
        <v>206</v>
      </c>
      <c r="I6">
        <v>0.35</v>
      </c>
    </row>
    <row r="7" spans="1:22" x14ac:dyDescent="0.25">
      <c r="D7" t="s">
        <v>452</v>
      </c>
      <c r="E7">
        <v>6</v>
      </c>
      <c r="F7" t="s">
        <v>174</v>
      </c>
      <c r="G7">
        <v>2</v>
      </c>
      <c r="H7" t="s">
        <v>47</v>
      </c>
      <c r="I7">
        <v>0.5</v>
      </c>
    </row>
    <row r="8" spans="1:22" x14ac:dyDescent="0.25">
      <c r="D8" t="s">
        <v>451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R24"/>
  <sheetViews>
    <sheetView zoomScale="106" workbookViewId="0">
      <selection activeCell="S8" sqref="S8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8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J1" t="s">
        <v>584</v>
      </c>
      <c r="K1" t="s">
        <v>879</v>
      </c>
      <c r="L1" t="s">
        <v>880</v>
      </c>
      <c r="O1" t="s">
        <v>59</v>
      </c>
      <c r="P1" t="s">
        <v>60</v>
      </c>
      <c r="Q1" t="s">
        <v>61</v>
      </c>
      <c r="R1" t="s">
        <v>883</v>
      </c>
    </row>
    <row r="2" spans="1:18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430</v>
      </c>
      <c r="P2" t="s">
        <v>62</v>
      </c>
      <c r="Q2" t="s">
        <v>65</v>
      </c>
    </row>
    <row r="3" spans="1:18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8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  <c r="R4" t="s">
        <v>884</v>
      </c>
    </row>
    <row r="5" spans="1:18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272</v>
      </c>
      <c r="P5" t="s">
        <v>65</v>
      </c>
      <c r="Q5" t="s">
        <v>273</v>
      </c>
    </row>
    <row r="6" spans="1:18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521</v>
      </c>
      <c r="P6" t="s">
        <v>66</v>
      </c>
      <c r="Q6" t="s">
        <v>283</v>
      </c>
    </row>
    <row r="7" spans="1:18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230</v>
      </c>
      <c r="P7" t="s">
        <v>71</v>
      </c>
      <c r="Q7" t="s">
        <v>177</v>
      </c>
    </row>
    <row r="8" spans="1:18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776</v>
      </c>
      <c r="P8" t="s">
        <v>177</v>
      </c>
      <c r="Q8" t="s">
        <v>777</v>
      </c>
    </row>
    <row r="9" spans="1:18" x14ac:dyDescent="0.25">
      <c r="A9" t="s">
        <v>273</v>
      </c>
      <c r="B9" s="6">
        <f>90*(240/28)</f>
        <v>771.42857142857144</v>
      </c>
      <c r="C9" s="6">
        <f>9*(240/28)</f>
        <v>77.142857142857139</v>
      </c>
      <c r="D9" s="6">
        <f>2*(240/28)</f>
        <v>17.142857142857142</v>
      </c>
      <c r="E9" s="6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8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8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8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8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8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8" x14ac:dyDescent="0.25">
      <c r="A15" t="s">
        <v>177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178</v>
      </c>
    </row>
    <row r="16" spans="1:18" x14ac:dyDescent="0.25">
      <c r="A16" t="s">
        <v>283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524</v>
      </c>
    </row>
    <row r="17" spans="1:10" x14ac:dyDescent="0.25">
      <c r="A17" t="s">
        <v>284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545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636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770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771</v>
      </c>
    </row>
    <row r="21" spans="1:10" x14ac:dyDescent="0.25">
      <c r="A21" t="s">
        <v>780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524</v>
      </c>
      <c r="J21" t="s">
        <v>781</v>
      </c>
    </row>
    <row r="22" spans="1:10" x14ac:dyDescent="0.25">
      <c r="A22" t="s">
        <v>782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524</v>
      </c>
      <c r="J22" t="s">
        <v>783</v>
      </c>
    </row>
    <row r="23" spans="1:10" x14ac:dyDescent="0.25">
      <c r="A23" t="s">
        <v>791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F23" s="9">
        <f t="shared" ref="F23:F24" si="2">$G23*(240/$H23)</f>
        <v>0</v>
      </c>
      <c r="H23">
        <v>946</v>
      </c>
      <c r="I23" t="s">
        <v>231</v>
      </c>
    </row>
    <row r="24" spans="1:10" x14ac:dyDescent="0.25">
      <c r="A24" t="s">
        <v>873</v>
      </c>
      <c r="B24">
        <f>190*(240/H24)</f>
        <v>128.81355932203388</v>
      </c>
      <c r="C24">
        <f>3.5*(240/H24)</f>
        <v>2.3728813559322033</v>
      </c>
      <c r="D24">
        <f>30*(240/H24)</f>
        <v>20.338983050847457</v>
      </c>
      <c r="E24">
        <f>7*(240/H24)</f>
        <v>4.7457627118644066</v>
      </c>
      <c r="F24" s="9">
        <f t="shared" si="2"/>
        <v>1.6949152542372881</v>
      </c>
      <c r="G24">
        <v>2.5</v>
      </c>
      <c r="H24">
        <v>354</v>
      </c>
      <c r="I24" t="s">
        <v>231</v>
      </c>
    </row>
  </sheetData>
  <conditionalFormatting sqref="F2:F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4"/>
  <sheetViews>
    <sheetView zoomScaleNormal="100" workbookViewId="0">
      <selection activeCell="A25" sqref="A25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832</v>
      </c>
    </row>
    <row r="3" spans="1:16" x14ac:dyDescent="0.25">
      <c r="A3" t="s">
        <v>249</v>
      </c>
      <c r="B3" s="6">
        <f>4349*($I$3/$H$3)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65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414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266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831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 t="shared" si="0"/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462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420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 t="shared" si="0"/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234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241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242</v>
      </c>
    </row>
    <row r="14" spans="1:16" x14ac:dyDescent="0.25">
      <c r="A14" t="s">
        <v>166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406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250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823</v>
      </c>
      <c r="F18" s="10"/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si="0"/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270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0"/>
        <v>1.9587294117647058</v>
      </c>
      <c r="G20" s="9">
        <f>7.78*1.07</f>
        <v>8.3246000000000002</v>
      </c>
      <c r="H20">
        <v>1190</v>
      </c>
      <c r="I20">
        <v>280</v>
      </c>
      <c r="J20" t="s">
        <v>271</v>
      </c>
    </row>
    <row r="21" spans="1:16" x14ac:dyDescent="0.25">
      <c r="A21" t="s">
        <v>245</v>
      </c>
      <c r="B21">
        <v>300</v>
      </c>
      <c r="C21">
        <v>0</v>
      </c>
      <c r="D21">
        <v>0</v>
      </c>
      <c r="E21">
        <v>60</v>
      </c>
      <c r="F21" s="10">
        <f t="shared" si="0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0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490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0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 t="shared" si="0"/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415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 t="shared" si="0"/>
        <v>1.6040564373897708</v>
      </c>
      <c r="G25" s="9">
        <f>4.25*1.07</f>
        <v>4.5475000000000003</v>
      </c>
      <c r="H25" s="6">
        <v>567</v>
      </c>
      <c r="I25">
        <f>160+40</f>
        <v>200</v>
      </c>
      <c r="J25" t="s">
        <v>416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833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 t="shared" si="0"/>
        <v>4.1689075335689054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 t="shared" si="0"/>
        <v>6.5261681978798594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 t="shared" si="0"/>
        <v>0</v>
      </c>
      <c r="G30" s="9"/>
      <c r="H30">
        <v>226</v>
      </c>
      <c r="I30">
        <v>190</v>
      </c>
      <c r="J30" t="s">
        <v>818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834</v>
      </c>
      <c r="F32" s="10"/>
      <c r="G32" s="9">
        <f>7.95*1.07</f>
        <v>8.5065000000000008</v>
      </c>
      <c r="I32">
        <v>151</v>
      </c>
      <c r="J32" t="s">
        <v>423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 t="shared" si="0"/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491</v>
      </c>
      <c r="B35" s="6">
        <v>323</v>
      </c>
      <c r="C35" s="6">
        <v>11</v>
      </c>
      <c r="D35" s="6">
        <v>4</v>
      </c>
      <c r="E35" s="6">
        <v>25</v>
      </c>
      <c r="F35" s="10">
        <f t="shared" si="0"/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422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424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 t="shared" si="0"/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759</v>
      </c>
    </row>
    <row r="38" spans="1:16" x14ac:dyDescent="0.25">
      <c r="A38" t="s">
        <v>758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 t="shared" si="0"/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759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 t="shared" si="0"/>
        <v>0.94222941176470609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835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 t="shared" si="0"/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275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 t="shared" si="0"/>
        <v>0</v>
      </c>
      <c r="H43">
        <f>'Recipe Converters'!M13</f>
        <v>392.5</v>
      </c>
      <c r="I43">
        <v>240</v>
      </c>
    </row>
    <row r="44" spans="1:16" x14ac:dyDescent="0.25">
      <c r="A44" t="s">
        <v>274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 t="shared" si="0"/>
        <v>0.71648831466299712</v>
      </c>
      <c r="G44" s="10">
        <f>'Recipe Converters'!O13</f>
        <v>2.227084511410816</v>
      </c>
      <c r="H44">
        <v>746</v>
      </c>
      <c r="I44">
        <v>240</v>
      </c>
      <c r="J44" t="s">
        <v>281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836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 t="shared" si="0"/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 t="shared" si="0"/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 t="shared" si="0"/>
        <v>2.5201647058823533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269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 t="shared" si="0"/>
        <v>3.1312297872340431</v>
      </c>
      <c r="G50" s="9">
        <f>2.99*1.07</f>
        <v>3.1993000000000005</v>
      </c>
      <c r="H50">
        <v>141</v>
      </c>
      <c r="I50">
        <v>138</v>
      </c>
      <c r="J50" t="s">
        <v>268</v>
      </c>
    </row>
    <row r="51" spans="1:16" x14ac:dyDescent="0.25">
      <c r="A51" t="s">
        <v>442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 t="shared" si="0"/>
        <v>0.91152651515151528</v>
      </c>
      <c r="G51" s="9">
        <f>5.19*1.07</f>
        <v>5.553300000000001</v>
      </c>
      <c r="H51">
        <v>396</v>
      </c>
      <c r="I51">
        <f>65</f>
        <v>65</v>
      </c>
      <c r="J51" t="s">
        <v>444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830</v>
      </c>
      <c r="B54" s="6"/>
      <c r="C54" s="6"/>
      <c r="D54" s="6"/>
      <c r="E54" s="6"/>
      <c r="F54" s="10"/>
      <c r="G54" s="9"/>
    </row>
    <row r="55" spans="1:16" x14ac:dyDescent="0.25">
      <c r="A55" t="s">
        <v>296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si="0"/>
        <v>0</v>
      </c>
      <c r="G55" s="9"/>
      <c r="H55">
        <v>150</v>
      </c>
      <c r="I55">
        <v>170</v>
      </c>
    </row>
    <row r="56" spans="1:16" x14ac:dyDescent="0.25">
      <c r="A56" t="s">
        <v>297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0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162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0"/>
        <v>0.81194117647058828</v>
      </c>
      <c r="G57" s="9">
        <f>1.29*1.07</f>
        <v>1.3803000000000001</v>
      </c>
      <c r="H57">
        <v>255</v>
      </c>
      <c r="I57">
        <v>150</v>
      </c>
      <c r="J57" t="s">
        <v>161</v>
      </c>
    </row>
    <row r="58" spans="1:16" x14ac:dyDescent="0.25">
      <c r="A58" t="s">
        <v>163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0"/>
        <v>3.6002352941176472</v>
      </c>
      <c r="G58" s="9">
        <f>5.72*1.07</f>
        <v>6.1204000000000001</v>
      </c>
      <c r="H58">
        <v>255</v>
      </c>
      <c r="I58">
        <v>150</v>
      </c>
      <c r="J58" t="s">
        <v>164</v>
      </c>
    </row>
    <row r="59" spans="1:16" x14ac:dyDescent="0.25">
      <c r="A59" t="s">
        <v>167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0"/>
        <v>0.75</v>
      </c>
      <c r="G59" s="9">
        <v>1.7</v>
      </c>
      <c r="H59">
        <v>340</v>
      </c>
      <c r="I59">
        <v>150</v>
      </c>
    </row>
    <row r="60" spans="1:16" x14ac:dyDescent="0.25">
      <c r="A60" t="s">
        <v>413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0"/>
        <v>1.4944752941176473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427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 t="shared" si="0"/>
        <v>4.528837209302325</v>
      </c>
      <c r="G61" s="9">
        <v>7.49</v>
      </c>
      <c r="H61">
        <v>215</v>
      </c>
      <c r="I61">
        <v>130</v>
      </c>
      <c r="J61" t="s">
        <v>231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 t="shared" si="0"/>
        <v>0</v>
      </c>
      <c r="H62">
        <v>200</v>
      </c>
      <c r="I62">
        <v>156</v>
      </c>
    </row>
    <row r="63" spans="1:16" x14ac:dyDescent="0.25">
      <c r="A63" t="s">
        <v>165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 t="shared" si="0"/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837</v>
      </c>
      <c r="F64" s="10"/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 t="shared" si="0"/>
        <v>0.85239036144578317</v>
      </c>
      <c r="G65" s="9">
        <f>3.99*1.07</f>
        <v>4.2693000000000003</v>
      </c>
      <c r="H65">
        <v>581</v>
      </c>
      <c r="I65">
        <v>116</v>
      </c>
    </row>
    <row r="66" spans="1:10" x14ac:dyDescent="0.25">
      <c r="F66" s="10"/>
    </row>
    <row r="67" spans="1:10" x14ac:dyDescent="0.25">
      <c r="A67" s="26" t="s">
        <v>838</v>
      </c>
      <c r="F67" s="10"/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 t="shared" ref="F68:F73" si="1">$G68*($I68/$H68)</f>
        <v>0.76269600000000015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F69" s="10"/>
      <c r="G69" s="9">
        <f>25.58*1.07</f>
        <v>27.3706</v>
      </c>
    </row>
    <row r="70" spans="1:10" x14ac:dyDescent="0.25">
      <c r="F70" s="10"/>
    </row>
    <row r="71" spans="1:10" x14ac:dyDescent="0.25">
      <c r="A71" s="26" t="s">
        <v>839</v>
      </c>
      <c r="F71" s="10"/>
    </row>
    <row r="72" spans="1:10" x14ac:dyDescent="0.25">
      <c r="A72" t="s">
        <v>267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 t="shared" si="1"/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 t="shared" si="1"/>
        <v>1.911340157480315</v>
      </c>
      <c r="G73" s="9">
        <f>1.99*1.07</f>
        <v>2.1293000000000002</v>
      </c>
      <c r="H73">
        <v>127</v>
      </c>
      <c r="I73">
        <v>114</v>
      </c>
    </row>
    <row r="74" spans="1:10" x14ac:dyDescent="0.25">
      <c r="A74" t="s">
        <v>872</v>
      </c>
      <c r="B74">
        <f>100*(H74/24)</f>
        <v>330</v>
      </c>
      <c r="C74">
        <f>2*(H74/24)</f>
        <v>6.6000000000000005</v>
      </c>
      <c r="D74">
        <f>1*(H74/24)</f>
        <v>3.3000000000000003</v>
      </c>
      <c r="E74">
        <f>12*(H74/24)</f>
        <v>39.6</v>
      </c>
      <c r="F74" s="10">
        <f>$G74*($I74/$H74)</f>
        <v>3.21</v>
      </c>
      <c r="G74">
        <f>3*1.07</f>
        <v>3.21</v>
      </c>
      <c r="H74">
        <v>79.2</v>
      </c>
      <c r="I74">
        <v>79.2</v>
      </c>
    </row>
  </sheetData>
  <conditionalFormatting sqref="F3:F7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80"/>
  <sheetViews>
    <sheetView topLeftCell="A10" workbookViewId="0">
      <selection activeCell="B45" sqref="B45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821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176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418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160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639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483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484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822</v>
      </c>
    </row>
    <row r="14" spans="1:10" x14ac:dyDescent="0.25">
      <c r="A14" t="s">
        <v>248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265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544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512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513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456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3" spans="1:15" x14ac:dyDescent="0.25">
      <c r="A23" t="s">
        <v>459</v>
      </c>
      <c r="B23" s="4">
        <f>80*(15/118 )</f>
        <v>10.169491525423728</v>
      </c>
      <c r="C23" s="4">
        <f>0*(15/118 )</f>
        <v>0</v>
      </c>
      <c r="D23" s="4">
        <f>0*(15/118 )</f>
        <v>0</v>
      </c>
      <c r="E23" s="4">
        <f>20*(15/118 )</f>
        <v>2.5423728813559321</v>
      </c>
      <c r="F23" s="9">
        <f>$G23*(15/$H23)</f>
        <v>0.10145771670190276</v>
      </c>
      <c r="G23" s="9">
        <f>2.99*1.07</f>
        <v>3.1993000000000005</v>
      </c>
      <c r="H23">
        <v>473</v>
      </c>
      <c r="I23" t="s">
        <v>78</v>
      </c>
    </row>
    <row r="25" spans="1:15" x14ac:dyDescent="0.25">
      <c r="A25" s="26" t="s">
        <v>823</v>
      </c>
    </row>
    <row r="26" spans="1:15" x14ac:dyDescent="0.25">
      <c r="A26" t="s">
        <v>460</v>
      </c>
      <c r="B26" s="4">
        <f>50*(15/20)</f>
        <v>37.5</v>
      </c>
      <c r="C26" s="4">
        <v>0</v>
      </c>
      <c r="D26" s="4">
        <v>0</v>
      </c>
      <c r="E26" s="4">
        <f>12*(15/20)</f>
        <v>9</v>
      </c>
      <c r="F26" s="9">
        <f t="shared" ref="F26:F35" si="2">$G26*(15/$H26)</f>
        <v>6.7499999999999991E-2</v>
      </c>
      <c r="G26" s="9">
        <f>4.59/2</f>
        <v>2.2949999999999999</v>
      </c>
      <c r="H26">
        <v>510</v>
      </c>
    </row>
    <row r="27" spans="1:15" x14ac:dyDescent="0.25">
      <c r="A27" t="s">
        <v>102</v>
      </c>
      <c r="B27" s="4">
        <f>_xlfn.XLOOKUP("Strawberries",'Solid Mix In Nutrition'!$A:$A,'Solid Mix In Nutrition'!B:B) * (15/ _xlfn.XLOOKUP("Strawberries",'Solid Mix In Nutrition'!$A:$A,'Solid Mix In Nutrition'!$I:$I))</f>
        <v>4.8333333333333321</v>
      </c>
      <c r="C27" s="4">
        <f>_xlfn.XLOOKUP("Strawberries",'Solid Mix In Nutrition'!$A:$A,'Solid Mix In Nutrition'!C:C) * (15/ _xlfn.XLOOKUP("Strawberries",'Solid Mix In Nutrition'!$A:$A,'Solid Mix In Nutrition'!$I:$I))</f>
        <v>4.1666666666666664E-2</v>
      </c>
      <c r="D27" s="4">
        <f>_xlfn.XLOOKUP("Strawberries",'Solid Mix In Nutrition'!$A:$A,'Solid Mix In Nutrition'!D:D) * (15/ _xlfn.XLOOKUP("Strawberries",'Solid Mix In Nutrition'!$A:$A,'Solid Mix In Nutrition'!$I:$I))</f>
        <v>0.10416666666666666</v>
      </c>
      <c r="E27" s="4">
        <f>_xlfn.XLOOKUP("Strawberries",'Solid Mix In Nutrition'!$A:$A,'Solid Mix In Nutrition'!E:E) * (15/ _xlfn.XLOOKUP("Strawberries",'Solid Mix In Nutrition'!$A:$A,'Solid Mix In Nutrition'!$I:$I))</f>
        <v>0.72916666666666652</v>
      </c>
      <c r="F27" s="9">
        <f t="shared" si="2"/>
        <v>4.0534936998854521E-2</v>
      </c>
      <c r="G27" s="9">
        <f>(3.82*1.07)+_xlfn.XLOOKUP("Sugar",'Sweetener Mix In Nutrition'!$A:$A,'Sweetener Mix In Nutrition'!$G:$G,0)</f>
        <v>7.0773999999999999</v>
      </c>
      <c r="H27">
        <f>805+(_xlfn.XLOOKUP("Sugar",'Sweetener Mix In Nutrition'!$A:$A,'Sweetener Mix In Nutrition'!$H:$H,0))</f>
        <v>2619</v>
      </c>
      <c r="I27" t="s">
        <v>461</v>
      </c>
    </row>
    <row r="28" spans="1:15" x14ac:dyDescent="0.25">
      <c r="A28" t="s">
        <v>372</v>
      </c>
      <c r="B28" s="4">
        <f>30*(15/18)</f>
        <v>25</v>
      </c>
      <c r="C28" s="4">
        <v>0</v>
      </c>
      <c r="D28" s="4">
        <v>0</v>
      </c>
      <c r="E28" s="4">
        <f>7*(15/18)</f>
        <v>5.8333333333333339</v>
      </c>
      <c r="F28" s="9">
        <f t="shared" si="2"/>
        <v>0.22285957253323127</v>
      </c>
      <c r="G28" s="9">
        <f>5.79*1.07</f>
        <v>6.1953000000000005</v>
      </c>
      <c r="H28">
        <v>416.98680000000002</v>
      </c>
      <c r="I28" t="s">
        <v>371</v>
      </c>
    </row>
    <row r="29" spans="1:15" x14ac:dyDescent="0.25">
      <c r="A29" t="s">
        <v>373</v>
      </c>
      <c r="B29" s="4">
        <f>45*(15/20)</f>
        <v>33.75</v>
      </c>
      <c r="C29" s="4">
        <v>0</v>
      </c>
      <c r="D29" s="4">
        <v>0</v>
      </c>
      <c r="E29" s="4">
        <f>11*(15/20)</f>
        <v>8.25</v>
      </c>
      <c r="F29" s="9">
        <f t="shared" si="2"/>
        <v>0.2958138461538462</v>
      </c>
      <c r="G29" s="9">
        <f>5.99*1.07</f>
        <v>6.4093000000000009</v>
      </c>
      <c r="H29">
        <v>325</v>
      </c>
    </row>
    <row r="30" spans="1:15" x14ac:dyDescent="0.25">
      <c r="A30" t="s">
        <v>374</v>
      </c>
      <c r="B30" s="4">
        <f>130*(15/34)</f>
        <v>57.352941176470587</v>
      </c>
      <c r="C30" s="4">
        <v>0</v>
      </c>
      <c r="D30" s="4">
        <v>0</v>
      </c>
      <c r="E30" s="4">
        <f>28*(15/34)</f>
        <v>12.352941176470587</v>
      </c>
      <c r="F30" s="9">
        <f t="shared" si="2"/>
        <v>0.16828181818181823</v>
      </c>
      <c r="G30" s="9">
        <f>5.19*1.07</f>
        <v>5.553300000000001</v>
      </c>
      <c r="H30">
        <v>495</v>
      </c>
      <c r="I30" t="s">
        <v>867</v>
      </c>
    </row>
    <row r="31" spans="1:15" x14ac:dyDescent="0.25">
      <c r="A31" t="s">
        <v>864</v>
      </c>
      <c r="B31" s="4">
        <f>50*(15/20)</f>
        <v>37.5</v>
      </c>
      <c r="C31" s="4">
        <v>0</v>
      </c>
      <c r="D31" s="4">
        <v>0</v>
      </c>
      <c r="E31" s="4">
        <f>13*(15/20)</f>
        <v>9.75</v>
      </c>
      <c r="F31" s="9">
        <f t="shared" si="2"/>
        <v>0.52501584507042243</v>
      </c>
      <c r="G31" s="9">
        <f>9.29*1.07</f>
        <v>9.9402999999999988</v>
      </c>
      <c r="H31">
        <v>284</v>
      </c>
      <c r="I31" t="s">
        <v>387</v>
      </c>
    </row>
    <row r="32" spans="1:15" x14ac:dyDescent="0.25">
      <c r="A32" t="s">
        <v>865</v>
      </c>
      <c r="B32" s="4">
        <v>25</v>
      </c>
      <c r="C32" s="4">
        <v>0</v>
      </c>
      <c r="D32" s="4">
        <v>0</v>
      </c>
      <c r="E32" s="4">
        <v>6</v>
      </c>
      <c r="F32" s="9">
        <f t="shared" si="2"/>
        <v>0.50290000000000001</v>
      </c>
      <c r="G32" s="9">
        <f>7.99*1.07</f>
        <v>8.5493000000000006</v>
      </c>
      <c r="H32" s="4">
        <v>255</v>
      </c>
      <c r="I32" t="s">
        <v>474</v>
      </c>
    </row>
    <row r="33" spans="1:9" x14ac:dyDescent="0.25">
      <c r="A33" t="s">
        <v>775</v>
      </c>
      <c r="B33" s="4">
        <f>50*(15/19)</f>
        <v>39.473684210526315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0.64685383064516122</v>
      </c>
      <c r="G33" s="9">
        <f>19.99*1.07</f>
        <v>21.389299999999999</v>
      </c>
      <c r="H33">
        <v>496</v>
      </c>
      <c r="I33" t="s">
        <v>774</v>
      </c>
    </row>
    <row r="34" spans="1:9" x14ac:dyDescent="0.25">
      <c r="A34" t="s">
        <v>516</v>
      </c>
      <c r="B34" s="4">
        <f>50*(15/20)</f>
        <v>37.5</v>
      </c>
      <c r="C34" s="4">
        <v>0</v>
      </c>
      <c r="D34" s="4">
        <v>0</v>
      </c>
      <c r="E34" s="4">
        <f>11*(15/19)</f>
        <v>8.6842105263157894</v>
      </c>
      <c r="F34" s="9">
        <f t="shared" si="2"/>
        <v>0.19904658385093171</v>
      </c>
      <c r="G34" s="9">
        <f>5.99*1.07</f>
        <v>6.4093000000000009</v>
      </c>
      <c r="H34">
        <v>483</v>
      </c>
      <c r="I34" t="s">
        <v>517</v>
      </c>
    </row>
    <row r="35" spans="1:9" x14ac:dyDescent="0.25">
      <c r="A35" t="s">
        <v>239</v>
      </c>
      <c r="B35" s="4">
        <v>13</v>
      </c>
      <c r="C35" s="4">
        <v>0.05</v>
      </c>
      <c r="D35" s="4">
        <v>0.16</v>
      </c>
      <c r="E35" s="4">
        <v>1.83</v>
      </c>
      <c r="F35" s="9">
        <f t="shared" si="2"/>
        <v>7.4999999999999997E-2</v>
      </c>
      <c r="G35" s="9">
        <v>0.5</v>
      </c>
      <c r="H35">
        <v>100</v>
      </c>
      <c r="I35" t="s">
        <v>240</v>
      </c>
    </row>
    <row r="36" spans="1:9" x14ac:dyDescent="0.25">
      <c r="A36" t="s">
        <v>335</v>
      </c>
      <c r="B36" s="4">
        <f>397*(15/330)</f>
        <v>18.045454545454547</v>
      </c>
      <c r="C36" s="4">
        <f>2.4*(15/330)</f>
        <v>0.10909090909090909</v>
      </c>
      <c r="D36" s="4">
        <f>5.6*(15/330)</f>
        <v>0.25454545454545452</v>
      </c>
      <c r="E36" s="4">
        <f>92*(15/330)</f>
        <v>4.1818181818181817</v>
      </c>
      <c r="F36" s="9"/>
    </row>
    <row r="37" spans="1:9" x14ac:dyDescent="0.25">
      <c r="A37" t="s">
        <v>403</v>
      </c>
      <c r="B37" s="4">
        <v>30.2</v>
      </c>
      <c r="C37" s="4">
        <v>0</v>
      </c>
      <c r="D37" s="4">
        <v>1</v>
      </c>
      <c r="E37" s="4">
        <v>2</v>
      </c>
      <c r="F37" s="9">
        <f t="shared" ref="F37:F42" si="3">$G37*(15/$H37)</f>
        <v>9.7810588235294121E-2</v>
      </c>
      <c r="G37" s="9">
        <f>2.59*1.07</f>
        <v>2.7713000000000001</v>
      </c>
      <c r="H37" s="4">
        <v>425</v>
      </c>
      <c r="I37" t="s">
        <v>404</v>
      </c>
    </row>
    <row r="38" spans="1:9" x14ac:dyDescent="0.25">
      <c r="A38" t="s">
        <v>244</v>
      </c>
      <c r="B38" s="4">
        <f>(90*2)/18.6</f>
        <v>9.6774193548387082</v>
      </c>
      <c r="C38" s="4">
        <v>0</v>
      </c>
      <c r="D38" s="4">
        <v>0</v>
      </c>
      <c r="E38" s="4">
        <f>(22*2)/18.6</f>
        <v>2.365591397849462</v>
      </c>
      <c r="F38" s="9">
        <f t="shared" si="3"/>
        <v>0.10493193277310925</v>
      </c>
      <c r="G38" s="9">
        <f>7.78*1.07</f>
        <v>8.3246000000000002</v>
      </c>
      <c r="H38">
        <v>1190</v>
      </c>
    </row>
    <row r="39" spans="1:9" x14ac:dyDescent="0.25">
      <c r="A39" t="s">
        <v>97</v>
      </c>
      <c r="B39" s="4">
        <f>110*(15/40)</f>
        <v>41.25</v>
      </c>
      <c r="C39" s="4">
        <v>0</v>
      </c>
      <c r="D39" s="4">
        <v>0</v>
      </c>
      <c r="E39" s="4">
        <f>21*(15/40)</f>
        <v>7.875</v>
      </c>
      <c r="F39" s="9">
        <f t="shared" si="3"/>
        <v>0.12179117647058825</v>
      </c>
      <c r="G39" s="9">
        <f>2.58*1.07</f>
        <v>2.7606000000000002</v>
      </c>
      <c r="H39">
        <v>340</v>
      </c>
    </row>
    <row r="40" spans="1:9" x14ac:dyDescent="0.25">
      <c r="A40" t="s">
        <v>819</v>
      </c>
      <c r="B40" s="4">
        <f>480*(15/82)</f>
        <v>87.804878048780481</v>
      </c>
      <c r="C40" s="4">
        <v>0</v>
      </c>
      <c r="D40" s="4">
        <v>0</v>
      </c>
      <c r="E40" s="4">
        <f>120*(15/82)</f>
        <v>21.95121951219512</v>
      </c>
      <c r="F40" s="9">
        <f t="shared" si="3"/>
        <v>0.78096951219512201</v>
      </c>
      <c r="G40" s="9">
        <f>3.99*1.07</f>
        <v>4.2693000000000003</v>
      </c>
      <c r="H40">
        <v>82</v>
      </c>
      <c r="I40" t="s">
        <v>125</v>
      </c>
    </row>
    <row r="41" spans="1:9" x14ac:dyDescent="0.25">
      <c r="A41" t="s">
        <v>124</v>
      </c>
      <c r="B41" s="4">
        <f>120*(15/140)</f>
        <v>12.857142857142856</v>
      </c>
      <c r="C41" s="4">
        <v>0</v>
      </c>
      <c r="D41" s="4">
        <v>0</v>
      </c>
      <c r="E41" s="4">
        <f>30*(15/140)</f>
        <v>3.214285714285714</v>
      </c>
      <c r="F41" s="9">
        <f t="shared" si="3"/>
        <v>0.28336061946902658</v>
      </c>
      <c r="G41" s="9">
        <f>3.99*1.07</f>
        <v>4.2693000000000003</v>
      </c>
      <c r="H41">
        <v>226</v>
      </c>
      <c r="I41" t="s">
        <v>125</v>
      </c>
    </row>
    <row r="42" spans="1:9" x14ac:dyDescent="0.25">
      <c r="A42" t="s">
        <v>792</v>
      </c>
      <c r="B42" s="4">
        <v>12.8</v>
      </c>
      <c r="C42" s="4">
        <v>0</v>
      </c>
      <c r="D42" s="4">
        <v>0.06</v>
      </c>
      <c r="E42" s="4">
        <v>3.13</v>
      </c>
      <c r="F42" s="9">
        <f t="shared" si="3"/>
        <v>8.9814814814814806E-2</v>
      </c>
      <c r="G42" s="9">
        <v>4.8499999999999996</v>
      </c>
      <c r="H42">
        <f>500+130+30+150</f>
        <v>810</v>
      </c>
    </row>
    <row r="43" spans="1:9" x14ac:dyDescent="0.25">
      <c r="F43" s="9"/>
    </row>
    <row r="44" spans="1:9" x14ac:dyDescent="0.25">
      <c r="A44" s="26" t="s">
        <v>824</v>
      </c>
    </row>
    <row r="45" spans="1:9" x14ac:dyDescent="0.25">
      <c r="A45" t="s">
        <v>263</v>
      </c>
      <c r="B45" s="4">
        <v>47</v>
      </c>
      <c r="C45" s="4">
        <v>1.1850000000000001</v>
      </c>
      <c r="D45" s="4">
        <v>0</v>
      </c>
      <c r="E45" s="4">
        <v>7.11</v>
      </c>
      <c r="F45" s="9">
        <f>$G45*(15/$H45)</f>
        <v>0.2254911971830986</v>
      </c>
      <c r="G45" s="9">
        <f>3.99*1.07</f>
        <v>4.2693000000000003</v>
      </c>
      <c r="H45">
        <v>284</v>
      </c>
    </row>
    <row r="47" spans="1:9" x14ac:dyDescent="0.25">
      <c r="A47" s="26" t="s">
        <v>825</v>
      </c>
    </row>
    <row r="48" spans="1:9" x14ac:dyDescent="0.25">
      <c r="A48" t="s">
        <v>88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0.98397199999999996</v>
      </c>
      <c r="G48" s="9">
        <f>22.99*1.07</f>
        <v>24.599299999999999</v>
      </c>
      <c r="H48">
        <v>375</v>
      </c>
    </row>
    <row r="49" spans="1:9" x14ac:dyDescent="0.25">
      <c r="A49" t="s">
        <v>8</v>
      </c>
      <c r="B49" s="4">
        <v>35</v>
      </c>
      <c r="C49" s="4">
        <v>0</v>
      </c>
      <c r="D49" s="4">
        <v>0</v>
      </c>
      <c r="E49" s="4">
        <v>0</v>
      </c>
      <c r="F49" s="9">
        <f>$G49*(15/$H49)</f>
        <v>0.59898600000000002</v>
      </c>
      <c r="G49" s="9">
        <f>27.99*1.07</f>
        <v>29.949300000000001</v>
      </c>
      <c r="H49">
        <v>750</v>
      </c>
    </row>
    <row r="50" spans="1:9" x14ac:dyDescent="0.25">
      <c r="A50" t="s">
        <v>84</v>
      </c>
      <c r="B50" s="4">
        <v>95</v>
      </c>
      <c r="C50" s="4">
        <v>0</v>
      </c>
      <c r="D50" s="4">
        <v>0</v>
      </c>
      <c r="E50" s="4">
        <v>0</v>
      </c>
      <c r="F50" s="9">
        <f>$G50*(15/$H50)</f>
        <v>1.0392375</v>
      </c>
      <c r="G50" s="9">
        <f>12.95*1.07</f>
        <v>13.8565</v>
      </c>
      <c r="H50">
        <v>200</v>
      </c>
    </row>
    <row r="52" spans="1:9" x14ac:dyDescent="0.25">
      <c r="A52" s="26" t="s">
        <v>826</v>
      </c>
    </row>
    <row r="53" spans="1:9" x14ac:dyDescent="0.25">
      <c r="A53" t="s">
        <v>91</v>
      </c>
      <c r="B53" s="4">
        <v>379.31</v>
      </c>
      <c r="C53" s="4">
        <v>0</v>
      </c>
      <c r="D53" s="4">
        <v>0</v>
      </c>
      <c r="E53" s="4">
        <v>100</v>
      </c>
      <c r="F53" s="9">
        <f>$G53*(15/$H53)</f>
        <v>0.68785714285714294</v>
      </c>
      <c r="G53" s="9">
        <f>15*1.07</f>
        <v>16.05</v>
      </c>
      <c r="H53">
        <v>350</v>
      </c>
      <c r="I53" t="s">
        <v>92</v>
      </c>
    </row>
    <row r="54" spans="1:9" x14ac:dyDescent="0.25">
      <c r="A54" t="s">
        <v>93</v>
      </c>
      <c r="B54" s="4">
        <v>414</v>
      </c>
      <c r="C54" s="4">
        <v>4</v>
      </c>
      <c r="D54" s="4">
        <v>4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5" spans="1:9" ht="14.25" customHeight="1" x14ac:dyDescent="0.25">
      <c r="A55" t="s">
        <v>95</v>
      </c>
      <c r="B55" s="4">
        <v>414</v>
      </c>
      <c r="C55" s="4">
        <v>0</v>
      </c>
      <c r="D55" s="4">
        <v>0</v>
      </c>
      <c r="E55" s="4">
        <v>100</v>
      </c>
      <c r="F55" s="9">
        <f>$G55*(15/$H55)</f>
        <v>0.68785714285714294</v>
      </c>
      <c r="G55" s="9">
        <v>16.05</v>
      </c>
      <c r="H55">
        <v>350</v>
      </c>
      <c r="I55" t="s">
        <v>94</v>
      </c>
    </row>
    <row r="57" spans="1:9" x14ac:dyDescent="0.25">
      <c r="A57" s="26" t="s">
        <v>827</v>
      </c>
    </row>
    <row r="58" spans="1:9" x14ac:dyDescent="0.25">
      <c r="A58" t="s">
        <v>85</v>
      </c>
      <c r="B58" s="4">
        <v>55</v>
      </c>
      <c r="C58" s="4">
        <v>0</v>
      </c>
      <c r="D58" s="4">
        <v>0</v>
      </c>
      <c r="E58" s="4">
        <v>9.5</v>
      </c>
      <c r="F58" s="9">
        <f>$G58*(15/$H58)</f>
        <v>0.41755078125000006</v>
      </c>
      <c r="G58" s="9">
        <f>9.99*1.07</f>
        <v>10.689300000000001</v>
      </c>
      <c r="H58">
        <v>384</v>
      </c>
      <c r="I58" t="s">
        <v>86</v>
      </c>
    </row>
    <row r="59" spans="1:9" x14ac:dyDescent="0.25">
      <c r="A59" t="s">
        <v>246</v>
      </c>
      <c r="B59" s="4">
        <f>100*(0.5)</f>
        <v>50</v>
      </c>
      <c r="C59" s="4">
        <v>0</v>
      </c>
      <c r="D59" s="4">
        <v>0</v>
      </c>
      <c r="E59" s="4">
        <f>24*(1/2)</f>
        <v>12</v>
      </c>
      <c r="F59" s="9">
        <f>$G59*(15/$H59)</f>
        <v>0.88403399999999999</v>
      </c>
      <c r="G59" s="9">
        <f>13.77*1.07</f>
        <v>14.7339</v>
      </c>
      <c r="H59">
        <v>250</v>
      </c>
      <c r="I59" t="s">
        <v>247</v>
      </c>
    </row>
    <row r="60" spans="1:9" x14ac:dyDescent="0.25">
      <c r="A60" t="s">
        <v>232</v>
      </c>
      <c r="B60" s="4">
        <v>55</v>
      </c>
      <c r="C60" s="4">
        <v>0</v>
      </c>
      <c r="D60" s="4">
        <v>0</v>
      </c>
      <c r="E60" s="4">
        <v>12</v>
      </c>
      <c r="F60" s="9">
        <f>$G60*(15/$H60)</f>
        <v>0.43335000000000007</v>
      </c>
      <c r="G60" s="9">
        <f>9.99*1.07</f>
        <v>10.689300000000001</v>
      </c>
      <c r="H60">
        <v>370</v>
      </c>
      <c r="I60" t="s">
        <v>231</v>
      </c>
    </row>
    <row r="61" spans="1:9" x14ac:dyDescent="0.25">
      <c r="A61" t="s">
        <v>233</v>
      </c>
      <c r="B61" s="4">
        <v>55</v>
      </c>
      <c r="C61" s="4">
        <v>0.1</v>
      </c>
      <c r="D61" s="4">
        <v>0.1</v>
      </c>
      <c r="E61" s="4">
        <v>13</v>
      </c>
      <c r="F61" s="9">
        <f>$G61*(15/$H61)</f>
        <v>0.23879268292682929</v>
      </c>
      <c r="G61" s="9">
        <f>5.49*1.07</f>
        <v>5.8743000000000007</v>
      </c>
      <c r="H61">
        <v>369</v>
      </c>
      <c r="I61" t="s">
        <v>115</v>
      </c>
    </row>
    <row r="62" spans="1:9" x14ac:dyDescent="0.25">
      <c r="A62" t="s">
        <v>870</v>
      </c>
      <c r="B62" s="4">
        <f>20*(15/30)</f>
        <v>10</v>
      </c>
      <c r="C62" s="4">
        <v>0</v>
      </c>
      <c r="D62" s="4">
        <v>0</v>
      </c>
      <c r="E62" s="4">
        <v>0</v>
      </c>
      <c r="F62" s="9">
        <f>$G62*(15/$H62)</f>
        <v>0.68643220338983058</v>
      </c>
      <c r="G62" s="9">
        <f>15.14*1.07</f>
        <v>16.199800000000003</v>
      </c>
      <c r="H62">
        <v>354</v>
      </c>
      <c r="I62" t="s">
        <v>871</v>
      </c>
    </row>
    <row r="64" spans="1:9" x14ac:dyDescent="0.25">
      <c r="A64" s="26" t="s">
        <v>828</v>
      </c>
    </row>
    <row r="65" spans="1:10" x14ac:dyDescent="0.25">
      <c r="A65" t="s">
        <v>5</v>
      </c>
      <c r="B65" s="4">
        <v>85</v>
      </c>
      <c r="C65" s="4">
        <v>5.5</v>
      </c>
      <c r="D65" s="4">
        <v>0.5</v>
      </c>
      <c r="E65" s="4">
        <v>5.5</v>
      </c>
      <c r="F65" s="9">
        <f t="shared" ref="F65:F70" si="4">$G65*(15/$H65)</f>
        <v>0.20062500000000003</v>
      </c>
      <c r="G65" s="9">
        <f>5*1.07</f>
        <v>5.3500000000000005</v>
      </c>
      <c r="H65">
        <v>400</v>
      </c>
      <c r="J65" t="s">
        <v>761</v>
      </c>
    </row>
    <row r="66" spans="1:10" x14ac:dyDescent="0.25">
      <c r="A66" t="s">
        <v>262</v>
      </c>
      <c r="B66" s="4">
        <v>81</v>
      </c>
      <c r="C66" s="4">
        <v>4</v>
      </c>
      <c r="D66" s="4">
        <v>0.8</v>
      </c>
      <c r="E66" s="4">
        <v>9.1999999999999993</v>
      </c>
      <c r="F66" s="9">
        <f t="shared" si="4"/>
        <v>0.19857008086253367</v>
      </c>
      <c r="G66" s="9">
        <f>4.59*1.07</f>
        <v>4.9112999999999998</v>
      </c>
      <c r="H66">
        <v>371</v>
      </c>
    </row>
    <row r="67" spans="1:10" x14ac:dyDescent="0.25">
      <c r="A67" s="73" t="s">
        <v>486</v>
      </c>
      <c r="B67">
        <f>130*(15/40)</f>
        <v>48.75</v>
      </c>
      <c r="C67">
        <v>0</v>
      </c>
      <c r="D67">
        <v>0</v>
      </c>
      <c r="E67">
        <f>33*(15/40)</f>
        <v>12.375</v>
      </c>
      <c r="F67" s="9">
        <f t="shared" si="4"/>
        <v>0.40449242424242432</v>
      </c>
      <c r="G67" s="9">
        <f>4.99*1.07</f>
        <v>5.3393000000000006</v>
      </c>
      <c r="H67">
        <v>198</v>
      </c>
    </row>
    <row r="68" spans="1:10" x14ac:dyDescent="0.25">
      <c r="A68" s="73" t="s">
        <v>485</v>
      </c>
      <c r="B68">
        <f>40*(15/18)</f>
        <v>33.333333333333336</v>
      </c>
      <c r="C68">
        <v>0</v>
      </c>
      <c r="D68">
        <v>0</v>
      </c>
      <c r="E68">
        <f>9*(15/18)</f>
        <v>7.5</v>
      </c>
      <c r="F68" s="9">
        <f t="shared" si="4"/>
        <v>0.16897711267605636</v>
      </c>
      <c r="G68" s="9">
        <f>2.99*1.07</f>
        <v>3.1993000000000005</v>
      </c>
      <c r="H68">
        <v>284</v>
      </c>
    </row>
    <row r="69" spans="1:10" x14ac:dyDescent="0.25">
      <c r="A69" t="s">
        <v>329</v>
      </c>
      <c r="B69" s="4">
        <v>102</v>
      </c>
      <c r="C69" s="4">
        <v>12</v>
      </c>
      <c r="D69" s="4">
        <v>0.1</v>
      </c>
      <c r="E69" s="4">
        <v>0</v>
      </c>
      <c r="F69" s="9">
        <f t="shared" si="4"/>
        <v>0.11266519823788547</v>
      </c>
      <c r="G69" s="9">
        <f>13.64</f>
        <v>13.64</v>
      </c>
      <c r="H69">
        <f>454*4</f>
        <v>1816</v>
      </c>
      <c r="I69" t="s">
        <v>369</v>
      </c>
    </row>
    <row r="70" spans="1:10" x14ac:dyDescent="0.25">
      <c r="A70" t="s">
        <v>82</v>
      </c>
      <c r="B70" s="4">
        <v>47</v>
      </c>
      <c r="C70" s="4">
        <v>1.1850000000000001</v>
      </c>
      <c r="D70" s="4">
        <v>0</v>
      </c>
      <c r="E70" s="4">
        <v>7.11</v>
      </c>
      <c r="F70" s="9">
        <f t="shared" si="4"/>
        <v>0.1355635593220339</v>
      </c>
      <c r="G70" s="9">
        <f>2.99*1.07</f>
        <v>3.1993000000000005</v>
      </c>
      <c r="H70">
        <v>354</v>
      </c>
      <c r="I70" t="s">
        <v>866</v>
      </c>
    </row>
    <row r="71" spans="1:10" x14ac:dyDescent="0.25">
      <c r="A71" s="73" t="s">
        <v>768</v>
      </c>
      <c r="B71">
        <f>188*(15/32)</f>
        <v>88.125</v>
      </c>
      <c r="C71">
        <f>16*(15/32)</f>
        <v>7.5</v>
      </c>
      <c r="D71">
        <f>8*(15/32)</f>
        <v>3.75</v>
      </c>
      <c r="E71">
        <f>3*(15/32)</f>
        <v>1.40625</v>
      </c>
      <c r="F71" s="9">
        <f>$G71*(15/$H71)</f>
        <v>6.1785398230088488E-2</v>
      </c>
      <c r="G71" s="9">
        <f>4.35*1.07</f>
        <v>4.6544999999999996</v>
      </c>
      <c r="H71">
        <v>1130</v>
      </c>
      <c r="J71" t="s">
        <v>761</v>
      </c>
    </row>
    <row r="73" spans="1:10" x14ac:dyDescent="0.25">
      <c r="A73" s="26" t="s">
        <v>829</v>
      </c>
    </row>
    <row r="74" spans="1:10" x14ac:dyDescent="0.25">
      <c r="A74" t="s">
        <v>96</v>
      </c>
      <c r="B74" s="4">
        <v>55</v>
      </c>
      <c r="C74" s="4">
        <v>4.51</v>
      </c>
      <c r="D74" s="4">
        <v>2.7</v>
      </c>
      <c r="E74" s="4">
        <v>0.1</v>
      </c>
      <c r="F74" s="9">
        <f>$G74*(15/$H74)</f>
        <v>0.29916666666666664</v>
      </c>
      <c r="G74" s="9">
        <v>3.59</v>
      </c>
      <c r="H74">
        <f>15*12</f>
        <v>180</v>
      </c>
    </row>
    <row r="75" spans="1:10" x14ac:dyDescent="0.25">
      <c r="A75" t="s">
        <v>75</v>
      </c>
      <c r="B75">
        <f>405*(15/240)</f>
        <v>25.3125</v>
      </c>
      <c r="C75">
        <f>40*(15/240)</f>
        <v>2.5</v>
      </c>
      <c r="D75">
        <f>9.6*(15/240)</f>
        <v>0.6</v>
      </c>
      <c r="E75">
        <f>1*(15/240)</f>
        <v>6.25E-2</v>
      </c>
      <c r="F75" s="9">
        <f>$G75*(15/$H75)</f>
        <v>0.11615044247787612</v>
      </c>
      <c r="G75" s="9">
        <f>1.75</f>
        <v>1.75</v>
      </c>
      <c r="H75">
        <v>226</v>
      </c>
    </row>
    <row r="76" spans="1:10" x14ac:dyDescent="0.25">
      <c r="A76" t="s">
        <v>83</v>
      </c>
      <c r="B76" s="4">
        <f>110/2</f>
        <v>55</v>
      </c>
      <c r="C76" s="4">
        <f>1.5/2</f>
        <v>0.75</v>
      </c>
      <c r="D76" s="4">
        <f>2/2</f>
        <v>1</v>
      </c>
      <c r="E76" s="4">
        <f>12/2</f>
        <v>6</v>
      </c>
      <c r="F76" s="9">
        <f>$G76*(15/$H76)</f>
        <v>0.1794</v>
      </c>
      <c r="G76" s="9">
        <v>2.99</v>
      </c>
      <c r="H76">
        <v>250</v>
      </c>
      <c r="I76" t="s">
        <v>231</v>
      </c>
      <c r="J76" t="s">
        <v>761</v>
      </c>
    </row>
    <row r="77" spans="1:10" x14ac:dyDescent="0.25">
      <c r="A77" t="s">
        <v>765</v>
      </c>
      <c r="B77">
        <v>20</v>
      </c>
      <c r="C77">
        <f>2.5/2</f>
        <v>1.25</v>
      </c>
      <c r="D77">
        <v>0.5</v>
      </c>
      <c r="E77">
        <v>1</v>
      </c>
      <c r="H77">
        <v>453</v>
      </c>
      <c r="I77" t="s">
        <v>67</v>
      </c>
    </row>
    <row r="78" spans="1:10" x14ac:dyDescent="0.25">
      <c r="A78" s="26" t="s">
        <v>830</v>
      </c>
    </row>
    <row r="79" spans="1:10" x14ac:dyDescent="0.25">
      <c r="A79" t="s">
        <v>264</v>
      </c>
      <c r="B79" s="4">
        <v>57</v>
      </c>
      <c r="C79" s="4">
        <v>3.4</v>
      </c>
      <c r="D79" s="4">
        <v>0.6</v>
      </c>
      <c r="E79" s="4">
        <v>6</v>
      </c>
      <c r="F79" s="9">
        <f>$G79*(15/$H79)</f>
        <v>0.76371957671957669</v>
      </c>
      <c r="G79" s="9">
        <f>13.49*1.07</f>
        <v>14.4343</v>
      </c>
      <c r="H79">
        <v>283.5</v>
      </c>
      <c r="I79" t="s">
        <v>87</v>
      </c>
    </row>
    <row r="80" spans="1:10" x14ac:dyDescent="0.25">
      <c r="A80" t="s">
        <v>786</v>
      </c>
      <c r="B80">
        <f>80*(15/23)</f>
        <v>52.173913043478265</v>
      </c>
      <c r="C80">
        <v>0</v>
      </c>
      <c r="D80">
        <f>8*(15/23)</f>
        <v>5.2173913043478262</v>
      </c>
      <c r="E80">
        <f>12*(15/23)</f>
        <v>7.8260869565217392</v>
      </c>
      <c r="F80" s="9">
        <f>$G80*(15/$H80)</f>
        <v>0.18915441176470588</v>
      </c>
      <c r="G80" s="9">
        <v>3.43</v>
      </c>
      <c r="H80">
        <v>272</v>
      </c>
    </row>
  </sheetData>
  <conditionalFormatting sqref="F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3:F55 F74 F76 F45 F48:F50 F3:F11 F14:F23 F65:F71 F79:F80 F26:F43 F58:F6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D521-A436-4B4A-8682-072AC7433994}">
  <sheetPr codeName="Sheet25"/>
  <dimension ref="A1:J7"/>
  <sheetViews>
    <sheetView tabSelected="1" workbookViewId="0">
      <selection activeCell="F4" sqref="F4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829</v>
      </c>
    </row>
    <row r="3" spans="1:10" x14ac:dyDescent="0.25">
      <c r="A3" t="s">
        <v>96</v>
      </c>
      <c r="B3" s="4">
        <v>55</v>
      </c>
      <c r="C3" s="4">
        <v>4.51</v>
      </c>
      <c r="D3" s="4">
        <v>2.7</v>
      </c>
      <c r="E3" s="4">
        <v>0.1</v>
      </c>
      <c r="F3" s="9">
        <f>$G3*(15/$H3)</f>
        <v>0.29916666666666664</v>
      </c>
      <c r="G3" s="9">
        <v>3.59</v>
      </c>
      <c r="H3">
        <f>15*12</f>
        <v>180</v>
      </c>
    </row>
    <row r="4" spans="1:10" x14ac:dyDescent="0.25">
      <c r="A4" t="s">
        <v>75</v>
      </c>
      <c r="B4">
        <f>405*(15/240)</f>
        <v>25.3125</v>
      </c>
      <c r="C4">
        <f>40*(15/240)</f>
        <v>2.5</v>
      </c>
      <c r="D4">
        <f>9.6*(15/240)</f>
        <v>0.6</v>
      </c>
      <c r="E4">
        <f>1*(15/240)</f>
        <v>6.25E-2</v>
      </c>
      <c r="F4" s="9">
        <f>$G4*(15/$H4)</f>
        <v>0.11615044247787612</v>
      </c>
      <c r="G4" s="9">
        <f>1.75</f>
        <v>1.75</v>
      </c>
      <c r="H4">
        <v>226</v>
      </c>
    </row>
    <row r="5" spans="1:10" x14ac:dyDescent="0.25">
      <c r="A5" t="s">
        <v>83</v>
      </c>
      <c r="B5" s="4">
        <f>110/2</f>
        <v>55</v>
      </c>
      <c r="C5" s="4">
        <f>1.5/2</f>
        <v>0.75</v>
      </c>
      <c r="D5" s="4">
        <f>2/2</f>
        <v>1</v>
      </c>
      <c r="E5" s="4">
        <f>12/2</f>
        <v>6</v>
      </c>
      <c r="F5" s="9">
        <f>$G5*(15/$H5)</f>
        <v>0.1794</v>
      </c>
      <c r="G5" s="9">
        <v>2.99</v>
      </c>
      <c r="H5">
        <v>250</v>
      </c>
      <c r="I5" t="s">
        <v>231</v>
      </c>
      <c r="J5" t="s">
        <v>761</v>
      </c>
    </row>
    <row r="6" spans="1:10" x14ac:dyDescent="0.25">
      <c r="A6" t="s">
        <v>765</v>
      </c>
      <c r="B6">
        <v>20</v>
      </c>
      <c r="C6">
        <f>2.5/2</f>
        <v>1.25</v>
      </c>
      <c r="D6">
        <v>0.5</v>
      </c>
      <c r="E6">
        <v>1</v>
      </c>
      <c r="H6">
        <v>453</v>
      </c>
      <c r="I6" t="s">
        <v>67</v>
      </c>
    </row>
    <row r="7" spans="1:10" x14ac:dyDescent="0.25">
      <c r="A7" t="s">
        <v>786</v>
      </c>
      <c r="B7">
        <f>80*(15/23)</f>
        <v>52.173913043478265</v>
      </c>
      <c r="C7">
        <v>0</v>
      </c>
      <c r="D7">
        <f>8*(15/23)</f>
        <v>5.2173913043478262</v>
      </c>
      <c r="E7">
        <f>12*(15/23)</f>
        <v>7.8260869565217392</v>
      </c>
      <c r="F7" s="9">
        <f>$G7*(15/$H7)</f>
        <v>0.18915441176470588</v>
      </c>
      <c r="G7" s="9">
        <v>3.43</v>
      </c>
      <c r="H7">
        <v>272</v>
      </c>
    </row>
  </sheetData>
  <conditionalFormatting sqref="F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 F5 F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I1" sqref="I1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410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456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840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277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332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841</v>
      </c>
    </row>
    <row r="14" spans="1:11" x14ac:dyDescent="0.25">
      <c r="A14" t="s">
        <v>453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510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816</v>
      </c>
      <c r="B18" s="26">
        <v>0</v>
      </c>
      <c r="C18" s="26">
        <v>0</v>
      </c>
      <c r="D18" s="26">
        <v>0</v>
      </c>
      <c r="E18" s="26">
        <v>0</v>
      </c>
      <c r="F18" s="10">
        <f>$G18*($I18/$H18)</f>
        <v>1.1784140969162997</v>
      </c>
      <c r="G18" s="26">
        <f>5*1.07</f>
        <v>5.3500000000000005</v>
      </c>
      <c r="H18">
        <v>454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179</v>
      </c>
      <c r="B1" t="s">
        <v>10</v>
      </c>
      <c r="C1" t="s">
        <v>185</v>
      </c>
      <c r="D1" t="s">
        <v>42</v>
      </c>
      <c r="F1" s="26" t="s">
        <v>412</v>
      </c>
      <c r="G1" t="s">
        <v>10</v>
      </c>
      <c r="H1" t="s">
        <v>185</v>
      </c>
      <c r="I1" t="s">
        <v>42</v>
      </c>
      <c r="L1" s="26" t="s">
        <v>274</v>
      </c>
      <c r="M1" t="s">
        <v>278</v>
      </c>
      <c r="N1" t="s">
        <v>185</v>
      </c>
      <c r="O1" t="s">
        <v>279</v>
      </c>
      <c r="P1" t="s">
        <v>52</v>
      </c>
      <c r="Q1" t="s">
        <v>201</v>
      </c>
      <c r="R1" t="s">
        <v>280</v>
      </c>
      <c r="S1" t="s">
        <v>1</v>
      </c>
      <c r="V1" s="26" t="s">
        <v>285</v>
      </c>
      <c r="AD1" s="26" t="s">
        <v>299</v>
      </c>
      <c r="AG1" s="26" t="s">
        <v>333</v>
      </c>
      <c r="AK1" s="26" t="s">
        <v>314</v>
      </c>
      <c r="AO1" s="26" t="s">
        <v>328</v>
      </c>
      <c r="AP1" t="s">
        <v>10</v>
      </c>
      <c r="AQ1" t="s">
        <v>185</v>
      </c>
      <c r="AR1" t="s">
        <v>42</v>
      </c>
      <c r="AT1" t="s">
        <v>467</v>
      </c>
      <c r="AU1" t="s">
        <v>10</v>
      </c>
      <c r="AV1" t="s">
        <v>185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409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237</v>
      </c>
      <c r="W2">
        <v>453</v>
      </c>
      <c r="X2">
        <f>W2*($X$5/$W$5)</f>
        <v>139.11023622047244</v>
      </c>
      <c r="Z2" t="s">
        <v>288</v>
      </c>
      <c r="AD2" t="s">
        <v>306</v>
      </c>
      <c r="AE2">
        <v>450</v>
      </c>
      <c r="AF2">
        <f>AE2*($AF$6/$AE$6)</f>
        <v>75.667655786350139</v>
      </c>
      <c r="AG2" t="s">
        <v>300</v>
      </c>
      <c r="AH2">
        <v>113</v>
      </c>
      <c r="AI2">
        <f t="shared" ref="AI2:AI12" si="0">AH2*($AI$13/$AH$13)</f>
        <v>226</v>
      </c>
      <c r="AK2" s="24" t="s">
        <v>315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468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409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276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307</v>
      </c>
      <c r="AE3">
        <v>170</v>
      </c>
      <c r="AF3">
        <f t="shared" ref="AF3:AF5" si="5">AE3*($AF$6/$AE$6)</f>
        <v>28.585558852621165</v>
      </c>
      <c r="AG3" t="s">
        <v>323</v>
      </c>
      <c r="AH3">
        <v>200</v>
      </c>
      <c r="AI3">
        <f t="shared" si="0"/>
        <v>400</v>
      </c>
      <c r="AK3" s="24" t="s">
        <v>514</v>
      </c>
      <c r="AL3" s="28">
        <v>90</v>
      </c>
      <c r="AM3" s="11">
        <f t="shared" si="1"/>
        <v>270</v>
      </c>
      <c r="AN3">
        <v>1</v>
      </c>
      <c r="AO3" t="s">
        <v>307</v>
      </c>
      <c r="AP3">
        <v>120</v>
      </c>
      <c r="AQ3">
        <f t="shared" ref="AQ3:AQ5" si="6">AP3*($AQ$7/$AP$7)</f>
        <v>14.167987321711569</v>
      </c>
      <c r="AR3">
        <v>0</v>
      </c>
      <c r="AT3" t="s">
        <v>190</v>
      </c>
      <c r="AU3">
        <v>200</v>
      </c>
    </row>
    <row r="4" spans="1:50" x14ac:dyDescent="0.25">
      <c r="A4" t="s">
        <v>180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180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277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286</v>
      </c>
      <c r="W4">
        <v>5</v>
      </c>
      <c r="X4">
        <f t="shared" si="4"/>
        <v>1.5354330708661417</v>
      </c>
      <c r="AD4" t="s">
        <v>308</v>
      </c>
      <c r="AE4">
        <v>1.25</v>
      </c>
      <c r="AF4">
        <f t="shared" si="5"/>
        <v>0.2101879327398615</v>
      </c>
      <c r="AG4" t="s">
        <v>301</v>
      </c>
      <c r="AH4">
        <v>85</v>
      </c>
      <c r="AI4">
        <f t="shared" si="0"/>
        <v>170</v>
      </c>
      <c r="AK4" s="24" t="s">
        <v>316</v>
      </c>
      <c r="AL4" s="28">
        <v>110</v>
      </c>
      <c r="AM4" s="11">
        <f t="shared" si="1"/>
        <v>330</v>
      </c>
      <c r="AN4" t="s">
        <v>466</v>
      </c>
      <c r="AO4" t="s">
        <v>439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346</v>
      </c>
      <c r="AU4">
        <v>200</v>
      </c>
    </row>
    <row r="5" spans="1:50" x14ac:dyDescent="0.25">
      <c r="A5" t="s">
        <v>181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181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176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287</v>
      </c>
      <c r="W5">
        <f>SUM(W2:W4)</f>
        <v>508</v>
      </c>
      <c r="X5">
        <v>156</v>
      </c>
      <c r="AD5" t="s">
        <v>309</v>
      </c>
      <c r="AE5">
        <v>10</v>
      </c>
      <c r="AF5">
        <f t="shared" si="5"/>
        <v>1.681503461918892</v>
      </c>
      <c r="AG5" t="s">
        <v>191</v>
      </c>
      <c r="AH5">
        <v>15</v>
      </c>
      <c r="AI5">
        <f t="shared" si="0"/>
        <v>30</v>
      </c>
      <c r="AK5" s="24" t="s">
        <v>317</v>
      </c>
      <c r="AL5" s="28">
        <v>113</v>
      </c>
      <c r="AM5" s="11">
        <f t="shared" si="1"/>
        <v>339</v>
      </c>
      <c r="AO5" t="s">
        <v>329</v>
      </c>
      <c r="AP5">
        <f>71</f>
        <v>71</v>
      </c>
      <c r="AQ5">
        <f t="shared" si="6"/>
        <v>8.3827258320126781</v>
      </c>
      <c r="AT5" t="s">
        <v>304</v>
      </c>
      <c r="AU5">
        <v>8</v>
      </c>
    </row>
    <row r="6" spans="1:50" x14ac:dyDescent="0.25">
      <c r="A6" t="s">
        <v>186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186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310</v>
      </c>
      <c r="AE6">
        <v>505.5</v>
      </c>
      <c r="AF6">
        <v>85</v>
      </c>
      <c r="AG6" t="s">
        <v>302</v>
      </c>
      <c r="AH6">
        <v>2.5</v>
      </c>
      <c r="AI6">
        <f t="shared" si="0"/>
        <v>5</v>
      </c>
      <c r="AK6" s="24" t="s">
        <v>318</v>
      </c>
      <c r="AL6" s="28">
        <v>50</v>
      </c>
      <c r="AM6" s="11">
        <f t="shared" si="1"/>
        <v>150</v>
      </c>
      <c r="AO6" t="s">
        <v>330</v>
      </c>
      <c r="AR6" t="s">
        <v>525</v>
      </c>
      <c r="AT6" t="s">
        <v>469</v>
      </c>
      <c r="AU6">
        <v>1</v>
      </c>
    </row>
    <row r="7" spans="1:50" x14ac:dyDescent="0.25">
      <c r="A7" t="s">
        <v>176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176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303</v>
      </c>
      <c r="AH7">
        <v>7.5</v>
      </c>
      <c r="AI7">
        <f t="shared" si="0"/>
        <v>15</v>
      </c>
      <c r="AK7" s="24" t="s">
        <v>319</v>
      </c>
      <c r="AL7" s="28">
        <v>4.34</v>
      </c>
      <c r="AM7" s="11">
        <f t="shared" si="1"/>
        <v>13.02</v>
      </c>
      <c r="AO7" t="s">
        <v>193</v>
      </c>
      <c r="AP7">
        <f>SUM(AP2:AP6)</f>
        <v>631</v>
      </c>
      <c r="AQ7">
        <v>74.5</v>
      </c>
      <c r="AR7">
        <f>AQ7-AQ3</f>
        <v>60.332012678288429</v>
      </c>
      <c r="AT7" t="s">
        <v>470</v>
      </c>
      <c r="AU7">
        <v>0.5</v>
      </c>
    </row>
    <row r="8" spans="1:50" x14ac:dyDescent="0.25">
      <c r="A8" t="s">
        <v>182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413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9.1215159773183591E-2</v>
      </c>
      <c r="K8" s="25" t="s">
        <v>282</v>
      </c>
      <c r="L8" s="26" t="s">
        <v>275</v>
      </c>
      <c r="AG8" t="s">
        <v>304</v>
      </c>
      <c r="AH8">
        <v>2.5</v>
      </c>
      <c r="AI8">
        <f t="shared" si="0"/>
        <v>5</v>
      </c>
      <c r="AK8" s="24" t="s">
        <v>320</v>
      </c>
      <c r="AL8" s="28">
        <v>3</v>
      </c>
      <c r="AM8" s="11">
        <f t="shared" si="1"/>
        <v>9</v>
      </c>
      <c r="AT8" t="s">
        <v>471</v>
      </c>
      <c r="AU8">
        <v>1.5</v>
      </c>
    </row>
    <row r="9" spans="1:50" x14ac:dyDescent="0.25">
      <c r="A9" t="s">
        <v>183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413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9.1215159773183591E-2</v>
      </c>
      <c r="L9" t="s">
        <v>276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305</v>
      </c>
      <c r="AH9">
        <v>2.5</v>
      </c>
      <c r="AI9">
        <f t="shared" si="0"/>
        <v>5</v>
      </c>
      <c r="AK9" s="24" t="s">
        <v>321</v>
      </c>
      <c r="AL9" s="28">
        <v>3</v>
      </c>
      <c r="AM9" s="11">
        <f t="shared" si="1"/>
        <v>9</v>
      </c>
      <c r="AO9" t="s">
        <v>464</v>
      </c>
      <c r="AT9" t="s">
        <v>383</v>
      </c>
      <c r="AU9">
        <v>15</v>
      </c>
    </row>
    <row r="10" spans="1:50" x14ac:dyDescent="0.25">
      <c r="A10" t="s">
        <v>184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413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9.1215159773183591E-2</v>
      </c>
      <c r="L10" t="s">
        <v>277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312</v>
      </c>
      <c r="AH10">
        <v>2.5</v>
      </c>
      <c r="AI10">
        <f t="shared" si="0"/>
        <v>5</v>
      </c>
      <c r="AK10" s="24" t="s">
        <v>322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176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311</v>
      </c>
      <c r="AH11">
        <v>15</v>
      </c>
      <c r="AI11">
        <f t="shared" si="0"/>
        <v>30</v>
      </c>
      <c r="AK11" s="24" t="s">
        <v>523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0.83432755766377786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327</v>
      </c>
      <c r="AH12">
        <v>270</v>
      </c>
      <c r="AI12">
        <f t="shared" si="0"/>
        <v>540</v>
      </c>
      <c r="AK12" t="s">
        <v>405</v>
      </c>
      <c r="AL12">
        <v>10</v>
      </c>
      <c r="AM12" s="11">
        <f t="shared" si="1"/>
        <v>30</v>
      </c>
      <c r="AN12" s="11"/>
      <c r="AO12" t="s">
        <v>465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792</v>
      </c>
      <c r="Y13" t="s">
        <v>52</v>
      </c>
      <c r="AG13" t="s">
        <v>193</v>
      </c>
      <c r="AH13">
        <f>SUM(AH2:AH12)</f>
        <v>715.5</v>
      </c>
      <c r="AI13">
        <f>AH13*2</f>
        <v>1431</v>
      </c>
      <c r="AK13" t="s">
        <v>401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189</v>
      </c>
      <c r="C14" t="s">
        <v>185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194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324</v>
      </c>
    </row>
    <row r="16" spans="1:50" x14ac:dyDescent="0.25">
      <c r="A16" t="s">
        <v>180</v>
      </c>
      <c r="B16">
        <v>113</v>
      </c>
      <c r="C16">
        <f>B16*($C$20/$B$20)</f>
        <v>24.969739619985923</v>
      </c>
      <c r="F16" s="26" t="s">
        <v>342</v>
      </c>
      <c r="H16" t="s">
        <v>185</v>
      </c>
      <c r="V16" t="s">
        <v>286</v>
      </c>
      <c r="W16">
        <v>30</v>
      </c>
      <c r="X16">
        <f t="shared" si="11"/>
        <v>11.111111111111111</v>
      </c>
      <c r="Y16">
        <v>1</v>
      </c>
      <c r="AG16" t="s">
        <v>325</v>
      </c>
    </row>
    <row r="17" spans="1:33" x14ac:dyDescent="0.25">
      <c r="A17" t="s">
        <v>190</v>
      </c>
      <c r="B17">
        <v>200</v>
      </c>
      <c r="C17">
        <f>B17*($C$20/$B$20)</f>
        <v>44.194229415904289</v>
      </c>
      <c r="F17" t="s">
        <v>194</v>
      </c>
      <c r="G17">
        <v>285</v>
      </c>
      <c r="H17" s="27">
        <f t="shared" ref="H17:H22" si="12">G17*($H$28/$G$28)</f>
        <v>47.374670184696576</v>
      </c>
      <c r="V17" t="s">
        <v>307</v>
      </c>
      <c r="W17">
        <v>150</v>
      </c>
      <c r="X17">
        <f>W17*($X$18/$W$18)</f>
        <v>55.55555555555555</v>
      </c>
      <c r="Y17">
        <v>0</v>
      </c>
      <c r="AG17" t="s">
        <v>326</v>
      </c>
    </row>
    <row r="18" spans="1:33" x14ac:dyDescent="0.25">
      <c r="A18" t="s">
        <v>191</v>
      </c>
      <c r="B18">
        <v>105</v>
      </c>
      <c r="C18">
        <f>B18*($C$20/$B$20)</f>
        <v>23.201970443349751</v>
      </c>
      <c r="F18" t="s">
        <v>180</v>
      </c>
      <c r="G18">
        <v>113</v>
      </c>
      <c r="H18" s="27">
        <f t="shared" si="12"/>
        <v>18.78364116094987</v>
      </c>
      <c r="V18" t="s">
        <v>287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192</v>
      </c>
      <c r="B19">
        <v>7.5</v>
      </c>
      <c r="C19">
        <f>B19*($C$20/$B$20)</f>
        <v>1.6572836030964109</v>
      </c>
      <c r="F19" t="s">
        <v>190</v>
      </c>
      <c r="G19">
        <v>200</v>
      </c>
      <c r="H19" s="27">
        <f t="shared" si="12"/>
        <v>33.245382585751983</v>
      </c>
      <c r="L19" s="26" t="s">
        <v>376</v>
      </c>
      <c r="N19" t="s">
        <v>185</v>
      </c>
    </row>
    <row r="20" spans="1:33" x14ac:dyDescent="0.25">
      <c r="A20" t="s">
        <v>193</v>
      </c>
      <c r="B20">
        <f>SUM(B15:B19)</f>
        <v>710.5</v>
      </c>
      <c r="C20">
        <f>157</f>
        <v>157</v>
      </c>
      <c r="F20" t="s">
        <v>191</v>
      </c>
      <c r="G20">
        <v>55</v>
      </c>
      <c r="H20" s="27">
        <f t="shared" si="12"/>
        <v>9.1424802110817946</v>
      </c>
      <c r="L20" t="s">
        <v>377</v>
      </c>
      <c r="M20">
        <v>451</v>
      </c>
      <c r="N20" s="12">
        <f>M20*($N$25/$M$25)</f>
        <v>83.441258094357067</v>
      </c>
    </row>
    <row r="21" spans="1:33" x14ac:dyDescent="0.25">
      <c r="F21" t="s">
        <v>347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192</v>
      </c>
      <c r="G22">
        <v>7.5</v>
      </c>
      <c r="H22" s="27">
        <f t="shared" si="12"/>
        <v>1.2467018469656992</v>
      </c>
      <c r="L22" t="s">
        <v>378</v>
      </c>
      <c r="M22">
        <v>237</v>
      </c>
      <c r="N22" s="12">
        <f t="shared" si="13"/>
        <v>43.848288621646624</v>
      </c>
    </row>
    <row r="23" spans="1:33" x14ac:dyDescent="0.25">
      <c r="F23" s="26" t="s">
        <v>359</v>
      </c>
      <c r="G23">
        <f>SUM(G17:G22)</f>
        <v>710.5</v>
      </c>
      <c r="H23" s="27">
        <f>SUM(H17:H22)</f>
        <v>118.1042216358839</v>
      </c>
      <c r="L23" t="s">
        <v>329</v>
      </c>
      <c r="M23">
        <v>113</v>
      </c>
      <c r="N23" s="12">
        <f t="shared" si="13"/>
        <v>20.906567992599445</v>
      </c>
    </row>
    <row r="24" spans="1:33" x14ac:dyDescent="0.25">
      <c r="F24" t="s">
        <v>343</v>
      </c>
      <c r="G24">
        <v>195</v>
      </c>
      <c r="H24" s="27">
        <f>G24*($H$28/$G$28)</f>
        <v>32.414248021108179</v>
      </c>
      <c r="L24" t="s">
        <v>379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344</v>
      </c>
      <c r="G25">
        <v>65</v>
      </c>
      <c r="H25" s="27">
        <f>G25*($H$28/$G$28)</f>
        <v>10.804749340369394</v>
      </c>
      <c r="L25" s="26" t="s">
        <v>193</v>
      </c>
      <c r="M25">
        <f>SUM(M20:M24)</f>
        <v>1081</v>
      </c>
      <c r="N25">
        <v>200</v>
      </c>
    </row>
    <row r="26" spans="1:33" x14ac:dyDescent="0.25">
      <c r="F26" t="s">
        <v>345</v>
      </c>
      <c r="G26">
        <v>56.5</v>
      </c>
      <c r="H26" s="27">
        <f>G26*($H$28/$G$28)</f>
        <v>9.3918205804749348</v>
      </c>
      <c r="L26" t="s">
        <v>380</v>
      </c>
    </row>
    <row r="27" spans="1:33" x14ac:dyDescent="0.25">
      <c r="F27" t="s">
        <v>346</v>
      </c>
      <c r="G27">
        <v>110</v>
      </c>
      <c r="H27" s="27">
        <f>G27*($H$28/$G$28)</f>
        <v>18.284960422163589</v>
      </c>
    </row>
    <row r="28" spans="1:33" x14ac:dyDescent="0.25">
      <c r="F28" s="26" t="s">
        <v>193</v>
      </c>
      <c r="G28">
        <f>SUM(G17:G22,G24:G27)</f>
        <v>1137</v>
      </c>
      <c r="H28" s="27">
        <f>189</f>
        <v>189</v>
      </c>
      <c r="V28" s="26" t="s">
        <v>294</v>
      </c>
      <c r="W28" t="s">
        <v>290</v>
      </c>
      <c r="X28" t="s">
        <v>291</v>
      </c>
      <c r="Y28" t="s">
        <v>190</v>
      </c>
      <c r="Z28" t="s">
        <v>292</v>
      </c>
    </row>
    <row r="29" spans="1:33" x14ac:dyDescent="0.25">
      <c r="V29" t="s">
        <v>289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350</v>
      </c>
      <c r="G31" t="s">
        <v>356</v>
      </c>
      <c r="H31">
        <v>87</v>
      </c>
      <c r="I31">
        <v>43.5</v>
      </c>
      <c r="V31" t="s">
        <v>286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351</v>
      </c>
      <c r="B32">
        <v>462</v>
      </c>
      <c r="C32">
        <f>B32*($C$36/$B$36)</f>
        <v>107.42148876404495</v>
      </c>
      <c r="G32" t="s">
        <v>357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352</v>
      </c>
      <c r="B33">
        <v>30</v>
      </c>
      <c r="C33">
        <f>B33*($C$36/$B$36)</f>
        <v>6.9754213483146073</v>
      </c>
      <c r="H33" t="s">
        <v>348</v>
      </c>
      <c r="L33" s="26" t="s">
        <v>381</v>
      </c>
      <c r="P33" s="26" t="s">
        <v>395</v>
      </c>
      <c r="R33" s="25" t="s">
        <v>399</v>
      </c>
      <c r="V33" t="s">
        <v>295</v>
      </c>
      <c r="W33">
        <v>38</v>
      </c>
      <c r="X33">
        <v>100</v>
      </c>
      <c r="Y33">
        <v>16</v>
      </c>
      <c r="Z33">
        <v>0.1</v>
      </c>
      <c r="AA33" t="s">
        <v>293</v>
      </c>
    </row>
    <row r="34" spans="1:27" x14ac:dyDescent="0.25">
      <c r="A34" t="s">
        <v>353</v>
      </c>
      <c r="B34">
        <v>120</v>
      </c>
      <c r="C34">
        <f>B34*($C$36/$B$36)</f>
        <v>27.901685393258429</v>
      </c>
      <c r="L34" t="s">
        <v>329</v>
      </c>
      <c r="M34">
        <v>455</v>
      </c>
      <c r="N34" s="12">
        <f>M34*($N$41/$M$41)</f>
        <v>46.122655854029396</v>
      </c>
      <c r="P34" s="28" t="s">
        <v>389</v>
      </c>
      <c r="Q34" s="28">
        <v>180</v>
      </c>
      <c r="R34">
        <f>Q34*($R$44/$Q$44)</f>
        <v>45</v>
      </c>
    </row>
    <row r="35" spans="1:27" x14ac:dyDescent="0.25">
      <c r="A35" t="s">
        <v>354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390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355</v>
      </c>
      <c r="B36">
        <f>SUM(B32:B35)</f>
        <v>712</v>
      </c>
      <c r="C36">
        <v>165.55</v>
      </c>
      <c r="L36" t="s">
        <v>379</v>
      </c>
      <c r="M36">
        <f>45*6</f>
        <v>270</v>
      </c>
      <c r="N36" s="12">
        <f t="shared" si="14"/>
        <v>27.369488089204257</v>
      </c>
      <c r="P36" s="28" t="s">
        <v>391</v>
      </c>
      <c r="Q36" s="28">
        <v>3</v>
      </c>
      <c r="R36">
        <f t="shared" si="15"/>
        <v>0.75</v>
      </c>
    </row>
    <row r="37" spans="1:27" x14ac:dyDescent="0.25">
      <c r="C37" t="s">
        <v>463</v>
      </c>
      <c r="L37" t="s">
        <v>382</v>
      </c>
      <c r="M37">
        <f>15*6</f>
        <v>90</v>
      </c>
      <c r="N37" s="12">
        <f t="shared" si="14"/>
        <v>9.123162696401419</v>
      </c>
      <c r="P37" s="28" t="s">
        <v>396</v>
      </c>
      <c r="Q37" s="28">
        <v>300</v>
      </c>
      <c r="R37">
        <f t="shared" si="15"/>
        <v>75</v>
      </c>
    </row>
    <row r="38" spans="1:27" x14ac:dyDescent="0.25">
      <c r="A38" s="26" t="s">
        <v>526</v>
      </c>
      <c r="L38" t="s">
        <v>383</v>
      </c>
      <c r="M38">
        <v>15</v>
      </c>
      <c r="N38" s="12">
        <f t="shared" si="14"/>
        <v>1.5205271160669032</v>
      </c>
      <c r="P38" s="28" t="s">
        <v>392</v>
      </c>
      <c r="Q38" s="28">
        <v>200</v>
      </c>
      <c r="R38">
        <f t="shared" si="15"/>
        <v>50</v>
      </c>
    </row>
    <row r="39" spans="1:27" ht="25.5" x14ac:dyDescent="0.25">
      <c r="A39" s="82" t="s">
        <v>527</v>
      </c>
      <c r="B39" s="82" t="s">
        <v>528</v>
      </c>
      <c r="L39" t="s">
        <v>302</v>
      </c>
      <c r="M39">
        <v>5</v>
      </c>
      <c r="N39" s="12">
        <f t="shared" si="14"/>
        <v>0.50684237202230109</v>
      </c>
      <c r="P39" s="28" t="s">
        <v>393</v>
      </c>
      <c r="Q39" s="28">
        <v>6</v>
      </c>
      <c r="R39">
        <f t="shared" si="15"/>
        <v>1.5</v>
      </c>
    </row>
    <row r="40" spans="1:27" ht="25.5" x14ac:dyDescent="0.25">
      <c r="A40" s="83" t="s">
        <v>389</v>
      </c>
      <c r="B40" s="83">
        <v>270</v>
      </c>
      <c r="C40" s="12">
        <f>B40*($C$52/$B$52)</f>
        <v>120.2895860404678</v>
      </c>
      <c r="D40" s="83" t="s">
        <v>389</v>
      </c>
      <c r="L40" t="s">
        <v>384</v>
      </c>
      <c r="M40">
        <v>438</v>
      </c>
      <c r="N40" s="12">
        <f t="shared" si="14"/>
        <v>44.399391789153576</v>
      </c>
      <c r="P40" s="28" t="s">
        <v>394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390</v>
      </c>
      <c r="B41" s="83">
        <v>2</v>
      </c>
      <c r="C41" s="12">
        <f t="shared" ref="C41:C49" si="16">B41*($C$52/$B$52)</f>
        <v>0.89103397067013179</v>
      </c>
      <c r="D41" s="83" t="s">
        <v>390</v>
      </c>
      <c r="L41" s="26" t="s">
        <v>193</v>
      </c>
      <c r="M41">
        <f>SUM(M34:M40)</f>
        <v>1973</v>
      </c>
      <c r="N41">
        <v>200</v>
      </c>
      <c r="P41" s="28" t="s">
        <v>397</v>
      </c>
      <c r="Q41" s="28">
        <v>396</v>
      </c>
      <c r="R41">
        <f t="shared" si="15"/>
        <v>99</v>
      </c>
    </row>
    <row r="42" spans="1:27" x14ac:dyDescent="0.25">
      <c r="A42" s="83" t="s">
        <v>529</v>
      </c>
      <c r="B42" s="83">
        <v>1</v>
      </c>
      <c r="C42" s="12">
        <f t="shared" si="16"/>
        <v>0.4455169853350659</v>
      </c>
      <c r="D42" s="83" t="s">
        <v>529</v>
      </c>
      <c r="P42" s="28" t="s">
        <v>398</v>
      </c>
      <c r="Q42" s="28">
        <v>340</v>
      </c>
      <c r="R42">
        <f t="shared" si="15"/>
        <v>85</v>
      </c>
    </row>
    <row r="43" spans="1:27" x14ac:dyDescent="0.25">
      <c r="A43" s="83" t="s">
        <v>530</v>
      </c>
      <c r="B43" s="83">
        <v>8</v>
      </c>
      <c r="C43" s="12">
        <f t="shared" si="16"/>
        <v>3.5641358826805272</v>
      </c>
      <c r="D43" s="83" t="s">
        <v>540</v>
      </c>
      <c r="L43" t="s">
        <v>798</v>
      </c>
      <c r="P43" s="28" t="s">
        <v>394</v>
      </c>
      <c r="Q43" s="28">
        <v>122</v>
      </c>
      <c r="R43">
        <f t="shared" si="15"/>
        <v>30.5</v>
      </c>
    </row>
    <row r="44" spans="1:27" x14ac:dyDescent="0.25">
      <c r="A44" s="83" t="s">
        <v>531</v>
      </c>
      <c r="B44" s="83">
        <v>3</v>
      </c>
      <c r="C44" s="12">
        <f t="shared" si="16"/>
        <v>1.3365509560051976</v>
      </c>
      <c r="D44" s="83" t="s">
        <v>531</v>
      </c>
      <c r="L44" t="s">
        <v>799</v>
      </c>
      <c r="M44">
        <v>500</v>
      </c>
      <c r="N44">
        <f>M44*(N46/M46)</f>
        <v>74.456521739130437</v>
      </c>
      <c r="P44" s="26" t="s">
        <v>193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532</v>
      </c>
      <c r="B45" s="83">
        <f>113/4</f>
        <v>28.25</v>
      </c>
      <c r="C45" s="12">
        <f t="shared" si="16"/>
        <v>12.585854835715612</v>
      </c>
      <c r="D45" s="83" t="s">
        <v>532</v>
      </c>
      <c r="L45" t="s">
        <v>800</v>
      </c>
      <c r="M45">
        <v>420</v>
      </c>
      <c r="N45">
        <f>M45*(N46/M46)</f>
        <v>62.543478260869563</v>
      </c>
    </row>
    <row r="46" spans="1:27" ht="25.5" x14ac:dyDescent="0.25">
      <c r="A46" s="83" t="s">
        <v>537</v>
      </c>
      <c r="B46" s="84">
        <f>(56.5/4)*3</f>
        <v>42.375</v>
      </c>
      <c r="C46" s="12">
        <f>B46*($C$52/$B$52)</f>
        <v>18.878782253573416</v>
      </c>
      <c r="D46" s="83" t="s">
        <v>539</v>
      </c>
      <c r="M46">
        <f>SUM(M44:M45)</f>
        <v>920</v>
      </c>
      <c r="N46">
        <v>137</v>
      </c>
    </row>
    <row r="47" spans="1:27" ht="25.5" x14ac:dyDescent="0.25">
      <c r="A47" s="83" t="s">
        <v>392</v>
      </c>
      <c r="B47" s="83">
        <v>200</v>
      </c>
      <c r="C47" s="12">
        <f t="shared" si="16"/>
        <v>89.103397067013177</v>
      </c>
      <c r="D47" s="83" t="s">
        <v>392</v>
      </c>
      <c r="L47" s="26" t="s">
        <v>431</v>
      </c>
    </row>
    <row r="48" spans="1:27" ht="25.5" x14ac:dyDescent="0.25">
      <c r="A48" s="83" t="s">
        <v>533</v>
      </c>
      <c r="B48" s="83">
        <v>50</v>
      </c>
      <c r="C48" s="12">
        <f t="shared" si="16"/>
        <v>22.275849266753294</v>
      </c>
      <c r="D48" s="83" t="s">
        <v>533</v>
      </c>
    </row>
    <row r="49" spans="1:14" ht="63.75" x14ac:dyDescent="0.25">
      <c r="A49" s="83" t="s">
        <v>534</v>
      </c>
      <c r="B49" s="83">
        <v>60</v>
      </c>
      <c r="C49" s="12">
        <f t="shared" si="16"/>
        <v>26.731019120103955</v>
      </c>
      <c r="D49" s="83" t="s">
        <v>541</v>
      </c>
    </row>
    <row r="50" spans="1:14" ht="25.5" x14ac:dyDescent="0.25">
      <c r="A50" s="83" t="s">
        <v>535</v>
      </c>
      <c r="B50" s="83">
        <v>7.5</v>
      </c>
      <c r="C50" s="12">
        <f t="shared" ref="C50:C51" si="17">B50*($C$52/$B$52)</f>
        <v>3.3413773900129944</v>
      </c>
      <c r="D50" s="83" t="s">
        <v>535</v>
      </c>
      <c r="L50" t="s">
        <v>433</v>
      </c>
      <c r="M50">
        <v>200</v>
      </c>
      <c r="N50">
        <f>M50*($N$56/$M$56)</f>
        <v>50</v>
      </c>
    </row>
    <row r="51" spans="1:14" ht="38.25" x14ac:dyDescent="0.25">
      <c r="A51" s="83" t="s">
        <v>536</v>
      </c>
      <c r="B51" s="83">
        <v>1.25</v>
      </c>
      <c r="C51" s="12">
        <f t="shared" si="17"/>
        <v>0.5568962316688324</v>
      </c>
      <c r="D51" s="83" t="s">
        <v>536</v>
      </c>
      <c r="L51" t="s">
        <v>435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538</v>
      </c>
      <c r="B52">
        <f>SUM(B40:B51)</f>
        <v>673.375</v>
      </c>
      <c r="C52">
        <v>300</v>
      </c>
      <c r="L52" t="s">
        <v>437</v>
      </c>
      <c r="M52">
        <v>10</v>
      </c>
      <c r="N52">
        <f t="shared" si="18"/>
        <v>2.5</v>
      </c>
    </row>
    <row r="53" spans="1:14" x14ac:dyDescent="0.25">
      <c r="L53" t="s">
        <v>436</v>
      </c>
      <c r="M53">
        <v>100</v>
      </c>
      <c r="N53">
        <f t="shared" si="18"/>
        <v>25</v>
      </c>
    </row>
    <row r="54" spans="1:14" x14ac:dyDescent="0.25">
      <c r="L54" t="s">
        <v>434</v>
      </c>
      <c r="M54">
        <v>40</v>
      </c>
      <c r="N54">
        <f t="shared" si="18"/>
        <v>10</v>
      </c>
    </row>
    <row r="55" spans="1:14" ht="15.75" thickBot="1" x14ac:dyDescent="0.3">
      <c r="A55" t="s">
        <v>550</v>
      </c>
      <c r="L55" t="s">
        <v>432</v>
      </c>
      <c r="M55">
        <v>40</v>
      </c>
      <c r="N55">
        <f t="shared" si="18"/>
        <v>10</v>
      </c>
    </row>
    <row r="56" spans="1:14" ht="29.25" thickBot="1" x14ac:dyDescent="0.3">
      <c r="A56" s="86" t="s">
        <v>527</v>
      </c>
      <c r="B56" s="86" t="s">
        <v>551</v>
      </c>
      <c r="L56" t="s">
        <v>193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552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553</v>
      </c>
      <c r="B58" s="87">
        <v>120</v>
      </c>
      <c r="C58" s="12">
        <f t="shared" ref="C58:C73" si="19">B58*($C$74/$B$74)</f>
        <v>37.379296023258235</v>
      </c>
      <c r="L58" t="s">
        <v>438</v>
      </c>
    </row>
    <row r="59" spans="1:14" ht="15.75" thickBot="1" x14ac:dyDescent="0.3">
      <c r="A59" s="87" t="s">
        <v>554</v>
      </c>
      <c r="B59" s="87">
        <v>200</v>
      </c>
      <c r="C59" s="12">
        <f t="shared" si="19"/>
        <v>62.298826705430386</v>
      </c>
      <c r="L59" t="s">
        <v>439</v>
      </c>
      <c r="M59">
        <v>500</v>
      </c>
    </row>
    <row r="60" spans="1:14" ht="15.75" thickBot="1" x14ac:dyDescent="0.3">
      <c r="A60" s="87" t="s">
        <v>556</v>
      </c>
      <c r="B60" s="87">
        <v>50</v>
      </c>
      <c r="C60" s="12">
        <f t="shared" si="19"/>
        <v>15.574706676357597</v>
      </c>
      <c r="L60" t="s">
        <v>190</v>
      </c>
      <c r="M60">
        <v>75</v>
      </c>
    </row>
    <row r="61" spans="1:14" ht="15.75" thickBot="1" x14ac:dyDescent="0.3">
      <c r="A61" s="87" t="s">
        <v>358</v>
      </c>
      <c r="B61" s="87">
        <v>4.2</v>
      </c>
      <c r="C61" s="12">
        <f t="shared" si="19"/>
        <v>1.3082753608140383</v>
      </c>
      <c r="L61" t="s">
        <v>440</v>
      </c>
      <c r="M61">
        <v>15</v>
      </c>
    </row>
    <row r="62" spans="1:14" ht="15.75" thickBot="1" x14ac:dyDescent="0.3">
      <c r="A62" s="87" t="s">
        <v>559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560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562</v>
      </c>
      <c r="B64" s="87">
        <v>2.4</v>
      </c>
      <c r="C64" s="12">
        <f t="shared" si="19"/>
        <v>0.74758592046516459</v>
      </c>
      <c r="L64" t="s">
        <v>441</v>
      </c>
    </row>
    <row r="65" spans="1:17" ht="15.75" thickBot="1" x14ac:dyDescent="0.3">
      <c r="A65" s="87" t="s">
        <v>531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186</v>
      </c>
      <c r="B66" s="87">
        <v>312.5</v>
      </c>
      <c r="C66" s="12">
        <f t="shared" si="19"/>
        <v>97.341916727234988</v>
      </c>
      <c r="F66" t="s">
        <v>806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802</v>
      </c>
      <c r="G67">
        <v>100</v>
      </c>
      <c r="H67">
        <f t="shared" si="20"/>
        <v>25</v>
      </c>
      <c r="L67" s="26" t="s">
        <v>491</v>
      </c>
      <c r="O67" t="s">
        <v>496</v>
      </c>
      <c r="P67" t="s">
        <v>1</v>
      </c>
      <c r="Q67" t="s">
        <v>497</v>
      </c>
    </row>
    <row r="68" spans="1:17" ht="15.75" thickBot="1" x14ac:dyDescent="0.3">
      <c r="A68" s="88" t="s">
        <v>564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552</v>
      </c>
      <c r="B69" s="87">
        <v>57</v>
      </c>
      <c r="C69" s="12">
        <f t="shared" si="19"/>
        <v>17.755165611047662</v>
      </c>
      <c r="F69" t="s">
        <v>180</v>
      </c>
      <c r="G69">
        <v>29</v>
      </c>
      <c r="H69">
        <f t="shared" si="20"/>
        <v>7.25</v>
      </c>
      <c r="L69" s="58" t="s">
        <v>186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554</v>
      </c>
      <c r="B70" s="87">
        <v>50</v>
      </c>
      <c r="C70" s="12">
        <f t="shared" si="19"/>
        <v>15.574706676357597</v>
      </c>
      <c r="F70" t="s">
        <v>803</v>
      </c>
      <c r="G70">
        <v>84</v>
      </c>
      <c r="H70">
        <f t="shared" si="20"/>
        <v>21</v>
      </c>
      <c r="L70" s="74" t="s">
        <v>492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186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493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559</v>
      </c>
      <c r="B72" s="87">
        <v>1.3</v>
      </c>
      <c r="C72" s="12">
        <f t="shared" si="19"/>
        <v>0.40494237358529755</v>
      </c>
      <c r="F72" t="s">
        <v>186</v>
      </c>
      <c r="G72">
        <v>156</v>
      </c>
      <c r="H72">
        <f t="shared" si="20"/>
        <v>39</v>
      </c>
      <c r="L72" s="58" t="s">
        <v>303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565</v>
      </c>
      <c r="B73" s="87">
        <v>0.4</v>
      </c>
      <c r="C73" s="12">
        <f t="shared" si="19"/>
        <v>0.12459765341086078</v>
      </c>
      <c r="F73" t="s">
        <v>176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566</v>
      </c>
      <c r="B74">
        <f>SUM(B57:B73)</f>
        <v>963.09999999999991</v>
      </c>
      <c r="C74">
        <f>300</f>
        <v>300</v>
      </c>
      <c r="F74" t="s">
        <v>804</v>
      </c>
      <c r="G74">
        <v>113</v>
      </c>
      <c r="H74">
        <f t="shared" si="20"/>
        <v>28.25</v>
      </c>
      <c r="L74" s="74" t="s">
        <v>494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615</v>
      </c>
      <c r="F75" t="s">
        <v>808</v>
      </c>
      <c r="G75">
        <v>113</v>
      </c>
      <c r="H75">
        <f t="shared" si="20"/>
        <v>28.25</v>
      </c>
      <c r="L75" s="74" t="s">
        <v>506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549</v>
      </c>
      <c r="F76" t="s">
        <v>805</v>
      </c>
      <c r="G76">
        <v>113</v>
      </c>
      <c r="H76">
        <f t="shared" si="20"/>
        <v>28.25</v>
      </c>
      <c r="L76" s="58" t="s">
        <v>498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527</v>
      </c>
      <c r="B77" s="86" t="s">
        <v>551</v>
      </c>
      <c r="G77">
        <f>SUM(G65:G76)</f>
        <v>912.2</v>
      </c>
      <c r="H77">
        <f>G77/4</f>
        <v>228.05</v>
      </c>
      <c r="L77" s="74" t="s">
        <v>495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552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553</v>
      </c>
      <c r="B79" s="87">
        <v>120</v>
      </c>
      <c r="C79" s="12">
        <f t="shared" ref="C79:C92" si="22">B79*($C$93/$B$93)</f>
        <v>29.395889557816069</v>
      </c>
      <c r="F79" t="s">
        <v>807</v>
      </c>
      <c r="L79" s="58" t="s">
        <v>302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554</v>
      </c>
      <c r="B80" s="87">
        <v>200</v>
      </c>
      <c r="C80" s="12">
        <f t="shared" si="22"/>
        <v>48.99314926302678</v>
      </c>
      <c r="L80" s="74" t="s">
        <v>193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537</v>
      </c>
      <c r="B81" s="87">
        <v>50</v>
      </c>
      <c r="C81" s="12">
        <f t="shared" si="22"/>
        <v>12.248287315756695</v>
      </c>
      <c r="L81" s="74" t="s">
        <v>507</v>
      </c>
    </row>
    <row r="82" spans="1:14" ht="15.75" thickBot="1" x14ac:dyDescent="0.3">
      <c r="A82" s="87" t="s">
        <v>358</v>
      </c>
      <c r="B82" s="87">
        <v>4.2</v>
      </c>
      <c r="C82" s="12">
        <f t="shared" si="22"/>
        <v>1.0288561345235625</v>
      </c>
      <c r="L82" t="s">
        <v>501</v>
      </c>
    </row>
    <row r="83" spans="1:14" ht="15.75" thickBot="1" x14ac:dyDescent="0.3">
      <c r="A83" s="87" t="s">
        <v>559</v>
      </c>
      <c r="B83" s="87">
        <v>5.2</v>
      </c>
      <c r="C83" s="12">
        <f t="shared" si="22"/>
        <v>1.2738218808386963</v>
      </c>
      <c r="L83" t="s">
        <v>502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531</v>
      </c>
      <c r="B84" s="87">
        <v>2.8</v>
      </c>
      <c r="C84" s="12">
        <f t="shared" si="22"/>
        <v>0.68590408968237493</v>
      </c>
      <c r="L84" t="s">
        <v>504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567</v>
      </c>
      <c r="B85" s="87">
        <v>317.5</v>
      </c>
      <c r="C85" s="12">
        <f t="shared" si="22"/>
        <v>77.776624455055014</v>
      </c>
      <c r="L85" t="s">
        <v>276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193</v>
      </c>
      <c r="M86">
        <f>SUM(M83:M85)</f>
        <v>383</v>
      </c>
      <c r="N86">
        <v>120</v>
      </c>
    </row>
    <row r="87" spans="1:14" ht="15.75" thickBot="1" x14ac:dyDescent="0.3">
      <c r="A87" s="88" t="s">
        <v>564</v>
      </c>
      <c r="B87" s="87"/>
      <c r="C87" s="12"/>
      <c r="L87" t="s">
        <v>503</v>
      </c>
    </row>
    <row r="88" spans="1:14" ht="15.75" thickBot="1" x14ac:dyDescent="0.3">
      <c r="A88" s="87" t="s">
        <v>552</v>
      </c>
      <c r="B88" s="87">
        <v>57</v>
      </c>
      <c r="C88" s="12">
        <f t="shared" si="22"/>
        <v>13.963047539962632</v>
      </c>
      <c r="L88" t="s">
        <v>505</v>
      </c>
    </row>
    <row r="89" spans="1:14" ht="15.75" thickBot="1" x14ac:dyDescent="0.3">
      <c r="A89" s="87" t="s">
        <v>554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186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559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565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566</v>
      </c>
      <c r="B93">
        <f>SUM(B78:B92)</f>
        <v>963.4</v>
      </c>
      <c r="C93">
        <f>236</f>
        <v>236</v>
      </c>
    </row>
    <row r="99" spans="1:3" x14ac:dyDescent="0.25">
      <c r="A99" t="s">
        <v>762</v>
      </c>
    </row>
    <row r="100" spans="1:3" x14ac:dyDescent="0.25">
      <c r="A100" t="s">
        <v>763</v>
      </c>
      <c r="B100">
        <v>432</v>
      </c>
      <c r="C100">
        <f>B100*($C$104/$B$104)</f>
        <v>23.670070699135902</v>
      </c>
    </row>
    <row r="101" spans="1:3" x14ac:dyDescent="0.25">
      <c r="A101" t="s">
        <v>307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764</v>
      </c>
      <c r="B102">
        <v>120</v>
      </c>
      <c r="C102">
        <f t="shared" si="24"/>
        <v>6.575019638648862</v>
      </c>
    </row>
    <row r="103" spans="1:3" x14ac:dyDescent="0.25">
      <c r="A103" t="s">
        <v>537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193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365</v>
      </c>
      <c r="B1" t="s">
        <v>361</v>
      </c>
      <c r="C1" t="s">
        <v>362</v>
      </c>
      <c r="D1" t="s">
        <v>360</v>
      </c>
      <c r="E1" s="26" t="s">
        <v>364</v>
      </c>
    </row>
    <row r="2" spans="1:5" x14ac:dyDescent="0.25">
      <c r="A2" s="26" t="s">
        <v>363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366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367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368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627</v>
      </c>
      <c r="E6" s="12">
        <v>1629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585</v>
      </c>
      <c r="B1" s="86" t="s">
        <v>584</v>
      </c>
      <c r="C1" s="86" t="s">
        <v>551</v>
      </c>
      <c r="D1" t="s">
        <v>586</v>
      </c>
      <c r="E1" s="86" t="s">
        <v>527</v>
      </c>
      <c r="F1" s="86" t="s">
        <v>551</v>
      </c>
      <c r="G1" s="92" t="s">
        <v>590</v>
      </c>
      <c r="H1" s="86" t="s">
        <v>527</v>
      </c>
      <c r="I1" s="86" t="s">
        <v>551</v>
      </c>
    </row>
    <row r="2" spans="1:10" ht="57.75" thickBot="1" x14ac:dyDescent="0.3">
      <c r="B2" s="87" t="s">
        <v>569</v>
      </c>
      <c r="C2" s="87" t="s">
        <v>555</v>
      </c>
      <c r="E2" s="87" t="s">
        <v>569</v>
      </c>
      <c r="F2" s="87" t="s">
        <v>555</v>
      </c>
      <c r="H2" s="87" t="s">
        <v>554</v>
      </c>
      <c r="I2" s="87" t="s">
        <v>591</v>
      </c>
      <c r="J2" s="89" t="s">
        <v>596</v>
      </c>
    </row>
    <row r="3" spans="1:10" ht="29.25" thickBot="1" x14ac:dyDescent="0.3">
      <c r="B3" s="87" t="s">
        <v>554</v>
      </c>
      <c r="C3" s="87" t="s">
        <v>555</v>
      </c>
      <c r="E3" s="87" t="s">
        <v>554</v>
      </c>
      <c r="F3" s="87" t="s">
        <v>555</v>
      </c>
      <c r="H3" s="87" t="s">
        <v>592</v>
      </c>
      <c r="I3" s="87" t="s">
        <v>573</v>
      </c>
    </row>
    <row r="4" spans="1:10" ht="29.25" thickBot="1" x14ac:dyDescent="0.3">
      <c r="B4" s="87" t="s">
        <v>570</v>
      </c>
      <c r="C4" s="87" t="s">
        <v>571</v>
      </c>
      <c r="E4" s="87" t="s">
        <v>570</v>
      </c>
      <c r="F4" s="87" t="s">
        <v>571</v>
      </c>
      <c r="H4" s="87" t="s">
        <v>570</v>
      </c>
      <c r="I4" s="87" t="s">
        <v>571</v>
      </c>
    </row>
    <row r="5" spans="1:10" ht="43.5" thickBot="1" x14ac:dyDescent="0.3">
      <c r="B5" s="87" t="s">
        <v>572</v>
      </c>
      <c r="C5" s="87" t="s">
        <v>573</v>
      </c>
      <c r="E5" s="87" t="s">
        <v>572</v>
      </c>
      <c r="F5" s="87" t="s">
        <v>573</v>
      </c>
      <c r="H5" s="87" t="s">
        <v>49</v>
      </c>
      <c r="I5" s="87" t="s">
        <v>587</v>
      </c>
      <c r="J5" s="89" t="s">
        <v>598</v>
      </c>
    </row>
    <row r="6" spans="1:10" ht="15.75" thickBot="1" x14ac:dyDescent="0.3">
      <c r="B6" s="87" t="s">
        <v>49</v>
      </c>
      <c r="C6" s="90" t="s">
        <v>574</v>
      </c>
      <c r="E6" s="87" t="s">
        <v>49</v>
      </c>
      <c r="F6" s="91" t="s">
        <v>587</v>
      </c>
      <c r="G6" t="s">
        <v>598</v>
      </c>
      <c r="H6" s="87" t="s">
        <v>575</v>
      </c>
      <c r="I6" s="87" t="s">
        <v>576</v>
      </c>
    </row>
    <row r="7" spans="1:10" ht="15.75" thickBot="1" x14ac:dyDescent="0.3">
      <c r="B7" s="87" t="s">
        <v>575</v>
      </c>
      <c r="C7" s="87" t="s">
        <v>576</v>
      </c>
      <c r="E7" s="87" t="s">
        <v>575</v>
      </c>
      <c r="F7" s="87" t="s">
        <v>576</v>
      </c>
      <c r="H7" s="87" t="s">
        <v>577</v>
      </c>
      <c r="I7" s="87" t="s">
        <v>593</v>
      </c>
      <c r="J7" s="89" t="s">
        <v>595</v>
      </c>
    </row>
    <row r="8" spans="1:10" ht="43.5" thickBot="1" x14ac:dyDescent="0.3">
      <c r="B8" s="87" t="s">
        <v>577</v>
      </c>
      <c r="C8" s="90" t="s">
        <v>578</v>
      </c>
      <c r="E8" s="87" t="s">
        <v>577</v>
      </c>
      <c r="F8" s="90" t="s">
        <v>588</v>
      </c>
      <c r="G8" t="s">
        <v>599</v>
      </c>
      <c r="H8" s="87" t="s">
        <v>562</v>
      </c>
      <c r="I8" s="87" t="s">
        <v>594</v>
      </c>
      <c r="J8" s="89" t="s">
        <v>597</v>
      </c>
    </row>
    <row r="9" spans="1:10" ht="15.75" thickBot="1" x14ac:dyDescent="0.3">
      <c r="B9" s="87" t="s">
        <v>560</v>
      </c>
      <c r="C9" s="87" t="s">
        <v>579</v>
      </c>
      <c r="E9" s="87" t="s">
        <v>560</v>
      </c>
      <c r="F9" s="87" t="s">
        <v>579</v>
      </c>
      <c r="H9" s="87" t="s">
        <v>580</v>
      </c>
      <c r="I9" s="87" t="s">
        <v>581</v>
      </c>
    </row>
    <row r="10" spans="1:10" ht="29.25" thickBot="1" x14ac:dyDescent="0.3">
      <c r="B10" s="87" t="s">
        <v>562</v>
      </c>
      <c r="C10" s="90" t="s">
        <v>561</v>
      </c>
      <c r="E10" s="87" t="s">
        <v>562</v>
      </c>
      <c r="F10" s="90" t="s">
        <v>589</v>
      </c>
      <c r="G10" t="s">
        <v>598</v>
      </c>
      <c r="H10" s="87" t="s">
        <v>582</v>
      </c>
      <c r="I10" s="87" t="s">
        <v>583</v>
      </c>
    </row>
    <row r="11" spans="1:10" ht="15.75" thickBot="1" x14ac:dyDescent="0.3">
      <c r="B11" s="87" t="s">
        <v>580</v>
      </c>
      <c r="C11" s="87" t="s">
        <v>581</v>
      </c>
      <c r="E11" s="87" t="s">
        <v>580</v>
      </c>
      <c r="F11" s="87" t="s">
        <v>581</v>
      </c>
    </row>
    <row r="12" spans="1:10" ht="29.25" thickBot="1" x14ac:dyDescent="0.3">
      <c r="B12" s="87" t="s">
        <v>582</v>
      </c>
      <c r="C12" s="87" t="s">
        <v>583</v>
      </c>
      <c r="E12" s="87" t="s">
        <v>582</v>
      </c>
      <c r="F12" s="87" t="s">
        <v>583</v>
      </c>
    </row>
    <row r="14" spans="1:10" ht="15.75" thickBot="1" x14ac:dyDescent="0.3"/>
    <row r="15" spans="1:10" ht="15.75" thickBot="1" x14ac:dyDescent="0.3">
      <c r="A15" t="s">
        <v>600</v>
      </c>
      <c r="B15" s="86" t="s">
        <v>568</v>
      </c>
      <c r="C15" s="86" t="s">
        <v>551</v>
      </c>
      <c r="E15" s="86" t="s">
        <v>527</v>
      </c>
      <c r="F15" s="86" t="s">
        <v>551</v>
      </c>
    </row>
    <row r="16" spans="1:10" ht="15.75" thickBot="1" x14ac:dyDescent="0.3">
      <c r="A16" t="s">
        <v>624</v>
      </c>
      <c r="B16" s="87" t="s">
        <v>601</v>
      </c>
      <c r="C16" s="87" t="s">
        <v>602</v>
      </c>
      <c r="D16" s="26" t="s">
        <v>628</v>
      </c>
      <c r="E16" s="87" t="s">
        <v>569</v>
      </c>
      <c r="F16" s="87" t="s">
        <v>607</v>
      </c>
    </row>
    <row r="17" spans="1:6" ht="15.75" thickBot="1" x14ac:dyDescent="0.3">
      <c r="B17" s="87" t="s">
        <v>569</v>
      </c>
      <c r="C17" s="87" t="s">
        <v>555</v>
      </c>
      <c r="D17" s="26" t="s">
        <v>629</v>
      </c>
      <c r="E17" s="87" t="s">
        <v>554</v>
      </c>
      <c r="F17" s="87" t="s">
        <v>607</v>
      </c>
    </row>
    <row r="18" spans="1:6" ht="15.75" thickBot="1" x14ac:dyDescent="0.3">
      <c r="B18" s="87" t="s">
        <v>603</v>
      </c>
      <c r="C18" s="87" t="s">
        <v>557</v>
      </c>
      <c r="D18" s="26" t="s">
        <v>630</v>
      </c>
      <c r="E18" s="87" t="s">
        <v>570</v>
      </c>
      <c r="F18" s="87" t="s">
        <v>608</v>
      </c>
    </row>
    <row r="19" spans="1:6" ht="29.25" thickBot="1" x14ac:dyDescent="0.3">
      <c r="A19" s="25" t="s">
        <v>635</v>
      </c>
      <c r="B19" s="87" t="s">
        <v>575</v>
      </c>
      <c r="C19" s="87" t="s">
        <v>604</v>
      </c>
      <c r="D19" s="26" t="s">
        <v>594</v>
      </c>
      <c r="E19" s="87" t="s">
        <v>572</v>
      </c>
      <c r="F19" s="87" t="s">
        <v>609</v>
      </c>
    </row>
    <row r="20" spans="1:6" ht="15.75" thickBot="1" x14ac:dyDescent="0.3">
      <c r="B20" s="87" t="s">
        <v>605</v>
      </c>
      <c r="C20" s="87" t="s">
        <v>558</v>
      </c>
      <c r="D20" s="26" t="s">
        <v>631</v>
      </c>
      <c r="E20" s="87" t="s">
        <v>49</v>
      </c>
      <c r="F20" s="87" t="s">
        <v>610</v>
      </c>
    </row>
    <row r="21" spans="1:6" ht="15.75" thickBot="1" x14ac:dyDescent="0.3">
      <c r="B21" s="87" t="s">
        <v>562</v>
      </c>
      <c r="C21" s="87" t="s">
        <v>589</v>
      </c>
      <c r="D21" s="26" t="s">
        <v>632</v>
      </c>
      <c r="E21" s="87" t="s">
        <v>575</v>
      </c>
      <c r="F21" s="87" t="s">
        <v>594</v>
      </c>
    </row>
    <row r="22" spans="1:6" ht="15.75" thickBot="1" x14ac:dyDescent="0.3">
      <c r="B22" s="87" t="s">
        <v>531</v>
      </c>
      <c r="C22" s="87" t="s">
        <v>563</v>
      </c>
      <c r="D22" s="26" t="s">
        <v>633</v>
      </c>
      <c r="E22" s="87" t="s">
        <v>577</v>
      </c>
      <c r="F22" s="87" t="s">
        <v>611</v>
      </c>
    </row>
    <row r="23" spans="1:6" ht="15.75" thickBot="1" x14ac:dyDescent="0.3">
      <c r="B23" s="87" t="s">
        <v>577</v>
      </c>
      <c r="C23" s="87" t="s">
        <v>606</v>
      </c>
      <c r="D23" s="26" t="s">
        <v>634</v>
      </c>
      <c r="E23" s="87" t="s">
        <v>560</v>
      </c>
      <c r="F23" s="87" t="s">
        <v>612</v>
      </c>
    </row>
    <row r="24" spans="1:6" ht="15.75" thickBot="1" x14ac:dyDescent="0.3">
      <c r="E24" s="87" t="s">
        <v>562</v>
      </c>
      <c r="F24" s="87" t="s">
        <v>561</v>
      </c>
    </row>
    <row r="25" spans="1:6" ht="15.75" thickBot="1" x14ac:dyDescent="0.3">
      <c r="B25" s="93" t="s">
        <v>625</v>
      </c>
      <c r="C25">
        <v>2600</v>
      </c>
      <c r="E25" s="87" t="s">
        <v>580</v>
      </c>
      <c r="F25" s="87" t="s">
        <v>613</v>
      </c>
    </row>
    <row r="26" spans="1:6" ht="29.25" thickBot="1" x14ac:dyDescent="0.3">
      <c r="B26" s="93" t="s">
        <v>626</v>
      </c>
      <c r="E26" s="87" t="s">
        <v>582</v>
      </c>
      <c r="F26" s="87" t="s">
        <v>614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s="26" t="s">
        <v>508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621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549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43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508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252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249</v>
      </c>
      <c r="G4" s="1" t="s">
        <v>234</v>
      </c>
      <c r="H4" s="1" t="s">
        <v>1</v>
      </c>
      <c r="J4" t="s">
        <v>4</v>
      </c>
      <c r="K4" t="s">
        <v>157</v>
      </c>
      <c r="L4" t="s">
        <v>451</v>
      </c>
      <c r="M4" t="s">
        <v>156</v>
      </c>
      <c r="N4" t="s">
        <v>448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543</v>
      </c>
      <c r="B5" s="31" t="s">
        <v>62</v>
      </c>
      <c r="C5" s="31" t="s">
        <v>65</v>
      </c>
      <c r="D5" s="31" t="s">
        <v>0</v>
      </c>
      <c r="E5" s="31" t="s">
        <v>486</v>
      </c>
      <c r="F5" s="31" t="s">
        <v>406</v>
      </c>
      <c r="G5" s="31"/>
      <c r="H5" s="31" t="s">
        <v>2</v>
      </c>
      <c r="I5" s="31"/>
      <c r="J5" s="30" t="s">
        <v>43</v>
      </c>
      <c r="K5" s="30" t="s">
        <v>450</v>
      </c>
      <c r="L5" s="30" t="s">
        <v>451</v>
      </c>
      <c r="M5" s="30" t="s">
        <v>156</v>
      </c>
      <c r="N5" s="30" t="s">
        <v>448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515</v>
      </c>
      <c r="B6" s="31" t="s">
        <v>62</v>
      </c>
      <c r="C6" s="31" t="s">
        <v>65</v>
      </c>
      <c r="D6" s="31" t="s">
        <v>512</v>
      </c>
      <c r="E6" s="31" t="s">
        <v>0</v>
      </c>
      <c r="F6" s="31" t="s">
        <v>491</v>
      </c>
      <c r="G6" s="31"/>
      <c r="H6" s="31" t="s">
        <v>1</v>
      </c>
      <c r="I6" s="31"/>
      <c r="J6" s="30" t="s">
        <v>43</v>
      </c>
      <c r="K6" s="30" t="s">
        <v>450</v>
      </c>
      <c r="L6" s="30" t="s">
        <v>175</v>
      </c>
      <c r="M6" s="30" t="s">
        <v>156</v>
      </c>
      <c r="N6" s="30" t="s">
        <v>173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548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157</v>
      </c>
      <c r="L2" t="s">
        <v>44</v>
      </c>
      <c r="N2" t="s">
        <v>158</v>
      </c>
      <c r="O2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543</v>
      </c>
      <c r="B3" s="31" t="s">
        <v>62</v>
      </c>
      <c r="C3" s="31" t="s">
        <v>65</v>
      </c>
      <c r="D3" s="31" t="s">
        <v>0</v>
      </c>
      <c r="E3" s="31" t="s">
        <v>486</v>
      </c>
      <c r="F3" s="31" t="s">
        <v>406</v>
      </c>
      <c r="G3" s="31"/>
      <c r="H3" s="31" t="s">
        <v>2</v>
      </c>
      <c r="I3" s="31"/>
      <c r="J3" s="30" t="s">
        <v>43</v>
      </c>
      <c r="K3" s="30" t="s">
        <v>450</v>
      </c>
      <c r="L3" s="30" t="s">
        <v>451</v>
      </c>
      <c r="M3" s="30" t="s">
        <v>156</v>
      </c>
      <c r="N3" s="30" t="s">
        <v>448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4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400</v>
      </c>
      <c r="B3" s="1" t="s">
        <v>62</v>
      </c>
      <c r="C3" s="1" t="s">
        <v>65</v>
      </c>
      <c r="D3" s="1" t="s">
        <v>0</v>
      </c>
      <c r="F3" s="1" t="s">
        <v>415</v>
      </c>
      <c r="H3" s="1" t="s">
        <v>132</v>
      </c>
      <c r="J3" t="s">
        <v>43</v>
      </c>
      <c r="K3" t="s">
        <v>157</v>
      </c>
      <c r="L3" t="s">
        <v>44</v>
      </c>
      <c r="M3" t="s">
        <v>154</v>
      </c>
      <c r="N3" t="s">
        <v>159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4.7227884391222252</v>
      </c>
      <c r="AJ3" s="10">
        <f>(AI3+Specs!$R$2+Specs!$S$2)*Specs!$N$2</f>
        <v>10.22557687824445</v>
      </c>
    </row>
    <row r="4" spans="1:36" x14ac:dyDescent="0.25">
      <c r="A4" t="s">
        <v>421</v>
      </c>
      <c r="B4" s="1" t="s">
        <v>71</v>
      </c>
      <c r="C4" s="1" t="s">
        <v>65</v>
      </c>
      <c r="D4" s="1" t="s">
        <v>0</v>
      </c>
      <c r="E4" s="1" t="s">
        <v>236</v>
      </c>
      <c r="F4" s="1" t="s">
        <v>102</v>
      </c>
      <c r="H4" s="1" t="s">
        <v>1</v>
      </c>
      <c r="J4" t="s">
        <v>43</v>
      </c>
      <c r="K4" t="s">
        <v>157</v>
      </c>
      <c r="L4" t="s">
        <v>6</v>
      </c>
      <c r="M4" t="s">
        <v>156</v>
      </c>
      <c r="N4" t="s">
        <v>159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1846.9110000000001</v>
      </c>
      <c r="Q6">
        <f>SUM(Q2:Q4)</f>
        <v>923.45550000000003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3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426</v>
      </c>
      <c r="B4" s="1" t="s">
        <v>62</v>
      </c>
      <c r="C4" s="1" t="s">
        <v>65</v>
      </c>
      <c r="D4" s="1" t="s">
        <v>248</v>
      </c>
      <c r="H4" s="1" t="s">
        <v>1</v>
      </c>
      <c r="J4" t="s">
        <v>43</v>
      </c>
      <c r="K4" t="s">
        <v>46</v>
      </c>
      <c r="L4" t="s">
        <v>44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2076.855</v>
      </c>
      <c r="Q6">
        <f>SUM(Q2:Q4)</f>
        <v>1038.4275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207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156</v>
      </c>
      <c r="N2" t="s">
        <v>173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208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157</v>
      </c>
      <c r="M3" t="s">
        <v>156</v>
      </c>
      <c r="N3" t="s">
        <v>158</v>
      </c>
      <c r="O3" t="s">
        <v>158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0</v>
      </c>
      <c r="Q23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0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195</v>
      </c>
      <c r="B2" s="1" t="s">
        <v>62</v>
      </c>
      <c r="C2" s="1" t="s">
        <v>65</v>
      </c>
      <c r="D2" s="1" t="s">
        <v>176</v>
      </c>
      <c r="H2" s="1" t="s">
        <v>1</v>
      </c>
      <c r="I2" s="1" t="s">
        <v>196</v>
      </c>
      <c r="J2" t="s">
        <v>4</v>
      </c>
      <c r="K2" t="s">
        <v>157</v>
      </c>
      <c r="N2" t="s">
        <v>173</v>
      </c>
      <c r="O2" t="s">
        <v>159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173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1.8379229999999998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169</v>
      </c>
      <c r="B3" s="1" t="s">
        <v>62</v>
      </c>
      <c r="C3" s="1" t="s">
        <v>65</v>
      </c>
      <c r="D3" s="1" t="s">
        <v>0</v>
      </c>
      <c r="F3" s="1" t="s">
        <v>234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340</v>
      </c>
      <c r="K4" t="s">
        <v>46</v>
      </c>
      <c r="L4" t="s">
        <v>49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1143.78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571.89</v>
      </c>
      <c r="R4">
        <f t="shared" ref="R4" si="4">P4+Q4</f>
        <v>1715.67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2.3708039999999997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5529.12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255.06299999999999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255.06299999999999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524.23249999999996</v>
      </c>
      <c r="AE4" s="8">
        <f>$AD4 / (_xlfn.XLOOKUP($J4,Specs!A:A,Specs!B:B,0))</f>
        <v>0.29237730061349693</v>
      </c>
      <c r="AF4" s="7">
        <f>60* ($AA4 / _xlfn.XLOOKUP($J4,Specs!$A:$A,Specs!$B:$B,0))</f>
        <v>185.0235359732292</v>
      </c>
      <c r="AG4" s="7">
        <f>60* (AB4 / _xlfn.XLOOKUP($J4,Specs!$A:$A,Specs!$B:$B,0))</f>
        <v>8.535292805354155</v>
      </c>
      <c r="AH4" s="7">
        <f>60* (AD4 / _xlfn.XLOOKUP($J4,Specs!$A:$A,Specs!$B:$B,0))</f>
        <v>17.542638036809816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9.8999077657953087</v>
      </c>
      <c r="AJ4" s="10">
        <f>(AI4+Specs!$R$2+Specs!$S$2)*Specs!$N$2</f>
        <v>20.579815531590615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400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340</v>
      </c>
      <c r="K6" t="s">
        <v>157</v>
      </c>
      <c r="L6" t="s">
        <v>175</v>
      </c>
      <c r="M6" t="s">
        <v>154</v>
      </c>
      <c r="N6" t="s">
        <v>159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981.12300000000005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490.56150000000002</v>
      </c>
      <c r="R6">
        <f t="shared" si="3"/>
        <v>1471.6845000000001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179.3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1.8020213999999999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4569.8919999999998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150.89705000000001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34.352050000000006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449.681375</v>
      </c>
      <c r="AE6" s="8">
        <f>$AD6 / (_xlfn.XLOOKUP($J6,Specs!A:A,Specs!B:B,0))</f>
        <v>0.25079831288343557</v>
      </c>
      <c r="AF6" s="7">
        <f>60* ($AA6 / _xlfn.XLOOKUP($J6,Specs!$A:$A,Specs!$B:$B,0))</f>
        <v>152.92443948689345</v>
      </c>
      <c r="AG6" s="7">
        <f>60* (AB6 / _xlfn.XLOOKUP($J6,Specs!$A:$A,Specs!$B:$B,0))</f>
        <v>5.049538761851645</v>
      </c>
      <c r="AH6" s="7">
        <f>60* (AD6 / _xlfn.XLOOKUP($J6,Specs!$A:$A,Specs!$B:$B,0))</f>
        <v>15.047898773006134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8.9304167847700224</v>
      </c>
      <c r="AJ6" s="10">
        <f>(AI6+Specs!$R$2+Specs!$S$2)*Specs!$N$2</f>
        <v>18.640833569540042</v>
      </c>
    </row>
    <row r="7" spans="1:36" x14ac:dyDescent="0.25">
      <c r="A7" t="s">
        <v>400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157</v>
      </c>
      <c r="L7" t="s">
        <v>175</v>
      </c>
      <c r="M7" t="s">
        <v>154</v>
      </c>
      <c r="N7" t="s">
        <v>159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402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340</v>
      </c>
      <c r="K8" t="s">
        <v>157</v>
      </c>
      <c r="L8" t="s">
        <v>10</v>
      </c>
      <c r="M8" t="s">
        <v>44</v>
      </c>
      <c r="N8" t="s">
        <v>159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1084.3800000000001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542.19000000000005</v>
      </c>
      <c r="R8">
        <f t="shared" si="3"/>
        <v>1626.5700000000002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1.987884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5187.5200000000004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36.073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36.073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497.00749999999999</v>
      </c>
      <c r="AE8" s="8">
        <f>$AD8 / (_xlfn.XLOOKUP($J8,Specs!A:A,Specs!B:B,0))</f>
        <v>0.2771932515337423</v>
      </c>
      <c r="AF8" s="7">
        <f>60* ($AA8 / _xlfn.XLOOKUP($J8,Specs!$A:$A,Specs!$B:$B,0))</f>
        <v>173.59241494701621</v>
      </c>
      <c r="AG8" s="7">
        <f>60* (AB8 / _xlfn.XLOOKUP($J8,Specs!$A:$A,Specs!$B:$B,0))</f>
        <v>1.2071277189068599</v>
      </c>
      <c r="AH8" s="7">
        <f>60* (AD8 / _xlfn.XLOOKUP($J8,Specs!$A:$A,Specs!$B:$B,0))</f>
        <v>16.63159509202454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16.114309855316758</v>
      </c>
      <c r="AJ8" s="10">
        <f>(AI8+Specs!$R$2+Specs!$S$2)*Specs!$N$2</f>
        <v>33.008619710633518</v>
      </c>
    </row>
    <row r="9" spans="1:36" x14ac:dyDescent="0.25">
      <c r="A9" t="s">
        <v>402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157</v>
      </c>
      <c r="L9" t="s">
        <v>10</v>
      </c>
      <c r="M9" t="s">
        <v>44</v>
      </c>
      <c r="N9" t="s">
        <v>159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6233.1390000000001</v>
      </c>
      <c r="Q10">
        <f>SUM(Q2:Q9)</f>
        <v>3116.5695000000001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65.692724709641283</v>
      </c>
      <c r="AJ12" s="10">
        <f>SUM(AJ2:AJ9)</f>
        <v>137.62544941928257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s="41" t="s">
        <v>543</v>
      </c>
      <c r="B2" s="31" t="s">
        <v>62</v>
      </c>
      <c r="C2" s="31" t="s">
        <v>65</v>
      </c>
      <c r="D2" s="31" t="s">
        <v>0</v>
      </c>
      <c r="E2" s="31" t="s">
        <v>486</v>
      </c>
      <c r="F2" s="31" t="s">
        <v>406</v>
      </c>
      <c r="G2" s="31"/>
      <c r="H2" s="31" t="s">
        <v>2</v>
      </c>
      <c r="I2" s="31"/>
      <c r="J2" s="30" t="s">
        <v>340</v>
      </c>
      <c r="K2" s="30" t="s">
        <v>450</v>
      </c>
      <c r="L2" s="30" t="s">
        <v>451</v>
      </c>
      <c r="M2" s="30" t="s">
        <v>156</v>
      </c>
      <c r="N2" s="30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709.33500000000004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354.66750000000002</v>
      </c>
      <c r="R2">
        <f>P2+Q2</f>
        <v>1064.0025000000001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149.41666666666666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1.372803</v>
      </c>
      <c r="Z2" s="5">
        <f t="shared" ref="Z2:Z5" si="1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5573.4545833333332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369.33995833333336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277.82225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370.87072916666671</v>
      </c>
      <c r="AE2" s="8">
        <f>$AD2 / (_xlfn.XLOOKUP($J2,Specs!A:A,Specs!B:B,0))</f>
        <v>0.20684368609406956</v>
      </c>
      <c r="AF2" s="7">
        <f>60* ($AA2 / _xlfn.XLOOKUP($J2,Specs!$A:$A,Specs!$B:$B,0))</f>
        <v>186.50712493028442</v>
      </c>
      <c r="AG2" s="7">
        <f>60* (AB2 / _xlfn.XLOOKUP($J2,Specs!$A:$A,Specs!$B:$B,0))</f>
        <v>12.359396263245957</v>
      </c>
      <c r="AH2" s="7">
        <f>60* (AD2 / _xlfn.XLOOKUP($J2,Specs!$A:$A,Specs!$B:$B,0))</f>
        <v>12.410621165644173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14.658547297965859</v>
      </c>
      <c r="AJ2" s="10">
        <f>ROUNDUP((AI2+Specs!$R$2+Specs!$S$2+_xlfn.XLOOKUP($J2,Specs!A:A,Specs!V:V,0))*Specs!$N$2,0)</f>
        <v>33</v>
      </c>
      <c r="AK2" s="39"/>
      <c r="AL2" s="40"/>
    </row>
    <row r="3" spans="1:38" x14ac:dyDescent="0.25">
      <c r="A3" s="52" t="s">
        <v>515</v>
      </c>
      <c r="B3" s="31" t="s">
        <v>62</v>
      </c>
      <c r="C3" s="31" t="s">
        <v>65</v>
      </c>
      <c r="D3" s="31" t="s">
        <v>512</v>
      </c>
      <c r="E3" s="31" t="s">
        <v>0</v>
      </c>
      <c r="F3" s="31" t="s">
        <v>491</v>
      </c>
      <c r="G3" s="31"/>
      <c r="H3" s="31" t="s">
        <v>1</v>
      </c>
      <c r="I3" s="31"/>
      <c r="J3" s="30" t="s">
        <v>340</v>
      </c>
      <c r="K3" s="30" t="s">
        <v>450</v>
      </c>
      <c r="L3" s="30" t="s">
        <v>175</v>
      </c>
      <c r="M3" s="30" t="s">
        <v>156</v>
      </c>
      <c r="N3" s="30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862.78500000000008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431.39250000000004</v>
      </c>
      <c r="R3">
        <f>P3+Q3</f>
        <v>1294.1775000000002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158.75520833333334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1.8290130000000002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4850.9097916666669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265.57245833333332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218.87975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415.98791666666671</v>
      </c>
      <c r="AE3" s="8">
        <f>$AD3 / (_xlfn.XLOOKUP($J3,Specs!A:A,Specs!B:B,0))</f>
        <v>0.23200664621676895</v>
      </c>
      <c r="AF3" s="7">
        <f>60* ($AA3 / _xlfn.XLOOKUP($J3,Specs!$A:$A,Specs!$B:$B,0))</f>
        <v>162.32826965978808</v>
      </c>
      <c r="AG3" s="7">
        <f>60* (AB3 / _xlfn.XLOOKUP($J3,Specs!$A:$A,Specs!$B:$B,0))</f>
        <v>8.8869757389849404</v>
      </c>
      <c r="AH3" s="7">
        <f>60* (AD3 / _xlfn.XLOOKUP($J3,Specs!$A:$A,Specs!$B:$B,0))</f>
        <v>13.920398773006136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8.1900347987372619</v>
      </c>
      <c r="AJ3" s="10">
        <f>ROUNDUP((AI3+Specs!$R$2+Specs!$S$2+_xlfn.XLOOKUP($J3,Specs!A:A,Specs!V:V,0))*Specs!$N$2,0)</f>
        <v>20</v>
      </c>
      <c r="AK3" s="39"/>
      <c r="AL3" s="40"/>
    </row>
    <row r="4" spans="1:38" x14ac:dyDescent="0.25">
      <c r="A4" s="41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0" t="s">
        <v>340</v>
      </c>
      <c r="K4" s="30" t="s">
        <v>451</v>
      </c>
      <c r="L4" s="30" t="s">
        <v>44</v>
      </c>
      <c r="M4" s="30" t="s">
        <v>156</v>
      </c>
      <c r="N4" s="30" t="s">
        <v>448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729.13499999999999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364.5675</v>
      </c>
      <c r="R4">
        <f>P4+Q4</f>
        <v>1093.7024999999999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179.3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1.6604429999999997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4377.2871264367823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200.16259482758625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132.15225000000001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377.46618534482758</v>
      </c>
      <c r="AE4" s="8">
        <f>$AD4 / (_xlfn.XLOOKUP($J4,Specs!A:A,Specs!B:B,0))</f>
        <v>0.21052213348847049</v>
      </c>
      <c r="AF4" s="7">
        <f>60* ($AA4 / _xlfn.XLOOKUP($J4,Specs!$A:$A,Specs!$B:$B,0))</f>
        <v>146.47921226224591</v>
      </c>
      <c r="AG4" s="7">
        <f>60* (AB4 / _xlfn.XLOOKUP($J4,Specs!$A:$A,Specs!$B:$B,0))</f>
        <v>6.6981347962382456</v>
      </c>
      <c r="AH4" s="7">
        <f>60* (AD4 / _xlfn.XLOOKUP($J4,Specs!$A:$A,Specs!$B:$B,0))</f>
        <v>12.631328009308229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10.691293189898468</v>
      </c>
      <c r="AJ4" s="10">
        <f>ROUNDUP((AI4+Specs!$R$2+Specs!$S$2+_xlfn.XLOOKUP($J4,Specs!A:A,Specs!V:V,0))*Specs!$N$2,0)</f>
        <v>25</v>
      </c>
      <c r="AK4" s="39"/>
      <c r="AL4" s="40"/>
    </row>
    <row r="5" spans="1:38" x14ac:dyDescent="0.25">
      <c r="A5" s="52" t="s">
        <v>489</v>
      </c>
      <c r="B5" s="31" t="s">
        <v>62</v>
      </c>
      <c r="C5" s="31" t="s">
        <v>65</v>
      </c>
      <c r="D5" s="31" t="s">
        <v>83</v>
      </c>
      <c r="E5" s="31" t="s">
        <v>263</v>
      </c>
      <c r="F5" s="31" t="s">
        <v>490</v>
      </c>
      <c r="G5" s="31"/>
      <c r="H5" s="31" t="s">
        <v>1</v>
      </c>
      <c r="I5" s="31"/>
      <c r="J5" s="30" t="s">
        <v>340</v>
      </c>
      <c r="K5" s="30" t="s">
        <v>451</v>
      </c>
      <c r="L5" s="30" t="s">
        <v>10</v>
      </c>
      <c r="M5" s="30" t="s">
        <v>156</v>
      </c>
      <c r="N5" s="30" t="s">
        <v>448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649.93500000000006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324.96750000000003</v>
      </c>
      <c r="R5">
        <f>P5+Q5</f>
        <v>974.90250000000015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455.7208333333333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1.5178830000000001</v>
      </c>
      <c r="Z5" s="5">
        <f t="shared" si="1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4072.2036270491799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218.99388422131148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213.71225000000001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319.36687499999999</v>
      </c>
      <c r="AE5" s="8">
        <f>$AD5 / (_xlfn.XLOOKUP($J5,Specs!A:A,Specs!B:B,0))</f>
        <v>0.17811872559955383</v>
      </c>
      <c r="AF5" s="7">
        <f>60* ($AA5 / _xlfn.XLOOKUP($J5,Specs!$A:$A,Specs!$B:$B,0))</f>
        <v>136.27006002395473</v>
      </c>
      <c r="AG5" s="7">
        <f>60* (AB5 / _xlfn.XLOOKUP($J5,Specs!$A:$A,Specs!$B:$B,0))</f>
        <v>7.3282950659669206</v>
      </c>
      <c r="AH5" s="7">
        <f>60* (AD5 / _xlfn.XLOOKUP($J5,Specs!$A:$A,Specs!$B:$B,0))</f>
        <v>10.68712353597323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10.656946697123619</v>
      </c>
      <c r="AJ5" s="10">
        <f>ROUNDUP((AI5+Specs!$R$2+Specs!$S$2+_xlfn.XLOOKUP($J5,Specs!A:A,Specs!V:V,0))*Specs!$N$2,0)</f>
        <v>25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53.196821983725201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103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44.196821983725201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337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338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187</v>
      </c>
      <c r="AJ1" s="31" t="s">
        <v>188</v>
      </c>
      <c r="AK1" s="31" t="s">
        <v>42</v>
      </c>
      <c r="AL1" s="31" t="s">
        <v>172</v>
      </c>
    </row>
    <row r="2" spans="1:38" x14ac:dyDescent="0.25">
      <c r="A2" s="30" t="s">
        <v>766</v>
      </c>
      <c r="B2" s="31" t="s">
        <v>62</v>
      </c>
      <c r="C2" s="31" t="s">
        <v>65</v>
      </c>
      <c r="D2" s="31" t="s">
        <v>0</v>
      </c>
      <c r="E2" s="31" t="s">
        <v>768</v>
      </c>
      <c r="F2" s="31" t="s">
        <v>249</v>
      </c>
      <c r="G2" s="31"/>
      <c r="H2" s="31"/>
      <c r="I2" s="31" t="s">
        <v>1</v>
      </c>
      <c r="J2" s="31"/>
      <c r="K2" s="30" t="s">
        <v>43</v>
      </c>
      <c r="L2" s="30" t="s">
        <v>175</v>
      </c>
      <c r="M2" s="30" t="s">
        <v>451</v>
      </c>
      <c r="N2" s="30" t="s">
        <v>156</v>
      </c>
      <c r="O2" s="30" t="s">
        <v>769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767</v>
      </c>
      <c r="B3" s="31" t="s">
        <v>177</v>
      </c>
      <c r="C3" s="31" t="s">
        <v>770</v>
      </c>
      <c r="D3" s="31" t="s">
        <v>0</v>
      </c>
      <c r="E3" s="31"/>
      <c r="F3" s="31" t="s">
        <v>420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156</v>
      </c>
      <c r="O3" s="30" t="s">
        <v>769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1"/>
      <c r="K4" s="30" t="s">
        <v>340</v>
      </c>
      <c r="L4" s="30" t="s">
        <v>451</v>
      </c>
      <c r="M4" s="30" t="s">
        <v>44</v>
      </c>
      <c r="N4" s="30" t="s">
        <v>156</v>
      </c>
      <c r="O4" s="30" t="s">
        <v>448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729.13499999999999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364.5675</v>
      </c>
      <c r="S4" s="30">
        <f>Q4+R4</f>
        <v>1093.7024999999999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179.3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1.6604429999999997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4570.7871264367823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250.16259482758625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182.15225000000001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377.46618534482758</v>
      </c>
      <c r="AG4" s="38">
        <f>$AF4 / (_xlfn.XLOOKUP($K4,Specs!A:A,Specs!B:B,0))</f>
        <v>0.21052213348847049</v>
      </c>
      <c r="AH4" s="54">
        <f>60* ($AC4 / _xlfn.XLOOKUP($K4,Specs!$A:$A,Specs!$B:$B,0))</f>
        <v>152.95439352270327</v>
      </c>
      <c r="AI4" s="37">
        <f>60* (AD4 / _xlfn.XLOOKUP($K4,Specs!$A:$A,Specs!$B:$B,0))</f>
        <v>8.3713082485528023</v>
      </c>
      <c r="AJ4" s="37">
        <f>60* (AF4 / _xlfn.XLOOKUP($K4,Specs!$A:$A,Specs!$B:$B,0))</f>
        <v>12.631328009308229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10.773707743371457</v>
      </c>
      <c r="AL4" s="40">
        <f>(AK4+Specs!$R$2+Specs!$S$2)*Specs!$N$2</f>
        <v>22.327415486742911</v>
      </c>
    </row>
    <row r="5" spans="1:38" x14ac:dyDescent="0.25">
      <c r="A5" s="52" t="s">
        <v>443</v>
      </c>
      <c r="B5" s="31" t="s">
        <v>62</v>
      </c>
      <c r="C5" s="31" t="s">
        <v>65</v>
      </c>
      <c r="D5" s="31" t="s">
        <v>0</v>
      </c>
      <c r="E5" s="31"/>
      <c r="F5" s="31" t="s">
        <v>415</v>
      </c>
      <c r="G5" s="31"/>
      <c r="H5" s="31"/>
      <c r="I5" s="31" t="s">
        <v>1</v>
      </c>
      <c r="J5" s="31"/>
      <c r="K5" s="30" t="s">
        <v>43</v>
      </c>
      <c r="L5" s="30" t="s">
        <v>450</v>
      </c>
      <c r="M5" s="30" t="s">
        <v>44</v>
      </c>
      <c r="N5" s="30" t="s">
        <v>156</v>
      </c>
      <c r="O5" s="30" t="s">
        <v>173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5.1525348076790172</v>
      </c>
      <c r="AL5" s="40">
        <f>(AK5+Specs!$R$2+Specs!$S$2)*Specs!$N$2</f>
        <v>11.085069615358034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27.06088844940648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Main Page</vt:lpstr>
      <vt:lpstr>Worksgiving 2024 Flavors</vt:lpstr>
      <vt:lpstr>Ice Cream Orders</vt:lpstr>
      <vt:lpstr>Premade Flavors</vt:lpstr>
      <vt:lpstr>Testing Flavors</vt:lpstr>
      <vt:lpstr>Specs</vt:lpstr>
      <vt:lpstr>Milk Types Nutrition Per Cup</vt:lpstr>
      <vt:lpstr>Solid Mix In Nutrition</vt:lpstr>
      <vt:lpstr>Liquid Mix In Nutrition</vt:lpstr>
      <vt:lpstr>Thickener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2025-01-21T03:29:48Z</dcterms:modified>
  <cp:category/>
  <cp:contentStatus/>
</cp:coreProperties>
</file>