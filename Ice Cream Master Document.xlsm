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84e66801b230499/Documents/GitHub/MicahsCookiesAndCreamsOrdering/"/>
    </mc:Choice>
  </mc:AlternateContent>
  <xr:revisionPtr revIDLastSave="836" documentId="8_{1C27A2F0-7BE2-4A82-9CB4-9D5C02065557}" xr6:coauthVersionLast="47" xr6:coauthVersionMax="47" xr10:uidLastSave="{EC478BEB-2C1C-47C2-81E8-2ADCC486E5E3}"/>
  <bookViews>
    <workbookView xWindow="2340" yWindow="2340" windowWidth="28800" windowHeight="15150" activeTab="3" xr2:uid="{00000000-000D-0000-FFFF-FFFF00000000}"/>
  </bookViews>
  <sheets>
    <sheet name="Main Page" sheetId="11" r:id="rId1"/>
    <sheet name="Worksgiving 2024 Flavors" sheetId="25" r:id="rId2"/>
    <sheet name="Ice Cream Orders" sheetId="2" r:id="rId3"/>
    <sheet name="Premade Flavors" sheetId="8" r:id="rId4"/>
    <sheet name="Testing Flavors" sheetId="15" r:id="rId5"/>
    <sheet name="Specs" sheetId="3" r:id="rId6"/>
    <sheet name="Milk Types Nutrition Per Cup" sheetId="4" r:id="rId7"/>
    <sheet name="Solid Mix In Nutrition" sheetId="6" r:id="rId8"/>
    <sheet name="Liquid Mix In Nutrition" sheetId="5" r:id="rId9"/>
    <sheet name="Thickener Nutrition" sheetId="27" r:id="rId10"/>
    <sheet name="Sweetener Mix In Nutrition" sheetId="7" r:id="rId11"/>
    <sheet name="Recipe Converters" sheetId="9" r:id="rId12"/>
    <sheet name="Sheet1" sheetId="26" r:id="rId13"/>
    <sheet name="Ice Cream Sandwich Measurements" sheetId="14" r:id="rId14"/>
    <sheet name="Cookie Size Comparisons" sheetId="21" r:id="rId15"/>
    <sheet name="Cris Cake" sheetId="22" r:id="rId16"/>
    <sheet name="Abby Flavors" sheetId="19" r:id="rId17"/>
    <sheet name="Natalia Cake" sheetId="20" r:id="rId18"/>
    <sheet name="Kimberly Gabrielle Flavors" sheetId="18" r:id="rId19"/>
    <sheet name="Kyle Flavors" sheetId="17" r:id="rId20"/>
    <sheet name="Joey BDay Flavors" sheetId="12" r:id="rId21"/>
    <sheet name="Daniel BDay Flavors" sheetId="10" r:id="rId22"/>
    <sheet name="60th flavors " sheetId="16" r:id="rId23"/>
    <sheet name="Noah Work" sheetId="24" r:id="rId24"/>
    <sheet name="Daniel Work" sheetId="23" r:id="rId25"/>
  </sheets>
  <functionGroups builtInGroupCount="19"/>
  <externalReferences>
    <externalReference r:id="rId26"/>
    <externalReference r:id="rId27"/>
  </externalReferences>
  <definedNames>
    <definedName name="_xleta.ADDRESS" hidden="1" xlm="1">#NAME?</definedName>
    <definedName name="_xleta.BASE" hidden="1" xlm="1">#NAME?</definedName>
    <definedName name="_xleta.CONCAT" hidden="1" xlm="1">#NAME?</definedName>
    <definedName name="_xleta.ISNUMBER" hidden="1" xlm="1">#NAME?</definedName>
    <definedName name="_xleta.MAX" hidden="1" xlm="1">#NAME?</definedName>
    <definedName name="_xleta.N" hidden="1" xlm="1">#NAME?</definedName>
    <definedName name="_xleta.OR" hidden="1" xlm="1">#NAME?</definedName>
    <definedName name="_xleta.PRICE" hidden="1" xlm="1">#NAME?</definedName>
    <definedName name="_xleta.SECOND" hidden="1" xlm="1">#NAME?</definedName>
    <definedName name="_xleta.T" hidden="1" xlm="1">#NAME?</definedName>
    <definedName name="_xleta.TYPE" hidden="1" xlm="1">#NAME?</definedName>
    <definedName name="_xlpm.Dummy" hidden="1" xlm="1">#NAME?</definedName>
    <definedName name="_xlpm.I" hidden="1" xlm="1">#NAME?</definedName>
    <definedName name="_xlpm.Ic" hidden="1" xlm="1">#NAME?</definedName>
    <definedName name="_xlpm.Ice" hidden="1" xlm="1">#NAME?</definedName>
    <definedName name="_xlpm.IceC" hidden="1" xlm="1">#NAME?</definedName>
    <definedName name="_xlpm.IceCr" hidden="1" xlm="1">#NAME?</definedName>
    <definedName name="_xlpm.IceCre" hidden="1" xlm="1">#NAME?</definedName>
    <definedName name="_xlpm.IceCrea" hidden="1" xlm="1">#NAME?</definedName>
    <definedName name="_xlpm.IceCream" hidden="1" xlm="1">#NAME?</definedName>
    <definedName name="_xlpm.IceCreamA" hidden="1" xlm="1">#NAME?</definedName>
    <definedName name="_xlpm.IceCreamAm" hidden="1" xlm="1">#NAME?</definedName>
    <definedName name="_xlpm.IceCreamAmo" hidden="1" xlm="1">#NAME?</definedName>
    <definedName name="_xlpm.IceCreamAmou" hidden="1" xlm="1">#NAME?</definedName>
    <definedName name="_xlpm.IceCreamAmoun" hidden="1" xlm="1">#NAME?</definedName>
    <definedName name="_xlpm.IceCreamAmount" hidden="1" xlm="1">#NAME?</definedName>
    <definedName name="_xlpm.IceCreamAo" hidden="1" xlm="1">#NAME?</definedName>
    <definedName name="_xlpm.Liquid1" hidden="1" xlm="1">#NAME?</definedName>
    <definedName name="_xlpm.Liquid2" hidden="1" xlm="1">#NAME?</definedName>
    <definedName name="_xlpm.LiquidMix1Amount" hidden="1" xlm="1">#NAME?</definedName>
    <definedName name="_xlpm.LiquidMix2Amount" hidden="1" xlm="1">#NAME?</definedName>
    <definedName name="_xlpm.Milk1" hidden="1" xlm="1">#NAME?</definedName>
    <definedName name="_xlpm.Milk2" hidden="1" xlm="1">#NAME?</definedName>
    <definedName name="_xlpm.MilkType" hidden="1" xlm="1">#NAME?</definedName>
    <definedName name="_xlpm.Result" hidden="1" xlm="1">#NAME?</definedName>
    <definedName name="_xlpm.Solid1" hidden="1" xlm="1">#NAME?</definedName>
    <definedName name="_xlpm.Solid2" hidden="1" xlm="1">#NAME?</definedName>
    <definedName name="_xlpm.SolidMix1" hidden="1" xlm="1">#NAME?</definedName>
    <definedName name="_xlpm.SolidMix1Amount" hidden="1" xlm="1">#NAME?</definedName>
    <definedName name="_xlpm.SolidMix1Factor" hidden="1" xlm="1">#NAME?</definedName>
    <definedName name="_xlpm.SolidMix2" hidden="1" xlm="1">#NAME?</definedName>
    <definedName name="_xlpm.SolidMix2Amount" hidden="1" xlm="1">#NAME?</definedName>
    <definedName name="_xlpm.SolidMix2Factor" hidden="1" xlm="1">#NAME?</definedName>
    <definedName name="_xlpm.SolidMixAmount" hidden="1" xlm="1">#NAME?</definedName>
    <definedName name="_xlpm.Sweetener1" hidden="1" xlm="1">#NAME?</definedName>
    <definedName name="_xlpm.Sweetener2" hidden="1" xlm="1">#NAME?</definedName>
    <definedName name="_xlpm.SweetnerType1Amount" hidden="1" xlm="1">#NAME?</definedName>
    <definedName name="_xlpm.SweetnerType2Amount" hidden="1" xlm="1">#NAME?</definedName>
    <definedName name="_xlpm.SweetnerTypeAmount" hidden="1" xlm="1">#NAME?</definedName>
    <definedName name="_xlpm.T" hidden="1" xlm="1">#NAME?</definedName>
    <definedName name="_xlpm.TAmount" hidden="1" xlm="1">#NAME?</definedName>
    <definedName name="_xlpm.Th" hidden="1" xlm="1">#NAME?</definedName>
    <definedName name="_xlpm.ThAmount" hidden="1" xlm="1">#NAME?</definedName>
    <definedName name="_xlpm.Thi" hidden="1" xlm="1">#NAME?</definedName>
    <definedName name="_xlpm.ThiAmount" hidden="1" xlm="1">#NAME?</definedName>
    <definedName name="_xlpm.Thic" hidden="1" xlm="1">#NAME?</definedName>
    <definedName name="_xlpm.ThicAmount" hidden="1" xlm="1">#NAME?</definedName>
    <definedName name="_xlpm.Thick" hidden="1" xlm="1">#NAME?</definedName>
    <definedName name="_xlpm.ThickAmount" hidden="1" xlm="1">#NAME?</definedName>
    <definedName name="_xlpm.Thicke" hidden="1" xlm="1">#NAME?</definedName>
    <definedName name="_xlpm.ThickeAmount" hidden="1" xlm="1">#NAME?</definedName>
    <definedName name="_xlpm.Thicken" hidden="1" xlm="1">#NAME?</definedName>
    <definedName name="_xlpm.ThickenAmount" hidden="1" xlm="1">#NAME?</definedName>
    <definedName name="_xlpm.Thickene" hidden="1" xlm="1">#NAME?</definedName>
    <definedName name="_xlpm.ThickeneAmount" hidden="1" xlm="1">#NAME?</definedName>
    <definedName name="_xlpm.Thickener" hidden="1" xlm="1">#NAME?</definedName>
    <definedName name="_xlpm.ThickenerAmount" hidden="1" xlm="1">#NAME?</definedName>
    <definedName name="_xlpm.To" hidden="1" xlm="1">#NAME?</definedName>
    <definedName name="_xlpm.Tot" hidden="1" xlm="1">#NAME?</definedName>
    <definedName name="_xlpm.Tota" hidden="1" xlm="1">#NAME?</definedName>
    <definedName name="_xlpm.Total" hidden="1" xlm="1">#NAME?</definedName>
    <definedName name="_xlpm.TotalCalories" hidden="1" xlm="1">#NAME?</definedName>
    <definedName name="_xlpm.TotalF" hidden="1" xlm="1">#NAME?</definedName>
    <definedName name="_xlpm.TotalFa" hidden="1" xlm="1">#NAME?</definedName>
    <definedName name="_xlpm.TotalFat" hidden="1" xlm="1">#NAME?</definedName>
    <definedName name="_xlpm.TotalMilk" hidden="1" xlm="1">#NAME?</definedName>
    <definedName name="_xlpm.Totalp" hidden="1" xlm="1">#NAME?</definedName>
    <definedName name="_xlpm.Totalpr" hidden="1" xlm="1">#NAME?</definedName>
    <definedName name="_xlpm.Totalpro" hidden="1" xlm="1">#NAME?</definedName>
    <definedName name="_xlpm.TotalProt" hidden="1" xlm="1">#NAME?</definedName>
    <definedName name="_xlpm.TotalProte" hidden="1" xlm="1">#NAME?</definedName>
    <definedName name="_xlpm.TotalProtei" hidden="1" xlm="1">#NAME?</definedName>
    <definedName name="_xlpm.TotalProtein" hidden="1" xlm="1">#NAME?</definedName>
    <definedName name="_xlpm.TotalS" hidden="1" xlm="1">#NAME?</definedName>
    <definedName name="_xlpm.TotalSu" hidden="1" xlm="1">#NAME?</definedName>
    <definedName name="_xlpm.TotalSug" hidden="1" xlm="1">#NAME?</definedName>
    <definedName name="_xlpm.TotalSuga" hidden="1" xlm="1">#NAME?</definedName>
    <definedName name="_xlpm.TotalSugar" hidden="1" xlm="1">#NAME?</definedName>
    <definedName name="_xlpm.XanthanGum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" i="2" l="1"/>
  <c r="F7" i="27"/>
  <c r="E7" i="27"/>
  <c r="D7" i="27"/>
  <c r="B7" i="27"/>
  <c r="C6" i="27"/>
  <c r="F5" i="27"/>
  <c r="E5" i="27"/>
  <c r="D5" i="27"/>
  <c r="C5" i="27"/>
  <c r="B5" i="27"/>
  <c r="G4" i="27"/>
  <c r="F4" i="27"/>
  <c r="E4" i="27"/>
  <c r="D4" i="27"/>
  <c r="C4" i="27"/>
  <c r="B4" i="27"/>
  <c r="H3" i="27"/>
  <c r="F3" i="27"/>
  <c r="AF84" i="15" a="1"/>
  <c r="U39" i="8" a="1"/>
  <c r="U32" i="8" a="1"/>
  <c r="U77" i="15" a="1"/>
  <c r="Y31" i="15" a="1"/>
  <c r="Y66" i="15" a="1"/>
  <c r="Y13" i="15" a="1"/>
  <c r="Y24" i="15" a="1"/>
  <c r="Y19" i="15" a="1"/>
  <c r="X12" i="15" a="1"/>
  <c r="X18" i="15" a="1"/>
  <c r="X46" i="15" a="1"/>
  <c r="X48" i="15" a="1"/>
  <c r="W4" i="15" a="1"/>
  <c r="W77" i="15" a="1"/>
  <c r="W32" i="15" a="1"/>
  <c r="W17" i="15" a="1"/>
  <c r="V4" i="15" a="1"/>
  <c r="V47" i="15" a="1"/>
  <c r="V82" i="15" a="1"/>
  <c r="V25" i="15" a="1"/>
  <c r="U12" i="15" a="1"/>
  <c r="U22" i="15" a="1"/>
  <c r="U49" i="15" a="1"/>
  <c r="U5" i="15" a="1"/>
  <c r="T60" i="15" a="1"/>
  <c r="T32" i="15" a="1"/>
  <c r="T53" i="15" a="1"/>
  <c r="T41" i="15" a="1"/>
  <c r="Y2" i="15" a="1"/>
  <c r="AA15" i="8" a="1"/>
  <c r="AA13" i="8" a="1"/>
  <c r="Z7" i="8" a="1"/>
  <c r="Y4" i="8" a="1"/>
  <c r="Y22" i="8" a="1"/>
  <c r="X40" i="8" a="1"/>
  <c r="X19" i="8" a="1"/>
  <c r="W14" i="8" a="1"/>
  <c r="V14" i="8" a="1"/>
  <c r="V15" i="8" a="1"/>
  <c r="V22" i="8" a="1"/>
  <c r="Y5" i="15" a="1"/>
  <c r="W38" i="15" a="1"/>
  <c r="V44" i="15" a="1"/>
  <c r="U23" i="15" a="1"/>
  <c r="T62" i="15" a="1"/>
  <c r="Z19" i="8" a="1"/>
  <c r="V3" i="8" a="1"/>
  <c r="Y75" i="15" a="1"/>
  <c r="W34" i="15" a="1"/>
  <c r="V9" i="15" a="1"/>
  <c r="T78" i="15" a="1"/>
  <c r="Y7" i="8" a="1"/>
  <c r="U16" i="8" a="1"/>
  <c r="U9" i="8" a="1"/>
  <c r="V76" i="15" a="1"/>
  <c r="Y47" i="15" a="1"/>
  <c r="Y82" i="15" a="1"/>
  <c r="Y29" i="15" a="1"/>
  <c r="Y40" i="15" a="1"/>
  <c r="Y35" i="15" a="1"/>
  <c r="X20" i="15" a="1"/>
  <c r="X42" i="15" a="1"/>
  <c r="X78" i="15" a="1"/>
  <c r="X25" i="15" a="1"/>
  <c r="W12" i="15" a="1"/>
  <c r="W6" i="15" a="1"/>
  <c r="W50" i="15" a="1"/>
  <c r="W18" i="15" a="1"/>
  <c r="V12" i="15" a="1"/>
  <c r="V79" i="15" a="1"/>
  <c r="V6" i="15" a="1"/>
  <c r="V49" i="15" a="1"/>
  <c r="U20" i="15" a="1"/>
  <c r="U30" i="15" a="1"/>
  <c r="U81" i="15" a="1"/>
  <c r="U14" i="15" a="1"/>
  <c r="T76" i="15" a="1"/>
  <c r="T48" i="15" a="1"/>
  <c r="T69" i="15" a="1"/>
  <c r="T73" i="15" a="1"/>
  <c r="AA3" i="8" a="1"/>
  <c r="AA42" i="8" a="1"/>
  <c r="AA29" i="8" a="1"/>
  <c r="Z17" i="8" a="1"/>
  <c r="Y12" i="8" a="1"/>
  <c r="Y30" i="8" a="1"/>
  <c r="X6" i="8" a="1"/>
  <c r="X25" i="8" a="1"/>
  <c r="W41" i="8" a="1"/>
  <c r="V25" i="8" a="1"/>
  <c r="Y59" i="15" a="1"/>
  <c r="V80" i="15" a="1"/>
  <c r="T49" i="15" a="1"/>
  <c r="X41" i="8" a="1"/>
  <c r="X76" i="15" a="1"/>
  <c r="U39" i="15" a="1"/>
  <c r="Y25" i="8" a="1"/>
  <c r="W3" i="8" a="1"/>
  <c r="U40" i="8" a="1"/>
  <c r="U41" i="8" a="1"/>
  <c r="Y63" i="15" a="1"/>
  <c r="Y3" i="15" a="1"/>
  <c r="Y45" i="15" a="1"/>
  <c r="Y56" i="15" a="1"/>
  <c r="Y51" i="15" a="1"/>
  <c r="X28" i="15" a="1"/>
  <c r="X82" i="15" a="1"/>
  <c r="X7" i="15" a="1"/>
  <c r="X49" i="15" a="1"/>
  <c r="W20" i="15" a="1"/>
  <c r="W14" i="15" a="1"/>
  <c r="W73" i="15" a="1"/>
  <c r="W24" i="15" a="1"/>
  <c r="V20" i="15" a="1"/>
  <c r="V8" i="15" a="1"/>
  <c r="V14" i="15" a="1"/>
  <c r="V81" i="15" a="1"/>
  <c r="U28" i="15" a="1"/>
  <c r="U46" i="15" a="1"/>
  <c r="U18" i="15" a="1"/>
  <c r="U38" i="15" a="1"/>
  <c r="T84" i="15" a="1"/>
  <c r="T80" i="15" a="1"/>
  <c r="T14" i="15" a="1"/>
  <c r="T18" i="15" a="1"/>
  <c r="W2" i="15" a="1"/>
  <c r="AA16" i="8" a="1"/>
  <c r="AA40" i="8" a="1"/>
  <c r="Z25" i="8" a="1"/>
  <c r="Y28" i="8" a="1"/>
  <c r="Y15" i="8" a="1"/>
  <c r="X14" i="8" a="1"/>
  <c r="W4" i="8" a="1"/>
  <c r="W7" i="8" a="1"/>
  <c r="V41" i="8" a="1"/>
  <c r="V18" i="8" a="1"/>
  <c r="V42" i="8" a="1"/>
  <c r="U18" i="8" a="1"/>
  <c r="X47" i="15" a="1"/>
  <c r="U4" i="8" a="1"/>
  <c r="U17" i="8" a="1"/>
  <c r="U10" i="8" a="1"/>
  <c r="Y20" i="15" a="1"/>
  <c r="Y71" i="15" a="1"/>
  <c r="Y27" i="15" a="1"/>
  <c r="Y61" i="15" a="1"/>
  <c r="Y72" i="15" a="1"/>
  <c r="Y67" i="15" a="1"/>
  <c r="X36" i="15" a="1"/>
  <c r="X5" i="15" a="1"/>
  <c r="X23" i="15" a="1"/>
  <c r="X73" i="15" a="1"/>
  <c r="W28" i="15" a="1"/>
  <c r="W22" i="15" a="1"/>
  <c r="W10" i="15" a="1"/>
  <c r="W25" i="15" a="1"/>
  <c r="V28" i="15" a="1"/>
  <c r="V32" i="15" a="1"/>
  <c r="V22" i="15" a="1"/>
  <c r="V10" i="15" a="1"/>
  <c r="U36" i="15" a="1"/>
  <c r="U78" i="15" a="1"/>
  <c r="U34" i="15" a="1"/>
  <c r="U7" i="15" a="1"/>
  <c r="T13" i="15" a="1"/>
  <c r="T9" i="15" a="1"/>
  <c r="T30" i="15" a="1"/>
  <c r="T34" i="15" a="1"/>
  <c r="Y3" i="8" a="1"/>
  <c r="AA17" i="8" a="1"/>
  <c r="AA14" i="8" a="1"/>
  <c r="Z18" i="8" a="1"/>
  <c r="Y47" i="8" a="1"/>
  <c r="Y42" i="8" a="1"/>
  <c r="X22" i="8" a="1"/>
  <c r="W12" i="8" a="1"/>
  <c r="W42" i="8" a="1"/>
  <c r="V7" i="8" a="1"/>
  <c r="V19" i="8" a="1"/>
  <c r="W28" i="8" a="1"/>
  <c r="W10" i="8" a="1"/>
  <c r="Z3" i="8" a="1"/>
  <c r="U19" i="8" a="1"/>
  <c r="X50" i="15" a="1"/>
  <c r="U16" i="15" a="1"/>
  <c r="W47" i="8" a="1"/>
  <c r="Y48" i="15" a="1"/>
  <c r="W46" i="15" a="1"/>
  <c r="V46" i="15" a="1"/>
  <c r="T11" i="15" a="1"/>
  <c r="X7" i="8" a="1"/>
  <c r="X4" i="8" a="1"/>
  <c r="U12" i="8" a="1"/>
  <c r="U33" i="8" a="1"/>
  <c r="U42" i="8" a="1"/>
  <c r="Y76" i="15" a="1"/>
  <c r="Y8" i="15" a="1"/>
  <c r="Y43" i="15" a="1"/>
  <c r="Y77" i="15" a="1"/>
  <c r="Y17" i="15" a="1"/>
  <c r="Y83" i="15" a="1"/>
  <c r="X44" i="15" a="1"/>
  <c r="X13" i="15" a="1"/>
  <c r="X31" i="15" a="1"/>
  <c r="X26" i="15" a="1"/>
  <c r="W36" i="15" a="1"/>
  <c r="W30" i="15" a="1"/>
  <c r="W33" i="15" a="1"/>
  <c r="W8" i="15" a="1"/>
  <c r="V36" i="15" a="1"/>
  <c r="V48" i="15" a="1"/>
  <c r="V30" i="15" a="1"/>
  <c r="V34" i="15" a="1"/>
  <c r="U44" i="15" a="1"/>
  <c r="U15" i="15" a="1"/>
  <c r="U50" i="15" a="1"/>
  <c r="U31" i="15" a="1"/>
  <c r="T29" i="15" a="1"/>
  <c r="T33" i="15" a="1"/>
  <c r="T46" i="15" a="1"/>
  <c r="T50" i="15" a="1"/>
  <c r="V2" i="15" a="1"/>
  <c r="AA25" i="8" a="1"/>
  <c r="AA22" i="8" a="1"/>
  <c r="Z45" i="8" a="1"/>
  <c r="Y14" i="8" a="1"/>
  <c r="Y16" i="8" a="1"/>
  <c r="X30" i="8" a="1"/>
  <c r="Y32" i="15" a="1"/>
  <c r="W16" i="15" a="1"/>
  <c r="U52" i="15" a="1"/>
  <c r="T45" i="15" a="1"/>
  <c r="AA36" i="8" a="1"/>
  <c r="Y21" i="15" a="1"/>
  <c r="W52" i="15" a="1"/>
  <c r="V52" i="15" a="1"/>
  <c r="U82" i="15" a="1"/>
  <c r="AA41" i="8" a="1"/>
  <c r="U20" i="8" a="1"/>
  <c r="U28" i="8" a="1"/>
  <c r="X16" i="8" a="1"/>
  <c r="U36" i="8" a="1"/>
  <c r="U11" i="8" a="1"/>
  <c r="U6" i="8" a="1"/>
  <c r="Y37" i="15" a="1"/>
  <c r="Y64" i="15" a="1"/>
  <c r="Y4" i="15" a="1"/>
  <c r="Y38" i="15" a="1"/>
  <c r="Y49" i="15" a="1"/>
  <c r="X19" i="15" a="1"/>
  <c r="X84" i="15" a="1"/>
  <c r="X37" i="15" a="1"/>
  <c r="X32" i="15" a="1"/>
  <c r="W3" i="15" a="1"/>
  <c r="W76" i="15" a="1"/>
  <c r="W78" i="15" a="1"/>
  <c r="W40" i="15" a="1"/>
  <c r="V3" i="15" a="1"/>
  <c r="V5" i="15" a="1"/>
  <c r="V33" i="15" a="1"/>
  <c r="V78" i="15" a="1"/>
  <c r="U11" i="15" a="1"/>
  <c r="U84" i="15" a="1"/>
  <c r="U47" i="15" a="1"/>
  <c r="U4" i="15" a="1"/>
  <c r="U80" i="15" a="1"/>
  <c r="T6" i="15" a="1"/>
  <c r="T10" i="15" a="1"/>
  <c r="T15" i="15" a="1"/>
  <c r="T19" i="15" a="1"/>
  <c r="T2" i="15" a="1"/>
  <c r="AA18" i="8" a="1"/>
  <c r="Z4" i="8" a="1"/>
  <c r="Z14" i="8" a="1"/>
  <c r="Y36" i="8" a="1"/>
  <c r="Y18" i="8" a="1"/>
  <c r="X15" i="8" a="1"/>
  <c r="W15" i="8" a="1"/>
  <c r="W36" i="8" a="1"/>
  <c r="V36" i="8" a="1"/>
  <c r="V10" i="8" a="1"/>
  <c r="U23" i="8" a="1"/>
  <c r="Y69" i="15" a="1"/>
  <c r="Y28" i="15" a="1"/>
  <c r="Y78" i="15" a="1"/>
  <c r="Y81" i="15" a="1"/>
  <c r="X35" i="15" a="1"/>
  <c r="X79" i="15" a="1"/>
  <c r="X53" i="15" a="1"/>
  <c r="X9" i="15" a="1"/>
  <c r="W19" i="15" a="1"/>
  <c r="W15" i="15" a="1"/>
  <c r="V21" i="15" a="1"/>
  <c r="V18" i="15" a="1"/>
  <c r="U27" i="15" a="1"/>
  <c r="U71" i="15" a="1"/>
  <c r="T38" i="15" a="1"/>
  <c r="W33" i="8" a="1"/>
  <c r="U44" i="8" a="1"/>
  <c r="U35" i="8" a="1"/>
  <c r="U46" i="8" a="1"/>
  <c r="Y53" i="15" a="1"/>
  <c r="Y80" i="15" a="1"/>
  <c r="Y12" i="15" a="1"/>
  <c r="Y54" i="15" a="1"/>
  <c r="Y65" i="15" a="1"/>
  <c r="X27" i="15" a="1"/>
  <c r="X39" i="15" a="1"/>
  <c r="X45" i="15" a="1"/>
  <c r="X72" i="15" a="1"/>
  <c r="W11" i="15" a="1"/>
  <c r="W84" i="15" a="1"/>
  <c r="W7" i="15" a="1"/>
  <c r="W80" i="15" a="1"/>
  <c r="V11" i="15" a="1"/>
  <c r="V13" i="15" a="1"/>
  <c r="V73" i="15" a="1"/>
  <c r="V7" i="15" a="1"/>
  <c r="U19" i="15" a="1"/>
  <c r="U13" i="15" a="1"/>
  <c r="U55" i="15" a="1"/>
  <c r="U79" i="15" a="1"/>
  <c r="U25" i="15" a="1"/>
  <c r="T22" i="15" a="1"/>
  <c r="T26" i="15" a="1"/>
  <c r="T31" i="15" a="1"/>
  <c r="T27" i="15" a="1"/>
  <c r="V33" i="8" a="1"/>
  <c r="AA45" i="8" a="1"/>
  <c r="Z12" i="8" a="1"/>
  <c r="Z22" i="8" a="1"/>
  <c r="Y10" i="8" a="1"/>
  <c r="Y19" i="8" a="1"/>
  <c r="X42" i="8" a="1"/>
  <c r="W16" i="8" a="1"/>
  <c r="W6" i="8" a="1"/>
  <c r="U5" i="8" a="1"/>
  <c r="Y9" i="15" a="1"/>
  <c r="W5" i="15" a="1"/>
  <c r="V19" i="15" a="1"/>
  <c r="V15" i="15" a="1"/>
  <c r="U21" i="15" a="1"/>
  <c r="U26" i="15" a="1"/>
  <c r="T42" i="15" a="1"/>
  <c r="Z28" i="8" a="1"/>
  <c r="U13" i="8" a="1"/>
  <c r="W41" i="15" a="1"/>
  <c r="U24" i="15" a="1"/>
  <c r="AA11" i="8" a="1"/>
  <c r="U29" i="8" a="1"/>
  <c r="U21" i="8" a="1"/>
  <c r="U47" i="8" a="1"/>
  <c r="Y14" i="15" a="1"/>
  <c r="Y41" i="15" a="1"/>
  <c r="Y36" i="15" a="1"/>
  <c r="Y15" i="15" a="1"/>
  <c r="Y18" i="15" a="1"/>
  <c r="X43" i="15" a="1"/>
  <c r="X8" i="15" a="1"/>
  <c r="X69" i="15" a="1"/>
  <c r="X41" i="15" a="1"/>
  <c r="W27" i="15" a="1"/>
  <c r="W13" i="15" a="1"/>
  <c r="W23" i="15" a="1"/>
  <c r="W81" i="15" a="1"/>
  <c r="V27" i="15" a="1"/>
  <c r="V29" i="15" a="1"/>
  <c r="V42" i="15" a="1"/>
  <c r="V23" i="15" a="1"/>
  <c r="U35" i="15" a="1"/>
  <c r="U29" i="15" a="1"/>
  <c r="U8" i="15" a="1"/>
  <c r="U56" i="15" a="1"/>
  <c r="T3" i="15" a="1"/>
  <c r="T70" i="15" a="1"/>
  <c r="T82" i="15" a="1"/>
  <c r="T16" i="15" a="1"/>
  <c r="T51" i="15" a="1"/>
  <c r="X33" i="8" a="1"/>
  <c r="AA19" i="8" a="1"/>
  <c r="Z47" i="8" a="1"/>
  <c r="Z15" i="8" a="1"/>
  <c r="Y11" i="8" a="1"/>
  <c r="X12" i="8" a="1"/>
  <c r="X17" i="8" a="1"/>
  <c r="W18" i="8" a="1"/>
  <c r="W11" i="8" a="1"/>
  <c r="V11" i="8" a="1"/>
  <c r="AA30" i="8" a="1"/>
  <c r="V16" i="8" a="1"/>
  <c r="U43" i="8" a="1"/>
  <c r="X16" i="15" a="1"/>
  <c r="AA10" i="8" a="1"/>
  <c r="T35" i="15" a="1"/>
  <c r="V45" i="8" a="1"/>
  <c r="U37" i="8" a="1"/>
  <c r="U45" i="8" a="1"/>
  <c r="U24" i="8" a="1"/>
  <c r="Y30" i="15" a="1"/>
  <c r="Y57" i="15" a="1"/>
  <c r="Y44" i="15" a="1"/>
  <c r="Y23" i="15" a="1"/>
  <c r="Y26" i="15" a="1"/>
  <c r="X51" i="15" a="1"/>
  <c r="X40" i="15" a="1"/>
  <c r="X77" i="15" a="1"/>
  <c r="X10" i="15" a="1"/>
  <c r="W35" i="15" a="1"/>
  <c r="W21" i="15" a="1"/>
  <c r="W31" i="15" a="1"/>
  <c r="W42" i="15" a="1"/>
  <c r="V35" i="15" a="1"/>
  <c r="V37" i="15" a="1"/>
  <c r="V74" i="15" a="1"/>
  <c r="V39" i="15" a="1"/>
  <c r="U43" i="15" a="1"/>
  <c r="U37" i="15" a="1"/>
  <c r="U32" i="15" a="1"/>
  <c r="U17" i="15" a="1"/>
  <c r="T12" i="15" a="1"/>
  <c r="T7" i="15" a="1"/>
  <c r="T4" i="15" a="1"/>
  <c r="T24" i="15" a="1"/>
  <c r="T67" i="15" a="1"/>
  <c r="Y33" i="8" a="1"/>
  <c r="AA4" i="8" a="1"/>
  <c r="Z13" i="8" a="1"/>
  <c r="Z42" i="8" a="1"/>
  <c r="Y5" i="8" a="1"/>
  <c r="X28" i="8" a="1"/>
  <c r="X36" i="8" a="1"/>
  <c r="W19" i="8" a="1"/>
  <c r="V4" i="8" a="1"/>
  <c r="V5" i="8" a="1"/>
  <c r="V6" i="8" a="1"/>
  <c r="Y25" i="15" a="1"/>
  <c r="Y41" i="8" a="1"/>
  <c r="X29" i="15" a="1"/>
  <c r="T81" i="15" a="1"/>
  <c r="W22" i="8" a="1"/>
  <c r="U14" i="8" a="1"/>
  <c r="U22" i="8" a="1"/>
  <c r="U25" i="8" a="1"/>
  <c r="Y46" i="15" a="1"/>
  <c r="Y73" i="15" a="1"/>
  <c r="Y52" i="15" a="1"/>
  <c r="Y39" i="15" a="1"/>
  <c r="Y42" i="15" a="1"/>
  <c r="X67" i="15" a="1"/>
  <c r="X80" i="15" a="1"/>
  <c r="X14" i="15" a="1"/>
  <c r="X34" i="15" a="1"/>
  <c r="W43" i="15" a="1"/>
  <c r="W29" i="15" a="1"/>
  <c r="W39" i="15" a="1"/>
  <c r="W82" i="15" a="1"/>
  <c r="V43" i="15" a="1"/>
  <c r="V45" i="15" a="1"/>
  <c r="V84" i="15" a="1"/>
  <c r="V16" i="15" a="1"/>
  <c r="U51" i="15" a="1"/>
  <c r="U45" i="15" a="1"/>
  <c r="U48" i="15" a="1"/>
  <c r="U41" i="15" a="1"/>
  <c r="T20" i="15" a="1"/>
  <c r="T23" i="15" a="1"/>
  <c r="T28" i="15" a="1"/>
  <c r="T40" i="15" a="1"/>
  <c r="T75" i="15" a="1"/>
  <c r="Z33" i="8" a="1"/>
  <c r="AA12" i="8" a="1"/>
  <c r="Z29" i="8" a="1"/>
  <c r="Z16" i="8" a="1"/>
  <c r="Y13" i="8" a="1"/>
  <c r="X47" i="8" a="1"/>
  <c r="X10" i="8" a="1"/>
  <c r="W5" i="8" a="1"/>
  <c r="V12" i="8" a="1"/>
  <c r="V13" i="8" a="1"/>
  <c r="V47" i="8" a="1"/>
  <c r="Y6" i="15" a="1"/>
  <c r="W44" i="15" a="1"/>
  <c r="W49" i="15" a="1"/>
  <c r="V50" i="15" a="1"/>
  <c r="T74" i="15" a="1"/>
  <c r="W45" i="8" a="1"/>
  <c r="U34" i="8" a="1"/>
  <c r="X74" i="15" a="1"/>
  <c r="T77" i="15" a="1"/>
  <c r="W30" i="8" a="1"/>
  <c r="U30" i="8" a="1"/>
  <c r="U7" i="8" a="1"/>
  <c r="U26" i="8" a="1"/>
  <c r="Y62" i="15" a="1"/>
  <c r="Y10" i="15" a="1"/>
  <c r="Y60" i="15" a="1"/>
  <c r="Y55" i="15" a="1"/>
  <c r="Y58" i="15" a="1"/>
  <c r="X75" i="15" a="1"/>
  <c r="X17" i="15" a="1"/>
  <c r="X22" i="15" a="1"/>
  <c r="X6" i="15" a="1"/>
  <c r="W51" i="15" a="1"/>
  <c r="W37" i="15" a="1"/>
  <c r="W47" i="15" a="1"/>
  <c r="W48" i="15" a="1"/>
  <c r="V51" i="15" a="1"/>
  <c r="V53" i="15" a="1"/>
  <c r="V24" i="15" a="1"/>
  <c r="V40" i="15" a="1"/>
  <c r="U67" i="15" a="1"/>
  <c r="U53" i="15" a="1"/>
  <c r="U72" i="15" a="1"/>
  <c r="U73" i="15" a="1"/>
  <c r="T36" i="15" a="1"/>
  <c r="T47" i="15" a="1"/>
  <c r="T5" i="15" a="1"/>
  <c r="T72" i="15" a="1"/>
  <c r="T83" i="15" a="1"/>
  <c r="AA33" i="8" a="1"/>
  <c r="AA28" i="8" a="1"/>
  <c r="Z40" i="8" a="1"/>
  <c r="Z36" i="8" a="1"/>
  <c r="Y29" i="8" a="1"/>
  <c r="X5" i="8" a="1"/>
  <c r="X18" i="8" a="1"/>
  <c r="W13" i="8" a="1"/>
  <c r="V28" i="8" a="1"/>
  <c r="V40" i="8" a="1"/>
  <c r="V29" i="8" a="1"/>
  <c r="X52" i="15" a="1"/>
  <c r="X11" i="15" a="1"/>
  <c r="W72" i="15" a="1"/>
  <c r="U3" i="15" a="1"/>
  <c r="U2" i="15" a="1"/>
  <c r="T39" i="15" a="1"/>
  <c r="Z41" i="8" a="1"/>
  <c r="U38" i="8" a="1"/>
  <c r="U31" i="8" a="1"/>
  <c r="U27" i="8" a="1"/>
  <c r="Y70" i="15" a="1"/>
  <c r="Y34" i="15" a="1"/>
  <c r="Y68" i="15" a="1"/>
  <c r="Y79" i="15" a="1"/>
  <c r="Y74" i="15" a="1"/>
  <c r="X83" i="15" a="1"/>
  <c r="X33" i="15" a="1"/>
  <c r="X30" i="15" a="1"/>
  <c r="X15" i="15" a="1"/>
  <c r="W75" i="15" a="1"/>
  <c r="W45" i="15" a="1"/>
  <c r="W79" i="15" a="1"/>
  <c r="W26" i="15" a="1"/>
  <c r="V75" i="15" a="1"/>
  <c r="V77" i="15" a="1"/>
  <c r="V41" i="15" a="1"/>
  <c r="V72" i="15" a="1"/>
  <c r="U75" i="15" a="1"/>
  <c r="U61" i="15" a="1"/>
  <c r="U9" i="15" a="1"/>
  <c r="U10" i="15" a="1"/>
  <c r="T44" i="15" a="1"/>
  <c r="T79" i="15" a="1"/>
  <c r="T21" i="15" a="1"/>
  <c r="T17" i="15" a="1"/>
  <c r="T43" i="15" a="1"/>
  <c r="AA6" i="8" a="1"/>
  <c r="AA47" i="8" a="1"/>
  <c r="Z6" i="8" a="1"/>
  <c r="Z10" i="8" a="1"/>
  <c r="Y40" i="8" a="1"/>
  <c r="X13" i="8" a="1"/>
  <c r="X45" i="8" a="1"/>
  <c r="W29" i="8" a="1"/>
  <c r="V30" i="8" a="1"/>
  <c r="X21" i="15" a="1"/>
  <c r="V38" i="15" a="1"/>
  <c r="X3" i="8" a="1"/>
  <c r="Y22" i="15" a="1"/>
  <c r="U40" i="15" a="1"/>
  <c r="V17" i="8" a="1"/>
  <c r="W17" i="8" a="1"/>
  <c r="U15" i="8" a="1"/>
  <c r="U8" i="8" a="1"/>
  <c r="U3" i="8" a="1"/>
  <c r="Y7" i="15" a="1"/>
  <c r="Y50" i="15" a="1"/>
  <c r="Y84" i="15" a="1"/>
  <c r="Y16" i="15" a="1"/>
  <c r="Y11" i="15" a="1"/>
  <c r="X4" i="15" a="1"/>
  <c r="X81" i="15" a="1"/>
  <c r="X38" i="15" a="1"/>
  <c r="X24" i="15" a="1"/>
  <c r="W83" i="15" a="1"/>
  <c r="W53" i="15" a="1"/>
  <c r="W9" i="15" a="1"/>
  <c r="W74" i="15" a="1"/>
  <c r="V83" i="15" a="1"/>
  <c r="V31" i="15" a="1"/>
  <c r="V26" i="15" a="1"/>
  <c r="V17" i="15" a="1"/>
  <c r="U83" i="15" a="1"/>
  <c r="U6" i="15" a="1"/>
  <c r="U33" i="15" a="1"/>
  <c r="U42" i="15" a="1"/>
  <c r="T52" i="15" a="1"/>
  <c r="T8" i="15" a="1"/>
  <c r="T37" i="15" a="1"/>
  <c r="T25" i="15" a="1"/>
  <c r="X2" i="15" a="1"/>
  <c r="AA7" i="8" a="1"/>
  <c r="AA5" i="8" a="1"/>
  <c r="Z30" i="8" a="1"/>
  <c r="Z11" i="8" a="1"/>
  <c r="Y6" i="8" a="1"/>
  <c r="X29" i="8" a="1"/>
  <c r="X11" i="8" a="1"/>
  <c r="W40" i="8" a="1"/>
  <c r="X3" i="15" a="1"/>
  <c r="U74" i="15" a="1"/>
  <c r="Y17" i="8" a="1"/>
  <c r="Y33" i="15" a="1"/>
  <c r="U76" i="15" a="1"/>
  <c r="Z5" i="8" a="1"/>
  <c r="Y45" i="8" a="1"/>
  <c r="W25" i="8" a="1"/>
  <c r="W3" i="8" l="1"/>
  <c r="U27" i="8"/>
  <c r="U26" i="8"/>
  <c r="U25" i="8"/>
  <c r="U24" i="8"/>
  <c r="U47" i="8"/>
  <c r="U23" i="8"/>
  <c r="U46" i="8"/>
  <c r="U6" i="8"/>
  <c r="U43" i="8"/>
  <c r="U19" i="8"/>
  <c r="U42" i="8"/>
  <c r="U10" i="8"/>
  <c r="U41" i="8"/>
  <c r="U9" i="8"/>
  <c r="U32" i="8"/>
  <c r="U8" i="8"/>
  <c r="U31" i="8"/>
  <c r="U7" i="8"/>
  <c r="U22" i="8"/>
  <c r="U45" i="8"/>
  <c r="U21" i="8"/>
  <c r="U5" i="8"/>
  <c r="U35" i="8"/>
  <c r="U11" i="8"/>
  <c r="U34" i="8"/>
  <c r="U18" i="8"/>
  <c r="U33" i="8"/>
  <c r="U17" i="8"/>
  <c r="U40" i="8"/>
  <c r="U16" i="8"/>
  <c r="U39" i="8"/>
  <c r="U15" i="8"/>
  <c r="U38" i="8"/>
  <c r="U30" i="8"/>
  <c r="U14" i="8"/>
  <c r="U37" i="8"/>
  <c r="U29" i="8"/>
  <c r="U13" i="8"/>
  <c r="U44" i="8"/>
  <c r="U36" i="8"/>
  <c r="U28" i="8"/>
  <c r="U20" i="8"/>
  <c r="U12" i="8"/>
  <c r="U4" i="8"/>
  <c r="U3" i="8"/>
  <c r="U77" i="15"/>
  <c r="V76" i="15"/>
  <c r="AF84" i="15"/>
  <c r="Y83" i="15"/>
  <c r="Y67" i="15"/>
  <c r="Y51" i="15"/>
  <c r="Y35" i="15"/>
  <c r="Y19" i="15"/>
  <c r="Y11" i="15"/>
  <c r="Y74" i="15"/>
  <c r="Y58" i="15"/>
  <c r="Y42" i="15"/>
  <c r="Y26" i="15"/>
  <c r="Y18" i="15"/>
  <c r="Y81" i="15"/>
  <c r="Y65" i="15"/>
  <c r="Y49" i="15"/>
  <c r="Y33" i="15"/>
  <c r="Y25" i="15"/>
  <c r="Y17" i="15"/>
  <c r="Y72" i="15"/>
  <c r="Y56" i="15"/>
  <c r="Y40" i="15"/>
  <c r="Y24" i="15"/>
  <c r="Y16" i="15"/>
  <c r="Y79" i="15"/>
  <c r="Y55" i="15"/>
  <c r="Y39" i="15"/>
  <c r="Y23" i="15"/>
  <c r="Y15" i="15"/>
  <c r="Y78" i="15"/>
  <c r="Y54" i="15"/>
  <c r="Y38" i="15"/>
  <c r="Y22" i="15"/>
  <c r="Y6" i="15"/>
  <c r="Y77" i="15"/>
  <c r="Y61" i="15"/>
  <c r="Y45" i="15"/>
  <c r="Y29" i="15"/>
  <c r="Y13" i="15"/>
  <c r="Y84" i="15"/>
  <c r="Y68" i="15"/>
  <c r="Y60" i="15"/>
  <c r="Y52" i="15"/>
  <c r="Y44" i="15"/>
  <c r="Y36" i="15"/>
  <c r="Y28" i="15"/>
  <c r="Y12" i="15"/>
  <c r="Y4" i="15"/>
  <c r="Y75" i="15"/>
  <c r="Y59" i="15"/>
  <c r="Y43" i="15"/>
  <c r="Y27" i="15"/>
  <c r="Y3" i="15"/>
  <c r="Y82" i="15"/>
  <c r="Y66" i="15"/>
  <c r="Y50" i="15"/>
  <c r="Y34" i="15"/>
  <c r="Y10" i="15"/>
  <c r="Y73" i="15"/>
  <c r="Y57" i="15"/>
  <c r="Y41" i="15"/>
  <c r="Y9" i="15"/>
  <c r="Y80" i="15"/>
  <c r="Y64" i="15"/>
  <c r="Y48" i="15"/>
  <c r="Y32" i="15"/>
  <c r="Y8" i="15"/>
  <c r="Y71" i="15"/>
  <c r="Y63" i="15"/>
  <c r="Y47" i="15"/>
  <c r="Y31" i="15"/>
  <c r="Y7" i="15"/>
  <c r="Y70" i="15"/>
  <c r="Y62" i="15"/>
  <c r="Y46" i="15"/>
  <c r="Y30" i="15"/>
  <c r="Y14" i="15"/>
  <c r="Y69" i="15"/>
  <c r="Y53" i="15"/>
  <c r="Y37" i="15"/>
  <c r="Y21" i="15"/>
  <c r="Y5" i="15"/>
  <c r="Y76" i="15"/>
  <c r="Y20" i="15"/>
  <c r="X74" i="15"/>
  <c r="X50" i="15"/>
  <c r="X26" i="15"/>
  <c r="X73" i="15"/>
  <c r="X49" i="15"/>
  <c r="X25" i="15"/>
  <c r="X48" i="15"/>
  <c r="X24" i="15"/>
  <c r="X15" i="15"/>
  <c r="X6" i="15"/>
  <c r="X34" i="15"/>
  <c r="X10" i="15"/>
  <c r="X41" i="15"/>
  <c r="X9" i="15"/>
  <c r="X72" i="15"/>
  <c r="X32" i="15"/>
  <c r="X16" i="15"/>
  <c r="X47" i="15"/>
  <c r="X31" i="15"/>
  <c r="X23" i="15"/>
  <c r="X7" i="15"/>
  <c r="X78" i="15"/>
  <c r="X46" i="15"/>
  <c r="X38" i="15"/>
  <c r="X30" i="15"/>
  <c r="X22" i="15"/>
  <c r="X14" i="15"/>
  <c r="X77" i="15"/>
  <c r="X69" i="15"/>
  <c r="X53" i="15"/>
  <c r="X45" i="15"/>
  <c r="X37" i="15"/>
  <c r="X29" i="15"/>
  <c r="X21" i="15"/>
  <c r="X13" i="15"/>
  <c r="X5" i="15"/>
  <c r="X82" i="15"/>
  <c r="X42" i="15"/>
  <c r="X18" i="15"/>
  <c r="X81" i="15"/>
  <c r="X33" i="15"/>
  <c r="X17" i="15"/>
  <c r="X80" i="15"/>
  <c r="X40" i="15"/>
  <c r="X8" i="15"/>
  <c r="X79" i="15"/>
  <c r="X39" i="15"/>
  <c r="X84" i="15"/>
  <c r="X76" i="15"/>
  <c r="X52" i="15"/>
  <c r="X44" i="15"/>
  <c r="X36" i="15"/>
  <c r="X28" i="15"/>
  <c r="X20" i="15"/>
  <c r="X12" i="15"/>
  <c r="X4" i="15"/>
  <c r="X83" i="15"/>
  <c r="X75" i="15"/>
  <c r="X67" i="15"/>
  <c r="X51" i="15"/>
  <c r="X43" i="15"/>
  <c r="X35" i="15"/>
  <c r="X27" i="15"/>
  <c r="X19" i="15"/>
  <c r="X11" i="15"/>
  <c r="X3" i="15"/>
  <c r="W72" i="15"/>
  <c r="W49" i="15"/>
  <c r="W8" i="15"/>
  <c r="W25" i="15"/>
  <c r="W24" i="15"/>
  <c r="W18" i="15"/>
  <c r="W17" i="15"/>
  <c r="W74" i="15"/>
  <c r="W26" i="15"/>
  <c r="W48" i="15"/>
  <c r="W82" i="15"/>
  <c r="W42" i="15"/>
  <c r="W81" i="15"/>
  <c r="W41" i="15"/>
  <c r="W80" i="15"/>
  <c r="W40" i="15"/>
  <c r="W34" i="15"/>
  <c r="W16" i="15"/>
  <c r="W33" i="15"/>
  <c r="W10" i="15"/>
  <c r="W73" i="15"/>
  <c r="W50" i="15"/>
  <c r="W32" i="15"/>
  <c r="W9" i="15"/>
  <c r="W79" i="15"/>
  <c r="W47" i="15"/>
  <c r="W39" i="15"/>
  <c r="W31" i="15"/>
  <c r="W23" i="15"/>
  <c r="W15" i="15"/>
  <c r="W7" i="15"/>
  <c r="W78" i="15"/>
  <c r="W46" i="15"/>
  <c r="W38" i="15"/>
  <c r="W30" i="15"/>
  <c r="W22" i="15"/>
  <c r="W14" i="15"/>
  <c r="W6" i="15"/>
  <c r="W77" i="15"/>
  <c r="W53" i="15"/>
  <c r="W45" i="15"/>
  <c r="W37" i="15"/>
  <c r="W29" i="15"/>
  <c r="W21" i="15"/>
  <c r="W13" i="15"/>
  <c r="W5" i="15"/>
  <c r="W84" i="15"/>
  <c r="W76" i="15"/>
  <c r="W52" i="15"/>
  <c r="W44" i="15"/>
  <c r="W36" i="15"/>
  <c r="W28" i="15"/>
  <c r="W20" i="15"/>
  <c r="W12" i="15"/>
  <c r="W4" i="15"/>
  <c r="W83" i="15"/>
  <c r="W75" i="15"/>
  <c r="W51" i="15"/>
  <c r="W43" i="15"/>
  <c r="W35" i="15"/>
  <c r="W27" i="15"/>
  <c r="W19" i="15"/>
  <c r="W11" i="15"/>
  <c r="W3" i="15"/>
  <c r="V50" i="15"/>
  <c r="V34" i="15"/>
  <c r="V10" i="15"/>
  <c r="V81" i="15"/>
  <c r="V49" i="15"/>
  <c r="V25" i="15"/>
  <c r="V17" i="15"/>
  <c r="V72" i="15"/>
  <c r="V40" i="15"/>
  <c r="V16" i="15"/>
  <c r="V39" i="15"/>
  <c r="V23" i="15"/>
  <c r="V15" i="15"/>
  <c r="V7" i="15"/>
  <c r="V78" i="15"/>
  <c r="V46" i="15"/>
  <c r="V38" i="15"/>
  <c r="V30" i="15"/>
  <c r="V22" i="15"/>
  <c r="V14" i="15"/>
  <c r="V6" i="15"/>
  <c r="V82" i="15"/>
  <c r="V26" i="15"/>
  <c r="V41" i="15"/>
  <c r="V24" i="15"/>
  <c r="V84" i="15"/>
  <c r="V74" i="15"/>
  <c r="V42" i="15"/>
  <c r="V18" i="15"/>
  <c r="V73" i="15"/>
  <c r="V33" i="15"/>
  <c r="V9" i="15"/>
  <c r="V80" i="15"/>
  <c r="V48" i="15"/>
  <c r="V32" i="15"/>
  <c r="V8" i="15"/>
  <c r="V79" i="15"/>
  <c r="V47" i="15"/>
  <c r="V31" i="15"/>
  <c r="V77" i="15"/>
  <c r="V53" i="15"/>
  <c r="V45" i="15"/>
  <c r="V37" i="15"/>
  <c r="V29" i="15"/>
  <c r="V21" i="15"/>
  <c r="V13" i="15"/>
  <c r="V5" i="15"/>
  <c r="V52" i="15"/>
  <c r="V44" i="15"/>
  <c r="V36" i="15"/>
  <c r="V28" i="15"/>
  <c r="V20" i="15"/>
  <c r="V12" i="15"/>
  <c r="V4" i="15"/>
  <c r="V83" i="15"/>
  <c r="V75" i="15"/>
  <c r="V51" i="15"/>
  <c r="V43" i="15"/>
  <c r="V35" i="15"/>
  <c r="V27" i="15"/>
  <c r="V19" i="15"/>
  <c r="V11" i="15"/>
  <c r="V3" i="15"/>
  <c r="U26" i="15"/>
  <c r="U25" i="15"/>
  <c r="U80" i="15"/>
  <c r="U40" i="15"/>
  <c r="U16" i="15"/>
  <c r="U31" i="15"/>
  <c r="U7" i="15"/>
  <c r="U38" i="15"/>
  <c r="U14" i="15"/>
  <c r="U5" i="15"/>
  <c r="U42" i="15"/>
  <c r="U10" i="15"/>
  <c r="U73" i="15"/>
  <c r="U41" i="15"/>
  <c r="U17" i="15"/>
  <c r="U56" i="15"/>
  <c r="U24" i="15"/>
  <c r="U79" i="15"/>
  <c r="U4" i="15"/>
  <c r="U82" i="15"/>
  <c r="U74" i="15"/>
  <c r="U50" i="15"/>
  <c r="U34" i="15"/>
  <c r="U18" i="15"/>
  <c r="U81" i="15"/>
  <c r="U49" i="15"/>
  <c r="U33" i="15"/>
  <c r="U9" i="15"/>
  <c r="U72" i="15"/>
  <c r="U48" i="15"/>
  <c r="U32" i="15"/>
  <c r="U8" i="15"/>
  <c r="U71" i="15"/>
  <c r="U55" i="15"/>
  <c r="U47" i="15"/>
  <c r="U39" i="15"/>
  <c r="U23" i="15"/>
  <c r="U15" i="15"/>
  <c r="U78" i="15"/>
  <c r="U46" i="15"/>
  <c r="U30" i="15"/>
  <c r="U22" i="15"/>
  <c r="U6" i="15"/>
  <c r="U61" i="15"/>
  <c r="U53" i="15"/>
  <c r="U45" i="15"/>
  <c r="U37" i="15"/>
  <c r="U29" i="15"/>
  <c r="U21" i="15"/>
  <c r="U13" i="15"/>
  <c r="U84" i="15"/>
  <c r="U76" i="15"/>
  <c r="U52" i="15"/>
  <c r="U44" i="15"/>
  <c r="U36" i="15"/>
  <c r="U28" i="15"/>
  <c r="U20" i="15"/>
  <c r="U12" i="15"/>
  <c r="U83" i="15"/>
  <c r="U75" i="15"/>
  <c r="U67" i="15"/>
  <c r="U51" i="15"/>
  <c r="U43" i="15"/>
  <c r="U35" i="15"/>
  <c r="U27" i="15"/>
  <c r="U19" i="15"/>
  <c r="U11" i="15"/>
  <c r="U3" i="15"/>
  <c r="T43" i="15"/>
  <c r="T83" i="15"/>
  <c r="T75" i="15"/>
  <c r="T67" i="15"/>
  <c r="T51" i="15"/>
  <c r="T35" i="15"/>
  <c r="T27" i="15"/>
  <c r="T19" i="15"/>
  <c r="T11" i="15"/>
  <c r="T74" i="15"/>
  <c r="T50" i="15"/>
  <c r="T34" i="15"/>
  <c r="T18" i="15"/>
  <c r="T73" i="15"/>
  <c r="T41" i="15"/>
  <c r="T25" i="15"/>
  <c r="T17" i="15"/>
  <c r="T72" i="15"/>
  <c r="T40" i="15"/>
  <c r="T24" i="15"/>
  <c r="T16" i="15"/>
  <c r="T39" i="15"/>
  <c r="T31" i="15"/>
  <c r="T15" i="15"/>
  <c r="T78" i="15"/>
  <c r="T62" i="15"/>
  <c r="T46" i="15"/>
  <c r="T30" i="15"/>
  <c r="T14" i="15"/>
  <c r="T69" i="15"/>
  <c r="T53" i="15"/>
  <c r="T37" i="15"/>
  <c r="T21" i="15"/>
  <c r="T5" i="15"/>
  <c r="T28" i="15"/>
  <c r="T4" i="15"/>
  <c r="T82" i="15"/>
  <c r="T42" i="15"/>
  <c r="T26" i="15"/>
  <c r="T10" i="15"/>
  <c r="T81" i="15"/>
  <c r="T49" i="15"/>
  <c r="T33" i="15"/>
  <c r="T9" i="15"/>
  <c r="T80" i="15"/>
  <c r="T48" i="15"/>
  <c r="T32" i="15"/>
  <c r="T8" i="15"/>
  <c r="T79" i="15"/>
  <c r="T47" i="15"/>
  <c r="T23" i="15"/>
  <c r="T7" i="15"/>
  <c r="T70" i="15"/>
  <c r="T38" i="15"/>
  <c r="T22" i="15"/>
  <c r="T6" i="15"/>
  <c r="T77" i="15"/>
  <c r="T45" i="15"/>
  <c r="T29" i="15"/>
  <c r="T13" i="15"/>
  <c r="T84" i="15"/>
  <c r="T76" i="15"/>
  <c r="T60" i="15"/>
  <c r="T52" i="15"/>
  <c r="T44" i="15"/>
  <c r="T36" i="15"/>
  <c r="T20" i="15"/>
  <c r="T12" i="15"/>
  <c r="T3" i="15"/>
  <c r="X2" i="15"/>
  <c r="Y2" i="15"/>
  <c r="AA3" i="8"/>
  <c r="W2" i="15"/>
  <c r="Y3" i="8"/>
  <c r="V2" i="15"/>
  <c r="X3" i="8"/>
  <c r="T2" i="15"/>
  <c r="U2" i="15"/>
  <c r="AA33" i="8"/>
  <c r="Z33" i="8"/>
  <c r="Y33" i="8"/>
  <c r="X33" i="8"/>
  <c r="W33" i="8"/>
  <c r="V33" i="8"/>
  <c r="AA41" i="8"/>
  <c r="AA30" i="8"/>
  <c r="AA22" i="8"/>
  <c r="AA14" i="8"/>
  <c r="AA40" i="8"/>
  <c r="AA29" i="8"/>
  <c r="AA13" i="8"/>
  <c r="AA5" i="8"/>
  <c r="AA47" i="8"/>
  <c r="AA28" i="8"/>
  <c r="AA12" i="8"/>
  <c r="AA4" i="8"/>
  <c r="AA19" i="8"/>
  <c r="AA11" i="8"/>
  <c r="AA45" i="8"/>
  <c r="AA18" i="8"/>
  <c r="AA10" i="8"/>
  <c r="AA36" i="8"/>
  <c r="AA25" i="8"/>
  <c r="AA17" i="8"/>
  <c r="AA16" i="8"/>
  <c r="AA42" i="8"/>
  <c r="AA15" i="8"/>
  <c r="AA7" i="8"/>
  <c r="AA6" i="8"/>
  <c r="Z11" i="8"/>
  <c r="Z10" i="8"/>
  <c r="Z36" i="8"/>
  <c r="Z16" i="8"/>
  <c r="Z42" i="8"/>
  <c r="Z15" i="8"/>
  <c r="Z41" i="8"/>
  <c r="Z22" i="8"/>
  <c r="Z14" i="8"/>
  <c r="Z5" i="8"/>
  <c r="Z19" i="8"/>
  <c r="Z45" i="8"/>
  <c r="Z18" i="8"/>
  <c r="Z25" i="8"/>
  <c r="Z17" i="8"/>
  <c r="Z7" i="8"/>
  <c r="Z30" i="8"/>
  <c r="Z6" i="8"/>
  <c r="Z40" i="8"/>
  <c r="Z29" i="8"/>
  <c r="Z13" i="8"/>
  <c r="Z47" i="8"/>
  <c r="Z28" i="8"/>
  <c r="Z12" i="8"/>
  <c r="Z4" i="8"/>
  <c r="Y19" i="8"/>
  <c r="Y18" i="8"/>
  <c r="Y25" i="8"/>
  <c r="Y17" i="8"/>
  <c r="Y16" i="8"/>
  <c r="Y42" i="8"/>
  <c r="Y15" i="8"/>
  <c r="Y30" i="8"/>
  <c r="Y22" i="8"/>
  <c r="Y6" i="8"/>
  <c r="Y40" i="8"/>
  <c r="Y29" i="8"/>
  <c r="Y13" i="8"/>
  <c r="Y5" i="8"/>
  <c r="Y11" i="8"/>
  <c r="Y45" i="8"/>
  <c r="Y10" i="8"/>
  <c r="Y36" i="8"/>
  <c r="Y7" i="8"/>
  <c r="Y41" i="8"/>
  <c r="Y14" i="8"/>
  <c r="Y47" i="8"/>
  <c r="Y28" i="8"/>
  <c r="Y12" i="8"/>
  <c r="Y4" i="8"/>
  <c r="X25" i="8"/>
  <c r="X19" i="8"/>
  <c r="X11" i="8"/>
  <c r="X45" i="8"/>
  <c r="X18" i="8"/>
  <c r="X10" i="8"/>
  <c r="X36" i="8"/>
  <c r="X17" i="8"/>
  <c r="X16" i="8"/>
  <c r="X42" i="8"/>
  <c r="X15" i="8"/>
  <c r="X7" i="8"/>
  <c r="X41" i="8"/>
  <c r="X30" i="8"/>
  <c r="X22" i="8"/>
  <c r="X14" i="8"/>
  <c r="X6" i="8"/>
  <c r="X40" i="8"/>
  <c r="X29" i="8"/>
  <c r="X13" i="8"/>
  <c r="X5" i="8"/>
  <c r="X47" i="8"/>
  <c r="X28" i="8"/>
  <c r="X12" i="8"/>
  <c r="X4" i="8"/>
  <c r="W11" i="8"/>
  <c r="W25" i="8"/>
  <c r="W6" i="8"/>
  <c r="W36" i="8"/>
  <c r="W22" i="8"/>
  <c r="W45" i="8"/>
  <c r="W10" i="8"/>
  <c r="W42" i="8"/>
  <c r="W7" i="8"/>
  <c r="W41" i="8"/>
  <c r="W14" i="8"/>
  <c r="W40" i="8"/>
  <c r="W29" i="8"/>
  <c r="W13" i="8"/>
  <c r="W5" i="8"/>
  <c r="W19" i="8"/>
  <c r="W18" i="8"/>
  <c r="W17" i="8"/>
  <c r="W16" i="8"/>
  <c r="W15" i="8"/>
  <c r="W30" i="8"/>
  <c r="W47" i="8"/>
  <c r="W28" i="8"/>
  <c r="W12" i="8"/>
  <c r="W4" i="8"/>
  <c r="V19" i="8"/>
  <c r="V18" i="8"/>
  <c r="V25" i="8"/>
  <c r="V15" i="8"/>
  <c r="V30" i="8"/>
  <c r="V6" i="8"/>
  <c r="V40" i="8"/>
  <c r="V13" i="8"/>
  <c r="V5" i="8"/>
  <c r="V11" i="8"/>
  <c r="V45" i="8"/>
  <c r="V10" i="8"/>
  <c r="V36" i="8"/>
  <c r="V17" i="8"/>
  <c r="V16" i="8"/>
  <c r="V42" i="8"/>
  <c r="V7" i="8"/>
  <c r="V41" i="8"/>
  <c r="V22" i="8"/>
  <c r="V14" i="8"/>
  <c r="V29" i="8"/>
  <c r="V47" i="8"/>
  <c r="V28" i="8"/>
  <c r="V12" i="8"/>
  <c r="V4" i="8"/>
  <c r="Z3" i="8"/>
  <c r="V3" i="8"/>
  <c r="R3" i="8" a="1"/>
  <c r="R4" i="8" a="1"/>
  <c r="AI39" i="8" a="1"/>
  <c r="AI35" i="8" a="1"/>
  <c r="AG38" i="8" a="1"/>
  <c r="AF46" i="8" a="1"/>
  <c r="AE26" i="8" a="1"/>
  <c r="AD34" i="8" a="1"/>
  <c r="Q81" i="15" a="1"/>
  <c r="R74" i="15" a="1"/>
  <c r="AG44" i="8" a="1"/>
  <c r="AF9" i="8" a="1"/>
  <c r="AE37" i="8" a="1"/>
  <c r="AD39" i="8" a="1"/>
  <c r="Q76" i="15" a="1"/>
  <c r="AE35" i="8" a="1"/>
  <c r="R76" i="15" a="1"/>
  <c r="AF34" i="8" a="1"/>
  <c r="AE32" i="8" a="1"/>
  <c r="AF26" i="8" a="1"/>
  <c r="AI44" i="8" a="1"/>
  <c r="AI43" i="8" a="1"/>
  <c r="AI8" i="8" a="1"/>
  <c r="AI20" i="8" a="1"/>
  <c r="AG35" i="8" a="1"/>
  <c r="AF44" i="8" a="1"/>
  <c r="AE44" i="8" a="1"/>
  <c r="AD24" i="8" a="1"/>
  <c r="Q80" i="15" a="1"/>
  <c r="Q82" i="15" a="1"/>
  <c r="AI9" i="8" a="1"/>
  <c r="AG43" i="8" a="1"/>
  <c r="AF43" i="8" a="1"/>
  <c r="AE43" i="8" a="1"/>
  <c r="AD21" i="8" a="1"/>
  <c r="R80" i="15" a="1"/>
  <c r="R82" i="15" a="1"/>
  <c r="AG8" i="8" a="1"/>
  <c r="AE21" i="8" a="1"/>
  <c r="AG46" i="8" a="1"/>
  <c r="AF38" i="8" a="1"/>
  <c r="Q72" i="15" a="1"/>
  <c r="AD37" i="8" a="1"/>
  <c r="AI26" i="8" a="1"/>
  <c r="Q73" i="15" a="1"/>
  <c r="AF31" i="8" a="1"/>
  <c r="AD43" i="8" a="1"/>
  <c r="AI24" i="8" a="1"/>
  <c r="AI23" i="8" a="1"/>
  <c r="AG26" i="8" a="1"/>
  <c r="AG32" i="8" a="1"/>
  <c r="AF20" i="8" a="1"/>
  <c r="AE23" i="8" a="1"/>
  <c r="AD9" i="8" a="1"/>
  <c r="R73" i="15" a="1"/>
  <c r="R79" i="15" a="1"/>
  <c r="Q78" i="15" a="1"/>
  <c r="AG37" i="8" a="1"/>
  <c r="AE34" i="8" a="1"/>
  <c r="R83" i="15" a="1"/>
  <c r="R78" i="15" a="1"/>
  <c r="AF27" i="8" a="1"/>
  <c r="AE9" i="8" a="1"/>
  <c r="AE24" i="8" a="1"/>
  <c r="AG9" i="8" a="1"/>
  <c r="AI46" i="8" a="1"/>
  <c r="AG24" i="8" a="1"/>
  <c r="AF8" i="8" a="1"/>
  <c r="AF39" i="8" a="1"/>
  <c r="AE46" i="8" a="1"/>
  <c r="AD32" i="8" a="1"/>
  <c r="Q83" i="15" a="1"/>
  <c r="AF37" i="8" a="1"/>
  <c r="AF32" i="8" a="1"/>
  <c r="AD23" i="8" a="1"/>
  <c r="AG23" i="8" a="1"/>
  <c r="AD35" i="8" a="1"/>
  <c r="AD44" i="8" a="1"/>
  <c r="AE39" i="8" a="1"/>
  <c r="AI34" i="8" a="1"/>
  <c r="AI32" i="8" a="1"/>
  <c r="AE8" i="8" a="1"/>
  <c r="Q75" i="15" a="1"/>
  <c r="AE20" i="8" a="1"/>
  <c r="AI27" i="8" a="1"/>
  <c r="AI31" i="8" a="1"/>
  <c r="AI38" i="8" a="1"/>
  <c r="AI37" i="8" a="1"/>
  <c r="AG39" i="8" a="1"/>
  <c r="AF24" i="8" a="1"/>
  <c r="AE27" i="8" a="1"/>
  <c r="AD27" i="8" a="1"/>
  <c r="S3" i="8" a="1"/>
  <c r="Q84" i="15" a="1"/>
  <c r="AG31" i="8" a="1"/>
  <c r="AD38" i="8" a="1"/>
  <c r="Q74" i="15" a="1"/>
  <c r="AF35" i="8" a="1"/>
  <c r="AD26" i="8" a="1"/>
  <c r="AD46" i="8" a="1"/>
  <c r="AG34" i="8" a="1"/>
  <c r="AD20" i="8" a="1"/>
  <c r="AI21" i="8" a="1"/>
  <c r="AG27" i="8" a="1"/>
  <c r="AF21" i="8" a="1"/>
  <c r="AE31" i="8" a="1"/>
  <c r="AD31" i="8" a="1"/>
  <c r="R84" i="15" a="1"/>
  <c r="AF23" i="8" a="1"/>
  <c r="AE38" i="8" a="1"/>
  <c r="Q77" i="15" a="1"/>
  <c r="R81" i="15" a="1"/>
  <c r="AG21" i="8" a="1"/>
  <c r="R77" i="15" a="1"/>
  <c r="AG20" i="8" a="1"/>
  <c r="Q79" i="15" a="1"/>
  <c r="R75" i="15" a="1"/>
  <c r="AD8" i="8" a="1"/>
  <c r="R72" i="15" a="1"/>
  <c r="R3" i="8" l="1"/>
  <c r="R4" i="8"/>
  <c r="AI9" i="8"/>
  <c r="AI20" i="8"/>
  <c r="AI43" i="8"/>
  <c r="AI44" i="8"/>
  <c r="AI35" i="8"/>
  <c r="AI39" i="8"/>
  <c r="AI21" i="8"/>
  <c r="AI37" i="8"/>
  <c r="AI38" i="8"/>
  <c r="AI31" i="8"/>
  <c r="AI27" i="8"/>
  <c r="AI32" i="8"/>
  <c r="AI34" i="8"/>
  <c r="AI46" i="8"/>
  <c r="AI23" i="8"/>
  <c r="AI24" i="8"/>
  <c r="AI26" i="8"/>
  <c r="AI8" i="8"/>
  <c r="AG32" i="8"/>
  <c r="AG20" i="8"/>
  <c r="AG43" i="8"/>
  <c r="AG35" i="8"/>
  <c r="AG21" i="8"/>
  <c r="AG44" i="8"/>
  <c r="AG38" i="8"/>
  <c r="AG31" i="8"/>
  <c r="AG27" i="8"/>
  <c r="AG39" i="8"/>
  <c r="AG9" i="8"/>
  <c r="AG34" i="8"/>
  <c r="AG46" i="8"/>
  <c r="AG23" i="8"/>
  <c r="AG37" i="8"/>
  <c r="AG24" i="8"/>
  <c r="AG26" i="8"/>
  <c r="AG8" i="8"/>
  <c r="AF32" i="8"/>
  <c r="AF39" i="8"/>
  <c r="AF20" i="8"/>
  <c r="AF34" i="8"/>
  <c r="AF43" i="8"/>
  <c r="AF44" i="8"/>
  <c r="AF35" i="8"/>
  <c r="AF9" i="8"/>
  <c r="AF46" i="8"/>
  <c r="AF23" i="8"/>
  <c r="AF21" i="8"/>
  <c r="AF24" i="8"/>
  <c r="AF26" i="8"/>
  <c r="AF38" i="8"/>
  <c r="AF31" i="8"/>
  <c r="AF27" i="8"/>
  <c r="AF37" i="8"/>
  <c r="AF8" i="8"/>
  <c r="AE32" i="8"/>
  <c r="AE9" i="8"/>
  <c r="AE34" i="8"/>
  <c r="AE46" i="8"/>
  <c r="AE23" i="8"/>
  <c r="AE21" i="8"/>
  <c r="AE43" i="8"/>
  <c r="AE44" i="8"/>
  <c r="AE35" i="8"/>
  <c r="AE37" i="8"/>
  <c r="AE26" i="8"/>
  <c r="AE38" i="8"/>
  <c r="AE31" i="8"/>
  <c r="AE27" i="8"/>
  <c r="AE39" i="8"/>
  <c r="AE20" i="8"/>
  <c r="AE24" i="8"/>
  <c r="AE8" i="8"/>
  <c r="AD20" i="8"/>
  <c r="AD43" i="8"/>
  <c r="AD44" i="8"/>
  <c r="AD35" i="8"/>
  <c r="AD23" i="8"/>
  <c r="AD32" i="8"/>
  <c r="AD9" i="8"/>
  <c r="AD46" i="8"/>
  <c r="AD21" i="8"/>
  <c r="AD24" i="8"/>
  <c r="AD26" i="8"/>
  <c r="AD39" i="8"/>
  <c r="AD34" i="8"/>
  <c r="AD38" i="8"/>
  <c r="AD31" i="8"/>
  <c r="AD27" i="8"/>
  <c r="AD37" i="8"/>
  <c r="AD8" i="8"/>
  <c r="S3" i="8"/>
  <c r="Q77" i="15"/>
  <c r="R78" i="15"/>
  <c r="Q78" i="15"/>
  <c r="R79" i="15"/>
  <c r="Q79" i="15"/>
  <c r="R82" i="15"/>
  <c r="Q82" i="15"/>
  <c r="R76" i="15"/>
  <c r="Q76" i="15"/>
  <c r="R74" i="15"/>
  <c r="Q74" i="15"/>
  <c r="R84" i="15"/>
  <c r="Q84" i="15"/>
  <c r="R72" i="15"/>
  <c r="Q72" i="15"/>
  <c r="R75" i="15"/>
  <c r="Q75" i="15"/>
  <c r="R83" i="15"/>
  <c r="Q83" i="15"/>
  <c r="R73" i="15"/>
  <c r="Q73" i="15"/>
  <c r="R80" i="15"/>
  <c r="Q80" i="15"/>
  <c r="R77" i="15"/>
  <c r="R81" i="15"/>
  <c r="Q81" i="15"/>
  <c r="AL76" i="15" a="1"/>
  <c r="AG73" i="15" a="1"/>
  <c r="AE74" i="15" a="1"/>
  <c r="AC82" i="15" a="1"/>
  <c r="AB75" i="15" a="1"/>
  <c r="AE79" i="15" a="1"/>
  <c r="AB76" i="15" a="1"/>
  <c r="AG84" i="15" a="1"/>
  <c r="AB80" i="15" a="1"/>
  <c r="AB74" i="15" a="1"/>
  <c r="AB73" i="15" a="1"/>
  <c r="AL77" i="15" a="1"/>
  <c r="AB72" i="15" a="1"/>
  <c r="AC79" i="15" a="1"/>
  <c r="AL80" i="15" a="1"/>
  <c r="AG79" i="15" a="1"/>
  <c r="AC83" i="15" a="1"/>
  <c r="AC78" i="15" a="1"/>
  <c r="AG77" i="15" a="1"/>
  <c r="AE73" i="15" a="1"/>
  <c r="AD80" i="15" a="1"/>
  <c r="AE3" i="8" a="1"/>
  <c r="AG78" i="15" a="1"/>
  <c r="AE83" i="15" a="1"/>
  <c r="AB78" i="15" a="1"/>
  <c r="AL74" i="15" a="1"/>
  <c r="AE84" i="15" a="1"/>
  <c r="AC76" i="15" a="1"/>
  <c r="AE72" i="15" a="1"/>
  <c r="AD74" i="15" a="1"/>
  <c r="AD73" i="15" a="1"/>
  <c r="AL73" i="15" a="1"/>
  <c r="AG72" i="15" a="1"/>
  <c r="AD82" i="15" a="1"/>
  <c r="AC75" i="15" a="1"/>
  <c r="AL79" i="15" a="1"/>
  <c r="AD83" i="15" a="1"/>
  <c r="AC73" i="15" a="1"/>
  <c r="AE77" i="15" a="1"/>
  <c r="AG83" i="15" a="1"/>
  <c r="AD77" i="15" a="1"/>
  <c r="AL84" i="15" a="1"/>
  <c r="AG81" i="15" a="1"/>
  <c r="AD78" i="15" a="1"/>
  <c r="AC80" i="15" a="1"/>
  <c r="AB79" i="15" a="1"/>
  <c r="AL72" i="15" a="1"/>
  <c r="AE76" i="15" a="1"/>
  <c r="AD75" i="15" a="1"/>
  <c r="AC74" i="15" a="1"/>
  <c r="AB84" i="15" a="1"/>
  <c r="AD76" i="15" a="1"/>
  <c r="AL81" i="15" a="1"/>
  <c r="AF3" i="8" a="1"/>
  <c r="AC84" i="15" a="1"/>
  <c r="AD3" i="8" a="1"/>
  <c r="AG82" i="15" a="1"/>
  <c r="AC72" i="15" a="1"/>
  <c r="AL82" i="15" a="1"/>
  <c r="AC81" i="15" a="1"/>
  <c r="AI3" i="8" a="1"/>
  <c r="AG75" i="15" a="1"/>
  <c r="AB83" i="15" a="1"/>
  <c r="AG3" i="8" a="1"/>
  <c r="AB81" i="15" a="1"/>
  <c r="AE81" i="15" a="1"/>
  <c r="AC77" i="15" a="1"/>
  <c r="AD84" i="15" a="1"/>
  <c r="AE80" i="15" a="1"/>
  <c r="AE82" i="15" a="1"/>
  <c r="AG74" i="15" a="1"/>
  <c r="AD79" i="15" a="1"/>
  <c r="AB77" i="15" a="1"/>
  <c r="AL83" i="15" a="1"/>
  <c r="AG76" i="15" a="1"/>
  <c r="AE78" i="15" a="1"/>
  <c r="AD72" i="15" a="1"/>
  <c r="AB82" i="15" a="1"/>
  <c r="AD81" i="15" a="1"/>
  <c r="AL78" i="15" a="1"/>
  <c r="AG80" i="15" a="1"/>
  <c r="AE75" i="15" a="1"/>
  <c r="AL75" i="15" a="1"/>
  <c r="AD3" i="8" l="1"/>
  <c r="AI3" i="8"/>
  <c r="AG3" i="8"/>
  <c r="AF3" i="8"/>
  <c r="AE3" i="8"/>
  <c r="AB77" i="15"/>
  <c r="AL81" i="15"/>
  <c r="AL77" i="15"/>
  <c r="AL72" i="15"/>
  <c r="AL84" i="15"/>
  <c r="AL79" i="15"/>
  <c r="AL73" i="15"/>
  <c r="AL74" i="15"/>
  <c r="AL80" i="15"/>
  <c r="AL76" i="15"/>
  <c r="AL75" i="15"/>
  <c r="AL78" i="15"/>
  <c r="AL83" i="15"/>
  <c r="AL82" i="15"/>
  <c r="AG81" i="15"/>
  <c r="AG77" i="15"/>
  <c r="AG72" i="15"/>
  <c r="AG84" i="15"/>
  <c r="AG79" i="15"/>
  <c r="AG73" i="15"/>
  <c r="AG74" i="15"/>
  <c r="AG80" i="15"/>
  <c r="AG76" i="15"/>
  <c r="AG75" i="15"/>
  <c r="AG78" i="15"/>
  <c r="AG83" i="15"/>
  <c r="AG82" i="15"/>
  <c r="AE84" i="15"/>
  <c r="AE79" i="15"/>
  <c r="AE74" i="15"/>
  <c r="AE80" i="15"/>
  <c r="AE75" i="15"/>
  <c r="AE78" i="15"/>
  <c r="AE83" i="15"/>
  <c r="AE82" i="15"/>
  <c r="AE81" i="15"/>
  <c r="AE77" i="15"/>
  <c r="AE72" i="15"/>
  <c r="AE73" i="15"/>
  <c r="AE76" i="15"/>
  <c r="AD81" i="15"/>
  <c r="AD77" i="15"/>
  <c r="AD72" i="15"/>
  <c r="AD84" i="15"/>
  <c r="AD79" i="15"/>
  <c r="AD73" i="15"/>
  <c r="AD74" i="15"/>
  <c r="AD80" i="15"/>
  <c r="AD76" i="15"/>
  <c r="AD75" i="15"/>
  <c r="AD78" i="15"/>
  <c r="AD83" i="15"/>
  <c r="AD82" i="15"/>
  <c r="AC81" i="15"/>
  <c r="AC77" i="15"/>
  <c r="AC72" i="15"/>
  <c r="AC84" i="15"/>
  <c r="AC79" i="15"/>
  <c r="AC73" i="15"/>
  <c r="AC74" i="15"/>
  <c r="AC80" i="15"/>
  <c r="AC76" i="15"/>
  <c r="AC75" i="15"/>
  <c r="AC78" i="15"/>
  <c r="AC83" i="15"/>
  <c r="AC82" i="15"/>
  <c r="AB81" i="15"/>
  <c r="AB72" i="15"/>
  <c r="AB84" i="15"/>
  <c r="AB79" i="15"/>
  <c r="AB73" i="15"/>
  <c r="AB74" i="15"/>
  <c r="AB80" i="15"/>
  <c r="AB76" i="15"/>
  <c r="AB75" i="15"/>
  <c r="AB78" i="15"/>
  <c r="AB83" i="15"/>
  <c r="AB82" i="15"/>
  <c r="S81" i="15"/>
  <c r="S77" i="15"/>
  <c r="S72" i="15"/>
  <c r="S84" i="15"/>
  <c r="S79" i="15"/>
  <c r="S73" i="15"/>
  <c r="S74" i="15"/>
  <c r="S80" i="15"/>
  <c r="S76" i="15"/>
  <c r="S78" i="15"/>
  <c r="S75" i="15"/>
  <c r="S83" i="15"/>
  <c r="S82" i="15"/>
  <c r="AM9" i="15" a="1"/>
  <c r="AM64" i="15" a="1"/>
  <c r="AM55" i="15" a="1"/>
  <c r="AM10" i="15" a="1"/>
  <c r="AM70" i="15" a="1"/>
  <c r="AM82" i="15" a="1"/>
  <c r="AM18" i="15" a="1"/>
  <c r="AM24" i="15" a="1"/>
  <c r="AM13" i="15" a="1"/>
  <c r="AM16" i="15" a="1"/>
  <c r="AM78" i="15" a="1"/>
  <c r="AM11" i="15" a="1"/>
  <c r="AM30" i="15" a="1"/>
  <c r="AM8" i="15" a="1"/>
  <c r="AM73" i="15" a="1"/>
  <c r="AM58" i="15" a="1"/>
  <c r="AM69" i="15" a="1"/>
  <c r="AM20" i="15" a="1"/>
  <c r="AM7" i="15" a="1"/>
  <c r="AM25" i="15" a="1"/>
  <c r="AM63" i="15" a="1"/>
  <c r="AM45" i="15" a="1"/>
  <c r="AM83" i="15" a="1"/>
  <c r="AM43" i="15" a="1"/>
  <c r="AM34" i="15" a="1"/>
  <c r="AM48" i="15" a="1"/>
  <c r="AM42" i="15" a="1"/>
  <c r="AM38" i="15" a="1"/>
  <c r="AM53" i="15" a="1"/>
  <c r="AM61" i="15" a="1"/>
  <c r="AM6" i="15" a="1"/>
  <c r="AM54" i="15" a="1"/>
  <c r="AM50" i="15" a="1"/>
  <c r="AM84" i="15" a="1"/>
  <c r="AM3" i="15" a="1"/>
  <c r="AM22" i="15" a="1"/>
  <c r="AM40" i="15" a="1"/>
  <c r="AM74" i="15" a="1"/>
  <c r="AM46" i="15" a="1"/>
  <c r="AM71" i="15" a="1"/>
  <c r="AM5" i="15" a="1"/>
  <c r="AM14" i="15" a="1"/>
  <c r="AM60" i="15" a="1"/>
  <c r="AM28" i="15" a="1"/>
  <c r="AM36" i="15" a="1"/>
  <c r="AM75" i="15" a="1"/>
  <c r="AM26" i="15" a="1"/>
  <c r="AM67" i="15" a="1"/>
  <c r="AM49" i="15" a="1"/>
  <c r="AM19" i="15" a="1"/>
  <c r="AM4" i="15" a="1"/>
  <c r="AM44" i="15" a="1"/>
  <c r="AM66" i="15" a="1"/>
  <c r="AM51" i="15" a="1"/>
  <c r="AM41" i="15" a="1"/>
  <c r="AM15" i="15" a="1"/>
  <c r="AM65" i="15" a="1"/>
  <c r="AM17" i="15" a="1"/>
  <c r="AM32" i="15" a="1"/>
  <c r="AM37" i="15" a="1"/>
  <c r="AM81" i="15" a="1"/>
  <c r="AM52" i="15" a="1"/>
  <c r="AM57" i="15" a="1"/>
  <c r="AM29" i="15" a="1"/>
  <c r="AM27" i="15" a="1"/>
  <c r="AM72" i="15" a="1"/>
  <c r="AM47" i="15" a="1"/>
  <c r="AM33" i="15" a="1"/>
  <c r="AM80" i="15" a="1"/>
  <c r="AM31" i="15" a="1"/>
  <c r="AM68" i="15" a="1"/>
  <c r="AM39" i="15" a="1"/>
  <c r="AM77" i="15" a="1"/>
  <c r="AM62" i="15" a="1"/>
  <c r="AM12" i="15" a="1"/>
  <c r="AM76" i="15" a="1"/>
  <c r="AM23" i="15" a="1"/>
  <c r="AM79" i="15" a="1"/>
  <c r="AM59" i="15" a="1"/>
  <c r="AM56" i="15" a="1"/>
  <c r="AM35" i="15" a="1"/>
  <c r="AM21" i="15" a="1"/>
  <c r="AM2" i="15" a="1"/>
  <c r="AF79" i="15" a="1"/>
  <c r="AF83" i="15" a="1"/>
  <c r="AF73" i="15" a="1"/>
  <c r="AF77" i="15" a="1"/>
  <c r="AF82" i="15" a="1"/>
  <c r="AF81" i="15" a="1"/>
  <c r="AF78" i="15" a="1"/>
  <c r="AF74" i="15" a="1"/>
  <c r="AF71" i="15" a="1"/>
  <c r="AH3" i="8" a="1"/>
  <c r="AF76" i="15" a="1"/>
  <c r="AF72" i="15" a="1"/>
  <c r="AF80" i="15" a="1"/>
  <c r="AF75" i="15" a="1"/>
  <c r="AJ72" i="15" a="1"/>
  <c r="AI78" i="15" a="1"/>
  <c r="AH79" i="15" a="1"/>
  <c r="Z82" i="15" a="1"/>
  <c r="AK82" i="15" a="1"/>
  <c r="AJ75" i="15" a="1"/>
  <c r="AI79" i="15" a="1"/>
  <c r="AH82" i="15" a="1"/>
  <c r="AK74" i="15" a="1"/>
  <c r="AJ83" i="15" a="1"/>
  <c r="AI72" i="15" a="1"/>
  <c r="AH75" i="15" a="1"/>
  <c r="Z80" i="15" a="1"/>
  <c r="AJ84" i="15" a="1"/>
  <c r="AI83" i="15" a="1"/>
  <c r="AH72" i="15" a="1"/>
  <c r="AJ79" i="15" a="1"/>
  <c r="AI75" i="15" a="1"/>
  <c r="AH76" i="15" a="1"/>
  <c r="AJ73" i="15" a="1"/>
  <c r="AI76" i="15" a="1"/>
  <c r="AH74" i="15" a="1"/>
  <c r="Z84" i="15" a="1"/>
  <c r="AK81" i="15" a="1"/>
  <c r="AJ80" i="15" a="1"/>
  <c r="AI82" i="15" a="1"/>
  <c r="AH73" i="15" a="1"/>
  <c r="Z76" i="15" a="1"/>
  <c r="AK77" i="15" a="1"/>
  <c r="AJ78" i="15" a="1"/>
  <c r="AK83" i="15" a="1"/>
  <c r="Z77" i="15" a="1"/>
  <c r="AJ74" i="15" a="1"/>
  <c r="AJ77" i="15" a="1"/>
  <c r="AH77" i="15" a="1"/>
  <c r="AH84" i="15" a="1"/>
  <c r="AI77" i="15" a="1"/>
  <c r="AH83" i="15" a="1"/>
  <c r="AK80" i="15" a="1"/>
  <c r="AI74" i="15" a="1"/>
  <c r="AK72" i="15" a="1"/>
  <c r="AK73" i="15" a="1"/>
  <c r="Z78" i="15" a="1"/>
  <c r="AI81" i="15" a="1"/>
  <c r="Z74" i="15" a="1"/>
  <c r="AH78" i="15" a="1"/>
  <c r="Z75" i="15" a="1"/>
  <c r="AK75" i="15" a="1"/>
  <c r="AI73" i="15" a="1"/>
  <c r="Z81" i="15" a="1"/>
  <c r="AK78" i="15" a="1"/>
  <c r="AJ82" i="15" a="1"/>
  <c r="Z79" i="15" a="1"/>
  <c r="AJ76" i="15" a="1"/>
  <c r="AI80" i="15" a="1"/>
  <c r="AH80" i="15" a="1"/>
  <c r="Z73" i="15" a="1"/>
  <c r="AK76" i="15" a="1"/>
  <c r="AH81" i="15" a="1"/>
  <c r="Z72" i="15" a="1"/>
  <c r="AJ81" i="15" a="1"/>
  <c r="AK84" i="15" a="1"/>
  <c r="AK79" i="15" a="1"/>
  <c r="AI84" i="15" a="1"/>
  <c r="Z83" i="15" a="1"/>
  <c r="AH3" i="8" l="1"/>
  <c r="AM21" i="15"/>
  <c r="AM35" i="15"/>
  <c r="AM56" i="15"/>
  <c r="AM59" i="15"/>
  <c r="AM79" i="15"/>
  <c r="AM23" i="15"/>
  <c r="AM76" i="15"/>
  <c r="AM12" i="15"/>
  <c r="AM62" i="15"/>
  <c r="AM77" i="15"/>
  <c r="AM39" i="15"/>
  <c r="AM68" i="15"/>
  <c r="AM31" i="15"/>
  <c r="AM80" i="15"/>
  <c r="AM33" i="15"/>
  <c r="AM47" i="15"/>
  <c r="AM72" i="15"/>
  <c r="AM27" i="15"/>
  <c r="AM29" i="15"/>
  <c r="AM57" i="15"/>
  <c r="AM52" i="15"/>
  <c r="AM81" i="15"/>
  <c r="AM37" i="15"/>
  <c r="AM32" i="15"/>
  <c r="AM17" i="15"/>
  <c r="AM65" i="15"/>
  <c r="AM15" i="15"/>
  <c r="AM41" i="15"/>
  <c r="AM51" i="15"/>
  <c r="AM66" i="15"/>
  <c r="AM44" i="15"/>
  <c r="AM4" i="15"/>
  <c r="AM19" i="15"/>
  <c r="AM49" i="15"/>
  <c r="AM67" i="15"/>
  <c r="AM26" i="15"/>
  <c r="AM75" i="15"/>
  <c r="AM36" i="15"/>
  <c r="AM28" i="15"/>
  <c r="AM60" i="15"/>
  <c r="AM14" i="15"/>
  <c r="AM5" i="15"/>
  <c r="AM71" i="15"/>
  <c r="AM46" i="15"/>
  <c r="AM74" i="15"/>
  <c r="AM40" i="15"/>
  <c r="AM22" i="15"/>
  <c r="AM3" i="15"/>
  <c r="AM84" i="15"/>
  <c r="AM50" i="15"/>
  <c r="AM54" i="15"/>
  <c r="AM6" i="15"/>
  <c r="AM61" i="15"/>
  <c r="AM53" i="15"/>
  <c r="AM38" i="15"/>
  <c r="AM42" i="15"/>
  <c r="AM48" i="15"/>
  <c r="AM34" i="15"/>
  <c r="AM43" i="15"/>
  <c r="AM83" i="15"/>
  <c r="AM45" i="15"/>
  <c r="AM63" i="15"/>
  <c r="AM25" i="15"/>
  <c r="AM7" i="15"/>
  <c r="AM20" i="15"/>
  <c r="AM69" i="15"/>
  <c r="AM58" i="15"/>
  <c r="AM73" i="15"/>
  <c r="AM8" i="15"/>
  <c r="AM30" i="15"/>
  <c r="AM11" i="15"/>
  <c r="AM78" i="15"/>
  <c r="AM16" i="15"/>
  <c r="AM13" i="15"/>
  <c r="AM24" i="15"/>
  <c r="AM18" i="15"/>
  <c r="AM82" i="15"/>
  <c r="AM70" i="15"/>
  <c r="AM10" i="15"/>
  <c r="AM55" i="15"/>
  <c r="AM64" i="15"/>
  <c r="AM9" i="15"/>
  <c r="AK75" i="15"/>
  <c r="AK79" i="15"/>
  <c r="AK84" i="15"/>
  <c r="AK73" i="15"/>
  <c r="AK76" i="15"/>
  <c r="AK72" i="15"/>
  <c r="AK83" i="15"/>
  <c r="AK78" i="15"/>
  <c r="AK77" i="15"/>
  <c r="AK81" i="15"/>
  <c r="AK80" i="15"/>
  <c r="AK74" i="15"/>
  <c r="AK82" i="15"/>
  <c r="AJ81" i="15"/>
  <c r="AJ77" i="15"/>
  <c r="AJ74" i="15"/>
  <c r="AJ76" i="15"/>
  <c r="AJ82" i="15"/>
  <c r="AJ78" i="15"/>
  <c r="AJ80" i="15"/>
  <c r="AJ73" i="15"/>
  <c r="AJ83" i="15"/>
  <c r="AJ75" i="15"/>
  <c r="AJ79" i="15"/>
  <c r="AJ84" i="15"/>
  <c r="AJ72" i="15"/>
  <c r="AI80" i="15"/>
  <c r="AI74" i="15"/>
  <c r="AI73" i="15"/>
  <c r="AI82" i="15"/>
  <c r="AI76" i="15"/>
  <c r="AI72" i="15"/>
  <c r="AI79" i="15"/>
  <c r="AI75" i="15"/>
  <c r="AI83" i="15"/>
  <c r="AI78" i="15"/>
  <c r="AI84" i="15"/>
  <c r="AI77" i="15"/>
  <c r="AI81" i="15"/>
  <c r="AH73" i="15"/>
  <c r="AH74" i="15"/>
  <c r="AH75" i="15"/>
  <c r="AH82" i="15"/>
  <c r="AH76" i="15"/>
  <c r="AH72" i="15"/>
  <c r="AH79" i="15"/>
  <c r="AH83" i="15"/>
  <c r="AH78" i="15"/>
  <c r="AH84" i="15"/>
  <c r="AH77" i="15"/>
  <c r="AH81" i="15"/>
  <c r="AH80" i="15"/>
  <c r="AF81" i="15"/>
  <c r="AF77" i="15"/>
  <c r="AF82" i="15"/>
  <c r="AF74" i="15"/>
  <c r="AF78" i="15"/>
  <c r="AF71" i="15"/>
  <c r="AF75" i="15"/>
  <c r="AF76" i="15"/>
  <c r="AF80" i="15"/>
  <c r="AF79" i="15"/>
  <c r="AF72" i="15"/>
  <c r="AF73" i="15"/>
  <c r="AF83" i="15"/>
  <c r="Z74" i="15"/>
  <c r="Z78" i="15"/>
  <c r="Z72" i="15"/>
  <c r="Z73" i="15"/>
  <c r="Z77" i="15"/>
  <c r="Z79" i="15"/>
  <c r="Z81" i="15"/>
  <c r="Z76" i="15"/>
  <c r="Z84" i="15"/>
  <c r="Z80" i="15"/>
  <c r="Z75" i="15"/>
  <c r="Z82" i="15"/>
  <c r="Z83" i="15"/>
  <c r="AM2" i="15"/>
  <c r="AA83" i="15" a="1"/>
  <c r="AA77" i="15" a="1"/>
  <c r="AA79" i="15" a="1"/>
  <c r="AA74" i="15" a="1"/>
  <c r="AA81" i="15" a="1"/>
  <c r="AA80" i="15" a="1"/>
  <c r="AA76" i="15" a="1"/>
  <c r="AA78" i="15" a="1"/>
  <c r="AA73" i="15" a="1"/>
  <c r="AA75" i="15" a="1"/>
  <c r="AA84" i="15" a="1"/>
  <c r="AA72" i="15" a="1"/>
  <c r="AA82" i="15" a="1"/>
  <c r="AA73" i="15" l="1"/>
  <c r="AA72" i="15"/>
  <c r="AA78" i="15"/>
  <c r="AA76" i="15"/>
  <c r="AA80" i="15"/>
  <c r="AA81" i="15"/>
  <c r="AA74" i="15"/>
  <c r="AA84" i="15"/>
  <c r="AA79" i="15"/>
  <c r="AA77" i="15"/>
  <c r="AA83" i="15"/>
  <c r="AA82" i="15"/>
  <c r="AA75" i="15"/>
  <c r="B4" i="3"/>
  <c r="F18" i="7"/>
  <c r="H9" i="11"/>
  <c r="E24" i="4"/>
  <c r="D24" i="4"/>
  <c r="C24" i="4"/>
  <c r="B24" i="4"/>
  <c r="F23" i="4"/>
  <c r="F24" i="4"/>
  <c r="E74" i="6"/>
  <c r="D74" i="6"/>
  <c r="C74" i="6"/>
  <c r="B74" i="6"/>
  <c r="F4" i="6"/>
  <c r="F5" i="6"/>
  <c r="F8" i="6"/>
  <c r="F9" i="6"/>
  <c r="F10" i="6"/>
  <c r="F11" i="6"/>
  <c r="F12" i="6"/>
  <c r="F13" i="6"/>
  <c r="F14" i="6"/>
  <c r="F15" i="6"/>
  <c r="F16" i="6"/>
  <c r="H19" i="6"/>
  <c r="F19" i="6"/>
  <c r="F20" i="6"/>
  <c r="F21" i="6"/>
  <c r="F22" i="6"/>
  <c r="F23" i="6"/>
  <c r="F24" i="6"/>
  <c r="F25" i="6"/>
  <c r="G28" i="6"/>
  <c r="F28" i="6"/>
  <c r="F29" i="6"/>
  <c r="F30" i="6"/>
  <c r="F34" i="6"/>
  <c r="F35" i="6"/>
  <c r="F37" i="6"/>
  <c r="F38" i="6"/>
  <c r="F39" i="6"/>
  <c r="F42" i="6"/>
  <c r="F43" i="6"/>
  <c r="F47" i="6"/>
  <c r="F48" i="6"/>
  <c r="F49" i="6"/>
  <c r="F50" i="6"/>
  <c r="F51" i="6"/>
  <c r="F55" i="6"/>
  <c r="F56" i="6"/>
  <c r="F57" i="6"/>
  <c r="F58" i="6"/>
  <c r="F59" i="6"/>
  <c r="F60" i="6"/>
  <c r="F61" i="6"/>
  <c r="F62" i="6"/>
  <c r="F65" i="6"/>
  <c r="F68" i="6"/>
  <c r="F72" i="6"/>
  <c r="F73" i="6"/>
  <c r="F74" i="6"/>
  <c r="G74" i="6"/>
  <c r="B8" i="6"/>
  <c r="B9" i="6"/>
  <c r="B3" i="6"/>
  <c r="B62" i="5"/>
  <c r="G62" i="5"/>
  <c r="F62" i="5"/>
  <c r="G24" i="6"/>
  <c r="G31" i="5"/>
  <c r="F31" i="5"/>
  <c r="E10" i="9"/>
  <c r="E7" i="9"/>
  <c r="E6" i="9"/>
  <c r="E5" i="9"/>
  <c r="E4" i="9"/>
  <c r="E3" i="9"/>
  <c r="E2" i="9"/>
  <c r="D10" i="9"/>
  <c r="D6" i="9"/>
  <c r="D3" i="9"/>
  <c r="D2" i="9"/>
  <c r="H3" i="9"/>
  <c r="I3" i="9"/>
  <c r="H2" i="9"/>
  <c r="I2" i="9"/>
  <c r="N2" i="9"/>
  <c r="O2" i="9"/>
  <c r="N3" i="9"/>
  <c r="O3" i="9"/>
  <c r="H4" i="9"/>
  <c r="I4" i="9"/>
  <c r="N4" i="9"/>
  <c r="O4" i="9"/>
  <c r="H5" i="9"/>
  <c r="I5" i="9"/>
  <c r="N5" i="9"/>
  <c r="H6" i="9"/>
  <c r="I6" i="9"/>
  <c r="M6" i="9"/>
  <c r="H7" i="9"/>
  <c r="H8" i="9"/>
  <c r="H9" i="9"/>
  <c r="N9" i="9"/>
  <c r="O9" i="9"/>
  <c r="H10" i="9"/>
  <c r="N10" i="9"/>
  <c r="O10" i="9"/>
  <c r="G11" i="9"/>
  <c r="H11" i="9"/>
  <c r="N11" i="9"/>
  <c r="N12" i="9"/>
  <c r="O12" i="9"/>
  <c r="G15" i="6"/>
  <c r="S2" i="3"/>
  <c r="R2" i="3"/>
  <c r="Q2" i="3"/>
  <c r="V3" i="3"/>
  <c r="T2" i="3"/>
  <c r="B40" i="5"/>
  <c r="E40" i="5"/>
  <c r="G40" i="5"/>
  <c r="F40" i="5"/>
  <c r="B41" i="5"/>
  <c r="E41" i="5"/>
  <c r="G41" i="5"/>
  <c r="F41" i="5"/>
  <c r="G3" i="5"/>
  <c r="F3" i="5"/>
  <c r="G45" i="5"/>
  <c r="F45" i="5"/>
  <c r="C20" i="9"/>
  <c r="G18" i="7"/>
  <c r="H77" i="9"/>
  <c r="H66" i="9"/>
  <c r="H67" i="9"/>
  <c r="H68" i="9"/>
  <c r="H69" i="9"/>
  <c r="H70" i="9"/>
  <c r="H71" i="9"/>
  <c r="H72" i="9"/>
  <c r="H73" i="9"/>
  <c r="H74" i="9"/>
  <c r="H75" i="9"/>
  <c r="H76" i="9"/>
  <c r="H65" i="9"/>
  <c r="G77" i="9"/>
  <c r="M46" i="9"/>
  <c r="N45" i="9"/>
  <c r="N44" i="9"/>
  <c r="U4" i="25"/>
  <c r="V4" i="25"/>
  <c r="S3" i="25"/>
  <c r="T3" i="25"/>
  <c r="U3" i="25"/>
  <c r="V3" i="25"/>
  <c r="S4" i="25"/>
  <c r="T4" i="25"/>
  <c r="W4" i="25"/>
  <c r="X4" i="25"/>
  <c r="X5" i="25"/>
  <c r="W5" i="25"/>
  <c r="V5" i="25"/>
  <c r="U5" i="25"/>
  <c r="T5" i="25"/>
  <c r="S5" i="25"/>
  <c r="X3" i="25"/>
  <c r="W3" i="25"/>
  <c r="X2" i="25"/>
  <c r="W2" i="25"/>
  <c r="V2" i="25"/>
  <c r="U2" i="25"/>
  <c r="T2" i="25"/>
  <c r="S2" i="25"/>
  <c r="H42" i="5"/>
  <c r="F42" i="5"/>
  <c r="X5" i="24"/>
  <c r="W5" i="24"/>
  <c r="V5" i="24"/>
  <c r="U5" i="24"/>
  <c r="T5" i="24"/>
  <c r="S5" i="24"/>
  <c r="X4" i="24"/>
  <c r="W4" i="24"/>
  <c r="V4" i="24"/>
  <c r="U4" i="24"/>
  <c r="T4" i="24"/>
  <c r="S4" i="24"/>
  <c r="X3" i="24"/>
  <c r="W3" i="24"/>
  <c r="V3" i="24"/>
  <c r="U3" i="24"/>
  <c r="T3" i="24"/>
  <c r="S3" i="24"/>
  <c r="X2" i="24"/>
  <c r="W2" i="24"/>
  <c r="V2" i="24"/>
  <c r="U2" i="24"/>
  <c r="T2" i="24"/>
  <c r="S2" i="24"/>
  <c r="I63" i="2"/>
  <c r="AM64" i="2"/>
  <c r="AM63" i="2"/>
  <c r="W18" i="9"/>
  <c r="X14" i="9"/>
  <c r="X15" i="9"/>
  <c r="X16" i="9"/>
  <c r="X17" i="9"/>
  <c r="Y15" i="9"/>
  <c r="P2" i="9"/>
  <c r="E23" i="4"/>
  <c r="D23" i="4"/>
  <c r="C23" i="4"/>
  <c r="B23" i="4"/>
  <c r="F80" i="5"/>
  <c r="E80" i="5"/>
  <c r="D80" i="5"/>
  <c r="B80" i="5"/>
  <c r="F22" i="4"/>
  <c r="E22" i="4"/>
  <c r="D22" i="4"/>
  <c r="C22" i="4"/>
  <c r="B22" i="4"/>
  <c r="F21" i="4"/>
  <c r="G21" i="4"/>
  <c r="E21" i="4"/>
  <c r="D21" i="4"/>
  <c r="C21" i="4"/>
  <c r="B21" i="4"/>
  <c r="AQ2" i="2"/>
  <c r="AQ3" i="2"/>
  <c r="AQ4" i="2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B63" i="2"/>
  <c r="T5" i="23"/>
  <c r="U5" i="23"/>
  <c r="W5" i="23"/>
  <c r="X5" i="23"/>
  <c r="Y5" i="23"/>
  <c r="Z5" i="23"/>
  <c r="G20" i="4"/>
  <c r="F20" i="4"/>
  <c r="AL64" i="2"/>
  <c r="AL63" i="2"/>
  <c r="G33" i="5"/>
  <c r="F33" i="5"/>
  <c r="E19" i="6"/>
  <c r="D19" i="6"/>
  <c r="B19" i="6"/>
  <c r="B27" i="5"/>
  <c r="I19" i="6"/>
  <c r="C19" i="6"/>
  <c r="C27" i="5"/>
  <c r="AJ14" i="16"/>
  <c r="E9" i="4"/>
  <c r="D9" i="4"/>
  <c r="C9" i="4"/>
  <c r="B9" i="4"/>
  <c r="E20" i="4"/>
  <c r="D20" i="4"/>
  <c r="C20" i="4"/>
  <c r="B20" i="4"/>
  <c r="T4" i="23"/>
  <c r="U4" i="23"/>
  <c r="V4" i="23"/>
  <c r="W4" i="23"/>
  <c r="X4" i="23"/>
  <c r="Y4" i="23"/>
  <c r="Z4" i="23"/>
  <c r="G71" i="5"/>
  <c r="E71" i="5"/>
  <c r="D71" i="5"/>
  <c r="C71" i="5"/>
  <c r="B71" i="5"/>
  <c r="F71" i="5"/>
  <c r="T2" i="23"/>
  <c r="U2" i="23"/>
  <c r="V2" i="23"/>
  <c r="W2" i="23"/>
  <c r="X2" i="23"/>
  <c r="Y2" i="23"/>
  <c r="Z2" i="23"/>
  <c r="T3" i="23"/>
  <c r="U3" i="23"/>
  <c r="V3" i="23"/>
  <c r="W3" i="23"/>
  <c r="X3" i="23"/>
  <c r="Y3" i="23"/>
  <c r="Z3" i="23"/>
  <c r="C77" i="5"/>
  <c r="B11" i="9"/>
  <c r="C5" i="9"/>
  <c r="D5" i="9"/>
  <c r="N13" i="9"/>
  <c r="M13" i="9"/>
  <c r="C104" i="9"/>
  <c r="B103" i="9"/>
  <c r="B104" i="9"/>
  <c r="C100" i="9"/>
  <c r="C101" i="9"/>
  <c r="C102" i="9"/>
  <c r="C103" i="9"/>
  <c r="AL59" i="2"/>
  <c r="G38" i="6"/>
  <c r="G37" i="6"/>
  <c r="E37" i="6"/>
  <c r="D37" i="6"/>
  <c r="C37" i="6"/>
  <c r="B37" i="6"/>
  <c r="I59" i="2"/>
  <c r="H59" i="2"/>
  <c r="G59" i="2"/>
  <c r="H74" i="5"/>
  <c r="F74" i="5"/>
  <c r="G66" i="5"/>
  <c r="F66" i="5"/>
  <c r="T2" i="2"/>
  <c r="U2" i="2"/>
  <c r="V2" i="2"/>
  <c r="W2" i="2"/>
  <c r="X2" i="2"/>
  <c r="Y2" i="2"/>
  <c r="T3" i="2"/>
  <c r="U3" i="2"/>
  <c r="V3" i="2"/>
  <c r="W3" i="2"/>
  <c r="X3" i="2"/>
  <c r="Y3" i="2"/>
  <c r="T4" i="2"/>
  <c r="U4" i="2"/>
  <c r="V4" i="2"/>
  <c r="W4" i="2"/>
  <c r="X4" i="2"/>
  <c r="Y4" i="2"/>
  <c r="T5" i="2"/>
  <c r="U5" i="2"/>
  <c r="V5" i="2"/>
  <c r="W5" i="2"/>
  <c r="X5" i="2"/>
  <c r="Y5" i="2"/>
  <c r="T6" i="2"/>
  <c r="U6" i="2"/>
  <c r="V6" i="2"/>
  <c r="R6" i="2" s="1"/>
  <c r="X6" i="2"/>
  <c r="Y6" i="2"/>
  <c r="W6" i="2"/>
  <c r="T7" i="2"/>
  <c r="U7" i="2"/>
  <c r="V7" i="2"/>
  <c r="S7" i="2" s="1"/>
  <c r="W7" i="2"/>
  <c r="R7" i="2" s="1"/>
  <c r="X7" i="2"/>
  <c r="Y7" i="2"/>
  <c r="T8" i="2"/>
  <c r="U8" i="2"/>
  <c r="V8" i="2"/>
  <c r="W8" i="2"/>
  <c r="X8" i="2"/>
  <c r="Y8" i="2"/>
  <c r="T9" i="2"/>
  <c r="U9" i="2"/>
  <c r="V9" i="2"/>
  <c r="S9" i="2" s="1"/>
  <c r="W9" i="2"/>
  <c r="X9" i="2"/>
  <c r="Y9" i="2"/>
  <c r="T10" i="2"/>
  <c r="U10" i="2"/>
  <c r="V10" i="2"/>
  <c r="W10" i="2"/>
  <c r="X10" i="2"/>
  <c r="Y10" i="2"/>
  <c r="T11" i="2"/>
  <c r="U11" i="2"/>
  <c r="V11" i="2"/>
  <c r="R11" i="2" s="1"/>
  <c r="W11" i="2"/>
  <c r="X11" i="2"/>
  <c r="Y11" i="2"/>
  <c r="T12" i="2"/>
  <c r="U12" i="2"/>
  <c r="V12" i="2"/>
  <c r="R12" i="2" s="1"/>
  <c r="AE12" i="2" s="1"/>
  <c r="W12" i="2"/>
  <c r="X12" i="2"/>
  <c r="Y12" i="2"/>
  <c r="T13" i="2"/>
  <c r="U13" i="2"/>
  <c r="V13" i="2"/>
  <c r="S13" i="2" s="1"/>
  <c r="W13" i="2"/>
  <c r="X13" i="2"/>
  <c r="Y13" i="2"/>
  <c r="T14" i="2"/>
  <c r="U14" i="2"/>
  <c r="V14" i="2"/>
  <c r="R14" i="2" s="1"/>
  <c r="W14" i="2"/>
  <c r="X14" i="2"/>
  <c r="Y14" i="2"/>
  <c r="T15" i="2"/>
  <c r="U15" i="2"/>
  <c r="V15" i="2"/>
  <c r="R15" i="2" s="1"/>
  <c r="W15" i="2"/>
  <c r="X15" i="2"/>
  <c r="Y15" i="2"/>
  <c r="T16" i="2"/>
  <c r="U16" i="2"/>
  <c r="V16" i="2"/>
  <c r="W16" i="2"/>
  <c r="X16" i="2"/>
  <c r="Y16" i="2"/>
  <c r="T17" i="2"/>
  <c r="U17" i="2"/>
  <c r="V17" i="2"/>
  <c r="W17" i="2"/>
  <c r="X17" i="2"/>
  <c r="Y17" i="2"/>
  <c r="T18" i="2"/>
  <c r="U18" i="2"/>
  <c r="V18" i="2"/>
  <c r="S18" i="2" s="1"/>
  <c r="W18" i="2"/>
  <c r="X18" i="2"/>
  <c r="Y18" i="2"/>
  <c r="T19" i="2"/>
  <c r="U19" i="2"/>
  <c r="V19" i="2"/>
  <c r="W19" i="2"/>
  <c r="X19" i="2"/>
  <c r="Y19" i="2"/>
  <c r="T20" i="2"/>
  <c r="U20" i="2"/>
  <c r="V20" i="2"/>
  <c r="W20" i="2"/>
  <c r="X20" i="2"/>
  <c r="Y20" i="2"/>
  <c r="T21" i="2"/>
  <c r="U21" i="2"/>
  <c r="V21" i="2"/>
  <c r="R21" i="2" s="1"/>
  <c r="W21" i="2"/>
  <c r="X21" i="2"/>
  <c r="Y21" i="2"/>
  <c r="T22" i="2"/>
  <c r="U22" i="2"/>
  <c r="V22" i="2"/>
  <c r="W22" i="2"/>
  <c r="X22" i="2"/>
  <c r="Y22" i="2"/>
  <c r="T23" i="2"/>
  <c r="U23" i="2"/>
  <c r="V23" i="2"/>
  <c r="R23" i="2" s="1"/>
  <c r="W23" i="2"/>
  <c r="X23" i="2"/>
  <c r="Y23" i="2"/>
  <c r="T24" i="2"/>
  <c r="U24" i="2"/>
  <c r="V24" i="2"/>
  <c r="W24" i="2"/>
  <c r="X24" i="2"/>
  <c r="Y24" i="2"/>
  <c r="T25" i="2"/>
  <c r="U25" i="2"/>
  <c r="V25" i="2"/>
  <c r="W25" i="2"/>
  <c r="R25" i="2"/>
  <c r="X25" i="2"/>
  <c r="Y25" i="2"/>
  <c r="T26" i="2"/>
  <c r="U26" i="2"/>
  <c r="V26" i="2"/>
  <c r="W26" i="2"/>
  <c r="X26" i="2"/>
  <c r="Y26" i="2"/>
  <c r="T27" i="2"/>
  <c r="U27" i="2"/>
  <c r="V27" i="2"/>
  <c r="W27" i="2"/>
  <c r="X27" i="2"/>
  <c r="Y27" i="2"/>
  <c r="AA27" i="2" s="1"/>
  <c r="T28" i="2"/>
  <c r="U28" i="2"/>
  <c r="W28" i="2"/>
  <c r="R28" i="2" s="1"/>
  <c r="X28" i="2"/>
  <c r="Y28" i="2"/>
  <c r="T29" i="2"/>
  <c r="U29" i="2"/>
  <c r="V29" i="2"/>
  <c r="R29" i="2" s="1"/>
  <c r="W29" i="2"/>
  <c r="X29" i="2"/>
  <c r="Y29" i="2"/>
  <c r="T30" i="2"/>
  <c r="U30" i="2"/>
  <c r="V30" i="2"/>
  <c r="R30" i="2" s="1"/>
  <c r="X30" i="2"/>
  <c r="Y30" i="2"/>
  <c r="W30" i="2"/>
  <c r="S30" i="2" s="1"/>
  <c r="T31" i="2"/>
  <c r="U31" i="2"/>
  <c r="V31" i="2"/>
  <c r="S31" i="2" s="1"/>
  <c r="W31" i="2"/>
  <c r="X31" i="2"/>
  <c r="Y31" i="2"/>
  <c r="T32" i="2"/>
  <c r="U32" i="2"/>
  <c r="V32" i="2"/>
  <c r="W32" i="2"/>
  <c r="X32" i="2"/>
  <c r="Y32" i="2"/>
  <c r="T33" i="2"/>
  <c r="U33" i="2"/>
  <c r="V33" i="2"/>
  <c r="R33" i="2" s="1"/>
  <c r="AD33" i="2" s="1"/>
  <c r="W33" i="2"/>
  <c r="X33" i="2"/>
  <c r="Y33" i="2"/>
  <c r="T34" i="2"/>
  <c r="U34" i="2"/>
  <c r="V34" i="2"/>
  <c r="W34" i="2"/>
  <c r="S34" i="2" s="1"/>
  <c r="X34" i="2"/>
  <c r="Y34" i="2"/>
  <c r="T35" i="2"/>
  <c r="U35" i="2"/>
  <c r="V35" i="2"/>
  <c r="W35" i="2"/>
  <c r="S35" i="2" s="1"/>
  <c r="X35" i="2"/>
  <c r="Y35" i="2"/>
  <c r="T36" i="2"/>
  <c r="U36" i="2"/>
  <c r="V36" i="2"/>
  <c r="R36" i="2" s="1"/>
  <c r="W36" i="2"/>
  <c r="X36" i="2"/>
  <c r="Y36" i="2"/>
  <c r="T37" i="2"/>
  <c r="U37" i="2"/>
  <c r="V37" i="2"/>
  <c r="S37" i="2" s="1"/>
  <c r="W37" i="2"/>
  <c r="X37" i="2"/>
  <c r="Y37" i="2"/>
  <c r="T38" i="2"/>
  <c r="U38" i="2"/>
  <c r="V38" i="2"/>
  <c r="S38" i="2" s="1"/>
  <c r="W38" i="2"/>
  <c r="X38" i="2"/>
  <c r="Y38" i="2"/>
  <c r="T39" i="2"/>
  <c r="U39" i="2"/>
  <c r="V39" i="2"/>
  <c r="W39" i="2"/>
  <c r="X39" i="2"/>
  <c r="Y39" i="2"/>
  <c r="T40" i="2"/>
  <c r="U40" i="2"/>
  <c r="V40" i="2"/>
  <c r="W40" i="2"/>
  <c r="X40" i="2"/>
  <c r="Y40" i="2"/>
  <c r="T41" i="2"/>
  <c r="U41" i="2"/>
  <c r="V41" i="2"/>
  <c r="R41" i="2" s="1"/>
  <c r="W41" i="2"/>
  <c r="X41" i="2"/>
  <c r="AE41" i="2" s="1"/>
  <c r="Y41" i="2"/>
  <c r="T42" i="2"/>
  <c r="U42" i="2"/>
  <c r="V42" i="2"/>
  <c r="W42" i="2"/>
  <c r="X42" i="2"/>
  <c r="Y42" i="2"/>
  <c r="T43" i="2"/>
  <c r="U43" i="2"/>
  <c r="V43" i="2"/>
  <c r="W43" i="2"/>
  <c r="X43" i="2"/>
  <c r="Y43" i="2"/>
  <c r="T44" i="2"/>
  <c r="U44" i="2"/>
  <c r="V44" i="2"/>
  <c r="R44" i="2" s="1"/>
  <c r="W44" i="2"/>
  <c r="X44" i="2"/>
  <c r="Y44" i="2"/>
  <c r="T45" i="2"/>
  <c r="U45" i="2"/>
  <c r="V45" i="2"/>
  <c r="R45" i="2" s="1"/>
  <c r="W45" i="2"/>
  <c r="X45" i="2"/>
  <c r="Y45" i="2"/>
  <c r="T46" i="2"/>
  <c r="U46" i="2"/>
  <c r="V46" i="2"/>
  <c r="R46" i="2" s="1"/>
  <c r="W46" i="2"/>
  <c r="X46" i="2"/>
  <c r="Y46" i="2"/>
  <c r="T47" i="2"/>
  <c r="U47" i="2"/>
  <c r="V47" i="2"/>
  <c r="W47" i="2"/>
  <c r="X47" i="2"/>
  <c r="Y47" i="2"/>
  <c r="T48" i="2"/>
  <c r="S48" i="2" s="1"/>
  <c r="U48" i="2"/>
  <c r="V48" i="2"/>
  <c r="W48" i="2"/>
  <c r="X48" i="2"/>
  <c r="Y48" i="2"/>
  <c r="T49" i="2"/>
  <c r="U49" i="2"/>
  <c r="V49" i="2"/>
  <c r="W49" i="2"/>
  <c r="X49" i="2"/>
  <c r="Y49" i="2"/>
  <c r="T50" i="2"/>
  <c r="U50" i="2"/>
  <c r="V50" i="2"/>
  <c r="R50" i="2" s="1"/>
  <c r="X50" i="2"/>
  <c r="Y50" i="2"/>
  <c r="W50" i="2"/>
  <c r="T51" i="2"/>
  <c r="U51" i="2"/>
  <c r="V51" i="2"/>
  <c r="W51" i="2"/>
  <c r="X51" i="2"/>
  <c r="Y51" i="2"/>
  <c r="T52" i="2"/>
  <c r="U52" i="2"/>
  <c r="V52" i="2"/>
  <c r="W52" i="2"/>
  <c r="X52" i="2"/>
  <c r="Y52" i="2"/>
  <c r="T53" i="2"/>
  <c r="U53" i="2"/>
  <c r="V53" i="2"/>
  <c r="W53" i="2"/>
  <c r="X53" i="2"/>
  <c r="Y53" i="2"/>
  <c r="A57" i="2"/>
  <c r="B57" i="2"/>
  <c r="C57" i="2"/>
  <c r="L57" i="2"/>
  <c r="AK57" i="2"/>
  <c r="AM57" i="2"/>
  <c r="A58" i="2"/>
  <c r="B58" i="2"/>
  <c r="C58" i="2"/>
  <c r="Q58" i="2" s="1"/>
  <c r="Y58" i="2" s="1"/>
  <c r="L58" i="2"/>
  <c r="AK58" i="2"/>
  <c r="AM58" i="2"/>
  <c r="A59" i="2"/>
  <c r="B59" i="2"/>
  <c r="D59" i="2"/>
  <c r="L59" i="2"/>
  <c r="Q59" i="2"/>
  <c r="AK59" i="2"/>
  <c r="AM59" i="2"/>
  <c r="A60" i="2"/>
  <c r="B60" i="2"/>
  <c r="C60" i="2"/>
  <c r="D60" i="2"/>
  <c r="L60" i="2"/>
  <c r="AK60" i="2"/>
  <c r="AM60" i="2"/>
  <c r="A61" i="2"/>
  <c r="B61" i="2"/>
  <c r="C61" i="2"/>
  <c r="G61" i="2" s="1"/>
  <c r="L61" i="2"/>
  <c r="U61" i="2" s="1"/>
  <c r="AK61" i="2"/>
  <c r="AM61" i="2"/>
  <c r="A62" i="2"/>
  <c r="B62" i="2"/>
  <c r="C62" i="2"/>
  <c r="I62" i="2" s="1"/>
  <c r="L62" i="2"/>
  <c r="AK62" i="2"/>
  <c r="AM62" i="2"/>
  <c r="A63" i="2"/>
  <c r="Q63" i="2"/>
  <c r="L63" i="2"/>
  <c r="AK63" i="2"/>
  <c r="A64" i="2"/>
  <c r="B64" i="2"/>
  <c r="C64" i="2"/>
  <c r="I64" i="2"/>
  <c r="L64" i="2"/>
  <c r="AK64" i="2"/>
  <c r="A65" i="2"/>
  <c r="B65" i="2"/>
  <c r="C65" i="2"/>
  <c r="L65" i="2"/>
  <c r="AK65" i="2"/>
  <c r="AM65" i="2"/>
  <c r="A66" i="2"/>
  <c r="B66" i="2"/>
  <c r="C66" i="2"/>
  <c r="E66" i="2" s="1"/>
  <c r="L66" i="2"/>
  <c r="AM66" i="2"/>
  <c r="A67" i="2"/>
  <c r="B67" i="2"/>
  <c r="C67" i="2"/>
  <c r="AM67" i="2"/>
  <c r="A68" i="2"/>
  <c r="B68" i="2"/>
  <c r="C68" i="2"/>
  <c r="I68" i="2" s="1"/>
  <c r="L68" i="2"/>
  <c r="AK68" i="2"/>
  <c r="AM68" i="2"/>
  <c r="A69" i="2"/>
  <c r="B69" i="2"/>
  <c r="C69" i="2"/>
  <c r="I69" i="2" s="1"/>
  <c r="L69" i="2"/>
  <c r="T69" i="2" s="1"/>
  <c r="AK69" i="2"/>
  <c r="AM69" i="2"/>
  <c r="A70" i="2"/>
  <c r="B70" i="2"/>
  <c r="C70" i="2"/>
  <c r="D70" i="2" s="1"/>
  <c r="L70" i="2"/>
  <c r="AK70" i="2"/>
  <c r="AM70" i="2"/>
  <c r="A71" i="2"/>
  <c r="B71" i="2"/>
  <c r="C71" i="2"/>
  <c r="I71" i="2" s="1"/>
  <c r="L71" i="2"/>
  <c r="AK71" i="2"/>
  <c r="AM71" i="2"/>
  <c r="A72" i="2"/>
  <c r="B72" i="2"/>
  <c r="C72" i="2"/>
  <c r="L72" i="2"/>
  <c r="AK72" i="2"/>
  <c r="AM72" i="2"/>
  <c r="A73" i="2"/>
  <c r="B73" i="2"/>
  <c r="C73" i="2"/>
  <c r="I73" i="2"/>
  <c r="L73" i="2"/>
  <c r="AK73" i="2"/>
  <c r="AM73" i="2"/>
  <c r="A74" i="2"/>
  <c r="B74" i="2"/>
  <c r="C74" i="2"/>
  <c r="I74" i="2" s="1"/>
  <c r="L74" i="2"/>
  <c r="AK74" i="2"/>
  <c r="AM74" i="2"/>
  <c r="A75" i="2"/>
  <c r="B75" i="2"/>
  <c r="C75" i="2"/>
  <c r="I75" i="2" s="1"/>
  <c r="L75" i="2"/>
  <c r="AK75" i="2"/>
  <c r="AM75" i="2"/>
  <c r="A76" i="2"/>
  <c r="B76" i="2"/>
  <c r="C76" i="2"/>
  <c r="G76" i="2" s="1"/>
  <c r="L76" i="2"/>
  <c r="AK76" i="2"/>
  <c r="AM76" i="2"/>
  <c r="A77" i="2"/>
  <c r="B77" i="2"/>
  <c r="C77" i="2"/>
  <c r="L77" i="2"/>
  <c r="AK77" i="2"/>
  <c r="AM77" i="2"/>
  <c r="A78" i="2"/>
  <c r="B78" i="2"/>
  <c r="C78" i="2"/>
  <c r="I78" i="2" s="1"/>
  <c r="L78" i="2"/>
  <c r="AK78" i="2"/>
  <c r="AM78" i="2"/>
  <c r="A79" i="2"/>
  <c r="B79" i="2"/>
  <c r="C79" i="2"/>
  <c r="O79" i="2" s="1"/>
  <c r="L79" i="2"/>
  <c r="AK79" i="2"/>
  <c r="AM79" i="2"/>
  <c r="A80" i="2"/>
  <c r="B80" i="2"/>
  <c r="C80" i="2"/>
  <c r="L80" i="2"/>
  <c r="AK80" i="2"/>
  <c r="AM80" i="2"/>
  <c r="A81" i="2"/>
  <c r="B81" i="2"/>
  <c r="C81" i="2"/>
  <c r="P81" i="2" s="1"/>
  <c r="L81" i="2"/>
  <c r="AK81" i="2"/>
  <c r="AM81" i="2"/>
  <c r="A82" i="2"/>
  <c r="B82" i="2"/>
  <c r="C82" i="2"/>
  <c r="L82" i="2"/>
  <c r="AK82" i="2"/>
  <c r="AM82" i="2"/>
  <c r="A83" i="2"/>
  <c r="B83" i="2"/>
  <c r="C83" i="2"/>
  <c r="D83" i="2" s="1"/>
  <c r="L83" i="2"/>
  <c r="AK83" i="2"/>
  <c r="AM83" i="2"/>
  <c r="A84" i="2"/>
  <c r="B84" i="2"/>
  <c r="C84" i="2"/>
  <c r="G84" i="2"/>
  <c r="L84" i="2"/>
  <c r="AK84" i="2"/>
  <c r="AM84" i="2"/>
  <c r="A85" i="2"/>
  <c r="B85" i="2"/>
  <c r="C85" i="2"/>
  <c r="F85" i="2" s="1"/>
  <c r="L85" i="2"/>
  <c r="AK85" i="2"/>
  <c r="AM85" i="2"/>
  <c r="A86" i="2"/>
  <c r="B86" i="2"/>
  <c r="C86" i="2"/>
  <c r="N86" i="2" s="1"/>
  <c r="L86" i="2"/>
  <c r="AK86" i="2"/>
  <c r="AM86" i="2"/>
  <c r="A87" i="2"/>
  <c r="B87" i="2"/>
  <c r="C87" i="2"/>
  <c r="N87" i="2" s="1"/>
  <c r="U87" i="2" s="1"/>
  <c r="L87" i="2"/>
  <c r="AK87" i="2"/>
  <c r="AM87" i="2"/>
  <c r="A88" i="2"/>
  <c r="B88" i="2"/>
  <c r="C88" i="2"/>
  <c r="N88" i="2" s="1"/>
  <c r="U88" i="2" s="1"/>
  <c r="L88" i="2"/>
  <c r="AK88" i="2"/>
  <c r="AM88" i="2"/>
  <c r="A89" i="2"/>
  <c r="B89" i="2"/>
  <c r="C89" i="2"/>
  <c r="L89" i="2"/>
  <c r="AK89" i="2"/>
  <c r="AM89" i="2"/>
  <c r="A90" i="2"/>
  <c r="B90" i="2"/>
  <c r="C90" i="2"/>
  <c r="Q90" i="2" s="1"/>
  <c r="L90" i="2"/>
  <c r="AK90" i="2"/>
  <c r="AM90" i="2"/>
  <c r="A91" i="2"/>
  <c r="B91" i="2"/>
  <c r="C91" i="2"/>
  <c r="M91" i="2" s="1"/>
  <c r="L91" i="2"/>
  <c r="AK91" i="2"/>
  <c r="AM91" i="2"/>
  <c r="A92" i="2"/>
  <c r="B92" i="2"/>
  <c r="C92" i="2"/>
  <c r="M92" i="2" s="1"/>
  <c r="T92" i="2" s="1"/>
  <c r="L92" i="2"/>
  <c r="AK92" i="2"/>
  <c r="AM92" i="2"/>
  <c r="A93" i="2"/>
  <c r="B93" i="2"/>
  <c r="C93" i="2"/>
  <c r="L93" i="2"/>
  <c r="AK93" i="2"/>
  <c r="AM93" i="2"/>
  <c r="A94" i="2"/>
  <c r="B94" i="2"/>
  <c r="C94" i="2"/>
  <c r="D94" i="2" s="1"/>
  <c r="L94" i="2"/>
  <c r="AK94" i="2"/>
  <c r="AM94" i="2"/>
  <c r="A95" i="2"/>
  <c r="B95" i="2"/>
  <c r="C95" i="2"/>
  <c r="G95" i="2"/>
  <c r="L95" i="2"/>
  <c r="AK95" i="2"/>
  <c r="AM95" i="2"/>
  <c r="A96" i="2"/>
  <c r="B96" i="2"/>
  <c r="C96" i="2"/>
  <c r="E96" i="2" s="1"/>
  <c r="L96" i="2"/>
  <c r="AK96" i="2"/>
  <c r="AM96" i="2"/>
  <c r="A97" i="2"/>
  <c r="B97" i="2"/>
  <c r="C97" i="2"/>
  <c r="L97" i="2"/>
  <c r="AK97" i="2"/>
  <c r="AM97" i="2"/>
  <c r="A98" i="2"/>
  <c r="B98" i="2"/>
  <c r="C98" i="2"/>
  <c r="Q98" i="2" s="1"/>
  <c r="Y98" i="2" s="1"/>
  <c r="L98" i="2"/>
  <c r="AK98" i="2"/>
  <c r="AM98" i="2"/>
  <c r="A99" i="2"/>
  <c r="B99" i="2"/>
  <c r="C99" i="2"/>
  <c r="O99" i="2" s="1"/>
  <c r="L99" i="2"/>
  <c r="AK99" i="2"/>
  <c r="AM99" i="2"/>
  <c r="A100" i="2"/>
  <c r="B100" i="2"/>
  <c r="C100" i="2"/>
  <c r="J100" i="2" s="1"/>
  <c r="L100" i="2"/>
  <c r="AK100" i="2"/>
  <c r="AM100" i="2"/>
  <c r="A101" i="2"/>
  <c r="B101" i="2"/>
  <c r="C101" i="2"/>
  <c r="L101" i="2"/>
  <c r="AK101" i="2"/>
  <c r="AM101" i="2"/>
  <c r="A102" i="2"/>
  <c r="B102" i="2"/>
  <c r="C102" i="2"/>
  <c r="L102" i="2"/>
  <c r="AK102" i="2"/>
  <c r="AM102" i="2"/>
  <c r="A103" i="2"/>
  <c r="B103" i="2"/>
  <c r="C103" i="2"/>
  <c r="L103" i="2"/>
  <c r="AK103" i="2"/>
  <c r="AM103" i="2"/>
  <c r="A104" i="2"/>
  <c r="B104" i="2"/>
  <c r="C104" i="2"/>
  <c r="G104" i="2" s="1"/>
  <c r="L104" i="2"/>
  <c r="AK104" i="2"/>
  <c r="AM104" i="2"/>
  <c r="A105" i="2"/>
  <c r="B105" i="2"/>
  <c r="C105" i="2"/>
  <c r="L105" i="2"/>
  <c r="AK105" i="2"/>
  <c r="AM105" i="2"/>
  <c r="A106" i="2"/>
  <c r="B106" i="2"/>
  <c r="C106" i="2"/>
  <c r="L106" i="2"/>
  <c r="AK106" i="2"/>
  <c r="AM106" i="2"/>
  <c r="A107" i="2"/>
  <c r="B107" i="2"/>
  <c r="C107" i="2"/>
  <c r="I109" i="2" s="1"/>
  <c r="L107" i="2"/>
  <c r="AK107" i="2"/>
  <c r="AM107" i="2"/>
  <c r="A108" i="2"/>
  <c r="B108" i="2"/>
  <c r="C108" i="2"/>
  <c r="Q108" i="2" s="1"/>
  <c r="L108" i="2"/>
  <c r="AK108" i="2"/>
  <c r="AM108" i="2"/>
  <c r="A109" i="2"/>
  <c r="B109" i="2"/>
  <c r="C109" i="2"/>
  <c r="L109" i="2"/>
  <c r="AK109" i="2"/>
  <c r="AM109" i="2"/>
  <c r="A110" i="2"/>
  <c r="B110" i="2"/>
  <c r="C110" i="2"/>
  <c r="E110" i="2" s="1"/>
  <c r="L110" i="2"/>
  <c r="AK110" i="2"/>
  <c r="AM110" i="2"/>
  <c r="A111" i="2"/>
  <c r="B111" i="2"/>
  <c r="C111" i="2"/>
  <c r="N111" i="2" s="1"/>
  <c r="L111" i="2"/>
  <c r="AK111" i="2"/>
  <c r="AM111" i="2"/>
  <c r="A112" i="2"/>
  <c r="B112" i="2"/>
  <c r="C112" i="2"/>
  <c r="O112" i="2"/>
  <c r="L112" i="2"/>
  <c r="AK112" i="2"/>
  <c r="AM112" i="2"/>
  <c r="A113" i="2"/>
  <c r="B113" i="2"/>
  <c r="C113" i="2"/>
  <c r="D113" i="2" s="1"/>
  <c r="L113" i="2"/>
  <c r="AK113" i="2"/>
  <c r="AM113" i="2"/>
  <c r="A114" i="2"/>
  <c r="B114" i="2"/>
  <c r="C114" i="2"/>
  <c r="J114" i="2" s="1"/>
  <c r="L114" i="2"/>
  <c r="AK114" i="2"/>
  <c r="AM114" i="2"/>
  <c r="A115" i="2"/>
  <c r="B115" i="2"/>
  <c r="C115" i="2"/>
  <c r="L115" i="2"/>
  <c r="AK115" i="2"/>
  <c r="AM115" i="2"/>
  <c r="A116" i="2"/>
  <c r="B116" i="2"/>
  <c r="C116" i="2"/>
  <c r="D116" i="2" s="1"/>
  <c r="L116" i="2"/>
  <c r="AK116" i="2"/>
  <c r="AM116" i="2"/>
  <c r="A117" i="2"/>
  <c r="B117" i="2"/>
  <c r="C117" i="2"/>
  <c r="D117" i="2" s="1"/>
  <c r="L117" i="2"/>
  <c r="AK117" i="2"/>
  <c r="AM117" i="2"/>
  <c r="A118" i="2"/>
  <c r="B118" i="2"/>
  <c r="C118" i="2"/>
  <c r="Q118" i="2" s="1"/>
  <c r="Y118" i="2" s="1"/>
  <c r="L118" i="2"/>
  <c r="AK118" i="2"/>
  <c r="AM118" i="2"/>
  <c r="A119" i="2"/>
  <c r="B119" i="2"/>
  <c r="C119" i="2"/>
  <c r="M119" i="2" s="1"/>
  <c r="L119" i="2"/>
  <c r="AK119" i="2"/>
  <c r="AM119" i="2"/>
  <c r="A120" i="2"/>
  <c r="B120" i="2"/>
  <c r="C120" i="2"/>
  <c r="L120" i="2"/>
  <c r="AK120" i="2"/>
  <c r="AM120" i="2"/>
  <c r="A121" i="2"/>
  <c r="B121" i="2"/>
  <c r="C121" i="2"/>
  <c r="O121" i="2" s="1"/>
  <c r="L121" i="2"/>
  <c r="AK121" i="2"/>
  <c r="AM121" i="2"/>
  <c r="A122" i="2"/>
  <c r="B122" i="2"/>
  <c r="C122" i="2"/>
  <c r="L122" i="2"/>
  <c r="AK122" i="2"/>
  <c r="AM122" i="2"/>
  <c r="A123" i="2"/>
  <c r="B123" i="2"/>
  <c r="C123" i="2"/>
  <c r="L123" i="2"/>
  <c r="AK123" i="2"/>
  <c r="AM123" i="2"/>
  <c r="A124" i="2"/>
  <c r="B124" i="2"/>
  <c r="C124" i="2"/>
  <c r="Q124" i="2" s="1"/>
  <c r="Y124" i="2" s="1"/>
  <c r="L124" i="2"/>
  <c r="AK124" i="2"/>
  <c r="AM124" i="2"/>
  <c r="A125" i="2"/>
  <c r="B125" i="2"/>
  <c r="C125" i="2"/>
  <c r="M125" i="2" s="1"/>
  <c r="T125" i="2" s="1"/>
  <c r="L125" i="2"/>
  <c r="AK125" i="2"/>
  <c r="AM125" i="2"/>
  <c r="A126" i="2"/>
  <c r="B126" i="2"/>
  <c r="C126" i="2"/>
  <c r="J126" i="2" s="1"/>
  <c r="L126" i="2"/>
  <c r="AK126" i="2"/>
  <c r="AM126" i="2"/>
  <c r="A127" i="2"/>
  <c r="B127" i="2"/>
  <c r="C127" i="2"/>
  <c r="I129" i="2"/>
  <c r="L127" i="2"/>
  <c r="AK127" i="2"/>
  <c r="AM127" i="2"/>
  <c r="A128" i="2"/>
  <c r="B128" i="2"/>
  <c r="C128" i="2"/>
  <c r="L128" i="2"/>
  <c r="AK128" i="2"/>
  <c r="AM128" i="2"/>
  <c r="A129" i="2"/>
  <c r="B129" i="2"/>
  <c r="C129" i="2"/>
  <c r="O129" i="2" s="1"/>
  <c r="L129" i="2"/>
  <c r="AK129" i="2"/>
  <c r="AM129" i="2"/>
  <c r="A130" i="2"/>
  <c r="B130" i="2"/>
  <c r="C130" i="2"/>
  <c r="E130" i="2"/>
  <c r="L130" i="2"/>
  <c r="AK130" i="2"/>
  <c r="AM130" i="2"/>
  <c r="A131" i="2"/>
  <c r="B131" i="2"/>
  <c r="C131" i="2"/>
  <c r="L131" i="2"/>
  <c r="AK131" i="2"/>
  <c r="AM131" i="2"/>
  <c r="A132" i="2"/>
  <c r="B132" i="2"/>
  <c r="C132" i="2"/>
  <c r="I134" i="2" s="1"/>
  <c r="L132" i="2"/>
  <c r="AK132" i="2"/>
  <c r="AM132" i="2"/>
  <c r="A133" i="2"/>
  <c r="B133" i="2"/>
  <c r="C133" i="2"/>
  <c r="D133" i="2"/>
  <c r="L133" i="2"/>
  <c r="AK133" i="2"/>
  <c r="AM133" i="2"/>
  <c r="A134" i="2"/>
  <c r="B134" i="2"/>
  <c r="C134" i="2"/>
  <c r="P134" i="2" s="1"/>
  <c r="L134" i="2"/>
  <c r="AK134" i="2"/>
  <c r="AM134" i="2"/>
  <c r="A135" i="2"/>
  <c r="B135" i="2"/>
  <c r="C135" i="2"/>
  <c r="Q135" i="2" s="1"/>
  <c r="L135" i="2"/>
  <c r="AK135" i="2"/>
  <c r="AM135" i="2"/>
  <c r="A136" i="2"/>
  <c r="B136" i="2"/>
  <c r="C136" i="2"/>
  <c r="M136" i="2" s="1"/>
  <c r="L136" i="2"/>
  <c r="AK136" i="2"/>
  <c r="AM136" i="2"/>
  <c r="A137" i="2"/>
  <c r="B137" i="2"/>
  <c r="C137" i="2"/>
  <c r="E137" i="2"/>
  <c r="F137" i="2"/>
  <c r="L137" i="2"/>
  <c r="AK137" i="2"/>
  <c r="AM137" i="2"/>
  <c r="A138" i="2"/>
  <c r="B138" i="2"/>
  <c r="C138" i="2"/>
  <c r="Q138" i="2" s="1"/>
  <c r="L138" i="2"/>
  <c r="AK138" i="2"/>
  <c r="AM138" i="2"/>
  <c r="A139" i="2"/>
  <c r="B139" i="2"/>
  <c r="C139" i="2"/>
  <c r="J139" i="2" s="1"/>
  <c r="L139" i="2"/>
  <c r="AK139" i="2"/>
  <c r="AM139" i="2"/>
  <c r="A140" i="2"/>
  <c r="B140" i="2"/>
  <c r="C140" i="2"/>
  <c r="D140" i="2" s="1"/>
  <c r="L140" i="2"/>
  <c r="AK140" i="2"/>
  <c r="AM140" i="2"/>
  <c r="A141" i="2"/>
  <c r="B141" i="2"/>
  <c r="C141" i="2"/>
  <c r="N141" i="2" s="1"/>
  <c r="L141" i="2"/>
  <c r="AK141" i="2"/>
  <c r="AM141" i="2"/>
  <c r="A142" i="2"/>
  <c r="B142" i="2"/>
  <c r="C142" i="2"/>
  <c r="I144" i="2"/>
  <c r="L142" i="2"/>
  <c r="AK142" i="2"/>
  <c r="AM142" i="2"/>
  <c r="A143" i="2"/>
  <c r="B143" i="2"/>
  <c r="C143" i="2"/>
  <c r="H143" i="2"/>
  <c r="L143" i="2"/>
  <c r="AK143" i="2"/>
  <c r="AM143" i="2"/>
  <c r="A144" i="2"/>
  <c r="B144" i="2"/>
  <c r="C144" i="2"/>
  <c r="O144" i="2"/>
  <c r="M144" i="2"/>
  <c r="L144" i="2"/>
  <c r="AK144" i="2"/>
  <c r="AM144" i="2"/>
  <c r="A145" i="2"/>
  <c r="B145" i="2"/>
  <c r="C145" i="2"/>
  <c r="E145" i="2" s="1"/>
  <c r="L145" i="2"/>
  <c r="AK145" i="2"/>
  <c r="AM145" i="2"/>
  <c r="A146" i="2"/>
  <c r="B146" i="2"/>
  <c r="C146" i="2"/>
  <c r="L146" i="2"/>
  <c r="AK146" i="2"/>
  <c r="AM146" i="2"/>
  <c r="A147" i="2"/>
  <c r="B147" i="2"/>
  <c r="C147" i="2"/>
  <c r="P147" i="2" s="1"/>
  <c r="L147" i="2"/>
  <c r="AK147" i="2"/>
  <c r="AM147" i="2"/>
  <c r="A148" i="2"/>
  <c r="B148" i="2"/>
  <c r="C148" i="2"/>
  <c r="J148" i="2" s="1"/>
  <c r="L148" i="2"/>
  <c r="AK148" i="2"/>
  <c r="AM148" i="2"/>
  <c r="A149" i="2"/>
  <c r="B149" i="2"/>
  <c r="C149" i="2"/>
  <c r="L149" i="2"/>
  <c r="AK149" i="2"/>
  <c r="AM149" i="2"/>
  <c r="A150" i="2"/>
  <c r="B150" i="2"/>
  <c r="C150" i="2"/>
  <c r="I152" i="2"/>
  <c r="L150" i="2"/>
  <c r="AK150" i="2"/>
  <c r="AM150" i="2"/>
  <c r="A151" i="2"/>
  <c r="B151" i="2"/>
  <c r="C151" i="2"/>
  <c r="P151" i="2" s="1"/>
  <c r="L151" i="2"/>
  <c r="AK151" i="2"/>
  <c r="AM151" i="2"/>
  <c r="A152" i="2"/>
  <c r="B152" i="2"/>
  <c r="C152" i="2"/>
  <c r="E152" i="2" s="1"/>
  <c r="L152" i="2"/>
  <c r="AK152" i="2"/>
  <c r="AM152" i="2"/>
  <c r="A153" i="2"/>
  <c r="B153" i="2"/>
  <c r="C153" i="2"/>
  <c r="O153" i="2" s="1"/>
  <c r="L153" i="2"/>
  <c r="AK153" i="2"/>
  <c r="AM153" i="2"/>
  <c r="A154" i="2"/>
  <c r="B154" i="2"/>
  <c r="C154" i="2"/>
  <c r="F154" i="2"/>
  <c r="L154" i="2"/>
  <c r="AK154" i="2"/>
  <c r="AM154" i="2"/>
  <c r="A155" i="2"/>
  <c r="B155" i="2"/>
  <c r="C155" i="2"/>
  <c r="L155" i="2"/>
  <c r="AK155" i="2"/>
  <c r="AM155" i="2"/>
  <c r="A156" i="2"/>
  <c r="B156" i="2"/>
  <c r="C156" i="2"/>
  <c r="F156" i="2" s="1"/>
  <c r="L156" i="2"/>
  <c r="AK156" i="2"/>
  <c r="AM156" i="2"/>
  <c r="A157" i="2"/>
  <c r="B157" i="2"/>
  <c r="C157" i="2"/>
  <c r="N157" i="2" s="1"/>
  <c r="L157" i="2"/>
  <c r="AK157" i="2"/>
  <c r="AM157" i="2"/>
  <c r="A158" i="2"/>
  <c r="B158" i="2"/>
  <c r="C158" i="2"/>
  <c r="I160" i="2" s="1"/>
  <c r="L158" i="2"/>
  <c r="AK158" i="2"/>
  <c r="AM158" i="2"/>
  <c r="A159" i="2"/>
  <c r="B159" i="2"/>
  <c r="C159" i="2"/>
  <c r="I161" i="2" s="1"/>
  <c r="L159" i="2"/>
  <c r="AK159" i="2"/>
  <c r="AM159" i="2"/>
  <c r="A160" i="2"/>
  <c r="B160" i="2"/>
  <c r="C160" i="2"/>
  <c r="L160" i="2"/>
  <c r="AK160" i="2"/>
  <c r="AM160" i="2"/>
  <c r="A161" i="2"/>
  <c r="B161" i="2"/>
  <c r="C161" i="2"/>
  <c r="O161" i="2" s="1"/>
  <c r="I163" i="2"/>
  <c r="L161" i="2"/>
  <c r="AK161" i="2"/>
  <c r="AM161" i="2"/>
  <c r="A162" i="2"/>
  <c r="B162" i="2"/>
  <c r="C162" i="2"/>
  <c r="L162" i="2"/>
  <c r="AK162" i="2"/>
  <c r="AM162" i="2"/>
  <c r="A163" i="2"/>
  <c r="B163" i="2"/>
  <c r="C163" i="2"/>
  <c r="E163" i="2"/>
  <c r="L163" i="2"/>
  <c r="AK163" i="2"/>
  <c r="AM163" i="2"/>
  <c r="A164" i="2"/>
  <c r="B164" i="2"/>
  <c r="C164" i="2"/>
  <c r="G164" i="2" s="1"/>
  <c r="L164" i="2"/>
  <c r="AK164" i="2"/>
  <c r="AM164" i="2"/>
  <c r="A165" i="2"/>
  <c r="B165" i="2"/>
  <c r="C165" i="2"/>
  <c r="L165" i="2"/>
  <c r="AK165" i="2"/>
  <c r="AM165" i="2"/>
  <c r="A166" i="2"/>
  <c r="B166" i="2"/>
  <c r="C166" i="2"/>
  <c r="J166" i="2" s="1"/>
  <c r="L166" i="2"/>
  <c r="AK166" i="2"/>
  <c r="AM166" i="2"/>
  <c r="A167" i="2"/>
  <c r="B167" i="2"/>
  <c r="C167" i="2"/>
  <c r="L167" i="2"/>
  <c r="AK167" i="2"/>
  <c r="AM167" i="2"/>
  <c r="A168" i="2"/>
  <c r="B168" i="2"/>
  <c r="C168" i="2"/>
  <c r="L168" i="2"/>
  <c r="AK168" i="2"/>
  <c r="AM168" i="2"/>
  <c r="A169" i="2"/>
  <c r="B169" i="2"/>
  <c r="C169" i="2"/>
  <c r="L169" i="2"/>
  <c r="AK169" i="2"/>
  <c r="AM169" i="2"/>
  <c r="A170" i="2"/>
  <c r="B170" i="2"/>
  <c r="C170" i="2"/>
  <c r="E170" i="2" s="1"/>
  <c r="L170" i="2"/>
  <c r="AK170" i="2"/>
  <c r="AM170" i="2"/>
  <c r="A171" i="2"/>
  <c r="B171" i="2"/>
  <c r="C171" i="2"/>
  <c r="H171" i="2" s="1"/>
  <c r="L171" i="2"/>
  <c r="AK171" i="2"/>
  <c r="AM171" i="2"/>
  <c r="A172" i="2"/>
  <c r="B172" i="2"/>
  <c r="C172" i="2"/>
  <c r="L172" i="2"/>
  <c r="AK172" i="2"/>
  <c r="AM172" i="2"/>
  <c r="A173" i="2"/>
  <c r="B173" i="2"/>
  <c r="C173" i="2"/>
  <c r="E173" i="2"/>
  <c r="L173" i="2"/>
  <c r="AK173" i="2"/>
  <c r="AM173" i="2"/>
  <c r="A174" i="2"/>
  <c r="B174" i="2"/>
  <c r="C174" i="2"/>
  <c r="H174" i="2" s="1"/>
  <c r="L174" i="2"/>
  <c r="AK174" i="2"/>
  <c r="AM174" i="2"/>
  <c r="A175" i="2"/>
  <c r="B175" i="2"/>
  <c r="C175" i="2"/>
  <c r="L175" i="2"/>
  <c r="AK175" i="2"/>
  <c r="AM175" i="2"/>
  <c r="A176" i="2"/>
  <c r="B176" i="2"/>
  <c r="C176" i="2"/>
  <c r="O176" i="2" s="1"/>
  <c r="L176" i="2"/>
  <c r="AK176" i="2"/>
  <c r="AM176" i="2"/>
  <c r="A177" i="2"/>
  <c r="B177" i="2"/>
  <c r="C177" i="2"/>
  <c r="L177" i="2"/>
  <c r="AK177" i="2"/>
  <c r="AM177" i="2"/>
  <c r="A178" i="2"/>
  <c r="B178" i="2"/>
  <c r="C178" i="2"/>
  <c r="D178" i="2"/>
  <c r="L178" i="2"/>
  <c r="AK178" i="2"/>
  <c r="AM178" i="2"/>
  <c r="A179" i="2"/>
  <c r="B179" i="2"/>
  <c r="C179" i="2"/>
  <c r="L179" i="2"/>
  <c r="AK179" i="2"/>
  <c r="AM179" i="2"/>
  <c r="A180" i="2"/>
  <c r="B180" i="2"/>
  <c r="C180" i="2"/>
  <c r="D180" i="2" s="1"/>
  <c r="L180" i="2"/>
  <c r="AK180" i="2"/>
  <c r="AM180" i="2"/>
  <c r="A181" i="2"/>
  <c r="B181" i="2"/>
  <c r="C181" i="2"/>
  <c r="M181" i="2" s="1"/>
  <c r="L181" i="2"/>
  <c r="AK181" i="2"/>
  <c r="AM181" i="2"/>
  <c r="A182" i="2"/>
  <c r="B182" i="2"/>
  <c r="C182" i="2"/>
  <c r="L182" i="2"/>
  <c r="AK182" i="2"/>
  <c r="AM182" i="2"/>
  <c r="A183" i="2"/>
  <c r="B183" i="2"/>
  <c r="C183" i="2"/>
  <c r="D183" i="2" s="1"/>
  <c r="L183" i="2"/>
  <c r="AK183" i="2"/>
  <c r="AM183" i="2"/>
  <c r="A184" i="2"/>
  <c r="B184" i="2"/>
  <c r="C184" i="2"/>
  <c r="G184" i="2" s="1"/>
  <c r="L184" i="2"/>
  <c r="AK184" i="2"/>
  <c r="AM184" i="2"/>
  <c r="A185" i="2"/>
  <c r="B185" i="2"/>
  <c r="C185" i="2"/>
  <c r="E185" i="2"/>
  <c r="L185" i="2"/>
  <c r="AK185" i="2"/>
  <c r="AM185" i="2"/>
  <c r="A186" i="2"/>
  <c r="B186" i="2"/>
  <c r="C186" i="2"/>
  <c r="F186" i="2"/>
  <c r="L186" i="2"/>
  <c r="AK186" i="2"/>
  <c r="AM186" i="2"/>
  <c r="A187" i="2"/>
  <c r="B187" i="2"/>
  <c r="C187" i="2"/>
  <c r="P187" i="2" s="1"/>
  <c r="L187" i="2"/>
  <c r="AK187" i="2"/>
  <c r="AM187" i="2"/>
  <c r="A188" i="2"/>
  <c r="B188" i="2"/>
  <c r="C188" i="2"/>
  <c r="J188" i="2" s="1"/>
  <c r="L188" i="2"/>
  <c r="AK188" i="2"/>
  <c r="AM188" i="2"/>
  <c r="A189" i="2"/>
  <c r="B189" i="2"/>
  <c r="C189" i="2"/>
  <c r="I191" i="2"/>
  <c r="L189" i="2"/>
  <c r="AK189" i="2"/>
  <c r="AM189" i="2"/>
  <c r="A190" i="2"/>
  <c r="B190" i="2"/>
  <c r="C190" i="2"/>
  <c r="H190" i="2" s="1"/>
  <c r="L190" i="2"/>
  <c r="AK190" i="2"/>
  <c r="AM190" i="2"/>
  <c r="A191" i="2"/>
  <c r="B191" i="2"/>
  <c r="C191" i="2"/>
  <c r="L191" i="2"/>
  <c r="AK191" i="2"/>
  <c r="AM191" i="2"/>
  <c r="A192" i="2"/>
  <c r="B192" i="2"/>
  <c r="C192" i="2"/>
  <c r="F192" i="2" s="1"/>
  <c r="L192" i="2"/>
  <c r="AK192" i="2"/>
  <c r="AM192" i="2"/>
  <c r="A193" i="2"/>
  <c r="B193" i="2"/>
  <c r="C193" i="2"/>
  <c r="J193" i="2" s="1"/>
  <c r="L193" i="2"/>
  <c r="AK193" i="2"/>
  <c r="AM193" i="2"/>
  <c r="A194" i="2"/>
  <c r="B194" i="2"/>
  <c r="C194" i="2"/>
  <c r="L194" i="2"/>
  <c r="AK194" i="2"/>
  <c r="AM194" i="2"/>
  <c r="A195" i="2"/>
  <c r="B195" i="2"/>
  <c r="C195" i="2"/>
  <c r="Q195" i="2"/>
  <c r="L195" i="2"/>
  <c r="AK195" i="2"/>
  <c r="AM195" i="2"/>
  <c r="A196" i="2"/>
  <c r="B196" i="2"/>
  <c r="C196" i="2"/>
  <c r="D196" i="2" s="1"/>
  <c r="L196" i="2"/>
  <c r="AK196" i="2"/>
  <c r="AM196" i="2"/>
  <c r="A197" i="2"/>
  <c r="B197" i="2"/>
  <c r="C197" i="2"/>
  <c r="M197" i="2" s="1"/>
  <c r="L197" i="2"/>
  <c r="AK197" i="2"/>
  <c r="AM197" i="2"/>
  <c r="A198" i="2"/>
  <c r="B198" i="2"/>
  <c r="C198" i="2"/>
  <c r="I200" i="2"/>
  <c r="L198" i="2"/>
  <c r="AK198" i="2"/>
  <c r="AM198" i="2"/>
  <c r="A199" i="2"/>
  <c r="B199" i="2"/>
  <c r="C199" i="2"/>
  <c r="L199" i="2"/>
  <c r="AK199" i="2"/>
  <c r="AM199" i="2"/>
  <c r="A200" i="2"/>
  <c r="B200" i="2"/>
  <c r="C200" i="2"/>
  <c r="L200" i="2"/>
  <c r="AK200" i="2"/>
  <c r="AM200" i="2"/>
  <c r="A201" i="2"/>
  <c r="B201" i="2"/>
  <c r="C201" i="2"/>
  <c r="P201" i="2"/>
  <c r="L201" i="2"/>
  <c r="AK201" i="2"/>
  <c r="AM201" i="2"/>
  <c r="A202" i="2"/>
  <c r="B202" i="2"/>
  <c r="C202" i="2"/>
  <c r="N202" i="2" s="1"/>
  <c r="L202" i="2"/>
  <c r="AK202" i="2"/>
  <c r="AM202" i="2"/>
  <c r="A203" i="2"/>
  <c r="B203" i="2"/>
  <c r="C203" i="2"/>
  <c r="O203" i="2" s="1"/>
  <c r="L203" i="2"/>
  <c r="AK203" i="2"/>
  <c r="AM203" i="2"/>
  <c r="A204" i="2"/>
  <c r="B204" i="2"/>
  <c r="C204" i="2"/>
  <c r="I206" i="2" s="1"/>
  <c r="L204" i="2"/>
  <c r="AK204" i="2"/>
  <c r="AM204" i="2"/>
  <c r="A205" i="2"/>
  <c r="B205" i="2"/>
  <c r="C205" i="2"/>
  <c r="P205" i="2" s="1"/>
  <c r="L205" i="2"/>
  <c r="AK205" i="2"/>
  <c r="AM205" i="2"/>
  <c r="A206" i="2"/>
  <c r="B206" i="2"/>
  <c r="C206" i="2"/>
  <c r="H206" i="2" s="1"/>
  <c r="L206" i="2"/>
  <c r="AK206" i="2"/>
  <c r="AM206" i="2"/>
  <c r="A207" i="2"/>
  <c r="B207" i="2"/>
  <c r="C207" i="2"/>
  <c r="I209" i="2" s="1"/>
  <c r="L207" i="2"/>
  <c r="AK207" i="2"/>
  <c r="AM207" i="2"/>
  <c r="A208" i="2"/>
  <c r="B208" i="2"/>
  <c r="C208" i="2"/>
  <c r="J208" i="2" s="1"/>
  <c r="L208" i="2"/>
  <c r="AK208" i="2"/>
  <c r="AM208" i="2"/>
  <c r="A209" i="2"/>
  <c r="B209" i="2"/>
  <c r="C209" i="2"/>
  <c r="M209" i="2" s="1"/>
  <c r="L209" i="2"/>
  <c r="AK209" i="2"/>
  <c r="AM209" i="2"/>
  <c r="A210" i="2"/>
  <c r="B210" i="2"/>
  <c r="C210" i="2"/>
  <c r="H210" i="2"/>
  <c r="L210" i="2"/>
  <c r="AK210" i="2"/>
  <c r="AM210" i="2"/>
  <c r="A211" i="2"/>
  <c r="B211" i="2"/>
  <c r="C211" i="2"/>
  <c r="I213" i="2" s="1"/>
  <c r="O211" i="2"/>
  <c r="L211" i="2"/>
  <c r="AK211" i="2"/>
  <c r="AM211" i="2"/>
  <c r="A212" i="2"/>
  <c r="B212" i="2"/>
  <c r="C212" i="2"/>
  <c r="G212" i="2" s="1"/>
  <c r="L212" i="2"/>
  <c r="AK212" i="2"/>
  <c r="AM212" i="2"/>
  <c r="A213" i="2"/>
  <c r="B213" i="2"/>
  <c r="C213" i="2"/>
  <c r="O213" i="2" s="1"/>
  <c r="L213" i="2"/>
  <c r="AK213" i="2"/>
  <c r="AM213" i="2"/>
  <c r="A214" i="2"/>
  <c r="B214" i="2"/>
  <c r="C214" i="2"/>
  <c r="J214" i="2" s="1"/>
  <c r="L214" i="2"/>
  <c r="AK214" i="2"/>
  <c r="AM214" i="2"/>
  <c r="A215" i="2"/>
  <c r="B215" i="2"/>
  <c r="C215" i="2"/>
  <c r="L215" i="2"/>
  <c r="AK215" i="2"/>
  <c r="AM215" i="2"/>
  <c r="A216" i="2"/>
  <c r="B216" i="2"/>
  <c r="C216" i="2"/>
  <c r="M216" i="2" s="1"/>
  <c r="L216" i="2"/>
  <c r="AK216" i="2"/>
  <c r="AM216" i="2"/>
  <c r="A217" i="2"/>
  <c r="B217" i="2"/>
  <c r="C217" i="2"/>
  <c r="I219" i="2" s="1"/>
  <c r="L217" i="2"/>
  <c r="AK217" i="2"/>
  <c r="AM217" i="2"/>
  <c r="A218" i="2"/>
  <c r="B218" i="2"/>
  <c r="C218" i="2"/>
  <c r="J218" i="2" s="1"/>
  <c r="L218" i="2"/>
  <c r="AK218" i="2"/>
  <c r="AM218" i="2"/>
  <c r="A219" i="2"/>
  <c r="B219" i="2"/>
  <c r="C219" i="2"/>
  <c r="O219" i="2"/>
  <c r="L219" i="2"/>
  <c r="AK219" i="2"/>
  <c r="AM219" i="2"/>
  <c r="A220" i="2"/>
  <c r="B220" i="2"/>
  <c r="C220" i="2"/>
  <c r="L220" i="2"/>
  <c r="AK220" i="2"/>
  <c r="AM220" i="2"/>
  <c r="A221" i="2"/>
  <c r="B221" i="2"/>
  <c r="C221" i="2"/>
  <c r="L221" i="2"/>
  <c r="AK221" i="2"/>
  <c r="AM221" i="2"/>
  <c r="A222" i="2"/>
  <c r="B222" i="2"/>
  <c r="C222" i="2"/>
  <c r="N222" i="2" s="1"/>
  <c r="L222" i="2"/>
  <c r="AK222" i="2"/>
  <c r="AM222" i="2"/>
  <c r="A223" i="2"/>
  <c r="B223" i="2"/>
  <c r="C223" i="2"/>
  <c r="E223" i="2" s="1"/>
  <c r="L223" i="2"/>
  <c r="AK223" i="2"/>
  <c r="AM223" i="2"/>
  <c r="A224" i="2"/>
  <c r="B224" i="2"/>
  <c r="C224" i="2"/>
  <c r="N224" i="2" s="1"/>
  <c r="L224" i="2"/>
  <c r="AK224" i="2"/>
  <c r="AM224" i="2"/>
  <c r="A225" i="2"/>
  <c r="B225" i="2"/>
  <c r="C225" i="2"/>
  <c r="L225" i="2"/>
  <c r="AK225" i="2"/>
  <c r="AM225" i="2"/>
  <c r="A226" i="2"/>
  <c r="B226" i="2"/>
  <c r="C226" i="2"/>
  <c r="J226" i="2" s="1"/>
  <c r="L226" i="2"/>
  <c r="AK226" i="2"/>
  <c r="AM226" i="2"/>
  <c r="A227" i="2"/>
  <c r="B227" i="2"/>
  <c r="C227" i="2"/>
  <c r="N227" i="2" s="1"/>
  <c r="L227" i="2"/>
  <c r="AK227" i="2"/>
  <c r="AM227" i="2"/>
  <c r="A228" i="2"/>
  <c r="B228" i="2"/>
  <c r="C228" i="2"/>
  <c r="E228" i="2" s="1"/>
  <c r="L228" i="2"/>
  <c r="AK228" i="2"/>
  <c r="AM228" i="2"/>
  <c r="A229" i="2"/>
  <c r="B229" i="2"/>
  <c r="C229" i="2"/>
  <c r="E229" i="2" s="1"/>
  <c r="L229" i="2"/>
  <c r="AK229" i="2"/>
  <c r="AM229" i="2"/>
  <c r="A230" i="2"/>
  <c r="B230" i="2"/>
  <c r="C230" i="2"/>
  <c r="L230" i="2"/>
  <c r="AK230" i="2"/>
  <c r="AM230" i="2"/>
  <c r="A231" i="2"/>
  <c r="B231" i="2"/>
  <c r="C231" i="2"/>
  <c r="J231" i="2" s="1"/>
  <c r="L231" i="2"/>
  <c r="AK231" i="2"/>
  <c r="AM231" i="2"/>
  <c r="A232" i="2"/>
  <c r="B232" i="2"/>
  <c r="C232" i="2"/>
  <c r="H232" i="2" s="1"/>
  <c r="L232" i="2"/>
  <c r="AK232" i="2"/>
  <c r="AM232" i="2"/>
  <c r="A233" i="2"/>
  <c r="B233" i="2"/>
  <c r="C233" i="2"/>
  <c r="L233" i="2"/>
  <c r="AK233" i="2"/>
  <c r="AM233" i="2"/>
  <c r="A234" i="2"/>
  <c r="B234" i="2"/>
  <c r="C234" i="2"/>
  <c r="Q234" i="2" s="1"/>
  <c r="L234" i="2"/>
  <c r="AK234" i="2"/>
  <c r="AM234" i="2"/>
  <c r="A235" i="2"/>
  <c r="B235" i="2"/>
  <c r="C235" i="2"/>
  <c r="L235" i="2"/>
  <c r="AK235" i="2"/>
  <c r="AM235" i="2"/>
  <c r="A236" i="2"/>
  <c r="B236" i="2"/>
  <c r="C236" i="2"/>
  <c r="N236" i="2"/>
  <c r="L236" i="2"/>
  <c r="AK236" i="2"/>
  <c r="AM236" i="2"/>
  <c r="A237" i="2"/>
  <c r="B237" i="2"/>
  <c r="C237" i="2"/>
  <c r="J237" i="2" s="1"/>
  <c r="L237" i="2"/>
  <c r="AK237" i="2"/>
  <c r="AM237" i="2"/>
  <c r="A238" i="2"/>
  <c r="B238" i="2"/>
  <c r="C238" i="2"/>
  <c r="F238" i="2" s="1"/>
  <c r="L238" i="2"/>
  <c r="AK238" i="2"/>
  <c r="AM238" i="2"/>
  <c r="A239" i="2"/>
  <c r="B239" i="2"/>
  <c r="C239" i="2"/>
  <c r="L239" i="2"/>
  <c r="AK239" i="2"/>
  <c r="AM239" i="2"/>
  <c r="A240" i="2"/>
  <c r="B240" i="2"/>
  <c r="C240" i="2"/>
  <c r="L240" i="2"/>
  <c r="AK240" i="2"/>
  <c r="AM240" i="2"/>
  <c r="A241" i="2"/>
  <c r="B241" i="2"/>
  <c r="C241" i="2"/>
  <c r="L241" i="2"/>
  <c r="AK241" i="2"/>
  <c r="AM241" i="2"/>
  <c r="A242" i="2"/>
  <c r="B242" i="2"/>
  <c r="C242" i="2"/>
  <c r="P242" i="2"/>
  <c r="F242" i="2"/>
  <c r="L242" i="2"/>
  <c r="AK242" i="2"/>
  <c r="AM242" i="2"/>
  <c r="A243" i="2"/>
  <c r="B243" i="2"/>
  <c r="C243" i="2"/>
  <c r="L243" i="2"/>
  <c r="AK243" i="2"/>
  <c r="AM243" i="2"/>
  <c r="A244" i="2"/>
  <c r="B244" i="2"/>
  <c r="C244" i="2"/>
  <c r="O244" i="2" s="1"/>
  <c r="L244" i="2"/>
  <c r="AK244" i="2"/>
  <c r="AM244" i="2"/>
  <c r="A245" i="2"/>
  <c r="B245" i="2"/>
  <c r="C245" i="2"/>
  <c r="L245" i="2"/>
  <c r="AK245" i="2"/>
  <c r="AM245" i="2"/>
  <c r="A246" i="2"/>
  <c r="B246" i="2"/>
  <c r="C246" i="2"/>
  <c r="L246" i="2"/>
  <c r="AK246" i="2"/>
  <c r="AM246" i="2"/>
  <c r="A247" i="2"/>
  <c r="B247" i="2"/>
  <c r="C247" i="2"/>
  <c r="I249" i="2" s="1"/>
  <c r="L247" i="2"/>
  <c r="AK247" i="2"/>
  <c r="AM247" i="2"/>
  <c r="A248" i="2"/>
  <c r="B248" i="2"/>
  <c r="C248" i="2"/>
  <c r="F248" i="2" s="1"/>
  <c r="L248" i="2"/>
  <c r="AK248" i="2"/>
  <c r="AM248" i="2"/>
  <c r="A249" i="2"/>
  <c r="B249" i="2"/>
  <c r="C249" i="2"/>
  <c r="H249" i="2" s="1"/>
  <c r="L249" i="2"/>
  <c r="AK249" i="2"/>
  <c r="AM249" i="2"/>
  <c r="A250" i="2"/>
  <c r="B250" i="2"/>
  <c r="C250" i="2"/>
  <c r="L250" i="2"/>
  <c r="AK250" i="2"/>
  <c r="AM250" i="2"/>
  <c r="A251" i="2"/>
  <c r="B251" i="2"/>
  <c r="C251" i="2"/>
  <c r="L251" i="2"/>
  <c r="AK251" i="2"/>
  <c r="AM251" i="2"/>
  <c r="A252" i="2"/>
  <c r="B252" i="2"/>
  <c r="C252" i="2"/>
  <c r="M252" i="2" s="1"/>
  <c r="L252" i="2"/>
  <c r="AK252" i="2"/>
  <c r="AM252" i="2"/>
  <c r="A253" i="2"/>
  <c r="B253" i="2"/>
  <c r="C253" i="2"/>
  <c r="O253" i="2"/>
  <c r="L253" i="2"/>
  <c r="Q253" i="2"/>
  <c r="AK253" i="2"/>
  <c r="AM253" i="2"/>
  <c r="A254" i="2"/>
  <c r="B254" i="2"/>
  <c r="C254" i="2"/>
  <c r="L254" i="2"/>
  <c r="AK254" i="2"/>
  <c r="AM254" i="2"/>
  <c r="A255" i="2"/>
  <c r="B255" i="2"/>
  <c r="C255" i="2"/>
  <c r="I257" i="2" s="1"/>
  <c r="L255" i="2"/>
  <c r="AK255" i="2"/>
  <c r="AM255" i="2"/>
  <c r="A256" i="2"/>
  <c r="B256" i="2"/>
  <c r="C256" i="2"/>
  <c r="L256" i="2"/>
  <c r="AK256" i="2"/>
  <c r="AM256" i="2"/>
  <c r="A257" i="2"/>
  <c r="B257" i="2"/>
  <c r="C257" i="2"/>
  <c r="L257" i="2"/>
  <c r="AK257" i="2"/>
  <c r="AM257" i="2"/>
  <c r="A258" i="2"/>
  <c r="B258" i="2"/>
  <c r="C258" i="2"/>
  <c r="L258" i="2"/>
  <c r="AK258" i="2"/>
  <c r="AM258" i="2"/>
  <c r="A259" i="2"/>
  <c r="B259" i="2"/>
  <c r="C259" i="2"/>
  <c r="P259" i="2" s="1"/>
  <c r="L259" i="2"/>
  <c r="AK259" i="2"/>
  <c r="AM259" i="2"/>
  <c r="A260" i="2"/>
  <c r="B260" i="2"/>
  <c r="C260" i="2"/>
  <c r="L260" i="2"/>
  <c r="AK260" i="2"/>
  <c r="AM260" i="2"/>
  <c r="A261" i="2"/>
  <c r="B261" i="2"/>
  <c r="C261" i="2"/>
  <c r="H261" i="2"/>
  <c r="L261" i="2"/>
  <c r="AK261" i="2"/>
  <c r="AM261" i="2"/>
  <c r="A262" i="2"/>
  <c r="B262" i="2"/>
  <c r="C262" i="2"/>
  <c r="I264" i="2"/>
  <c r="L262" i="2"/>
  <c r="AK262" i="2"/>
  <c r="AM262" i="2"/>
  <c r="A263" i="2"/>
  <c r="B263" i="2"/>
  <c r="C263" i="2"/>
  <c r="L263" i="2"/>
  <c r="AK263" i="2"/>
  <c r="AM263" i="2"/>
  <c r="A264" i="2"/>
  <c r="B264" i="2"/>
  <c r="C264" i="2"/>
  <c r="N264" i="2" s="1"/>
  <c r="U264" i="2" s="1"/>
  <c r="L264" i="2"/>
  <c r="AK264" i="2"/>
  <c r="AM264" i="2"/>
  <c r="A265" i="2"/>
  <c r="B265" i="2"/>
  <c r="C265" i="2"/>
  <c r="L265" i="2"/>
  <c r="AK265" i="2"/>
  <c r="AM265" i="2"/>
  <c r="A266" i="2"/>
  <c r="B266" i="2"/>
  <c r="C266" i="2"/>
  <c r="J266" i="2"/>
  <c r="L266" i="2"/>
  <c r="AK266" i="2"/>
  <c r="AM266" i="2"/>
  <c r="A267" i="2"/>
  <c r="B267" i="2"/>
  <c r="C267" i="2"/>
  <c r="H267" i="2" s="1"/>
  <c r="L267" i="2"/>
  <c r="AK267" i="2"/>
  <c r="AM267" i="2"/>
  <c r="A268" i="2"/>
  <c r="B268" i="2"/>
  <c r="C268" i="2"/>
  <c r="H268" i="2" s="1"/>
  <c r="L268" i="2"/>
  <c r="AK268" i="2"/>
  <c r="AM268" i="2"/>
  <c r="A269" i="2"/>
  <c r="B269" i="2"/>
  <c r="C269" i="2"/>
  <c r="F269" i="2" s="1"/>
  <c r="L269" i="2"/>
  <c r="AK269" i="2"/>
  <c r="AM269" i="2"/>
  <c r="A270" i="2"/>
  <c r="B270" i="2"/>
  <c r="C270" i="2"/>
  <c r="L270" i="2"/>
  <c r="AK270" i="2"/>
  <c r="AM270" i="2"/>
  <c r="A271" i="2"/>
  <c r="B271" i="2"/>
  <c r="C271" i="2"/>
  <c r="O271" i="2"/>
  <c r="L271" i="2"/>
  <c r="AK271" i="2"/>
  <c r="AM271" i="2"/>
  <c r="A272" i="2"/>
  <c r="B272" i="2"/>
  <c r="C272" i="2"/>
  <c r="D272" i="2"/>
  <c r="L272" i="2"/>
  <c r="AK272" i="2"/>
  <c r="AM272" i="2"/>
  <c r="A273" i="2"/>
  <c r="B273" i="2"/>
  <c r="C273" i="2"/>
  <c r="N273" i="2" s="1"/>
  <c r="L273" i="2"/>
  <c r="AK273" i="2"/>
  <c r="AM273" i="2"/>
  <c r="A274" i="2"/>
  <c r="B274" i="2"/>
  <c r="C274" i="2"/>
  <c r="P274" i="2" s="1"/>
  <c r="L274" i="2"/>
  <c r="AK274" i="2"/>
  <c r="AM274" i="2"/>
  <c r="A275" i="2"/>
  <c r="B275" i="2"/>
  <c r="C275" i="2"/>
  <c r="D275" i="2"/>
  <c r="L275" i="2"/>
  <c r="AK275" i="2"/>
  <c r="AM275" i="2"/>
  <c r="A276" i="2"/>
  <c r="B276" i="2"/>
  <c r="C276" i="2"/>
  <c r="O276" i="2" s="1"/>
  <c r="L276" i="2"/>
  <c r="AK276" i="2"/>
  <c r="AM276" i="2"/>
  <c r="A277" i="2"/>
  <c r="B277" i="2"/>
  <c r="C277" i="2"/>
  <c r="I279" i="2" s="1"/>
  <c r="L277" i="2"/>
  <c r="AK277" i="2"/>
  <c r="AM277" i="2"/>
  <c r="A278" i="2"/>
  <c r="B278" i="2"/>
  <c r="C278" i="2"/>
  <c r="L278" i="2"/>
  <c r="AK278" i="2"/>
  <c r="AM278" i="2"/>
  <c r="A279" i="2"/>
  <c r="B279" i="2"/>
  <c r="C279" i="2"/>
  <c r="M279" i="2" s="1"/>
  <c r="L279" i="2"/>
  <c r="AK279" i="2"/>
  <c r="AM279" i="2"/>
  <c r="A280" i="2"/>
  <c r="B280" i="2"/>
  <c r="C280" i="2"/>
  <c r="M280" i="2"/>
  <c r="L280" i="2"/>
  <c r="AK280" i="2"/>
  <c r="AM280" i="2"/>
  <c r="A281" i="2"/>
  <c r="B281" i="2"/>
  <c r="C281" i="2"/>
  <c r="M281" i="2" s="1"/>
  <c r="L281" i="2"/>
  <c r="AK281" i="2"/>
  <c r="AM281" i="2"/>
  <c r="A282" i="2"/>
  <c r="B282" i="2"/>
  <c r="C282" i="2"/>
  <c r="O282" i="2"/>
  <c r="L282" i="2"/>
  <c r="AK282" i="2"/>
  <c r="AM282" i="2"/>
  <c r="A283" i="2"/>
  <c r="B283" i="2"/>
  <c r="C283" i="2"/>
  <c r="F283" i="2" s="1"/>
  <c r="L283" i="2"/>
  <c r="AK283" i="2"/>
  <c r="AM283" i="2"/>
  <c r="A284" i="2"/>
  <c r="B284" i="2"/>
  <c r="C284" i="2"/>
  <c r="H284" i="2" s="1"/>
  <c r="L284" i="2"/>
  <c r="AK284" i="2"/>
  <c r="AM284" i="2"/>
  <c r="A285" i="2"/>
  <c r="B285" i="2"/>
  <c r="C285" i="2"/>
  <c r="G285" i="2" s="1"/>
  <c r="L285" i="2"/>
  <c r="AK285" i="2"/>
  <c r="AM285" i="2"/>
  <c r="A286" i="2"/>
  <c r="B286" i="2"/>
  <c r="C286" i="2"/>
  <c r="L286" i="2"/>
  <c r="AK286" i="2"/>
  <c r="AM286" i="2"/>
  <c r="A287" i="2"/>
  <c r="B287" i="2"/>
  <c r="C287" i="2"/>
  <c r="N287" i="2"/>
  <c r="L287" i="2"/>
  <c r="AK287" i="2"/>
  <c r="AM287" i="2"/>
  <c r="A288" i="2"/>
  <c r="B288" i="2"/>
  <c r="C288" i="2"/>
  <c r="D288" i="2" s="1"/>
  <c r="L288" i="2"/>
  <c r="AK288" i="2"/>
  <c r="AM288" i="2"/>
  <c r="A289" i="2"/>
  <c r="B289" i="2"/>
  <c r="C289" i="2"/>
  <c r="N289" i="2" s="1"/>
  <c r="U289" i="2" s="1"/>
  <c r="L289" i="2"/>
  <c r="AK289" i="2"/>
  <c r="AM289" i="2"/>
  <c r="A290" i="2"/>
  <c r="B290" i="2"/>
  <c r="C290" i="2"/>
  <c r="L290" i="2"/>
  <c r="AK290" i="2"/>
  <c r="AM290" i="2"/>
  <c r="A291" i="2"/>
  <c r="B291" i="2"/>
  <c r="C291" i="2"/>
  <c r="E291" i="2" s="1"/>
  <c r="L291" i="2"/>
  <c r="AK291" i="2"/>
  <c r="AM291" i="2"/>
  <c r="A292" i="2"/>
  <c r="B292" i="2"/>
  <c r="C292" i="2"/>
  <c r="L292" i="2"/>
  <c r="AK292" i="2"/>
  <c r="AM292" i="2"/>
  <c r="A293" i="2"/>
  <c r="B293" i="2"/>
  <c r="C293" i="2"/>
  <c r="J293" i="2"/>
  <c r="L293" i="2"/>
  <c r="AK293" i="2"/>
  <c r="AM293" i="2"/>
  <c r="A294" i="2"/>
  <c r="B294" i="2"/>
  <c r="C294" i="2"/>
  <c r="L294" i="2"/>
  <c r="AK294" i="2"/>
  <c r="AM294" i="2"/>
  <c r="A295" i="2"/>
  <c r="B295" i="2"/>
  <c r="C295" i="2"/>
  <c r="L295" i="2"/>
  <c r="AK295" i="2"/>
  <c r="AM295" i="2"/>
  <c r="A296" i="2"/>
  <c r="B296" i="2"/>
  <c r="C296" i="2"/>
  <c r="I298" i="2" s="1"/>
  <c r="L296" i="2"/>
  <c r="AK296" i="2"/>
  <c r="AM296" i="2"/>
  <c r="A297" i="2"/>
  <c r="B297" i="2"/>
  <c r="C297" i="2"/>
  <c r="Q297" i="2" s="1"/>
  <c r="L297" i="2"/>
  <c r="AK297" i="2"/>
  <c r="AM297" i="2"/>
  <c r="A298" i="2"/>
  <c r="B298" i="2"/>
  <c r="C298" i="2"/>
  <c r="M298" i="2" s="1"/>
  <c r="L298" i="2"/>
  <c r="AK298" i="2"/>
  <c r="AM298" i="2"/>
  <c r="A299" i="2"/>
  <c r="B299" i="2"/>
  <c r="C299" i="2"/>
  <c r="L299" i="2"/>
  <c r="AK299" i="2"/>
  <c r="AM299" i="2"/>
  <c r="A300" i="2"/>
  <c r="B300" i="2"/>
  <c r="C300" i="2"/>
  <c r="H300" i="2" s="1"/>
  <c r="P300" i="2"/>
  <c r="L300" i="2"/>
  <c r="AK300" i="2"/>
  <c r="AM300" i="2"/>
  <c r="A301" i="2"/>
  <c r="B301" i="2"/>
  <c r="C301" i="2"/>
  <c r="H301" i="2" s="1"/>
  <c r="L301" i="2"/>
  <c r="AK301" i="2"/>
  <c r="AM301" i="2"/>
  <c r="A302" i="2"/>
  <c r="B302" i="2"/>
  <c r="C302" i="2"/>
  <c r="F302" i="2" s="1"/>
  <c r="L302" i="2"/>
  <c r="AK302" i="2"/>
  <c r="AM302" i="2"/>
  <c r="A303" i="2"/>
  <c r="B303" i="2"/>
  <c r="C303" i="2"/>
  <c r="I305" i="2"/>
  <c r="L303" i="2"/>
  <c r="AK303" i="2"/>
  <c r="AM303" i="2"/>
  <c r="A304" i="2"/>
  <c r="B304" i="2"/>
  <c r="C304" i="2"/>
  <c r="H304" i="2" s="1"/>
  <c r="L304" i="2"/>
  <c r="AK304" i="2"/>
  <c r="AM304" i="2"/>
  <c r="A305" i="2"/>
  <c r="B305" i="2"/>
  <c r="C305" i="2"/>
  <c r="J305" i="2" s="1"/>
  <c r="L305" i="2"/>
  <c r="AK305" i="2"/>
  <c r="AM305" i="2"/>
  <c r="AK56" i="2"/>
  <c r="A56" i="2"/>
  <c r="B56" i="2"/>
  <c r="C56" i="2"/>
  <c r="L56" i="2"/>
  <c r="AM56" i="2"/>
  <c r="B21" i="5"/>
  <c r="B20" i="5"/>
  <c r="E21" i="5"/>
  <c r="E20" i="5"/>
  <c r="F19" i="5"/>
  <c r="G22" i="5"/>
  <c r="F22" i="5"/>
  <c r="B19" i="5"/>
  <c r="G21" i="5"/>
  <c r="F21" i="5"/>
  <c r="G20" i="5"/>
  <c r="F20" i="5"/>
  <c r="E16" i="5"/>
  <c r="B16" i="5"/>
  <c r="G16" i="5"/>
  <c r="F16" i="5"/>
  <c r="G9" i="5"/>
  <c r="F9" i="5"/>
  <c r="E9" i="5"/>
  <c r="B9" i="5"/>
  <c r="G19" i="4"/>
  <c r="F19" i="4"/>
  <c r="E19" i="4"/>
  <c r="D19" i="4"/>
  <c r="C19" i="4"/>
  <c r="B19" i="4"/>
  <c r="C27" i="21"/>
  <c r="X3" i="22"/>
  <c r="W3" i="22"/>
  <c r="V3" i="22"/>
  <c r="U3" i="22"/>
  <c r="T3" i="22"/>
  <c r="S3" i="22"/>
  <c r="X2" i="22"/>
  <c r="W2" i="22"/>
  <c r="V2" i="22"/>
  <c r="U2" i="22"/>
  <c r="T2" i="22"/>
  <c r="S2" i="22"/>
  <c r="G72" i="6"/>
  <c r="A54" i="2"/>
  <c r="B54" i="2"/>
  <c r="C54" i="2"/>
  <c r="L54" i="2"/>
  <c r="AM54" i="2"/>
  <c r="A55" i="2"/>
  <c r="B55" i="2"/>
  <c r="C55" i="2"/>
  <c r="L55" i="2"/>
  <c r="U55" i="2" s="1"/>
  <c r="AM55" i="2"/>
  <c r="G27" i="5"/>
  <c r="H27" i="5"/>
  <c r="C93" i="9"/>
  <c r="X3" i="20"/>
  <c r="W3" i="20"/>
  <c r="V3" i="20"/>
  <c r="E67" i="5"/>
  <c r="U3" i="20"/>
  <c r="T3" i="20"/>
  <c r="S3" i="20"/>
  <c r="X2" i="20"/>
  <c r="W2" i="20"/>
  <c r="V2" i="20"/>
  <c r="U2" i="20"/>
  <c r="T2" i="20"/>
  <c r="S2" i="20"/>
  <c r="B93" i="9"/>
  <c r="C79" i="9"/>
  <c r="C80" i="9"/>
  <c r="C81" i="9"/>
  <c r="C82" i="9"/>
  <c r="C83" i="9"/>
  <c r="C84" i="9"/>
  <c r="C85" i="9"/>
  <c r="C88" i="9"/>
  <c r="C89" i="9"/>
  <c r="C90" i="9"/>
  <c r="C91" i="9"/>
  <c r="C92" i="9"/>
  <c r="C78" i="9"/>
  <c r="C74" i="9"/>
  <c r="B74" i="9"/>
  <c r="C58" i="9"/>
  <c r="C59" i="9"/>
  <c r="C60" i="9"/>
  <c r="C61" i="9"/>
  <c r="C62" i="9"/>
  <c r="C63" i="9"/>
  <c r="C64" i="9"/>
  <c r="C65" i="9"/>
  <c r="C66" i="9"/>
  <c r="C68" i="9"/>
  <c r="C69" i="9"/>
  <c r="C70" i="9"/>
  <c r="C71" i="9"/>
  <c r="C72" i="9"/>
  <c r="C73" i="9"/>
  <c r="C57" i="9"/>
  <c r="X2" i="19"/>
  <c r="W2" i="19"/>
  <c r="V2" i="19"/>
  <c r="U2" i="19"/>
  <c r="T2" i="19"/>
  <c r="S2" i="19"/>
  <c r="X6" i="19"/>
  <c r="W6" i="19"/>
  <c r="V6" i="19"/>
  <c r="U6" i="19"/>
  <c r="T6" i="19"/>
  <c r="S6" i="19"/>
  <c r="X5" i="19"/>
  <c r="W5" i="19"/>
  <c r="V5" i="19"/>
  <c r="U5" i="19"/>
  <c r="T5" i="19"/>
  <c r="S5" i="19"/>
  <c r="X4" i="19"/>
  <c r="W4" i="19"/>
  <c r="V4" i="19"/>
  <c r="U4" i="19"/>
  <c r="T4" i="19"/>
  <c r="S4" i="19"/>
  <c r="X3" i="19"/>
  <c r="W3" i="19"/>
  <c r="V3" i="19"/>
  <c r="U3" i="19"/>
  <c r="T3" i="19"/>
  <c r="S3" i="19"/>
  <c r="B46" i="9"/>
  <c r="B45" i="9"/>
  <c r="B52" i="9"/>
  <c r="C46" i="9"/>
  <c r="F17" i="4"/>
  <c r="F18" i="4"/>
  <c r="E18" i="4"/>
  <c r="D18" i="4"/>
  <c r="C18" i="4"/>
  <c r="B18" i="4"/>
  <c r="V2" i="3"/>
  <c r="G19" i="6"/>
  <c r="G48" i="6"/>
  <c r="H48" i="6"/>
  <c r="C41" i="9"/>
  <c r="C42" i="9"/>
  <c r="C43" i="9"/>
  <c r="C44" i="9"/>
  <c r="C45" i="9"/>
  <c r="C47" i="9"/>
  <c r="C48" i="9"/>
  <c r="C49" i="9"/>
  <c r="C50" i="9"/>
  <c r="C51" i="9"/>
  <c r="C40" i="9"/>
  <c r="G16" i="4"/>
  <c r="F16" i="4"/>
  <c r="B20" i="9"/>
  <c r="C17" i="9"/>
  <c r="G34" i="5"/>
  <c r="F34" i="5"/>
  <c r="B34" i="5"/>
  <c r="E33" i="5"/>
  <c r="B33" i="5"/>
  <c r="Q76" i="9"/>
  <c r="B34" i="6"/>
  <c r="C34" i="6"/>
  <c r="D34" i="6"/>
  <c r="E34" i="6"/>
  <c r="Q69" i="9"/>
  <c r="Q70" i="9"/>
  <c r="B23" i="6"/>
  <c r="B76" i="5"/>
  <c r="E23" i="6"/>
  <c r="E76" i="5"/>
  <c r="C76" i="5"/>
  <c r="G23" i="6"/>
  <c r="F76" i="5"/>
  <c r="G32" i="5"/>
  <c r="F32" i="5"/>
  <c r="B68" i="5"/>
  <c r="E9" i="6"/>
  <c r="E68" i="5"/>
  <c r="C9" i="6"/>
  <c r="G9" i="6"/>
  <c r="H9" i="6"/>
  <c r="G68" i="5"/>
  <c r="F68" i="5"/>
  <c r="G18" i="5"/>
  <c r="F18" i="5"/>
  <c r="B15" i="6"/>
  <c r="B67" i="5"/>
  <c r="E15" i="6"/>
  <c r="C15" i="6"/>
  <c r="G67" i="5"/>
  <c r="F67" i="5"/>
  <c r="M86" i="9"/>
  <c r="N84" i="9"/>
  <c r="N85" i="9"/>
  <c r="N83" i="9"/>
  <c r="P78" i="9"/>
  <c r="O78" i="9"/>
  <c r="E51" i="6"/>
  <c r="P76" i="9"/>
  <c r="B51" i="6"/>
  <c r="O76" i="9"/>
  <c r="P68" i="9"/>
  <c r="O69" i="9"/>
  <c r="O70" i="9"/>
  <c r="O71" i="9"/>
  <c r="O72" i="9"/>
  <c r="O74" i="9"/>
  <c r="O75" i="9"/>
  <c r="O77" i="9"/>
  <c r="O79" i="9"/>
  <c r="O68" i="9"/>
  <c r="M80" i="9"/>
  <c r="N74" i="9"/>
  <c r="G10" i="5"/>
  <c r="F10" i="5"/>
  <c r="G11" i="5"/>
  <c r="F11" i="5"/>
  <c r="E11" i="5"/>
  <c r="B11" i="5"/>
  <c r="E10" i="6"/>
  <c r="AP5" i="9"/>
  <c r="D9" i="6"/>
  <c r="H8" i="6"/>
  <c r="G8" i="6"/>
  <c r="E8" i="6"/>
  <c r="D8" i="6"/>
  <c r="C8" i="6"/>
  <c r="E26" i="5"/>
  <c r="B26" i="5"/>
  <c r="G26" i="5"/>
  <c r="F26" i="5"/>
  <c r="G23" i="5"/>
  <c r="F23" i="5"/>
  <c r="E23" i="5"/>
  <c r="D23" i="5"/>
  <c r="C23" i="5"/>
  <c r="B23" i="5"/>
  <c r="F11" i="7"/>
  <c r="G5" i="7"/>
  <c r="F5" i="7"/>
  <c r="E75" i="5"/>
  <c r="D75" i="5"/>
  <c r="C75" i="5"/>
  <c r="B75" i="5"/>
  <c r="G75" i="5"/>
  <c r="F75" i="5"/>
  <c r="G8" i="5"/>
  <c r="F8" i="5"/>
  <c r="E11" i="6"/>
  <c r="C13" i="6"/>
  <c r="G21" i="6"/>
  <c r="G20" i="6"/>
  <c r="F4" i="5"/>
  <c r="O5" i="9"/>
  <c r="G69" i="5"/>
  <c r="H69" i="5"/>
  <c r="G10" i="6"/>
  <c r="C14" i="6"/>
  <c r="G69" i="6"/>
  <c r="G64" i="6"/>
  <c r="G14" i="5"/>
  <c r="F14" i="5"/>
  <c r="F16" i="7"/>
  <c r="F2" i="7"/>
  <c r="F14" i="7"/>
  <c r="F8" i="7"/>
  <c r="AR2" i="9"/>
  <c r="I51" i="6"/>
  <c r="G53" i="6"/>
  <c r="C51" i="6"/>
  <c r="M56" i="9"/>
  <c r="N56" i="9"/>
  <c r="N51" i="9"/>
  <c r="N52" i="9"/>
  <c r="N53" i="9"/>
  <c r="N54" i="9"/>
  <c r="N55" i="9"/>
  <c r="N50" i="9"/>
  <c r="G2" i="4"/>
  <c r="F2" i="4"/>
  <c r="AR4" i="9"/>
  <c r="C4" i="9"/>
  <c r="D4" i="9"/>
  <c r="C8" i="9"/>
  <c r="G57" i="6"/>
  <c r="G9" i="4"/>
  <c r="F9" i="4"/>
  <c r="E61" i="6"/>
  <c r="D61" i="6"/>
  <c r="C61" i="6"/>
  <c r="B61" i="6"/>
  <c r="X4" i="18"/>
  <c r="W4" i="18"/>
  <c r="V4" i="18"/>
  <c r="T4" i="18"/>
  <c r="S4" i="18"/>
  <c r="X3" i="18"/>
  <c r="W3" i="18"/>
  <c r="V3" i="18"/>
  <c r="I25" i="6"/>
  <c r="V5" i="23"/>
  <c r="T3" i="18"/>
  <c r="S3" i="18"/>
  <c r="X2" i="18"/>
  <c r="W2" i="18"/>
  <c r="V2" i="18"/>
  <c r="U2" i="18"/>
  <c r="T2" i="18"/>
  <c r="S2" i="18"/>
  <c r="S4" i="17"/>
  <c r="T4" i="17"/>
  <c r="U4" i="17"/>
  <c r="V4" i="17"/>
  <c r="W4" i="17"/>
  <c r="X4" i="17"/>
  <c r="X3" i="17"/>
  <c r="W3" i="17"/>
  <c r="V3" i="17"/>
  <c r="U3" i="17"/>
  <c r="T3" i="17"/>
  <c r="S3" i="17"/>
  <c r="X2" i="17"/>
  <c r="W2" i="17"/>
  <c r="V2" i="17"/>
  <c r="U2" i="17"/>
  <c r="T2" i="17"/>
  <c r="S2" i="17"/>
  <c r="I60" i="6"/>
  <c r="C60" i="6"/>
  <c r="B10" i="6"/>
  <c r="C10" i="6"/>
  <c r="X10" i="9"/>
  <c r="G5" i="5"/>
  <c r="F5" i="5"/>
  <c r="E25" i="6"/>
  <c r="C25" i="6"/>
  <c r="G49" i="5"/>
  <c r="F49" i="5"/>
  <c r="D25" i="6"/>
  <c r="G12" i="4"/>
  <c r="G4" i="6"/>
  <c r="H4" i="6"/>
  <c r="B4" i="6"/>
  <c r="H3" i="6"/>
  <c r="K7" i="7"/>
  <c r="AL13" i="9"/>
  <c r="AM13" i="9"/>
  <c r="AM7" i="9"/>
  <c r="E34" i="5"/>
  <c r="D15" i="6"/>
  <c r="G37" i="5"/>
  <c r="F37" i="5"/>
  <c r="S8" i="16"/>
  <c r="T8" i="16"/>
  <c r="U8" i="16"/>
  <c r="V8" i="16"/>
  <c r="W8" i="16"/>
  <c r="X8" i="16"/>
  <c r="S7" i="16"/>
  <c r="T7" i="16"/>
  <c r="U7" i="16"/>
  <c r="V7" i="16"/>
  <c r="W7" i="16"/>
  <c r="X7" i="16"/>
  <c r="S6" i="16"/>
  <c r="T6" i="16"/>
  <c r="U6" i="16"/>
  <c r="V6" i="16"/>
  <c r="W6" i="16"/>
  <c r="X6" i="16"/>
  <c r="S2" i="16"/>
  <c r="T2" i="16"/>
  <c r="U2" i="16"/>
  <c r="V2" i="16"/>
  <c r="S3" i="16"/>
  <c r="T3" i="16"/>
  <c r="U3" i="16"/>
  <c r="V3" i="16"/>
  <c r="S4" i="16"/>
  <c r="T4" i="16"/>
  <c r="U4" i="16"/>
  <c r="V4" i="16"/>
  <c r="S5" i="16"/>
  <c r="T5" i="16"/>
  <c r="U5" i="16"/>
  <c r="V5" i="16"/>
  <c r="S9" i="16"/>
  <c r="T9" i="16"/>
  <c r="U9" i="16"/>
  <c r="V9" i="16"/>
  <c r="W9" i="16"/>
  <c r="X9" i="16"/>
  <c r="W4" i="16"/>
  <c r="X4" i="16"/>
  <c r="W2" i="16"/>
  <c r="X2" i="16"/>
  <c r="W5" i="16"/>
  <c r="X5" i="16"/>
  <c r="W3" i="16"/>
  <c r="X3" i="16"/>
  <c r="Q44" i="9"/>
  <c r="R44" i="9"/>
  <c r="R34" i="9"/>
  <c r="R35" i="9"/>
  <c r="R36" i="9"/>
  <c r="R37" i="9"/>
  <c r="R38" i="9"/>
  <c r="R39" i="9"/>
  <c r="R40" i="9"/>
  <c r="T40" i="9"/>
  <c r="R41" i="9"/>
  <c r="R42" i="9"/>
  <c r="R43" i="9"/>
  <c r="S40" i="9"/>
  <c r="E31" i="5"/>
  <c r="B31" i="5"/>
  <c r="G58" i="5"/>
  <c r="F58" i="5"/>
  <c r="M36" i="9"/>
  <c r="M37" i="9"/>
  <c r="M41" i="9"/>
  <c r="N35" i="9"/>
  <c r="N36" i="9"/>
  <c r="N37" i="9"/>
  <c r="N38" i="9"/>
  <c r="N39" i="9"/>
  <c r="N40" i="9"/>
  <c r="N34" i="9"/>
  <c r="M24" i="9"/>
  <c r="M25" i="9"/>
  <c r="N21" i="9"/>
  <c r="N22" i="9"/>
  <c r="N23" i="9"/>
  <c r="N24" i="9"/>
  <c r="N20" i="9"/>
  <c r="G30" i="5"/>
  <c r="F30" i="5"/>
  <c r="E30" i="5"/>
  <c r="B30" i="5"/>
  <c r="G29" i="5"/>
  <c r="F29" i="5"/>
  <c r="G28" i="5"/>
  <c r="F28" i="5"/>
  <c r="E29" i="5"/>
  <c r="B29" i="5"/>
  <c r="E28" i="5"/>
  <c r="B28" i="5"/>
  <c r="H28" i="9"/>
  <c r="B5" i="14"/>
  <c r="C5" i="14"/>
  <c r="D5" i="14"/>
  <c r="B4" i="14"/>
  <c r="C4" i="14"/>
  <c r="D4" i="14"/>
  <c r="B3" i="14"/>
  <c r="C3" i="14"/>
  <c r="D3" i="14"/>
  <c r="G28" i="9"/>
  <c r="H21" i="9"/>
  <c r="G23" i="9"/>
  <c r="G25" i="6"/>
  <c r="B36" i="9"/>
  <c r="C33" i="9"/>
  <c r="E36" i="5"/>
  <c r="D36" i="5"/>
  <c r="C36" i="5"/>
  <c r="B36" i="5"/>
  <c r="AH13" i="9"/>
  <c r="AI13" i="9"/>
  <c r="AI9" i="9"/>
  <c r="AI4" i="9"/>
  <c r="AI3" i="9"/>
  <c r="E11" i="7"/>
  <c r="B11" i="7"/>
  <c r="AP7" i="9"/>
  <c r="AQ4" i="9"/>
  <c r="AQ3" i="9"/>
  <c r="AR7" i="9"/>
  <c r="W5" i="9"/>
  <c r="X2" i="9"/>
  <c r="AF3" i="9"/>
  <c r="AF4" i="9"/>
  <c r="AF5" i="9"/>
  <c r="AF2" i="9"/>
  <c r="E55" i="6"/>
  <c r="D55" i="6"/>
  <c r="C55" i="6"/>
  <c r="G56" i="6"/>
  <c r="B55" i="6"/>
  <c r="Z30" i="9"/>
  <c r="Z32" i="9"/>
  <c r="Y30" i="9"/>
  <c r="Y32" i="9"/>
  <c r="X30" i="9"/>
  <c r="X32" i="9"/>
  <c r="W32" i="9"/>
  <c r="X3" i="9"/>
  <c r="E17" i="4"/>
  <c r="D17" i="4"/>
  <c r="C17" i="4"/>
  <c r="B17" i="4"/>
  <c r="E16" i="4"/>
  <c r="D16" i="4"/>
  <c r="C16" i="4"/>
  <c r="B16" i="4"/>
  <c r="H43" i="6"/>
  <c r="Q12" i="9"/>
  <c r="R12" i="9"/>
  <c r="S12" i="9"/>
  <c r="P12" i="9"/>
  <c r="S10" i="9"/>
  <c r="R10" i="9"/>
  <c r="P10" i="9"/>
  <c r="Q10" i="9"/>
  <c r="Q2" i="9"/>
  <c r="R2" i="9"/>
  <c r="R4" i="9"/>
  <c r="S2" i="9"/>
  <c r="S4" i="9"/>
  <c r="Q4" i="9"/>
  <c r="P4" i="9"/>
  <c r="G10" i="7"/>
  <c r="F10" i="7"/>
  <c r="B57" i="6"/>
  <c r="C57" i="6"/>
  <c r="D57" i="6"/>
  <c r="E57" i="6"/>
  <c r="G58" i="6"/>
  <c r="G22" i="6"/>
  <c r="B24" i="6"/>
  <c r="C24" i="6"/>
  <c r="D24" i="6"/>
  <c r="E24" i="6"/>
  <c r="B14" i="6"/>
  <c r="D14" i="6"/>
  <c r="E14" i="6"/>
  <c r="G14" i="6"/>
  <c r="D10" i="6"/>
  <c r="F7" i="5"/>
  <c r="B59" i="6"/>
  <c r="C59" i="6"/>
  <c r="D59" i="6"/>
  <c r="E59" i="6"/>
  <c r="G60" i="6"/>
  <c r="G15" i="5"/>
  <c r="F15" i="5"/>
  <c r="G65" i="5"/>
  <c r="F65" i="5"/>
  <c r="B14" i="5"/>
  <c r="C14" i="5"/>
  <c r="D14" i="5"/>
  <c r="E16" i="6"/>
  <c r="D16" i="6"/>
  <c r="C16" i="6"/>
  <c r="B16" i="6"/>
  <c r="G16" i="6"/>
  <c r="E59" i="5"/>
  <c r="B59" i="5"/>
  <c r="G59" i="5"/>
  <c r="F59" i="5"/>
  <c r="E38" i="5"/>
  <c r="B38" i="5"/>
  <c r="G38" i="5"/>
  <c r="F38" i="5"/>
  <c r="E20" i="6"/>
  <c r="B20" i="6"/>
  <c r="E15" i="5"/>
  <c r="D15" i="5"/>
  <c r="C15" i="5"/>
  <c r="B15" i="5"/>
  <c r="E13" i="6"/>
  <c r="D13" i="6"/>
  <c r="B13" i="6"/>
  <c r="G13" i="6"/>
  <c r="F35" i="5"/>
  <c r="E3" i="6"/>
  <c r="P5" i="11"/>
  <c r="G12" i="6"/>
  <c r="W25" i="12"/>
  <c r="V25" i="12"/>
  <c r="U25" i="12"/>
  <c r="T25" i="12"/>
  <c r="S25" i="12"/>
  <c r="R25" i="12"/>
  <c r="W24" i="12"/>
  <c r="V24" i="12"/>
  <c r="U24" i="12"/>
  <c r="T24" i="12"/>
  <c r="S24" i="12"/>
  <c r="R24" i="12"/>
  <c r="W23" i="12"/>
  <c r="V23" i="12"/>
  <c r="U23" i="12"/>
  <c r="R23" i="12"/>
  <c r="S23" i="12"/>
  <c r="T23" i="12"/>
  <c r="W22" i="12"/>
  <c r="V22" i="12"/>
  <c r="U22" i="12"/>
  <c r="T22" i="12"/>
  <c r="S22" i="12"/>
  <c r="R22" i="12"/>
  <c r="W21" i="12"/>
  <c r="V21" i="12"/>
  <c r="U21" i="12"/>
  <c r="T21" i="12"/>
  <c r="S21" i="12"/>
  <c r="R21" i="12"/>
  <c r="W20" i="12"/>
  <c r="V20" i="12"/>
  <c r="U20" i="12"/>
  <c r="T20" i="12"/>
  <c r="R20" i="12"/>
  <c r="S20" i="12"/>
  <c r="W19" i="12"/>
  <c r="V19" i="12"/>
  <c r="U19" i="12"/>
  <c r="T19" i="12"/>
  <c r="S19" i="12"/>
  <c r="R19" i="12"/>
  <c r="W18" i="12"/>
  <c r="V18" i="12"/>
  <c r="U18" i="12"/>
  <c r="T18" i="12"/>
  <c r="S18" i="12"/>
  <c r="R18" i="12"/>
  <c r="W17" i="12"/>
  <c r="V17" i="12"/>
  <c r="U17" i="12"/>
  <c r="T17" i="12"/>
  <c r="S17" i="12"/>
  <c r="R17" i="12"/>
  <c r="W16" i="12"/>
  <c r="V16" i="12"/>
  <c r="U16" i="12"/>
  <c r="T16" i="12"/>
  <c r="R16" i="12"/>
  <c r="S16" i="12"/>
  <c r="W15" i="12"/>
  <c r="V15" i="12"/>
  <c r="U15" i="12"/>
  <c r="T15" i="12"/>
  <c r="S15" i="12"/>
  <c r="R15" i="12"/>
  <c r="W3" i="12"/>
  <c r="V3" i="12"/>
  <c r="U3" i="12"/>
  <c r="T3" i="12"/>
  <c r="R3" i="12"/>
  <c r="S3" i="12"/>
  <c r="W2" i="12"/>
  <c r="V2" i="12"/>
  <c r="U2" i="12"/>
  <c r="T2" i="12"/>
  <c r="R2" i="12"/>
  <c r="S2" i="12"/>
  <c r="D11" i="6"/>
  <c r="C11" i="6"/>
  <c r="B11" i="6"/>
  <c r="W25" i="10"/>
  <c r="V25" i="10"/>
  <c r="U25" i="10"/>
  <c r="T25" i="10"/>
  <c r="S25" i="10"/>
  <c r="R25" i="10"/>
  <c r="W24" i="10"/>
  <c r="V24" i="10"/>
  <c r="U24" i="10"/>
  <c r="T24" i="10"/>
  <c r="S24" i="10"/>
  <c r="R24" i="10"/>
  <c r="W23" i="10"/>
  <c r="V23" i="10"/>
  <c r="U23" i="10"/>
  <c r="T23" i="10"/>
  <c r="S23" i="10"/>
  <c r="R23" i="10"/>
  <c r="W22" i="10"/>
  <c r="V22" i="10"/>
  <c r="U22" i="10"/>
  <c r="R22" i="10"/>
  <c r="S22" i="10"/>
  <c r="T22" i="10"/>
  <c r="W21" i="10"/>
  <c r="V21" i="10"/>
  <c r="U21" i="10"/>
  <c r="T21" i="10"/>
  <c r="R21" i="10"/>
  <c r="S21" i="10"/>
  <c r="W20" i="10"/>
  <c r="V20" i="10"/>
  <c r="U20" i="10"/>
  <c r="T20" i="10"/>
  <c r="R20" i="10"/>
  <c r="S20" i="10"/>
  <c r="W19" i="10"/>
  <c r="V19" i="10"/>
  <c r="U19" i="10"/>
  <c r="R19" i="10"/>
  <c r="S19" i="10"/>
  <c r="T19" i="10"/>
  <c r="W18" i="10"/>
  <c r="V18" i="10"/>
  <c r="U18" i="10"/>
  <c r="T18" i="10"/>
  <c r="R18" i="10"/>
  <c r="S18" i="10"/>
  <c r="W17" i="10"/>
  <c r="V17" i="10"/>
  <c r="U17" i="10"/>
  <c r="T17" i="10"/>
  <c r="S17" i="10"/>
  <c r="R17" i="10"/>
  <c r="W16" i="10"/>
  <c r="V16" i="10"/>
  <c r="U16" i="10"/>
  <c r="T16" i="10"/>
  <c r="S16" i="10"/>
  <c r="R16" i="10"/>
  <c r="W15" i="10"/>
  <c r="V15" i="10"/>
  <c r="U15" i="10"/>
  <c r="R15" i="10"/>
  <c r="S15" i="10"/>
  <c r="T15" i="10"/>
  <c r="W3" i="10"/>
  <c r="V3" i="10"/>
  <c r="U3" i="10"/>
  <c r="T3" i="10"/>
  <c r="S3" i="10"/>
  <c r="R3" i="10"/>
  <c r="W2" i="10"/>
  <c r="V2" i="10"/>
  <c r="U2" i="10"/>
  <c r="T2" i="10"/>
  <c r="R2" i="10"/>
  <c r="S2" i="10"/>
  <c r="F15" i="4"/>
  <c r="C15" i="4"/>
  <c r="B15" i="4"/>
  <c r="G10" i="4"/>
  <c r="F10" i="4"/>
  <c r="G8" i="4"/>
  <c r="G7" i="4"/>
  <c r="G6" i="4"/>
  <c r="G5" i="4"/>
  <c r="F5" i="4"/>
  <c r="G4" i="4"/>
  <c r="F4" i="4"/>
  <c r="G3" i="4"/>
  <c r="F3" i="4"/>
  <c r="G9" i="7"/>
  <c r="F9" i="7"/>
  <c r="G15" i="7"/>
  <c r="F15" i="7"/>
  <c r="F6" i="5"/>
  <c r="F17" i="5"/>
  <c r="F54" i="5"/>
  <c r="F55" i="5"/>
  <c r="D76" i="5"/>
  <c r="F14" i="4"/>
  <c r="E14" i="4"/>
  <c r="C14" i="4"/>
  <c r="B14" i="4"/>
  <c r="F13" i="4"/>
  <c r="E58" i="6"/>
  <c r="D58" i="6"/>
  <c r="C58" i="6"/>
  <c r="B58" i="6"/>
  <c r="E17" i="5"/>
  <c r="D17" i="5"/>
  <c r="C17" i="5"/>
  <c r="B17" i="5"/>
  <c r="H47" i="6"/>
  <c r="E47" i="6"/>
  <c r="D47" i="6"/>
  <c r="C47" i="6"/>
  <c r="B47" i="6"/>
  <c r="E12" i="6"/>
  <c r="D12" i="6"/>
  <c r="C12" i="6"/>
  <c r="B12" i="6"/>
  <c r="E73" i="6"/>
  <c r="B73" i="6"/>
  <c r="E50" i="6"/>
  <c r="D50" i="6"/>
  <c r="C50" i="6"/>
  <c r="B50" i="6"/>
  <c r="E48" i="6"/>
  <c r="D48" i="6"/>
  <c r="C48" i="6"/>
  <c r="B48" i="6"/>
  <c r="E30" i="6"/>
  <c r="B30" i="6"/>
  <c r="E72" i="6"/>
  <c r="B72" i="6"/>
  <c r="E5" i="6"/>
  <c r="D5" i="6"/>
  <c r="C5" i="6"/>
  <c r="B5" i="6"/>
  <c r="I42" i="6"/>
  <c r="C42" i="6"/>
  <c r="E33" i="6"/>
  <c r="D33" i="6"/>
  <c r="C33" i="6"/>
  <c r="B33" i="6"/>
  <c r="E38" i="6"/>
  <c r="D38" i="6"/>
  <c r="C38" i="6"/>
  <c r="B38" i="6"/>
  <c r="G17" i="7"/>
  <c r="F17" i="7"/>
  <c r="G4" i="7"/>
  <c r="F4" i="7"/>
  <c r="G3" i="7"/>
  <c r="F3" i="7"/>
  <c r="G50" i="6"/>
  <c r="G49" i="6"/>
  <c r="G65" i="6"/>
  <c r="G51" i="6"/>
  <c r="G68" i="6"/>
  <c r="G73" i="6"/>
  <c r="E62" i="6"/>
  <c r="D62" i="6"/>
  <c r="C62" i="6"/>
  <c r="B62" i="6"/>
  <c r="G32" i="6"/>
  <c r="G29" i="6"/>
  <c r="G39" i="6"/>
  <c r="G61" i="5"/>
  <c r="F61" i="5"/>
  <c r="G39" i="5"/>
  <c r="F39" i="5"/>
  <c r="E39" i="5"/>
  <c r="B39" i="5"/>
  <c r="G53" i="5"/>
  <c r="F53" i="5"/>
  <c r="G48" i="5"/>
  <c r="F48" i="5"/>
  <c r="G60" i="5"/>
  <c r="F60" i="5"/>
  <c r="G79" i="5"/>
  <c r="F79" i="5"/>
  <c r="G50" i="5"/>
  <c r="F50" i="5"/>
  <c r="G70" i="5"/>
  <c r="F70" i="5"/>
  <c r="F12" i="4"/>
  <c r="C12" i="4"/>
  <c r="B12" i="4"/>
  <c r="F11" i="4"/>
  <c r="E11" i="4"/>
  <c r="C11" i="4"/>
  <c r="B11" i="4"/>
  <c r="F8" i="4"/>
  <c r="F7" i="4"/>
  <c r="F6" i="4"/>
  <c r="C19" i="9"/>
  <c r="C15" i="9"/>
  <c r="AI10" i="9"/>
  <c r="AI7" i="9"/>
  <c r="AI6" i="9"/>
  <c r="AI5" i="9"/>
  <c r="AQ2" i="9"/>
  <c r="AQ5" i="9"/>
  <c r="H19" i="9"/>
  <c r="C16" i="9"/>
  <c r="AI11" i="9"/>
  <c r="AI12" i="9"/>
  <c r="H20" i="9"/>
  <c r="AI2" i="9"/>
  <c r="AI8" i="9"/>
  <c r="H18" i="9"/>
  <c r="H27" i="9"/>
  <c r="H25" i="9"/>
  <c r="H24" i="9"/>
  <c r="H17" i="9"/>
  <c r="H22" i="9"/>
  <c r="H26" i="9"/>
  <c r="H23" i="9"/>
  <c r="AM4" i="9"/>
  <c r="AM3" i="9"/>
  <c r="AM2" i="9"/>
  <c r="AM5" i="9"/>
  <c r="AM12" i="9"/>
  <c r="AM6" i="9"/>
  <c r="AM10" i="9"/>
  <c r="AM11" i="9"/>
  <c r="AM9" i="9"/>
  <c r="AM8" i="9"/>
  <c r="X4" i="9"/>
  <c r="N75" i="9"/>
  <c r="N68" i="9"/>
  <c r="N77" i="9"/>
  <c r="N73" i="9"/>
  <c r="N72" i="9"/>
  <c r="N71" i="9"/>
  <c r="N70" i="9"/>
  <c r="N69" i="9"/>
  <c r="N79" i="9"/>
  <c r="N78" i="9"/>
  <c r="N76" i="9"/>
  <c r="C18" i="9"/>
  <c r="D3" i="6"/>
  <c r="R19" i="2"/>
  <c r="R3" i="2"/>
  <c r="R4" i="2"/>
  <c r="R10" i="2"/>
  <c r="R17" i="2"/>
  <c r="R5" i="2"/>
  <c r="Q84" i="2"/>
  <c r="M73" i="2"/>
  <c r="T73" i="2" s="1"/>
  <c r="O84" i="2"/>
  <c r="H82" i="2"/>
  <c r="Q72" i="2"/>
  <c r="M80" i="2"/>
  <c r="P84" i="2"/>
  <c r="H80" i="2"/>
  <c r="O73" i="2"/>
  <c r="W73" i="2" s="1"/>
  <c r="H84" i="2"/>
  <c r="N219" i="2"/>
  <c r="N80" i="2"/>
  <c r="H132" i="2"/>
  <c r="P132" i="2"/>
  <c r="H168" i="2"/>
  <c r="J98" i="2"/>
  <c r="G66" i="2"/>
  <c r="G98" i="2"/>
  <c r="O66" i="2"/>
  <c r="F66" i="2"/>
  <c r="Q66" i="2"/>
  <c r="Y66" i="2" s="1"/>
  <c r="E112" i="2"/>
  <c r="J132" i="2"/>
  <c r="J72" i="2"/>
  <c r="N68" i="2"/>
  <c r="T62" i="2"/>
  <c r="G83" i="2"/>
  <c r="I120" i="2"/>
  <c r="E83" i="2"/>
  <c r="J192" i="2"/>
  <c r="P90" i="2"/>
  <c r="I194" i="2"/>
  <c r="H96" i="2"/>
  <c r="I98" i="2"/>
  <c r="M96" i="2"/>
  <c r="T96" i="2" s="1"/>
  <c r="D75" i="2"/>
  <c r="N75" i="2"/>
  <c r="U75" i="2" s="1"/>
  <c r="Q75" i="2"/>
  <c r="Y75" i="2" s="1"/>
  <c r="H75" i="2"/>
  <c r="O75" i="2"/>
  <c r="J106" i="2"/>
  <c r="P106" i="2"/>
  <c r="N129" i="2"/>
  <c r="H91" i="2"/>
  <c r="M210" i="2"/>
  <c r="N109" i="2"/>
  <c r="O109" i="2"/>
  <c r="G91" i="2"/>
  <c r="H78" i="2"/>
  <c r="G78" i="2"/>
  <c r="E70" i="2"/>
  <c r="H70" i="2"/>
  <c r="H157" i="2"/>
  <c r="O94" i="2"/>
  <c r="F81" i="2"/>
  <c r="M81" i="2"/>
  <c r="T81" i="2" s="1"/>
  <c r="O210" i="2"/>
  <c r="O91" i="2"/>
  <c r="E91" i="2"/>
  <c r="F89" i="2"/>
  <c r="O89" i="2"/>
  <c r="H277" i="2"/>
  <c r="D269" i="2"/>
  <c r="Q235" i="2"/>
  <c r="N225" i="2"/>
  <c r="I210" i="2"/>
  <c r="F210" i="2"/>
  <c r="F113" i="2"/>
  <c r="M113" i="2"/>
  <c r="D103" i="2"/>
  <c r="I105" i="2"/>
  <c r="N103" i="2"/>
  <c r="P142" i="2"/>
  <c r="M135" i="2"/>
  <c r="I118" i="2"/>
  <c r="O235" i="2"/>
  <c r="D210" i="2"/>
  <c r="D184" i="2"/>
  <c r="F264" i="2"/>
  <c r="O185" i="2"/>
  <c r="I113" i="2"/>
  <c r="N90" i="2"/>
  <c r="U90" i="2" s="1"/>
  <c r="J77" i="2"/>
  <c r="N77" i="2"/>
  <c r="P77" i="2"/>
  <c r="D142" i="2"/>
  <c r="Q114" i="2"/>
  <c r="Y114" i="2" s="1"/>
  <c r="I116" i="2"/>
  <c r="F114" i="2"/>
  <c r="H114" i="2"/>
  <c r="G114" i="2"/>
  <c r="M90" i="2"/>
  <c r="Q96" i="2"/>
  <c r="Y96" i="2" s="1"/>
  <c r="I80" i="2"/>
  <c r="N240" i="2"/>
  <c r="M174" i="2"/>
  <c r="G277" i="2"/>
  <c r="G159" i="2"/>
  <c r="H121" i="2"/>
  <c r="F121" i="2"/>
  <c r="D286" i="2"/>
  <c r="F266" i="2"/>
  <c r="H248" i="2"/>
  <c r="P204" i="2"/>
  <c r="P188" i="2"/>
  <c r="H187" i="2"/>
  <c r="F159" i="2"/>
  <c r="J109" i="2"/>
  <c r="D108" i="2"/>
  <c r="H106" i="2"/>
  <c r="D85" i="2"/>
  <c r="Q85" i="2"/>
  <c r="Y85" i="2" s="1"/>
  <c r="I87" i="2"/>
  <c r="N73" i="2"/>
  <c r="U73" i="2" s="1"/>
  <c r="Q73" i="2"/>
  <c r="Y73" i="2" s="1"/>
  <c r="E73" i="2"/>
  <c r="F73" i="2"/>
  <c r="G73" i="2"/>
  <c r="H73" i="2"/>
  <c r="J73" i="2"/>
  <c r="F253" i="2"/>
  <c r="O160" i="2"/>
  <c r="N120" i="2"/>
  <c r="U120" i="2" s="1"/>
  <c r="E107" i="2"/>
  <c r="N98" i="2"/>
  <c r="U98" i="2" s="1"/>
  <c r="P92" i="2"/>
  <c r="Q92" i="2"/>
  <c r="Y92" i="2" s="1"/>
  <c r="J156" i="2"/>
  <c r="P93" i="2"/>
  <c r="E69" i="2"/>
  <c r="F69" i="2"/>
  <c r="G69" i="2"/>
  <c r="H69" i="2"/>
  <c r="J69" i="2"/>
  <c r="X69" i="2" s="1"/>
  <c r="G107" i="2"/>
  <c r="H107" i="2"/>
  <c r="P107" i="2"/>
  <c r="J99" i="2"/>
  <c r="O61" i="2"/>
  <c r="P61" i="2"/>
  <c r="Q61" i="2"/>
  <c r="Y61" i="2" s="1"/>
  <c r="D132" i="2"/>
  <c r="Q60" i="2"/>
  <c r="Y60" i="2" s="1"/>
  <c r="J59" i="2"/>
  <c r="M58" i="2"/>
  <c r="M57" i="2"/>
  <c r="E125" i="2"/>
  <c r="G72" i="2"/>
  <c r="P66" i="2"/>
  <c r="J63" i="2"/>
  <c r="O60" i="2"/>
  <c r="J57" i="2"/>
  <c r="H58" i="2"/>
  <c r="D124" i="2"/>
  <c r="F59" i="2"/>
  <c r="G58" i="2"/>
  <c r="H57" i="2"/>
  <c r="E59" i="2"/>
  <c r="F58" i="2"/>
  <c r="E57" i="2"/>
  <c r="D57" i="2"/>
  <c r="P59" i="2"/>
  <c r="O59" i="2"/>
  <c r="Q57" i="2"/>
  <c r="Y57" i="2" s="1"/>
  <c r="N59" i="2"/>
  <c r="U59" i="2" s="1"/>
  <c r="M59" i="2"/>
  <c r="P57" i="2"/>
  <c r="H64" i="2"/>
  <c r="M63" i="2"/>
  <c r="N57" i="2"/>
  <c r="E27" i="5"/>
  <c r="S14" i="2"/>
  <c r="S5" i="2"/>
  <c r="S12" i="2"/>
  <c r="S11" i="2"/>
  <c r="S3" i="2"/>
  <c r="AA3" i="2" s="1"/>
  <c r="S26" i="2"/>
  <c r="S10" i="2"/>
  <c r="D257" i="2"/>
  <c r="P232" i="2"/>
  <c r="D232" i="2"/>
  <c r="F232" i="2"/>
  <c r="H295" i="2"/>
  <c r="Q295" i="2"/>
  <c r="Y295" i="2" s="1"/>
  <c r="D276" i="2"/>
  <c r="G253" i="2"/>
  <c r="N242" i="2"/>
  <c r="M242" i="2"/>
  <c r="G291" i="2"/>
  <c r="G243" i="2"/>
  <c r="F243" i="2"/>
  <c r="N253" i="2"/>
  <c r="E253" i="2"/>
  <c r="M297" i="2"/>
  <c r="F261" i="2"/>
  <c r="D261" i="2"/>
  <c r="J261" i="2"/>
  <c r="P266" i="2"/>
  <c r="H266" i="2"/>
  <c r="O266" i="2"/>
  <c r="N266" i="2"/>
  <c r="U266" i="2" s="1"/>
  <c r="Q266" i="2"/>
  <c r="Y266" i="2" s="1"/>
  <c r="J255" i="2"/>
  <c r="E255" i="2"/>
  <c r="I276" i="2"/>
  <c r="J269" i="2"/>
  <c r="Q269" i="2"/>
  <c r="I271" i="2"/>
  <c r="N269" i="2"/>
  <c r="G265" i="2"/>
  <c r="M230" i="2"/>
  <c r="T230" i="2" s="1"/>
  <c r="D230" i="2"/>
  <c r="E230" i="2"/>
  <c r="O230" i="2"/>
  <c r="E252" i="2"/>
  <c r="F252" i="2"/>
  <c r="I254" i="2"/>
  <c r="J252" i="2"/>
  <c r="O252" i="2"/>
  <c r="N252" i="2"/>
  <c r="D252" i="2"/>
  <c r="N296" i="2"/>
  <c r="F296" i="2"/>
  <c r="H293" i="2"/>
  <c r="N300" i="2"/>
  <c r="U300" i="2" s="1"/>
  <c r="F297" i="2"/>
  <c r="E297" i="2"/>
  <c r="J297" i="2"/>
  <c r="D294" i="2"/>
  <c r="O292" i="2"/>
  <c r="H292" i="2"/>
  <c r="N292" i="2"/>
  <c r="U292" i="2" s="1"/>
  <c r="F244" i="2"/>
  <c r="I246" i="2"/>
  <c r="J244" i="2"/>
  <c r="D195" i="2"/>
  <c r="P195" i="2"/>
  <c r="E195" i="2"/>
  <c r="H195" i="2"/>
  <c r="J195" i="2"/>
  <c r="N195" i="2"/>
  <c r="U195" i="2" s="1"/>
  <c r="Q305" i="2"/>
  <c r="Y305" i="2" s="1"/>
  <c r="F305" i="2"/>
  <c r="D267" i="2"/>
  <c r="G295" i="2"/>
  <c r="D226" i="2"/>
  <c r="G226" i="2"/>
  <c r="O285" i="2"/>
  <c r="G276" i="2"/>
  <c r="P247" i="2"/>
  <c r="J247" i="2"/>
  <c r="M247" i="2"/>
  <c r="Q247" i="2"/>
  <c r="G247" i="2"/>
  <c r="N247" i="2"/>
  <c r="D245" i="2"/>
  <c r="J245" i="2"/>
  <c r="H199" i="2"/>
  <c r="G199" i="2"/>
  <c r="N283" i="2"/>
  <c r="Q208" i="2"/>
  <c r="M208" i="2"/>
  <c r="T208" i="2" s="1"/>
  <c r="F208" i="2"/>
  <c r="N208" i="2"/>
  <c r="P208" i="2"/>
  <c r="H208" i="2"/>
  <c r="O208" i="2"/>
  <c r="G208" i="2"/>
  <c r="N205" i="2"/>
  <c r="U205" i="2" s="1"/>
  <c r="J205" i="2"/>
  <c r="Q205" i="2"/>
  <c r="Y205" i="2" s="1"/>
  <c r="F275" i="2"/>
  <c r="O275" i="2"/>
  <c r="I277" i="2"/>
  <c r="E256" i="2"/>
  <c r="G256" i="2"/>
  <c r="H215" i="2"/>
  <c r="E215" i="2"/>
  <c r="M215" i="2"/>
  <c r="T215" i="2" s="1"/>
  <c r="O215" i="2"/>
  <c r="J215" i="2"/>
  <c r="J249" i="2"/>
  <c r="P249" i="2"/>
  <c r="D249" i="2"/>
  <c r="I251" i="2"/>
  <c r="N203" i="2"/>
  <c r="P203" i="2"/>
  <c r="G224" i="2"/>
  <c r="O224" i="2"/>
  <c r="F224" i="2"/>
  <c r="E263" i="2"/>
  <c r="G263" i="2"/>
  <c r="E208" i="2"/>
  <c r="F239" i="2"/>
  <c r="J239" i="2"/>
  <c r="M219" i="2"/>
  <c r="H219" i="2"/>
  <c r="Q219" i="2"/>
  <c r="D219" i="2"/>
  <c r="P219" i="2"/>
  <c r="F200" i="2"/>
  <c r="D200" i="2"/>
  <c r="J200" i="2"/>
  <c r="G200" i="2"/>
  <c r="H200" i="2"/>
  <c r="N180" i="2"/>
  <c r="U180" i="2" s="1"/>
  <c r="Q180" i="2"/>
  <c r="Y180" i="2" s="1"/>
  <c r="J180" i="2"/>
  <c r="O180" i="2"/>
  <c r="F180" i="2"/>
  <c r="I182" i="2"/>
  <c r="N197" i="2"/>
  <c r="U197" i="2" s="1"/>
  <c r="E272" i="2"/>
  <c r="G272" i="2"/>
  <c r="F272" i="2"/>
  <c r="D251" i="2"/>
  <c r="J251" i="2"/>
  <c r="Q251" i="2"/>
  <c r="G251" i="2"/>
  <c r="E251" i="2"/>
  <c r="I241" i="2"/>
  <c r="P200" i="2"/>
  <c r="F241" i="2"/>
  <c r="M241" i="2"/>
  <c r="T241" i="2" s="1"/>
  <c r="I243" i="2"/>
  <c r="D241" i="2"/>
  <c r="E241" i="2"/>
  <c r="N268" i="2"/>
  <c r="U268" i="2" s="1"/>
  <c r="Q268" i="2"/>
  <c r="Y268" i="2" s="1"/>
  <c r="G290" i="2"/>
  <c r="F281" i="2"/>
  <c r="G216" i="2"/>
  <c r="D216" i="2"/>
  <c r="P216" i="2"/>
  <c r="D211" i="2"/>
  <c r="J211" i="2"/>
  <c r="Q211" i="2"/>
  <c r="Y211" i="2" s="1"/>
  <c r="E211" i="2"/>
  <c r="G206" i="2"/>
  <c r="E206" i="2"/>
  <c r="O206" i="2"/>
  <c r="P206" i="2"/>
  <c r="F197" i="2"/>
  <c r="P197" i="2"/>
  <c r="D197" i="2"/>
  <c r="E197" i="2"/>
  <c r="O197" i="2"/>
  <c r="Q197" i="2"/>
  <c r="Y197" i="2" s="1"/>
  <c r="M187" i="2"/>
  <c r="T187" i="2" s="1"/>
  <c r="O187" i="2"/>
  <c r="F187" i="2"/>
  <c r="Q187" i="2"/>
  <c r="D187" i="2"/>
  <c r="E187" i="2"/>
  <c r="G187" i="2"/>
  <c r="D150" i="2"/>
  <c r="E150" i="2"/>
  <c r="O150" i="2"/>
  <c r="Q150" i="2"/>
  <c r="Y150" i="2" s="1"/>
  <c r="G150" i="2"/>
  <c r="F150" i="2"/>
  <c r="J150" i="2"/>
  <c r="M150" i="2"/>
  <c r="T150" i="2" s="1"/>
  <c r="P150" i="2"/>
  <c r="H150" i="2"/>
  <c r="N150" i="2"/>
  <c r="U150" i="2" s="1"/>
  <c r="H158" i="2"/>
  <c r="O158" i="2"/>
  <c r="P158" i="2"/>
  <c r="E225" i="2"/>
  <c r="F225" i="2"/>
  <c r="O225" i="2"/>
  <c r="D209" i="2"/>
  <c r="J209" i="2"/>
  <c r="O209" i="2"/>
  <c r="W209" i="2" s="1"/>
  <c r="Q209" i="2"/>
  <c r="Y209" i="2" s="1"/>
  <c r="D207" i="2"/>
  <c r="P198" i="2"/>
  <c r="J198" i="2"/>
  <c r="E198" i="2"/>
  <c r="N198" i="2"/>
  <c r="U198" i="2" s="1"/>
  <c r="G198" i="2"/>
  <c r="J147" i="2"/>
  <c r="X147" i="2" s="1"/>
  <c r="F147" i="2"/>
  <c r="E147" i="2"/>
  <c r="M147" i="2"/>
  <c r="T147" i="2" s="1"/>
  <c r="O147" i="2"/>
  <c r="W147" i="2" s="1"/>
  <c r="D176" i="2"/>
  <c r="P176" i="2"/>
  <c r="J176" i="2"/>
  <c r="N176" i="2"/>
  <c r="U176" i="2" s="1"/>
  <c r="O289" i="2"/>
  <c r="D289" i="2"/>
  <c r="E289" i="2"/>
  <c r="P282" i="2"/>
  <c r="E282" i="2"/>
  <c r="J282" i="2"/>
  <c r="D279" i="2"/>
  <c r="J279" i="2"/>
  <c r="M271" i="2"/>
  <c r="T271" i="2" s="1"/>
  <c r="F271" i="2"/>
  <c r="H271" i="2"/>
  <c r="V271" i="2" s="1"/>
  <c r="J228" i="2"/>
  <c r="I230" i="2"/>
  <c r="P214" i="2"/>
  <c r="G214" i="2"/>
  <c r="H214" i="2"/>
  <c r="N214" i="2"/>
  <c r="U214" i="2" s="1"/>
  <c r="Q214" i="2"/>
  <c r="Y214" i="2" s="1"/>
  <c r="E192" i="2"/>
  <c r="G192" i="2"/>
  <c r="O192" i="2"/>
  <c r="P192" i="2"/>
  <c r="X192" i="2" s="1"/>
  <c r="M192" i="2"/>
  <c r="T192" i="2" s="1"/>
  <c r="O173" i="2"/>
  <c r="I175" i="2"/>
  <c r="F173" i="2"/>
  <c r="D173" i="2"/>
  <c r="H173" i="2"/>
  <c r="J173" i="2"/>
  <c r="G173" i="2"/>
  <c r="P166" i="2"/>
  <c r="F166" i="2"/>
  <c r="O166" i="2"/>
  <c r="Q130" i="2"/>
  <c r="Y130" i="2" s="1"/>
  <c r="H130" i="2"/>
  <c r="O130" i="2"/>
  <c r="D130" i="2"/>
  <c r="F130" i="2"/>
  <c r="P130" i="2"/>
  <c r="M130" i="2"/>
  <c r="T130" i="2" s="1"/>
  <c r="N130" i="2"/>
  <c r="U130" i="2" s="1"/>
  <c r="I132" i="2"/>
  <c r="G130" i="2"/>
  <c r="D134" i="2"/>
  <c r="E134" i="2"/>
  <c r="N134" i="2"/>
  <c r="F134" i="2"/>
  <c r="I136" i="2"/>
  <c r="Q134" i="2"/>
  <c r="Y134" i="2" s="1"/>
  <c r="G134" i="2"/>
  <c r="G145" i="2"/>
  <c r="I147" i="2"/>
  <c r="H145" i="2"/>
  <c r="N145" i="2"/>
  <c r="U145" i="2" s="1"/>
  <c r="F145" i="2"/>
  <c r="O145" i="2"/>
  <c r="D145" i="2"/>
  <c r="Q145" i="2"/>
  <c r="Y145" i="2" s="1"/>
  <c r="P145" i="2"/>
  <c r="P153" i="2"/>
  <c r="M153" i="2"/>
  <c r="T153" i="2" s="1"/>
  <c r="D153" i="2"/>
  <c r="J153" i="2"/>
  <c r="E153" i="2"/>
  <c r="G153" i="2"/>
  <c r="I155" i="2"/>
  <c r="F153" i="2"/>
  <c r="H153" i="2"/>
  <c r="I153" i="2"/>
  <c r="N153" i="2"/>
  <c r="U153" i="2" s="1"/>
  <c r="N151" i="2"/>
  <c r="U151" i="2" s="1"/>
  <c r="Q151" i="2"/>
  <c r="Y151" i="2" s="1"/>
  <c r="G151" i="2"/>
  <c r="E151" i="2"/>
  <c r="H151" i="2"/>
  <c r="O151" i="2"/>
  <c r="M177" i="2"/>
  <c r="T177" i="2" s="1"/>
  <c r="I171" i="2"/>
  <c r="M140" i="2"/>
  <c r="Q140" i="2"/>
  <c r="Y140" i="2" s="1"/>
  <c r="I142" i="2"/>
  <c r="E140" i="2"/>
  <c r="G140" i="2"/>
  <c r="H140" i="2"/>
  <c r="D131" i="2"/>
  <c r="N131" i="2"/>
  <c r="U131" i="2" s="1"/>
  <c r="M131" i="2"/>
  <c r="T131" i="2" s="1"/>
  <c r="H131" i="2"/>
  <c r="E204" i="2"/>
  <c r="N204" i="2"/>
  <c r="U204" i="2" s="1"/>
  <c r="Q204" i="2"/>
  <c r="Y204" i="2" s="1"/>
  <c r="O194" i="2"/>
  <c r="W194" i="2" s="1"/>
  <c r="D194" i="2"/>
  <c r="I196" i="2"/>
  <c r="G190" i="2"/>
  <c r="I192" i="2"/>
  <c r="W192" i="2" s="1"/>
  <c r="P190" i="2"/>
  <c r="M190" i="2"/>
  <c r="T190" i="2" s="1"/>
  <c r="F190" i="2"/>
  <c r="E179" i="2"/>
  <c r="Q179" i="2"/>
  <c r="Y179" i="2" s="1"/>
  <c r="J179" i="2"/>
  <c r="Q175" i="2"/>
  <c r="F175" i="2"/>
  <c r="H175" i="2"/>
  <c r="J175" i="2"/>
  <c r="P175" i="2"/>
  <c r="F161" i="2"/>
  <c r="G161" i="2"/>
  <c r="H161" i="2"/>
  <c r="M104" i="2"/>
  <c r="T104" i="2" s="1"/>
  <c r="F104" i="2"/>
  <c r="J104" i="2"/>
  <c r="E104" i="2"/>
  <c r="H104" i="2"/>
  <c r="P104" i="2"/>
  <c r="N104" i="2"/>
  <c r="U104" i="2" s="1"/>
  <c r="Q104" i="2"/>
  <c r="Y104" i="2" s="1"/>
  <c r="D104" i="2"/>
  <c r="O104" i="2"/>
  <c r="I106" i="2"/>
  <c r="O273" i="2"/>
  <c r="J260" i="2"/>
  <c r="Q259" i="2"/>
  <c r="Y259" i="2" s="1"/>
  <c r="F259" i="2"/>
  <c r="M259" i="2"/>
  <c r="T259" i="2" s="1"/>
  <c r="N258" i="2"/>
  <c r="F229" i="2"/>
  <c r="M229" i="2"/>
  <c r="T229" i="2" s="1"/>
  <c r="O221" i="2"/>
  <c r="H221" i="2"/>
  <c r="P221" i="2"/>
  <c r="G221" i="2"/>
  <c r="N212" i="2"/>
  <c r="U212" i="2" s="1"/>
  <c r="J212" i="2"/>
  <c r="F212" i="2"/>
  <c r="P177" i="2"/>
  <c r="E177" i="2"/>
  <c r="H177" i="2"/>
  <c r="I179" i="2"/>
  <c r="D177" i="2"/>
  <c r="G177" i="2"/>
  <c r="J169" i="2"/>
  <c r="F169" i="2"/>
  <c r="H169" i="2"/>
  <c r="M169" i="2"/>
  <c r="T169" i="2" s="1"/>
  <c r="G155" i="2"/>
  <c r="O155" i="2"/>
  <c r="J155" i="2"/>
  <c r="H154" i="2"/>
  <c r="M154" i="2"/>
  <c r="T154" i="2" s="1"/>
  <c r="J154" i="2"/>
  <c r="E154" i="2"/>
  <c r="O154" i="2"/>
  <c r="I156" i="2"/>
  <c r="Q154" i="2"/>
  <c r="Y154" i="2" s="1"/>
  <c r="G154" i="2"/>
  <c r="N154" i="2"/>
  <c r="H122" i="2"/>
  <c r="O122" i="2"/>
  <c r="I124" i="2"/>
  <c r="D122" i="2"/>
  <c r="F122" i="2"/>
  <c r="M122" i="2"/>
  <c r="T122" i="2" s="1"/>
  <c r="Q122" i="2"/>
  <c r="Y122" i="2" s="1"/>
  <c r="P122" i="2"/>
  <c r="G122" i="2"/>
  <c r="N122" i="2"/>
  <c r="U122" i="2" s="1"/>
  <c r="F213" i="2"/>
  <c r="Q213" i="2"/>
  <c r="Y213" i="2" s="1"/>
  <c r="E213" i="2"/>
  <c r="J213" i="2"/>
  <c r="Q191" i="2"/>
  <c r="Y191" i="2" s="1"/>
  <c r="J191" i="2"/>
  <c r="I193" i="2"/>
  <c r="M191" i="2"/>
  <c r="T191" i="2" s="1"/>
  <c r="G191" i="2"/>
  <c r="H191" i="2"/>
  <c r="P182" i="2"/>
  <c r="F182" i="2"/>
  <c r="G182" i="2"/>
  <c r="N182" i="2"/>
  <c r="U182" i="2" s="1"/>
  <c r="Q182" i="2"/>
  <c r="Y182" i="2" s="1"/>
  <c r="H182" i="2"/>
  <c r="N164" i="2"/>
  <c r="U164" i="2" s="1"/>
  <c r="P164" i="2"/>
  <c r="J164" i="2"/>
  <c r="F164" i="2"/>
  <c r="H164" i="2"/>
  <c r="F151" i="2"/>
  <c r="P137" i="2"/>
  <c r="Q137" i="2"/>
  <c r="Y137" i="2" s="1"/>
  <c r="D137" i="2"/>
  <c r="J137" i="2"/>
  <c r="I139" i="2"/>
  <c r="M137" i="2"/>
  <c r="T137" i="2" s="1"/>
  <c r="O137" i="2"/>
  <c r="H137" i="2"/>
  <c r="N137" i="2"/>
  <c r="U137" i="2" s="1"/>
  <c r="F105" i="2"/>
  <c r="G105" i="2"/>
  <c r="D105" i="2"/>
  <c r="M105" i="2"/>
  <c r="T105" i="2" s="1"/>
  <c r="J105" i="2"/>
  <c r="P105" i="2"/>
  <c r="N105" i="2"/>
  <c r="U105" i="2" s="1"/>
  <c r="I107" i="2"/>
  <c r="E105" i="2"/>
  <c r="H105" i="2"/>
  <c r="O105" i="2"/>
  <c r="W105" i="2" s="1"/>
  <c r="Q105" i="2"/>
  <c r="F181" i="2"/>
  <c r="Q181" i="2"/>
  <c r="Y181" i="2" s="1"/>
  <c r="N181" i="2"/>
  <c r="U181" i="2" s="1"/>
  <c r="P144" i="2"/>
  <c r="Q144" i="2"/>
  <c r="Y144" i="2" s="1"/>
  <c r="I146" i="2"/>
  <c r="G144" i="2"/>
  <c r="J144" i="2"/>
  <c r="E144" i="2"/>
  <c r="N144" i="2"/>
  <c r="U144" i="2" s="1"/>
  <c r="F144" i="2"/>
  <c r="M133" i="2"/>
  <c r="T133" i="2" s="1"/>
  <c r="Q133" i="2"/>
  <c r="Y133" i="2" s="1"/>
  <c r="J133" i="2"/>
  <c r="O133" i="2"/>
  <c r="E133" i="2"/>
  <c r="N133" i="2"/>
  <c r="U133" i="2" s="1"/>
  <c r="G174" i="2"/>
  <c r="I176" i="2"/>
  <c r="W176" i="2" s="1"/>
  <c r="O174" i="2"/>
  <c r="N174" i="2"/>
  <c r="U174" i="2" s="1"/>
  <c r="D174" i="2"/>
  <c r="P174" i="2"/>
  <c r="F165" i="2"/>
  <c r="H165" i="2"/>
  <c r="P165" i="2"/>
  <c r="N165" i="2"/>
  <c r="U165" i="2" s="1"/>
  <c r="G165" i="2"/>
  <c r="F152" i="2"/>
  <c r="D152" i="2"/>
  <c r="P152" i="2"/>
  <c r="O152" i="2"/>
  <c r="I154" i="2"/>
  <c r="M152" i="2"/>
  <c r="T152" i="2" s="1"/>
  <c r="G284" i="2"/>
  <c r="I286" i="2"/>
  <c r="P210" i="2"/>
  <c r="J210" i="2"/>
  <c r="E210" i="2"/>
  <c r="M184" i="2"/>
  <c r="T184" i="2" s="1"/>
  <c r="F184" i="2"/>
  <c r="P184" i="2"/>
  <c r="J178" i="2"/>
  <c r="H178" i="2"/>
  <c r="G178" i="2"/>
  <c r="F178" i="2"/>
  <c r="I135" i="2"/>
  <c r="E127" i="2"/>
  <c r="F127" i="2"/>
  <c r="Q127" i="2"/>
  <c r="Y127" i="2" s="1"/>
  <c r="N127" i="2"/>
  <c r="U127" i="2" s="1"/>
  <c r="O127" i="2"/>
  <c r="D127" i="2"/>
  <c r="P127" i="2"/>
  <c r="J115" i="2"/>
  <c r="G115" i="2"/>
  <c r="D115" i="2"/>
  <c r="Q115" i="2"/>
  <c r="Y115" i="2" s="1"/>
  <c r="E115" i="2"/>
  <c r="I117" i="2"/>
  <c r="N115" i="2"/>
  <c r="U115" i="2" s="1"/>
  <c r="P115" i="2"/>
  <c r="H115" i="2"/>
  <c r="O115" i="2"/>
  <c r="I115" i="2"/>
  <c r="O237" i="2"/>
  <c r="Q237" i="2"/>
  <c r="Y237" i="2" s="1"/>
  <c r="E236" i="2"/>
  <c r="P236" i="2"/>
  <c r="D236" i="2"/>
  <c r="J217" i="2"/>
  <c r="N217" i="2"/>
  <c r="U217" i="2" s="1"/>
  <c r="J201" i="2"/>
  <c r="X201" i="2" s="1"/>
  <c r="M201" i="2"/>
  <c r="T201" i="2" s="1"/>
  <c r="Q168" i="2"/>
  <c r="Y168" i="2" s="1"/>
  <c r="I170" i="2"/>
  <c r="F168" i="2"/>
  <c r="D168" i="2"/>
  <c r="H138" i="2"/>
  <c r="I140" i="2"/>
  <c r="I138" i="2"/>
  <c r="Y138" i="2"/>
  <c r="G138" i="2"/>
  <c r="Q146" i="2"/>
  <c r="Y146" i="2" s="1"/>
  <c r="P146" i="2"/>
  <c r="G146" i="2"/>
  <c r="I148" i="2"/>
  <c r="F86" i="2"/>
  <c r="I88" i="2"/>
  <c r="E86" i="2"/>
  <c r="M86" i="2"/>
  <c r="T86" i="2" s="1"/>
  <c r="U86" i="2"/>
  <c r="Q86" i="2"/>
  <c r="Y86" i="2" s="1"/>
  <c r="P86" i="2"/>
  <c r="M126" i="2"/>
  <c r="T126" i="2" s="1"/>
  <c r="N126" i="2"/>
  <c r="U126" i="2" s="1"/>
  <c r="G126" i="2"/>
  <c r="E126" i="2"/>
  <c r="O126" i="2"/>
  <c r="F108" i="2"/>
  <c r="G108" i="2"/>
  <c r="H108" i="2"/>
  <c r="N108" i="2"/>
  <c r="U108" i="2" s="1"/>
  <c r="E108" i="2"/>
  <c r="F100" i="2"/>
  <c r="N100" i="2"/>
  <c r="U100" i="2" s="1"/>
  <c r="P100" i="2"/>
  <c r="X100" i="2" s="1"/>
  <c r="D100" i="2"/>
  <c r="N99" i="2"/>
  <c r="U99" i="2" s="1"/>
  <c r="M99" i="2"/>
  <c r="T99" i="2" s="1"/>
  <c r="P99" i="2"/>
  <c r="X99" i="2" s="1"/>
  <c r="Q99" i="2"/>
  <c r="Y99" i="2" s="1"/>
  <c r="I101" i="2"/>
  <c r="E99" i="2"/>
  <c r="D99" i="2"/>
  <c r="G99" i="2"/>
  <c r="F99" i="2"/>
  <c r="F93" i="2"/>
  <c r="M93" i="2"/>
  <c r="T93" i="2" s="1"/>
  <c r="Q93" i="2"/>
  <c r="Y93" i="2" s="1"/>
  <c r="I95" i="2"/>
  <c r="F136" i="2"/>
  <c r="G136" i="2"/>
  <c r="E136" i="2"/>
  <c r="J136" i="2"/>
  <c r="Q136" i="2"/>
  <c r="Y136" i="2" s="1"/>
  <c r="M123" i="2"/>
  <c r="T123" i="2" s="1"/>
  <c r="D123" i="2"/>
  <c r="H123" i="2"/>
  <c r="F123" i="2"/>
  <c r="E123" i="2"/>
  <c r="P112" i="2"/>
  <c r="H112" i="2"/>
  <c r="G112" i="2"/>
  <c r="M112" i="2"/>
  <c r="T112" i="2" s="1"/>
  <c r="H102" i="2"/>
  <c r="D102" i="2"/>
  <c r="J102" i="2"/>
  <c r="I104" i="2"/>
  <c r="M171" i="2"/>
  <c r="T171" i="2" s="1"/>
  <c r="N107" i="2"/>
  <c r="U107" i="2" s="1"/>
  <c r="M107" i="2"/>
  <c r="T107" i="2" s="1"/>
  <c r="J107" i="2"/>
  <c r="O107" i="2"/>
  <c r="J185" i="2"/>
  <c r="G185" i="2"/>
  <c r="Q159" i="2"/>
  <c r="Y159" i="2" s="1"/>
  <c r="H159" i="2"/>
  <c r="O139" i="2"/>
  <c r="W139" i="2" s="1"/>
  <c r="Q139" i="2"/>
  <c r="Y139" i="2" s="1"/>
  <c r="I141" i="2"/>
  <c r="N246" i="2"/>
  <c r="U246" i="2" s="1"/>
  <c r="O233" i="2"/>
  <c r="G222" i="2"/>
  <c r="I224" i="2"/>
  <c r="O220" i="2"/>
  <c r="P185" i="2"/>
  <c r="E172" i="2"/>
  <c r="O159" i="2"/>
  <c r="E143" i="2"/>
  <c r="F143" i="2"/>
  <c r="J143" i="2"/>
  <c r="P139" i="2"/>
  <c r="X139" i="2" s="1"/>
  <c r="N135" i="2"/>
  <c r="U135" i="2" s="1"/>
  <c r="O135" i="2"/>
  <c r="H135" i="2"/>
  <c r="G135" i="2"/>
  <c r="F135" i="2"/>
  <c r="O128" i="2"/>
  <c r="P128" i="2"/>
  <c r="N128" i="2"/>
  <c r="U128" i="2" s="1"/>
  <c r="H128" i="2"/>
  <c r="M128" i="2"/>
  <c r="T128" i="2" s="1"/>
  <c r="I130" i="2"/>
  <c r="D118" i="2"/>
  <c r="E118" i="2"/>
  <c r="H118" i="2"/>
  <c r="N118" i="2"/>
  <c r="U118" i="2" s="1"/>
  <c r="E111" i="2"/>
  <c r="F111" i="2"/>
  <c r="M111" i="2"/>
  <c r="T111" i="2" s="1"/>
  <c r="G111" i="2"/>
  <c r="D111" i="2"/>
  <c r="E89" i="2"/>
  <c r="G89" i="2"/>
  <c r="H89" i="2"/>
  <c r="P89" i="2"/>
  <c r="J89" i="2"/>
  <c r="I91" i="2"/>
  <c r="V91" i="2" s="1"/>
  <c r="N89" i="2"/>
  <c r="U89" i="2" s="1"/>
  <c r="D89" i="2"/>
  <c r="M89" i="2"/>
  <c r="T89" i="2" s="1"/>
  <c r="Q89" i="2"/>
  <c r="Y89" i="2" s="1"/>
  <c r="G129" i="2"/>
  <c r="I131" i="2"/>
  <c r="H129" i="2"/>
  <c r="V129" i="2" s="1"/>
  <c r="M129" i="2"/>
  <c r="T129" i="2" s="1"/>
  <c r="Q129" i="2"/>
  <c r="Y129" i="2" s="1"/>
  <c r="J129" i="2"/>
  <c r="P129" i="2"/>
  <c r="J97" i="2"/>
  <c r="H97" i="2"/>
  <c r="D97" i="2"/>
  <c r="F97" i="2"/>
  <c r="H95" i="2"/>
  <c r="M95" i="2"/>
  <c r="T95" i="2" s="1"/>
  <c r="D95" i="2"/>
  <c r="E95" i="2"/>
  <c r="J95" i="2"/>
  <c r="N95" i="2"/>
  <c r="U95" i="2" s="1"/>
  <c r="P95" i="2"/>
  <c r="I97" i="2"/>
  <c r="F70" i="2"/>
  <c r="G70" i="2"/>
  <c r="T70" i="2"/>
  <c r="J70" i="2"/>
  <c r="O70" i="2"/>
  <c r="P70" i="2"/>
  <c r="N70" i="2"/>
  <c r="Q70" i="2"/>
  <c r="Y70" i="2" s="1"/>
  <c r="P71" i="2"/>
  <c r="Q71" i="2"/>
  <c r="Y71" i="2" s="1"/>
  <c r="J71" i="2"/>
  <c r="D71" i="2"/>
  <c r="E71" i="2"/>
  <c r="G71" i="2"/>
  <c r="H71" i="2"/>
  <c r="U71" i="2"/>
  <c r="M65" i="2"/>
  <c r="G65" i="2"/>
  <c r="H65" i="2"/>
  <c r="P65" i="2"/>
  <c r="Q65" i="2"/>
  <c r="Y65" i="2" s="1"/>
  <c r="E65" i="2"/>
  <c r="F65" i="2"/>
  <c r="M149" i="2"/>
  <c r="T149" i="2" s="1"/>
  <c r="I151" i="2"/>
  <c r="P87" i="2"/>
  <c r="J87" i="2"/>
  <c r="Q87" i="2"/>
  <c r="Y87" i="2" s="1"/>
  <c r="F87" i="2"/>
  <c r="G87" i="2"/>
  <c r="M87" i="2"/>
  <c r="T87" i="2" s="1"/>
  <c r="I89" i="2"/>
  <c r="W89" i="2" s="1"/>
  <c r="P121" i="2"/>
  <c r="Q121" i="2"/>
  <c r="Y121" i="2" s="1"/>
  <c r="D121" i="2"/>
  <c r="N110" i="2"/>
  <c r="U110" i="2" s="1"/>
  <c r="P110" i="2"/>
  <c r="Q68" i="2"/>
  <c r="Y68" i="2" s="1"/>
  <c r="G120" i="2"/>
  <c r="G113" i="2"/>
  <c r="H113" i="2"/>
  <c r="E113" i="2"/>
  <c r="H103" i="2"/>
  <c r="J103" i="2"/>
  <c r="J81" i="2"/>
  <c r="O81" i="2"/>
  <c r="D81" i="2"/>
  <c r="E81" i="2"/>
  <c r="G81" i="2"/>
  <c r="N81" i="2"/>
  <c r="U81" i="2" s="1"/>
  <c r="U80" i="2"/>
  <c r="O68" i="2"/>
  <c r="T60" i="2"/>
  <c r="N60" i="2"/>
  <c r="G60" i="2"/>
  <c r="P60" i="2"/>
  <c r="E60" i="2"/>
  <c r="F60" i="2"/>
  <c r="F64" i="2"/>
  <c r="J60" i="2"/>
  <c r="D68" i="2"/>
  <c r="E68" i="2"/>
  <c r="H68" i="2"/>
  <c r="J68" i="2"/>
  <c r="F68" i="2"/>
  <c r="G68" i="2"/>
  <c r="O62" i="2"/>
  <c r="H62" i="2"/>
  <c r="P62" i="2"/>
  <c r="D62" i="2"/>
  <c r="E62" i="2"/>
  <c r="E64" i="2"/>
  <c r="N62" i="2"/>
  <c r="F62" i="2"/>
  <c r="G62" i="2"/>
  <c r="Q80" i="2"/>
  <c r="Y80" i="2" s="1"/>
  <c r="P80" i="2"/>
  <c r="I82" i="2"/>
  <c r="E80" i="2"/>
  <c r="J80" i="2"/>
  <c r="O78" i="2"/>
  <c r="P78" i="2"/>
  <c r="D78" i="2"/>
  <c r="J78" i="2"/>
  <c r="Q78" i="2"/>
  <c r="Y78" i="2" s="1"/>
  <c r="M76" i="2"/>
  <c r="T76" i="2" s="1"/>
  <c r="N76" i="2"/>
  <c r="U76" i="2" s="1"/>
  <c r="O76" i="2"/>
  <c r="P76" i="2"/>
  <c r="J76" i="2"/>
  <c r="M142" i="2"/>
  <c r="T142" i="2" s="1"/>
  <c r="N142" i="2"/>
  <c r="U142" i="2" s="1"/>
  <c r="J117" i="2"/>
  <c r="P94" i="2"/>
  <c r="G94" i="2"/>
  <c r="Q94" i="2"/>
  <c r="Y94" i="2" s="1"/>
  <c r="E94" i="2"/>
  <c r="F94" i="2"/>
  <c r="T67" i="2"/>
  <c r="D67" i="2"/>
  <c r="J67" i="2"/>
  <c r="P16" i="11" s="1"/>
  <c r="H67" i="2"/>
  <c r="P14" i="11" s="1"/>
  <c r="U67" i="2"/>
  <c r="N119" i="2"/>
  <c r="U119" i="2" s="1"/>
  <c r="O119" i="2"/>
  <c r="H88" i="2"/>
  <c r="J88" i="2"/>
  <c r="Q88" i="2"/>
  <c r="Y88" i="2" s="1"/>
  <c r="E88" i="2"/>
  <c r="F88" i="2"/>
  <c r="P88" i="2"/>
  <c r="G79" i="2"/>
  <c r="H79" i="2"/>
  <c r="Q79" i="2"/>
  <c r="Y79" i="2" s="1"/>
  <c r="E77" i="2"/>
  <c r="F77" i="2"/>
  <c r="H77" i="2"/>
  <c r="O77" i="2"/>
  <c r="Q77" i="2"/>
  <c r="Y77" i="2" s="1"/>
  <c r="D77" i="2"/>
  <c r="G77" i="2"/>
  <c r="F74" i="2"/>
  <c r="M74" i="2"/>
  <c r="T74" i="2" s="1"/>
  <c r="P74" i="2"/>
  <c r="N96" i="2"/>
  <c r="U96" i="2" s="1"/>
  <c r="G96" i="2"/>
  <c r="H72" i="2"/>
  <c r="O72" i="2"/>
  <c r="M72" i="2"/>
  <c r="T72" i="2" s="1"/>
  <c r="N72" i="2"/>
  <c r="U72" i="2" s="1"/>
  <c r="J90" i="2"/>
  <c r="X90" i="2" s="1"/>
  <c r="H90" i="2"/>
  <c r="F90" i="2"/>
  <c r="G90" i="2"/>
  <c r="G63" i="2"/>
  <c r="H63" i="2"/>
  <c r="E63" i="2"/>
  <c r="F63" i="2"/>
  <c r="V61" i="2"/>
  <c r="J58" i="2"/>
  <c r="P58" i="2"/>
  <c r="D58" i="2"/>
  <c r="D84" i="2"/>
  <c r="E84" i="2"/>
  <c r="J84" i="2"/>
  <c r="X84" i="2" s="1"/>
  <c r="M83" i="2"/>
  <c r="T83" i="2" s="1"/>
  <c r="F83" i="2"/>
  <c r="N83" i="2"/>
  <c r="U83" i="2" s="1"/>
  <c r="E61" i="2"/>
  <c r="F61" i="2"/>
  <c r="D61" i="2"/>
  <c r="M61" i="2"/>
  <c r="N85" i="2"/>
  <c r="U85" i="2" s="1"/>
  <c r="O85" i="2"/>
  <c r="E85" i="2"/>
  <c r="N69" i="2"/>
  <c r="O69" i="2"/>
  <c r="P54" i="2"/>
  <c r="J54" i="2"/>
  <c r="Q54" i="2"/>
  <c r="Y54" i="2" s="1"/>
  <c r="F54" i="2"/>
  <c r="E54" i="2"/>
  <c r="M54" i="2"/>
  <c r="Q56" i="2"/>
  <c r="Y56" i="2" s="1"/>
  <c r="P56" i="2"/>
  <c r="O56" i="2"/>
  <c r="M56" i="2"/>
  <c r="J56" i="2"/>
  <c r="H56" i="2"/>
  <c r="E56" i="2"/>
  <c r="U56" i="2"/>
  <c r="Q68" i="9"/>
  <c r="D27" i="5"/>
  <c r="C3" i="6"/>
  <c r="E4" i="6"/>
  <c r="D4" i="6"/>
  <c r="U4" i="18"/>
  <c r="B42" i="6"/>
  <c r="U3" i="18"/>
  <c r="X249" i="2"/>
  <c r="X132" i="2"/>
  <c r="X77" i="2"/>
  <c r="X208" i="2"/>
  <c r="Q64" i="2"/>
  <c r="Y64" i="2" s="1"/>
  <c r="G303" i="2"/>
  <c r="D303" i="2"/>
  <c r="M293" i="2"/>
  <c r="T293" i="2" s="1"/>
  <c r="I295" i="2"/>
  <c r="D293" i="2"/>
  <c r="Q198" i="2"/>
  <c r="Y198" i="2" s="1"/>
  <c r="O198" i="2"/>
  <c r="D198" i="2"/>
  <c r="M198" i="2"/>
  <c r="T198" i="2" s="1"/>
  <c r="H54" i="2"/>
  <c r="I54" i="2"/>
  <c r="D54" i="2"/>
  <c r="P284" i="2"/>
  <c r="J284" i="2"/>
  <c r="N284" i="2"/>
  <c r="U284" i="2" s="1"/>
  <c r="O284" i="2"/>
  <c r="D284" i="2"/>
  <c r="M284" i="2"/>
  <c r="T284" i="2" s="1"/>
  <c r="Q264" i="2"/>
  <c r="Y264" i="2" s="1"/>
  <c r="D264" i="2"/>
  <c r="P264" i="2"/>
  <c r="I266" i="2"/>
  <c r="V266" i="2" s="1"/>
  <c r="H264" i="2"/>
  <c r="M264" i="2"/>
  <c r="T264" i="2" s="1"/>
  <c r="E264" i="2"/>
  <c r="O264" i="2"/>
  <c r="W264" i="2" s="1"/>
  <c r="O123" i="2"/>
  <c r="I123" i="2"/>
  <c r="Q123" i="2"/>
  <c r="Y123" i="2" s="1"/>
  <c r="J123" i="2"/>
  <c r="I125" i="2"/>
  <c r="I261" i="2"/>
  <c r="O261" i="2"/>
  <c r="N259" i="2"/>
  <c r="U259" i="2" s="1"/>
  <c r="E259" i="2"/>
  <c r="O259" i="2"/>
  <c r="H259" i="2"/>
  <c r="I259" i="2"/>
  <c r="D259" i="2"/>
  <c r="Q143" i="2"/>
  <c r="Y143" i="2" s="1"/>
  <c r="P143" i="2"/>
  <c r="G143" i="2"/>
  <c r="O143" i="2"/>
  <c r="I145" i="2"/>
  <c r="D110" i="2"/>
  <c r="F110" i="2"/>
  <c r="G110" i="2"/>
  <c r="I112" i="2"/>
  <c r="W112" i="2" s="1"/>
  <c r="Q284" i="2"/>
  <c r="Y284" i="2" s="1"/>
  <c r="P256" i="2"/>
  <c r="Q256" i="2"/>
  <c r="Y256" i="2" s="1"/>
  <c r="F256" i="2"/>
  <c r="M256" i="2"/>
  <c r="T256" i="2" s="1"/>
  <c r="I253" i="2"/>
  <c r="W253" i="2" s="1"/>
  <c r="N251" i="2"/>
  <c r="U251" i="2" s="1"/>
  <c r="F185" i="2"/>
  <c r="H185" i="2"/>
  <c r="D185" i="2"/>
  <c r="H180" i="2"/>
  <c r="I180" i="2"/>
  <c r="W180" i="2" s="1"/>
  <c r="E180" i="2"/>
  <c r="F115" i="2"/>
  <c r="M115" i="2"/>
  <c r="T115" i="2" s="1"/>
  <c r="M278" i="2"/>
  <c r="T278" i="2" s="1"/>
  <c r="P278" i="2"/>
  <c r="F278" i="2"/>
  <c r="H120" i="2"/>
  <c r="P120" i="2"/>
  <c r="Q120" i="2"/>
  <c r="Y120" i="2" s="1"/>
  <c r="M120" i="2"/>
  <c r="T120" i="2" s="1"/>
  <c r="P241" i="2"/>
  <c r="N241" i="2"/>
  <c r="U241" i="2" s="1"/>
  <c r="J241" i="2"/>
  <c r="O241" i="2"/>
  <c r="H241" i="2"/>
  <c r="G241" i="2"/>
  <c r="G207" i="2"/>
  <c r="F202" i="2"/>
  <c r="Q202" i="2"/>
  <c r="Y202" i="2" s="1"/>
  <c r="J202" i="2"/>
  <c r="I204" i="2"/>
  <c r="P202" i="2"/>
  <c r="G202" i="2"/>
  <c r="M202" i="2"/>
  <c r="T202" i="2" s="1"/>
  <c r="O202" i="2"/>
  <c r="D202" i="2"/>
  <c r="J197" i="2"/>
  <c r="I199" i="2"/>
  <c r="H273" i="2"/>
  <c r="F273" i="2"/>
  <c r="G273" i="2"/>
  <c r="P273" i="2"/>
  <c r="J273" i="2"/>
  <c r="E273" i="2"/>
  <c r="Q273" i="2"/>
  <c r="Y273" i="2" s="1"/>
  <c r="I275" i="2"/>
  <c r="M273" i="2"/>
  <c r="T273" i="2" s="1"/>
  <c r="M236" i="2"/>
  <c r="T236" i="2" s="1"/>
  <c r="F236" i="2"/>
  <c r="Q236" i="2"/>
  <c r="Y236" i="2" s="1"/>
  <c r="G236" i="2"/>
  <c r="I238" i="2"/>
  <c r="H236" i="2"/>
  <c r="J236" i="2"/>
  <c r="G166" i="2"/>
  <c r="P157" i="2"/>
  <c r="D157" i="2"/>
  <c r="I159" i="2"/>
  <c r="U157" i="2"/>
  <c r="E157" i="2"/>
  <c r="M157" i="2"/>
  <c r="T157" i="2" s="1"/>
  <c r="F157" i="2"/>
  <c r="P297" i="2"/>
  <c r="X297" i="2" s="1"/>
  <c r="D297" i="2"/>
  <c r="O297" i="2"/>
  <c r="H297" i="2"/>
  <c r="F258" i="2"/>
  <c r="Q258" i="2"/>
  <c r="Y258" i="2" s="1"/>
  <c r="J258" i="2"/>
  <c r="F204" i="2"/>
  <c r="H204" i="2"/>
  <c r="M204" i="2"/>
  <c r="T204" i="2" s="1"/>
  <c r="G204" i="2"/>
  <c r="D204" i="2"/>
  <c r="O54" i="2"/>
  <c r="Q184" i="2"/>
  <c r="Y184" i="2" s="1"/>
  <c r="I186" i="2"/>
  <c r="E184" i="2"/>
  <c r="N299" i="2"/>
  <c r="U299" i="2" s="1"/>
  <c r="G299" i="2"/>
  <c r="Q299" i="2"/>
  <c r="Y299" i="2" s="1"/>
  <c r="J277" i="2"/>
  <c r="E277" i="2"/>
  <c r="O277" i="2"/>
  <c r="N277" i="2"/>
  <c r="U277" i="2" s="1"/>
  <c r="D277" i="2"/>
  <c r="F189" i="2"/>
  <c r="J189" i="2"/>
  <c r="N189" i="2"/>
  <c r="U189" i="2" s="1"/>
  <c r="D189" i="2"/>
  <c r="M189" i="2"/>
  <c r="T189" i="2" s="1"/>
  <c r="G189" i="2"/>
  <c r="Q189" i="2"/>
  <c r="Y189" i="2" s="1"/>
  <c r="E124" i="2"/>
  <c r="F124" i="2"/>
  <c r="M124" i="2"/>
  <c r="T124" i="2" s="1"/>
  <c r="O124" i="2"/>
  <c r="N124" i="2"/>
  <c r="U124" i="2" s="1"/>
  <c r="G124" i="2"/>
  <c r="P124" i="2"/>
  <c r="P119" i="2"/>
  <c r="D119" i="2"/>
  <c r="F119" i="2"/>
  <c r="E119" i="2"/>
  <c r="F240" i="2"/>
  <c r="H240" i="2"/>
  <c r="O240" i="2"/>
  <c r="D240" i="2"/>
  <c r="Q240" i="2"/>
  <c r="Y240" i="2" s="1"/>
  <c r="M206" i="2"/>
  <c r="T206" i="2" s="1"/>
  <c r="D206" i="2"/>
  <c r="F282" i="2"/>
  <c r="M282" i="2"/>
  <c r="T282" i="2" s="1"/>
  <c r="D282" i="2"/>
  <c r="Q282" i="2"/>
  <c r="Y282" i="2" s="1"/>
  <c r="I284" i="2"/>
  <c r="N282" i="2"/>
  <c r="U282" i="2" s="1"/>
  <c r="G282" i="2"/>
  <c r="G211" i="2"/>
  <c r="P211" i="2"/>
  <c r="X211" i="2" s="1"/>
  <c r="F211" i="2"/>
  <c r="O191" i="2"/>
  <c r="F191" i="2"/>
  <c r="P111" i="2"/>
  <c r="Q111" i="2"/>
  <c r="Y111" i="2" s="1"/>
  <c r="J111" i="2"/>
  <c r="P245" i="2"/>
  <c r="O245" i="2"/>
  <c r="I232" i="2"/>
  <c r="F230" i="2"/>
  <c r="E141" i="2"/>
  <c r="Q141" i="2"/>
  <c r="Y141" i="2" s="1"/>
  <c r="G141" i="2"/>
  <c r="J141" i="2"/>
  <c r="P141" i="2"/>
  <c r="M141" i="2"/>
  <c r="T141" i="2" s="1"/>
  <c r="O141" i="2"/>
  <c r="H144" i="2"/>
  <c r="V144" i="2" s="1"/>
  <c r="F133" i="2"/>
  <c r="H60" i="2"/>
  <c r="F92" i="2"/>
  <c r="E237" i="2"/>
  <c r="F289" i="2"/>
  <c r="Q250" i="2"/>
  <c r="Y250" i="2" s="1"/>
  <c r="J272" i="2"/>
  <c r="G294" i="2"/>
  <c r="D224" i="2"/>
  <c r="J113" i="2"/>
  <c r="I94" i="2"/>
  <c r="W94" i="2" s="1"/>
  <c r="E92" i="2"/>
  <c r="Q281" i="2"/>
  <c r="Y281" i="2" s="1"/>
  <c r="P296" i="2"/>
  <c r="D301" i="2"/>
  <c r="Q260" i="2"/>
  <c r="Y260" i="2" s="1"/>
  <c r="F128" i="2"/>
  <c r="D92" i="2"/>
  <c r="I58" i="2"/>
  <c r="Q265" i="2"/>
  <c r="Y265" i="2" s="1"/>
  <c r="N250" i="2"/>
  <c r="U250" i="2" s="1"/>
  <c r="Q279" i="2"/>
  <c r="Y279" i="2" s="1"/>
  <c r="O216" i="2"/>
  <c r="O260" i="2"/>
  <c r="I100" i="2"/>
  <c r="I57" i="2"/>
  <c r="M260" i="2"/>
  <c r="T260" i="2" s="1"/>
  <c r="E212" i="2"/>
  <c r="J227" i="2"/>
  <c r="P55" i="2"/>
  <c r="N229" i="2"/>
  <c r="U229" i="2" s="1"/>
  <c r="O95" i="2"/>
  <c r="G260" i="2"/>
  <c r="O214" i="2"/>
  <c r="Q246" i="2"/>
  <c r="Y246" i="2" s="1"/>
  <c r="D80" i="2"/>
  <c r="N261" i="2"/>
  <c r="U261" i="2" s="1"/>
  <c r="Q227" i="2"/>
  <c r="Y227" i="2" s="1"/>
  <c r="I239" i="2"/>
  <c r="I263" i="2"/>
  <c r="M214" i="2"/>
  <c r="T214" i="2" s="1"/>
  <c r="H133" i="2"/>
  <c r="D129" i="2"/>
  <c r="G261" i="2"/>
  <c r="H194" i="2"/>
  <c r="E181" i="2"/>
  <c r="G133" i="2"/>
  <c r="J287" i="2"/>
  <c r="C3" i="9"/>
  <c r="C2" i="9"/>
  <c r="C10" i="9"/>
  <c r="C9" i="9"/>
  <c r="C7" i="9"/>
  <c r="C6" i="9"/>
  <c r="C34" i="9"/>
  <c r="C32" i="9"/>
  <c r="C35" i="9"/>
  <c r="G304" i="2"/>
  <c r="P304" i="2"/>
  <c r="F304" i="2"/>
  <c r="O304" i="2"/>
  <c r="D304" i="2"/>
  <c r="Q304" i="2"/>
  <c r="Y304" i="2" s="1"/>
  <c r="N304" i="2"/>
  <c r="U304" i="2" s="1"/>
  <c r="P291" i="2"/>
  <c r="H291" i="2"/>
  <c r="J291" i="2"/>
  <c r="M291" i="2"/>
  <c r="T291" i="2" s="1"/>
  <c r="N291" i="2"/>
  <c r="U291" i="2" s="1"/>
  <c r="H276" i="2"/>
  <c r="I278" i="2"/>
  <c r="P276" i="2"/>
  <c r="M274" i="2"/>
  <c r="T274" i="2" s="1"/>
  <c r="Q274" i="2"/>
  <c r="Y274" i="2" s="1"/>
  <c r="O274" i="2"/>
  <c r="F274" i="2"/>
  <c r="F265" i="2"/>
  <c r="D265" i="2"/>
  <c r="E265" i="2"/>
  <c r="H265" i="2"/>
  <c r="N265" i="2"/>
  <c r="U265" i="2" s="1"/>
  <c r="H253" i="2"/>
  <c r="I255" i="2"/>
  <c r="J253" i="2"/>
  <c r="Q233" i="2"/>
  <c r="Y233" i="2" s="1"/>
  <c r="D233" i="2"/>
  <c r="N233" i="2"/>
  <c r="U233" i="2" s="1"/>
  <c r="E233" i="2"/>
  <c r="F222" i="2"/>
  <c r="E222" i="2"/>
  <c r="D222" i="2"/>
  <c r="J222" i="2"/>
  <c r="F209" i="2"/>
  <c r="E209" i="2"/>
  <c r="H209" i="2"/>
  <c r="G209" i="2"/>
  <c r="N209" i="2"/>
  <c r="U209" i="2" s="1"/>
  <c r="I211" i="2"/>
  <c r="W211" i="2" s="1"/>
  <c r="J204" i="2"/>
  <c r="X204" i="2" s="1"/>
  <c r="O204" i="2"/>
  <c r="I201" i="2"/>
  <c r="N185" i="2"/>
  <c r="U185" i="2" s="1"/>
  <c r="I187" i="2"/>
  <c r="M185" i="2"/>
  <c r="T185" i="2" s="1"/>
  <c r="N152" i="2"/>
  <c r="U152" i="2" s="1"/>
  <c r="G152" i="2"/>
  <c r="M138" i="2"/>
  <c r="T138" i="2" s="1"/>
  <c r="E138" i="2"/>
  <c r="J138" i="2"/>
  <c r="D138" i="2"/>
  <c r="E122" i="2"/>
  <c r="J122" i="2"/>
  <c r="O110" i="2"/>
  <c r="Q110" i="2"/>
  <c r="Y110" i="2" s="1"/>
  <c r="H110" i="2"/>
  <c r="G175" i="2"/>
  <c r="D262" i="2"/>
  <c r="D112" i="2"/>
  <c r="J135" i="2"/>
  <c r="P135" i="2"/>
  <c r="Q67" i="2"/>
  <c r="D175" i="2"/>
  <c r="I177" i="2"/>
  <c r="O88" i="2"/>
  <c r="E250" i="2"/>
  <c r="J254" i="2"/>
  <c r="P254" i="2"/>
  <c r="E67" i="2"/>
  <c r="H189" i="2"/>
  <c r="N275" i="2"/>
  <c r="U275" i="2" s="1"/>
  <c r="M102" i="2"/>
  <c r="T102" i="2" s="1"/>
  <c r="F57" i="2"/>
  <c r="E167" i="2"/>
  <c r="F139" i="2"/>
  <c r="F293" i="2"/>
  <c r="E262" i="2"/>
  <c r="P277" i="2"/>
  <c r="I96" i="2"/>
  <c r="E268" i="2"/>
  <c r="P63" i="2"/>
  <c r="P85" i="2"/>
  <c r="O167" i="2"/>
  <c r="Q171" i="2"/>
  <c r="Y171" i="2" s="1"/>
  <c r="G149" i="2"/>
  <c r="H55" i="2"/>
  <c r="Q149" i="2"/>
  <c r="Y149" i="2" s="1"/>
  <c r="G275" i="2"/>
  <c r="Q163" i="2"/>
  <c r="Y163" i="2" s="1"/>
  <c r="N161" i="2"/>
  <c r="U161" i="2" s="1"/>
  <c r="O254" i="2"/>
  <c r="O239" i="2"/>
  <c r="H116" i="2"/>
  <c r="N234" i="2"/>
  <c r="U234" i="2" s="1"/>
  <c r="D268" i="2"/>
  <c r="O234" i="2"/>
  <c r="H76" i="2"/>
  <c r="H126" i="2"/>
  <c r="O217" i="2"/>
  <c r="H286" i="2"/>
  <c r="P163" i="2"/>
  <c r="G217" i="2"/>
  <c r="D55" i="2"/>
  <c r="D88" i="2"/>
  <c r="G167" i="2"/>
  <c r="D255" i="2"/>
  <c r="D246" i="2"/>
  <c r="D239" i="2"/>
  <c r="J163" i="2"/>
  <c r="J161" i="2"/>
  <c r="O63" i="2"/>
  <c r="O64" i="2"/>
  <c r="J61" i="2"/>
  <c r="X61" i="2" s="1"/>
  <c r="P149" i="2"/>
  <c r="G85" i="2"/>
  <c r="H250" i="2"/>
  <c r="N79" i="2"/>
  <c r="U79" i="2" s="1"/>
  <c r="E97" i="2"/>
  <c r="I173" i="2"/>
  <c r="H139" i="2"/>
  <c r="M234" i="2"/>
  <c r="T234" i="2" s="1"/>
  <c r="E76" i="2"/>
  <c r="Q126" i="2"/>
  <c r="Y126" i="2" s="1"/>
  <c r="F167" i="2"/>
  <c r="J79" i="2"/>
  <c r="I90" i="2"/>
  <c r="N63" i="2"/>
  <c r="G239" i="2"/>
  <c r="E226" i="2"/>
  <c r="I165" i="2"/>
  <c r="D161" i="2"/>
  <c r="O149" i="2"/>
  <c r="O142" i="2"/>
  <c r="J149" i="2"/>
  <c r="P126" i="2"/>
  <c r="X126" i="2" s="1"/>
  <c r="D167" i="2"/>
  <c r="D250" i="2"/>
  <c r="F250" i="2"/>
  <c r="D149" i="2"/>
  <c r="F79" i="2"/>
  <c r="E175" i="2"/>
  <c r="F149" i="2"/>
  <c r="I128" i="2"/>
  <c r="M88" i="2"/>
  <c r="T88" i="2" s="1"/>
  <c r="E275" i="2"/>
  <c r="N94" i="2"/>
  <c r="U94" i="2" s="1"/>
  <c r="M217" i="2"/>
  <c r="T217" i="2" s="1"/>
  <c r="M94" i="2"/>
  <c r="T94" i="2" s="1"/>
  <c r="H142" i="2"/>
  <c r="M85" i="2"/>
  <c r="T85" i="2" s="1"/>
  <c r="F286" i="2"/>
  <c r="O162" i="2"/>
  <c r="M116" i="2"/>
  <c r="T116" i="2" s="1"/>
  <c r="H163" i="2"/>
  <c r="Q277" i="2"/>
  <c r="Y277" i="2" s="1"/>
  <c r="M162" i="2"/>
  <c r="T162" i="2" s="1"/>
  <c r="E217" i="2"/>
  <c r="H94" i="2"/>
  <c r="P64" i="2"/>
  <c r="G64" i="2"/>
  <c r="M64" i="2"/>
  <c r="N260" i="2"/>
  <c r="U260" i="2" s="1"/>
  <c r="J278" i="2"/>
  <c r="N148" i="2"/>
  <c r="U148" i="2" s="1"/>
  <c r="O246" i="2"/>
  <c r="M170" i="2"/>
  <c r="T170" i="2" s="1"/>
  <c r="D63" i="2"/>
  <c r="D64" i="2"/>
  <c r="E296" i="2"/>
  <c r="I195" i="2"/>
  <c r="F193" i="2"/>
  <c r="M296" i="2"/>
  <c r="T296" i="2" s="1"/>
  <c r="E55" i="2"/>
  <c r="G218" i="2"/>
  <c r="H218" i="2"/>
  <c r="G283" i="2"/>
  <c r="N201" i="2"/>
  <c r="U201" i="2" s="1"/>
  <c r="E196" i="2"/>
  <c r="P220" i="2"/>
  <c r="J220" i="2"/>
  <c r="O140" i="2"/>
  <c r="F55" i="2"/>
  <c r="H287" i="2"/>
  <c r="H220" i="2"/>
  <c r="P271" i="2"/>
  <c r="J271" i="2"/>
  <c r="F205" i="2"/>
  <c r="H205" i="2"/>
  <c r="O223" i="2"/>
  <c r="Q192" i="2"/>
  <c r="Y192" i="2" s="1"/>
  <c r="J196" i="2"/>
  <c r="N172" i="2"/>
  <c r="U172" i="2" s="1"/>
  <c r="H201" i="2"/>
  <c r="E248" i="2"/>
  <c r="Q248" i="2"/>
  <c r="Y248" i="2" s="1"/>
  <c r="M168" i="2"/>
  <c r="T168" i="2" s="1"/>
  <c r="F220" i="2"/>
  <c r="N220" i="2"/>
  <c r="U220" i="2" s="1"/>
  <c r="O229" i="2"/>
  <c r="F129" i="2"/>
  <c r="G163" i="2"/>
  <c r="J229" i="2"/>
  <c r="H109" i="2"/>
  <c r="V109" i="2" s="1"/>
  <c r="O201" i="2"/>
  <c r="O294" i="2"/>
  <c r="M249" i="2"/>
  <c r="T249" i="2" s="1"/>
  <c r="J184" i="2"/>
  <c r="P170" i="2"/>
  <c r="J182" i="2"/>
  <c r="X182" i="2" s="1"/>
  <c r="O114" i="2"/>
  <c r="G301" i="2"/>
  <c r="F196" i="2"/>
  <c r="M183" i="2"/>
  <c r="T183" i="2" s="1"/>
  <c r="J145" i="2"/>
  <c r="I229" i="2"/>
  <c r="P283" i="2"/>
  <c r="D227" i="2"/>
  <c r="H237" i="2"/>
  <c r="I150" i="2"/>
  <c r="W150" i="2" s="1"/>
  <c r="E148" i="2"/>
  <c r="I174" i="2"/>
  <c r="P231" i="2"/>
  <c r="X231" i="2" s="1"/>
  <c r="F233" i="2"/>
  <c r="N235" i="2"/>
  <c r="U235" i="2" s="1"/>
  <c r="N278" i="2"/>
  <c r="U278" i="2" s="1"/>
  <c r="D248" i="2"/>
  <c r="D148" i="2"/>
  <c r="M172" i="2"/>
  <c r="T172" i="2" s="1"/>
  <c r="D151" i="2"/>
  <c r="D114" i="2"/>
  <c r="E109" i="2"/>
  <c r="G296" i="2"/>
  <c r="P275" i="2"/>
  <c r="J267" i="2"/>
  <c r="F226" i="2"/>
  <c r="O267" i="2"/>
  <c r="I197" i="2"/>
  <c r="W197" i="2" s="1"/>
  <c r="P287" i="2"/>
  <c r="E293" i="2"/>
  <c r="D242" i="2"/>
  <c r="O232" i="2"/>
  <c r="D164" i="2"/>
  <c r="P161" i="2"/>
  <c r="Q183" i="2"/>
  <c r="Y183" i="2" s="1"/>
  <c r="P196" i="2"/>
  <c r="N196" i="2"/>
  <c r="U196" i="2" s="1"/>
  <c r="O196" i="2"/>
  <c r="I164" i="2"/>
  <c r="H288" i="2"/>
  <c r="N78" i="2"/>
  <c r="U78" i="2" s="1"/>
  <c r="E238" i="2"/>
  <c r="J172" i="2"/>
  <c r="Q76" i="2"/>
  <c r="Y76" i="2" s="1"/>
  <c r="E258" i="2"/>
  <c r="Q125" i="2"/>
  <c r="Y125" i="2" s="1"/>
  <c r="E168" i="2"/>
  <c r="M148" i="2"/>
  <c r="T148" i="2" s="1"/>
  <c r="H216" i="2"/>
  <c r="F267" i="2"/>
  <c r="H296" i="2"/>
  <c r="I203" i="2"/>
  <c r="W203" i="2" s="1"/>
  <c r="P218" i="2"/>
  <c r="D201" i="2"/>
  <c r="H193" i="2"/>
  <c r="D218" i="2"/>
  <c r="Q201" i="2"/>
  <c r="Y201" i="2" s="1"/>
  <c r="D228" i="2"/>
  <c r="H246" i="2"/>
  <c r="N239" i="2"/>
  <c r="U239" i="2" s="1"/>
  <c r="P255" i="2"/>
  <c r="X255" i="2" s="1"/>
  <c r="O262" i="2"/>
  <c r="J262" i="2"/>
  <c r="J190" i="2"/>
  <c r="F231" i="2"/>
  <c r="F279" i="2"/>
  <c r="E260" i="2"/>
  <c r="O227" i="2"/>
  <c r="E128" i="2"/>
  <c r="M262" i="2"/>
  <c r="T262" i="2" s="1"/>
  <c r="I190" i="2"/>
  <c r="Q160" i="2"/>
  <c r="Y160" i="2" s="1"/>
  <c r="G228" i="2"/>
  <c r="D271" i="2"/>
  <c r="D213" i="2"/>
  <c r="J194" i="2"/>
  <c r="J268" i="2"/>
  <c r="G248" i="2"/>
  <c r="Q228" i="2"/>
  <c r="Y228" i="2" s="1"/>
  <c r="D190" i="2"/>
  <c r="I111" i="2"/>
  <c r="I60" i="2"/>
  <c r="W60" i="2" s="1"/>
  <c r="V73" i="2"/>
  <c r="N294" i="2"/>
  <c r="U294" i="2" s="1"/>
  <c r="O301" i="2"/>
  <c r="M146" i="2"/>
  <c r="T146" i="2" s="1"/>
  <c r="M237" i="2"/>
  <c r="T237" i="2" s="1"/>
  <c r="P237" i="2"/>
  <c r="X237" i="2" s="1"/>
  <c r="Y195" i="2"/>
  <c r="P172" i="2"/>
  <c r="P173" i="2"/>
  <c r="N146" i="2"/>
  <c r="U146" i="2" s="1"/>
  <c r="Q167" i="2"/>
  <c r="Y167" i="2" s="1"/>
  <c r="M178" i="2"/>
  <c r="T178" i="2" s="1"/>
  <c r="I166" i="2"/>
  <c r="H280" i="2"/>
  <c r="P229" i="2"/>
  <c r="F201" i="2"/>
  <c r="O172" i="2"/>
  <c r="M139" i="2"/>
  <c r="T139" i="2" s="1"/>
  <c r="G139" i="2"/>
  <c r="N139" i="2"/>
  <c r="U139" i="2" s="1"/>
  <c r="Q164" i="2"/>
  <c r="Y164" i="2" s="1"/>
  <c r="J301" i="2"/>
  <c r="G213" i="2"/>
  <c r="F131" i="2"/>
  <c r="F118" i="2"/>
  <c r="E72" i="2"/>
  <c r="P154" i="2"/>
  <c r="H149" i="2"/>
  <c r="J64" i="2"/>
  <c r="H162" i="2"/>
  <c r="N162" i="2"/>
  <c r="U162" i="2" s="1"/>
  <c r="Q262" i="2"/>
  <c r="Y262" i="2" s="1"/>
  <c r="F301" i="2"/>
  <c r="J216" i="2"/>
  <c r="F194" i="2"/>
  <c r="N173" i="2"/>
  <c r="U173" i="2" s="1"/>
  <c r="P279" i="2"/>
  <c r="P116" i="2"/>
  <c r="Q173" i="2"/>
  <c r="Y173" i="2" s="1"/>
  <c r="E283" i="2"/>
  <c r="P167" i="2"/>
  <c r="O125" i="2"/>
  <c r="E164" i="2"/>
  <c r="G201" i="2"/>
  <c r="O248" i="2"/>
  <c r="G262" i="2"/>
  <c r="P227" i="2"/>
  <c r="M228" i="2"/>
  <c r="T228" i="2" s="1"/>
  <c r="H290" i="2"/>
  <c r="N249" i="2"/>
  <c r="U249" i="2" s="1"/>
  <c r="J219" i="2"/>
  <c r="X219" i="2" s="1"/>
  <c r="D225" i="2"/>
  <c r="M160" i="2"/>
  <c r="T160" i="2" s="1"/>
  <c r="O178" i="2"/>
  <c r="N125" i="2"/>
  <c r="U125" i="2" s="1"/>
  <c r="P228" i="2"/>
  <c r="P160" i="2"/>
  <c r="E219" i="2"/>
  <c r="F107" i="2"/>
  <c r="D107" i="2"/>
  <c r="P262" i="2"/>
  <c r="P301" i="2"/>
  <c r="F260" i="2"/>
  <c r="H227" i="2"/>
  <c r="D154" i="2"/>
  <c r="P97" i="2"/>
  <c r="Q82" i="2"/>
  <c r="Y82" i="2" s="1"/>
  <c r="O82" i="2"/>
  <c r="E82" i="2"/>
  <c r="E254" i="2"/>
  <c r="J116" i="2"/>
  <c r="M97" i="2"/>
  <c r="T97" i="2" s="1"/>
  <c r="Q254" i="2"/>
  <c r="Y254" i="2" s="1"/>
  <c r="E116" i="2"/>
  <c r="Q152" i="2"/>
  <c r="Y152" i="2" s="1"/>
  <c r="J55" i="2"/>
  <c r="M213" i="2"/>
  <c r="T213" i="2" s="1"/>
  <c r="I143" i="2"/>
  <c r="M109" i="2"/>
  <c r="T109" i="2" s="1"/>
  <c r="I84" i="2"/>
  <c r="V84" i="2" s="1"/>
  <c r="E227" i="2"/>
  <c r="D192" i="2"/>
  <c r="N192" i="2"/>
  <c r="U192" i="2" s="1"/>
  <c r="H92" i="2"/>
  <c r="O92" i="2"/>
  <c r="I92" i="2"/>
  <c r="N92" i="2"/>
  <c r="U92" i="2" s="1"/>
  <c r="N64" i="2"/>
  <c r="I99" i="2"/>
  <c r="W99" i="2" s="1"/>
  <c r="D82" i="2"/>
  <c r="H222" i="2"/>
  <c r="P222" i="2"/>
  <c r="P213" i="2"/>
  <c r="N213" i="2"/>
  <c r="U213" i="2" s="1"/>
  <c r="G142" i="2"/>
  <c r="Q142" i="2"/>
  <c r="Y142" i="2" s="1"/>
  <c r="J281" i="2"/>
  <c r="I283" i="2"/>
  <c r="P180" i="2"/>
  <c r="J127" i="2"/>
  <c r="I256" i="2"/>
  <c r="G82" i="2"/>
  <c r="I126" i="2"/>
  <c r="N271" i="2"/>
  <c r="U271" i="2" s="1"/>
  <c r="J124" i="2"/>
  <c r="I221" i="2"/>
  <c r="D234" i="2"/>
  <c r="H234" i="2"/>
  <c r="E129" i="2"/>
  <c r="P109" i="2"/>
  <c r="X109" i="2" s="1"/>
  <c r="G109" i="2"/>
  <c r="Q109" i="2"/>
  <c r="Y109" i="2" s="1"/>
  <c r="G195" i="2"/>
  <c r="Q271" i="2"/>
  <c r="Y271" i="2" s="1"/>
  <c r="F298" i="2"/>
  <c r="G271" i="2"/>
  <c r="H127" i="2"/>
  <c r="I127" i="2"/>
  <c r="E271" i="2"/>
  <c r="J82" i="2"/>
  <c r="H289" i="2"/>
  <c r="I291" i="2"/>
  <c r="J289" i="2"/>
  <c r="G289" i="2"/>
  <c r="M289" i="2"/>
  <c r="T289" i="2" s="1"/>
  <c r="Q289" i="2"/>
  <c r="Y289" i="2" s="1"/>
  <c r="D254" i="2"/>
  <c r="G254" i="2"/>
  <c r="N210" i="2"/>
  <c r="U210" i="2" s="1"/>
  <c r="I212" i="2"/>
  <c r="Q157" i="2"/>
  <c r="Y157" i="2" s="1"/>
  <c r="J157" i="2"/>
  <c r="O157" i="2"/>
  <c r="E139" i="2"/>
  <c r="D139" i="2"/>
  <c r="E121" i="2"/>
  <c r="D203" i="2"/>
  <c r="E202" i="2"/>
  <c r="H202" i="2"/>
  <c r="P162" i="2"/>
  <c r="J162" i="2"/>
  <c r="M127" i="2"/>
  <c r="T127" i="2" s="1"/>
  <c r="M82" i="2"/>
  <c r="T82" i="2" s="1"/>
  <c r="E246" i="2"/>
  <c r="M246" i="2"/>
  <c r="T246" i="2" s="1"/>
  <c r="P246" i="2"/>
  <c r="Q217" i="2"/>
  <c r="Y217" i="2" s="1"/>
  <c r="H217" i="2"/>
  <c r="F217" i="2"/>
  <c r="P217" i="2"/>
  <c r="H136" i="2"/>
  <c r="N136" i="2"/>
  <c r="U136" i="2" s="1"/>
  <c r="O136" i="2"/>
  <c r="D136" i="2"/>
  <c r="D126" i="2"/>
  <c r="F126" i="2"/>
  <c r="G127" i="2"/>
  <c r="G210" i="2"/>
  <c r="H279" i="2"/>
  <c r="E162" i="2"/>
  <c r="M238" i="2"/>
  <c r="T238" i="2" s="1"/>
  <c r="N82" i="2"/>
  <c r="U82" i="2" s="1"/>
  <c r="Q55" i="2"/>
  <c r="Y55" i="2" s="1"/>
  <c r="N207" i="2"/>
  <c r="U207" i="2" s="1"/>
  <c r="M207" i="2"/>
  <c r="T207" i="2" s="1"/>
  <c r="P169" i="2"/>
  <c r="Q113" i="2"/>
  <c r="Y113" i="2" s="1"/>
  <c r="O113" i="2"/>
  <c r="F203" i="2"/>
  <c r="Q74" i="2"/>
  <c r="Y74" i="2" s="1"/>
  <c r="J298" i="2"/>
  <c r="E298" i="2"/>
  <c r="G281" i="2"/>
  <c r="H281" i="2"/>
  <c r="I281" i="2"/>
  <c r="I273" i="2"/>
  <c r="D221" i="2"/>
  <c r="N221" i="2"/>
  <c r="U221" i="2" s="1"/>
  <c r="E159" i="2"/>
  <c r="N159" i="2"/>
  <c r="U159" i="2" s="1"/>
  <c r="P159" i="2"/>
  <c r="J159" i="2"/>
  <c r="M121" i="2"/>
  <c r="T121" i="2" s="1"/>
  <c r="G116" i="2"/>
  <c r="H74" i="2"/>
  <c r="P263" i="2"/>
  <c r="N263" i="2"/>
  <c r="U263" i="2" s="1"/>
  <c r="O263" i="2"/>
  <c r="Q263" i="2"/>
  <c r="Y263" i="2" s="1"/>
  <c r="T181" i="2"/>
  <c r="O181" i="2"/>
  <c r="H181" i="2"/>
  <c r="G181" i="2"/>
  <c r="I183" i="2"/>
  <c r="E74" i="2"/>
  <c r="E281" i="2"/>
  <c r="P82" i="2"/>
  <c r="H146" i="2"/>
  <c r="F290" i="2"/>
  <c r="P239" i="2"/>
  <c r="X239" i="2" s="1"/>
  <c r="I297" i="2"/>
  <c r="J288" i="2"/>
  <c r="I290" i="2"/>
  <c r="P288" i="2"/>
  <c r="N288" i="2"/>
  <c r="U288" i="2" s="1"/>
  <c r="O278" i="2"/>
  <c r="I280" i="2"/>
  <c r="P248" i="2"/>
  <c r="N248" i="2"/>
  <c r="U248" i="2" s="1"/>
  <c r="E75" i="2"/>
  <c r="F75" i="2"/>
  <c r="G75" i="2"/>
  <c r="J75" i="2"/>
  <c r="M75" i="2"/>
  <c r="T75" i="2" s="1"/>
  <c r="P75" i="2"/>
  <c r="Q162" i="2"/>
  <c r="Y162" i="2" s="1"/>
  <c r="E87" i="2"/>
  <c r="N286" i="2"/>
  <c r="U286" i="2" s="1"/>
  <c r="I215" i="2"/>
  <c r="G286" i="2"/>
  <c r="I302" i="2"/>
  <c r="O300" i="2"/>
  <c r="E193" i="2"/>
  <c r="Q193" i="2"/>
  <c r="Y193" i="2" s="1"/>
  <c r="G193" i="2"/>
  <c r="O193" i="2"/>
  <c r="N193" i="2"/>
  <c r="U193" i="2" s="1"/>
  <c r="E161" i="2"/>
  <c r="O80" i="2"/>
  <c r="W80" i="2" s="1"/>
  <c r="F80" i="2"/>
  <c r="G80" i="2"/>
  <c r="G169" i="2"/>
  <c r="O87" i="2"/>
  <c r="W87" i="2" s="1"/>
  <c r="M159" i="2"/>
  <c r="T159" i="2" s="1"/>
  <c r="F219" i="2"/>
  <c r="G74" i="2"/>
  <c r="Q221" i="2"/>
  <c r="Y221" i="2" s="1"/>
  <c r="H87" i="2"/>
  <c r="J142" i="2"/>
  <c r="X142" i="2" s="1"/>
  <c r="O290" i="2"/>
  <c r="O100" i="2"/>
  <c r="D159" i="2"/>
  <c r="F270" i="2"/>
  <c r="H270" i="2"/>
  <c r="Q270" i="2"/>
  <c r="Y270" i="2" s="1"/>
  <c r="O183" i="2"/>
  <c r="P183" i="2"/>
  <c r="H183" i="2"/>
  <c r="G183" i="2"/>
  <c r="E178" i="2"/>
  <c r="P178" i="2"/>
  <c r="N178" i="2"/>
  <c r="U178" i="2" s="1"/>
  <c r="Q178" i="2"/>
  <c r="Y178" i="2" s="1"/>
  <c r="F95" i="2"/>
  <c r="H85" i="2"/>
  <c r="G57" i="2"/>
  <c r="O57" i="2"/>
  <c r="O97" i="2"/>
  <c r="F221" i="2"/>
  <c r="D87" i="2"/>
  <c r="G176" i="2"/>
  <c r="N121" i="2"/>
  <c r="U121" i="2" s="1"/>
  <c r="H198" i="2"/>
  <c r="F198" i="2"/>
  <c r="E90" i="2"/>
  <c r="D90" i="2"/>
  <c r="Q62" i="2"/>
  <c r="Y62" i="2" s="1"/>
  <c r="J62" i="2"/>
  <c r="X247" i="2"/>
  <c r="P136" i="2"/>
  <c r="D193" i="2"/>
  <c r="F82" i="2"/>
  <c r="P133" i="2"/>
  <c r="Q290" i="2"/>
  <c r="Y290" i="2" s="1"/>
  <c r="M290" i="2"/>
  <c r="T290" i="2" s="1"/>
  <c r="M175" i="2"/>
  <c r="T175" i="2" s="1"/>
  <c r="O175" i="2"/>
  <c r="N175" i="2"/>
  <c r="U175" i="2" s="1"/>
  <c r="G194" i="2"/>
  <c r="I282" i="2"/>
  <c r="W282" i="2" s="1"/>
  <c r="P189" i="2"/>
  <c r="H228" i="2"/>
  <c r="I85" i="2"/>
  <c r="F285" i="2"/>
  <c r="E194" i="2"/>
  <c r="J128" i="2"/>
  <c r="D170" i="2"/>
  <c r="Q212" i="2"/>
  <c r="Y212" i="2" s="1"/>
  <c r="E280" i="2"/>
  <c r="Q83" i="2"/>
  <c r="Y83" i="2" s="1"/>
  <c r="D285" i="2"/>
  <c r="M179" i="2"/>
  <c r="T179" i="2" s="1"/>
  <c r="E155" i="2"/>
  <c r="T91" i="2"/>
  <c r="N66" i="2"/>
  <c r="M66" i="2"/>
  <c r="H66" i="2"/>
  <c r="I296" i="2"/>
  <c r="H285" i="2"/>
  <c r="O280" i="2"/>
  <c r="F76" i="2"/>
  <c r="E98" i="2"/>
  <c r="H272" i="2"/>
  <c r="G125" i="2"/>
  <c r="Q196" i="2"/>
  <c r="Y196" i="2" s="1"/>
  <c r="M143" i="2"/>
  <c r="T143" i="2" s="1"/>
  <c r="N143" i="2"/>
  <c r="U143" i="2" s="1"/>
  <c r="W210" i="2"/>
  <c r="J280" i="2"/>
  <c r="I216" i="2"/>
  <c r="F280" i="2"/>
  <c r="E286" i="2"/>
  <c r="G279" i="2"/>
  <c r="I304" i="2"/>
  <c r="G225" i="2"/>
  <c r="H225" i="2"/>
  <c r="D214" i="2"/>
  <c r="G288" i="2"/>
  <c r="Q243" i="2"/>
  <c r="Y243" i="2" s="1"/>
  <c r="N117" i="2"/>
  <c r="U117" i="2" s="1"/>
  <c r="Q302" i="2"/>
  <c r="Y302" i="2" s="1"/>
  <c r="D143" i="2"/>
  <c r="F247" i="2"/>
  <c r="N279" i="2"/>
  <c r="U279" i="2" s="1"/>
  <c r="M286" i="2"/>
  <c r="T286" i="2" s="1"/>
  <c r="F246" i="2"/>
  <c r="M193" i="2"/>
  <c r="T193" i="2" s="1"/>
  <c r="G117" i="2"/>
  <c r="P212" i="2"/>
  <c r="G267" i="2"/>
  <c r="Q288" i="2"/>
  <c r="Y288" i="2" s="1"/>
  <c r="Q300" i="2"/>
  <c r="Y300" i="2" s="1"/>
  <c r="J243" i="2"/>
  <c r="H260" i="2"/>
  <c r="G246" i="2"/>
  <c r="F177" i="2"/>
  <c r="E100" i="2"/>
  <c r="J91" i="2"/>
  <c r="P289" i="2"/>
  <c r="M288" i="2"/>
  <c r="T288" i="2" s="1"/>
  <c r="G266" i="2"/>
  <c r="F91" i="2"/>
  <c r="N84" i="2"/>
  <c r="U84" i="2" s="1"/>
  <c r="P68" i="2"/>
  <c r="J286" i="2"/>
  <c r="H275" i="2"/>
  <c r="E234" i="2"/>
  <c r="F148" i="2"/>
  <c r="D212" i="2"/>
  <c r="J225" i="2"/>
  <c r="J257" i="2"/>
  <c r="Q117" i="2"/>
  <c r="Y117" i="2" s="1"/>
  <c r="P302" i="2"/>
  <c r="G157" i="2"/>
  <c r="G302" i="2"/>
  <c r="Q280" i="2"/>
  <c r="Y280" i="2" s="1"/>
  <c r="O302" i="2"/>
  <c r="Q170" i="2"/>
  <c r="Y170" i="2" s="1"/>
  <c r="N302" i="2"/>
  <c r="U302" i="2" s="1"/>
  <c r="D302" i="2"/>
  <c r="D280" i="2"/>
  <c r="G280" i="2"/>
  <c r="I227" i="2"/>
  <c r="F214" i="2"/>
  <c r="O212" i="2"/>
  <c r="P117" i="2"/>
  <c r="I56" i="2"/>
  <c r="P225" i="2"/>
  <c r="H117" i="2"/>
  <c r="G170" i="2"/>
  <c r="P5" i="24"/>
  <c r="P2" i="24"/>
  <c r="Q2" i="24"/>
  <c r="Q3" i="24"/>
  <c r="P4" i="24"/>
  <c r="P3" i="24"/>
  <c r="M205" i="2"/>
  <c r="T205" i="2" s="1"/>
  <c r="I285" i="2"/>
  <c r="H298" i="2"/>
  <c r="O296" i="2"/>
  <c r="M300" i="2"/>
  <c r="T300" i="2" s="1"/>
  <c r="P252" i="2"/>
  <c r="X252" i="2" s="1"/>
  <c r="N298" i="2"/>
  <c r="U298" i="2" s="1"/>
  <c r="F300" i="2"/>
  <c r="D253" i="2"/>
  <c r="I287" i="2"/>
  <c r="O242" i="2"/>
  <c r="J232" i="2"/>
  <c r="X232" i="2" s="1"/>
  <c r="H167" i="2"/>
  <c r="I167" i="2"/>
  <c r="P118" i="2"/>
  <c r="J118" i="2"/>
  <c r="E249" i="2"/>
  <c r="M114" i="2"/>
  <c r="T114" i="2" s="1"/>
  <c r="I220" i="2"/>
  <c r="N116" i="2"/>
  <c r="U116" i="2" s="1"/>
  <c r="Q172" i="2"/>
  <c r="Y172" i="2" s="1"/>
  <c r="H229" i="2"/>
  <c r="M285" i="2"/>
  <c r="T285" i="2" s="1"/>
  <c r="M173" i="2"/>
  <c r="T173" i="2" s="1"/>
  <c r="N106" i="2"/>
  <c r="U106" i="2" s="1"/>
  <c r="M132" i="2"/>
  <c r="T132" i="2" s="1"/>
  <c r="E279" i="2"/>
  <c r="H274" i="2"/>
  <c r="E214" i="2"/>
  <c r="N132" i="2"/>
  <c r="U132" i="2" s="1"/>
  <c r="J125" i="2"/>
  <c r="N187" i="2"/>
  <c r="U187" i="2" s="1"/>
  <c r="N206" i="2"/>
  <c r="U206" i="2" s="1"/>
  <c r="D290" i="2"/>
  <c r="H251" i="2"/>
  <c r="J199" i="2"/>
  <c r="F249" i="2"/>
  <c r="O256" i="2"/>
  <c r="I207" i="2"/>
  <c r="E247" i="2"/>
  <c r="P244" i="2"/>
  <c r="X244" i="2" s="1"/>
  <c r="J295" i="2"/>
  <c r="Q252" i="2"/>
  <c r="Y252" i="2" s="1"/>
  <c r="H269" i="2"/>
  <c r="O269" i="2"/>
  <c r="F255" i="2"/>
  <c r="D287" i="2"/>
  <c r="G242" i="2"/>
  <c r="J170" i="2"/>
  <c r="H278" i="2"/>
  <c r="N211" i="2"/>
  <c r="U211" i="2" s="1"/>
  <c r="H119" i="2"/>
  <c r="O188" i="2"/>
  <c r="J264" i="2"/>
  <c r="I214" i="2"/>
  <c r="N262" i="2"/>
  <c r="U262" i="2" s="1"/>
  <c r="P91" i="2"/>
  <c r="F101" i="2"/>
  <c r="M101" i="2"/>
  <c r="T101" i="2" s="1"/>
  <c r="Q132" i="2"/>
  <c r="Y132" i="2" s="1"/>
  <c r="E132" i="2"/>
  <c r="E288" i="2"/>
  <c r="I299" i="2"/>
  <c r="H186" i="2"/>
  <c r="H152" i="2"/>
  <c r="V152" i="2" s="1"/>
  <c r="P168" i="2"/>
  <c r="V210" i="2"/>
  <c r="N256" i="2"/>
  <c r="U256" i="2" s="1"/>
  <c r="J296" i="2"/>
  <c r="M235" i="2"/>
  <c r="T235" i="2" s="1"/>
  <c r="F132" i="2"/>
  <c r="G132" i="2"/>
  <c r="G252" i="2"/>
  <c r="H252" i="2"/>
  <c r="O247" i="2"/>
  <c r="T280" i="2"/>
  <c r="T209" i="2"/>
  <c r="O111" i="2"/>
  <c r="G240" i="2"/>
  <c r="E103" i="2"/>
  <c r="H263" i="2"/>
  <c r="H188" i="2"/>
  <c r="I188" i="2"/>
  <c r="G259" i="2"/>
  <c r="O236" i="2"/>
  <c r="F106" i="2"/>
  <c r="E135" i="2"/>
  <c r="Q101" i="2"/>
  <c r="Y101" i="2" s="1"/>
  <c r="M188" i="2"/>
  <c r="T188" i="2" s="1"/>
  <c r="G219" i="2"/>
  <c r="F188" i="2"/>
  <c r="H170" i="2"/>
  <c r="H141" i="2"/>
  <c r="X266" i="2"/>
  <c r="E270" i="2"/>
  <c r="I250" i="2"/>
  <c r="D169" i="2"/>
  <c r="M302" i="2"/>
  <c r="T302" i="2" s="1"/>
  <c r="P113" i="2"/>
  <c r="N280" i="2"/>
  <c r="U280" i="2" s="1"/>
  <c r="O148" i="2"/>
  <c r="M248" i="2"/>
  <c r="T248" i="2" s="1"/>
  <c r="G148" i="2"/>
  <c r="M292" i="2"/>
  <c r="T292" i="2" s="1"/>
  <c r="P108" i="2"/>
  <c r="N238" i="2"/>
  <c r="U238" i="2" s="1"/>
  <c r="M186" i="2"/>
  <c r="T186" i="2" s="1"/>
  <c r="O108" i="2"/>
  <c r="Q188" i="2"/>
  <c r="Y188" i="2" s="1"/>
  <c r="J121" i="2"/>
  <c r="H99" i="2"/>
  <c r="I301" i="2"/>
  <c r="J230" i="2"/>
  <c r="M261" i="2"/>
  <c r="T261" i="2" s="1"/>
  <c r="N303" i="2"/>
  <c r="U303" i="2" s="1"/>
  <c r="J304" i="2"/>
  <c r="M223" i="2"/>
  <c r="T223" i="2" s="1"/>
  <c r="H242" i="2"/>
  <c r="M98" i="2"/>
  <c r="T98" i="2" s="1"/>
  <c r="J203" i="2"/>
  <c r="F142" i="2"/>
  <c r="H111" i="2"/>
  <c r="I121" i="2"/>
  <c r="V121" i="2" s="1"/>
  <c r="D229" i="2"/>
  <c r="N91" i="2"/>
  <c r="U91" i="2" s="1"/>
  <c r="Q185" i="2"/>
  <c r="Y185" i="2" s="1"/>
  <c r="M78" i="2"/>
  <c r="T78" i="2" s="1"/>
  <c r="M145" i="2"/>
  <c r="T145" i="2" s="1"/>
  <c r="G137" i="2"/>
  <c r="P96" i="2"/>
  <c r="Q119" i="2"/>
  <c r="Y119" i="2" s="1"/>
  <c r="P186" i="2"/>
  <c r="E106" i="2"/>
  <c r="O98" i="2"/>
  <c r="Q102" i="2"/>
  <c r="Y102" i="2" s="1"/>
  <c r="F174" i="2"/>
  <c r="G168" i="2"/>
  <c r="Q153" i="2"/>
  <c r="Y153" i="2" s="1"/>
  <c r="G203" i="2"/>
  <c r="M245" i="2"/>
  <c r="T245" i="2" s="1"/>
  <c r="H230" i="2"/>
  <c r="M269" i="2"/>
  <c r="T269" i="2" s="1"/>
  <c r="Q261" i="2"/>
  <c r="Y261" i="2" s="1"/>
  <c r="H243" i="2"/>
  <c r="E242" i="2"/>
  <c r="P98" i="2"/>
  <c r="X98" i="2" s="1"/>
  <c r="J152" i="2"/>
  <c r="E235" i="2"/>
  <c r="M212" i="2"/>
  <c r="T212" i="2" s="1"/>
  <c r="E142" i="2"/>
  <c r="P138" i="2"/>
  <c r="J130" i="2"/>
  <c r="N113" i="2"/>
  <c r="U113" i="2" s="1"/>
  <c r="D91" i="2"/>
  <c r="E189" i="2"/>
  <c r="E176" i="2"/>
  <c r="I137" i="2"/>
  <c r="D182" i="2"/>
  <c r="G220" i="2"/>
  <c r="F207" i="2"/>
  <c r="G227" i="2"/>
  <c r="M163" i="2"/>
  <c r="T163" i="2" s="1"/>
  <c r="J94" i="2"/>
  <c r="F84" i="2"/>
  <c r="W271" i="2"/>
  <c r="O186" i="2"/>
  <c r="E299" i="2"/>
  <c r="G118" i="2"/>
  <c r="J160" i="2"/>
  <c r="M258" i="2"/>
  <c r="T258" i="2" s="1"/>
  <c r="G215" i="2"/>
  <c r="F140" i="2"/>
  <c r="D135" i="2"/>
  <c r="M118" i="2"/>
  <c r="T118" i="2" s="1"/>
  <c r="D66" i="2"/>
  <c r="P6" i="11"/>
  <c r="D217" i="2"/>
  <c r="P193" i="2"/>
  <c r="X193" i="2" s="1"/>
  <c r="U109" i="2"/>
  <c r="J186" i="2"/>
  <c r="E160" i="2"/>
  <c r="F141" i="2"/>
  <c r="P280" i="2"/>
  <c r="J248" i="2"/>
  <c r="O243" i="2"/>
  <c r="W243" i="2" s="1"/>
  <c r="M108" i="2"/>
  <c r="T108" i="2" s="1"/>
  <c r="F245" i="2"/>
  <c r="O298" i="2"/>
  <c r="P230" i="2"/>
  <c r="Q292" i="2"/>
  <c r="Y292" i="2" s="1"/>
  <c r="O156" i="2"/>
  <c r="E182" i="2"/>
  <c r="E218" i="2"/>
  <c r="M182" i="2"/>
  <c r="T182" i="2" s="1"/>
  <c r="F163" i="2"/>
  <c r="P235" i="2"/>
  <c r="G119" i="2"/>
  <c r="O218" i="2"/>
  <c r="Q210" i="2"/>
  <c r="Y210" i="2" s="1"/>
  <c r="I189" i="2"/>
  <c r="Q156" i="2"/>
  <c r="Y156" i="2" s="1"/>
  <c r="M275" i="2"/>
  <c r="T275" i="2" s="1"/>
  <c r="G172" i="2"/>
  <c r="X176" i="2"/>
  <c r="D186" i="2"/>
  <c r="G235" i="2"/>
  <c r="D163" i="2"/>
  <c r="F254" i="2"/>
  <c r="O170" i="2"/>
  <c r="I242" i="2"/>
  <c r="J187" i="2"/>
  <c r="X187" i="2" s="1"/>
  <c r="J146" i="2"/>
  <c r="M156" i="2"/>
  <c r="T156" i="2" s="1"/>
  <c r="G188" i="2"/>
  <c r="E78" i="2"/>
  <c r="D73" i="2"/>
  <c r="D144" i="2"/>
  <c r="X198" i="2"/>
  <c r="N97" i="2"/>
  <c r="U97" i="2" s="1"/>
  <c r="F263" i="2"/>
  <c r="I83" i="2"/>
  <c r="F170" i="2"/>
  <c r="F303" i="2"/>
  <c r="Q186" i="2"/>
  <c r="Y186" i="2" s="1"/>
  <c r="F71" i="2"/>
  <c r="D156" i="2"/>
  <c r="M266" i="2"/>
  <c r="T266" i="2" s="1"/>
  <c r="Q107" i="2"/>
  <c r="Y107" i="2" s="1"/>
  <c r="G156" i="2"/>
  <c r="Q161" i="2"/>
  <c r="Y161" i="2" s="1"/>
  <c r="O96" i="2"/>
  <c r="G264" i="2"/>
  <c r="M304" i="2"/>
  <c r="T304" i="2" s="1"/>
  <c r="P103" i="2"/>
  <c r="H81" i="2"/>
  <c r="I81" i="2"/>
  <c r="E303" i="2"/>
  <c r="O90" i="2"/>
  <c r="J108" i="2"/>
  <c r="J66" i="2"/>
  <c r="H125" i="2"/>
  <c r="O67" i="2"/>
  <c r="O132" i="2"/>
  <c r="Q81" i="2"/>
  <c r="Y81" i="2" s="1"/>
  <c r="H124" i="2"/>
  <c r="Q95" i="2"/>
  <c r="Y95" i="2" s="1"/>
  <c r="G186" i="2"/>
  <c r="N186" i="2"/>
  <c r="U186" i="2" s="1"/>
  <c r="M254" i="2"/>
  <c r="T254" i="2" s="1"/>
  <c r="F56" i="2"/>
  <c r="G297" i="2"/>
  <c r="N297" i="2"/>
  <c r="U297" i="2" s="1"/>
  <c r="Q16" i="11"/>
  <c r="D56" i="2"/>
  <c r="Q301" i="2"/>
  <c r="Y301" i="2" s="1"/>
  <c r="I303" i="2"/>
  <c r="M301" i="2"/>
  <c r="T301" i="2" s="1"/>
  <c r="E301" i="2"/>
  <c r="F276" i="2"/>
  <c r="M276" i="2"/>
  <c r="T276" i="2" s="1"/>
  <c r="I9" i="11"/>
  <c r="AC28" i="11"/>
  <c r="P293" i="2"/>
  <c r="X293" i="2" s="1"/>
  <c r="Q293" i="2"/>
  <c r="Y293" i="2" s="1"/>
  <c r="O293" i="2"/>
  <c r="J283" i="2"/>
  <c r="Q283" i="2"/>
  <c r="Y283" i="2" s="1"/>
  <c r="D283" i="2"/>
  <c r="H283" i="2"/>
  <c r="Q241" i="2"/>
  <c r="Y241" i="2" s="1"/>
  <c r="F234" i="2"/>
  <c r="P234" i="2"/>
  <c r="G268" i="2"/>
  <c r="M268" i="2"/>
  <c r="T268" i="2" s="1"/>
  <c r="F268" i="2"/>
  <c r="P268" i="2"/>
  <c r="N54" i="2"/>
  <c r="G54" i="2"/>
  <c r="J300" i="2"/>
  <c r="X300" i="2" s="1"/>
  <c r="D300" i="2"/>
  <c r="I236" i="2"/>
  <c r="Q267" i="2"/>
  <c r="Y267" i="2" s="1"/>
  <c r="P267" i="2"/>
  <c r="M267" i="2"/>
  <c r="T267" i="2" s="1"/>
  <c r="E267" i="2"/>
  <c r="N267" i="2"/>
  <c r="U267" i="2" s="1"/>
  <c r="P257" i="2"/>
  <c r="N257" i="2"/>
  <c r="U257" i="2" s="1"/>
  <c r="F257" i="2"/>
  <c r="X150" i="2"/>
  <c r="M294" i="2"/>
  <c r="T294" i="2" s="1"/>
  <c r="H294" i="2"/>
  <c r="Q294" i="2"/>
  <c r="Y294" i="2" s="1"/>
  <c r="E294" i="2"/>
  <c r="P223" i="2"/>
  <c r="I225" i="2"/>
  <c r="N223" i="2"/>
  <c r="U223" i="2" s="1"/>
  <c r="J223" i="2"/>
  <c r="D223" i="2"/>
  <c r="Q177" i="2"/>
  <c r="Y177" i="2" s="1"/>
  <c r="N177" i="2"/>
  <c r="U177" i="2" s="1"/>
  <c r="O177" i="2"/>
  <c r="J177" i="2"/>
  <c r="M158" i="2"/>
  <c r="T158" i="2" s="1"/>
  <c r="F158" i="2"/>
  <c r="O117" i="2"/>
  <c r="I119" i="2"/>
  <c r="M55" i="2"/>
  <c r="O55" i="2"/>
  <c r="D266" i="2"/>
  <c r="E266" i="2"/>
  <c r="P261" i="2"/>
  <c r="X261" i="2" s="1"/>
  <c r="D208" i="2"/>
  <c r="E203" i="2"/>
  <c r="J119" i="2"/>
  <c r="E93" i="2"/>
  <c r="D93" i="2"/>
  <c r="N295" i="2"/>
  <c r="U295" i="2" s="1"/>
  <c r="J285" i="2"/>
  <c r="P179" i="2"/>
  <c r="F288" i="2"/>
  <c r="E171" i="2"/>
  <c r="I233" i="2"/>
  <c r="N231" i="2"/>
  <c r="U231" i="2" s="1"/>
  <c r="N184" i="2"/>
  <c r="U184" i="2" s="1"/>
  <c r="O184" i="2"/>
  <c r="O179" i="2"/>
  <c r="E165" i="2"/>
  <c r="O165" i="2"/>
  <c r="I157" i="2"/>
  <c r="G131" i="2"/>
  <c r="P83" i="2"/>
  <c r="J83" i="2"/>
  <c r="O83" i="2"/>
  <c r="E174" i="2"/>
  <c r="Q174" i="2"/>
  <c r="Y174" i="2" s="1"/>
  <c r="F112" i="2"/>
  <c r="Q112" i="2"/>
  <c r="Y112" i="2" s="1"/>
  <c r="G287" i="2"/>
  <c r="F287" i="2"/>
  <c r="M263" i="2"/>
  <c r="T263" i="2" s="1"/>
  <c r="O251" i="2"/>
  <c r="E205" i="2"/>
  <c r="H160" i="2"/>
  <c r="V160" i="2" s="1"/>
  <c r="D160" i="2"/>
  <c r="P194" i="2"/>
  <c r="I114" i="2"/>
  <c r="D270" i="2"/>
  <c r="E244" i="2"/>
  <c r="H244" i="2"/>
  <c r="I226" i="2"/>
  <c r="P224" i="2"/>
  <c r="M167" i="2"/>
  <c r="T167" i="2" s="1"/>
  <c r="N167" i="2"/>
  <c r="U167" i="2" s="1"/>
  <c r="D128" i="2"/>
  <c r="G128" i="2"/>
  <c r="Q128" i="2"/>
  <c r="Y128" i="2" s="1"/>
  <c r="D109" i="2"/>
  <c r="F109" i="2"/>
  <c r="D291" i="2"/>
  <c r="I274" i="2"/>
  <c r="N194" i="2"/>
  <c r="U194" i="2" s="1"/>
  <c r="E278" i="2"/>
  <c r="I133" i="2"/>
  <c r="D165" i="2"/>
  <c r="D298" i="2"/>
  <c r="F291" i="2"/>
  <c r="F284" i="2"/>
  <c r="E284" i="2"/>
  <c r="M253" i="2"/>
  <c r="T253" i="2" s="1"/>
  <c r="P253" i="2"/>
  <c r="M239" i="2"/>
  <c r="T239" i="2" s="1"/>
  <c r="N237" i="2"/>
  <c r="U237" i="2" s="1"/>
  <c r="G237" i="2"/>
  <c r="I237" i="2"/>
  <c r="H235" i="2"/>
  <c r="F235" i="2"/>
  <c r="D171" i="2"/>
  <c r="M272" i="2"/>
  <c r="T272" i="2" s="1"/>
  <c r="Q272" i="2"/>
  <c r="Y272" i="2" s="1"/>
  <c r="F195" i="2"/>
  <c r="M195" i="2"/>
  <c r="T195" i="2" s="1"/>
  <c r="P72" i="2"/>
  <c r="X72" i="2" s="1"/>
  <c r="D72" i="2"/>
  <c r="E221" i="2"/>
  <c r="M221" i="2"/>
  <c r="T221" i="2" s="1"/>
  <c r="J221" i="2"/>
  <c r="X221" i="2" s="1"/>
  <c r="T197" i="2"/>
  <c r="M164" i="2"/>
  <c r="T164" i="2" s="1"/>
  <c r="O164" i="2"/>
  <c r="I108" i="2"/>
  <c r="M106" i="2"/>
  <c r="T106" i="2" s="1"/>
  <c r="D106" i="2"/>
  <c r="I103" i="2"/>
  <c r="O103" i="2"/>
  <c r="H101" i="2"/>
  <c r="J270" i="2"/>
  <c r="D141" i="2"/>
  <c r="G88" i="2"/>
  <c r="O190" i="2"/>
  <c r="D281" i="2"/>
  <c r="P281" i="2"/>
  <c r="H262" i="2"/>
  <c r="F262" i="2"/>
  <c r="M232" i="2"/>
  <c r="T232" i="2" s="1"/>
  <c r="G232" i="2"/>
  <c r="E149" i="2"/>
  <c r="N149" i="2"/>
  <c r="U149" i="2" s="1"/>
  <c r="M84" i="2"/>
  <c r="T84" i="2" s="1"/>
  <c r="I86" i="2"/>
  <c r="N112" i="2"/>
  <c r="U112" i="2" s="1"/>
  <c r="M161" i="2"/>
  <c r="T161" i="2" s="1"/>
  <c r="D179" i="2"/>
  <c r="O131" i="2"/>
  <c r="Q147" i="2"/>
  <c r="Y147" i="2" s="1"/>
  <c r="I293" i="2"/>
  <c r="Q222" i="2"/>
  <c r="Y222" i="2" s="1"/>
  <c r="O222" i="2"/>
  <c r="N272" i="2"/>
  <c r="U272" i="2" s="1"/>
  <c r="O272" i="2"/>
  <c r="M220" i="2"/>
  <c r="T220" i="2" s="1"/>
  <c r="E269" i="2"/>
  <c r="P269" i="2"/>
  <c r="X269" i="2" s="1"/>
  <c r="G269" i="2"/>
  <c r="D166" i="2"/>
  <c r="N166" i="2"/>
  <c r="U166" i="2" s="1"/>
  <c r="M134" i="2"/>
  <c r="T134" i="2" s="1"/>
  <c r="O134" i="2"/>
  <c r="W134" i="2" s="1"/>
  <c r="Q103" i="2"/>
  <c r="Y103" i="2" s="1"/>
  <c r="G103" i="2"/>
  <c r="J112" i="2"/>
  <c r="H212" i="2"/>
  <c r="N147" i="2"/>
  <c r="U147" i="2" s="1"/>
  <c r="P215" i="2"/>
  <c r="X215" i="2" s="1"/>
  <c r="G205" i="2"/>
  <c r="I228" i="2"/>
  <c r="O195" i="2"/>
  <c r="M244" i="2"/>
  <c r="T244" i="2" s="1"/>
  <c r="I268" i="2"/>
  <c r="P285" i="2"/>
  <c r="J174" i="2"/>
  <c r="N163" i="2"/>
  <c r="U163" i="2" s="1"/>
  <c r="I223" i="2"/>
  <c r="N285" i="2"/>
  <c r="U285" i="2" s="1"/>
  <c r="H83" i="2"/>
  <c r="D278" i="2"/>
  <c r="I247" i="2"/>
  <c r="E245" i="2"/>
  <c r="J238" i="2"/>
  <c r="E201" i="2"/>
  <c r="H98" i="2"/>
  <c r="F98" i="2"/>
  <c r="O58" i="2"/>
  <c r="E58" i="2"/>
  <c r="N58" i="2"/>
  <c r="J92" i="2"/>
  <c r="X92" i="2" s="1"/>
  <c r="G92" i="2"/>
  <c r="P114" i="2"/>
  <c r="N114" i="2"/>
  <c r="U114" i="2" s="1"/>
  <c r="E114" i="2"/>
  <c r="Q218" i="2"/>
  <c r="Y218" i="2" s="1"/>
  <c r="N218" i="2"/>
  <c r="U218" i="2" s="1"/>
  <c r="F218" i="2"/>
  <c r="V75" i="2"/>
  <c r="W75" i="2"/>
  <c r="F96" i="2"/>
  <c r="Q5" i="25"/>
  <c r="P5" i="25"/>
  <c r="Y72" i="2"/>
  <c r="U296" i="2"/>
  <c r="Q3" i="25"/>
  <c r="Q2" i="25"/>
  <c r="P2" i="25"/>
  <c r="W129" i="2"/>
  <c r="P12" i="11"/>
  <c r="P243" i="2"/>
  <c r="H213" i="2"/>
  <c r="J96" i="2"/>
  <c r="Q231" i="2"/>
  <c r="Y231" i="2" s="1"/>
  <c r="H282" i="2"/>
  <c r="Q275" i="2"/>
  <c r="Y275" i="2" s="1"/>
  <c r="J233" i="2"/>
  <c r="E186" i="2"/>
  <c r="E131" i="2"/>
  <c r="D74" i="2"/>
  <c r="E304" i="2"/>
  <c r="M277" i="2"/>
  <c r="T277" i="2"/>
  <c r="I240" i="2"/>
  <c r="H231" i="2"/>
  <c r="E274" i="2"/>
  <c r="D243" i="2"/>
  <c r="D191" i="2"/>
  <c r="O270" i="2"/>
  <c r="P265" i="2"/>
  <c r="O71" i="2"/>
  <c r="D273" i="2"/>
  <c r="Q285" i="2"/>
  <c r="Y285" i="2" s="1"/>
  <c r="D258" i="2"/>
  <c r="H184" i="2"/>
  <c r="D98" i="2"/>
  <c r="O255" i="2"/>
  <c r="M71" i="2"/>
  <c r="G274" i="2"/>
  <c r="N232" i="2"/>
  <c r="U232" i="2" s="1"/>
  <c r="F78" i="2"/>
  <c r="M68" i="2"/>
  <c r="J234" i="2"/>
  <c r="G244" i="2"/>
  <c r="O265" i="2"/>
  <c r="M255" i="2"/>
  <c r="T255" i="2" s="1"/>
  <c r="Q232" i="2"/>
  <c r="Y232" i="2" s="1"/>
  <c r="H233" i="2"/>
  <c r="O283" i="2"/>
  <c r="D65" i="2"/>
  <c r="O163" i="2"/>
  <c r="E220" i="2"/>
  <c r="D76" i="2"/>
  <c r="J302" i="2"/>
  <c r="J85" i="2"/>
  <c r="D231" i="2"/>
  <c r="J275" i="2"/>
  <c r="Q298" i="2"/>
  <c r="Y298" i="2" s="1"/>
  <c r="I158" i="2"/>
  <c r="G121" i="2"/>
  <c r="P156" i="2"/>
  <c r="X156" i="2" s="1"/>
  <c r="G258" i="2"/>
  <c r="H156" i="2"/>
  <c r="E156" i="2"/>
  <c r="I178" i="2"/>
  <c r="P148" i="2"/>
  <c r="H148" i="2"/>
  <c r="Q148" i="2"/>
  <c r="Y148" i="2" s="1"/>
  <c r="I265" i="2"/>
  <c r="D263" i="2"/>
  <c r="J263" i="2"/>
  <c r="M176" i="2"/>
  <c r="T176" i="2" s="1"/>
  <c r="F176" i="2"/>
  <c r="H176" i="2"/>
  <c r="G158" i="2"/>
  <c r="N158" i="2"/>
  <c r="U158" i="2" s="1"/>
  <c r="E158" i="2"/>
  <c r="D158" i="2"/>
  <c r="Q158" i="2"/>
  <c r="Y158" i="2" s="1"/>
  <c r="J158" i="2"/>
  <c r="H299" i="2"/>
  <c r="J299" i="2"/>
  <c r="D299" i="2"/>
  <c r="F206" i="2"/>
  <c r="I208" i="2"/>
  <c r="Q206" i="2"/>
  <c r="Y206" i="2" s="1"/>
  <c r="J206" i="2"/>
  <c r="X206" i="2" s="1"/>
  <c r="E79" i="2"/>
  <c r="M79" i="2"/>
  <c r="T79" i="2" s="1"/>
  <c r="D79" i="2"/>
  <c r="I79" i="2"/>
  <c r="P79" i="2"/>
  <c r="P294" i="2"/>
  <c r="J294" i="2"/>
  <c r="F294" i="2"/>
  <c r="D260" i="2"/>
  <c r="P260" i="2"/>
  <c r="I262" i="2"/>
  <c r="H245" i="2"/>
  <c r="G245" i="2"/>
  <c r="N245" i="2"/>
  <c r="U245" i="2" s="1"/>
  <c r="Q245" i="2"/>
  <c r="Y245" i="2" s="1"/>
  <c r="M240" i="2"/>
  <c r="T240" i="2" s="1"/>
  <c r="P240" i="2"/>
  <c r="J240" i="2"/>
  <c r="E240" i="2"/>
  <c r="F155" i="2"/>
  <c r="D155" i="2"/>
  <c r="H155" i="2"/>
  <c r="Q155" i="2"/>
  <c r="Y155" i="2" s="1"/>
  <c r="N155" i="2"/>
  <c r="U155" i="2" s="1"/>
  <c r="F228" i="2"/>
  <c r="N228" i="2"/>
  <c r="U228" i="2" s="1"/>
  <c r="O228" i="2"/>
  <c r="W160" i="2"/>
  <c r="Y135" i="2"/>
  <c r="O86" i="2"/>
  <c r="J86" i="2"/>
  <c r="J274" i="2"/>
  <c r="X274" i="2" s="1"/>
  <c r="Q215" i="2"/>
  <c r="Y215" i="2" s="1"/>
  <c r="I217" i="2"/>
  <c r="D215" i="2"/>
  <c r="F215" i="2"/>
  <c r="N215" i="2"/>
  <c r="U215" i="2" s="1"/>
  <c r="G162" i="2"/>
  <c r="F162" i="2"/>
  <c r="D162" i="2"/>
  <c r="H93" i="2"/>
  <c r="J93" i="2"/>
  <c r="X93" i="2" s="1"/>
  <c r="N93" i="2"/>
  <c r="U93" i="2" s="1"/>
  <c r="H172" i="2"/>
  <c r="F172" i="2"/>
  <c r="D172" i="2"/>
  <c r="P299" i="2"/>
  <c r="N305" i="2"/>
  <c r="U305" i="2" s="1"/>
  <c r="D305" i="2"/>
  <c r="O305" i="2"/>
  <c r="W305" i="2" s="1"/>
  <c r="P305" i="2"/>
  <c r="X305" i="2" s="1"/>
  <c r="M305" i="2"/>
  <c r="T305" i="2" s="1"/>
  <c r="G305" i="2"/>
  <c r="I292" i="2"/>
  <c r="W292" i="2" s="1"/>
  <c r="N290" i="2"/>
  <c r="U290" i="2" s="1"/>
  <c r="E290" i="2"/>
  <c r="Q278" i="2"/>
  <c r="Y278" i="2" s="1"/>
  <c r="G278" i="2"/>
  <c r="D256" i="2"/>
  <c r="H256" i="2"/>
  <c r="J256" i="2"/>
  <c r="I258" i="2"/>
  <c r="E169" i="2"/>
  <c r="Q169" i="2"/>
  <c r="Y169" i="2" s="1"/>
  <c r="O169" i="2"/>
  <c r="N169" i="2"/>
  <c r="U169" i="2" s="1"/>
  <c r="X166" i="2"/>
  <c r="U236" i="2"/>
  <c r="J224" i="2"/>
  <c r="E224" i="2"/>
  <c r="M224" i="2"/>
  <c r="T224" i="2" s="1"/>
  <c r="H224" i="2"/>
  <c r="Q224" i="2"/>
  <c r="Y224" i="2" s="1"/>
  <c r="N199" i="2"/>
  <c r="U199" i="2" s="1"/>
  <c r="P199" i="2"/>
  <c r="F199" i="2"/>
  <c r="O199" i="2"/>
  <c r="D199" i="2"/>
  <c r="F102" i="2"/>
  <c r="G102" i="2"/>
  <c r="E102" i="2"/>
  <c r="O102" i="2"/>
  <c r="N102" i="2"/>
  <c r="U102" i="2" s="1"/>
  <c r="P102" i="2"/>
  <c r="Q194" i="2"/>
  <c r="Y194" i="2" s="1"/>
  <c r="M194" i="2"/>
  <c r="T194" i="2" s="1"/>
  <c r="I67" i="2"/>
  <c r="P15" i="11" s="1"/>
  <c r="G67" i="2"/>
  <c r="P13" i="11" s="1"/>
  <c r="O287" i="2"/>
  <c r="Q287" i="2"/>
  <c r="Y287" i="2" s="1"/>
  <c r="M287" i="2"/>
  <c r="T287" i="2" s="1"/>
  <c r="E287" i="2"/>
  <c r="I289" i="2"/>
  <c r="I181" i="2"/>
  <c r="G179" i="2"/>
  <c r="H179" i="2"/>
  <c r="I270" i="2"/>
  <c r="Q244" i="2"/>
  <c r="Y244" i="2" s="1"/>
  <c r="N274" i="2"/>
  <c r="U274" i="2" s="1"/>
  <c r="G234" i="2"/>
  <c r="F116" i="2"/>
  <c r="P209" i="2"/>
  <c r="X209" i="2" s="1"/>
  <c r="E302" i="2"/>
  <c r="O250" i="2"/>
  <c r="O168" i="2"/>
  <c r="P73" i="2"/>
  <c r="I70" i="2"/>
  <c r="M222" i="2"/>
  <c r="T222" i="2" s="1"/>
  <c r="N216" i="2"/>
  <c r="U216" i="2" s="1"/>
  <c r="E261" i="2"/>
  <c r="P226" i="2"/>
  <c r="X226" i="2" s="1"/>
  <c r="D205" i="2"/>
  <c r="M283" i="2"/>
  <c r="T283" i="2" s="1"/>
  <c r="E257" i="2"/>
  <c r="G257" i="2"/>
  <c r="N244" i="2"/>
  <c r="U244" i="2" s="1"/>
  <c r="N255" i="2"/>
  <c r="U255" i="2" s="1"/>
  <c r="Q242" i="2"/>
  <c r="Y242" i="2" s="1"/>
  <c r="O116" i="2"/>
  <c r="Q255" i="2"/>
  <c r="Y255" i="2" s="1"/>
  <c r="Q229" i="2"/>
  <c r="Y229" i="2" s="1"/>
  <c r="D96" i="2"/>
  <c r="O205" i="2"/>
  <c r="H255" i="2"/>
  <c r="J242" i="2"/>
  <c r="X242" i="2" s="1"/>
  <c r="J171" i="2"/>
  <c r="Q116" i="2"/>
  <c r="Y116" i="2" s="1"/>
  <c r="H302" i="2"/>
  <c r="J303" i="2"/>
  <c r="H192" i="2"/>
  <c r="G298" i="2"/>
  <c r="G255" i="2"/>
  <c r="O291" i="2"/>
  <c r="I244" i="2"/>
  <c r="N200" i="2"/>
  <c r="U200" i="2" s="1"/>
  <c r="O189" i="2"/>
  <c r="M200" i="2"/>
  <c r="T200" i="2" s="1"/>
  <c r="P298" i="2"/>
  <c r="Q291" i="2"/>
  <c r="Y291" i="2" s="1"/>
  <c r="H257" i="2"/>
  <c r="I202" i="2"/>
  <c r="I235" i="2"/>
  <c r="W235" i="2" s="1"/>
  <c r="I300" i="2"/>
  <c r="D244" i="2"/>
  <c r="F227" i="2"/>
  <c r="F223" i="2"/>
  <c r="I76" i="2"/>
  <c r="E300" i="2"/>
  <c r="Q216" i="2"/>
  <c r="Y216" i="2" s="1"/>
  <c r="Q12" i="11"/>
  <c r="AK12" i="25"/>
  <c r="AK9" i="25"/>
  <c r="R38" i="2"/>
  <c r="AD38" i="2" s="1"/>
  <c r="C4" i="6"/>
  <c r="U224" i="2"/>
  <c r="J167" i="2"/>
  <c r="D69" i="2"/>
  <c r="J265" i="2"/>
  <c r="I162" i="2"/>
  <c r="I169" i="2"/>
  <c r="N276" i="2"/>
  <c r="U276" i="2" s="1"/>
  <c r="Q276" i="2"/>
  <c r="Y276" i="2" s="1"/>
  <c r="J276" i="2"/>
  <c r="E276" i="2"/>
  <c r="D295" i="2"/>
  <c r="M295" i="2"/>
  <c r="T295" i="2" s="1"/>
  <c r="F295" i="2"/>
  <c r="O295" i="2"/>
  <c r="E295" i="2"/>
  <c r="P290" i="2"/>
  <c r="J290" i="2"/>
  <c r="O146" i="2"/>
  <c r="E146" i="2"/>
  <c r="P101" i="2"/>
  <c r="J101" i="2"/>
  <c r="N101" i="2"/>
  <c r="U101" i="2" s="1"/>
  <c r="O101" i="2"/>
  <c r="D101" i="2"/>
  <c r="G101" i="2"/>
  <c r="E101" i="2"/>
  <c r="P258" i="2"/>
  <c r="H258" i="2"/>
  <c r="O258" i="2"/>
  <c r="I260" i="2"/>
  <c r="Y235" i="2"/>
  <c r="P295" i="2"/>
  <c r="I267" i="2"/>
  <c r="M265" i="2"/>
  <c r="T265" i="2" s="1"/>
  <c r="N160" i="2"/>
  <c r="U160" i="2" s="1"/>
  <c r="G160" i="2"/>
  <c r="F160" i="2"/>
  <c r="D120" i="2"/>
  <c r="F120" i="2"/>
  <c r="E120" i="2"/>
  <c r="J120" i="2"/>
  <c r="O120" i="2"/>
  <c r="I122" i="2"/>
  <c r="P7" i="11"/>
  <c r="Q13" i="11"/>
  <c r="P233" i="2"/>
  <c r="M233" i="2"/>
  <c r="T233" i="2" s="1"/>
  <c r="G233" i="2"/>
  <c r="I66" i="2"/>
  <c r="D237" i="2"/>
  <c r="M226" i="2"/>
  <c r="T226" i="2" s="1"/>
  <c r="P131" i="2"/>
  <c r="P272" i="2"/>
  <c r="G300" i="2"/>
  <c r="O288" i="2"/>
  <c r="E216" i="2"/>
  <c r="J134" i="2"/>
  <c r="X134" i="2" s="1"/>
  <c r="S27" i="2"/>
  <c r="F69" i="5"/>
  <c r="F27" i="5"/>
  <c r="I7" i="9"/>
  <c r="D7" i="9"/>
  <c r="T174" i="2"/>
  <c r="T136" i="2"/>
  <c r="O11" i="9"/>
  <c r="O6" i="9"/>
  <c r="G46" i="6"/>
  <c r="E9" i="9"/>
  <c r="E8" i="9"/>
  <c r="D9" i="9"/>
  <c r="D8" i="9"/>
  <c r="D42" i="6"/>
  <c r="E60" i="6"/>
  <c r="E42" i="6"/>
  <c r="B60" i="6"/>
  <c r="D60" i="6"/>
  <c r="V28" i="2"/>
  <c r="S22" i="2"/>
  <c r="S33" i="2"/>
  <c r="R34" i="2"/>
  <c r="U77" i="2"/>
  <c r="T210" i="2"/>
  <c r="U252" i="2"/>
  <c r="T80" i="2"/>
  <c r="Y269" i="2"/>
  <c r="U287" i="2"/>
  <c r="T252" i="2"/>
  <c r="T113" i="2"/>
  <c r="U269" i="2"/>
  <c r="V153" i="2"/>
  <c r="U227" i="2"/>
  <c r="U222" i="2"/>
  <c r="Y234" i="2"/>
  <c r="T298" i="2"/>
  <c r="W213" i="2"/>
  <c r="X106" i="2"/>
  <c r="Y84" i="2"/>
  <c r="Q78" i="9"/>
  <c r="R49" i="2"/>
  <c r="S49" i="2"/>
  <c r="AB49" i="2"/>
  <c r="S7" i="19"/>
  <c r="Q6" i="19"/>
  <c r="Q2" i="20"/>
  <c r="Q2" i="10"/>
  <c r="Q3" i="22"/>
  <c r="P2" i="20"/>
  <c r="R27" i="2"/>
  <c r="AB27" i="2"/>
  <c r="AG27" i="2"/>
  <c r="O80" i="9"/>
  <c r="Q23" i="12"/>
  <c r="Z2" i="25"/>
  <c r="Q17" i="12"/>
  <c r="Q4" i="16"/>
  <c r="S4" i="2"/>
  <c r="AB4" i="2"/>
  <c r="AG4" i="2"/>
  <c r="Z5" i="25"/>
  <c r="P7" i="16"/>
  <c r="Q4" i="24"/>
  <c r="Z4" i="24"/>
  <c r="AC2" i="25"/>
  <c r="Q16" i="10"/>
  <c r="P2" i="12"/>
  <c r="Q2" i="12"/>
  <c r="AB2" i="12"/>
  <c r="Q4" i="19"/>
  <c r="Q3" i="18"/>
  <c r="P4" i="17"/>
  <c r="P3" i="22"/>
  <c r="Q15" i="10"/>
  <c r="P18" i="10"/>
  <c r="S25" i="2"/>
  <c r="AB25" i="2" s="1"/>
  <c r="AD25" i="2"/>
  <c r="P18" i="12"/>
  <c r="P23" i="12"/>
  <c r="R2" i="25"/>
  <c r="Q2" i="16"/>
  <c r="P3" i="17"/>
  <c r="P2" i="22"/>
  <c r="Y2" i="25"/>
  <c r="Q3" i="10"/>
  <c r="AE7" i="2"/>
  <c r="AF7" i="2"/>
  <c r="AA14" i="2"/>
  <c r="P15" i="12"/>
  <c r="Q21" i="10"/>
  <c r="Q18" i="12"/>
  <c r="Q3" i="16"/>
  <c r="P16" i="10"/>
  <c r="Q19" i="10"/>
  <c r="Q4" i="18"/>
  <c r="S17" i="2"/>
  <c r="R9" i="2"/>
  <c r="AB9" i="2" s="1"/>
  <c r="Q16" i="12"/>
  <c r="P24" i="12"/>
  <c r="Q9" i="16"/>
  <c r="Q3" i="19"/>
  <c r="R22" i="2"/>
  <c r="AE22" i="2" s="1"/>
  <c r="P2" i="16"/>
  <c r="P4" i="25"/>
  <c r="Q15" i="25"/>
  <c r="P9" i="16"/>
  <c r="Q22" i="10"/>
  <c r="AE27" i="2"/>
  <c r="P3" i="12"/>
  <c r="Q22" i="12"/>
  <c r="P5" i="16"/>
  <c r="R43" i="2"/>
  <c r="R35" i="2"/>
  <c r="Z35" i="2" s="1"/>
  <c r="AC35" i="2"/>
  <c r="AH35" i="2"/>
  <c r="R8" i="2"/>
  <c r="P15" i="10"/>
  <c r="Q20" i="10"/>
  <c r="P17" i="12"/>
  <c r="Q19" i="12"/>
  <c r="P19" i="12"/>
  <c r="Q17" i="10"/>
  <c r="P17" i="10"/>
  <c r="P25" i="10"/>
  <c r="Q25" i="10"/>
  <c r="AA10" i="2"/>
  <c r="AD10" i="2"/>
  <c r="AC10" i="2"/>
  <c r="AH10" i="2"/>
  <c r="Q24" i="12"/>
  <c r="P2" i="19"/>
  <c r="Q2" i="19"/>
  <c r="P3" i="10"/>
  <c r="Q5" i="19"/>
  <c r="P5" i="19"/>
  <c r="Y3" i="24"/>
  <c r="Z3" i="24"/>
  <c r="P4" i="18"/>
  <c r="P20" i="10"/>
  <c r="P16" i="12"/>
  <c r="P24" i="10"/>
  <c r="Q24" i="10"/>
  <c r="R3" i="24"/>
  <c r="P8" i="16"/>
  <c r="Q8" i="16"/>
  <c r="Q3" i="17"/>
  <c r="Q3" i="20"/>
  <c r="P3" i="20"/>
  <c r="P3" i="19"/>
  <c r="Q15" i="12"/>
  <c r="P23" i="10"/>
  <c r="Q25" i="12"/>
  <c r="P6" i="16"/>
  <c r="S36" i="2"/>
  <c r="P3" i="18"/>
  <c r="AE14" i="2"/>
  <c r="AI14" i="2"/>
  <c r="Q18" i="10"/>
  <c r="Q20" i="12"/>
  <c r="Q4" i="17"/>
  <c r="P6" i="19"/>
  <c r="P3" i="25"/>
  <c r="R2" i="24"/>
  <c r="S41" i="2"/>
  <c r="Z7" i="2"/>
  <c r="P2" i="10"/>
  <c r="X2" i="10"/>
  <c r="P4" i="19"/>
  <c r="Q2" i="22"/>
  <c r="R51" i="2"/>
  <c r="AB51" i="2" s="1"/>
  <c r="Q2" i="17"/>
  <c r="Q2" i="18"/>
  <c r="S19" i="2"/>
  <c r="Z19" i="2"/>
  <c r="P19" i="10"/>
  <c r="P2" i="17"/>
  <c r="P2" i="18"/>
  <c r="Z2" i="18"/>
  <c r="Q3" i="12"/>
  <c r="P22" i="12"/>
  <c r="Q5" i="24"/>
  <c r="AC5" i="24"/>
  <c r="R5" i="25"/>
  <c r="Q21" i="12"/>
  <c r="P21" i="12"/>
  <c r="P3" i="16"/>
  <c r="Q23" i="10"/>
  <c r="Q7" i="16"/>
  <c r="S50" i="2"/>
  <c r="Q4" i="25"/>
  <c r="AD5" i="25"/>
  <c r="P22" i="10"/>
  <c r="S51" i="2"/>
  <c r="Q6" i="16"/>
  <c r="Y5" i="25"/>
  <c r="Z2" i="24"/>
  <c r="P4" i="16"/>
  <c r="AA7" i="2"/>
  <c r="AI3" i="24"/>
  <c r="AJ3" i="24"/>
  <c r="S43" i="2"/>
  <c r="AB2" i="24"/>
  <c r="AG2" i="24"/>
  <c r="AB14" i="2"/>
  <c r="AG14" i="2" s="1"/>
  <c r="P20" i="12"/>
  <c r="AA11" i="2"/>
  <c r="P21" i="10"/>
  <c r="P25" i="12"/>
  <c r="Q5" i="16"/>
  <c r="Y2" i="24"/>
  <c r="Q3" i="23"/>
  <c r="AB2" i="25"/>
  <c r="AG2" i="25"/>
  <c r="AA2" i="25"/>
  <c r="AF2" i="25"/>
  <c r="R5" i="23"/>
  <c r="Q5" i="23"/>
  <c r="AD2" i="24"/>
  <c r="AH2" i="24"/>
  <c r="AC3" i="24"/>
  <c r="AA3" i="24"/>
  <c r="AF3" i="24"/>
  <c r="AC5" i="25"/>
  <c r="AB5" i="25"/>
  <c r="AG5" i="25"/>
  <c r="AI2" i="24"/>
  <c r="AA5" i="25"/>
  <c r="AF5" i="25"/>
  <c r="AG100" i="15"/>
  <c r="G63" i="6"/>
  <c r="H63" i="6"/>
  <c r="F63" i="6"/>
  <c r="P11" i="9"/>
  <c r="P13" i="9"/>
  <c r="B43" i="6"/>
  <c r="D63" i="6"/>
  <c r="AG85" i="15"/>
  <c r="C63" i="6"/>
  <c r="AA2" i="24"/>
  <c r="AF2" i="24"/>
  <c r="AB3" i="24"/>
  <c r="AG3" i="24"/>
  <c r="AG86" i="15"/>
  <c r="Q73" i="9"/>
  <c r="P5" i="9"/>
  <c r="P6" i="9"/>
  <c r="B44" i="6"/>
  <c r="O13" i="9"/>
  <c r="G44" i="6"/>
  <c r="F44" i="6"/>
  <c r="AG87" i="15"/>
  <c r="AC2" i="24"/>
  <c r="AG88" i="15"/>
  <c r="P73" i="9"/>
  <c r="AD3" i="24"/>
  <c r="AG89" i="15"/>
  <c r="O73" i="9"/>
  <c r="AG90" i="15"/>
  <c r="B63" i="6"/>
  <c r="AG91" i="15"/>
  <c r="R2" i="23"/>
  <c r="AG92" i="15"/>
  <c r="R4" i="23"/>
  <c r="AG93" i="15"/>
  <c r="Y14" i="9"/>
  <c r="Y18" i="9"/>
  <c r="Q5" i="9"/>
  <c r="Q6" i="9"/>
  <c r="C44" i="6"/>
  <c r="AG94" i="15"/>
  <c r="S11" i="9"/>
  <c r="S13" i="9"/>
  <c r="E43" i="6"/>
  <c r="G36" i="6"/>
  <c r="AG95" i="15"/>
  <c r="R5" i="9"/>
  <c r="R6" i="9"/>
  <c r="D44" i="6"/>
  <c r="Q77" i="9"/>
  <c r="AG96" i="15"/>
  <c r="Q4" i="23"/>
  <c r="R11" i="9"/>
  <c r="R13" i="9"/>
  <c r="D43" i="6"/>
  <c r="AG97" i="15"/>
  <c r="AG98" i="15"/>
  <c r="S5" i="9"/>
  <c r="S6" i="9"/>
  <c r="E44" i="6"/>
  <c r="Q2" i="23"/>
  <c r="AD2" i="25"/>
  <c r="AI5" i="25"/>
  <c r="AJ5" i="25"/>
  <c r="AG99" i="15"/>
  <c r="R3" i="23"/>
  <c r="B25" i="6"/>
  <c r="Q11" i="9"/>
  <c r="Q13" i="9"/>
  <c r="C43" i="6"/>
  <c r="E63" i="6"/>
  <c r="J168" i="2"/>
  <c r="N168" i="2"/>
  <c r="U168" i="2" s="1"/>
  <c r="N293" i="2"/>
  <c r="U293" i="2" s="1"/>
  <c r="P8" i="11"/>
  <c r="R13" i="11"/>
  <c r="E200" i="2"/>
  <c r="O200" i="2"/>
  <c r="Q200" i="2"/>
  <c r="Y200" i="2" s="1"/>
  <c r="Q190" i="2"/>
  <c r="Y190" i="2" s="1"/>
  <c r="N190" i="2"/>
  <c r="U190" i="2" s="1"/>
  <c r="E190" i="2"/>
  <c r="I65" i="2"/>
  <c r="O65" i="2"/>
  <c r="N65" i="2"/>
  <c r="J65" i="2"/>
  <c r="H303" i="2"/>
  <c r="P303" i="2"/>
  <c r="F251" i="2"/>
  <c r="M251" i="2"/>
  <c r="T251" i="2" s="1"/>
  <c r="P251" i="2"/>
  <c r="Q239" i="2"/>
  <c r="Y239" i="2" s="1"/>
  <c r="E239" i="2"/>
  <c r="H239" i="2"/>
  <c r="G229" i="2"/>
  <c r="I231" i="2"/>
  <c r="M165" i="2"/>
  <c r="T165" i="2" s="1"/>
  <c r="Q165" i="2"/>
  <c r="Y165" i="2"/>
  <c r="J165" i="2"/>
  <c r="P155" i="2"/>
  <c r="M155" i="2"/>
  <c r="T155" i="2" s="1"/>
  <c r="J131" i="2"/>
  <c r="Q131" i="2"/>
  <c r="Y131" i="2" s="1"/>
  <c r="O106" i="2"/>
  <c r="G106" i="2"/>
  <c r="Q106" i="2"/>
  <c r="Y106" i="2" s="1"/>
  <c r="H207" i="2"/>
  <c r="O207" i="2"/>
  <c r="J246" i="2"/>
  <c r="I248" i="2"/>
  <c r="E231" i="2"/>
  <c r="G93" i="2"/>
  <c r="O93" i="2"/>
  <c r="M103" i="2"/>
  <c r="T103" i="2" s="1"/>
  <c r="F103" i="2"/>
  <c r="N270" i="2"/>
  <c r="U270" i="2" s="1"/>
  <c r="I218" i="2"/>
  <c r="F216" i="2"/>
  <c r="I184" i="2"/>
  <c r="O182" i="2"/>
  <c r="W182" i="2" s="1"/>
  <c r="N123" i="2"/>
  <c r="U123" i="2" s="1"/>
  <c r="P123" i="2"/>
  <c r="G123" i="2"/>
  <c r="E199" i="2"/>
  <c r="M199" i="2"/>
  <c r="T199" i="2" s="1"/>
  <c r="Q199" i="2"/>
  <c r="Y199" i="2" s="1"/>
  <c r="M100" i="2"/>
  <c r="T100" i="2" s="1"/>
  <c r="Q100" i="2"/>
  <c r="Y100" i="2" s="1"/>
  <c r="G293" i="2"/>
  <c r="G238" i="2"/>
  <c r="H238" i="2"/>
  <c r="W161" i="2"/>
  <c r="T144" i="2"/>
  <c r="I72" i="2"/>
  <c r="F72" i="2"/>
  <c r="M211" i="2"/>
  <c r="T211" i="2" s="1"/>
  <c r="H211" i="2"/>
  <c r="F179" i="2"/>
  <c r="N179" i="2"/>
  <c r="U179" i="2" s="1"/>
  <c r="I77" i="2"/>
  <c r="M77" i="2"/>
  <c r="T77" i="2" s="1"/>
  <c r="M231" i="2"/>
  <c r="T231" i="2" s="1"/>
  <c r="G97" i="2"/>
  <c r="Q97" i="2"/>
  <c r="Y97" i="2" s="1"/>
  <c r="O279" i="2"/>
  <c r="W279" i="2" s="1"/>
  <c r="J235" i="2"/>
  <c r="D235" i="2"/>
  <c r="N230" i="2"/>
  <c r="U230" i="2" s="1"/>
  <c r="G230" i="2"/>
  <c r="Q230" i="2"/>
  <c r="Y230" i="2" s="1"/>
  <c r="P191" i="2"/>
  <c r="E191" i="2"/>
  <c r="N191" i="2"/>
  <c r="U191" i="2" s="1"/>
  <c r="F146" i="2"/>
  <c r="D146" i="2"/>
  <c r="G231" i="2"/>
  <c r="O303" i="2"/>
  <c r="M225" i="2"/>
  <c r="T225" i="2" s="1"/>
  <c r="Q225" i="2"/>
  <c r="Y225" i="2" s="1"/>
  <c r="Q220" i="2"/>
  <c r="Y220" i="2" s="1"/>
  <c r="D220" i="2"/>
  <c r="I222" i="2"/>
  <c r="P171" i="2"/>
  <c r="O171" i="2"/>
  <c r="G171" i="2"/>
  <c r="J151" i="2"/>
  <c r="X151" i="2" s="1"/>
  <c r="M151" i="2"/>
  <c r="T151" i="2" s="1"/>
  <c r="Q303" i="2"/>
  <c r="Y303" i="2" s="1"/>
  <c r="N254" i="2"/>
  <c r="U254" i="2" s="1"/>
  <c r="H254" i="2"/>
  <c r="U141" i="2"/>
  <c r="M303" i="2"/>
  <c r="T303" i="2" s="1"/>
  <c r="X188" i="2"/>
  <c r="O268" i="2"/>
  <c r="Q69" i="2"/>
  <c r="Y69" i="2" s="1"/>
  <c r="D274" i="2"/>
  <c r="Q249" i="2"/>
  <c r="Y249" i="2" s="1"/>
  <c r="N188" i="2"/>
  <c r="U188" i="2" s="1"/>
  <c r="I294" i="2"/>
  <c r="E285" i="2"/>
  <c r="P292" i="2"/>
  <c r="G249" i="2"/>
  <c r="N301" i="2"/>
  <c r="U301" i="2" s="1"/>
  <c r="Q223" i="2"/>
  <c r="Y223" i="2" s="1"/>
  <c r="AA9" i="16"/>
  <c r="AF9" i="16"/>
  <c r="AB16" i="10"/>
  <c r="AC2" i="20"/>
  <c r="AH22" i="10"/>
  <c r="AI22" i="10"/>
  <c r="AC27" i="2"/>
  <c r="AC16" i="12"/>
  <c r="Z25" i="10"/>
  <c r="AE25" i="10"/>
  <c r="D12" i="9"/>
  <c r="E12" i="9"/>
  <c r="G3" i="6"/>
  <c r="F3" i="6"/>
  <c r="I8" i="9"/>
  <c r="I9" i="9"/>
  <c r="I10" i="9"/>
  <c r="Y3" i="22"/>
  <c r="AC5" i="19"/>
  <c r="Z16" i="12"/>
  <c r="AE16" i="12"/>
  <c r="Y4" i="24"/>
  <c r="AD2" i="20"/>
  <c r="AE2" i="20"/>
  <c r="AC18" i="10"/>
  <c r="AG18" i="10"/>
  <c r="Y4" i="25"/>
  <c r="AC4" i="24"/>
  <c r="AA2" i="22"/>
  <c r="AF2" i="22"/>
  <c r="AA16" i="10"/>
  <c r="AF16" i="10"/>
  <c r="AC23" i="12"/>
  <c r="AG23" i="12"/>
  <c r="AI3" i="22"/>
  <c r="AJ3" i="22"/>
  <c r="AC2" i="17"/>
  <c r="AI7" i="2"/>
  <c r="Z18" i="10"/>
  <c r="AE18" i="10"/>
  <c r="AC16" i="10"/>
  <c r="AD16" i="10"/>
  <c r="AA2" i="16"/>
  <c r="AF2" i="16"/>
  <c r="AA2" i="20"/>
  <c r="AF2" i="20"/>
  <c r="Y3" i="18"/>
  <c r="AD9" i="16"/>
  <c r="AH9" i="16"/>
  <c r="AB2" i="20"/>
  <c r="AG2" i="20"/>
  <c r="AC9" i="16"/>
  <c r="AB16" i="12"/>
  <c r="AA25" i="10"/>
  <c r="AF25" i="10"/>
  <c r="AB2" i="17"/>
  <c r="AG2" i="17"/>
  <c r="Z2" i="12"/>
  <c r="AE2" i="12"/>
  <c r="AB15" i="12"/>
  <c r="AA2" i="18"/>
  <c r="AF2" i="18"/>
  <c r="AD49" i="2"/>
  <c r="AI9" i="16"/>
  <c r="AJ9" i="16"/>
  <c r="AA2" i="12"/>
  <c r="AF2" i="12"/>
  <c r="AA3" i="22"/>
  <c r="AF3" i="22"/>
  <c r="AB3" i="22"/>
  <c r="AG3" i="22"/>
  <c r="AI2" i="18"/>
  <c r="AJ2" i="18"/>
  <c r="Z3" i="22"/>
  <c r="AC2" i="12"/>
  <c r="AG2" i="12"/>
  <c r="AA16" i="12"/>
  <c r="AF16" i="12"/>
  <c r="AD3" i="22"/>
  <c r="AE3" i="22"/>
  <c r="R4" i="24"/>
  <c r="Y2" i="20"/>
  <c r="AD4" i="24"/>
  <c r="AE4" i="24"/>
  <c r="Z2" i="20"/>
  <c r="AI2" i="20"/>
  <c r="AJ2" i="20"/>
  <c r="R2" i="20"/>
  <c r="AC21" i="10"/>
  <c r="AA6" i="19"/>
  <c r="AF6" i="19"/>
  <c r="AD4" i="2"/>
  <c r="AI2" i="16"/>
  <c r="AJ2" i="16"/>
  <c r="AB4" i="24"/>
  <c r="AG4" i="24"/>
  <c r="AA23" i="10"/>
  <c r="AF23" i="10"/>
  <c r="Y18" i="12"/>
  <c r="AA17" i="12"/>
  <c r="AF17" i="12"/>
  <c r="AH23" i="12"/>
  <c r="AI23" i="12"/>
  <c r="Z2" i="19"/>
  <c r="AH2" i="12"/>
  <c r="AI2" i="12"/>
  <c r="AC18" i="12"/>
  <c r="AD18" i="12"/>
  <c r="AC3" i="22"/>
  <c r="AC15" i="12"/>
  <c r="AB22" i="10"/>
  <c r="AI4" i="18"/>
  <c r="AJ4" i="18"/>
  <c r="AC2" i="16"/>
  <c r="AA23" i="12"/>
  <c r="AF23" i="12"/>
  <c r="AH16" i="10"/>
  <c r="AI16" i="10"/>
  <c r="AD2" i="18"/>
  <c r="AE2" i="18"/>
  <c r="Z18" i="12"/>
  <c r="AE18" i="12"/>
  <c r="AC17" i="12"/>
  <c r="AD17" i="12"/>
  <c r="AC24" i="12"/>
  <c r="AG24" i="12"/>
  <c r="X23" i="12"/>
  <c r="Y23" i="12"/>
  <c r="R3" i="22"/>
  <c r="Y4" i="19"/>
  <c r="AB9" i="16"/>
  <c r="AG9" i="16"/>
  <c r="AB23" i="12"/>
  <c r="AH25" i="10"/>
  <c r="AI25" i="10"/>
  <c r="AH21" i="12"/>
  <c r="AI21" i="12"/>
  <c r="AH19" i="12"/>
  <c r="AI19" i="12"/>
  <c r="AH17" i="12"/>
  <c r="AI17" i="12"/>
  <c r="AH22" i="12"/>
  <c r="AI22" i="12"/>
  <c r="AA3" i="17"/>
  <c r="AF3" i="17"/>
  <c r="Y2" i="12"/>
  <c r="AB25" i="10"/>
  <c r="Z17" i="12"/>
  <c r="AE17" i="12"/>
  <c r="AA7" i="16"/>
  <c r="AF7" i="16"/>
  <c r="R2" i="18"/>
  <c r="AB2" i="18"/>
  <c r="AG2" i="18"/>
  <c r="Z24" i="10"/>
  <c r="AE24" i="10"/>
  <c r="AC5" i="16"/>
  <c r="Y2" i="16"/>
  <c r="AB2" i="16"/>
  <c r="AG2" i="16"/>
  <c r="R2" i="16"/>
  <c r="AD2" i="16"/>
  <c r="AE2" i="16"/>
  <c r="AA30" i="2"/>
  <c r="AC30" i="2"/>
  <c r="Z5" i="19"/>
  <c r="R4" i="17"/>
  <c r="AD4" i="17"/>
  <c r="AE4" i="17"/>
  <c r="AA25" i="2"/>
  <c r="AB4" i="16"/>
  <c r="AG4" i="16"/>
  <c r="AD4" i="16"/>
  <c r="AH4" i="16"/>
  <c r="Y7" i="16"/>
  <c r="AC2" i="22"/>
  <c r="AI2" i="22"/>
  <c r="AJ2" i="22"/>
  <c r="AE35" i="2"/>
  <c r="AF35" i="2"/>
  <c r="AD2" i="22"/>
  <c r="AH2" i="22"/>
  <c r="AC7" i="16"/>
  <c r="AB15" i="10"/>
  <c r="AC15" i="10"/>
  <c r="AD15" i="10"/>
  <c r="Z15" i="10"/>
  <c r="AE15" i="10"/>
  <c r="AB2" i="22"/>
  <c r="AG2" i="22"/>
  <c r="AH15" i="10"/>
  <c r="AI15" i="10"/>
  <c r="X15" i="10"/>
  <c r="Z20" i="12"/>
  <c r="AE20" i="12"/>
  <c r="Z8" i="16"/>
  <c r="Z17" i="10"/>
  <c r="AE17" i="10"/>
  <c r="AD3" i="19"/>
  <c r="AH3" i="19"/>
  <c r="AB3" i="12"/>
  <c r="AI6" i="19"/>
  <c r="AJ6" i="19"/>
  <c r="AD8" i="16"/>
  <c r="AE8" i="16"/>
  <c r="AI5" i="19"/>
  <c r="AJ5" i="19"/>
  <c r="R5" i="19"/>
  <c r="AI8" i="16"/>
  <c r="AJ8" i="16"/>
  <c r="AH20" i="12"/>
  <c r="AI20" i="12"/>
  <c r="AH18" i="12"/>
  <c r="AI18" i="12"/>
  <c r="X19" i="10"/>
  <c r="Z4" i="2"/>
  <c r="AA24" i="12"/>
  <c r="AF24" i="12"/>
  <c r="AC6" i="19"/>
  <c r="AH24" i="12"/>
  <c r="AI24" i="12"/>
  <c r="AH17" i="10"/>
  <c r="AI17" i="10"/>
  <c r="AC8" i="16"/>
  <c r="Z24" i="12"/>
  <c r="AE24" i="12"/>
  <c r="X2" i="12"/>
  <c r="Z2" i="17"/>
  <c r="AC24" i="10"/>
  <c r="AG24" i="10"/>
  <c r="AA5" i="19"/>
  <c r="AF5" i="19"/>
  <c r="R2" i="22"/>
  <c r="AD5" i="19"/>
  <c r="AH5" i="19"/>
  <c r="X20" i="10"/>
  <c r="AA8" i="16"/>
  <c r="AF8" i="16"/>
  <c r="R8" i="16"/>
  <c r="Y25" i="10"/>
  <c r="AB24" i="12"/>
  <c r="Y15" i="10"/>
  <c r="AH3" i="12"/>
  <c r="AI3" i="12"/>
  <c r="AC3" i="19"/>
  <c r="AA20" i="10"/>
  <c r="AF20" i="10"/>
  <c r="AE51" i="2"/>
  <c r="AF51" i="2"/>
  <c r="Z23" i="10"/>
  <c r="AE23" i="10"/>
  <c r="AB25" i="12"/>
  <c r="AB5" i="19"/>
  <c r="AG5" i="19"/>
  <c r="Z23" i="12"/>
  <c r="AE23" i="12"/>
  <c r="AC19" i="12"/>
  <c r="AD19" i="12"/>
  <c r="AB19" i="12"/>
  <c r="AB5" i="24"/>
  <c r="AG5" i="24"/>
  <c r="AC22" i="12"/>
  <c r="AG22" i="12"/>
  <c r="AD5" i="16"/>
  <c r="AE5" i="16"/>
  <c r="AA3" i="12"/>
  <c r="AF3" i="12"/>
  <c r="AA22" i="10"/>
  <c r="AF22" i="10"/>
  <c r="AA22" i="12"/>
  <c r="AF22" i="12"/>
  <c r="AD3" i="18"/>
  <c r="AE3" i="18"/>
  <c r="AB20" i="10"/>
  <c r="AC23" i="10"/>
  <c r="AD23" i="10"/>
  <c r="AI3" i="18"/>
  <c r="AJ3" i="18"/>
  <c r="AA4" i="17"/>
  <c r="AF4" i="17"/>
  <c r="AE19" i="2"/>
  <c r="AF19" i="2"/>
  <c r="X22" i="12"/>
  <c r="AC19" i="2"/>
  <c r="AH19" i="2"/>
  <c r="AC25" i="10"/>
  <c r="AD25" i="10"/>
  <c r="AH19" i="10"/>
  <c r="AI19" i="10"/>
  <c r="AH23" i="10"/>
  <c r="AI23" i="10"/>
  <c r="AI4" i="17"/>
  <c r="AJ4" i="17"/>
  <c r="Z19" i="10"/>
  <c r="AE19" i="10"/>
  <c r="AC2" i="10"/>
  <c r="AG2" i="10"/>
  <c r="AA18" i="12"/>
  <c r="AF18" i="12"/>
  <c r="Y8" i="16"/>
  <c r="AA6" i="16"/>
  <c r="AF6" i="16"/>
  <c r="Y24" i="12"/>
  <c r="AB4" i="17"/>
  <c r="AG4" i="17"/>
  <c r="AA15" i="10"/>
  <c r="AF15" i="10"/>
  <c r="AD19" i="2"/>
  <c r="X25" i="10"/>
  <c r="X16" i="10"/>
  <c r="X18" i="12"/>
  <c r="Z21" i="12"/>
  <c r="AE21" i="12"/>
  <c r="Y5" i="19"/>
  <c r="AC20" i="10"/>
  <c r="AD20" i="10"/>
  <c r="Z20" i="10"/>
  <c r="AE20" i="10"/>
  <c r="AB3" i="18"/>
  <c r="AG3" i="18"/>
  <c r="AB23" i="10"/>
  <c r="AA25" i="12"/>
  <c r="AF25" i="12"/>
  <c r="AH25" i="12"/>
  <c r="AI25" i="12"/>
  <c r="AH20" i="10"/>
  <c r="AI20" i="10"/>
  <c r="AC3" i="18"/>
  <c r="AB19" i="2"/>
  <c r="AG19" i="2"/>
  <c r="Z30" i="2"/>
  <c r="AD3" i="16"/>
  <c r="AE3" i="16"/>
  <c r="AA3" i="16"/>
  <c r="AF3" i="16"/>
  <c r="AB3" i="16"/>
  <c r="AG3" i="16"/>
  <c r="Z19" i="12"/>
  <c r="AE19" i="12"/>
  <c r="AA19" i="12"/>
  <c r="AF19" i="12"/>
  <c r="AC3" i="12"/>
  <c r="AG3" i="12"/>
  <c r="Z3" i="12"/>
  <c r="AE3" i="12"/>
  <c r="Q6" i="18"/>
  <c r="AB4" i="18"/>
  <c r="AG4" i="18"/>
  <c r="AC17" i="10"/>
  <c r="AD17" i="10"/>
  <c r="AA17" i="10"/>
  <c r="AF17" i="10"/>
  <c r="AB17" i="10"/>
  <c r="Y17" i="12"/>
  <c r="AB17" i="12"/>
  <c r="X17" i="12"/>
  <c r="P7" i="19"/>
  <c r="AB2" i="19"/>
  <c r="AG2" i="19"/>
  <c r="AC2" i="19"/>
  <c r="AD2" i="19"/>
  <c r="AE2" i="19"/>
  <c r="AB24" i="10"/>
  <c r="X24" i="10"/>
  <c r="AH24" i="10"/>
  <c r="AI24" i="10"/>
  <c r="AA24" i="10"/>
  <c r="AF24" i="10"/>
  <c r="Y24" i="10"/>
  <c r="Z6" i="19"/>
  <c r="AB6" i="19"/>
  <c r="AG6" i="19"/>
  <c r="AD6" i="19"/>
  <c r="AE6" i="19"/>
  <c r="Z4" i="19"/>
  <c r="AB4" i="19"/>
  <c r="AG4" i="19"/>
  <c r="AA4" i="19"/>
  <c r="AF4" i="19"/>
  <c r="AC4" i="19"/>
  <c r="Y2" i="10"/>
  <c r="AH2" i="10"/>
  <c r="AI2" i="10"/>
  <c r="Z2" i="10"/>
  <c r="AE2" i="10"/>
  <c r="AA2" i="10"/>
  <c r="AF2" i="10"/>
  <c r="AI2" i="17"/>
  <c r="AJ2" i="17"/>
  <c r="AI4" i="16"/>
  <c r="AJ4" i="16"/>
  <c r="AA4" i="16"/>
  <c r="AF4" i="16"/>
  <c r="Z3" i="25"/>
  <c r="AC3" i="25"/>
  <c r="AI3" i="25"/>
  <c r="AJ3" i="25"/>
  <c r="AB3" i="25"/>
  <c r="AG3" i="25"/>
  <c r="Z25" i="12"/>
  <c r="AE25" i="12"/>
  <c r="AA3" i="25"/>
  <c r="AF3" i="25"/>
  <c r="X19" i="12"/>
  <c r="Y3" i="17"/>
  <c r="AC3" i="17"/>
  <c r="AA4" i="24"/>
  <c r="AF4" i="24"/>
  <c r="Z3" i="20"/>
  <c r="AB8" i="16"/>
  <c r="AG8" i="16"/>
  <c r="AA21" i="12"/>
  <c r="AF21" i="12"/>
  <c r="Z2" i="22"/>
  <c r="X23" i="10"/>
  <c r="Y17" i="10"/>
  <c r="AI4" i="24"/>
  <c r="AJ4" i="24"/>
  <c r="Y20" i="10"/>
  <c r="X16" i="12"/>
  <c r="AB18" i="12"/>
  <c r="R9" i="16"/>
  <c r="AA19" i="2"/>
  <c r="Z22" i="12"/>
  <c r="AE22" i="12"/>
  <c r="AD6" i="16"/>
  <c r="AE6" i="16"/>
  <c r="Z7" i="16"/>
  <c r="AI7" i="16"/>
  <c r="AJ7" i="16"/>
  <c r="P10" i="16"/>
  <c r="Y22" i="12"/>
  <c r="Z2" i="16"/>
  <c r="Z16" i="10"/>
  <c r="AE16" i="10"/>
  <c r="Z41" i="2"/>
  <c r="AB22" i="12"/>
  <c r="X24" i="12"/>
  <c r="Y16" i="10"/>
  <c r="AD3" i="20"/>
  <c r="AE3" i="20"/>
  <c r="AB3" i="20"/>
  <c r="AG3" i="20"/>
  <c r="AC6" i="16"/>
  <c r="AI3" i="20"/>
  <c r="AJ3" i="20"/>
  <c r="AB21" i="12"/>
  <c r="AA3" i="20"/>
  <c r="AF3" i="20"/>
  <c r="AD50" i="2"/>
  <c r="R6" i="19"/>
  <c r="Y3" i="12"/>
  <c r="Z4" i="17"/>
  <c r="R2" i="19"/>
  <c r="AA2" i="19"/>
  <c r="AF2" i="19"/>
  <c r="Y3" i="25"/>
  <c r="Y3" i="20"/>
  <c r="Y2" i="19"/>
  <c r="Y5" i="16"/>
  <c r="Y9" i="16"/>
  <c r="R3" i="18"/>
  <c r="Z9" i="16"/>
  <c r="R4" i="19"/>
  <c r="Z6" i="16"/>
  <c r="AD4" i="19"/>
  <c r="AH4" i="19"/>
  <c r="Y2" i="22"/>
  <c r="X3" i="10"/>
  <c r="Y3" i="10"/>
  <c r="AA3" i="10"/>
  <c r="AF3" i="10"/>
  <c r="AB3" i="10"/>
  <c r="AH3" i="10"/>
  <c r="AI3" i="10"/>
  <c r="Z3" i="10"/>
  <c r="AE3" i="10"/>
  <c r="AC3" i="10"/>
  <c r="AD3" i="10"/>
  <c r="AA4" i="18"/>
  <c r="AF4" i="18"/>
  <c r="Z4" i="18"/>
  <c r="AD4" i="18"/>
  <c r="AH4" i="18"/>
  <c r="R4" i="18"/>
  <c r="AC4" i="18"/>
  <c r="P6" i="18"/>
  <c r="Y4" i="18"/>
  <c r="AC20" i="12"/>
  <c r="AD20" i="12"/>
  <c r="AA20" i="12"/>
  <c r="AF20" i="12"/>
  <c r="AB20" i="12"/>
  <c r="Z21" i="10"/>
  <c r="AE21" i="10"/>
  <c r="AA21" i="10"/>
  <c r="AF21" i="10"/>
  <c r="AB21" i="10"/>
  <c r="AI5" i="24"/>
  <c r="AJ5" i="24"/>
  <c r="R5" i="24"/>
  <c r="Y5" i="24"/>
  <c r="AD5" i="24"/>
  <c r="AE5" i="24"/>
  <c r="AA5" i="24"/>
  <c r="AF5" i="24"/>
  <c r="Z5" i="24"/>
  <c r="Y19" i="10"/>
  <c r="AA19" i="10"/>
  <c r="AF19" i="10"/>
  <c r="AC19" i="10"/>
  <c r="AD19" i="10"/>
  <c r="AB19" i="10"/>
  <c r="AH18" i="10"/>
  <c r="AI18" i="10"/>
  <c r="AB18" i="10"/>
  <c r="X18" i="10"/>
  <c r="Y18" i="10"/>
  <c r="AA18" i="10"/>
  <c r="AF18" i="10"/>
  <c r="AA15" i="12"/>
  <c r="AF15" i="12"/>
  <c r="X15" i="12"/>
  <c r="AH15" i="12"/>
  <c r="AI15" i="12"/>
  <c r="Z15" i="12"/>
  <c r="AE15" i="12"/>
  <c r="Y15" i="12"/>
  <c r="Z3" i="17"/>
  <c r="AB3" i="17"/>
  <c r="AG3" i="17"/>
  <c r="AI3" i="17"/>
  <c r="AJ3" i="17"/>
  <c r="R3" i="17"/>
  <c r="AD3" i="17"/>
  <c r="R3" i="20"/>
  <c r="Y6" i="19"/>
  <c r="Y3" i="19"/>
  <c r="AB2" i="10"/>
  <c r="Y23" i="10"/>
  <c r="Y19" i="12"/>
  <c r="AI3" i="16"/>
  <c r="AJ3" i="16"/>
  <c r="AE38" i="2"/>
  <c r="AC3" i="16"/>
  <c r="AI5" i="16"/>
  <c r="AJ5" i="16"/>
  <c r="AD7" i="16"/>
  <c r="AE7" i="16"/>
  <c r="AA5" i="16"/>
  <c r="AF5" i="16"/>
  <c r="AD2" i="17"/>
  <c r="AE2" i="17"/>
  <c r="AA3" i="19"/>
  <c r="AF3" i="19"/>
  <c r="R2" i="17"/>
  <c r="R3" i="19"/>
  <c r="AB3" i="19"/>
  <c r="AG3" i="19"/>
  <c r="AB5" i="16"/>
  <c r="AG5" i="16"/>
  <c r="Y2" i="17"/>
  <c r="Q10" i="16"/>
  <c r="AB6" i="16"/>
  <c r="AG6" i="16"/>
  <c r="AI6" i="16"/>
  <c r="AJ6" i="16"/>
  <c r="AD3" i="25"/>
  <c r="AE3" i="25"/>
  <c r="R3" i="25"/>
  <c r="AC3" i="20"/>
  <c r="AB7" i="16"/>
  <c r="AG7" i="16"/>
  <c r="Z3" i="18"/>
  <c r="Y4" i="17"/>
  <c r="AC4" i="17"/>
  <c r="X3" i="12"/>
  <c r="Y16" i="12"/>
  <c r="AH16" i="12"/>
  <c r="AI16" i="12"/>
  <c r="Q7" i="19"/>
  <c r="AC38" i="2"/>
  <c r="AH38" i="2"/>
  <c r="Y6" i="16"/>
  <c r="P6" i="17"/>
  <c r="Y2" i="18"/>
  <c r="AC2" i="18"/>
  <c r="X17" i="10"/>
  <c r="AI3" i="19"/>
  <c r="AJ3" i="19"/>
  <c r="AA2" i="17"/>
  <c r="AF2" i="17"/>
  <c r="Q6" i="17"/>
  <c r="Z3" i="19"/>
  <c r="AE5" i="25"/>
  <c r="AH5" i="25"/>
  <c r="X21" i="12"/>
  <c r="AC21" i="12"/>
  <c r="Y21" i="12"/>
  <c r="AC4" i="16"/>
  <c r="Y4" i="16"/>
  <c r="Z4" i="16"/>
  <c r="R4" i="16"/>
  <c r="R4" i="25"/>
  <c r="AI4" i="25"/>
  <c r="AJ4" i="25"/>
  <c r="AA4" i="25"/>
  <c r="AF4" i="25"/>
  <c r="P15" i="25"/>
  <c r="AD4" i="25"/>
  <c r="AH4" i="25"/>
  <c r="AB4" i="25"/>
  <c r="AG4" i="25"/>
  <c r="AC4" i="25"/>
  <c r="Y25" i="12"/>
  <c r="X25" i="12"/>
  <c r="Z4" i="25"/>
  <c r="AC25" i="12"/>
  <c r="AD25" i="12"/>
  <c r="R5" i="16"/>
  <c r="AH21" i="10"/>
  <c r="AI21" i="10"/>
  <c r="X21" i="10"/>
  <c r="Y21" i="10"/>
  <c r="Z5" i="16"/>
  <c r="R6" i="16"/>
  <c r="X20" i="12"/>
  <c r="Y20" i="12"/>
  <c r="AC22" i="10"/>
  <c r="X22" i="10"/>
  <c r="Z22" i="10"/>
  <c r="AE22" i="10"/>
  <c r="Y22" i="10"/>
  <c r="R7" i="16"/>
  <c r="R3" i="16"/>
  <c r="Y3" i="16"/>
  <c r="Z3" i="16"/>
  <c r="AE2" i="24"/>
  <c r="AD5" i="23"/>
  <c r="AI5" i="23"/>
  <c r="AA5" i="23"/>
  <c r="AB5" i="23"/>
  <c r="S3" i="23"/>
  <c r="AD3" i="23"/>
  <c r="AI3" i="23"/>
  <c r="AF3" i="23"/>
  <c r="AJ3" i="23"/>
  <c r="AF5" i="23"/>
  <c r="AG5" i="23"/>
  <c r="AE5" i="23"/>
  <c r="AJ2" i="24"/>
  <c r="AK5" i="23"/>
  <c r="AL5" i="23"/>
  <c r="S5" i="23"/>
  <c r="AA3" i="18"/>
  <c r="AF3" i="18"/>
  <c r="AC5" i="23"/>
  <c r="AH5" i="23"/>
  <c r="AC3" i="23"/>
  <c r="AH3" i="23"/>
  <c r="AE3" i="23"/>
  <c r="AK3" i="23"/>
  <c r="AL3" i="23"/>
  <c r="AB3" i="23"/>
  <c r="AH3" i="24"/>
  <c r="AE3" i="24"/>
  <c r="AE2" i="25"/>
  <c r="AH2" i="25"/>
  <c r="AB4" i="23"/>
  <c r="AE4" i="23"/>
  <c r="AK4" i="23"/>
  <c r="AL4" i="23"/>
  <c r="S4" i="23"/>
  <c r="AF4" i="23"/>
  <c r="AA4" i="23"/>
  <c r="AD4" i="23"/>
  <c r="AI4" i="23"/>
  <c r="AC4" i="23"/>
  <c r="AH4" i="23"/>
  <c r="AA2" i="23"/>
  <c r="AF2" i="23"/>
  <c r="AB2" i="23"/>
  <c r="AD2" i="23"/>
  <c r="AI2" i="23"/>
  <c r="AE2" i="23"/>
  <c r="AC2" i="23"/>
  <c r="AH2" i="23"/>
  <c r="S2" i="23"/>
  <c r="Q80" i="9"/>
  <c r="AA3" i="23"/>
  <c r="AD16" i="12"/>
  <c r="AG16" i="12"/>
  <c r="AI4" i="19"/>
  <c r="AJ4" i="19"/>
  <c r="AI2" i="19"/>
  <c r="AJ2" i="19"/>
  <c r="AK2" i="23"/>
  <c r="AK6" i="23"/>
  <c r="AI2" i="25"/>
  <c r="AJ2" i="25"/>
  <c r="AD18" i="10"/>
  <c r="AH2" i="20"/>
  <c r="AD23" i="12"/>
  <c r="AD2" i="12"/>
  <c r="AG16" i="10"/>
  <c r="I12" i="9"/>
  <c r="AH4" i="24"/>
  <c r="AE9" i="16"/>
  <c r="AH3" i="22"/>
  <c r="AD21" i="10"/>
  <c r="AG21" i="10"/>
  <c r="AD15" i="12"/>
  <c r="AG15" i="12"/>
  <c r="AH2" i="16"/>
  <c r="AG18" i="12"/>
  <c r="AH2" i="18"/>
  <c r="AD24" i="12"/>
  <c r="AE5" i="19"/>
  <c r="AH4" i="17"/>
  <c r="AG15" i="10"/>
  <c r="AE3" i="19"/>
  <c r="AE4" i="16"/>
  <c r="AD22" i="12"/>
  <c r="AG17" i="12"/>
  <c r="AE2" i="22"/>
  <c r="AH2" i="19"/>
  <c r="AD24" i="10"/>
  <c r="AH8" i="16"/>
  <c r="AH3" i="25"/>
  <c r="AG20" i="10"/>
  <c r="AG25" i="10"/>
  <c r="AH3" i="20"/>
  <c r="AG19" i="12"/>
  <c r="AI19" i="2"/>
  <c r="AD2" i="10"/>
  <c r="AH5" i="16"/>
  <c r="AH3" i="16"/>
  <c r="AH6" i="16"/>
  <c r="AH5" i="24"/>
  <c r="AH6" i="19"/>
  <c r="AG23" i="10"/>
  <c r="AH3" i="18"/>
  <c r="AK10" i="24"/>
  <c r="AI6" i="24"/>
  <c r="AE4" i="19"/>
  <c r="AG19" i="10"/>
  <c r="AG17" i="10"/>
  <c r="AE4" i="25"/>
  <c r="AG25" i="12"/>
  <c r="AD3" i="12"/>
  <c r="AK13" i="24"/>
  <c r="AE3" i="17"/>
  <c r="AH3" i="17"/>
  <c r="AG20" i="12"/>
  <c r="AG3" i="10"/>
  <c r="AH2" i="17"/>
  <c r="AE4" i="18"/>
  <c r="AH7" i="16"/>
  <c r="AI12" i="16"/>
  <c r="AJ12" i="16"/>
  <c r="AG21" i="12"/>
  <c r="AD21" i="12"/>
  <c r="AD22" i="10"/>
  <c r="AG22" i="10"/>
  <c r="AJ5" i="23"/>
  <c r="AG3" i="23"/>
  <c r="AG4" i="23"/>
  <c r="AJ4" i="23"/>
  <c r="AJ2" i="23"/>
  <c r="AG2" i="23"/>
  <c r="AL2" i="23"/>
  <c r="V57" i="15" a="1"/>
  <c r="V70" i="15" a="1"/>
  <c r="R30" i="15" a="1"/>
  <c r="T68" i="15" a="1"/>
  <c r="U66" i="15" a="1"/>
  <c r="X68" i="15" a="1"/>
  <c r="Q15" i="15" a="1"/>
  <c r="R18" i="15" a="1"/>
  <c r="R21" i="15" a="1"/>
  <c r="W58" i="15" a="1"/>
  <c r="X59" i="15" a="1"/>
  <c r="U59" i="15" a="1"/>
  <c r="R13" i="8" a="1"/>
  <c r="R47" i="8" a="1"/>
  <c r="R14" i="8" a="1"/>
  <c r="S7" i="8" a="1"/>
  <c r="W60" i="15" a="1"/>
  <c r="Q2" i="15" a="1"/>
  <c r="Q32" i="15" a="1"/>
  <c r="R29" i="8" a="1"/>
  <c r="R43" i="15" a="1"/>
  <c r="V63" i="15" a="1"/>
  <c r="S16" i="8" a="1"/>
  <c r="W57" i="15" a="1"/>
  <c r="W70" i="15" a="1"/>
  <c r="Q30" i="15" a="1"/>
  <c r="R9" i="15" a="1"/>
  <c r="R12" i="15" a="1"/>
  <c r="R3" i="15" a="1"/>
  <c r="R23" i="15" a="1"/>
  <c r="Q18" i="15" a="1"/>
  <c r="Q21" i="15" a="1"/>
  <c r="T58" i="15" a="1"/>
  <c r="U58" i="15" a="1"/>
  <c r="R33" i="8" a="1"/>
  <c r="S17" i="8" a="1"/>
  <c r="S25" i="8" a="1"/>
  <c r="S11" i="8" a="1"/>
  <c r="R29" i="15" a="1"/>
  <c r="V71" i="15" a="1"/>
  <c r="R17" i="8" a="1"/>
  <c r="R25" i="8" a="1"/>
  <c r="S40" i="8" a="1"/>
  <c r="X70" i="15" a="1"/>
  <c r="Q50" i="15" a="1"/>
  <c r="S28" i="8" a="1"/>
  <c r="Q35" i="15" a="1"/>
  <c r="W61" i="15" a="1"/>
  <c r="R10" i="15" a="1"/>
  <c r="S36" i="8" a="1"/>
  <c r="T71" i="15" a="1"/>
  <c r="X62" i="15" a="1"/>
  <c r="R38" i="15" a="1"/>
  <c r="Q9" i="15" a="1"/>
  <c r="Q12" i="15" a="1"/>
  <c r="Q3" i="15" a="1"/>
  <c r="Q23" i="15" a="1"/>
  <c r="R34" i="15" a="1"/>
  <c r="T65" i="15" a="1"/>
  <c r="S33" i="8" a="1"/>
  <c r="R11" i="8" a="1"/>
  <c r="S42" i="8" a="1"/>
  <c r="X58" i="15" a="1"/>
  <c r="Q41" i="15" a="1"/>
  <c r="R40" i="15" a="1"/>
  <c r="V65" i="15" a="1"/>
  <c r="U65" i="15" a="1"/>
  <c r="Q38" i="15" a="1"/>
  <c r="R17" i="15" a="1"/>
  <c r="R20" i="15" a="1"/>
  <c r="R6" i="15" a="1"/>
  <c r="R31" i="15" a="1"/>
  <c r="Q34" i="15" a="1"/>
  <c r="Q29" i="15" a="1"/>
  <c r="X63" i="15" a="1"/>
  <c r="W71" i="15" a="1"/>
  <c r="S19" i="8" a="1"/>
  <c r="W69" i="15" a="1"/>
  <c r="W65" i="15" a="1"/>
  <c r="R27" i="15" a="1"/>
  <c r="R46" i="15" a="1"/>
  <c r="Q17" i="15" a="1"/>
  <c r="Q20" i="15" a="1"/>
  <c r="Q6" i="15" a="1"/>
  <c r="Q31" i="15" a="1"/>
  <c r="R42" i="15" a="1"/>
  <c r="R37" i="15" a="1"/>
  <c r="T64" i="15" a="1"/>
  <c r="R13" i="15" a="1"/>
  <c r="R40" i="8" a="1"/>
  <c r="R19" i="8" a="1"/>
  <c r="R42" i="8" a="1"/>
  <c r="Q16" i="15" a="1"/>
  <c r="R22" i="8" a="1"/>
  <c r="R19" i="15" a="1"/>
  <c r="R33" i="15" a="1"/>
  <c r="R44" i="15" a="1"/>
  <c r="Q45" i="15" a="1"/>
  <c r="S6" i="8" a="1"/>
  <c r="X56" i="15" a="1"/>
  <c r="Q52" i="15" a="1"/>
  <c r="V59" i="15" a="1"/>
  <c r="W54" i="15" a="1"/>
  <c r="U64" i="15" a="1"/>
  <c r="S10" i="8" a="1"/>
  <c r="R11" i="15" a="1"/>
  <c r="Q27" i="15" a="1"/>
  <c r="Q46" i="15" a="1"/>
  <c r="R25" i="15" a="1"/>
  <c r="R36" i="15" a="1"/>
  <c r="R4" i="15" a="1"/>
  <c r="R39" i="15" a="1"/>
  <c r="Q42" i="15" a="1"/>
  <c r="Q37" i="15" a="1"/>
  <c r="R16" i="15" a="1"/>
  <c r="Q13" i="15" a="1"/>
  <c r="S5" i="8" a="1"/>
  <c r="S22" i="8" a="1"/>
  <c r="S45" i="8" a="1"/>
  <c r="R45" i="15" a="1"/>
  <c r="R8" i="15" a="1"/>
  <c r="R45" i="8" a="1"/>
  <c r="U70" i="15" a="1"/>
  <c r="S30" i="8" a="1"/>
  <c r="R35" i="15" a="1"/>
  <c r="V61" i="15" a="1"/>
  <c r="X54" i="15" a="1"/>
  <c r="R7" i="8" a="1"/>
  <c r="T59" i="15" a="1"/>
  <c r="R49" i="15" a="1"/>
  <c r="W59" i="15" a="1"/>
  <c r="Q11" i="15" a="1"/>
  <c r="U68" i="15" a="1"/>
  <c r="T63" i="15" a="1"/>
  <c r="Q25" i="15" a="1"/>
  <c r="Q36" i="15" a="1"/>
  <c r="Q4" i="15" a="1"/>
  <c r="Q39" i="15" a="1"/>
  <c r="R50" i="15" a="1"/>
  <c r="R5" i="8" a="1"/>
  <c r="Q8" i="15" a="1"/>
  <c r="Q19" i="15" a="1"/>
  <c r="U60" i="15" a="1"/>
  <c r="V56" i="15" a="1"/>
  <c r="Q33" i="15" a="1"/>
  <c r="Q44" i="15" a="1"/>
  <c r="Q7" i="15" a="1"/>
  <c r="Q47" i="15" a="1"/>
  <c r="R26" i="15" a="1"/>
  <c r="R53" i="15" a="1"/>
  <c r="Q24" i="15" a="1"/>
  <c r="V66" i="15" a="1"/>
  <c r="R6" i="8" a="1"/>
  <c r="R28" i="8" a="1"/>
  <c r="R30" i="8" a="1"/>
  <c r="V60" i="15" a="1"/>
  <c r="R52" i="15" a="1"/>
  <c r="R32" i="15" a="1"/>
  <c r="X65" i="15" a="1"/>
  <c r="Q43" i="15" a="1"/>
  <c r="R14" i="15" a="1"/>
  <c r="U57" i="15" a="1"/>
  <c r="Q49" i="15" a="1"/>
  <c r="T66" i="15" a="1"/>
  <c r="Q10" i="15" a="1"/>
  <c r="V67" i="15" a="1"/>
  <c r="W63" i="15" a="1"/>
  <c r="U54" i="15" a="1"/>
  <c r="Q40" i="15" a="1"/>
  <c r="V62" i="15" a="1"/>
  <c r="R10" i="8" a="1"/>
  <c r="R36" i="8" a="1"/>
  <c r="R16" i="8" a="1"/>
  <c r="S15" i="8" a="1"/>
  <c r="R7" i="15" a="1"/>
  <c r="W56" i="15" a="1"/>
  <c r="Q26" i="15" a="1"/>
  <c r="S29" i="8" a="1"/>
  <c r="V69" i="15" a="1"/>
  <c r="V68" i="15" a="1"/>
  <c r="R51" i="15" a="1"/>
  <c r="Q14" i="15" a="1"/>
  <c r="X60" i="15" a="1"/>
  <c r="X61" i="15" a="1"/>
  <c r="R28" i="15" a="1"/>
  <c r="R5" i="15" a="1"/>
  <c r="W67" i="15" a="1"/>
  <c r="U63" i="15" a="1"/>
  <c r="V55" i="15" a="1"/>
  <c r="R48" i="15" a="1"/>
  <c r="W62" i="15" a="1"/>
  <c r="S12" i="8" a="1"/>
  <c r="S41" i="8" a="1"/>
  <c r="R24" i="15" a="1"/>
  <c r="R2" i="15" a="1"/>
  <c r="W66" i="15" a="1"/>
  <c r="V54" i="15" a="1"/>
  <c r="W64" i="15" a="1"/>
  <c r="W68" i="15" a="1"/>
  <c r="Q51" i="15" a="1"/>
  <c r="R22" i="15" a="1"/>
  <c r="T61" i="15" a="1"/>
  <c r="X71" i="15" a="1"/>
  <c r="Q28" i="15" a="1"/>
  <c r="Q5" i="15" a="1"/>
  <c r="S18" i="8" a="1"/>
  <c r="X64" i="15" a="1"/>
  <c r="W55" i="15" a="1"/>
  <c r="Q48" i="15" a="1"/>
  <c r="X55" i="15" a="1"/>
  <c r="R12" i="8" a="1"/>
  <c r="R41" i="8" a="1"/>
  <c r="R15" i="8" a="1"/>
  <c r="S4" i="8" a="1"/>
  <c r="V64" i="15" a="1"/>
  <c r="T54" i="15" a="1"/>
  <c r="X57" i="15" a="1"/>
  <c r="Q22" i="15" a="1"/>
  <c r="T56" i="15" a="1"/>
  <c r="U62" i="15" a="1"/>
  <c r="U69" i="15" a="1"/>
  <c r="R15" i="15" a="1"/>
  <c r="R18" i="8" a="1"/>
  <c r="T55" i="15" a="1"/>
  <c r="V58" i="15" a="1"/>
  <c r="T57" i="15" a="1"/>
  <c r="X66" i="15" a="1"/>
  <c r="S13" i="8" a="1"/>
  <c r="S47" i="8" a="1"/>
  <c r="S14" i="8" a="1"/>
  <c r="R47" i="15" a="1"/>
  <c r="R41" i="15" a="1"/>
  <c r="Q53" i="15" a="1"/>
  <c r="T90" i="2" l="1"/>
  <c r="T281" i="2"/>
  <c r="T119" i="2"/>
  <c r="Y90" i="2"/>
  <c r="U103" i="2"/>
  <c r="Y63" i="2"/>
  <c r="Y105" i="2"/>
  <c r="W230" i="2"/>
  <c r="U283" i="2"/>
  <c r="Y251" i="2"/>
  <c r="U203" i="2"/>
  <c r="X282" i="2"/>
  <c r="U247" i="2"/>
  <c r="V150" i="2"/>
  <c r="S150" i="2" s="1"/>
  <c r="Y247" i="2"/>
  <c r="X195" i="2"/>
  <c r="W276" i="2"/>
  <c r="W228" i="2"/>
  <c r="U59" i="15"/>
  <c r="X66" i="15"/>
  <c r="X55" i="15"/>
  <c r="W62" i="15"/>
  <c r="V62" i="15"/>
  <c r="W59" i="15"/>
  <c r="V59" i="15"/>
  <c r="W66" i="15"/>
  <c r="V66" i="15"/>
  <c r="Q8" i="15"/>
  <c r="R8" i="15"/>
  <c r="Q13" i="15"/>
  <c r="R13" i="15"/>
  <c r="W71" i="15"/>
  <c r="V71" i="15"/>
  <c r="U58" i="15"/>
  <c r="X59" i="15"/>
  <c r="T57" i="15"/>
  <c r="Q48" i="15"/>
  <c r="R48" i="15"/>
  <c r="Q40" i="15"/>
  <c r="R40" i="15"/>
  <c r="Q32" i="15"/>
  <c r="R32" i="15"/>
  <c r="Q24" i="15"/>
  <c r="R24" i="15"/>
  <c r="Q16" i="15"/>
  <c r="R16" i="15"/>
  <c r="T64" i="15"/>
  <c r="X63" i="15"/>
  <c r="T65" i="15"/>
  <c r="T58" i="15"/>
  <c r="W58" i="15"/>
  <c r="V58" i="15"/>
  <c r="W55" i="15"/>
  <c r="V55" i="15"/>
  <c r="U54" i="15"/>
  <c r="W64" i="15"/>
  <c r="V64" i="15"/>
  <c r="Q53" i="15"/>
  <c r="R53" i="15"/>
  <c r="Q45" i="15"/>
  <c r="R45" i="15"/>
  <c r="Q37" i="15"/>
  <c r="R37" i="15"/>
  <c r="Q29" i="15"/>
  <c r="R29" i="15"/>
  <c r="Q21" i="15"/>
  <c r="R21" i="15"/>
  <c r="T55" i="15"/>
  <c r="X64" i="15"/>
  <c r="U63" i="15"/>
  <c r="W63" i="15"/>
  <c r="V63" i="15"/>
  <c r="X54" i="15"/>
  <c r="Q26" i="15"/>
  <c r="R26" i="15"/>
  <c r="Q50" i="15"/>
  <c r="R50" i="15"/>
  <c r="Q42" i="15"/>
  <c r="R42" i="15"/>
  <c r="Q34" i="15"/>
  <c r="R34" i="15"/>
  <c r="Q18" i="15"/>
  <c r="R18" i="15"/>
  <c r="R18" i="8"/>
  <c r="S18" i="8"/>
  <c r="W67" i="15"/>
  <c r="V67" i="15"/>
  <c r="W69" i="15"/>
  <c r="V69" i="15"/>
  <c r="X58" i="15"/>
  <c r="Q47" i="15"/>
  <c r="R47" i="15"/>
  <c r="Q39" i="15"/>
  <c r="R39" i="15"/>
  <c r="Q31" i="15"/>
  <c r="R31" i="15"/>
  <c r="Q23" i="15"/>
  <c r="R23" i="15"/>
  <c r="Q15" i="15"/>
  <c r="R15" i="15"/>
  <c r="Q5" i="15"/>
  <c r="R5" i="15"/>
  <c r="Q10" i="15"/>
  <c r="R10" i="15"/>
  <c r="Q2" i="15"/>
  <c r="R2" i="15"/>
  <c r="Q7" i="15"/>
  <c r="R7" i="15"/>
  <c r="Q4" i="15"/>
  <c r="R4" i="15"/>
  <c r="Q6" i="15"/>
  <c r="R6" i="15"/>
  <c r="Q3" i="15"/>
  <c r="R3" i="15"/>
  <c r="X68" i="15"/>
  <c r="U69" i="15"/>
  <c r="Q28" i="15"/>
  <c r="R28" i="15"/>
  <c r="T66" i="15"/>
  <c r="U64" i="15"/>
  <c r="Q52" i="15"/>
  <c r="R52" i="15"/>
  <c r="Q44" i="15"/>
  <c r="R44" i="15"/>
  <c r="Q36" i="15"/>
  <c r="R36" i="15"/>
  <c r="Q20" i="15"/>
  <c r="R20" i="15"/>
  <c r="Q12" i="15"/>
  <c r="R12" i="15"/>
  <c r="U66" i="15"/>
  <c r="U62" i="15"/>
  <c r="X71" i="15"/>
  <c r="X61" i="15"/>
  <c r="Q49" i="15"/>
  <c r="R49" i="15"/>
  <c r="Q41" i="15"/>
  <c r="R41" i="15"/>
  <c r="Q33" i="15"/>
  <c r="R33" i="15"/>
  <c r="Q25" i="15"/>
  <c r="R25" i="15"/>
  <c r="Q17" i="15"/>
  <c r="R17" i="15"/>
  <c r="Q9" i="15"/>
  <c r="R9" i="15"/>
  <c r="T68" i="15"/>
  <c r="T56" i="15"/>
  <c r="T61" i="15"/>
  <c r="X60" i="15"/>
  <c r="U57" i="15"/>
  <c r="W61" i="15"/>
  <c r="V61" i="15"/>
  <c r="W56" i="15"/>
  <c r="V56" i="15"/>
  <c r="U70" i="15"/>
  <c r="T63" i="15"/>
  <c r="Q46" i="15"/>
  <c r="R46" i="15"/>
  <c r="Q38" i="15"/>
  <c r="R38" i="15"/>
  <c r="Q30" i="15"/>
  <c r="R30" i="15"/>
  <c r="Q22" i="15"/>
  <c r="R22" i="15"/>
  <c r="Q14" i="15"/>
  <c r="R14" i="15"/>
  <c r="W54" i="15"/>
  <c r="V54" i="15"/>
  <c r="X56" i="15"/>
  <c r="U60" i="15"/>
  <c r="X70" i="15"/>
  <c r="U68" i="15"/>
  <c r="Q27" i="15"/>
  <c r="R27" i="15"/>
  <c r="U65" i="15"/>
  <c r="X62" i="15"/>
  <c r="W70" i="15"/>
  <c r="V70" i="15"/>
  <c r="X57" i="15"/>
  <c r="Q51" i="15"/>
  <c r="R51" i="15"/>
  <c r="Q43" i="15"/>
  <c r="R43" i="15"/>
  <c r="Q35" i="15"/>
  <c r="R35" i="15"/>
  <c r="Q19" i="15"/>
  <c r="R19" i="15"/>
  <c r="Q11" i="15"/>
  <c r="R11" i="15"/>
  <c r="W65" i="15"/>
  <c r="V65" i="15"/>
  <c r="T71" i="15"/>
  <c r="W57" i="15"/>
  <c r="V57" i="15"/>
  <c r="T54" i="15"/>
  <c r="W68" i="15"/>
  <c r="V68" i="15"/>
  <c r="X65" i="15"/>
  <c r="T59" i="15"/>
  <c r="W60" i="15"/>
  <c r="V60" i="15"/>
  <c r="AI22" i="2"/>
  <c r="AF22" i="2"/>
  <c r="AC34" i="2"/>
  <c r="AA8" i="2"/>
  <c r="AI41" i="2"/>
  <c r="AF41" i="2"/>
  <c r="AG9" i="2"/>
  <c r="Z45" i="2"/>
  <c r="AB45" i="2"/>
  <c r="AE45" i="2"/>
  <c r="AF12" i="2"/>
  <c r="AI12" i="2"/>
  <c r="AD36" i="2"/>
  <c r="AE36" i="2"/>
  <c r="AB36" i="2"/>
  <c r="Z36" i="2"/>
  <c r="AC36" i="2"/>
  <c r="AA36" i="2"/>
  <c r="AG25" i="2"/>
  <c r="AG51" i="2"/>
  <c r="R48" i="2"/>
  <c r="R40" i="2"/>
  <c r="S44" i="2"/>
  <c r="Z44" i="2" s="1"/>
  <c r="AE3" i="2"/>
  <c r="AE8" i="2"/>
  <c r="AE49" i="2"/>
  <c r="AC49" i="2"/>
  <c r="Z49" i="2"/>
  <c r="R32" i="2"/>
  <c r="R16" i="2"/>
  <c r="W62" i="2"/>
  <c r="V59" i="2"/>
  <c r="W59" i="2"/>
  <c r="S8" i="2"/>
  <c r="AB7" i="2"/>
  <c r="AC7" i="2"/>
  <c r="AD7" i="2"/>
  <c r="AD12" i="2"/>
  <c r="AA4" i="2"/>
  <c r="AE4" i="2"/>
  <c r="AC4" i="2"/>
  <c r="AC33" i="2"/>
  <c r="AA33" i="2"/>
  <c r="AF27" i="2"/>
  <c r="AI27" i="2"/>
  <c r="Z6" i="2"/>
  <c r="AE6" i="2"/>
  <c r="AA6" i="2"/>
  <c r="AH30" i="2"/>
  <c r="Z12" i="2"/>
  <c r="AG49" i="2"/>
  <c r="AC11" i="2"/>
  <c r="Z11" i="2"/>
  <c r="AD11" i="2"/>
  <c r="Z33" i="2"/>
  <c r="AB33" i="2"/>
  <c r="AD22" i="2"/>
  <c r="AC22" i="2"/>
  <c r="Z22" i="2"/>
  <c r="AB22" i="2"/>
  <c r="U58" i="2"/>
  <c r="X59" i="2"/>
  <c r="T57" i="2"/>
  <c r="R53" i="2"/>
  <c r="S53" i="2"/>
  <c r="S32" i="2"/>
  <c r="AE29" i="2"/>
  <c r="AB29" i="2"/>
  <c r="Z29" i="2"/>
  <c r="AA29" i="2"/>
  <c r="S16" i="2"/>
  <c r="AC51" i="2"/>
  <c r="Z51" i="2"/>
  <c r="AA51" i="2"/>
  <c r="AC8" i="2"/>
  <c r="Z8" i="2"/>
  <c r="AB8" i="2"/>
  <c r="AB34" i="2"/>
  <c r="AD34" i="2"/>
  <c r="Z34" i="2"/>
  <c r="T64" i="2"/>
  <c r="X63" i="2"/>
  <c r="T65" i="2"/>
  <c r="T58" i="2"/>
  <c r="R26" i="2"/>
  <c r="AE33" i="2"/>
  <c r="Z25" i="2"/>
  <c r="AC6" i="2"/>
  <c r="AE34" i="2"/>
  <c r="AE11" i="2"/>
  <c r="W55" i="2"/>
  <c r="U54" i="2"/>
  <c r="V64" i="2"/>
  <c r="R13" i="2"/>
  <c r="AE50" i="2"/>
  <c r="AC50" i="2"/>
  <c r="AB50" i="2"/>
  <c r="R42" i="2"/>
  <c r="R18" i="2"/>
  <c r="AI38" i="2"/>
  <c r="AF38" i="2"/>
  <c r="S29" i="2"/>
  <c r="AC29" i="2" s="1"/>
  <c r="T55" i="2"/>
  <c r="U63" i="2"/>
  <c r="W63" i="2"/>
  <c r="S24" i="2"/>
  <c r="AD51" i="2"/>
  <c r="AC12" i="2"/>
  <c r="AA34" i="2"/>
  <c r="AA35" i="2"/>
  <c r="R37" i="2"/>
  <c r="AA5" i="2"/>
  <c r="AE5" i="2"/>
  <c r="Z5" i="2"/>
  <c r="AD5" i="2"/>
  <c r="S47" i="2"/>
  <c r="R47" i="2"/>
  <c r="R39" i="2"/>
  <c r="S39" i="2"/>
  <c r="S23" i="2"/>
  <c r="AD23" i="2" s="1"/>
  <c r="AI35" i="2"/>
  <c r="AE25" i="2"/>
  <c r="S42" i="2"/>
  <c r="AB43" i="2"/>
  <c r="AC43" i="2"/>
  <c r="Z43" i="2"/>
  <c r="AD43" i="2"/>
  <c r="AE43" i="2"/>
  <c r="AC9" i="2"/>
  <c r="AD9" i="2"/>
  <c r="AA9" i="2"/>
  <c r="AE9" i="2"/>
  <c r="Z9" i="2"/>
  <c r="S45" i="2"/>
  <c r="AA45" i="2" s="1"/>
  <c r="R31" i="2"/>
  <c r="Q14" i="11"/>
  <c r="W69" i="2"/>
  <c r="AD17" i="2"/>
  <c r="AA17" i="2"/>
  <c r="Z17" i="2"/>
  <c r="AB17" i="2"/>
  <c r="AD8" i="2"/>
  <c r="AD35" i="2"/>
  <c r="S15" i="2"/>
  <c r="AD15" i="2" s="1"/>
  <c r="R24" i="2"/>
  <c r="AA38" i="2"/>
  <c r="AB38" i="2"/>
  <c r="AE10" i="2"/>
  <c r="S52" i="2"/>
  <c r="AC25" i="2"/>
  <c r="S20" i="2"/>
  <c r="AB12" i="2"/>
  <c r="AB10" i="2"/>
  <c r="AA50" i="2"/>
  <c r="AA43" i="2"/>
  <c r="AA22" i="2"/>
  <c r="AB35" i="2"/>
  <c r="S21" i="2"/>
  <c r="AB5" i="2"/>
  <c r="S28" i="2"/>
  <c r="Z28" i="2" s="1"/>
  <c r="R20" i="2"/>
  <c r="AC41" i="2"/>
  <c r="AA41" i="2"/>
  <c r="AD41" i="2"/>
  <c r="AI51" i="2"/>
  <c r="AE17" i="2"/>
  <c r="AA49" i="2"/>
  <c r="AH27" i="2"/>
  <c r="AB11" i="2"/>
  <c r="R52" i="2"/>
  <c r="Z10" i="2"/>
  <c r="AB41" i="2"/>
  <c r="AB6" i="2"/>
  <c r="AE15" i="2"/>
  <c r="S40" i="2"/>
  <c r="AD30" i="2"/>
  <c r="AB30" i="2"/>
  <c r="AE30" i="2"/>
  <c r="Z14" i="2"/>
  <c r="AC14" i="2"/>
  <c r="AD14" i="2"/>
  <c r="Z38" i="2"/>
  <c r="AC17" i="2"/>
  <c r="AF14" i="2"/>
  <c r="Z50" i="2"/>
  <c r="AC5" i="2"/>
  <c r="AA12" i="2"/>
  <c r="X66" i="2"/>
  <c r="U69" i="2"/>
  <c r="T66" i="2"/>
  <c r="U64" i="2"/>
  <c r="S6" i="2"/>
  <c r="AD6" i="2" s="1"/>
  <c r="U66" i="2"/>
  <c r="U62" i="2"/>
  <c r="AC3" i="2"/>
  <c r="T68" i="2"/>
  <c r="T56" i="2"/>
  <c r="T61" i="2"/>
  <c r="U57" i="2"/>
  <c r="W61" i="2"/>
  <c r="AD27" i="2"/>
  <c r="AB3" i="2"/>
  <c r="U70" i="2"/>
  <c r="Z27" i="2"/>
  <c r="U60" i="2"/>
  <c r="U68" i="2"/>
  <c r="U65" i="2"/>
  <c r="Z3" i="2"/>
  <c r="X57" i="2"/>
  <c r="S46" i="2"/>
  <c r="AD3" i="2"/>
  <c r="T71" i="2"/>
  <c r="T54" i="2"/>
  <c r="W68" i="2"/>
  <c r="S2" i="2"/>
  <c r="Z2" i="2" s="1"/>
  <c r="T59" i="2"/>
  <c r="Y187" i="2"/>
  <c r="U253" i="2"/>
  <c r="R11" i="8"/>
  <c r="S11" i="8"/>
  <c r="R14" i="8"/>
  <c r="S14" i="8"/>
  <c r="R15" i="8"/>
  <c r="S15" i="8"/>
  <c r="R16" i="8"/>
  <c r="S16" i="8"/>
  <c r="S4" i="8"/>
  <c r="R30" i="8"/>
  <c r="S30" i="8"/>
  <c r="R45" i="8"/>
  <c r="S45" i="8"/>
  <c r="R42" i="8"/>
  <c r="S42" i="8"/>
  <c r="R25" i="8"/>
  <c r="S25" i="8"/>
  <c r="R47" i="8"/>
  <c r="S47" i="8"/>
  <c r="R41" i="8"/>
  <c r="S41" i="8"/>
  <c r="R36" i="8"/>
  <c r="S36" i="8"/>
  <c r="R29" i="8"/>
  <c r="S29" i="8"/>
  <c r="R28" i="8"/>
  <c r="S28" i="8"/>
  <c r="R22" i="8"/>
  <c r="S22" i="8"/>
  <c r="R19" i="8"/>
  <c r="S19" i="8"/>
  <c r="R17" i="8"/>
  <c r="S17" i="8"/>
  <c r="R13" i="8"/>
  <c r="S13" i="8"/>
  <c r="R12" i="8"/>
  <c r="S12" i="8"/>
  <c r="R10" i="8"/>
  <c r="S10" i="8"/>
  <c r="R7" i="8"/>
  <c r="S7" i="8"/>
  <c r="R6" i="8"/>
  <c r="S6" i="8"/>
  <c r="R5" i="8"/>
  <c r="S5" i="8"/>
  <c r="R40" i="8"/>
  <c r="S40" i="8"/>
  <c r="S33" i="8"/>
  <c r="R33" i="8"/>
  <c r="X73" i="2"/>
  <c r="W254" i="2"/>
  <c r="W152" i="2"/>
  <c r="S152" i="2" s="1"/>
  <c r="U242" i="2"/>
  <c r="V107" i="2"/>
  <c r="W155" i="2"/>
  <c r="W121" i="2"/>
  <c r="R121" i="2" s="1"/>
  <c r="X76" i="2"/>
  <c r="V130" i="2"/>
  <c r="X104" i="2"/>
  <c r="U154" i="2"/>
  <c r="V161" i="2"/>
  <c r="R161" i="2" s="1"/>
  <c r="T247" i="2"/>
  <c r="W115" i="2"/>
  <c r="X145" i="2"/>
  <c r="U258" i="2"/>
  <c r="T140" i="2"/>
  <c r="X173" i="2"/>
  <c r="T63" i="2"/>
  <c r="V143" i="2"/>
  <c r="X278" i="2"/>
  <c r="V60" i="2"/>
  <c r="X220" i="2"/>
  <c r="X153" i="2"/>
  <c r="T297" i="2"/>
  <c r="X154" i="2"/>
  <c r="X124" i="2"/>
  <c r="T242" i="2"/>
  <c r="U134" i="2"/>
  <c r="V54" i="2"/>
  <c r="X70" i="2"/>
  <c r="X115" i="2"/>
  <c r="W224" i="2"/>
  <c r="X227" i="2"/>
  <c r="W141" i="2"/>
  <c r="X262" i="2"/>
  <c r="W241" i="2"/>
  <c r="X129" i="2"/>
  <c r="X175" i="2"/>
  <c r="W215" i="2"/>
  <c r="W262" i="2"/>
  <c r="X222" i="2"/>
  <c r="X141" i="2"/>
  <c r="V139" i="2"/>
  <c r="S139" i="2" s="1"/>
  <c r="X279" i="2"/>
  <c r="W173" i="2"/>
  <c r="X196" i="2"/>
  <c r="V63" i="2"/>
  <c r="W104" i="2"/>
  <c r="W145" i="2"/>
  <c r="W291" i="2"/>
  <c r="X64" i="2"/>
  <c r="X241" i="2"/>
  <c r="X210" i="2"/>
  <c r="W237" i="2"/>
  <c r="W297" i="2"/>
  <c r="W284" i="2"/>
  <c r="V253" i="2"/>
  <c r="W266" i="2"/>
  <c r="R266" i="2" s="1"/>
  <c r="X161" i="2"/>
  <c r="V89" i="2"/>
  <c r="R89" i="2" s="1"/>
  <c r="X165" i="2"/>
  <c r="X113" i="2"/>
  <c r="X88" i="2"/>
  <c r="X214" i="2"/>
  <c r="X155" i="2"/>
  <c r="W251" i="2"/>
  <c r="X95" i="2"/>
  <c r="V154" i="2"/>
  <c r="X75" i="2"/>
  <c r="W92" i="2"/>
  <c r="V80" i="2"/>
  <c r="S80" i="2" s="1"/>
  <c r="X179" i="2"/>
  <c r="X163" i="2"/>
  <c r="V176" i="2"/>
  <c r="R176" i="2" s="1"/>
  <c r="X105" i="2"/>
  <c r="X62" i="2"/>
  <c r="X213" i="2"/>
  <c r="W263" i="2"/>
  <c r="X143" i="2"/>
  <c r="V215" i="2"/>
  <c r="W137" i="2"/>
  <c r="X184" i="2"/>
  <c r="X197" i="2"/>
  <c r="W260" i="2"/>
  <c r="W289" i="2"/>
  <c r="W259" i="2"/>
  <c r="X58" i="2"/>
  <c r="V115" i="2"/>
  <c r="X117" i="2"/>
  <c r="X185" i="2"/>
  <c r="V69" i="2"/>
  <c r="W278" i="2"/>
  <c r="X301" i="2"/>
  <c r="W157" i="2"/>
  <c r="W154" i="2"/>
  <c r="V239" i="2"/>
  <c r="X298" i="2"/>
  <c r="V254" i="2"/>
  <c r="V127" i="2"/>
  <c r="X200" i="2"/>
  <c r="W204" i="2"/>
  <c r="X202" i="2"/>
  <c r="X71" i="2"/>
  <c r="X111" i="2"/>
  <c r="X123" i="2"/>
  <c r="W107" i="2"/>
  <c r="W140" i="2"/>
  <c r="W133" i="2"/>
  <c r="X229" i="2"/>
  <c r="X256" i="2"/>
  <c r="X230" i="2"/>
  <c r="X103" i="2"/>
  <c r="X157" i="2"/>
  <c r="X65" i="2"/>
  <c r="W70" i="2"/>
  <c r="X260" i="2"/>
  <c r="X189" i="2"/>
  <c r="X158" i="2"/>
  <c r="W195" i="2"/>
  <c r="X160" i="2"/>
  <c r="X144" i="2"/>
  <c r="X130" i="2"/>
  <c r="W127" i="2"/>
  <c r="V155" i="2"/>
  <c r="X108" i="2"/>
  <c r="V146" i="2"/>
  <c r="W296" i="2"/>
  <c r="V105" i="2"/>
  <c r="S105" i="2" s="1"/>
  <c r="W229" i="2"/>
  <c r="W301" i="2"/>
  <c r="W227" i="2"/>
  <c r="V280" i="2"/>
  <c r="X284" i="2"/>
  <c r="W283" i="2"/>
  <c r="X178" i="2"/>
  <c r="W159" i="2"/>
  <c r="X56" i="2"/>
  <c r="W164" i="2"/>
  <c r="W166" i="2"/>
  <c r="V216" i="2"/>
  <c r="V180" i="2"/>
  <c r="V128" i="2"/>
  <c r="V151" i="2"/>
  <c r="V268" i="2"/>
  <c r="V170" i="2"/>
  <c r="X55" i="2"/>
  <c r="X248" i="2"/>
  <c r="X67" i="2"/>
  <c r="R16" i="11" s="1"/>
  <c r="V204" i="2"/>
  <c r="V273" i="2"/>
  <c r="X253" i="2"/>
  <c r="X78" i="2"/>
  <c r="X228" i="2"/>
  <c r="V112" i="2"/>
  <c r="R112" i="2" s="1"/>
  <c r="X236" i="2"/>
  <c r="X246" i="2"/>
  <c r="V259" i="2"/>
  <c r="X112" i="2"/>
  <c r="X169" i="2"/>
  <c r="X122" i="2"/>
  <c r="W202" i="2"/>
  <c r="X177" i="2"/>
  <c r="X264" i="2"/>
  <c r="V157" i="2"/>
  <c r="V62" i="2"/>
  <c r="X120" i="2"/>
  <c r="W151" i="2"/>
  <c r="W199" i="2"/>
  <c r="V240" i="2"/>
  <c r="W177" i="2"/>
  <c r="X152" i="2"/>
  <c r="W193" i="2"/>
  <c r="V82" i="2"/>
  <c r="X80" i="2"/>
  <c r="X276" i="2"/>
  <c r="V256" i="2"/>
  <c r="W212" i="2"/>
  <c r="X180" i="2"/>
  <c r="W208" i="2"/>
  <c r="V208" i="2"/>
  <c r="W261" i="2"/>
  <c r="V261" i="2"/>
  <c r="W214" i="2"/>
  <c r="V214" i="2"/>
  <c r="W302" i="2"/>
  <c r="X280" i="2"/>
  <c r="W246" i="2"/>
  <c r="V246" i="2"/>
  <c r="X291" i="2"/>
  <c r="X89" i="2"/>
  <c r="W255" i="2"/>
  <c r="W91" i="2"/>
  <c r="R91" i="2" s="1"/>
  <c r="X273" i="2"/>
  <c r="X254" i="2"/>
  <c r="V209" i="2"/>
  <c r="S209" i="2" s="1"/>
  <c r="V123" i="2"/>
  <c r="W77" i="2"/>
  <c r="V248" i="2"/>
  <c r="V224" i="2"/>
  <c r="V221" i="2"/>
  <c r="W221" i="2"/>
  <c r="X190" i="2"/>
  <c r="X149" i="2"/>
  <c r="W136" i="2"/>
  <c r="W88" i="2"/>
  <c r="V194" i="2"/>
  <c r="R194" i="2" s="1"/>
  <c r="X164" i="2"/>
  <c r="V207" i="2"/>
  <c r="W123" i="2"/>
  <c r="V104" i="2"/>
  <c r="V159" i="2"/>
  <c r="W179" i="2"/>
  <c r="W156" i="2"/>
  <c r="V56" i="2"/>
  <c r="X287" i="2"/>
  <c r="V135" i="2"/>
  <c r="W135" i="2"/>
  <c r="X191" i="2"/>
  <c r="V211" i="2"/>
  <c r="R211" i="2" s="1"/>
  <c r="W295" i="2"/>
  <c r="V295" i="2"/>
  <c r="X82" i="2"/>
  <c r="X159" i="2"/>
  <c r="X217" i="2"/>
  <c r="Y67" i="2"/>
  <c r="R17" i="11" s="1"/>
  <c r="Q17" i="11"/>
  <c r="W277" i="2"/>
  <c r="V277" i="2"/>
  <c r="V173" i="2"/>
  <c r="V140" i="2"/>
  <c r="X258" i="2"/>
  <c r="V278" i="2"/>
  <c r="X54" i="2"/>
  <c r="W126" i="2"/>
  <c r="W128" i="2"/>
  <c r="X170" i="2"/>
  <c r="V97" i="2"/>
  <c r="V92" i="2"/>
  <c r="V241" i="2"/>
  <c r="V88" i="2"/>
  <c r="X167" i="2"/>
  <c r="W119" i="2"/>
  <c r="W96" i="2"/>
  <c r="W220" i="2"/>
  <c r="W117" i="2"/>
  <c r="X268" i="2"/>
  <c r="V99" i="2"/>
  <c r="S99" i="2" s="1"/>
  <c r="W130" i="2"/>
  <c r="X86" i="2"/>
  <c r="V212" i="2"/>
  <c r="V124" i="2"/>
  <c r="W111" i="2"/>
  <c r="U129" i="2"/>
  <c r="S129" i="2" s="1"/>
  <c r="U219" i="2"/>
  <c r="Y297" i="2"/>
  <c r="T279" i="2"/>
  <c r="Y253" i="2"/>
  <c r="U111" i="2"/>
  <c r="T216" i="2"/>
  <c r="Y108" i="2"/>
  <c r="X133" i="2"/>
  <c r="V68" i="2"/>
  <c r="V291" i="2"/>
  <c r="W223" i="2"/>
  <c r="X146" i="2"/>
  <c r="X138" i="2"/>
  <c r="V275" i="2"/>
  <c r="V57" i="2"/>
  <c r="W100" i="2"/>
  <c r="V187" i="2"/>
  <c r="V171" i="2"/>
  <c r="X251" i="2"/>
  <c r="X272" i="2"/>
  <c r="V156" i="2"/>
  <c r="X119" i="2"/>
  <c r="X203" i="2"/>
  <c r="X212" i="2"/>
  <c r="V276" i="2"/>
  <c r="X174" i="2"/>
  <c r="X194" i="2"/>
  <c r="V90" i="2"/>
  <c r="X68" i="2"/>
  <c r="X128" i="2"/>
  <c r="X97" i="2"/>
  <c r="X245" i="2"/>
  <c r="V72" i="2"/>
  <c r="V106" i="2"/>
  <c r="V192" i="2"/>
  <c r="S192" i="2" s="1"/>
  <c r="X102" i="2"/>
  <c r="W274" i="2"/>
  <c r="W170" i="2"/>
  <c r="W273" i="2"/>
  <c r="X216" i="2"/>
  <c r="W196" i="2"/>
  <c r="U240" i="2"/>
  <c r="W232" i="2"/>
  <c r="W125" i="2"/>
  <c r="W64" i="2"/>
  <c r="X91" i="2"/>
  <c r="W290" i="2"/>
  <c r="V96" i="2"/>
  <c r="W54" i="2"/>
  <c r="X263" i="2"/>
  <c r="W108" i="2"/>
  <c r="W81" i="2"/>
  <c r="X136" i="2"/>
  <c r="X277" i="2"/>
  <c r="V302" i="2"/>
  <c r="X281" i="2"/>
  <c r="V296" i="2"/>
  <c r="W189" i="2"/>
  <c r="X289" i="2"/>
  <c r="V137" i="2"/>
  <c r="X257" i="2"/>
  <c r="X225" i="2"/>
  <c r="W247" i="2"/>
  <c r="X235" i="2"/>
  <c r="V220" i="2"/>
  <c r="W114" i="2"/>
  <c r="W186" i="2"/>
  <c r="V136" i="2"/>
  <c r="X285" i="2"/>
  <c r="V177" i="2"/>
  <c r="X168" i="2"/>
  <c r="V87" i="2"/>
  <c r="R87" i="2" s="1"/>
  <c r="V58" i="2"/>
  <c r="X223" i="2"/>
  <c r="W293" i="2"/>
  <c r="W143" i="2"/>
  <c r="W216" i="2"/>
  <c r="W280" i="2"/>
  <c r="W239" i="2"/>
  <c r="V265" i="2"/>
  <c r="X288" i="2"/>
  <c r="X131" i="2"/>
  <c r="X299" i="2"/>
  <c r="X162" i="2"/>
  <c r="W58" i="2"/>
  <c r="V202" i="2"/>
  <c r="V111" i="2"/>
  <c r="X118" i="2"/>
  <c r="V126" i="2"/>
  <c r="V167" i="2"/>
  <c r="W240" i="2"/>
  <c r="V67" i="2"/>
  <c r="V236" i="2"/>
  <c r="V114" i="2"/>
  <c r="S160" i="2"/>
  <c r="V133" i="2"/>
  <c r="X296" i="2"/>
  <c r="V94" i="2"/>
  <c r="S94" i="2" s="1"/>
  <c r="R271" i="2"/>
  <c r="X116" i="2"/>
  <c r="X267" i="2"/>
  <c r="V201" i="2"/>
  <c r="V225" i="2"/>
  <c r="W236" i="2"/>
  <c r="V178" i="2"/>
  <c r="X283" i="2"/>
  <c r="W256" i="2"/>
  <c r="V85" i="2"/>
  <c r="X135" i="2"/>
  <c r="X83" i="2"/>
  <c r="W300" i="2"/>
  <c r="V293" i="2"/>
  <c r="V227" i="2"/>
  <c r="V294" i="2"/>
  <c r="W97" i="2"/>
  <c r="V255" i="2"/>
  <c r="X240" i="2"/>
  <c r="X224" i="2"/>
  <c r="X233" i="2"/>
  <c r="X171" i="2"/>
  <c r="W84" i="2"/>
  <c r="R84" i="2" s="1"/>
  <c r="V81" i="2"/>
  <c r="X234" i="2"/>
  <c r="W248" i="2"/>
  <c r="W268" i="2"/>
  <c r="X96" i="2"/>
  <c r="S210" i="2"/>
  <c r="V244" i="2"/>
  <c r="V228" i="2"/>
  <c r="W124" i="2"/>
  <c r="X302" i="2"/>
  <c r="V229" i="2"/>
  <c r="V95" i="2"/>
  <c r="W95" i="2"/>
  <c r="V175" i="2"/>
  <c r="W175" i="2"/>
  <c r="S175" i="2" s="1"/>
  <c r="W183" i="2"/>
  <c r="V183" i="2"/>
  <c r="W285" i="2"/>
  <c r="V285" i="2"/>
  <c r="R285" i="2" s="1"/>
  <c r="V267" i="2"/>
  <c r="W267" i="2"/>
  <c r="W174" i="2"/>
  <c r="V174" i="2"/>
  <c r="W298" i="2"/>
  <c r="V298" i="2"/>
  <c r="W148" i="2"/>
  <c r="V148" i="2"/>
  <c r="W113" i="2"/>
  <c r="V113" i="2"/>
  <c r="V131" i="2"/>
  <c r="W131" i="2"/>
  <c r="V141" i="2"/>
  <c r="V71" i="2"/>
  <c r="W71" i="2"/>
  <c r="V122" i="2"/>
  <c r="W122" i="2"/>
  <c r="W158" i="2"/>
  <c r="V158" i="2"/>
  <c r="V120" i="2"/>
  <c r="W120" i="2"/>
  <c r="W169" i="2"/>
  <c r="V169" i="2"/>
  <c r="V188" i="2"/>
  <c r="W188" i="2"/>
  <c r="W82" i="2"/>
  <c r="W191" i="2"/>
  <c r="V191" i="2"/>
  <c r="R191" i="2" s="1"/>
  <c r="V132" i="2"/>
  <c r="W132" i="2"/>
  <c r="V250" i="2"/>
  <c r="R160" i="2"/>
  <c r="X85" i="2"/>
  <c r="W207" i="2"/>
  <c r="Q15" i="11"/>
  <c r="X243" i="2"/>
  <c r="X265" i="2"/>
  <c r="W165" i="2"/>
  <c r="V165" i="2"/>
  <c r="V222" i="2"/>
  <c r="W57" i="2"/>
  <c r="V193" i="2"/>
  <c r="V237" i="2"/>
  <c r="W90" i="2"/>
  <c r="V186" i="2"/>
  <c r="V195" i="2"/>
  <c r="W178" i="2"/>
  <c r="W163" i="2"/>
  <c r="V163" i="2"/>
  <c r="W98" i="2"/>
  <c r="V98" i="2"/>
  <c r="V179" i="2"/>
  <c r="W222" i="2"/>
  <c r="V184" i="2"/>
  <c r="V243" i="2"/>
  <c r="W67" i="2"/>
  <c r="W201" i="2"/>
  <c r="X79" i="2"/>
  <c r="V283" i="2"/>
  <c r="X186" i="2"/>
  <c r="X303" i="2"/>
  <c r="W56" i="2"/>
  <c r="W225" i="2"/>
  <c r="V290" i="2"/>
  <c r="V125" i="2"/>
  <c r="X101" i="2"/>
  <c r="W171" i="2"/>
  <c r="W303" i="2"/>
  <c r="W218" i="2"/>
  <c r="V274" i="2"/>
  <c r="V217" i="2"/>
  <c r="W217" i="2"/>
  <c r="V83" i="2"/>
  <c r="W190" i="2"/>
  <c r="V260" i="2"/>
  <c r="X271" i="2"/>
  <c r="R73" i="2"/>
  <c r="V142" i="2"/>
  <c r="X275" i="2"/>
  <c r="W83" i="2"/>
  <c r="V279" i="2"/>
  <c r="V199" i="2"/>
  <c r="W287" i="2"/>
  <c r="X199" i="2"/>
  <c r="W167" i="2"/>
  <c r="W304" i="2"/>
  <c r="R75" i="2"/>
  <c r="S75" i="2"/>
  <c r="X87" i="2"/>
  <c r="V264" i="2"/>
  <c r="X60" i="2"/>
  <c r="V145" i="2"/>
  <c r="S73" i="2"/>
  <c r="X137" i="2"/>
  <c r="V233" i="2"/>
  <c r="V213" i="2"/>
  <c r="R213" i="2" s="1"/>
  <c r="W242" i="2"/>
  <c r="V301" i="2"/>
  <c r="Y208" i="2"/>
  <c r="V284" i="2"/>
  <c r="W85" i="2"/>
  <c r="X121" i="2"/>
  <c r="V182" i="2"/>
  <c r="S182" i="2" s="1"/>
  <c r="W106" i="2"/>
  <c r="X295" i="2"/>
  <c r="V77" i="2"/>
  <c r="W72" i="2"/>
  <c r="V117" i="2"/>
  <c r="W142" i="2"/>
  <c r="V300" i="2"/>
  <c r="W294" i="2"/>
  <c r="V65" i="2"/>
  <c r="W265" i="2"/>
  <c r="V297" i="2"/>
  <c r="W187" i="2"/>
  <c r="V79" i="2"/>
  <c r="X218" i="2"/>
  <c r="X81" i="2"/>
  <c r="W153" i="2"/>
  <c r="R153" i="2" s="1"/>
  <c r="X114" i="2"/>
  <c r="W146" i="2"/>
  <c r="S271" i="2"/>
  <c r="W258" i="2"/>
  <c r="V303" i="2"/>
  <c r="V200" i="2"/>
  <c r="W200" i="2"/>
  <c r="V218" i="2"/>
  <c r="W219" i="2"/>
  <c r="V219" i="2"/>
  <c r="V232" i="2"/>
  <c r="W184" i="2"/>
  <c r="V206" i="2"/>
  <c r="W244" i="2"/>
  <c r="U225" i="2"/>
  <c r="F183" i="2"/>
  <c r="V164" i="2"/>
  <c r="V242" i="2"/>
  <c r="H134" i="2"/>
  <c r="V134" i="2" s="1"/>
  <c r="O231" i="2"/>
  <c r="Y219" i="2"/>
  <c r="Q203" i="2"/>
  <c r="Y203" i="2" s="1"/>
  <c r="W275" i="2"/>
  <c r="Q296" i="2"/>
  <c r="Y296" i="2" s="1"/>
  <c r="E232" i="2"/>
  <c r="M196" i="2"/>
  <c r="T196" i="2" s="1"/>
  <c r="H197" i="2"/>
  <c r="V197" i="2" s="1"/>
  <c r="H223" i="2"/>
  <c r="V223" i="2" s="1"/>
  <c r="M218" i="2"/>
  <c r="T218" i="2" s="1"/>
  <c r="N140" i="2"/>
  <c r="U140" i="2" s="1"/>
  <c r="X294" i="2"/>
  <c r="G180" i="2"/>
  <c r="T219" i="2"/>
  <c r="M203" i="2"/>
  <c r="T203" i="2" s="1"/>
  <c r="O226" i="2"/>
  <c r="W226" i="2" s="1"/>
  <c r="I234" i="2"/>
  <c r="V234" i="2" s="1"/>
  <c r="N156" i="2"/>
  <c r="U156" i="2" s="1"/>
  <c r="M227" i="2"/>
  <c r="T227" i="2" s="1"/>
  <c r="N170" i="2"/>
  <c r="U170" i="2" s="1"/>
  <c r="U273" i="2"/>
  <c r="X148" i="2"/>
  <c r="N226" i="2"/>
  <c r="U226" i="2" s="1"/>
  <c r="F125" i="2"/>
  <c r="I110" i="2"/>
  <c r="W110" i="2" s="1"/>
  <c r="V287" i="2"/>
  <c r="V189" i="2"/>
  <c r="V235" i="2"/>
  <c r="S235" i="2" s="1"/>
  <c r="T135" i="2"/>
  <c r="N183" i="2"/>
  <c r="U183" i="2" s="1"/>
  <c r="X205" i="2"/>
  <c r="W109" i="2"/>
  <c r="V108" i="2"/>
  <c r="V55" i="2"/>
  <c r="V190" i="2"/>
  <c r="G223" i="2"/>
  <c r="W144" i="2"/>
  <c r="R144" i="2" s="1"/>
  <c r="V258" i="2"/>
  <c r="W79" i="2"/>
  <c r="V270" i="2"/>
  <c r="W233" i="2"/>
  <c r="P140" i="2"/>
  <c r="G197" i="2"/>
  <c r="M180" i="2"/>
  <c r="T180" i="2" s="1"/>
  <c r="I269" i="2"/>
  <c r="Q91" i="2"/>
  <c r="Y91" i="2" s="1"/>
  <c r="U202" i="2"/>
  <c r="I93" i="2"/>
  <c r="V93" i="2" s="1"/>
  <c r="J183" i="2"/>
  <c r="X183" i="2" s="1"/>
  <c r="V289" i="2"/>
  <c r="X290" i="2"/>
  <c r="V282" i="2"/>
  <c r="V263" i="2"/>
  <c r="V304" i="2"/>
  <c r="X107" i="2"/>
  <c r="E183" i="2"/>
  <c r="V251" i="2"/>
  <c r="W103" i="2"/>
  <c r="V119" i="2"/>
  <c r="X172" i="2"/>
  <c r="J140" i="2"/>
  <c r="I205" i="2"/>
  <c r="V205" i="2" s="1"/>
  <c r="U208" i="2"/>
  <c r="I185" i="2"/>
  <c r="P125" i="2"/>
  <c r="X125" i="2" s="1"/>
  <c r="Y59" i="2"/>
  <c r="W206" i="2"/>
  <c r="D125" i="2"/>
  <c r="J259" i="2"/>
  <c r="X259" i="2" s="1"/>
  <c r="X127" i="2"/>
  <c r="Y175" i="2"/>
  <c r="H203" i="2"/>
  <c r="V203" i="2" s="1"/>
  <c r="O118" i="2"/>
  <c r="I198" i="2"/>
  <c r="W198" i="2" s="1"/>
  <c r="P23" i="11"/>
  <c r="R210" i="2"/>
  <c r="I172" i="2"/>
  <c r="V172" i="2" s="1"/>
  <c r="V101" i="2"/>
  <c r="W101" i="2"/>
  <c r="W65" i="2"/>
  <c r="W66" i="2"/>
  <c r="V66" i="2"/>
  <c r="W116" i="2"/>
  <c r="V116" i="2"/>
  <c r="V162" i="2"/>
  <c r="W162" i="2"/>
  <c r="V262" i="2"/>
  <c r="V181" i="2"/>
  <c r="W181" i="2"/>
  <c r="W86" i="2"/>
  <c r="W76" i="2"/>
  <c r="V76" i="2"/>
  <c r="V292" i="2"/>
  <c r="V70" i="2"/>
  <c r="W250" i="2"/>
  <c r="V103" i="2"/>
  <c r="W270" i="2"/>
  <c r="X94" i="2"/>
  <c r="V230" i="2"/>
  <c r="X304" i="2"/>
  <c r="W78" i="2"/>
  <c r="V78" i="2"/>
  <c r="P17" i="11"/>
  <c r="R12" i="11"/>
  <c r="P10" i="11"/>
  <c r="P11" i="11"/>
  <c r="F299" i="2"/>
  <c r="O299" i="2"/>
  <c r="M299" i="2"/>
  <c r="T299" i="2" s="1"/>
  <c r="D292" i="2"/>
  <c r="F292" i="2"/>
  <c r="E292" i="2"/>
  <c r="J292" i="2"/>
  <c r="X292" i="2" s="1"/>
  <c r="G292" i="2"/>
  <c r="Q286" i="2"/>
  <c r="Y286" i="2" s="1"/>
  <c r="O286" i="2"/>
  <c r="I288" i="2"/>
  <c r="P286" i="2"/>
  <c r="X286" i="2" s="1"/>
  <c r="G270" i="2"/>
  <c r="I272" i="2"/>
  <c r="V272" i="2" s="1"/>
  <c r="M270" i="2"/>
  <c r="T270" i="2" s="1"/>
  <c r="P270" i="2"/>
  <c r="X270" i="2" s="1"/>
  <c r="M257" i="2"/>
  <c r="T257" i="2" s="1"/>
  <c r="O257" i="2"/>
  <c r="Q257" i="2"/>
  <c r="Y257" i="2" s="1"/>
  <c r="G250" i="2"/>
  <c r="I252" i="2"/>
  <c r="M250" i="2"/>
  <c r="T250" i="2" s="1"/>
  <c r="J250" i="2"/>
  <c r="P250" i="2"/>
  <c r="N243" i="2"/>
  <c r="U243" i="2" s="1"/>
  <c r="E243" i="2"/>
  <c r="M243" i="2"/>
  <c r="T243" i="2" s="1"/>
  <c r="I245" i="2"/>
  <c r="H166" i="2"/>
  <c r="V166" i="2" s="1"/>
  <c r="M117" i="2"/>
  <c r="T117" i="2" s="1"/>
  <c r="H86" i="2"/>
  <c r="V86" i="2" s="1"/>
  <c r="Q176" i="2"/>
  <c r="Y176" i="2" s="1"/>
  <c r="P238" i="2"/>
  <c r="X238" i="2" s="1"/>
  <c r="Q226" i="2"/>
  <c r="Y226" i="2" s="1"/>
  <c r="E117" i="2"/>
  <c r="O249" i="2"/>
  <c r="F237" i="2"/>
  <c r="O138" i="2"/>
  <c r="Q166" i="2"/>
  <c r="Y166" i="2" s="1"/>
  <c r="D238" i="2"/>
  <c r="H196" i="2"/>
  <c r="V196" i="2" s="1"/>
  <c r="O74" i="2"/>
  <c r="J110" i="2"/>
  <c r="X110" i="2" s="1"/>
  <c r="D86" i="2"/>
  <c r="M166" i="2"/>
  <c r="T166" i="2" s="1"/>
  <c r="G147" i="2"/>
  <c r="E207" i="2"/>
  <c r="N281" i="2"/>
  <c r="U281" i="2" s="1"/>
  <c r="H305" i="2"/>
  <c r="V305" i="2" s="1"/>
  <c r="S305" i="2" s="1"/>
  <c r="D296" i="2"/>
  <c r="O281" i="2"/>
  <c r="G196" i="2"/>
  <c r="Q238" i="2"/>
  <c r="Y238" i="2" s="1"/>
  <c r="J207" i="2"/>
  <c r="O238" i="2"/>
  <c r="P181" i="2"/>
  <c r="P207" i="2"/>
  <c r="N74" i="2"/>
  <c r="U74" i="2" s="1"/>
  <c r="F171" i="2"/>
  <c r="G86" i="2"/>
  <c r="J181" i="2"/>
  <c r="E166" i="2"/>
  <c r="Q207" i="2"/>
  <c r="Y207" i="2" s="1"/>
  <c r="H247" i="2"/>
  <c r="V247" i="2" s="1"/>
  <c r="J74" i="2"/>
  <c r="X74" i="2" s="1"/>
  <c r="N171" i="2"/>
  <c r="U171" i="2" s="1"/>
  <c r="I102" i="2"/>
  <c r="W102" i="2" s="1"/>
  <c r="H147" i="2"/>
  <c r="V147" i="2" s="1"/>
  <c r="E188" i="2"/>
  <c r="F138" i="2"/>
  <c r="M110" i="2"/>
  <c r="T110" i="2" s="1"/>
  <c r="G100" i="2"/>
  <c r="D147" i="2"/>
  <c r="H226" i="2"/>
  <c r="F117" i="2"/>
  <c r="F277" i="2"/>
  <c r="D188" i="2"/>
  <c r="D181" i="2"/>
  <c r="I168" i="2"/>
  <c r="I149" i="2"/>
  <c r="N138" i="2"/>
  <c r="U138" i="2" s="1"/>
  <c r="H100" i="2"/>
  <c r="V100" i="2" s="1"/>
  <c r="D247" i="2"/>
  <c r="E305" i="2"/>
  <c r="AI47" i="8" a="1"/>
  <c r="AI36" i="8" a="1"/>
  <c r="AG17" i="8" a="1"/>
  <c r="AF16" i="8" a="1"/>
  <c r="AF15" i="8" a="1"/>
  <c r="AE29" i="8" a="1"/>
  <c r="AD45" i="8" a="1"/>
  <c r="AD11" i="8" a="1"/>
  <c r="AL50" i="15" a="1"/>
  <c r="AC43" i="15" a="1"/>
  <c r="AI10" i="8" a="1"/>
  <c r="AI29" i="8" a="1"/>
  <c r="AG33" i="8" a="1"/>
  <c r="AF36" i="8" a="1"/>
  <c r="AF12" i="8" a="1"/>
  <c r="AE42" i="8" a="1"/>
  <c r="AD22" i="8" a="1"/>
  <c r="AD25" i="8" a="1"/>
  <c r="AG50" i="15" a="1"/>
  <c r="AB43" i="15" a="1"/>
  <c r="AE35" i="15" a="1"/>
  <c r="AL14" i="15" a="1"/>
  <c r="AC19" i="15" a="1"/>
  <c r="AE34" i="15" a="1"/>
  <c r="AL11" i="15" a="1"/>
  <c r="AC36" i="15" a="1"/>
  <c r="AE49" i="15" a="1"/>
  <c r="R58" i="15" a="1"/>
  <c r="R67" i="15" a="1"/>
  <c r="AL47" i="15" a="1"/>
  <c r="AG45" i="15" a="1"/>
  <c r="AD23" i="15" a="1"/>
  <c r="R62" i="15" a="1"/>
  <c r="Q68" i="15" a="1"/>
  <c r="Q61" i="15" a="1"/>
  <c r="AE37" i="15" a="1"/>
  <c r="AD21" i="15" a="1"/>
  <c r="Q65" i="15" a="1"/>
  <c r="AD28" i="15" a="1"/>
  <c r="AL48" i="15" a="1"/>
  <c r="AM11" i="8" a="1"/>
  <c r="AL46" i="15" a="1"/>
  <c r="R71" i="15" a="1"/>
  <c r="AB13" i="15" a="1"/>
  <c r="AG37" i="15" a="1"/>
  <c r="AC21" i="15" a="1"/>
  <c r="AB42" i="15" a="1"/>
  <c r="AC28" i="15" a="1"/>
  <c r="AI4" i="8" a="1"/>
  <c r="AG45" i="8" a="1"/>
  <c r="AG15" i="8" a="1"/>
  <c r="AF10" i="8" a="1"/>
  <c r="AF7" i="8" a="1"/>
  <c r="AE19" i="8" a="1"/>
  <c r="AD5" i="8" a="1"/>
  <c r="AD17" i="8" a="1"/>
  <c r="AE50" i="15" a="1"/>
  <c r="AL17" i="15" a="1"/>
  <c r="AD35" i="15" a="1"/>
  <c r="AG14" i="15" a="1"/>
  <c r="AB19" i="15" a="1"/>
  <c r="AD34" i="15" a="1"/>
  <c r="AG11" i="15" a="1"/>
  <c r="AB36" i="15" a="1"/>
  <c r="AD49" i="15" a="1"/>
  <c r="Q58" i="15" a="1"/>
  <c r="AB26" i="15" a="1"/>
  <c r="R66" i="15" a="1"/>
  <c r="AE45" i="15" a="1"/>
  <c r="AC23" i="15" a="1"/>
  <c r="AE11" i="15" a="1"/>
  <c r="AL10" i="15" a="1"/>
  <c r="AM18" i="8" a="1"/>
  <c r="AC26" i="15" a="1"/>
  <c r="AI7" i="8" a="1"/>
  <c r="AG22" i="8" a="1"/>
  <c r="AG16" i="8" a="1"/>
  <c r="AF4" i="8" a="1"/>
  <c r="AF30" i="8" a="1"/>
  <c r="AE40" i="8" a="1"/>
  <c r="AD16" i="8" a="1"/>
  <c r="AD33" i="8" a="1"/>
  <c r="AD50" i="15" a="1"/>
  <c r="AG17" i="15" a="1"/>
  <c r="AC35" i="15" a="1"/>
  <c r="AC49" i="15" a="1"/>
  <c r="AI30" i="8" a="1"/>
  <c r="AG5" i="8" a="1"/>
  <c r="AG36" i="8" a="1"/>
  <c r="AF29" i="8" a="1"/>
  <c r="AF28" i="8" a="1"/>
  <c r="AE18" i="8" a="1"/>
  <c r="AD6" i="8" a="1"/>
  <c r="AD47" i="8" a="1"/>
  <c r="AC50" i="15" a="1"/>
  <c r="AE17" i="15" a="1"/>
  <c r="AB35" i="15" a="1"/>
  <c r="AD14" i="15" a="1"/>
  <c r="AG4" i="15" a="1"/>
  <c r="AB34" i="15" a="1"/>
  <c r="AD11" i="15" a="1"/>
  <c r="AG10" i="15" a="1"/>
  <c r="AB49" i="15" a="1"/>
  <c r="AB18" i="15" a="1"/>
  <c r="AD26" i="15" a="1"/>
  <c r="AL29" i="15" a="1"/>
  <c r="AC45" i="15" a="1"/>
  <c r="AB31" i="15" a="1"/>
  <c r="AE46" i="15" a="1"/>
  <c r="R63" i="15" a="1"/>
  <c r="AD13" i="15" a="1"/>
  <c r="R59" i="15" a="1"/>
  <c r="AB16" i="15" a="1"/>
  <c r="AD42" i="15" a="1"/>
  <c r="Q70" i="15" a="1"/>
  <c r="AD53" i="15" a="1"/>
  <c r="AM40" i="8" a="1"/>
  <c r="AE4" i="15" a="1"/>
  <c r="AL5" i="15" a="1"/>
  <c r="AC11" i="15" a="1"/>
  <c r="AE10" i="15" a="1"/>
  <c r="AL12" i="15" a="1"/>
  <c r="AC18" i="15" a="1"/>
  <c r="AE26" i="15" a="1"/>
  <c r="AG29" i="15" a="1"/>
  <c r="AB45" i="15" a="1"/>
  <c r="AC31" i="15" a="1"/>
  <c r="AD46" i="15" a="1"/>
  <c r="Q63" i="15" a="1"/>
  <c r="AE13" i="15" a="1"/>
  <c r="Q59" i="15" a="1"/>
  <c r="AC16" i="15" a="1"/>
  <c r="AI6" i="8" a="1"/>
  <c r="AG14" i="8" a="1"/>
  <c r="AG10" i="8" a="1"/>
  <c r="AF42" i="8" a="1"/>
  <c r="AF6" i="8" a="1"/>
  <c r="AE11" i="8" a="1"/>
  <c r="AD42" i="8" a="1"/>
  <c r="AD15" i="8" a="1"/>
  <c r="AB50" i="15" a="1"/>
  <c r="AD17" i="15" a="1"/>
  <c r="AL9" i="15" a="1"/>
  <c r="AC14" i="15" a="1"/>
  <c r="AE42" i="15" a="1"/>
  <c r="R70" i="15" a="1"/>
  <c r="AE53" i="15" a="1"/>
  <c r="AM14" i="8" a="1"/>
  <c r="AB52" i="15" a="1"/>
  <c r="AG13" i="15" a="1"/>
  <c r="AB32" i="15" a="1"/>
  <c r="AD16" i="15" a="1"/>
  <c r="AG42" i="15" a="1"/>
  <c r="AL8" i="15" a="1"/>
  <c r="AG53" i="15" a="1"/>
  <c r="AM17" i="8" a="1"/>
  <c r="AE12" i="15" a="1"/>
  <c r="AE18" i="15" a="1"/>
  <c r="AL26" i="15" a="1"/>
  <c r="AD29" i="15" a="1"/>
  <c r="Q55" i="15" a="1"/>
  <c r="AE31" i="15" a="1"/>
  <c r="AB46" i="15" a="1"/>
  <c r="AC52" i="15" a="1"/>
  <c r="AL13" i="15" a="1"/>
  <c r="AC32" i="15" a="1"/>
  <c r="AE16" i="15" a="1"/>
  <c r="AL42" i="15" a="1"/>
  <c r="AG8" i="15" a="1"/>
  <c r="AL53" i="15" a="1"/>
  <c r="AM33" i="8" a="1"/>
  <c r="AD6" i="15" a="1"/>
  <c r="AC40" i="15" a="1"/>
  <c r="AI18" i="8" a="1"/>
  <c r="AG47" i="8" a="1"/>
  <c r="AG4" i="8" a="1"/>
  <c r="AF19" i="8" a="1"/>
  <c r="AE45" i="8" a="1"/>
  <c r="AE33" i="8" a="1"/>
  <c r="AD19" i="8" a="1"/>
  <c r="AD12" i="8" a="1"/>
  <c r="AL25" i="15" a="1"/>
  <c r="AC17" i="15" a="1"/>
  <c r="AG9" i="15" a="1"/>
  <c r="AB14" i="15" a="1"/>
  <c r="AD4" i="15" a="1"/>
  <c r="AG5" i="15" a="1"/>
  <c r="AB11" i="15" a="1"/>
  <c r="AD10" i="15" a="1"/>
  <c r="AG12" i="15" a="1"/>
  <c r="AD18" i="15" a="1"/>
  <c r="AG26" i="15" a="1"/>
  <c r="AE29" i="15" a="1"/>
  <c r="R55" i="15" a="1"/>
  <c r="AD31" i="15" a="1"/>
  <c r="AC46" i="15" a="1"/>
  <c r="AD44" i="15" a="1"/>
  <c r="AL52" i="15" a="1"/>
  <c r="AD2" i="15" a="1"/>
  <c r="AG15" i="15" a="1"/>
  <c r="AB8" i="15" a="1"/>
  <c r="AM16" i="8" a="1"/>
  <c r="AC44" i="15" a="1"/>
  <c r="R64" i="15" a="1"/>
  <c r="AE15" i="15" a="1"/>
  <c r="AB48" i="15" a="1"/>
  <c r="AM41" i="8" a="1"/>
  <c r="AM12" i="8" a="1"/>
  <c r="AD45" i="15" a="1"/>
  <c r="AG46" i="15" a="1"/>
  <c r="AL37" i="15" a="1"/>
  <c r="AB21" i="15" a="1"/>
  <c r="AC42" i="15" a="1"/>
  <c r="AB28" i="15" a="1"/>
  <c r="AC53" i="15" a="1"/>
  <c r="AM19" i="8" a="1"/>
  <c r="AI13" i="8" a="1"/>
  <c r="AG13" i="8" a="1"/>
  <c r="AG29" i="8" a="1"/>
  <c r="AF40" i="8" a="1"/>
  <c r="AE22" i="8" a="1"/>
  <c r="AE14" i="8" a="1"/>
  <c r="AD40" i="8" a="1"/>
  <c r="AD10" i="8" a="1"/>
  <c r="AG25" i="15" a="1"/>
  <c r="AB17" i="15" a="1"/>
  <c r="AE9" i="15" a="1"/>
  <c r="AL33" i="15" a="1"/>
  <c r="AC4" i="15" a="1"/>
  <c r="AE5" i="15" a="1"/>
  <c r="AL27" i="15" a="1"/>
  <c r="AC10" i="15" a="1"/>
  <c r="AI45" i="8" a="1"/>
  <c r="AI41" i="8" a="1"/>
  <c r="AG41" i="8" a="1"/>
  <c r="AG7" i="8" a="1"/>
  <c r="AF18" i="8" a="1"/>
  <c r="AE5" i="8" a="1"/>
  <c r="AE15" i="8" a="1"/>
  <c r="AD18" i="8" a="1"/>
  <c r="AD29" i="8" a="1"/>
  <c r="AE25" i="15" a="1"/>
  <c r="AL3" i="15" a="1"/>
  <c r="AD9" i="15" a="1"/>
  <c r="AG33" i="15" a="1"/>
  <c r="AB4" i="15" a="1"/>
  <c r="AD5" i="15" a="1"/>
  <c r="AG27" i="15" a="1"/>
  <c r="AB10" i="15" a="1"/>
  <c r="AD12" i="15" a="1"/>
  <c r="AG18" i="15" a="1"/>
  <c r="Q69" i="15" a="1"/>
  <c r="AC29" i="15" a="1"/>
  <c r="AL6" i="15" a="1"/>
  <c r="AG31" i="15" a="1"/>
  <c r="AL44" i="15" a="1"/>
  <c r="AD52" i="15" a="1"/>
  <c r="AL2" i="15" a="1"/>
  <c r="AD32" i="15" a="1"/>
  <c r="AG16" i="15" a="1"/>
  <c r="AB24" i="15" a="1"/>
  <c r="AE8" i="15" a="1"/>
  <c r="AM45" i="8" a="1"/>
  <c r="AM15" i="8" a="1"/>
  <c r="AE33" i="15" a="1"/>
  <c r="AL51" i="15" a="1"/>
  <c r="AC5" i="15" a="1"/>
  <c r="AE27" i="15" a="1"/>
  <c r="AL30" i="15" a="1"/>
  <c r="AC12" i="15" a="1"/>
  <c r="AL18" i="15" a="1"/>
  <c r="R69" i="15" a="1"/>
  <c r="AB29" i="15" a="1"/>
  <c r="AG6" i="15" a="1"/>
  <c r="AL31" i="15" a="1"/>
  <c r="AG44" i="15" a="1"/>
  <c r="AE52" i="15" a="1"/>
  <c r="AG2" i="15" a="1"/>
  <c r="AE32" i="15" a="1"/>
  <c r="AL16" i="15" a="1"/>
  <c r="AC24" i="15" a="1"/>
  <c r="AD8" i="15" a="1"/>
  <c r="AM28" i="8" a="1"/>
  <c r="AM47" i="8" a="1"/>
  <c r="AM6" i="8" a="1"/>
  <c r="AM13" i="8" a="1"/>
  <c r="AE51" i="15" a="1"/>
  <c r="AL38" i="15" a="1"/>
  <c r="AC27" i="15" a="1"/>
  <c r="AI22" i="8" a="1"/>
  <c r="AI16" i="8" a="1"/>
  <c r="AG12" i="8" a="1"/>
  <c r="AG30" i="8" a="1"/>
  <c r="AF11" i="8" a="1"/>
  <c r="AE17" i="8" a="1"/>
  <c r="AE10" i="8" a="1"/>
  <c r="AD14" i="8" a="1"/>
  <c r="AD30" i="8" a="1"/>
  <c r="AD25" i="15" a="1"/>
  <c r="AG3" i="15" a="1"/>
  <c r="AC9" i="15" a="1"/>
  <c r="R60" i="15" a="1"/>
  <c r="AC39" i="15" a="1"/>
  <c r="AI5" i="8" a="1"/>
  <c r="AI28" i="8" a="1"/>
  <c r="AG42" i="8" a="1"/>
  <c r="AG28" i="8" a="1"/>
  <c r="AF25" i="8" a="1"/>
  <c r="AE13" i="8" a="1"/>
  <c r="AE4" i="8" a="1"/>
  <c r="AD13" i="8" a="1"/>
  <c r="AL41" i="15" a="1"/>
  <c r="AC25" i="15" a="1"/>
  <c r="AE3" i="15" a="1"/>
  <c r="AB9" i="15" a="1"/>
  <c r="AD33" i="15" a="1"/>
  <c r="AG51" i="15" a="1"/>
  <c r="AB5" i="15" a="1"/>
  <c r="AD27" i="15" a="1"/>
  <c r="AG30" i="15" a="1"/>
  <c r="AB12" i="15" a="1"/>
  <c r="AB20" i="15" a="1"/>
  <c r="Q60" i="15" a="1"/>
  <c r="AB39" i="15" a="1"/>
  <c r="AE6" i="15" a="1"/>
  <c r="AB40" i="15" a="1"/>
  <c r="AE44" i="15" a="1"/>
  <c r="AG52" i="15" a="1"/>
  <c r="AE2" i="15" a="1"/>
  <c r="AG32" i="15" a="1"/>
  <c r="AL15" i="15" a="1"/>
  <c r="AD24" i="15" a="1"/>
  <c r="AC8" i="15" a="1"/>
  <c r="AL32" i="15" a="1"/>
  <c r="AE24" i="15" a="1"/>
  <c r="AM30" i="8" a="1"/>
  <c r="AD40" i="15" a="1"/>
  <c r="R56" i="15" a="1"/>
  <c r="AB2" i="15" a="1"/>
  <c r="AG24" i="15" a="1"/>
  <c r="AM29" i="8" a="1"/>
  <c r="AM7" i="8" a="1"/>
  <c r="Q66" i="15" a="1"/>
  <c r="AB23" i="15" a="1"/>
  <c r="Q71" i="15" a="1"/>
  <c r="AC13" i="15" a="1"/>
  <c r="AI12" i="8" a="1"/>
  <c r="AI11" i="8" a="1"/>
  <c r="AG19" i="8" a="1"/>
  <c r="AG6" i="8" a="1"/>
  <c r="AF17" i="8" a="1"/>
  <c r="AE41" i="8" a="1"/>
  <c r="AE36" i="8" a="1"/>
  <c r="AD41" i="8" a="1"/>
  <c r="AG41" i="15" a="1"/>
  <c r="AB25" i="15" a="1"/>
  <c r="AD3" i="15" a="1"/>
  <c r="AL7" i="15" a="1"/>
  <c r="AC33" i="15" a="1"/>
  <c r="AE30" i="15" a="1"/>
  <c r="AL22" i="15" a="1"/>
  <c r="AC20" i="15" a="1"/>
  <c r="AI42" i="8" a="1"/>
  <c r="AI25" i="8" a="1"/>
  <c r="AG40" i="8" a="1"/>
  <c r="AF45" i="8" a="1"/>
  <c r="AF33" i="8" a="1"/>
  <c r="AE6" i="8" a="1"/>
  <c r="AE7" i="8" a="1"/>
  <c r="AD36" i="8" a="1"/>
  <c r="AE41" i="15" a="1"/>
  <c r="AL43" i="15" a="1"/>
  <c r="AC3" i="15" a="1"/>
  <c r="AG7" i="15" a="1"/>
  <c r="AB33" i="15" a="1"/>
  <c r="AD51" i="15" a="1"/>
  <c r="AG38" i="15" a="1"/>
  <c r="AB27" i="15" a="1"/>
  <c r="AD30" i="15" a="1"/>
  <c r="AG22" i="15" a="1"/>
  <c r="AD20" i="15" a="1"/>
  <c r="AB47" i="15" a="1"/>
  <c r="AD39" i="15" a="1"/>
  <c r="AC6" i="15" a="1"/>
  <c r="AI19" i="8" a="1"/>
  <c r="AI17" i="8" a="1"/>
  <c r="AG18" i="8" a="1"/>
  <c r="AF22" i="8" a="1"/>
  <c r="AF14" i="8" a="1"/>
  <c r="AE25" i="8" a="1"/>
  <c r="AE30" i="8" a="1"/>
  <c r="AD4" i="8" a="1"/>
  <c r="AD41" i="15" a="1"/>
  <c r="AG43" i="15" a="1"/>
  <c r="AB3" i="15" a="1"/>
  <c r="AE7" i="15" a="1"/>
  <c r="AL19" i="15" a="1"/>
  <c r="AC51" i="15" a="1"/>
  <c r="AE38" i="15" a="1"/>
  <c r="AL36" i="15" a="1"/>
  <c r="AC30" i="15" a="1"/>
  <c r="AE22" i="15" a="1"/>
  <c r="AE20" i="15" a="1"/>
  <c r="AC47" i="15" a="1"/>
  <c r="AE39" i="15" a="1"/>
  <c r="AB6" i="15" a="1"/>
  <c r="AE40" i="15" a="1"/>
  <c r="AB44" i="15" a="1"/>
  <c r="Q56" i="15" a="1"/>
  <c r="AC2" i="15" a="1"/>
  <c r="Q64" i="15" a="1"/>
  <c r="AD15" i="15" a="1"/>
  <c r="AL24" i="15" a="1"/>
  <c r="AC48" i="15" a="1"/>
  <c r="AI40" i="8" a="1"/>
  <c r="AI33" i="8" a="1"/>
  <c r="AG11" i="8" a="1"/>
  <c r="AF5" i="8" a="1"/>
  <c r="AF47" i="8" a="1"/>
  <c r="AE47" i="8" a="1"/>
  <c r="AE28" i="8" a="1"/>
  <c r="AD7" i="8" a="1"/>
  <c r="AC41" i="15" a="1"/>
  <c r="AE43" i="15" a="1"/>
  <c r="AM3" i="8" a="1"/>
  <c r="AD7" i="15" a="1"/>
  <c r="AG19" i="15" a="1"/>
  <c r="AB51" i="15" a="1"/>
  <c r="AD38" i="15" a="1"/>
  <c r="AG36" i="15" a="1"/>
  <c r="AB30" i="15" a="1"/>
  <c r="AD22" i="15" a="1"/>
  <c r="AG20" i="15" a="1"/>
  <c r="AD47" i="15" a="1"/>
  <c r="AG39" i="15" a="1"/>
  <c r="AL23" i="15" a="1"/>
  <c r="AG40" i="15" a="1"/>
  <c r="R57" i="15" a="1"/>
  <c r="R54" i="15" a="1"/>
  <c r="AB37" i="15" a="1"/>
  <c r="AL21" i="15" a="1"/>
  <c r="AC15" i="15" a="1"/>
  <c r="AL28" i="15" a="1"/>
  <c r="AD48" i="15" a="1"/>
  <c r="AM42" i="8" a="1"/>
  <c r="AM4" i="8" a="1"/>
  <c r="AE19" i="15" a="1"/>
  <c r="AL34" i="15" a="1"/>
  <c r="AC38" i="15" a="1"/>
  <c r="AI14" i="8" a="1"/>
  <c r="AI15" i="8" a="1"/>
  <c r="AG25" i="8" a="1"/>
  <c r="AF41" i="8" a="1"/>
  <c r="AF13" i="8" a="1"/>
  <c r="AE12" i="8" a="1"/>
  <c r="AE16" i="8" a="1"/>
  <c r="AD28" i="8" a="1"/>
  <c r="AB41" i="15" a="1"/>
  <c r="AD43" i="15" a="1"/>
  <c r="AL35" i="15" a="1"/>
  <c r="AC7" i="15" a="1"/>
  <c r="AE36" i="15" a="1"/>
  <c r="AL49" i="15" a="1"/>
  <c r="AC22" i="15" a="1"/>
  <c r="AL20" i="15" a="1"/>
  <c r="AE47" i="15" a="1"/>
  <c r="AL39" i="15" a="1"/>
  <c r="AG23" i="15" a="1"/>
  <c r="AL40" i="15" a="1"/>
  <c r="Q57" i="15" a="1"/>
  <c r="Q54" i="15" a="1"/>
  <c r="AC37" i="15" a="1"/>
  <c r="AG21" i="15" a="1"/>
  <c r="AB15" i="15" a="1"/>
  <c r="AG28" i="15" a="1"/>
  <c r="AE48" i="15" a="1"/>
  <c r="AM22" i="8" a="1"/>
  <c r="AM36" i="8" a="1"/>
  <c r="AG35" i="15" a="1"/>
  <c r="AB7" i="15" a="1"/>
  <c r="AD19" i="15" a="1"/>
  <c r="AG34" i="15" a="1"/>
  <c r="AB38" i="15" a="1"/>
  <c r="AD36" i="15" a="1"/>
  <c r="AG49" i="15" a="1"/>
  <c r="AB22" i="15" a="1"/>
  <c r="Q67" i="15" a="1"/>
  <c r="AG47" i="15" a="1"/>
  <c r="AL45" i="15" a="1"/>
  <c r="AE23" i="15" a="1"/>
  <c r="Q62" i="15" a="1"/>
  <c r="R68" i="15" a="1"/>
  <c r="R61" i="15" a="1"/>
  <c r="AD37" i="15" a="1"/>
  <c r="AE21" i="15" a="1"/>
  <c r="R65" i="15" a="1"/>
  <c r="AE28" i="15" a="1"/>
  <c r="AG48" i="15" a="1"/>
  <c r="AM5" i="8" a="1"/>
  <c r="AM10" i="8" a="1"/>
  <c r="AB53" i="15" a="1"/>
  <c r="AM25" i="8" a="1"/>
  <c r="AE14" i="15" a="1"/>
  <c r="AL4" i="15" a="1"/>
  <c r="AC34" i="15" a="1"/>
  <c r="AI29" i="8" l="1"/>
  <c r="AI36" i="8"/>
  <c r="AI15" i="8"/>
  <c r="AI33" i="8"/>
  <c r="AI17" i="8"/>
  <c r="AI25" i="8"/>
  <c r="AI11" i="8"/>
  <c r="AI28" i="8"/>
  <c r="AI16" i="8"/>
  <c r="AI41" i="8"/>
  <c r="AI13" i="8"/>
  <c r="AI18" i="8"/>
  <c r="AI6" i="8"/>
  <c r="AI30" i="8"/>
  <c r="AI7" i="8"/>
  <c r="AI4" i="8"/>
  <c r="AI10" i="8"/>
  <c r="AI47" i="8"/>
  <c r="AI14" i="8"/>
  <c r="AI40" i="8"/>
  <c r="AI19" i="8"/>
  <c r="AI42" i="8"/>
  <c r="AI12" i="8"/>
  <c r="AI5" i="8"/>
  <c r="AI22" i="8"/>
  <c r="AI45" i="8"/>
  <c r="AG6" i="8"/>
  <c r="AG28" i="8"/>
  <c r="AG30" i="8"/>
  <c r="AG7" i="8"/>
  <c r="AG29" i="8"/>
  <c r="AG4" i="8"/>
  <c r="AG10" i="8"/>
  <c r="AG36" i="8"/>
  <c r="AG16" i="8"/>
  <c r="AG15" i="8"/>
  <c r="AG33" i="8"/>
  <c r="AG17" i="8"/>
  <c r="AG25" i="8"/>
  <c r="AG11" i="8"/>
  <c r="AG18" i="8"/>
  <c r="AG40" i="8"/>
  <c r="AG19" i="8"/>
  <c r="AG42" i="8"/>
  <c r="AG12" i="8"/>
  <c r="AG41" i="8"/>
  <c r="AG13" i="8"/>
  <c r="AG47" i="8"/>
  <c r="AG14" i="8"/>
  <c r="AG5" i="8"/>
  <c r="AG22" i="8"/>
  <c r="AG45" i="8"/>
  <c r="AF6" i="8"/>
  <c r="AF28" i="8"/>
  <c r="AF30" i="8"/>
  <c r="AF7" i="8"/>
  <c r="AF12" i="8"/>
  <c r="AF15" i="8"/>
  <c r="AF13" i="8"/>
  <c r="AF47" i="8"/>
  <c r="AF14" i="8"/>
  <c r="AF33" i="8"/>
  <c r="AF17" i="8"/>
  <c r="AF25" i="8"/>
  <c r="AF11" i="8"/>
  <c r="AF18" i="8"/>
  <c r="AF40" i="8"/>
  <c r="AF19" i="8"/>
  <c r="AF42" i="8"/>
  <c r="AF29" i="8"/>
  <c r="AF4" i="8"/>
  <c r="AF10" i="8"/>
  <c r="AF36" i="8"/>
  <c r="AF16" i="8"/>
  <c r="AF41" i="8"/>
  <c r="AF5" i="8"/>
  <c r="AF22" i="8"/>
  <c r="AF45" i="8"/>
  <c r="AE16" i="8"/>
  <c r="AE28" i="8"/>
  <c r="AE30" i="8"/>
  <c r="AE7" i="8"/>
  <c r="AE36" i="8"/>
  <c r="AE4" i="8"/>
  <c r="AE10" i="8"/>
  <c r="AE15" i="8"/>
  <c r="AE14" i="8"/>
  <c r="AE33" i="8"/>
  <c r="AE11" i="8"/>
  <c r="AE18" i="8"/>
  <c r="AE40" i="8"/>
  <c r="AE19" i="8"/>
  <c r="AE42" i="8"/>
  <c r="AE29" i="8"/>
  <c r="AE12" i="8"/>
  <c r="AE47" i="8"/>
  <c r="AE25" i="8"/>
  <c r="AE6" i="8"/>
  <c r="AE41" i="8"/>
  <c r="AE13" i="8"/>
  <c r="AE17" i="8"/>
  <c r="AE5" i="8"/>
  <c r="AE22" i="8"/>
  <c r="AE45" i="8"/>
  <c r="AD30" i="8"/>
  <c r="AD29" i="8"/>
  <c r="AD10" i="8"/>
  <c r="AD12" i="8"/>
  <c r="AD15" i="8"/>
  <c r="AD47" i="8"/>
  <c r="AD33" i="8"/>
  <c r="AD17" i="8"/>
  <c r="AD25" i="8"/>
  <c r="AD11" i="8"/>
  <c r="AD28" i="8"/>
  <c r="AD7" i="8"/>
  <c r="AD4" i="8"/>
  <c r="AD36" i="8"/>
  <c r="AD41" i="8"/>
  <c r="AD13" i="8"/>
  <c r="AD14" i="8"/>
  <c r="AD18" i="8"/>
  <c r="AD40" i="8"/>
  <c r="AD19" i="8"/>
  <c r="AD42" i="8"/>
  <c r="AD6" i="8"/>
  <c r="AD16" i="8"/>
  <c r="AD5" i="8"/>
  <c r="AD22" i="8"/>
  <c r="AD45" i="8"/>
  <c r="S71" i="2"/>
  <c r="S230" i="2"/>
  <c r="S61" i="2"/>
  <c r="R228" i="2"/>
  <c r="R150" i="2"/>
  <c r="AD150" i="2" s="1"/>
  <c r="S276" i="2"/>
  <c r="R68" i="2"/>
  <c r="S60" i="2"/>
  <c r="S13" i="15"/>
  <c r="S20" i="15"/>
  <c r="S31" i="15"/>
  <c r="S8" i="15"/>
  <c r="S2" i="15"/>
  <c r="AB22" i="15"/>
  <c r="AC22" i="15"/>
  <c r="AD22" i="15"/>
  <c r="AE22" i="15"/>
  <c r="AG22" i="15"/>
  <c r="AL22" i="15"/>
  <c r="AB12" i="15"/>
  <c r="AC12" i="15"/>
  <c r="AD12" i="15"/>
  <c r="AE12" i="15"/>
  <c r="AG12" i="15"/>
  <c r="AL12" i="15"/>
  <c r="AB49" i="15"/>
  <c r="AC49" i="15"/>
  <c r="AD49" i="15"/>
  <c r="AE49" i="15"/>
  <c r="AG49" i="15"/>
  <c r="AL49" i="15"/>
  <c r="AB30" i="15"/>
  <c r="AC30" i="15"/>
  <c r="AD30" i="15"/>
  <c r="AE30" i="15"/>
  <c r="AG30" i="15"/>
  <c r="AL30" i="15"/>
  <c r="AB10" i="15"/>
  <c r="AC10" i="15"/>
  <c r="AD10" i="15"/>
  <c r="AE10" i="15"/>
  <c r="AG10" i="15"/>
  <c r="AL10" i="15"/>
  <c r="AB36" i="15"/>
  <c r="AC36" i="15"/>
  <c r="AD36" i="15"/>
  <c r="AE36" i="15"/>
  <c r="AG36" i="15"/>
  <c r="AL36" i="15"/>
  <c r="AB27" i="15"/>
  <c r="AC27" i="15"/>
  <c r="AD27" i="15"/>
  <c r="AE27" i="15"/>
  <c r="AG27" i="15"/>
  <c r="AL27" i="15"/>
  <c r="AB11" i="15"/>
  <c r="AC11" i="15"/>
  <c r="AD11" i="15"/>
  <c r="AE11" i="15"/>
  <c r="AG11" i="15"/>
  <c r="AL11" i="15"/>
  <c r="AB38" i="15"/>
  <c r="AC38" i="15"/>
  <c r="AD38" i="15"/>
  <c r="AE38" i="15"/>
  <c r="AG38" i="15"/>
  <c r="AL38" i="15"/>
  <c r="AB5" i="15"/>
  <c r="AC5" i="15"/>
  <c r="AD5" i="15"/>
  <c r="AE5" i="15"/>
  <c r="AG5" i="15"/>
  <c r="AL5" i="15"/>
  <c r="AB34" i="15"/>
  <c r="AC34" i="15"/>
  <c r="AD34" i="15"/>
  <c r="AE34" i="15"/>
  <c r="AG34" i="15"/>
  <c r="AL34" i="15"/>
  <c r="AB51" i="15"/>
  <c r="AC51" i="15"/>
  <c r="AD51" i="15"/>
  <c r="AE51" i="15"/>
  <c r="AG51" i="15"/>
  <c r="AL51" i="15"/>
  <c r="AB4" i="15"/>
  <c r="AC4" i="15"/>
  <c r="AD4" i="15"/>
  <c r="AE4" i="15"/>
  <c r="AG4" i="15"/>
  <c r="AL4" i="15"/>
  <c r="AB19" i="15"/>
  <c r="AC19" i="15"/>
  <c r="AD19" i="15"/>
  <c r="AE19" i="15"/>
  <c r="AG19" i="15"/>
  <c r="AL19" i="15"/>
  <c r="AB33" i="15"/>
  <c r="AC33" i="15"/>
  <c r="AD33" i="15"/>
  <c r="AE33" i="15"/>
  <c r="AG33" i="15"/>
  <c r="AL33" i="15"/>
  <c r="AB14" i="15"/>
  <c r="AC14" i="15"/>
  <c r="AD14" i="15"/>
  <c r="AE14" i="15"/>
  <c r="AG14" i="15"/>
  <c r="AL14" i="15"/>
  <c r="AB7" i="15"/>
  <c r="AC7" i="15"/>
  <c r="AD7" i="15"/>
  <c r="AE7" i="15"/>
  <c r="AG7" i="15"/>
  <c r="AL7" i="15"/>
  <c r="AB9" i="15"/>
  <c r="AC9" i="15"/>
  <c r="AD9" i="15"/>
  <c r="AE9" i="15"/>
  <c r="AG9" i="15"/>
  <c r="AL9" i="15"/>
  <c r="AB35" i="15"/>
  <c r="AC35" i="15"/>
  <c r="AD35" i="15"/>
  <c r="AE35" i="15"/>
  <c r="AG35" i="15"/>
  <c r="AL35" i="15"/>
  <c r="AM3" i="8"/>
  <c r="AB3" i="15"/>
  <c r="AC3" i="15"/>
  <c r="AD3" i="15"/>
  <c r="AE3" i="15"/>
  <c r="AG3" i="15"/>
  <c r="AL3" i="15"/>
  <c r="AB17" i="15"/>
  <c r="AC17" i="15"/>
  <c r="AD17" i="15"/>
  <c r="AE17" i="15"/>
  <c r="AG17" i="15"/>
  <c r="AL17" i="15"/>
  <c r="AB43" i="15"/>
  <c r="AC43" i="15"/>
  <c r="AD43" i="15"/>
  <c r="AE43" i="15"/>
  <c r="AG43" i="15"/>
  <c r="AL43" i="15"/>
  <c r="AB25" i="15"/>
  <c r="AC25" i="15"/>
  <c r="AD25" i="15"/>
  <c r="AE25" i="15"/>
  <c r="AG25" i="15"/>
  <c r="AL25" i="15"/>
  <c r="AB50" i="15"/>
  <c r="AC50" i="15"/>
  <c r="AD50" i="15"/>
  <c r="AE50" i="15"/>
  <c r="AG50" i="15"/>
  <c r="AL50" i="15"/>
  <c r="AB41" i="15"/>
  <c r="AC41" i="15"/>
  <c r="AD41" i="15"/>
  <c r="AE41" i="15"/>
  <c r="AG41" i="15"/>
  <c r="AL41" i="15"/>
  <c r="S22" i="15"/>
  <c r="S12" i="15"/>
  <c r="S49" i="15"/>
  <c r="S28" i="15"/>
  <c r="S45" i="15"/>
  <c r="S48" i="15"/>
  <c r="S30" i="15"/>
  <c r="S10" i="15"/>
  <c r="S36" i="15"/>
  <c r="S11" i="15"/>
  <c r="S38" i="15"/>
  <c r="S5" i="15"/>
  <c r="S52" i="15"/>
  <c r="S33" i="15"/>
  <c r="S29" i="15"/>
  <c r="S32" i="15"/>
  <c r="S35" i="15"/>
  <c r="S3" i="15"/>
  <c r="S47" i="15"/>
  <c r="S25" i="15"/>
  <c r="S50" i="15"/>
  <c r="S21" i="15"/>
  <c r="S24" i="15"/>
  <c r="AL53" i="15"/>
  <c r="AG53" i="15"/>
  <c r="AE53" i="15"/>
  <c r="AD53" i="15"/>
  <c r="AC53" i="15"/>
  <c r="AB53" i="15"/>
  <c r="AL48" i="15"/>
  <c r="AG48" i="15"/>
  <c r="AE48" i="15"/>
  <c r="AD48" i="15"/>
  <c r="AC48" i="15"/>
  <c r="AB48" i="15"/>
  <c r="AB8" i="15"/>
  <c r="AC8" i="15"/>
  <c r="AD8" i="15"/>
  <c r="AE8" i="15"/>
  <c r="AG8" i="15"/>
  <c r="AL8" i="15"/>
  <c r="R70" i="15"/>
  <c r="Q70" i="15"/>
  <c r="AB28" i="15"/>
  <c r="AC28" i="15"/>
  <c r="AD28" i="15"/>
  <c r="AE28" i="15"/>
  <c r="AG28" i="15"/>
  <c r="AL28" i="15"/>
  <c r="AL24" i="15"/>
  <c r="AG24" i="15"/>
  <c r="AE24" i="15"/>
  <c r="AD24" i="15"/>
  <c r="AC24" i="15"/>
  <c r="AB24" i="15"/>
  <c r="AL42" i="15"/>
  <c r="AG42" i="15"/>
  <c r="AE42" i="15"/>
  <c r="AD42" i="15"/>
  <c r="AC42" i="15"/>
  <c r="AB42" i="15"/>
  <c r="Q65" i="15"/>
  <c r="R65" i="15"/>
  <c r="AB15" i="15"/>
  <c r="AC15" i="15"/>
  <c r="AD15" i="15"/>
  <c r="AE15" i="15"/>
  <c r="AG15" i="15"/>
  <c r="AL15" i="15"/>
  <c r="AL16" i="15"/>
  <c r="AG16" i="15"/>
  <c r="AE16" i="15"/>
  <c r="AD16" i="15"/>
  <c r="AC16" i="15"/>
  <c r="AB16" i="15"/>
  <c r="AB21" i="15"/>
  <c r="AC21" i="15"/>
  <c r="AD21" i="15"/>
  <c r="AE21" i="15"/>
  <c r="AG21" i="15"/>
  <c r="AL21" i="15"/>
  <c r="Q64" i="15"/>
  <c r="R64" i="15"/>
  <c r="AL32" i="15"/>
  <c r="AG32" i="15"/>
  <c r="AE32" i="15"/>
  <c r="AD32" i="15"/>
  <c r="AC32" i="15"/>
  <c r="AB32" i="15"/>
  <c r="Q59" i="15"/>
  <c r="R59" i="15"/>
  <c r="AL37" i="15"/>
  <c r="AG37" i="15"/>
  <c r="AE37" i="15"/>
  <c r="AD37" i="15"/>
  <c r="AC37" i="15"/>
  <c r="AB37" i="15"/>
  <c r="AC2" i="15"/>
  <c r="AB2" i="15"/>
  <c r="AD2" i="15"/>
  <c r="AE2" i="15"/>
  <c r="AG2" i="15"/>
  <c r="AL2" i="15"/>
  <c r="AL13" i="15"/>
  <c r="AG13" i="15"/>
  <c r="AE13" i="15"/>
  <c r="AD13" i="15"/>
  <c r="AC13" i="15"/>
  <c r="AB13" i="15"/>
  <c r="Q61" i="15"/>
  <c r="R61" i="15"/>
  <c r="Q54" i="15"/>
  <c r="R54" i="15"/>
  <c r="Q56" i="15"/>
  <c r="R56" i="15"/>
  <c r="AL52" i="15"/>
  <c r="AG52" i="15"/>
  <c r="AE52" i="15"/>
  <c r="AD52" i="15"/>
  <c r="AC52" i="15"/>
  <c r="AB52" i="15"/>
  <c r="Q63" i="15"/>
  <c r="R63" i="15"/>
  <c r="Q71" i="15"/>
  <c r="R71" i="15"/>
  <c r="Q68" i="15"/>
  <c r="R68" i="15"/>
  <c r="Q57" i="15"/>
  <c r="R57" i="15"/>
  <c r="AB44" i="15"/>
  <c r="AC44" i="15"/>
  <c r="AD44" i="15"/>
  <c r="AE44" i="15"/>
  <c r="AG44" i="15"/>
  <c r="AL44" i="15"/>
  <c r="AB46" i="15"/>
  <c r="AC46" i="15"/>
  <c r="AD46" i="15"/>
  <c r="AE46" i="15"/>
  <c r="AG46" i="15"/>
  <c r="AL46" i="15"/>
  <c r="R62" i="15"/>
  <c r="Q62" i="15"/>
  <c r="AL40" i="15"/>
  <c r="AG40" i="15"/>
  <c r="AE40" i="15"/>
  <c r="AD40" i="15"/>
  <c r="AC40" i="15"/>
  <c r="AB40" i="15"/>
  <c r="AL31" i="15"/>
  <c r="AG31" i="15"/>
  <c r="AE31" i="15"/>
  <c r="AD31" i="15"/>
  <c r="AC31" i="15"/>
  <c r="AB31" i="15"/>
  <c r="AB23" i="15"/>
  <c r="AC23" i="15"/>
  <c r="AD23" i="15"/>
  <c r="AE23" i="15"/>
  <c r="AG23" i="15"/>
  <c r="AL23" i="15"/>
  <c r="AB6" i="15"/>
  <c r="AC6" i="15"/>
  <c r="AD6" i="15"/>
  <c r="AE6" i="15"/>
  <c r="AG6" i="15"/>
  <c r="AL6" i="15"/>
  <c r="Q55" i="15"/>
  <c r="R55" i="15"/>
  <c r="AB45" i="15"/>
  <c r="AC45" i="15"/>
  <c r="AD45" i="15"/>
  <c r="AE45" i="15"/>
  <c r="AG45" i="15"/>
  <c r="AL45" i="15"/>
  <c r="AL39" i="15"/>
  <c r="AG39" i="15"/>
  <c r="AE39" i="15"/>
  <c r="AD39" i="15"/>
  <c r="AC39" i="15"/>
  <c r="AB39" i="15"/>
  <c r="AB29" i="15"/>
  <c r="AC29" i="15"/>
  <c r="AD29" i="15"/>
  <c r="AE29" i="15"/>
  <c r="AG29" i="15"/>
  <c r="AL29" i="15"/>
  <c r="Q66" i="15"/>
  <c r="R66" i="15"/>
  <c r="AL47" i="15"/>
  <c r="AG47" i="15"/>
  <c r="AE47" i="15"/>
  <c r="AD47" i="15"/>
  <c r="AC47" i="15"/>
  <c r="AB47" i="15"/>
  <c r="R60" i="15"/>
  <c r="Q60" i="15"/>
  <c r="R69" i="15"/>
  <c r="Q69" i="15"/>
  <c r="AL26" i="15"/>
  <c r="AG26" i="15"/>
  <c r="AE26" i="15"/>
  <c r="AD26" i="15"/>
  <c r="AC26" i="15"/>
  <c r="AB26" i="15"/>
  <c r="R67" i="15"/>
  <c r="Q67" i="15"/>
  <c r="AL20" i="15"/>
  <c r="AG20" i="15"/>
  <c r="AE20" i="15"/>
  <c r="AD20" i="15"/>
  <c r="AC20" i="15"/>
  <c r="AB20" i="15"/>
  <c r="AL18" i="15"/>
  <c r="AG18" i="15"/>
  <c r="AE18" i="15"/>
  <c r="AD18" i="15"/>
  <c r="AC18" i="15"/>
  <c r="AB18" i="15"/>
  <c r="AM18" i="8"/>
  <c r="AN18" i="8" s="1"/>
  <c r="Q58" i="15"/>
  <c r="R58" i="15"/>
  <c r="AH29" i="2"/>
  <c r="AG36" i="2"/>
  <c r="Z23" i="2"/>
  <c r="AF36" i="2"/>
  <c r="AI36" i="2"/>
  <c r="AD45" i="2"/>
  <c r="AH34" i="2"/>
  <c r="AF50" i="2"/>
  <c r="AI50" i="2"/>
  <c r="AC45" i="2"/>
  <c r="T18" i="8"/>
  <c r="AG8" i="2"/>
  <c r="AD2" i="2"/>
  <c r="AF8" i="2"/>
  <c r="AI8" i="2"/>
  <c r="AA28" i="2"/>
  <c r="S19" i="15"/>
  <c r="S46" i="15"/>
  <c r="S44" i="15"/>
  <c r="S39" i="15"/>
  <c r="AC53" i="2"/>
  <c r="AD53" i="2"/>
  <c r="AE53" i="2"/>
  <c r="AA53" i="2"/>
  <c r="Z53" i="2"/>
  <c r="AB53" i="2"/>
  <c r="AI3" i="2"/>
  <c r="AF3" i="2"/>
  <c r="AD28" i="2"/>
  <c r="S9" i="15"/>
  <c r="S34" i="15"/>
  <c r="AB48" i="2"/>
  <c r="AE48" i="2"/>
  <c r="Z48" i="2"/>
  <c r="AA48" i="2"/>
  <c r="AD48" i="2"/>
  <c r="AC48" i="2"/>
  <c r="AC44" i="2"/>
  <c r="S43" i="15"/>
  <c r="S6" i="15"/>
  <c r="S15" i="15"/>
  <c r="AG22" i="2"/>
  <c r="AH7" i="2"/>
  <c r="AC23" i="2"/>
  <c r="AA44" i="2"/>
  <c r="AG7" i="2"/>
  <c r="AE23" i="2"/>
  <c r="AE44" i="2"/>
  <c r="S51" i="15"/>
  <c r="S4" i="15"/>
  <c r="S23" i="15"/>
  <c r="AH22" i="2"/>
  <c r="AB23" i="2"/>
  <c r="AH36" i="2"/>
  <c r="S14" i="15"/>
  <c r="S7" i="15"/>
  <c r="Z24" i="2"/>
  <c r="AC24" i="2"/>
  <c r="AD24" i="2"/>
  <c r="AE24" i="2"/>
  <c r="AB24" i="2"/>
  <c r="AA24" i="2"/>
  <c r="AE42" i="2"/>
  <c r="AB42" i="2"/>
  <c r="Z42" i="2"/>
  <c r="AA42" i="2"/>
  <c r="AD42" i="2"/>
  <c r="AC42" i="2"/>
  <c r="AG33" i="2"/>
  <c r="AF4" i="2"/>
  <c r="AI4" i="2"/>
  <c r="AG3" i="2"/>
  <c r="AH5" i="2"/>
  <c r="AI15" i="2"/>
  <c r="AF15" i="2"/>
  <c r="AG5" i="2"/>
  <c r="AH9" i="2"/>
  <c r="AI5" i="2"/>
  <c r="AF5" i="2"/>
  <c r="AG50" i="2"/>
  <c r="AE16" i="2"/>
  <c r="AC16" i="2"/>
  <c r="Z16" i="2"/>
  <c r="AD16" i="2"/>
  <c r="AB16" i="2"/>
  <c r="AA16" i="2"/>
  <c r="AG6" i="2"/>
  <c r="AF43" i="2"/>
  <c r="AI43" i="2"/>
  <c r="AH50" i="2"/>
  <c r="AG29" i="2"/>
  <c r="AA32" i="2"/>
  <c r="AE32" i="2"/>
  <c r="AD32" i="2"/>
  <c r="Z32" i="2"/>
  <c r="AB32" i="2"/>
  <c r="AC32" i="2"/>
  <c r="AF45" i="2"/>
  <c r="AI45" i="2"/>
  <c r="S62" i="2"/>
  <c r="AG41" i="2"/>
  <c r="AG35" i="2"/>
  <c r="AD37" i="2"/>
  <c r="AA37" i="2"/>
  <c r="AB37" i="2"/>
  <c r="AE37" i="2"/>
  <c r="AC37" i="2"/>
  <c r="Z37" i="2"/>
  <c r="AA2" i="2"/>
  <c r="AB2" i="2"/>
  <c r="AH17" i="2"/>
  <c r="AA21" i="2"/>
  <c r="AG17" i="2"/>
  <c r="Z13" i="2"/>
  <c r="AA13" i="2"/>
  <c r="AC13" i="2"/>
  <c r="AB13" i="2"/>
  <c r="AD13" i="2"/>
  <c r="AE13" i="2"/>
  <c r="AI29" i="2"/>
  <c r="AF29" i="2"/>
  <c r="AH11" i="2"/>
  <c r="AA15" i="2"/>
  <c r="AH49" i="2"/>
  <c r="AG45" i="2"/>
  <c r="AH43" i="2"/>
  <c r="AG34" i="2"/>
  <c r="AB15" i="2"/>
  <c r="AI49" i="2"/>
  <c r="AF49" i="2"/>
  <c r="AE28" i="2"/>
  <c r="S27" i="15"/>
  <c r="S18" i="15"/>
  <c r="Z21" i="2"/>
  <c r="AA52" i="2"/>
  <c r="AD52" i="2"/>
  <c r="AE52" i="2"/>
  <c r="AC52" i="2"/>
  <c r="Z52" i="2"/>
  <c r="AB52" i="2"/>
  <c r="AG43" i="2"/>
  <c r="AH12" i="2"/>
  <c r="AG11" i="2"/>
  <c r="AG10" i="2"/>
  <c r="AH3" i="2"/>
  <c r="AH14" i="2"/>
  <c r="AC21" i="2"/>
  <c r="AI25" i="2"/>
  <c r="AF25" i="2"/>
  <c r="AI11" i="2"/>
  <c r="AF11" i="2"/>
  <c r="AH8" i="2"/>
  <c r="AE2" i="2"/>
  <c r="AB28" i="2"/>
  <c r="AD44" i="2"/>
  <c r="AA46" i="2"/>
  <c r="AC46" i="2"/>
  <c r="AE46" i="2"/>
  <c r="AG12" i="2"/>
  <c r="AF34" i="2"/>
  <c r="AI34" i="2"/>
  <c r="AI6" i="2"/>
  <c r="AF6" i="2"/>
  <c r="AC2" i="2"/>
  <c r="AE40" i="2"/>
  <c r="AC40" i="2"/>
  <c r="AD40" i="2"/>
  <c r="AB40" i="2"/>
  <c r="AA40" i="2"/>
  <c r="Z40" i="2"/>
  <c r="AC28" i="2"/>
  <c r="AB44" i="2"/>
  <c r="S17" i="15"/>
  <c r="S42" i="15"/>
  <c r="S53" i="15"/>
  <c r="S16" i="15"/>
  <c r="AF30" i="2"/>
  <c r="AI30" i="2"/>
  <c r="AF17" i="2"/>
  <c r="AI17" i="2"/>
  <c r="AC31" i="2"/>
  <c r="AA31" i="2"/>
  <c r="AD31" i="2"/>
  <c r="Z31" i="2"/>
  <c r="AB31" i="2"/>
  <c r="AE31" i="2"/>
  <c r="AH6" i="2"/>
  <c r="AG30" i="2"/>
  <c r="AH25" i="2"/>
  <c r="AC15" i="2"/>
  <c r="AH51" i="2"/>
  <c r="AA39" i="2"/>
  <c r="Z39" i="2"/>
  <c r="AE39" i="2"/>
  <c r="AC39" i="2"/>
  <c r="AD39" i="2"/>
  <c r="AB39" i="2"/>
  <c r="AB21" i="2"/>
  <c r="R60" i="2"/>
  <c r="AB60" i="2" s="1"/>
  <c r="AD46" i="2"/>
  <c r="AI10" i="2"/>
  <c r="AF10" i="2"/>
  <c r="AD47" i="2"/>
  <c r="AA47" i="2"/>
  <c r="AE47" i="2"/>
  <c r="Z47" i="2"/>
  <c r="AB47" i="2"/>
  <c r="AC47" i="2"/>
  <c r="AI33" i="2"/>
  <c r="AF33" i="2"/>
  <c r="AD21" i="2"/>
  <c r="R64" i="2"/>
  <c r="R69" i="2"/>
  <c r="Z46" i="2"/>
  <c r="AH41" i="2"/>
  <c r="AG38" i="2"/>
  <c r="AF9" i="2"/>
  <c r="AI9" i="2"/>
  <c r="AC26" i="2"/>
  <c r="AD26" i="2"/>
  <c r="AA26" i="2"/>
  <c r="AE26" i="2"/>
  <c r="AB26" i="2"/>
  <c r="Z26" i="2"/>
  <c r="AE21" i="2"/>
  <c r="AH33" i="2"/>
  <c r="S59" i="2"/>
  <c r="R59" i="2"/>
  <c r="R14" i="11"/>
  <c r="R61" i="2"/>
  <c r="AB46" i="2"/>
  <c r="AB20" i="2"/>
  <c r="AA20" i="2"/>
  <c r="Z20" i="2"/>
  <c r="AE20" i="2"/>
  <c r="AC20" i="2"/>
  <c r="AD20" i="2"/>
  <c r="AA18" i="2"/>
  <c r="AC18" i="2"/>
  <c r="Z18" i="2"/>
  <c r="AE18" i="2"/>
  <c r="AB18" i="2"/>
  <c r="AD18" i="2"/>
  <c r="AD29" i="2"/>
  <c r="Z15" i="2"/>
  <c r="AH4" i="2"/>
  <c r="AA23" i="2"/>
  <c r="S41" i="15"/>
  <c r="S26" i="15"/>
  <c r="S37" i="15"/>
  <c r="S40" i="15"/>
  <c r="S253" i="2"/>
  <c r="S163" i="2"/>
  <c r="AM10" i="8"/>
  <c r="AN10" i="8" s="1"/>
  <c r="AM36" i="8"/>
  <c r="AN36" i="8" s="1"/>
  <c r="AM4" i="8"/>
  <c r="AN4" i="8" s="1"/>
  <c r="AM12" i="8"/>
  <c r="AN12" i="8" s="1"/>
  <c r="AM41" i="8"/>
  <c r="AN41" i="8" s="1"/>
  <c r="AM16" i="8"/>
  <c r="AN16" i="8" s="1"/>
  <c r="AM13" i="8"/>
  <c r="AN13" i="8" s="1"/>
  <c r="AM47" i="8"/>
  <c r="AN47" i="8" s="1"/>
  <c r="AM15" i="8"/>
  <c r="AN15" i="8" s="1"/>
  <c r="AM33" i="8"/>
  <c r="AN33" i="8" s="1"/>
  <c r="AM17" i="8"/>
  <c r="AN17" i="8" s="1"/>
  <c r="AM14" i="8"/>
  <c r="AN14" i="8" s="1"/>
  <c r="AM40" i="8"/>
  <c r="AN40" i="8" s="1"/>
  <c r="AM19" i="8"/>
  <c r="AN19" i="8" s="1"/>
  <c r="AM25" i="8"/>
  <c r="AN25" i="8" s="1"/>
  <c r="AM11" i="8"/>
  <c r="AN11" i="8" s="1"/>
  <c r="AM5" i="8"/>
  <c r="AN5" i="8" s="1"/>
  <c r="AM22" i="8"/>
  <c r="AN22" i="8" s="1"/>
  <c r="AM42" i="8"/>
  <c r="AN42" i="8" s="1"/>
  <c r="AM7" i="8"/>
  <c r="AN7" i="8" s="1"/>
  <c r="AM29" i="8"/>
  <c r="AN29" i="8" s="1"/>
  <c r="AM30" i="8"/>
  <c r="AN30" i="8" s="1"/>
  <c r="AM6" i="8"/>
  <c r="AN6" i="8" s="1"/>
  <c r="AM28" i="8"/>
  <c r="AN28" i="8" s="1"/>
  <c r="AM45" i="8"/>
  <c r="AN45" i="8" s="1"/>
  <c r="T10" i="8"/>
  <c r="T36" i="8"/>
  <c r="T4" i="8"/>
  <c r="T12" i="8"/>
  <c r="T41" i="8"/>
  <c r="T16" i="8"/>
  <c r="T13" i="8"/>
  <c r="T47" i="8"/>
  <c r="T15" i="8"/>
  <c r="T33" i="8"/>
  <c r="T17" i="8"/>
  <c r="T14" i="8"/>
  <c r="T40" i="8"/>
  <c r="T19" i="8"/>
  <c r="T25" i="8"/>
  <c r="T11" i="8"/>
  <c r="T5" i="8"/>
  <c r="T22" i="8"/>
  <c r="T42" i="8"/>
  <c r="T7" i="8"/>
  <c r="T29" i="8"/>
  <c r="T30" i="8"/>
  <c r="T6" i="8"/>
  <c r="T28" i="8"/>
  <c r="T45" i="8"/>
  <c r="R152" i="2"/>
  <c r="AJ152" i="2" s="1"/>
  <c r="R254" i="2"/>
  <c r="R63" i="2"/>
  <c r="S155" i="2"/>
  <c r="S107" i="2"/>
  <c r="S121" i="2"/>
  <c r="AE121" i="2" s="1"/>
  <c r="R130" i="2"/>
  <c r="R115" i="2"/>
  <c r="S161" i="2"/>
  <c r="AE161" i="2" s="1"/>
  <c r="AI161" i="2" s="1"/>
  <c r="S214" i="2"/>
  <c r="S143" i="2"/>
  <c r="S63" i="2"/>
  <c r="R215" i="2"/>
  <c r="R261" i="2"/>
  <c r="R134" i="2"/>
  <c r="R54" i="2"/>
  <c r="R141" i="2"/>
  <c r="S224" i="2"/>
  <c r="S241" i="2"/>
  <c r="S215" i="2"/>
  <c r="S122" i="2"/>
  <c r="S295" i="2"/>
  <c r="R139" i="2"/>
  <c r="AJ139" i="2" s="1"/>
  <c r="AO139" i="2" s="1"/>
  <c r="R58" i="2"/>
  <c r="R291" i="2"/>
  <c r="S173" i="2"/>
  <c r="R104" i="2"/>
  <c r="R145" i="2"/>
  <c r="R94" i="2"/>
  <c r="AB94" i="2" s="1"/>
  <c r="AG94" i="2" s="1"/>
  <c r="R273" i="2"/>
  <c r="S89" i="2"/>
  <c r="Z89" i="2" s="1"/>
  <c r="S266" i="2"/>
  <c r="AJ266" i="2" s="1"/>
  <c r="AN266" i="2" s="1"/>
  <c r="S146" i="2"/>
  <c r="S289" i="2"/>
  <c r="R253" i="2"/>
  <c r="R137" i="2"/>
  <c r="R284" i="2"/>
  <c r="S211" i="2"/>
  <c r="AJ211" i="2" s="1"/>
  <c r="R259" i="2"/>
  <c r="R80" i="2"/>
  <c r="AJ80" i="2" s="1"/>
  <c r="R146" i="2"/>
  <c r="AE61" i="2"/>
  <c r="S111" i="2"/>
  <c r="S204" i="2"/>
  <c r="R127" i="2"/>
  <c r="R71" i="2"/>
  <c r="S176" i="2"/>
  <c r="AB176" i="2" s="1"/>
  <c r="AG176" i="2" s="1"/>
  <c r="S92" i="2"/>
  <c r="R151" i="2"/>
  <c r="S236" i="2"/>
  <c r="R128" i="2"/>
  <c r="S188" i="2"/>
  <c r="S259" i="2"/>
  <c r="R154" i="2"/>
  <c r="S154" i="2"/>
  <c r="S157" i="2"/>
  <c r="R157" i="2"/>
  <c r="R274" i="2"/>
  <c r="S69" i="2"/>
  <c r="S115" i="2"/>
  <c r="R81" i="2"/>
  <c r="R239" i="2"/>
  <c r="S170" i="2"/>
  <c r="R136" i="2"/>
  <c r="S212" i="2"/>
  <c r="R207" i="2"/>
  <c r="S278" i="2"/>
  <c r="S127" i="2"/>
  <c r="S254" i="2"/>
  <c r="R159" i="2"/>
  <c r="S256" i="2"/>
  <c r="R195" i="2"/>
  <c r="S239" i="2"/>
  <c r="R126" i="2"/>
  <c r="R193" i="2"/>
  <c r="S57" i="2"/>
  <c r="R111" i="2"/>
  <c r="S296" i="2"/>
  <c r="R82" i="2"/>
  <c r="S112" i="2"/>
  <c r="AD112" i="2" s="1"/>
  <c r="R204" i="2"/>
  <c r="R62" i="2"/>
  <c r="R107" i="2"/>
  <c r="R268" i="2"/>
  <c r="S280" i="2"/>
  <c r="R155" i="2"/>
  <c r="S248" i="2"/>
  <c r="R85" i="2"/>
  <c r="R133" i="2"/>
  <c r="R88" i="2"/>
  <c r="S137" i="2"/>
  <c r="S58" i="2"/>
  <c r="R283" i="2"/>
  <c r="S293" i="2"/>
  <c r="S221" i="2"/>
  <c r="R223" i="2"/>
  <c r="S199" i="2"/>
  <c r="R177" i="2"/>
  <c r="S120" i="2"/>
  <c r="R221" i="2"/>
  <c r="S159" i="2"/>
  <c r="R212" i="2"/>
  <c r="R123" i="2"/>
  <c r="S104" i="2"/>
  <c r="R164" i="2"/>
  <c r="R173" i="2"/>
  <c r="S114" i="2"/>
  <c r="S220" i="2"/>
  <c r="R276" i="2"/>
  <c r="S68" i="2"/>
  <c r="R220" i="2"/>
  <c r="S133" i="2"/>
  <c r="S229" i="2"/>
  <c r="S96" i="2"/>
  <c r="S140" i="2"/>
  <c r="R77" i="2"/>
  <c r="S130" i="2"/>
  <c r="S179" i="2"/>
  <c r="R280" i="2"/>
  <c r="S194" i="2"/>
  <c r="AA194" i="2" s="1"/>
  <c r="S151" i="2"/>
  <c r="R105" i="2"/>
  <c r="AB105" i="2" s="1"/>
  <c r="AG105" i="2" s="1"/>
  <c r="R209" i="2"/>
  <c r="R229" i="2"/>
  <c r="R216" i="2"/>
  <c r="S291" i="2"/>
  <c r="R56" i="2"/>
  <c r="S128" i="2"/>
  <c r="S246" i="2"/>
  <c r="R106" i="2"/>
  <c r="R241" i="2"/>
  <c r="S123" i="2"/>
  <c r="S88" i="2"/>
  <c r="R57" i="2"/>
  <c r="R192" i="2"/>
  <c r="AA192" i="2" s="1"/>
  <c r="R246" i="2"/>
  <c r="S91" i="2"/>
  <c r="AD91" i="2" s="1"/>
  <c r="S126" i="2"/>
  <c r="S261" i="2"/>
  <c r="R208" i="2"/>
  <c r="S167" i="2"/>
  <c r="R92" i="2"/>
  <c r="R143" i="2"/>
  <c r="S216" i="2"/>
  <c r="R295" i="2"/>
  <c r="R202" i="2"/>
  <c r="R278" i="2"/>
  <c r="R129" i="2"/>
  <c r="AC129" i="2" s="1"/>
  <c r="AH129" i="2" s="1"/>
  <c r="S136" i="2"/>
  <c r="S302" i="2"/>
  <c r="S124" i="2"/>
  <c r="S64" i="2"/>
  <c r="S207" i="2"/>
  <c r="R255" i="2"/>
  <c r="S87" i="2"/>
  <c r="AE87" i="2" s="1"/>
  <c r="R279" i="2"/>
  <c r="R97" i="2"/>
  <c r="S145" i="2"/>
  <c r="S90" i="2"/>
  <c r="R224" i="2"/>
  <c r="S82" i="2"/>
  <c r="R187" i="2"/>
  <c r="R240" i="2"/>
  <c r="S233" i="2"/>
  <c r="R99" i="2"/>
  <c r="AJ99" i="2" s="1"/>
  <c r="R214" i="2"/>
  <c r="AE210" i="2"/>
  <c r="AI210" i="2" s="1"/>
  <c r="S54" i="2"/>
  <c r="R302" i="2"/>
  <c r="R293" i="2"/>
  <c r="S191" i="2"/>
  <c r="AD191" i="2" s="1"/>
  <c r="R236" i="2"/>
  <c r="S268" i="2"/>
  <c r="R96" i="2"/>
  <c r="R267" i="2"/>
  <c r="R296" i="2"/>
  <c r="R114" i="2"/>
  <c r="R178" i="2"/>
  <c r="S240" i="2"/>
  <c r="S265" i="2"/>
  <c r="S177" i="2"/>
  <c r="R186" i="2"/>
  <c r="S284" i="2"/>
  <c r="R201" i="2"/>
  <c r="S81" i="2"/>
  <c r="R65" i="2"/>
  <c r="S195" i="2"/>
  <c r="S255" i="2"/>
  <c r="S294" i="2"/>
  <c r="S290" i="2"/>
  <c r="S222" i="2"/>
  <c r="S228" i="2"/>
  <c r="S279" i="2"/>
  <c r="R90" i="2"/>
  <c r="R167" i="2"/>
  <c r="S186" i="2"/>
  <c r="AE73" i="2"/>
  <c r="AF73" i="2" s="1"/>
  <c r="R174" i="2"/>
  <c r="S131" i="2"/>
  <c r="S225" i="2"/>
  <c r="S165" i="2"/>
  <c r="R132" i="2"/>
  <c r="R265" i="2"/>
  <c r="R98" i="2"/>
  <c r="R248" i="2"/>
  <c r="R113" i="2"/>
  <c r="R148" i="2"/>
  <c r="S148" i="2"/>
  <c r="R260" i="2"/>
  <c r="S260" i="2"/>
  <c r="S95" i="2"/>
  <c r="R79" i="2"/>
  <c r="R225" i="2"/>
  <c r="R15" i="11"/>
  <c r="R67" i="2"/>
  <c r="S67" i="2"/>
  <c r="R11" i="11" s="1"/>
  <c r="R120" i="2"/>
  <c r="S84" i="2"/>
  <c r="AJ60" i="2"/>
  <c r="R175" i="2"/>
  <c r="AE175" i="2" s="1"/>
  <c r="AF175" i="2" s="1"/>
  <c r="S132" i="2"/>
  <c r="R122" i="2"/>
  <c r="R179" i="2"/>
  <c r="R290" i="2"/>
  <c r="S56" i="2"/>
  <c r="S158" i="2"/>
  <c r="R158" i="2"/>
  <c r="R256" i="2"/>
  <c r="S201" i="2"/>
  <c r="R244" i="2"/>
  <c r="R184" i="2"/>
  <c r="R169" i="2"/>
  <c r="S267" i="2"/>
  <c r="R227" i="2"/>
  <c r="S213" i="2"/>
  <c r="AA213" i="2" s="1"/>
  <c r="R217" i="2"/>
  <c r="S97" i="2"/>
  <c r="R218" i="2"/>
  <c r="AD75" i="2"/>
  <c r="S78" i="2"/>
  <c r="R124" i="2"/>
  <c r="S83" i="2"/>
  <c r="R83" i="2"/>
  <c r="AB73" i="2"/>
  <c r="AG73" i="2" s="1"/>
  <c r="R165" i="2"/>
  <c r="R95" i="2"/>
  <c r="R199" i="2"/>
  <c r="R163" i="2"/>
  <c r="S298" i="2"/>
  <c r="R298" i="2"/>
  <c r="R233" i="2"/>
  <c r="S113" i="2"/>
  <c r="S206" i="2"/>
  <c r="Z73" i="2"/>
  <c r="S153" i="2"/>
  <c r="AJ153" i="2" s="1"/>
  <c r="AO153" i="2" s="1"/>
  <c r="R188" i="2"/>
  <c r="S178" i="2"/>
  <c r="S98" i="2"/>
  <c r="S223" i="2"/>
  <c r="S283" i="2"/>
  <c r="S174" i="2"/>
  <c r="S169" i="2"/>
  <c r="S274" i="2"/>
  <c r="S273" i="2"/>
  <c r="W93" i="2"/>
  <c r="R93" i="2" s="1"/>
  <c r="R294" i="2"/>
  <c r="S193" i="2"/>
  <c r="AB160" i="2"/>
  <c r="AG160" i="2" s="1"/>
  <c r="AE160" i="2"/>
  <c r="AA160" i="2"/>
  <c r="AJ160" i="2"/>
  <c r="Z160" i="2"/>
  <c r="S141" i="2"/>
  <c r="S187" i="2"/>
  <c r="AC160" i="2"/>
  <c r="AH160" i="2" s="1"/>
  <c r="R303" i="2"/>
  <c r="AA271" i="2"/>
  <c r="R182" i="2"/>
  <c r="S217" i="2"/>
  <c r="R222" i="2"/>
  <c r="S285" i="2"/>
  <c r="AJ285" i="2" s="1"/>
  <c r="AD160" i="2"/>
  <c r="R131" i="2"/>
  <c r="Z75" i="2"/>
  <c r="AB61" i="2"/>
  <c r="AC61" i="2"/>
  <c r="AJ61" i="2"/>
  <c r="S300" i="2"/>
  <c r="R300" i="2"/>
  <c r="R301" i="2"/>
  <c r="S301" i="2"/>
  <c r="S142" i="2"/>
  <c r="R142" i="2"/>
  <c r="AA61" i="2"/>
  <c r="R72" i="2"/>
  <c r="S72" i="2"/>
  <c r="AD61" i="2"/>
  <c r="Z61" i="2"/>
  <c r="S77" i="2"/>
  <c r="S55" i="2"/>
  <c r="R55" i="2"/>
  <c r="R66" i="2"/>
  <c r="R156" i="2"/>
  <c r="S156" i="2"/>
  <c r="R170" i="2"/>
  <c r="S106" i="2"/>
  <c r="S275" i="2"/>
  <c r="R275" i="2"/>
  <c r="AC73" i="2"/>
  <c r="AH73" i="2" s="1"/>
  <c r="AD73" i="2"/>
  <c r="AJ73" i="2"/>
  <c r="AA73" i="2"/>
  <c r="W234" i="2"/>
  <c r="R234" i="2" s="1"/>
  <c r="S164" i="2"/>
  <c r="AE60" i="2"/>
  <c r="AD60" i="2"/>
  <c r="AA60" i="2"/>
  <c r="Z60" i="2"/>
  <c r="AC60" i="2"/>
  <c r="S264" i="2"/>
  <c r="R264" i="2"/>
  <c r="S85" i="2"/>
  <c r="AJ75" i="2"/>
  <c r="AE75" i="2"/>
  <c r="AC75" i="2"/>
  <c r="AH75" i="2" s="1"/>
  <c r="AB75" i="2"/>
  <c r="AG75" i="2" s="1"/>
  <c r="AA75" i="2"/>
  <c r="S297" i="2"/>
  <c r="R297" i="2"/>
  <c r="X140" i="2"/>
  <c r="S144" i="2"/>
  <c r="AC144" i="2" s="1"/>
  <c r="AH144" i="2" s="1"/>
  <c r="R197" i="2"/>
  <c r="AC271" i="2"/>
  <c r="AH271" i="2" s="1"/>
  <c r="Z271" i="2"/>
  <c r="AE271" i="2"/>
  <c r="AI271" i="2" s="1"/>
  <c r="R200" i="2"/>
  <c r="S200" i="2"/>
  <c r="R206" i="2"/>
  <c r="S303" i="2"/>
  <c r="V226" i="2"/>
  <c r="R226" i="2" s="1"/>
  <c r="AC210" i="2"/>
  <c r="AH210" i="2" s="1"/>
  <c r="S197" i="2"/>
  <c r="AD271" i="2"/>
  <c r="AJ271" i="2"/>
  <c r="S66" i="2"/>
  <c r="AB271" i="2"/>
  <c r="AG271" i="2" s="1"/>
  <c r="S180" i="2"/>
  <c r="R180" i="2"/>
  <c r="R287" i="2"/>
  <c r="S287" i="2"/>
  <c r="S183" i="2"/>
  <c r="R183" i="2"/>
  <c r="AJ210" i="2"/>
  <c r="AN210" i="2" s="1"/>
  <c r="S134" i="2"/>
  <c r="AD210" i="2"/>
  <c r="W205" i="2"/>
  <c r="S205" i="2" s="1"/>
  <c r="V198" i="2"/>
  <c r="S219" i="2"/>
  <c r="R219" i="2"/>
  <c r="S282" i="2"/>
  <c r="R282" i="2"/>
  <c r="W231" i="2"/>
  <c r="V231" i="2"/>
  <c r="R189" i="2"/>
  <c r="S189" i="2"/>
  <c r="R242" i="2"/>
  <c r="S242" i="2"/>
  <c r="S79" i="2"/>
  <c r="S251" i="2"/>
  <c r="R251" i="2"/>
  <c r="S190" i="2"/>
  <c r="R190" i="2"/>
  <c r="V102" i="2"/>
  <c r="S102" i="2" s="1"/>
  <c r="S244" i="2"/>
  <c r="R140" i="2"/>
  <c r="W185" i="2"/>
  <c r="V185" i="2"/>
  <c r="S258" i="2"/>
  <c r="R258" i="2"/>
  <c r="S232" i="2"/>
  <c r="R232" i="2"/>
  <c r="R109" i="2"/>
  <c r="S109" i="2"/>
  <c r="S202" i="2"/>
  <c r="S208" i="2"/>
  <c r="S184" i="2"/>
  <c r="W172" i="2"/>
  <c r="S172" i="2" s="1"/>
  <c r="Z210" i="2"/>
  <c r="AA210" i="2"/>
  <c r="AB210" i="2"/>
  <c r="AG210" i="2" s="1"/>
  <c r="S203" i="2"/>
  <c r="R203" i="2"/>
  <c r="W269" i="2"/>
  <c r="V269" i="2"/>
  <c r="R108" i="2"/>
  <c r="S108" i="2"/>
  <c r="R304" i="2"/>
  <c r="S304" i="2"/>
  <c r="S218" i="2"/>
  <c r="R289" i="2"/>
  <c r="R230" i="2"/>
  <c r="R263" i="2"/>
  <c r="S263" i="2"/>
  <c r="R135" i="2"/>
  <c r="S135" i="2"/>
  <c r="R235" i="2"/>
  <c r="X207" i="2"/>
  <c r="S119" i="2"/>
  <c r="R119" i="2"/>
  <c r="S100" i="2"/>
  <c r="X250" i="2"/>
  <c r="W118" i="2"/>
  <c r="V118" i="2"/>
  <c r="V110" i="2"/>
  <c r="S110" i="2" s="1"/>
  <c r="S125" i="2"/>
  <c r="R125" i="2"/>
  <c r="S227" i="2"/>
  <c r="R70" i="2"/>
  <c r="S70" i="2"/>
  <c r="W257" i="2"/>
  <c r="V257" i="2"/>
  <c r="W299" i="2"/>
  <c r="V299" i="2"/>
  <c r="R305" i="2"/>
  <c r="S101" i="2"/>
  <c r="R101" i="2"/>
  <c r="V149" i="2"/>
  <c r="W149" i="2"/>
  <c r="S247" i="2"/>
  <c r="R247" i="2"/>
  <c r="R270" i="2"/>
  <c r="S270" i="2"/>
  <c r="V168" i="2"/>
  <c r="W168" i="2"/>
  <c r="S103" i="2"/>
  <c r="R103" i="2"/>
  <c r="S162" i="2"/>
  <c r="R162" i="2"/>
  <c r="S250" i="2"/>
  <c r="R250" i="2"/>
  <c r="R78" i="2"/>
  <c r="R116" i="2"/>
  <c r="S116" i="2"/>
  <c r="S181" i="2"/>
  <c r="R181" i="2"/>
  <c r="S76" i="2"/>
  <c r="R76" i="2"/>
  <c r="S86" i="2"/>
  <c r="R86" i="2"/>
  <c r="S171" i="2"/>
  <c r="R171" i="2"/>
  <c r="S243" i="2"/>
  <c r="R243" i="2"/>
  <c r="V74" i="2"/>
  <c r="W74" i="2"/>
  <c r="W286" i="2"/>
  <c r="V286" i="2"/>
  <c r="X181" i="2"/>
  <c r="W238" i="2"/>
  <c r="V238" i="2"/>
  <c r="R100" i="2"/>
  <c r="W138" i="2"/>
  <c r="V138" i="2"/>
  <c r="R237" i="2"/>
  <c r="S237" i="2"/>
  <c r="W252" i="2"/>
  <c r="V252" i="2"/>
  <c r="S292" i="2"/>
  <c r="R292" i="2"/>
  <c r="R147" i="2"/>
  <c r="S147" i="2"/>
  <c r="W272" i="2"/>
  <c r="S272" i="2" s="1"/>
  <c r="S166" i="2"/>
  <c r="R166" i="2"/>
  <c r="S277" i="2"/>
  <c r="R277" i="2"/>
  <c r="W245" i="2"/>
  <c r="V245" i="2"/>
  <c r="R262" i="2"/>
  <c r="S262" i="2"/>
  <c r="S117" i="2"/>
  <c r="R117" i="2"/>
  <c r="W288" i="2"/>
  <c r="V288" i="2"/>
  <c r="R196" i="2"/>
  <c r="S196" i="2"/>
  <c r="S65" i="2"/>
  <c r="W281" i="2"/>
  <c r="V281" i="2"/>
  <c r="V249" i="2"/>
  <c r="W249" i="2"/>
  <c r="AN3" i="8" a="1"/>
  <c r="AF2" i="15" a="1"/>
  <c r="AH5" i="8" a="1"/>
  <c r="AH45" i="8" a="1"/>
  <c r="AH14" i="8" a="1"/>
  <c r="AF38" i="15" a="1"/>
  <c r="AF47" i="15" a="1"/>
  <c r="AF50" i="15" a="1"/>
  <c r="AH29" i="8" a="1"/>
  <c r="AH28" i="8" a="1"/>
  <c r="AF28" i="15" a="1"/>
  <c r="AF42" i="15" a="1"/>
  <c r="AF14" i="15" a="1"/>
  <c r="AF26" i="15" a="1"/>
  <c r="AH16" i="8" a="1"/>
  <c r="AF46" i="15" a="1"/>
  <c r="AF7" i="15" a="1"/>
  <c r="AF19" i="15" a="1"/>
  <c r="AF11" i="15" a="1"/>
  <c r="AF31" i="15" a="1"/>
  <c r="AH22" i="8" a="1"/>
  <c r="AF8" i="15" a="1"/>
  <c r="AF36" i="15" a="1"/>
  <c r="AF20" i="15" a="1"/>
  <c r="AF33" i="15" a="1"/>
  <c r="AF44" i="15" a="1"/>
  <c r="AF40" i="15" a="1"/>
  <c r="AH41" i="8" a="1"/>
  <c r="AF39" i="15" a="1"/>
  <c r="AF45" i="15" a="1"/>
  <c r="AF21" i="15" a="1"/>
  <c r="AH10" i="8" a="1"/>
  <c r="AF27" i="15" a="1"/>
  <c r="AH11" i="8" a="1"/>
  <c r="AH15" i="8" a="1"/>
  <c r="AH42" i="8" a="1"/>
  <c r="AH40" i="8" a="1"/>
  <c r="AF51" i="15" a="1"/>
  <c r="AF6" i="15" a="1"/>
  <c r="AF35" i="15" a="1"/>
  <c r="AF34" i="15" a="1"/>
  <c r="AF37" i="15" a="1"/>
  <c r="AH36" i="8" a="1"/>
  <c r="AF29" i="15" a="1"/>
  <c r="AH18" i="8" a="1"/>
  <c r="AF17" i="15" a="1"/>
  <c r="AH17" i="8" a="1"/>
  <c r="AF24" i="15" a="1"/>
  <c r="AF18" i="15" a="1"/>
  <c r="AF48" i="15" a="1"/>
  <c r="AF22" i="15" a="1"/>
  <c r="AH25" i="8" a="1"/>
  <c r="AF4" i="15" a="1"/>
  <c r="AH19" i="8" a="1"/>
  <c r="AF3" i="15" a="1"/>
  <c r="AF52" i="15" a="1"/>
  <c r="AF32" i="15" a="1"/>
  <c r="AF23" i="15" a="1"/>
  <c r="AF43" i="15" a="1"/>
  <c r="AH4" i="8" a="1"/>
  <c r="AH33" i="8" a="1"/>
  <c r="AH6" i="8" a="1"/>
  <c r="AF30" i="15" a="1"/>
  <c r="AH47" i="8" a="1"/>
  <c r="AF9" i="15" a="1"/>
  <c r="AF5" i="15" a="1"/>
  <c r="AF15" i="15" a="1"/>
  <c r="AF12" i="15" a="1"/>
  <c r="AF41" i="15" a="1"/>
  <c r="AF16" i="15" a="1"/>
  <c r="AF25" i="15" a="1"/>
  <c r="AH30" i="8" a="1"/>
  <c r="AH12" i="8" a="1"/>
  <c r="AF10" i="15" a="1"/>
  <c r="AF13" i="15" a="1"/>
  <c r="AH7" i="8" a="1"/>
  <c r="AF49" i="15" a="1"/>
  <c r="AH13" i="8" a="1"/>
  <c r="Z31" i="15" a="1"/>
  <c r="Z50" i="15" a="1"/>
  <c r="AK35" i="15" a="1"/>
  <c r="AK4" i="15" a="1"/>
  <c r="AK41" i="15" a="1"/>
  <c r="AJ34" i="15" a="1"/>
  <c r="AH7" i="15" a="1"/>
  <c r="AH29" i="15" a="1"/>
  <c r="AI49" i="15" a="1"/>
  <c r="AJ52" i="15" a="1"/>
  <c r="AC58" i="15" a="1"/>
  <c r="AJ26" i="15" a="1"/>
  <c r="AI47" i="15" a="1"/>
  <c r="AB68" i="15" a="1"/>
  <c r="AJ40" i="15" a="1"/>
  <c r="AC62" i="15" a="1"/>
  <c r="AB47" i="8" a="1"/>
  <c r="AJ11" i="8" a="1"/>
  <c r="AK45" i="8" a="1"/>
  <c r="AJ2" i="15" a="1"/>
  <c r="AI37" i="15" a="1"/>
  <c r="AB67" i="15" a="1"/>
  <c r="AD62" i="15" a="1"/>
  <c r="AB29" i="8" a="1"/>
  <c r="AB25" i="8" a="1"/>
  <c r="AB6" i="8" a="1"/>
  <c r="AK4" i="8" a="1"/>
  <c r="Z8" i="15" a="1"/>
  <c r="AI22" i="15" a="1"/>
  <c r="AJ9" i="15" a="1"/>
  <c r="AK9" i="15" a="1"/>
  <c r="Z29" i="15" a="1"/>
  <c r="AK15" i="15" a="1"/>
  <c r="AI19" i="15" a="1"/>
  <c r="AI35" i="15" a="1"/>
  <c r="AJ19" i="15" a="1"/>
  <c r="AJ8" i="15" a="1"/>
  <c r="AK27" i="15" a="1"/>
  <c r="AH9" i="15" a="1"/>
  <c r="AH11" i="15" a="1"/>
  <c r="AC60" i="15" a="1"/>
  <c r="Z2" i="15" a="1"/>
  <c r="AJ17" i="15" a="1"/>
  <c r="AI3" i="15" a="1"/>
  <c r="AJ15" i="15" a="1"/>
  <c r="AK26" i="15" a="1"/>
  <c r="AH35" i="15" a="1"/>
  <c r="AH17" i="15" a="1"/>
  <c r="AI7" i="15" a="1"/>
  <c r="AK21" i="15" a="1"/>
  <c r="AI5" i="15" a="1"/>
  <c r="AI43" i="15" a="1"/>
  <c r="AJ29" i="15" a="1"/>
  <c r="AD60" i="15" a="1"/>
  <c r="AH31" i="15" a="1"/>
  <c r="AE58" i="15" a="1"/>
  <c r="AI28" i="15" a="1"/>
  <c r="AC67" i="15" a="1"/>
  <c r="AC71" i="15" a="1"/>
  <c r="AH22" i="15" a="1"/>
  <c r="AJ49" i="15" a="1"/>
  <c r="AH50" i="15" a="1"/>
  <c r="AK43" i="15" a="1"/>
  <c r="AJ41" i="15" a="1"/>
  <c r="AK44" i="15" a="1"/>
  <c r="Z9" i="15" a="1"/>
  <c r="Z22" i="15" a="1"/>
  <c r="AI17" i="15" a="1"/>
  <c r="AK52" i="15" a="1"/>
  <c r="AK51" i="15" a="1"/>
  <c r="Z11" i="15" a="1"/>
  <c r="Z6" i="15" a="1"/>
  <c r="AE60" i="15" a="1"/>
  <c r="AB55" i="15" a="1"/>
  <c r="AG58" i="15" a="1"/>
  <c r="AI26" i="15" a="1"/>
  <c r="AD67" i="15" a="1"/>
  <c r="AD71" i="15" a="1"/>
  <c r="AJ18" i="8" a="1"/>
  <c r="AI39" i="15" a="1"/>
  <c r="AB59" i="15" a="1"/>
  <c r="AB69" i="15" a="1"/>
  <c r="AJ22" i="8" a="1"/>
  <c r="AB14" i="8" a="1"/>
  <c r="AB12" i="8" a="1"/>
  <c r="AB13" i="8" a="1"/>
  <c r="AL7" i="8" a="1"/>
  <c r="AI11" i="15" a="1"/>
  <c r="AH14" i="15" a="1"/>
  <c r="Z45" i="15" a="1"/>
  <c r="Z52" i="15" a="1"/>
  <c r="Z33" i="15" a="1"/>
  <c r="AI6" i="15" a="1"/>
  <c r="Z42" i="15" a="1"/>
  <c r="Z35" i="15" a="1"/>
  <c r="AJ25" i="15" a="1"/>
  <c r="AK25" i="15" a="1"/>
  <c r="AK40" i="15" a="1"/>
  <c r="AJ50" i="15" a="1"/>
  <c r="AH45" i="15" a="1"/>
  <c r="Z7" i="15" a="1"/>
  <c r="AG60" i="15" a="1"/>
  <c r="AC55" i="15" a="1"/>
  <c r="AL58" i="15" a="1"/>
  <c r="AJ20" i="15" a="1"/>
  <c r="AE67" i="15" a="1"/>
  <c r="AE71" i="15" a="1"/>
  <c r="AH18" i="15" a="1"/>
  <c r="AB56" i="15" a="1"/>
  <c r="AC59" i="15" a="1"/>
  <c r="AK5" i="15" a="1"/>
  <c r="AH3" i="15" a="1"/>
  <c r="AK8" i="15" a="1"/>
  <c r="AK31" i="15" a="1"/>
  <c r="AK42" i="15" a="1"/>
  <c r="Z17" i="15" a="1"/>
  <c r="AH8" i="15" a="1"/>
  <c r="Z12" i="15" a="1"/>
  <c r="Z49" i="15" a="1"/>
  <c r="Z46" i="15" a="1"/>
  <c r="Z30" i="15" a="1"/>
  <c r="Z41" i="15" a="1"/>
  <c r="AL60" i="15" a="1"/>
  <c r="AD55" i="15" a="1"/>
  <c r="AB57" i="15" a="1"/>
  <c r="AJ24" i="15" a="1"/>
  <c r="AG67" i="15" a="1"/>
  <c r="AG71" i="15" a="1"/>
  <c r="AB54" i="15" a="1"/>
  <c r="AC56" i="15" a="1"/>
  <c r="AI4" i="15" a="1"/>
  <c r="AJ3" i="8" a="1"/>
  <c r="AI33" i="15" a="1"/>
  <c r="AJ45" i="15" a="1"/>
  <c r="AH6" i="15" a="1"/>
  <c r="Z4" i="15" a="1"/>
  <c r="AJ38" i="15" a="1"/>
  <c r="AJ6" i="15" a="1"/>
  <c r="AK48" i="15" a="1"/>
  <c r="Z47" i="15" a="1"/>
  <c r="AH10" i="15" a="1"/>
  <c r="Z10" i="15" a="1"/>
  <c r="AH49" i="15" a="1"/>
  <c r="AI44" i="15" a="1"/>
  <c r="AH46" i="15" a="1"/>
  <c r="AE55" i="15" a="1"/>
  <c r="AC57" i="15" a="1"/>
  <c r="AH52" i="15" a="1"/>
  <c r="AL67" i="15" a="1"/>
  <c r="AL71" i="15" a="1"/>
  <c r="AC54" i="15" a="1"/>
  <c r="AD56" i="15" a="1"/>
  <c r="AE59" i="15" a="1"/>
  <c r="AE69" i="15" a="1"/>
  <c r="AJ4" i="8" a="1"/>
  <c r="AL13" i="8" a="1"/>
  <c r="AJ47" i="8" a="1"/>
  <c r="AK17" i="8" a="1"/>
  <c r="AJ45" i="8" a="1"/>
  <c r="AJ13" i="8" a="1"/>
  <c r="AJ15" i="8" a="1"/>
  <c r="AB17" i="8" a="1"/>
  <c r="AL40" i="8" a="1"/>
  <c r="AK3" i="8" a="1"/>
  <c r="AK29" i="8" a="1"/>
  <c r="AI9" i="15" a="1"/>
  <c r="AJ43" i="15" a="1"/>
  <c r="AB18" i="8" a="1"/>
  <c r="Z40" i="15" a="1"/>
  <c r="AK45" i="15" a="1"/>
  <c r="AK12" i="15" a="1"/>
  <c r="AK38" i="15" a="1"/>
  <c r="AK39" i="15" a="1"/>
  <c r="AI8" i="15" a="1"/>
  <c r="AK28" i="15" a="1"/>
  <c r="AH33" i="15" a="1"/>
  <c r="AK16" i="15" a="1"/>
  <c r="AI40" i="15" a="1"/>
  <c r="AH40" i="15" a="1"/>
  <c r="AG55" i="15" a="1"/>
  <c r="AD57" i="15" a="1"/>
  <c r="AH44" i="15" a="1"/>
  <c r="AJ42" i="15" a="1"/>
  <c r="AB65" i="15" a="1"/>
  <c r="AD54" i="15" a="1"/>
  <c r="AE56" i="15" a="1"/>
  <c r="AG59" i="15" a="1"/>
  <c r="AG69" i="15" a="1"/>
  <c r="AB36" i="8" a="1"/>
  <c r="AL29" i="8" a="1"/>
  <c r="AL28" i="8" a="1"/>
  <c r="AL14" i="8" a="1"/>
  <c r="AJ29" i="8" a="1"/>
  <c r="AL54" i="15" a="1"/>
  <c r="AL33" i="8" a="1"/>
  <c r="AL3" i="8" a="1"/>
  <c r="AH41" i="15" a="1"/>
  <c r="Z18" i="15" a="1"/>
  <c r="Z25" i="15" a="1"/>
  <c r="AI10" i="15" a="1"/>
  <c r="Z44" i="15" a="1"/>
  <c r="Z23" i="15" a="1"/>
  <c r="Z34" i="15" a="1"/>
  <c r="AK2" i="15" a="1"/>
  <c r="Z19" i="15" a="1"/>
  <c r="AK7" i="15" a="1"/>
  <c r="AK37" i="15" a="1"/>
  <c r="AJ10" i="15" a="1"/>
  <c r="AH21" i="15" a="1"/>
  <c r="AH20" i="15" a="1"/>
  <c r="AL55" i="15" a="1"/>
  <c r="AE57" i="15" a="1"/>
  <c r="AI20" i="15" a="1"/>
  <c r="AH47" i="15" a="1"/>
  <c r="AC65" i="15" a="1"/>
  <c r="AE54" i="15" a="1"/>
  <c r="AG56" i="15" a="1"/>
  <c r="AL59" i="15" a="1"/>
  <c r="AL69" i="15" a="1"/>
  <c r="AJ53" i="15" a="1"/>
  <c r="AJ23" i="15" a="1"/>
  <c r="AJ10" i="8" a="1"/>
  <c r="AJ40" i="8" a="1"/>
  <c r="AL10" i="8" a="1"/>
  <c r="AK13" i="8" a="1"/>
  <c r="AL36" i="8" a="1"/>
  <c r="AL56" i="15" a="1"/>
  <c r="AK12" i="8" a="1"/>
  <c r="AK42" i="8" a="1"/>
  <c r="AK36" i="8" a="1"/>
  <c r="AK16" i="8" a="1"/>
  <c r="AC70" i="15" a="1"/>
  <c r="Z38" i="15" a="1"/>
  <c r="AI41" i="15" a="1"/>
  <c r="AK49" i="15" a="1"/>
  <c r="AK22" i="15" a="1"/>
  <c r="AI30" i="15" a="1"/>
  <c r="Z53" i="15" a="1"/>
  <c r="AK6" i="15" a="1"/>
  <c r="Z51" i="15" a="1"/>
  <c r="AK17" i="15" a="1"/>
  <c r="AK13" i="15" a="1"/>
  <c r="AB61" i="15" a="1"/>
  <c r="AB70" i="15" a="1"/>
  <c r="AH53" i="15" a="1"/>
  <c r="AG57" i="15" a="1"/>
  <c r="AH24" i="15" a="1"/>
  <c r="AH26" i="15" a="1"/>
  <c r="AD65" i="15" a="1"/>
  <c r="AG54" i="15" a="1"/>
  <c r="AB63" i="15" a="1"/>
  <c r="AJ41" i="8" a="1"/>
  <c r="AJ14" i="8" a="1"/>
  <c r="AI24" i="15" a="1"/>
  <c r="AL57" i="15" a="1"/>
  <c r="AJ32" i="15" a="1"/>
  <c r="AK18" i="8" a="1"/>
  <c r="AE65" i="15" a="1"/>
  <c r="AI42" i="15" a="1"/>
  <c r="AC63" i="15" a="1"/>
  <c r="AK53" i="15" a="1"/>
  <c r="Z5" i="15" a="1"/>
  <c r="AH36" i="15" a="1"/>
  <c r="AJ27" i="15" a="1"/>
  <c r="AH30" i="15" a="1"/>
  <c r="AJ36" i="15" a="1"/>
  <c r="AJ51" i="15" a="1"/>
  <c r="AI27" i="15" a="1"/>
  <c r="AK47" i="15" a="1"/>
  <c r="AH51" i="15" a="1"/>
  <c r="AI50" i="15" a="1"/>
  <c r="AK23" i="15" a="1"/>
  <c r="AJ33" i="15" a="1"/>
  <c r="AC61" i="15" a="1"/>
  <c r="AK46" i="15" a="1"/>
  <c r="AK32" i="15" a="1"/>
  <c r="AI34" i="15" a="1"/>
  <c r="Z24" i="15" a="1"/>
  <c r="AI12" i="15" a="1"/>
  <c r="AK18" i="15" a="1"/>
  <c r="AH5" i="15" a="1"/>
  <c r="Z48" i="15" a="1"/>
  <c r="AI29" i="15" a="1"/>
  <c r="AH43" i="15" a="1"/>
  <c r="AD61" i="15" a="1"/>
  <c r="AD70" i="15" a="1"/>
  <c r="AJ37" i="15" a="1"/>
  <c r="AB66" i="15" a="1"/>
  <c r="AI46" i="15" a="1"/>
  <c r="AI18" i="15" a="1"/>
  <c r="AG65" i="15" a="1"/>
  <c r="AL68" i="15" a="1"/>
  <c r="AI13" i="15" a="1"/>
  <c r="AI53" i="15" a="1"/>
  <c r="AD63" i="15" a="1"/>
  <c r="AH48" i="15" a="1"/>
  <c r="AK22" i="8" a="1"/>
  <c r="AL42" i="8" a="1"/>
  <c r="AJ19" i="8" a="1"/>
  <c r="AL6" i="8" a="1"/>
  <c r="AB11" i="8" a="1"/>
  <c r="AK7" i="8" a="1"/>
  <c r="AK6" i="8" a="1"/>
  <c r="AH16" i="15" a="1"/>
  <c r="AL47" i="8" a="1"/>
  <c r="AB40" i="8" a="1"/>
  <c r="AL41" i="8" a="1"/>
  <c r="AJ28" i="8" a="1"/>
  <c r="AJ18" i="15" a="1"/>
  <c r="AI31" i="15" a="1"/>
  <c r="AK5" i="8" a="1"/>
  <c r="AL22" i="8" a="1"/>
  <c r="AJ39" i="15" a="1"/>
  <c r="AH39" i="15" a="1"/>
  <c r="AI16" i="15" a="1"/>
  <c r="AJ12" i="8" a="1"/>
  <c r="AB19" i="8" a="1"/>
  <c r="AK25" i="8" a="1"/>
  <c r="AL17" i="8" a="1"/>
  <c r="AI23" i="15" a="1"/>
  <c r="AB4" i="8" a="1"/>
  <c r="AB30" i="8" a="1"/>
  <c r="AL11" i="8" a="1"/>
  <c r="AC69" i="15" a="1"/>
  <c r="AK10" i="8" a="1"/>
  <c r="AK47" i="8" a="1"/>
  <c r="AB42" i="8" a="1"/>
  <c r="AJ30" i="8" a="1"/>
  <c r="AK29" i="15" a="1"/>
  <c r="Z37" i="15" a="1"/>
  <c r="AJ11" i="15" a="1"/>
  <c r="AJ22" i="15" a="1"/>
  <c r="AH19" i="15" a="1"/>
  <c r="AH12" i="15" a="1"/>
  <c r="Z16" i="15" a="1"/>
  <c r="Z21" i="15" a="1"/>
  <c r="AK10" i="15" a="1"/>
  <c r="AK50" i="15" a="1"/>
  <c r="AE61" i="15" a="1"/>
  <c r="AE70" i="15" a="1"/>
  <c r="AI52" i="15" a="1"/>
  <c r="AC66" i="15" a="1"/>
  <c r="AJ47" i="15" a="1"/>
  <c r="AJ44" i="15" a="1"/>
  <c r="AL65" i="15" a="1"/>
  <c r="AG68" i="15" a="1"/>
  <c r="AI2" i="15" a="1"/>
  <c r="AI48" i="15" a="1"/>
  <c r="AE63" i="15" a="1"/>
  <c r="AJ42" i="8" a="1"/>
  <c r="AK15" i="8" a="1"/>
  <c r="AJ36" i="8" a="1"/>
  <c r="AJ5" i="8" a="1"/>
  <c r="AB16" i="8" a="1"/>
  <c r="AL4" i="8" a="1"/>
  <c r="AB28" i="8" a="1"/>
  <c r="AK41" i="8" a="1"/>
  <c r="AJ7" i="8" a="1"/>
  <c r="AL63" i="15" a="1"/>
  <c r="AJ33" i="8" a="1"/>
  <c r="AJ28" i="15" a="1"/>
  <c r="AJ16" i="8" a="1"/>
  <c r="AB22" i="8" a="1"/>
  <c r="AB10" i="8" a="1"/>
  <c r="AI21" i="15" a="1"/>
  <c r="AE62" i="15" a="1"/>
  <c r="AK28" i="8" a="1"/>
  <c r="AB33" i="8" a="1"/>
  <c r="AJ17" i="8" a="1"/>
  <c r="AJ25" i="8" a="1"/>
  <c r="AD59" i="15" a="1"/>
  <c r="AK20" i="15" a="1"/>
  <c r="Z28" i="15" a="1"/>
  <c r="AI36" i="15" a="1"/>
  <c r="AJ14" i="15" a="1"/>
  <c r="AK14" i="15" a="1"/>
  <c r="AK36" i="15" a="1"/>
  <c r="AJ30" i="15" a="1"/>
  <c r="AK19" i="15" a="1"/>
  <c r="AJ12" i="15" a="1"/>
  <c r="AK24" i="15" a="1"/>
  <c r="AJ5" i="15" a="1"/>
  <c r="Z36" i="15" a="1"/>
  <c r="AG61" i="15" a="1"/>
  <c r="AG70" i="15" a="1"/>
  <c r="AH28" i="15" a="1"/>
  <c r="AD66" i="15" a="1"/>
  <c r="AH2" i="15" a="1"/>
  <c r="AH42" i="15" a="1"/>
  <c r="AJ16" i="15" a="1"/>
  <c r="AE68" i="15" a="1"/>
  <c r="AB64" i="15" a="1"/>
  <c r="AH23" i="15" a="1"/>
  <c r="AG63" i="15" a="1"/>
  <c r="AL16" i="8" a="1"/>
  <c r="AL19" i="8" a="1"/>
  <c r="AI45" i="15" a="1"/>
  <c r="AK30" i="8" a="1"/>
  <c r="AB71" i="15" a="1"/>
  <c r="AK11" i="8" a="1"/>
  <c r="AK40" i="8" a="1"/>
  <c r="AB45" i="8" a="1"/>
  <c r="AB41" i="8" a="1"/>
  <c r="AG62" i="15" a="1"/>
  <c r="AD69" i="15" a="1"/>
  <c r="Z13" i="15" a="1"/>
  <c r="Z15" i="15" a="1"/>
  <c r="AJ4" i="15" a="1"/>
  <c r="AK11" i="15" a="1"/>
  <c r="AJ3" i="15" a="1"/>
  <c r="AK3" i="15" a="1"/>
  <c r="AH38" i="15" a="1"/>
  <c r="AI38" i="15" a="1"/>
  <c r="AI51" i="15" a="1"/>
  <c r="AH27" i="15" a="1"/>
  <c r="Z39" i="15" a="1"/>
  <c r="Z43" i="15" a="1"/>
  <c r="AL61" i="15" a="1"/>
  <c r="AL70" i="15" a="1"/>
  <c r="AJ31" i="15" a="1"/>
  <c r="AE66" i="15" a="1"/>
  <c r="AJ46" i="15" a="1"/>
  <c r="AH32" i="15" a="1"/>
  <c r="AI32" i="15" a="1"/>
  <c r="AD68" i="15" a="1"/>
  <c r="AC64" i="15" a="1"/>
  <c r="Z20" i="15" a="1"/>
  <c r="Z26" i="15" a="1"/>
  <c r="AJ7" i="15" a="1"/>
  <c r="AI14" i="15" a="1"/>
  <c r="AH34" i="15" a="1"/>
  <c r="AH25" i="15" a="1"/>
  <c r="AI25" i="15" a="1"/>
  <c r="AK34" i="15" a="1"/>
  <c r="AK30" i="15" a="1"/>
  <c r="Z27" i="15" a="1"/>
  <c r="AH4" i="15" a="1"/>
  <c r="Z14" i="15" a="1"/>
  <c r="AJ13" i="15" a="1"/>
  <c r="AH37" i="15" a="1"/>
  <c r="AB58" i="15" a="1"/>
  <c r="AG66" i="15" a="1"/>
  <c r="AI15" i="15" a="1"/>
  <c r="AH15" i="15" a="1"/>
  <c r="AJ21" i="15" a="1"/>
  <c r="AC68" i="15" a="1"/>
  <c r="AD64" i="15" a="1"/>
  <c r="AH13" i="15" a="1"/>
  <c r="AB62" i="15" a="1"/>
  <c r="AB5" i="8" a="1"/>
  <c r="AK33" i="8" a="1"/>
  <c r="AL30" i="8" a="1"/>
  <c r="AJ6" i="8" a="1"/>
  <c r="AL25" i="8" a="1"/>
  <c r="AK14" i="8" a="1"/>
  <c r="Z32" i="15" a="1"/>
  <c r="AJ35" i="15" a="1"/>
  <c r="AK33" i="15" a="1"/>
  <c r="AB60" i="15" a="1"/>
  <c r="AL66" i="15" a="1"/>
  <c r="AL18" i="8" a="1"/>
  <c r="AE64" i="15" a="1"/>
  <c r="AJ48" i="15" a="1"/>
  <c r="AL12" i="8" a="1"/>
  <c r="AL15" i="8" a="1"/>
  <c r="AK19" i="8" a="1"/>
  <c r="AD58" i="15" a="1"/>
  <c r="AG64" i="15" a="1"/>
  <c r="AL45" i="8" a="1"/>
  <c r="AL64" i="15" a="1"/>
  <c r="AB7" i="8" a="1"/>
  <c r="AL62" i="15" a="1"/>
  <c r="AB15" i="8" a="1"/>
  <c r="AL5" i="8" a="1"/>
  <c r="AN3" i="8" l="1"/>
  <c r="AE230" i="2"/>
  <c r="AF230" i="2" s="1"/>
  <c r="AD228" i="2"/>
  <c r="AB152" i="2"/>
  <c r="AG152" i="2" s="1"/>
  <c r="AA150" i="2"/>
  <c r="AE150" i="2"/>
  <c r="AI150" i="2" s="1"/>
  <c r="AB150" i="2"/>
  <c r="AG150" i="2" s="1"/>
  <c r="Z150" i="2"/>
  <c r="AJ150" i="2"/>
  <c r="AO150" i="2" s="1"/>
  <c r="AJ276" i="2"/>
  <c r="AN276" i="2" s="1"/>
  <c r="AC150" i="2"/>
  <c r="AH150" i="2" s="1"/>
  <c r="AD152" i="2"/>
  <c r="AA163" i="2"/>
  <c r="Z152" i="2"/>
  <c r="Z13" i="15"/>
  <c r="Z2" i="15"/>
  <c r="Z8" i="15"/>
  <c r="Z31" i="15"/>
  <c r="Z20" i="15"/>
  <c r="Z41" i="15"/>
  <c r="Z7" i="15"/>
  <c r="Z6" i="15"/>
  <c r="AJ29" i="15"/>
  <c r="AH11" i="15"/>
  <c r="AI49" i="15"/>
  <c r="Z14" i="15"/>
  <c r="Z43" i="15"/>
  <c r="Z36" i="15"/>
  <c r="AK50" i="15"/>
  <c r="AH43" i="15"/>
  <c r="AJ33" i="15"/>
  <c r="AF32" i="15"/>
  <c r="AJ10" i="15"/>
  <c r="AF9" i="15"/>
  <c r="AH49" i="15"/>
  <c r="Z30" i="15"/>
  <c r="AH45" i="15"/>
  <c r="Z11" i="15"/>
  <c r="AI43" i="15"/>
  <c r="AH9" i="15"/>
  <c r="AK33" i="15"/>
  <c r="AH4" i="15"/>
  <c r="AF4" i="15"/>
  <c r="AJ5" i="15"/>
  <c r="AK10" i="15"/>
  <c r="AI29" i="15"/>
  <c r="AK23" i="15"/>
  <c r="AK13" i="15"/>
  <c r="AK37" i="15"/>
  <c r="AK16" i="15"/>
  <c r="Z10" i="15"/>
  <c r="AF49" i="15"/>
  <c r="AJ50" i="15"/>
  <c r="AK51" i="15"/>
  <c r="AI5" i="15"/>
  <c r="AK27" i="15"/>
  <c r="AH29" i="15"/>
  <c r="Z27" i="15"/>
  <c r="Z39" i="15"/>
  <c r="AK24" i="15"/>
  <c r="Z21" i="15"/>
  <c r="Z48" i="15"/>
  <c r="AI50" i="15"/>
  <c r="AK17" i="15"/>
  <c r="AK7" i="15"/>
  <c r="AH33" i="15"/>
  <c r="AH10" i="15"/>
  <c r="Z46" i="15"/>
  <c r="AK40" i="15"/>
  <c r="AK52" i="15"/>
  <c r="AK21" i="15"/>
  <c r="AJ8" i="15"/>
  <c r="AJ35" i="15"/>
  <c r="AF34" i="15"/>
  <c r="AH27" i="15"/>
  <c r="AJ12" i="15"/>
  <c r="AF11" i="15"/>
  <c r="AH5" i="15"/>
  <c r="AH51" i="15"/>
  <c r="Z51" i="15"/>
  <c r="Z19" i="15"/>
  <c r="AK28" i="15"/>
  <c r="Z47" i="15"/>
  <c r="Z49" i="15"/>
  <c r="AK25" i="15"/>
  <c r="AI17" i="15"/>
  <c r="AI7" i="15"/>
  <c r="AJ19" i="15"/>
  <c r="AF18" i="15"/>
  <c r="AK30" i="15"/>
  <c r="AI51" i="15"/>
  <c r="AK19" i="15"/>
  <c r="Z16" i="15"/>
  <c r="AK18" i="15"/>
  <c r="AK47" i="15"/>
  <c r="AK6" i="15"/>
  <c r="AK2" i="15"/>
  <c r="AI8" i="15"/>
  <c r="AK48" i="15"/>
  <c r="Z12" i="15"/>
  <c r="AJ25" i="15"/>
  <c r="AF24" i="15"/>
  <c r="AH17" i="15"/>
  <c r="AI35" i="15"/>
  <c r="AH7" i="15"/>
  <c r="AK34" i="15"/>
  <c r="AI38" i="15"/>
  <c r="AJ30" i="15"/>
  <c r="AF29" i="15"/>
  <c r="AI12" i="15"/>
  <c r="AI27" i="15"/>
  <c r="Z53" i="15"/>
  <c r="Z34" i="15"/>
  <c r="AK39" i="15"/>
  <c r="AJ6" i="15"/>
  <c r="AH8" i="15"/>
  <c r="Z35" i="15"/>
  <c r="Z22" i="15"/>
  <c r="AH35" i="15"/>
  <c r="AI19" i="15"/>
  <c r="AJ34" i="15"/>
  <c r="AF33" i="15"/>
  <c r="AH38" i="15"/>
  <c r="AK36" i="15"/>
  <c r="AH12" i="15"/>
  <c r="Z24" i="15"/>
  <c r="AJ51" i="15"/>
  <c r="AF50" i="15"/>
  <c r="Z23" i="15"/>
  <c r="AK38" i="15"/>
  <c r="AJ38" i="15"/>
  <c r="AF37" i="15"/>
  <c r="Z42" i="15"/>
  <c r="Z9" i="15"/>
  <c r="AK26" i="15"/>
  <c r="AK15" i="15"/>
  <c r="Z32" i="15"/>
  <c r="AI25" i="15"/>
  <c r="AK3" i="15"/>
  <c r="AK14" i="15"/>
  <c r="AH19" i="15"/>
  <c r="AF35" i="15"/>
  <c r="AJ36" i="15"/>
  <c r="AI30" i="15"/>
  <c r="Z44" i="15"/>
  <c r="AK12" i="15"/>
  <c r="Z4" i="15"/>
  <c r="Z17" i="15"/>
  <c r="AI6" i="15"/>
  <c r="AK44" i="15"/>
  <c r="AJ15" i="15"/>
  <c r="Z29" i="15"/>
  <c r="AK41" i="15"/>
  <c r="AH25" i="15"/>
  <c r="AJ3" i="15"/>
  <c r="AJ14" i="15"/>
  <c r="AF13" i="15"/>
  <c r="AI34" i="15"/>
  <c r="AH30" i="15"/>
  <c r="AK22" i="15"/>
  <c r="AI10" i="15"/>
  <c r="AK45" i="15"/>
  <c r="AH6" i="15"/>
  <c r="AK42" i="15"/>
  <c r="Z33" i="15"/>
  <c r="AJ41" i="15"/>
  <c r="AF40" i="15"/>
  <c r="AK9" i="15"/>
  <c r="AK4" i="15"/>
  <c r="AH34" i="15"/>
  <c r="AK11" i="15"/>
  <c r="AI36" i="15"/>
  <c r="AJ22" i="15"/>
  <c r="AF21" i="15"/>
  <c r="AJ27" i="15"/>
  <c r="AF26" i="15"/>
  <c r="Z25" i="15"/>
  <c r="Z40" i="15"/>
  <c r="AJ45" i="15"/>
  <c r="AK31" i="15"/>
  <c r="Z52" i="15"/>
  <c r="AK43" i="15"/>
  <c r="AI3" i="15"/>
  <c r="AJ9" i="15"/>
  <c r="AF8" i="15"/>
  <c r="AI14" i="15"/>
  <c r="AJ4" i="15"/>
  <c r="AF3" i="15"/>
  <c r="AJ11" i="15"/>
  <c r="AF10" i="15"/>
  <c r="AH36" i="15"/>
  <c r="AK49" i="15"/>
  <c r="Z18" i="15"/>
  <c r="AB18" i="8"/>
  <c r="AI33" i="15"/>
  <c r="AK8" i="15"/>
  <c r="Z45" i="15"/>
  <c r="AH50" i="15"/>
  <c r="AJ17" i="15"/>
  <c r="AF16" i="15"/>
  <c r="AK35" i="15"/>
  <c r="AJ7" i="15"/>
  <c r="AF6" i="15"/>
  <c r="Z28" i="15"/>
  <c r="Z37" i="15"/>
  <c r="AK32" i="15"/>
  <c r="Z5" i="15"/>
  <c r="AI41" i="15"/>
  <c r="AF42" i="15"/>
  <c r="AJ43" i="15"/>
  <c r="AJ3" i="8"/>
  <c r="AH3" i="15"/>
  <c r="AH14" i="15"/>
  <c r="AJ49" i="15"/>
  <c r="AF48" i="15"/>
  <c r="AI22" i="15"/>
  <c r="Z50" i="15"/>
  <c r="Z26" i="15"/>
  <c r="Z15" i="15"/>
  <c r="AK20" i="15"/>
  <c r="AK29" i="15"/>
  <c r="AK46" i="15"/>
  <c r="AK53" i="15"/>
  <c r="Z38" i="15"/>
  <c r="AH41" i="15"/>
  <c r="AI9" i="15"/>
  <c r="AI4" i="15"/>
  <c r="AK5" i="15"/>
  <c r="AI11" i="15"/>
  <c r="AH22" i="15"/>
  <c r="S60" i="15"/>
  <c r="S62" i="15"/>
  <c r="S70" i="15"/>
  <c r="S69" i="15"/>
  <c r="S63" i="15"/>
  <c r="AF39" i="15"/>
  <c r="AF51" i="15"/>
  <c r="AI16" i="15"/>
  <c r="AF7" i="15"/>
  <c r="AJ48" i="15"/>
  <c r="AF17" i="15"/>
  <c r="AF46" i="15"/>
  <c r="AF20" i="15"/>
  <c r="AF47" i="15"/>
  <c r="AH48" i="15"/>
  <c r="AF38" i="15"/>
  <c r="AF27" i="15"/>
  <c r="AJ23" i="15"/>
  <c r="AF25" i="15"/>
  <c r="AF5" i="15"/>
  <c r="AF14" i="15"/>
  <c r="AF41" i="15"/>
  <c r="AI23" i="15"/>
  <c r="AF30" i="15"/>
  <c r="AF43" i="15"/>
  <c r="AF44" i="15"/>
  <c r="AF31" i="15"/>
  <c r="AI45" i="15"/>
  <c r="AF19" i="15"/>
  <c r="AF52" i="15"/>
  <c r="AH18" i="8"/>
  <c r="AF28" i="15"/>
  <c r="AF45" i="15"/>
  <c r="AJ53" i="15"/>
  <c r="AF12" i="15"/>
  <c r="AF36" i="15"/>
  <c r="AF15" i="15"/>
  <c r="AL62" i="15"/>
  <c r="AG62" i="15"/>
  <c r="AE62" i="15"/>
  <c r="AD62" i="15"/>
  <c r="AC62" i="15"/>
  <c r="AB62" i="15"/>
  <c r="AL63" i="15"/>
  <c r="AG63" i="15"/>
  <c r="AE63" i="15"/>
  <c r="AD63" i="15"/>
  <c r="AC63" i="15"/>
  <c r="AB63" i="15"/>
  <c r="AL69" i="15"/>
  <c r="AG69" i="15"/>
  <c r="AE69" i="15"/>
  <c r="AD69" i="15"/>
  <c r="AC69" i="15"/>
  <c r="AB69" i="15"/>
  <c r="AH39" i="15"/>
  <c r="AI31" i="15"/>
  <c r="AJ40" i="15"/>
  <c r="AH13" i="15"/>
  <c r="AH16" i="15"/>
  <c r="AH23" i="15"/>
  <c r="AI48" i="15"/>
  <c r="AI53" i="15"/>
  <c r="AF22" i="15"/>
  <c r="AF23" i="15"/>
  <c r="AL59" i="15"/>
  <c r="AG59" i="15"/>
  <c r="AE59" i="15"/>
  <c r="AD59" i="15"/>
  <c r="AC59" i="15"/>
  <c r="AB59" i="15"/>
  <c r="AL64" i="15"/>
  <c r="AG64" i="15"/>
  <c r="AE64" i="15"/>
  <c r="AD64" i="15"/>
  <c r="AC64" i="15"/>
  <c r="AB64" i="15"/>
  <c r="AI2" i="15"/>
  <c r="AI13" i="15"/>
  <c r="AI42" i="15"/>
  <c r="AL56" i="15"/>
  <c r="AG56" i="15"/>
  <c r="AE56" i="15"/>
  <c r="AD56" i="15"/>
  <c r="AC56" i="15"/>
  <c r="AB56" i="15"/>
  <c r="AI39" i="15"/>
  <c r="AI21" i="15"/>
  <c r="AJ28" i="15"/>
  <c r="AB68" i="15"/>
  <c r="AC68" i="15"/>
  <c r="AD68" i="15"/>
  <c r="AE68" i="15"/>
  <c r="AG68" i="15"/>
  <c r="AL68" i="15"/>
  <c r="AL54" i="15"/>
  <c r="AG54" i="15"/>
  <c r="AE54" i="15"/>
  <c r="AD54" i="15"/>
  <c r="AC54" i="15"/>
  <c r="AB54" i="15"/>
  <c r="AH18" i="15"/>
  <c r="AJ18" i="8"/>
  <c r="AJ39" i="15"/>
  <c r="AJ18" i="15"/>
  <c r="AL18" i="8"/>
  <c r="AJ21" i="15"/>
  <c r="AI32" i="15"/>
  <c r="AJ16" i="15"/>
  <c r="AL65" i="15"/>
  <c r="AG65" i="15"/>
  <c r="AE65" i="15"/>
  <c r="AD65" i="15"/>
  <c r="AC65" i="15"/>
  <c r="AB65" i="15"/>
  <c r="AL71" i="15"/>
  <c r="AG71" i="15"/>
  <c r="AE71" i="15"/>
  <c r="AD71" i="15"/>
  <c r="AC71" i="15"/>
  <c r="AB71" i="15"/>
  <c r="AI47" i="15"/>
  <c r="AH15" i="15"/>
  <c r="AH32" i="15"/>
  <c r="AH42" i="15"/>
  <c r="AJ44" i="15"/>
  <c r="AI18" i="15"/>
  <c r="AK18" i="8"/>
  <c r="AH26" i="15"/>
  <c r="AH47" i="15"/>
  <c r="AJ42" i="15"/>
  <c r="AL67" i="15"/>
  <c r="AG67" i="15"/>
  <c r="AE67" i="15"/>
  <c r="AD67" i="15"/>
  <c r="AC67" i="15"/>
  <c r="AB67" i="15"/>
  <c r="AJ26" i="15"/>
  <c r="AI15" i="15"/>
  <c r="AJ46" i="15"/>
  <c r="AH2" i="15"/>
  <c r="AJ47" i="15"/>
  <c r="AI46" i="15"/>
  <c r="AJ32" i="15"/>
  <c r="AH24" i="15"/>
  <c r="AI20" i="15"/>
  <c r="AH44" i="15"/>
  <c r="AH52" i="15"/>
  <c r="AJ24" i="15"/>
  <c r="AJ20" i="15"/>
  <c r="AI26" i="15"/>
  <c r="AI28" i="15"/>
  <c r="AI37" i="15"/>
  <c r="AL66" i="15"/>
  <c r="AG66" i="15"/>
  <c r="AE66" i="15"/>
  <c r="AD66" i="15"/>
  <c r="AC66" i="15"/>
  <c r="AB66" i="15"/>
  <c r="AL57" i="15"/>
  <c r="AG57" i="15"/>
  <c r="AE57" i="15"/>
  <c r="AD57" i="15"/>
  <c r="AC57" i="15"/>
  <c r="AB57" i="15"/>
  <c r="AL58" i="15"/>
  <c r="AG58" i="15"/>
  <c r="AE58" i="15"/>
  <c r="AD58" i="15"/>
  <c r="AC58" i="15"/>
  <c r="AB58" i="15"/>
  <c r="AJ31" i="15"/>
  <c r="AH28" i="15"/>
  <c r="AI52" i="15"/>
  <c r="AJ37" i="15"/>
  <c r="AI24" i="15"/>
  <c r="AH53" i="15"/>
  <c r="AL55" i="15"/>
  <c r="AG55" i="15"/>
  <c r="AE55" i="15"/>
  <c r="AD55" i="15"/>
  <c r="AC55" i="15"/>
  <c r="AB55" i="15"/>
  <c r="AH31" i="15"/>
  <c r="AJ2" i="15"/>
  <c r="AJ52" i="15"/>
  <c r="AH37" i="15"/>
  <c r="AL70" i="15"/>
  <c r="AG70" i="15"/>
  <c r="AE70" i="15"/>
  <c r="AD70" i="15"/>
  <c r="AC70" i="15"/>
  <c r="AB70" i="15"/>
  <c r="AH20" i="15"/>
  <c r="AH40" i="15"/>
  <c r="AH46" i="15"/>
  <c r="AL60" i="15"/>
  <c r="AG60" i="15"/>
  <c r="AE60" i="15"/>
  <c r="AD60" i="15"/>
  <c r="AC60" i="15"/>
  <c r="AB60" i="15"/>
  <c r="AJ13" i="15"/>
  <c r="AL61" i="15"/>
  <c r="AG61" i="15"/>
  <c r="AE61" i="15"/>
  <c r="AD61" i="15"/>
  <c r="AC61" i="15"/>
  <c r="AB61" i="15"/>
  <c r="AH21" i="15"/>
  <c r="AI40" i="15"/>
  <c r="AI44" i="15"/>
  <c r="AH16" i="2"/>
  <c r="AF48" i="2"/>
  <c r="AI48" i="2"/>
  <c r="S61" i="15"/>
  <c r="S59" i="15"/>
  <c r="S65" i="15"/>
  <c r="AG48" i="2"/>
  <c r="AI23" i="2"/>
  <c r="AF23" i="2"/>
  <c r="S56" i="15"/>
  <c r="S68" i="15"/>
  <c r="S54" i="15"/>
  <c r="AH23" i="2"/>
  <c r="S58" i="15"/>
  <c r="S66" i="15"/>
  <c r="S71" i="15"/>
  <c r="AH45" i="2"/>
  <c r="AI53" i="2"/>
  <c r="AF53" i="2"/>
  <c r="AA62" i="2"/>
  <c r="AA63" i="2"/>
  <c r="AG39" i="2"/>
  <c r="AH31" i="2"/>
  <c r="AI40" i="2"/>
  <c r="AF40" i="2"/>
  <c r="AG13" i="2"/>
  <c r="AG16" i="2"/>
  <c r="AG23" i="2"/>
  <c r="AH48" i="2"/>
  <c r="AH53" i="2"/>
  <c r="AH2" i="2"/>
  <c r="AH13" i="2"/>
  <c r="AH42" i="2"/>
  <c r="S55" i="15"/>
  <c r="AH39" i="2"/>
  <c r="AH21" i="2"/>
  <c r="AF28" i="2"/>
  <c r="AI28" i="2"/>
  <c r="AA59" i="2"/>
  <c r="AG18" i="2"/>
  <c r="AF39" i="2"/>
  <c r="AI39" i="2"/>
  <c r="AD59" i="2"/>
  <c r="AG60" i="2"/>
  <c r="AD63" i="2"/>
  <c r="AF18" i="2"/>
  <c r="AI18" i="2"/>
  <c r="AI21" i="2"/>
  <c r="AF21" i="2"/>
  <c r="AH32" i="2"/>
  <c r="AF16" i="2"/>
  <c r="AI16" i="2"/>
  <c r="AE59" i="2"/>
  <c r="AF59" i="2" s="1"/>
  <c r="AE71" i="2"/>
  <c r="AI71" i="2" s="1"/>
  <c r="AH47" i="2"/>
  <c r="AG15" i="2"/>
  <c r="AG32" i="2"/>
  <c r="AG42" i="2"/>
  <c r="AI44" i="2"/>
  <c r="AF44" i="2"/>
  <c r="AH18" i="2"/>
  <c r="AG26" i="2"/>
  <c r="AG47" i="2"/>
  <c r="AI42" i="2"/>
  <c r="AF42" i="2"/>
  <c r="AJ69" i="2"/>
  <c r="AN69" i="2" s="1"/>
  <c r="AF26" i="2"/>
  <c r="AI26" i="2"/>
  <c r="AH15" i="2"/>
  <c r="AF46" i="2"/>
  <c r="AI46" i="2"/>
  <c r="AG2" i="2"/>
  <c r="Z63" i="2"/>
  <c r="AF47" i="2"/>
  <c r="AI47" i="2"/>
  <c r="AH46" i="2"/>
  <c r="AI32" i="2"/>
  <c r="AF32" i="2"/>
  <c r="AG24" i="2"/>
  <c r="AB64" i="2"/>
  <c r="AI61" i="2"/>
  <c r="AH20" i="2"/>
  <c r="AG44" i="2"/>
  <c r="AG52" i="2"/>
  <c r="AF24" i="2"/>
  <c r="AI24" i="2"/>
  <c r="AH60" i="2"/>
  <c r="AI20" i="2"/>
  <c r="AF20" i="2"/>
  <c r="AH26" i="2"/>
  <c r="AH28" i="2"/>
  <c r="AH37" i="2"/>
  <c r="AH61" i="2"/>
  <c r="AB59" i="2"/>
  <c r="AI31" i="2"/>
  <c r="AF31" i="2"/>
  <c r="AG28" i="2"/>
  <c r="AH52" i="2"/>
  <c r="AI37" i="2"/>
  <c r="AF37" i="2"/>
  <c r="AH24" i="2"/>
  <c r="AG53" i="2"/>
  <c r="AJ59" i="2"/>
  <c r="AN59" i="2" s="1"/>
  <c r="AG61" i="2"/>
  <c r="AE63" i="2"/>
  <c r="AG31" i="2"/>
  <c r="AI2" i="2"/>
  <c r="AF2" i="2"/>
  <c r="AI52" i="2"/>
  <c r="AF52" i="2"/>
  <c r="AG37" i="2"/>
  <c r="AC59" i="2"/>
  <c r="AG20" i="2"/>
  <c r="AG40" i="2"/>
  <c r="Z59" i="2"/>
  <c r="AG46" i="2"/>
  <c r="AI13" i="2"/>
  <c r="AF13" i="2"/>
  <c r="AG21" i="2"/>
  <c r="AH40" i="2"/>
  <c r="AH44" i="2"/>
  <c r="S67" i="15"/>
  <c r="S57" i="15"/>
  <c r="S64" i="15"/>
  <c r="AC152" i="2"/>
  <c r="AH152" i="2" s="1"/>
  <c r="AC63" i="2"/>
  <c r="AA152" i="2"/>
  <c r="AD145" i="2"/>
  <c r="AE152" i="2"/>
  <c r="AI152" i="2" s="1"/>
  <c r="AB63" i="2"/>
  <c r="AJ63" i="2"/>
  <c r="AO63" i="2" s="1"/>
  <c r="AC253" i="2"/>
  <c r="AH253" i="2" s="1"/>
  <c r="AJ4" i="8"/>
  <c r="AF2" i="15"/>
  <c r="AL5" i="8"/>
  <c r="AB6" i="8"/>
  <c r="AB29" i="8"/>
  <c r="AB7" i="8"/>
  <c r="AB10" i="8"/>
  <c r="AH28" i="8"/>
  <c r="AK14" i="8"/>
  <c r="AJ33" i="8"/>
  <c r="AH4" i="8"/>
  <c r="AL4" i="8"/>
  <c r="AK7" i="8"/>
  <c r="AK29" i="8"/>
  <c r="AJ14" i="8"/>
  <c r="AH16" i="8"/>
  <c r="AJ29" i="8"/>
  <c r="AH15" i="8"/>
  <c r="AK4" i="8"/>
  <c r="AB13" i="8"/>
  <c r="AH25" i="8"/>
  <c r="AL17" i="8"/>
  <c r="AL45" i="8"/>
  <c r="AK45" i="8"/>
  <c r="AL25" i="8"/>
  <c r="AJ28" i="8"/>
  <c r="AJ7" i="8"/>
  <c r="AB16" i="8"/>
  <c r="AB11" i="8"/>
  <c r="AL3" i="8"/>
  <c r="AK16" i="8"/>
  <c r="AH14" i="8"/>
  <c r="AL14" i="8"/>
  <c r="AJ15" i="8"/>
  <c r="AJ30" i="8"/>
  <c r="AJ25" i="8"/>
  <c r="AK28" i="8"/>
  <c r="AB41" i="8"/>
  <c r="AK11" i="8"/>
  <c r="AH7" i="8"/>
  <c r="AH5" i="8"/>
  <c r="AH19" i="8"/>
  <c r="AL19" i="8"/>
  <c r="AH6" i="8"/>
  <c r="AL6" i="8"/>
  <c r="AK3" i="8"/>
  <c r="AH36" i="8"/>
  <c r="AL36" i="8"/>
  <c r="AH22" i="8"/>
  <c r="AJ13" i="8"/>
  <c r="AL7" i="8"/>
  <c r="AB12" i="8"/>
  <c r="AL11" i="8"/>
  <c r="AK25" i="8"/>
  <c r="AL22" i="8"/>
  <c r="AK19" i="8"/>
  <c r="AH41" i="8"/>
  <c r="AL41" i="8"/>
  <c r="AK6" i="8"/>
  <c r="AJ5" i="8"/>
  <c r="AJ19" i="8"/>
  <c r="AH47" i="8"/>
  <c r="AK36" i="8"/>
  <c r="AK13" i="8"/>
  <c r="AL28" i="8"/>
  <c r="AJ45" i="8"/>
  <c r="AB15" i="8"/>
  <c r="AB25" i="8"/>
  <c r="AJ22" i="8"/>
  <c r="AB45" i="8"/>
  <c r="AB22" i="8"/>
  <c r="AJ11" i="8"/>
  <c r="AJ6" i="8"/>
  <c r="AH17" i="8"/>
  <c r="AK41" i="8"/>
  <c r="AJ36" i="8"/>
  <c r="AH40" i="8"/>
  <c r="AL40" i="8"/>
  <c r="AJ41" i="8"/>
  <c r="AH29" i="8"/>
  <c r="AL29" i="8"/>
  <c r="AK17" i="8"/>
  <c r="AB42" i="8"/>
  <c r="AJ17" i="8"/>
  <c r="AB30" i="8"/>
  <c r="AB19" i="8"/>
  <c r="AJ16" i="8"/>
  <c r="AL15" i="8"/>
  <c r="AL30" i="8"/>
  <c r="AB40" i="8"/>
  <c r="AH30" i="8"/>
  <c r="AH42" i="8"/>
  <c r="AL42" i="8"/>
  <c r="AH11" i="8"/>
  <c r="AH10" i="8"/>
  <c r="AL10" i="8"/>
  <c r="AB36" i="8"/>
  <c r="AJ47" i="8"/>
  <c r="AK47" i="8"/>
  <c r="AB14" i="8"/>
  <c r="AH45" i="8"/>
  <c r="AK40" i="8"/>
  <c r="AH12" i="8"/>
  <c r="AL12" i="8"/>
  <c r="AK33" i="8"/>
  <c r="AK30" i="8"/>
  <c r="AL16" i="8"/>
  <c r="AK15" i="8"/>
  <c r="AK22" i="8"/>
  <c r="AB17" i="8"/>
  <c r="AK42" i="8"/>
  <c r="AJ40" i="8"/>
  <c r="AH13" i="8"/>
  <c r="AL13" i="8"/>
  <c r="AK10" i="8"/>
  <c r="AB33" i="8"/>
  <c r="AB4" i="8"/>
  <c r="AJ12" i="8"/>
  <c r="AK5" i="8"/>
  <c r="AB47" i="8"/>
  <c r="AB5" i="8"/>
  <c r="AL47" i="8"/>
  <c r="AB28" i="8"/>
  <c r="AJ42" i="8"/>
  <c r="AH33" i="8"/>
  <c r="AL33" i="8"/>
  <c r="AK12" i="8"/>
  <c r="AJ10" i="8"/>
  <c r="AB254" i="2"/>
  <c r="AG254" i="2" s="1"/>
  <c r="AD121" i="2"/>
  <c r="AB121" i="2"/>
  <c r="AG121" i="2" s="1"/>
  <c r="AA121" i="2"/>
  <c r="AC121" i="2"/>
  <c r="AH121" i="2" s="1"/>
  <c r="AJ121" i="2"/>
  <c r="AN121" i="2" s="1"/>
  <c r="Z121" i="2"/>
  <c r="AD155" i="2"/>
  <c r="AC107" i="2"/>
  <c r="AH107" i="2" s="1"/>
  <c r="AA115" i="2"/>
  <c r="AB161" i="2"/>
  <c r="AG161" i="2" s="1"/>
  <c r="AC161" i="2"/>
  <c r="AH161" i="2" s="1"/>
  <c r="AA161" i="2"/>
  <c r="Z161" i="2"/>
  <c r="AJ214" i="2"/>
  <c r="AO214" i="2" s="1"/>
  <c r="AJ161" i="2"/>
  <c r="AN161" i="2" s="1"/>
  <c r="AD161" i="2"/>
  <c r="AC154" i="2"/>
  <c r="AH154" i="2" s="1"/>
  <c r="AA215" i="2"/>
  <c r="AC261" i="2"/>
  <c r="AH261" i="2" s="1"/>
  <c r="AE141" i="2"/>
  <c r="AI141" i="2" s="1"/>
  <c r="Z155" i="2"/>
  <c r="AF61" i="2"/>
  <c r="AD54" i="2"/>
  <c r="AJ134" i="2"/>
  <c r="AN134" i="2" s="1"/>
  <c r="AN139" i="2"/>
  <c r="AE139" i="2"/>
  <c r="AI139" i="2" s="1"/>
  <c r="AE215" i="2"/>
  <c r="AI215" i="2" s="1"/>
  <c r="AA139" i="2"/>
  <c r="Z139" i="2"/>
  <c r="AB215" i="2"/>
  <c r="AG215" i="2" s="1"/>
  <c r="Z215" i="2"/>
  <c r="AB224" i="2"/>
  <c r="AG224" i="2" s="1"/>
  <c r="AD215" i="2"/>
  <c r="AB241" i="2"/>
  <c r="AG241" i="2" s="1"/>
  <c r="AB295" i="2"/>
  <c r="AG295" i="2" s="1"/>
  <c r="AJ154" i="2"/>
  <c r="AO154" i="2" s="1"/>
  <c r="AB139" i="2"/>
  <c r="AG139" i="2" s="1"/>
  <c r="AC215" i="2"/>
  <c r="AH215" i="2" s="1"/>
  <c r="AJ215" i="2"/>
  <c r="AO215" i="2" s="1"/>
  <c r="AB71" i="2"/>
  <c r="Z71" i="2"/>
  <c r="AC151" i="2"/>
  <c r="AH151" i="2" s="1"/>
  <c r="AC82" i="2"/>
  <c r="AH82" i="2" s="1"/>
  <c r="AD139" i="2"/>
  <c r="AC139" i="2"/>
  <c r="AH139" i="2" s="1"/>
  <c r="AA58" i="2"/>
  <c r="AE194" i="2"/>
  <c r="AI194" i="2" s="1"/>
  <c r="AC155" i="2"/>
  <c r="AH155" i="2" s="1"/>
  <c r="AD229" i="2"/>
  <c r="AJ94" i="2"/>
  <c r="AO94" i="2" s="1"/>
  <c r="AE89" i="2"/>
  <c r="AF89" i="2" s="1"/>
  <c r="AD89" i="2"/>
  <c r="AB89" i="2"/>
  <c r="AG89" i="2" s="1"/>
  <c r="AJ89" i="2"/>
  <c r="AN89" i="2" s="1"/>
  <c r="AA89" i="2"/>
  <c r="AE94" i="2"/>
  <c r="AI94" i="2" s="1"/>
  <c r="AC89" i="2"/>
  <c r="AH89" i="2" s="1"/>
  <c r="Z94" i="2"/>
  <c r="AC173" i="2"/>
  <c r="AH173" i="2" s="1"/>
  <c r="AA94" i="2"/>
  <c r="AA71" i="2"/>
  <c r="AD71" i="2"/>
  <c r="AB104" i="2"/>
  <c r="AG104" i="2" s="1"/>
  <c r="AJ71" i="2"/>
  <c r="AO71" i="2" s="1"/>
  <c r="AC71" i="2"/>
  <c r="AJ88" i="2"/>
  <c r="AN88" i="2" s="1"/>
  <c r="AE111" i="2"/>
  <c r="AI111" i="2" s="1"/>
  <c r="AC94" i="2"/>
  <c r="AH94" i="2" s="1"/>
  <c r="AD94" i="2"/>
  <c r="AA146" i="2"/>
  <c r="AA154" i="2"/>
  <c r="AJ145" i="2"/>
  <c r="AD154" i="2"/>
  <c r="AD80" i="2"/>
  <c r="Z104" i="2"/>
  <c r="Z266" i="2"/>
  <c r="AC80" i="2"/>
  <c r="AH80" i="2" s="1"/>
  <c r="AB80" i="2"/>
  <c r="AG80" i="2" s="1"/>
  <c r="AC266" i="2"/>
  <c r="AH266" i="2" s="1"/>
  <c r="Z253" i="2"/>
  <c r="AB69" i="2"/>
  <c r="AB253" i="2"/>
  <c r="AG253" i="2" s="1"/>
  <c r="AA266" i="2"/>
  <c r="AE295" i="2"/>
  <c r="AI295" i="2" s="1"/>
  <c r="AA145" i="2"/>
  <c r="AE266" i="2"/>
  <c r="AI266" i="2" s="1"/>
  <c r="AB155" i="2"/>
  <c r="AG155" i="2" s="1"/>
  <c r="AB266" i="2"/>
  <c r="AG266" i="2" s="1"/>
  <c r="AC268" i="2"/>
  <c r="AH268" i="2" s="1"/>
  <c r="AB259" i="2"/>
  <c r="AG259" i="2" s="1"/>
  <c r="Z80" i="2"/>
  <c r="Z133" i="2"/>
  <c r="AB211" i="2"/>
  <c r="AG211" i="2" s="1"/>
  <c r="Z154" i="2"/>
  <c r="AB154" i="2"/>
  <c r="AG154" i="2" s="1"/>
  <c r="AE211" i="2"/>
  <c r="AI211" i="2" s="1"/>
  <c r="AE154" i="2"/>
  <c r="AF154" i="2" s="1"/>
  <c r="AJ216" i="2"/>
  <c r="AN216" i="2" s="1"/>
  <c r="AC236" i="2"/>
  <c r="AH236" i="2" s="1"/>
  <c r="AA211" i="2"/>
  <c r="AD211" i="2"/>
  <c r="AO266" i="2"/>
  <c r="AA212" i="2"/>
  <c r="AD253" i="2"/>
  <c r="AC211" i="2"/>
  <c r="AH211" i="2" s="1"/>
  <c r="AC112" i="2"/>
  <c r="AH112" i="2" s="1"/>
  <c r="Z126" i="2"/>
  <c r="AJ253" i="2"/>
  <c r="AO253" i="2" s="1"/>
  <c r="Z211" i="2"/>
  <c r="AD289" i="2"/>
  <c r="AA112" i="2"/>
  <c r="AJ104" i="2"/>
  <c r="AO104" i="2" s="1"/>
  <c r="AE253" i="2"/>
  <c r="AF253" i="2" s="1"/>
  <c r="AD266" i="2"/>
  <c r="AJ155" i="2"/>
  <c r="AO155" i="2" s="1"/>
  <c r="AA80" i="2"/>
  <c r="AE69" i="2"/>
  <c r="AD239" i="2"/>
  <c r="AA253" i="2"/>
  <c r="AA155" i="2"/>
  <c r="AD69" i="2"/>
  <c r="AE80" i="2"/>
  <c r="AI80" i="2" s="1"/>
  <c r="AE137" i="2"/>
  <c r="AF137" i="2" s="1"/>
  <c r="AJ81" i="2"/>
  <c r="AO81" i="2" s="1"/>
  <c r="Z145" i="2"/>
  <c r="AE155" i="2"/>
  <c r="AF155" i="2" s="1"/>
  <c r="AJ295" i="2"/>
  <c r="AN295" i="2" s="1"/>
  <c r="AC194" i="2"/>
  <c r="AH194" i="2" s="1"/>
  <c r="AA69" i="2"/>
  <c r="AE176" i="2"/>
  <c r="AF176" i="2" s="1"/>
  <c r="AJ259" i="2"/>
  <c r="AN259" i="2" s="1"/>
  <c r="Z259" i="2"/>
  <c r="AJ128" i="2"/>
  <c r="AO128" i="2" s="1"/>
  <c r="AD176" i="2"/>
  <c r="AE259" i="2"/>
  <c r="AF259" i="2" s="1"/>
  <c r="AC146" i="2"/>
  <c r="AH146" i="2" s="1"/>
  <c r="Z151" i="2"/>
  <c r="AA127" i="2"/>
  <c r="AB146" i="2"/>
  <c r="AG146" i="2" s="1"/>
  <c r="AD146" i="2"/>
  <c r="AB225" i="2"/>
  <c r="AG225" i="2" s="1"/>
  <c r="AD204" i="2"/>
  <c r="AC259" i="2"/>
  <c r="AH259" i="2" s="1"/>
  <c r="AC111" i="2"/>
  <c r="AH111" i="2" s="1"/>
  <c r="AJ188" i="2"/>
  <c r="AO188" i="2" s="1"/>
  <c r="AD236" i="2"/>
  <c r="AJ236" i="2"/>
  <c r="AN236" i="2" s="1"/>
  <c r="AB111" i="2"/>
  <c r="AG111" i="2" s="1"/>
  <c r="AD259" i="2"/>
  <c r="AE107" i="2"/>
  <c r="AF107" i="2" s="1"/>
  <c r="AA259" i="2"/>
  <c r="AA236" i="2"/>
  <c r="AE278" i="2"/>
  <c r="AF278" i="2" s="1"/>
  <c r="AE58" i="2"/>
  <c r="Z146" i="2"/>
  <c r="Z176" i="2"/>
  <c r="AJ146" i="2"/>
  <c r="AN146" i="2" s="1"/>
  <c r="AD137" i="2"/>
  <c r="AA137" i="2"/>
  <c r="AJ176" i="2"/>
  <c r="AN176" i="2" s="1"/>
  <c r="AC104" i="2"/>
  <c r="AH104" i="2" s="1"/>
  <c r="AE146" i="2"/>
  <c r="AI146" i="2" s="1"/>
  <c r="Z137" i="2"/>
  <c r="AD157" i="2"/>
  <c r="AC176" i="2"/>
  <c r="AH176" i="2" s="1"/>
  <c r="AJ137" i="2"/>
  <c r="AN137" i="2" s="1"/>
  <c r="AA176" i="2"/>
  <c r="AA104" i="2"/>
  <c r="AD104" i="2"/>
  <c r="AE145" i="2"/>
  <c r="AF145" i="2" s="1"/>
  <c r="AC256" i="2"/>
  <c r="AH256" i="2" s="1"/>
  <c r="AA221" i="2"/>
  <c r="AA280" i="2"/>
  <c r="Z159" i="2"/>
  <c r="Z127" i="2"/>
  <c r="AC115" i="2"/>
  <c r="AH115" i="2" s="1"/>
  <c r="AJ254" i="2"/>
  <c r="AO254" i="2" s="1"/>
  <c r="Z115" i="2"/>
  <c r="AC159" i="2"/>
  <c r="AH159" i="2" s="1"/>
  <c r="AD173" i="2"/>
  <c r="AE127" i="2"/>
  <c r="AI127" i="2" s="1"/>
  <c r="AE280" i="2"/>
  <c r="AF280" i="2" s="1"/>
  <c r="AJ173" i="2"/>
  <c r="AO173" i="2" s="1"/>
  <c r="Z107" i="2"/>
  <c r="Z157" i="2"/>
  <c r="AE157" i="2"/>
  <c r="AF157" i="2" s="1"/>
  <c r="AE173" i="2"/>
  <c r="AF173" i="2" s="1"/>
  <c r="AC127" i="2"/>
  <c r="AH127" i="2" s="1"/>
  <c r="AD133" i="2"/>
  <c r="AC254" i="2"/>
  <c r="AH254" i="2" s="1"/>
  <c r="AB112" i="2"/>
  <c r="AG112" i="2" s="1"/>
  <c r="Z254" i="2"/>
  <c r="AC167" i="2"/>
  <c r="AH167" i="2" s="1"/>
  <c r="AJ157" i="2"/>
  <c r="AO157" i="2" s="1"/>
  <c r="AD280" i="2"/>
  <c r="AA81" i="2"/>
  <c r="AE240" i="2"/>
  <c r="AF240" i="2" s="1"/>
  <c r="Z170" i="2"/>
  <c r="AE274" i="2"/>
  <c r="AI274" i="2" s="1"/>
  <c r="AB157" i="2"/>
  <c r="AG157" i="2" s="1"/>
  <c r="AB268" i="2"/>
  <c r="AG268" i="2" s="1"/>
  <c r="AE136" i="2"/>
  <c r="AF136" i="2" s="1"/>
  <c r="AD254" i="2"/>
  <c r="AE276" i="2"/>
  <c r="AI276" i="2" s="1"/>
  <c r="AA254" i="2"/>
  <c r="AB204" i="2"/>
  <c r="AG204" i="2" s="1"/>
  <c r="AE82" i="2"/>
  <c r="AI82" i="2" s="1"/>
  <c r="AE254" i="2"/>
  <c r="AI254" i="2" s="1"/>
  <c r="AJ127" i="2"/>
  <c r="AO127" i="2" s="1"/>
  <c r="AD127" i="2"/>
  <c r="AC280" i="2"/>
  <c r="AH280" i="2" s="1"/>
  <c r="AD212" i="2"/>
  <c r="AJ115" i="2"/>
  <c r="AN115" i="2" s="1"/>
  <c r="AC157" i="2"/>
  <c r="AH157" i="2" s="1"/>
  <c r="AB212" i="2"/>
  <c r="AG212" i="2" s="1"/>
  <c r="AB115" i="2"/>
  <c r="AG115" i="2" s="1"/>
  <c r="AB127" i="2"/>
  <c r="AG127" i="2" s="1"/>
  <c r="AJ278" i="2"/>
  <c r="AN278" i="2" s="1"/>
  <c r="AA157" i="2"/>
  <c r="AJ107" i="2"/>
  <c r="AO107" i="2" s="1"/>
  <c r="AD107" i="2"/>
  <c r="Z69" i="2"/>
  <c r="AC62" i="2"/>
  <c r="AC239" i="2"/>
  <c r="AH239" i="2" s="1"/>
  <c r="AD115" i="2"/>
  <c r="AB194" i="2"/>
  <c r="AG194" i="2" s="1"/>
  <c r="AJ280" i="2"/>
  <c r="AO280" i="2" s="1"/>
  <c r="Z58" i="2"/>
  <c r="Z212" i="2"/>
  <c r="AE104" i="2"/>
  <c r="AF104" i="2" s="1"/>
  <c r="AC212" i="2"/>
  <c r="AH212" i="2" s="1"/>
  <c r="AB285" i="2"/>
  <c r="AG285" i="2" s="1"/>
  <c r="AE115" i="2"/>
  <c r="AF115" i="2" s="1"/>
  <c r="AD194" i="2"/>
  <c r="AB85" i="2"/>
  <c r="AG85" i="2" s="1"/>
  <c r="AC69" i="2"/>
  <c r="AD62" i="2"/>
  <c r="AA224" i="2"/>
  <c r="Z194" i="2"/>
  <c r="AC58" i="2"/>
  <c r="AA295" i="2"/>
  <c r="Z148" i="2"/>
  <c r="Z279" i="2"/>
  <c r="AJ159" i="2"/>
  <c r="AN159" i="2" s="1"/>
  <c r="AD84" i="2"/>
  <c r="AC84" i="2"/>
  <c r="AH84" i="2" s="1"/>
  <c r="AJ133" i="2"/>
  <c r="AN133" i="2" s="1"/>
  <c r="AE133" i="2"/>
  <c r="AI133" i="2" s="1"/>
  <c r="AB133" i="2"/>
  <c r="AG133" i="2" s="1"/>
  <c r="AC128" i="2"/>
  <c r="AH128" i="2" s="1"/>
  <c r="Z291" i="2"/>
  <c r="AB291" i="2"/>
  <c r="AG291" i="2" s="1"/>
  <c r="AA220" i="2"/>
  <c r="Z220" i="2"/>
  <c r="AC220" i="2"/>
  <c r="AH220" i="2" s="1"/>
  <c r="AC221" i="2"/>
  <c r="AH221" i="2" s="1"/>
  <c r="AD68" i="2"/>
  <c r="AB68" i="2"/>
  <c r="AJ221" i="2"/>
  <c r="AN221" i="2" s="1"/>
  <c r="Z276" i="2"/>
  <c r="AC276" i="2"/>
  <c r="AH276" i="2" s="1"/>
  <c r="AD276" i="2"/>
  <c r="AB276" i="2"/>
  <c r="AG276" i="2" s="1"/>
  <c r="AD221" i="2"/>
  <c r="AC209" i="2"/>
  <c r="AH209" i="2" s="1"/>
  <c r="Z209" i="2"/>
  <c r="AD209" i="2"/>
  <c r="AE209" i="2"/>
  <c r="AF209" i="2" s="1"/>
  <c r="AB209" i="2"/>
  <c r="AG209" i="2" s="1"/>
  <c r="AE221" i="2"/>
  <c r="AF221" i="2" s="1"/>
  <c r="AE105" i="2"/>
  <c r="Z105" i="2"/>
  <c r="AJ105" i="2"/>
  <c r="AN105" i="2" s="1"/>
  <c r="AA151" i="2"/>
  <c r="AB151" i="2"/>
  <c r="AG151" i="2" s="1"/>
  <c r="AE151" i="2"/>
  <c r="AI151" i="2" s="1"/>
  <c r="AB220" i="2"/>
  <c r="AG220" i="2" s="1"/>
  <c r="AB129" i="2"/>
  <c r="AG129" i="2" s="1"/>
  <c r="AE129" i="2"/>
  <c r="AF129" i="2" s="1"/>
  <c r="AJ129" i="2"/>
  <c r="AO129" i="2" s="1"/>
  <c r="Z68" i="2"/>
  <c r="AD151" i="2"/>
  <c r="AC278" i="2"/>
  <c r="AH278" i="2" s="1"/>
  <c r="AA278" i="2"/>
  <c r="AJ84" i="2"/>
  <c r="AN84" i="2" s="1"/>
  <c r="AD105" i="2"/>
  <c r="AB84" i="2"/>
  <c r="AG84" i="2" s="1"/>
  <c r="AJ151" i="2"/>
  <c r="AO151" i="2" s="1"/>
  <c r="AA133" i="2"/>
  <c r="AE291" i="2"/>
  <c r="AF291" i="2" s="1"/>
  <c r="AJ220" i="2"/>
  <c r="AO220" i="2" s="1"/>
  <c r="Z111" i="2"/>
  <c r="AA204" i="2"/>
  <c r="AE62" i="2"/>
  <c r="AJ111" i="2"/>
  <c r="AD195" i="2"/>
  <c r="AJ57" i="2"/>
  <c r="AO57" i="2" s="1"/>
  <c r="AJ58" i="2"/>
  <c r="AN58" i="2" s="1"/>
  <c r="AC193" i="2"/>
  <c r="AH193" i="2" s="1"/>
  <c r="AB280" i="2"/>
  <c r="AG280" i="2" s="1"/>
  <c r="AC204" i="2"/>
  <c r="AH204" i="2" s="1"/>
  <c r="AJ62" i="2"/>
  <c r="AO62" i="2" s="1"/>
  <c r="AB62" i="2"/>
  <c r="Z82" i="2"/>
  <c r="AB173" i="2"/>
  <c r="AG173" i="2" s="1"/>
  <c r="AA239" i="2"/>
  <c r="AE204" i="2"/>
  <c r="AI204" i="2" s="1"/>
  <c r="Z280" i="2"/>
  <c r="Z112" i="2"/>
  <c r="AD111" i="2"/>
  <c r="AD224" i="2"/>
  <c r="AD82" i="2"/>
  <c r="Z173" i="2"/>
  <c r="AE239" i="2"/>
  <c r="AF239" i="2" s="1"/>
  <c r="AJ204" i="2"/>
  <c r="AO204" i="2" s="1"/>
  <c r="AJ112" i="2"/>
  <c r="AN112" i="2" s="1"/>
  <c r="AB107" i="2"/>
  <c r="AG107" i="2" s="1"/>
  <c r="AA111" i="2"/>
  <c r="AC114" i="2"/>
  <c r="AH114" i="2" s="1"/>
  <c r="AB216" i="2"/>
  <c r="AG216" i="2" s="1"/>
  <c r="AJ82" i="2"/>
  <c r="AN82" i="2" s="1"/>
  <c r="Z204" i="2"/>
  <c r="AE179" i="2"/>
  <c r="AF179" i="2" s="1"/>
  <c r="AA173" i="2"/>
  <c r="AE212" i="2"/>
  <c r="AI212" i="2" s="1"/>
  <c r="AA82" i="2"/>
  <c r="AJ239" i="2"/>
  <c r="AN239" i="2" s="1"/>
  <c r="AB200" i="2"/>
  <c r="AG200" i="2" s="1"/>
  <c r="Z296" i="2"/>
  <c r="AB239" i="2"/>
  <c r="AG239" i="2" s="1"/>
  <c r="AJ212" i="2"/>
  <c r="AN212" i="2" s="1"/>
  <c r="AB82" i="2"/>
  <c r="AG82" i="2" s="1"/>
  <c r="AA107" i="2"/>
  <c r="Z239" i="2"/>
  <c r="AE112" i="2"/>
  <c r="AI112" i="2" s="1"/>
  <c r="AD87" i="2"/>
  <c r="AJ267" i="2"/>
  <c r="AN267" i="2" s="1"/>
  <c r="Z62" i="2"/>
  <c r="AJ130" i="2"/>
  <c r="AO130" i="2" s="1"/>
  <c r="AA130" i="2"/>
  <c r="AB130" i="2"/>
  <c r="AG130" i="2" s="1"/>
  <c r="AC130" i="2"/>
  <c r="AH130" i="2" s="1"/>
  <c r="AC229" i="2"/>
  <c r="AH229" i="2" s="1"/>
  <c r="AB143" i="2"/>
  <c r="AG143" i="2" s="1"/>
  <c r="Z143" i="2"/>
  <c r="AD143" i="2"/>
  <c r="AC143" i="2"/>
  <c r="AH143" i="2" s="1"/>
  <c r="Z92" i="2"/>
  <c r="AJ92" i="2"/>
  <c r="AO92" i="2" s="1"/>
  <c r="AD92" i="2"/>
  <c r="AC92" i="2"/>
  <c r="AH92" i="2" s="1"/>
  <c r="AA92" i="2"/>
  <c r="AE92" i="2"/>
  <c r="AF92" i="2" s="1"/>
  <c r="AE279" i="2"/>
  <c r="AF279" i="2" s="1"/>
  <c r="AN152" i="2"/>
  <c r="AO152" i="2"/>
  <c r="Z216" i="2"/>
  <c r="AE130" i="2"/>
  <c r="AI130" i="2" s="1"/>
  <c r="AE128" i="2"/>
  <c r="AF128" i="2" s="1"/>
  <c r="Z128" i="2"/>
  <c r="AD128" i="2"/>
  <c r="AB128" i="2"/>
  <c r="AG128" i="2" s="1"/>
  <c r="AA128" i="2"/>
  <c r="AD130" i="2"/>
  <c r="AC228" i="2"/>
  <c r="AH228" i="2" s="1"/>
  <c r="Z130" i="2"/>
  <c r="AA229" i="2"/>
  <c r="AA143" i="2"/>
  <c r="AB92" i="2"/>
  <c r="AG92" i="2" s="1"/>
  <c r="AE143" i="2"/>
  <c r="AI143" i="2" s="1"/>
  <c r="AJ143" i="2"/>
  <c r="AN143" i="2" s="1"/>
  <c r="AJ229" i="2"/>
  <c r="AO229" i="2" s="1"/>
  <c r="AB229" i="2"/>
  <c r="AG229" i="2" s="1"/>
  <c r="AJ279" i="2"/>
  <c r="AO279" i="2" s="1"/>
  <c r="AC87" i="2"/>
  <c r="AH87" i="2" s="1"/>
  <c r="AA87" i="2"/>
  <c r="AJ87" i="2"/>
  <c r="AN87" i="2" s="1"/>
  <c r="AB87" i="2"/>
  <c r="AG87" i="2" s="1"/>
  <c r="AC137" i="2"/>
  <c r="AH137" i="2" s="1"/>
  <c r="AD97" i="2"/>
  <c r="AB58" i="2"/>
  <c r="AJ291" i="2"/>
  <c r="AN291" i="2" s="1"/>
  <c r="AD220" i="2"/>
  <c r="AE214" i="2"/>
  <c r="AI214" i="2" s="1"/>
  <c r="Z236" i="2"/>
  <c r="AD58" i="2"/>
  <c r="AB137" i="2"/>
  <c r="AG137" i="2" s="1"/>
  <c r="AD291" i="2"/>
  <c r="AE159" i="2"/>
  <c r="AF159" i="2" s="1"/>
  <c r="AD159" i="2"/>
  <c r="AB214" i="2"/>
  <c r="AG214" i="2" s="1"/>
  <c r="AE220" i="2"/>
  <c r="AI220" i="2" s="1"/>
  <c r="AJ268" i="2"/>
  <c r="AN268" i="2" s="1"/>
  <c r="AB77" i="2"/>
  <c r="AG77" i="2" s="1"/>
  <c r="AJ293" i="2"/>
  <c r="AN293" i="2" s="1"/>
  <c r="AC291" i="2"/>
  <c r="AH291" i="2" s="1"/>
  <c r="AB159" i="2"/>
  <c r="AG159" i="2" s="1"/>
  <c r="AE207" i="2"/>
  <c r="AF207" i="2" s="1"/>
  <c r="AA159" i="2"/>
  <c r="AC133" i="2"/>
  <c r="AH133" i="2" s="1"/>
  <c r="AE229" i="2"/>
  <c r="AF229" i="2" s="1"/>
  <c r="AA291" i="2"/>
  <c r="AD216" i="2"/>
  <c r="AA276" i="2"/>
  <c r="AA68" i="2"/>
  <c r="AA187" i="2"/>
  <c r="AA209" i="2"/>
  <c r="AB255" i="2"/>
  <c r="AG255" i="2" s="1"/>
  <c r="AJ177" i="2"/>
  <c r="AN177" i="2" s="1"/>
  <c r="AE246" i="2"/>
  <c r="AI246" i="2" s="1"/>
  <c r="AC216" i="2"/>
  <c r="AH216" i="2" s="1"/>
  <c r="AE68" i="2"/>
  <c r="AA136" i="2"/>
  <c r="AC302" i="2"/>
  <c r="AH302" i="2" s="1"/>
  <c r="AB221" i="2"/>
  <c r="AG221" i="2" s="1"/>
  <c r="AE216" i="2"/>
  <c r="AI216" i="2" s="1"/>
  <c r="AC68" i="2"/>
  <c r="AC105" i="2"/>
  <c r="AH105" i="2" s="1"/>
  <c r="AC283" i="2"/>
  <c r="AH283" i="2" s="1"/>
  <c r="AA56" i="2"/>
  <c r="AC240" i="2"/>
  <c r="AH240" i="2" s="1"/>
  <c r="Z221" i="2"/>
  <c r="AB278" i="2"/>
  <c r="AG278" i="2" s="1"/>
  <c r="Z202" i="2"/>
  <c r="AJ194" i="2"/>
  <c r="AN194" i="2" s="1"/>
  <c r="AA216" i="2"/>
  <c r="AJ68" i="2"/>
  <c r="AN68" i="2" s="1"/>
  <c r="Z229" i="2"/>
  <c r="AA105" i="2"/>
  <c r="Z129" i="2"/>
  <c r="AJ209" i="2"/>
  <c r="AN209" i="2" s="1"/>
  <c r="AE123" i="2"/>
  <c r="AI123" i="2" s="1"/>
  <c r="AD241" i="2"/>
  <c r="AD123" i="2"/>
  <c r="AA126" i="2"/>
  <c r="AJ91" i="2"/>
  <c r="AO91" i="2" s="1"/>
  <c r="AE241" i="2"/>
  <c r="AI241" i="2" s="1"/>
  <c r="AA91" i="2"/>
  <c r="AB126" i="2"/>
  <c r="AG126" i="2" s="1"/>
  <c r="Z293" i="2"/>
  <c r="Z241" i="2"/>
  <c r="Z214" i="2"/>
  <c r="AJ208" i="2"/>
  <c r="AN208" i="2" s="1"/>
  <c r="AB91" i="2"/>
  <c r="AG91" i="2" s="1"/>
  <c r="AJ255" i="2"/>
  <c r="AN255" i="2" s="1"/>
  <c r="AA241" i="2"/>
  <c r="AD179" i="2"/>
  <c r="AA214" i="2"/>
  <c r="AE91" i="2"/>
  <c r="AI91" i="2" s="1"/>
  <c r="AA57" i="2"/>
  <c r="AD106" i="2"/>
  <c r="AA99" i="2"/>
  <c r="AB192" i="2"/>
  <c r="AG192" i="2" s="1"/>
  <c r="AC241" i="2"/>
  <c r="AH241" i="2" s="1"/>
  <c r="AD214" i="2"/>
  <c r="AE99" i="2"/>
  <c r="AF99" i="2" s="1"/>
  <c r="AC192" i="2"/>
  <c r="AH192" i="2" s="1"/>
  <c r="AC214" i="2"/>
  <c r="AH214" i="2" s="1"/>
  <c r="AE88" i="2"/>
  <c r="AI88" i="2" s="1"/>
  <c r="Z99" i="2"/>
  <c r="AA124" i="2"/>
  <c r="AE177" i="2"/>
  <c r="AI177" i="2" s="1"/>
  <c r="AJ241" i="2"/>
  <c r="AN241" i="2" s="1"/>
  <c r="Z88" i="2"/>
  <c r="AC88" i="2"/>
  <c r="AH88" i="2" s="1"/>
  <c r="AB99" i="2"/>
  <c r="AG99" i="2" s="1"/>
  <c r="AA246" i="2"/>
  <c r="AD99" i="2"/>
  <c r="AB88" i="2"/>
  <c r="AG88" i="2" s="1"/>
  <c r="AB179" i="2"/>
  <c r="AG179" i="2" s="1"/>
  <c r="AD129" i="2"/>
  <c r="AA88" i="2"/>
  <c r="AB261" i="2"/>
  <c r="AG261" i="2" s="1"/>
  <c r="AB123" i="2"/>
  <c r="AG123" i="2" s="1"/>
  <c r="AC246" i="2"/>
  <c r="AH246" i="2" s="1"/>
  <c r="AC99" i="2"/>
  <c r="AH99" i="2" s="1"/>
  <c r="AA129" i="2"/>
  <c r="AJ192" i="2"/>
  <c r="AN192" i="2" s="1"/>
  <c r="Z91" i="2"/>
  <c r="AB136" i="2"/>
  <c r="AG136" i="2" s="1"/>
  <c r="AD88" i="2"/>
  <c r="AC91" i="2"/>
  <c r="AH91" i="2" s="1"/>
  <c r="AD261" i="2"/>
  <c r="AJ246" i="2"/>
  <c r="AO246" i="2" s="1"/>
  <c r="AE57" i="2"/>
  <c r="AB57" i="2"/>
  <c r="AD136" i="2"/>
  <c r="AJ261" i="2"/>
  <c r="AN261" i="2" s="1"/>
  <c r="AE224" i="2"/>
  <c r="AF224" i="2" s="1"/>
  <c r="AD246" i="2"/>
  <c r="AB246" i="2"/>
  <c r="AG246" i="2" s="1"/>
  <c r="AD126" i="2"/>
  <c r="Z278" i="2"/>
  <c r="AE64" i="2"/>
  <c r="AD57" i="2"/>
  <c r="AA123" i="2"/>
  <c r="AJ126" i="2"/>
  <c r="AN126" i="2" s="1"/>
  <c r="AC136" i="2"/>
  <c r="AH136" i="2" s="1"/>
  <c r="AE192" i="2"/>
  <c r="AI192" i="2" s="1"/>
  <c r="AE261" i="2"/>
  <c r="AF261" i="2" s="1"/>
  <c r="Z224" i="2"/>
  <c r="Z246" i="2"/>
  <c r="AB228" i="2"/>
  <c r="AG228" i="2" s="1"/>
  <c r="AJ64" i="2"/>
  <c r="AN64" i="2" s="1"/>
  <c r="AC57" i="2"/>
  <c r="AJ136" i="2"/>
  <c r="AO136" i="2" s="1"/>
  <c r="Z136" i="2"/>
  <c r="AA228" i="2"/>
  <c r="AD64" i="2"/>
  <c r="AA261" i="2"/>
  <c r="AJ224" i="2"/>
  <c r="AO224" i="2" s="1"/>
  <c r="AJ123" i="2"/>
  <c r="AO123" i="2" s="1"/>
  <c r="AD184" i="2"/>
  <c r="AC64" i="2"/>
  <c r="Z57" i="2"/>
  <c r="AC255" i="2"/>
  <c r="AH255" i="2" s="1"/>
  <c r="AC126" i="2"/>
  <c r="AH126" i="2" s="1"/>
  <c r="AC218" i="2"/>
  <c r="AH218" i="2" s="1"/>
  <c r="Z261" i="2"/>
  <c r="AC224" i="2"/>
  <c r="AH224" i="2" s="1"/>
  <c r="AC123" i="2"/>
  <c r="AH123" i="2" s="1"/>
  <c r="AD278" i="2"/>
  <c r="AB145" i="2"/>
  <c r="AG145" i="2" s="1"/>
  <c r="Z64" i="2"/>
  <c r="AA64" i="2"/>
  <c r="AD192" i="2"/>
  <c r="AE126" i="2"/>
  <c r="AI126" i="2" s="1"/>
  <c r="Z123" i="2"/>
  <c r="Z87" i="2"/>
  <c r="AD295" i="2"/>
  <c r="AD293" i="2"/>
  <c r="AC145" i="2"/>
  <c r="AH145" i="2" s="1"/>
  <c r="AC275" i="2"/>
  <c r="AH275" i="2" s="1"/>
  <c r="Z222" i="2"/>
  <c r="Z192" i="2"/>
  <c r="Z295" i="2"/>
  <c r="AE148" i="2"/>
  <c r="AF148" i="2" s="1"/>
  <c r="AC295" i="2"/>
  <c r="AH295" i="2" s="1"/>
  <c r="Z285" i="2"/>
  <c r="AD240" i="2"/>
  <c r="AC285" i="2"/>
  <c r="AH285" i="2" s="1"/>
  <c r="AJ240" i="2"/>
  <c r="AN240" i="2" s="1"/>
  <c r="AJ175" i="2"/>
  <c r="AN175" i="2" s="1"/>
  <c r="Z195" i="2"/>
  <c r="AE167" i="2"/>
  <c r="AF167" i="2" s="1"/>
  <c r="AD265" i="2"/>
  <c r="Z208" i="2"/>
  <c r="AE228" i="2"/>
  <c r="AF228" i="2" s="1"/>
  <c r="AJ296" i="2"/>
  <c r="AN296" i="2" s="1"/>
  <c r="AJ228" i="2"/>
  <c r="AO228" i="2" s="1"/>
  <c r="AA296" i="2"/>
  <c r="AD268" i="2"/>
  <c r="AD296" i="2"/>
  <c r="AE208" i="2"/>
  <c r="AF208" i="2" s="1"/>
  <c r="Z287" i="2"/>
  <c r="AD81" i="2"/>
  <c r="AJ55" i="2"/>
  <c r="AN55" i="2" s="1"/>
  <c r="AE302" i="2"/>
  <c r="AF302" i="2" s="1"/>
  <c r="AD175" i="2"/>
  <c r="AD302" i="2"/>
  <c r="AA267" i="2"/>
  <c r="Z175" i="2"/>
  <c r="Z302" i="2"/>
  <c r="Z240" i="2"/>
  <c r="AE114" i="2"/>
  <c r="AI114" i="2" s="1"/>
  <c r="AC175" i="2"/>
  <c r="AH175" i="2" s="1"/>
  <c r="Z84" i="2"/>
  <c r="AA114" i="2"/>
  <c r="AE84" i="2"/>
  <c r="AF84" i="2" s="1"/>
  <c r="AI73" i="2"/>
  <c r="AD65" i="2"/>
  <c r="AB279" i="2"/>
  <c r="AG279" i="2" s="1"/>
  <c r="Z54" i="2"/>
  <c r="AC265" i="2"/>
  <c r="AH265" i="2" s="1"/>
  <c r="AC279" i="2"/>
  <c r="AH279" i="2" s="1"/>
  <c r="AJ167" i="2"/>
  <c r="AO167" i="2" s="1"/>
  <c r="AB54" i="2"/>
  <c r="Z265" i="2"/>
  <c r="AD279" i="2"/>
  <c r="Z81" i="2"/>
  <c r="AE256" i="2"/>
  <c r="AI256" i="2" s="1"/>
  <c r="Z228" i="2"/>
  <c r="AF210" i="2"/>
  <c r="AA279" i="2"/>
  <c r="AA178" i="2"/>
  <c r="AD225" i="2"/>
  <c r="AE268" i="2"/>
  <c r="AF268" i="2" s="1"/>
  <c r="AB81" i="2"/>
  <c r="AG81" i="2" s="1"/>
  <c r="Z167" i="2"/>
  <c r="AE81" i="2"/>
  <c r="AI81" i="2" s="1"/>
  <c r="AA240" i="2"/>
  <c r="AE236" i="2"/>
  <c r="AI236" i="2" s="1"/>
  <c r="AC81" i="2"/>
  <c r="AH81" i="2" s="1"/>
  <c r="AB240" i="2"/>
  <c r="AG240" i="2" s="1"/>
  <c r="AC296" i="2"/>
  <c r="AH296" i="2" s="1"/>
  <c r="AB236" i="2"/>
  <c r="AG236" i="2" s="1"/>
  <c r="AA268" i="2"/>
  <c r="AB296" i="2"/>
  <c r="AG296" i="2" s="1"/>
  <c r="AB175" i="2"/>
  <c r="AG175" i="2" s="1"/>
  <c r="AA84" i="2"/>
  <c r="AJ302" i="2"/>
  <c r="AN302" i="2" s="1"/>
  <c r="Z283" i="2"/>
  <c r="AD114" i="2"/>
  <c r="AC267" i="2"/>
  <c r="AH267" i="2" s="1"/>
  <c r="AE267" i="2"/>
  <c r="AI267" i="2" s="1"/>
  <c r="AD267" i="2"/>
  <c r="Z96" i="2"/>
  <c r="AJ96" i="2"/>
  <c r="AN96" i="2" s="1"/>
  <c r="AA96" i="2"/>
  <c r="AC96" i="2"/>
  <c r="AH96" i="2" s="1"/>
  <c r="AE182" i="2"/>
  <c r="AF182" i="2" s="1"/>
  <c r="AC182" i="2"/>
  <c r="AH182" i="2" s="1"/>
  <c r="Z225" i="2"/>
  <c r="AJ191" i="2"/>
  <c r="AO191" i="2" s="1"/>
  <c r="AE158" i="2"/>
  <c r="AF158" i="2" s="1"/>
  <c r="AC225" i="2"/>
  <c r="AH225" i="2" s="1"/>
  <c r="AA191" i="2"/>
  <c r="Z284" i="2"/>
  <c r="AD284" i="2"/>
  <c r="AC284" i="2"/>
  <c r="AH284" i="2" s="1"/>
  <c r="AE284" i="2"/>
  <c r="AI284" i="2" s="1"/>
  <c r="AJ284" i="2"/>
  <c r="AN284" i="2" s="1"/>
  <c r="AA284" i="2"/>
  <c r="AB191" i="2"/>
  <c r="AG191" i="2" s="1"/>
  <c r="AE191" i="2"/>
  <c r="AI191" i="2" s="1"/>
  <c r="AB156" i="2"/>
  <c r="AG156" i="2" s="1"/>
  <c r="Z122" i="2"/>
  <c r="AE122" i="2"/>
  <c r="AI122" i="2" s="1"/>
  <c r="AD255" i="2"/>
  <c r="Z255" i="2"/>
  <c r="Z186" i="2"/>
  <c r="AD186" i="2"/>
  <c r="AB186" i="2"/>
  <c r="AG186" i="2" s="1"/>
  <c r="Z191" i="2"/>
  <c r="AA255" i="2"/>
  <c r="AD122" i="2"/>
  <c r="Z132" i="2"/>
  <c r="AC132" i="2"/>
  <c r="AH132" i="2" s="1"/>
  <c r="AE132" i="2"/>
  <c r="AI132" i="2" s="1"/>
  <c r="AD260" i="2"/>
  <c r="AJ186" i="2"/>
  <c r="AN186" i="2" s="1"/>
  <c r="AA122" i="2"/>
  <c r="AC191" i="2"/>
  <c r="AH191" i="2" s="1"/>
  <c r="AB284" i="2"/>
  <c r="AG284" i="2" s="1"/>
  <c r="Z182" i="2"/>
  <c r="AE96" i="2"/>
  <c r="AF96" i="2" s="1"/>
  <c r="AO60" i="2"/>
  <c r="AN60" i="2"/>
  <c r="AE255" i="2"/>
  <c r="AF255" i="2" s="1"/>
  <c r="Z290" i="2"/>
  <c r="AE290" i="2"/>
  <c r="AF290" i="2" s="1"/>
  <c r="AJ290" i="2"/>
  <c r="AO290" i="2" s="1"/>
  <c r="AC290" i="2"/>
  <c r="AH290" i="2" s="1"/>
  <c r="AB290" i="2"/>
  <c r="AG290" i="2" s="1"/>
  <c r="AB96" i="2"/>
  <c r="AG96" i="2" s="1"/>
  <c r="R281" i="2"/>
  <c r="S138" i="2"/>
  <c r="AD96" i="2"/>
  <c r="AA54" i="2"/>
  <c r="AC54" i="2"/>
  <c r="AE54" i="2"/>
  <c r="AD66" i="2"/>
  <c r="AA177" i="2"/>
  <c r="AC56" i="2"/>
  <c r="AD148" i="2"/>
  <c r="AA293" i="2"/>
  <c r="AA195" i="2"/>
  <c r="AC177" i="2"/>
  <c r="AH177" i="2" s="1"/>
  <c r="AD56" i="2"/>
  <c r="AA188" i="2"/>
  <c r="AC195" i="2"/>
  <c r="AH195" i="2" s="1"/>
  <c r="AE140" i="2"/>
  <c r="AF140" i="2" s="1"/>
  <c r="AC186" i="2"/>
  <c r="AH186" i="2" s="1"/>
  <c r="AB188" i="2"/>
  <c r="AG188" i="2" s="1"/>
  <c r="AA302" i="2"/>
  <c r="AB195" i="2"/>
  <c r="AG195" i="2" s="1"/>
  <c r="AD177" i="2"/>
  <c r="AE195" i="2"/>
  <c r="AF195" i="2" s="1"/>
  <c r="AJ179" i="2"/>
  <c r="AN179" i="2" s="1"/>
  <c r="AB177" i="2"/>
  <c r="AG177" i="2" s="1"/>
  <c r="AB265" i="2"/>
  <c r="AG265" i="2" s="1"/>
  <c r="AJ54" i="2"/>
  <c r="AN54" i="2" s="1"/>
  <c r="AJ114" i="2"/>
  <c r="AN114" i="2" s="1"/>
  <c r="AJ195" i="2"/>
  <c r="AN195" i="2" s="1"/>
  <c r="AD167" i="2"/>
  <c r="Z177" i="2"/>
  <c r="AB302" i="2"/>
  <c r="AG302" i="2" s="1"/>
  <c r="Z114" i="2"/>
  <c r="AB114" i="2"/>
  <c r="AG114" i="2" s="1"/>
  <c r="AE293" i="2"/>
  <c r="AF293" i="2" s="1"/>
  <c r="AB132" i="2"/>
  <c r="AG132" i="2" s="1"/>
  <c r="AE265" i="2"/>
  <c r="AI265" i="2" s="1"/>
  <c r="AE296" i="2"/>
  <c r="AF296" i="2" s="1"/>
  <c r="AC293" i="2"/>
  <c r="AH293" i="2" s="1"/>
  <c r="AA265" i="2"/>
  <c r="Z268" i="2"/>
  <c r="AB293" i="2"/>
  <c r="AG293" i="2" s="1"/>
  <c r="AD197" i="2"/>
  <c r="AA197" i="2"/>
  <c r="AA148" i="2"/>
  <c r="Z56" i="2"/>
  <c r="AJ148" i="2"/>
  <c r="AO148" i="2" s="1"/>
  <c r="AB304" i="2"/>
  <c r="AG304" i="2" s="1"/>
  <c r="AD285" i="2"/>
  <c r="AA285" i="2"/>
  <c r="AE285" i="2"/>
  <c r="AI285" i="2" s="1"/>
  <c r="AE273" i="2"/>
  <c r="AI273" i="2" s="1"/>
  <c r="AA273" i="2"/>
  <c r="Z273" i="2"/>
  <c r="AD283" i="2"/>
  <c r="AE283" i="2"/>
  <c r="AF283" i="2" s="1"/>
  <c r="AB283" i="2"/>
  <c r="AG283" i="2" s="1"/>
  <c r="AA283" i="2"/>
  <c r="Z223" i="2"/>
  <c r="AE223" i="2"/>
  <c r="AF223" i="2" s="1"/>
  <c r="AD223" i="2"/>
  <c r="AJ223" i="2"/>
  <c r="AO223" i="2" s="1"/>
  <c r="AB223" i="2"/>
  <c r="AG223" i="2" s="1"/>
  <c r="AC223" i="2"/>
  <c r="AH223" i="2" s="1"/>
  <c r="AA223" i="2"/>
  <c r="AE56" i="2"/>
  <c r="AJ56" i="2"/>
  <c r="AO56" i="2" s="1"/>
  <c r="AB56" i="2"/>
  <c r="AB124" i="2"/>
  <c r="AG124" i="2" s="1"/>
  <c r="AE124" i="2"/>
  <c r="AF124" i="2" s="1"/>
  <c r="AC124" i="2"/>
  <c r="AH124" i="2" s="1"/>
  <c r="AD124" i="2"/>
  <c r="AA179" i="2"/>
  <c r="AC179" i="2"/>
  <c r="AH179" i="2" s="1"/>
  <c r="Z179" i="2"/>
  <c r="AB300" i="2"/>
  <c r="AG300" i="2" s="1"/>
  <c r="AJ283" i="2"/>
  <c r="AN283" i="2" s="1"/>
  <c r="S234" i="2"/>
  <c r="AB234" i="2" s="1"/>
  <c r="AG234" i="2" s="1"/>
  <c r="AA156" i="2"/>
  <c r="AC197" i="2"/>
  <c r="AH197" i="2" s="1"/>
  <c r="AE169" i="2"/>
  <c r="AF169" i="2" s="1"/>
  <c r="Z158" i="2"/>
  <c r="AA167" i="2"/>
  <c r="AB167" i="2"/>
  <c r="AG167" i="2" s="1"/>
  <c r="AJ90" i="2"/>
  <c r="Z90" i="2"/>
  <c r="AE186" i="2"/>
  <c r="AF186" i="2" s="1"/>
  <c r="AC188" i="2"/>
  <c r="AH188" i="2" s="1"/>
  <c r="AC79" i="2"/>
  <c r="AH79" i="2" s="1"/>
  <c r="AA90" i="2"/>
  <c r="AB90" i="2"/>
  <c r="AG90" i="2" s="1"/>
  <c r="AJ98" i="2"/>
  <c r="AO98" i="2" s="1"/>
  <c r="AA186" i="2"/>
  <c r="AD188" i="2"/>
  <c r="Z217" i="2"/>
  <c r="AD90" i="2"/>
  <c r="AC90" i="2"/>
  <c r="AH90" i="2" s="1"/>
  <c r="AA256" i="2"/>
  <c r="AJ141" i="2"/>
  <c r="AO141" i="2" s="1"/>
  <c r="AC100" i="2"/>
  <c r="AH100" i="2" s="1"/>
  <c r="AD256" i="2"/>
  <c r="AJ225" i="2"/>
  <c r="AN225" i="2" s="1"/>
  <c r="AD213" i="2"/>
  <c r="AJ182" i="2"/>
  <c r="AO182" i="2" s="1"/>
  <c r="AC222" i="2"/>
  <c r="AH222" i="2" s="1"/>
  <c r="AD132" i="2"/>
  <c r="AJ265" i="2"/>
  <c r="AN265" i="2" s="1"/>
  <c r="AJ140" i="2"/>
  <c r="AO140" i="2" s="1"/>
  <c r="AB222" i="2"/>
  <c r="AG222" i="2" s="1"/>
  <c r="AJ218" i="2"/>
  <c r="AN218" i="2" s="1"/>
  <c r="Z237" i="2"/>
  <c r="AA175" i="2"/>
  <c r="AJ222" i="2"/>
  <c r="AO222" i="2" s="1"/>
  <c r="AE90" i="2"/>
  <c r="AA225" i="2"/>
  <c r="AC260" i="2"/>
  <c r="AH260" i="2" s="1"/>
  <c r="Z248" i="2"/>
  <c r="AC248" i="2"/>
  <c r="AH248" i="2" s="1"/>
  <c r="AD248" i="2"/>
  <c r="AB248" i="2"/>
  <c r="AG248" i="2" s="1"/>
  <c r="Z67" i="2"/>
  <c r="AC67" i="2"/>
  <c r="AA67" i="2"/>
  <c r="AD67" i="2"/>
  <c r="R10" i="11"/>
  <c r="AE67" i="2"/>
  <c r="AD294" i="2"/>
  <c r="AA294" i="2"/>
  <c r="AE248" i="2"/>
  <c r="AF248" i="2" s="1"/>
  <c r="AJ248" i="2"/>
  <c r="AN248" i="2" s="1"/>
  <c r="AB244" i="2"/>
  <c r="AG244" i="2" s="1"/>
  <c r="AD244" i="2"/>
  <c r="AB120" i="2"/>
  <c r="AG120" i="2" s="1"/>
  <c r="AD120" i="2"/>
  <c r="AC120" i="2"/>
  <c r="AH120" i="2" s="1"/>
  <c r="AA120" i="2"/>
  <c r="AJ97" i="2"/>
  <c r="AA97" i="2"/>
  <c r="AC97" i="2"/>
  <c r="AH97" i="2" s="1"/>
  <c r="Z97" i="2"/>
  <c r="AE97" i="2"/>
  <c r="AB97" i="2"/>
  <c r="AG97" i="2" s="1"/>
  <c r="AE201" i="2"/>
  <c r="AI201" i="2" s="1"/>
  <c r="AD201" i="2"/>
  <c r="Z201" i="2"/>
  <c r="AC201" i="2"/>
  <c r="AH201" i="2" s="1"/>
  <c r="AJ201" i="2"/>
  <c r="AN201" i="2" s="1"/>
  <c r="AB174" i="2"/>
  <c r="AG174" i="2" s="1"/>
  <c r="AE174" i="2"/>
  <c r="AF174" i="2" s="1"/>
  <c r="Z174" i="2"/>
  <c r="AC174" i="2"/>
  <c r="AH174" i="2" s="1"/>
  <c r="AA174" i="2"/>
  <c r="AD174" i="2"/>
  <c r="AA201" i="2"/>
  <c r="AB201" i="2"/>
  <c r="AG201" i="2" s="1"/>
  <c r="AJ67" i="2"/>
  <c r="AO67" i="2" s="1"/>
  <c r="P22" i="11" s="1"/>
  <c r="AE120" i="2"/>
  <c r="AF120" i="2" s="1"/>
  <c r="AB106" i="2"/>
  <c r="AG106" i="2" s="1"/>
  <c r="Z120" i="2"/>
  <c r="AJ120" i="2"/>
  <c r="AO120" i="2" s="1"/>
  <c r="AD113" i="2"/>
  <c r="AB113" i="2"/>
  <c r="AG113" i="2" s="1"/>
  <c r="AD233" i="2"/>
  <c r="AC233" i="2"/>
  <c r="AH233" i="2" s="1"/>
  <c r="Z233" i="2"/>
  <c r="AE233" i="2"/>
  <c r="AF233" i="2" s="1"/>
  <c r="AJ233" i="2"/>
  <c r="AN233" i="2" s="1"/>
  <c r="AA233" i="2"/>
  <c r="AB233" i="2"/>
  <c r="AG233" i="2" s="1"/>
  <c r="AA248" i="2"/>
  <c r="AJ256" i="2"/>
  <c r="Z256" i="2"/>
  <c r="AB256" i="2"/>
  <c r="AG256" i="2" s="1"/>
  <c r="AB67" i="2"/>
  <c r="AE213" i="2"/>
  <c r="AB213" i="2"/>
  <c r="AG213" i="2" s="1"/>
  <c r="Z213" i="2"/>
  <c r="AB164" i="2"/>
  <c r="AG164" i="2" s="1"/>
  <c r="AA164" i="2"/>
  <c r="Z164" i="2"/>
  <c r="AJ164" i="2"/>
  <c r="AN164" i="2" s="1"/>
  <c r="AJ274" i="2"/>
  <c r="AO274" i="2" s="1"/>
  <c r="AJ213" i="2"/>
  <c r="AO213" i="2" s="1"/>
  <c r="AC213" i="2"/>
  <c r="AH213" i="2" s="1"/>
  <c r="Z95" i="2"/>
  <c r="AC95" i="2"/>
  <c r="AH95" i="2" s="1"/>
  <c r="AJ95" i="2"/>
  <c r="AN95" i="2" s="1"/>
  <c r="AE95" i="2"/>
  <c r="AI95" i="2" s="1"/>
  <c r="AA95" i="2"/>
  <c r="AD95" i="2"/>
  <c r="AD217" i="2"/>
  <c r="AE225" i="2"/>
  <c r="AI225" i="2" s="1"/>
  <c r="AC122" i="2"/>
  <c r="AH122" i="2" s="1"/>
  <c r="AB122" i="2"/>
  <c r="AG122" i="2" s="1"/>
  <c r="AB218" i="2"/>
  <c r="AG218" i="2" s="1"/>
  <c r="AE222" i="2"/>
  <c r="AF222" i="2" s="1"/>
  <c r="AD222" i="2"/>
  <c r="AB267" i="2"/>
  <c r="AG267" i="2" s="1"/>
  <c r="AB158" i="2"/>
  <c r="AG158" i="2" s="1"/>
  <c r="AJ132" i="2"/>
  <c r="AO132" i="2" s="1"/>
  <c r="S93" i="2"/>
  <c r="AA93" i="2" s="1"/>
  <c r="Z267" i="2"/>
  <c r="AD178" i="2"/>
  <c r="AB227" i="2"/>
  <c r="AG227" i="2" s="1"/>
  <c r="AJ158" i="2"/>
  <c r="AO158" i="2" s="1"/>
  <c r="AD273" i="2"/>
  <c r="AA158" i="2"/>
  <c r="AB178" i="2"/>
  <c r="AG178" i="2" s="1"/>
  <c r="AD163" i="2"/>
  <c r="AA300" i="2"/>
  <c r="AC273" i="2"/>
  <c r="AH273" i="2" s="1"/>
  <c r="AD182" i="2"/>
  <c r="AB273" i="2"/>
  <c r="AG273" i="2" s="1"/>
  <c r="AE178" i="2"/>
  <c r="AF178" i="2" s="1"/>
  <c r="AC163" i="2"/>
  <c r="AH163" i="2" s="1"/>
  <c r="AD290" i="2"/>
  <c r="AJ273" i="2"/>
  <c r="AN273" i="2" s="1"/>
  <c r="AA260" i="2"/>
  <c r="AE200" i="2"/>
  <c r="AF200" i="2" s="1"/>
  <c r="Z124" i="2"/>
  <c r="AJ178" i="2"/>
  <c r="AN178" i="2" s="1"/>
  <c r="AB148" i="2"/>
  <c r="AG148" i="2" s="1"/>
  <c r="AD85" i="2"/>
  <c r="AJ217" i="2"/>
  <c r="AO217" i="2" s="1"/>
  <c r="AC169" i="2"/>
  <c r="AH169" i="2" s="1"/>
  <c r="AJ122" i="2"/>
  <c r="AO122" i="2" s="1"/>
  <c r="AB169" i="2"/>
  <c r="AG169" i="2" s="1"/>
  <c r="Z140" i="2"/>
  <c r="Z169" i="2"/>
  <c r="AE218" i="2"/>
  <c r="AI218" i="2" s="1"/>
  <c r="AD158" i="2"/>
  <c r="AB260" i="2"/>
  <c r="AG260" i="2" s="1"/>
  <c r="AD141" i="2"/>
  <c r="AB163" i="2"/>
  <c r="AG163" i="2" s="1"/>
  <c r="AJ244" i="2"/>
  <c r="AO244" i="2" s="1"/>
  <c r="AJ260" i="2"/>
  <c r="AO260" i="2" s="1"/>
  <c r="AC141" i="2"/>
  <c r="AH141" i="2" s="1"/>
  <c r="AC158" i="2"/>
  <c r="AH158" i="2" s="1"/>
  <c r="Z260" i="2"/>
  <c r="AC148" i="2"/>
  <c r="AH148" i="2" s="1"/>
  <c r="Z178" i="2"/>
  <c r="AJ163" i="2"/>
  <c r="AO163" i="2" s="1"/>
  <c r="AA290" i="2"/>
  <c r="AE260" i="2"/>
  <c r="AF260" i="2" s="1"/>
  <c r="AE163" i="2"/>
  <c r="AI163" i="2" s="1"/>
  <c r="AA132" i="2"/>
  <c r="AJ124" i="2"/>
  <c r="AC178" i="2"/>
  <c r="AH178" i="2" s="1"/>
  <c r="AA141" i="2"/>
  <c r="AB199" i="2"/>
  <c r="AG199" i="2" s="1"/>
  <c r="AE199" i="2"/>
  <c r="AN80" i="2"/>
  <c r="AO80" i="2"/>
  <c r="AB134" i="2"/>
  <c r="AG134" i="2" s="1"/>
  <c r="AA134" i="2"/>
  <c r="AE164" i="2"/>
  <c r="AI164" i="2" s="1"/>
  <c r="AC294" i="2"/>
  <c r="AH294" i="2" s="1"/>
  <c r="Z274" i="2"/>
  <c r="AD134" i="2"/>
  <c r="R172" i="2"/>
  <c r="AD172" i="2" s="1"/>
  <c r="AJ199" i="2"/>
  <c r="AJ275" i="2"/>
  <c r="AO275" i="2" s="1"/>
  <c r="AB165" i="2"/>
  <c r="AG165" i="2" s="1"/>
  <c r="Z165" i="2"/>
  <c r="AD165" i="2"/>
  <c r="AC134" i="2"/>
  <c r="AH134" i="2" s="1"/>
  <c r="AC274" i="2"/>
  <c r="AH274" i="2" s="1"/>
  <c r="Z113" i="2"/>
  <c r="AB294" i="2"/>
  <c r="AG294" i="2" s="1"/>
  <c r="AE55" i="2"/>
  <c r="AB144" i="2"/>
  <c r="AG144" i="2" s="1"/>
  <c r="AA274" i="2"/>
  <c r="AB274" i="2"/>
  <c r="AG274" i="2" s="1"/>
  <c r="Z298" i="2"/>
  <c r="AA298" i="2"/>
  <c r="AE298" i="2"/>
  <c r="AC298" i="2"/>
  <c r="AH298" i="2" s="1"/>
  <c r="AJ298" i="2"/>
  <c r="AB298" i="2"/>
  <c r="AG298" i="2" s="1"/>
  <c r="AD298" i="2"/>
  <c r="AN153" i="2"/>
  <c r="AB95" i="2"/>
  <c r="AG95" i="2" s="1"/>
  <c r="AB187" i="2"/>
  <c r="AG187" i="2" s="1"/>
  <c r="AE113" i="2"/>
  <c r="AF113" i="2" s="1"/>
  <c r="AB66" i="2"/>
  <c r="AJ294" i="2"/>
  <c r="AO294" i="2" s="1"/>
  <c r="Z294" i="2"/>
  <c r="AC55" i="2"/>
  <c r="AC66" i="2"/>
  <c r="AA222" i="2"/>
  <c r="AE165" i="2"/>
  <c r="AJ187" i="2"/>
  <c r="AN187" i="2" s="1"/>
  <c r="AJ113" i="2"/>
  <c r="AO113" i="2" s="1"/>
  <c r="AA66" i="2"/>
  <c r="AB98" i="2"/>
  <c r="AG98" i="2" s="1"/>
  <c r="Z199" i="2"/>
  <c r="AE294" i="2"/>
  <c r="AI294" i="2" s="1"/>
  <c r="AA153" i="2"/>
  <c r="AD274" i="2"/>
  <c r="AE100" i="2"/>
  <c r="AF100" i="2" s="1"/>
  <c r="AD187" i="2"/>
  <c r="AC113" i="2"/>
  <c r="AH113" i="2" s="1"/>
  <c r="Z66" i="2"/>
  <c r="AA98" i="2"/>
  <c r="Z144" i="2"/>
  <c r="AJ300" i="2"/>
  <c r="AI175" i="2"/>
  <c r="AB303" i="2"/>
  <c r="AG303" i="2" s="1"/>
  <c r="AC165" i="2"/>
  <c r="AH165" i="2" s="1"/>
  <c r="AB193" i="2"/>
  <c r="AG193" i="2" s="1"/>
  <c r="AC217" i="2"/>
  <c r="AH217" i="2" s="1"/>
  <c r="Z141" i="2"/>
  <c r="AA199" i="2"/>
  <c r="Z187" i="2"/>
  <c r="AA113" i="2"/>
  <c r="Z98" i="2"/>
  <c r="AD144" i="2"/>
  <c r="AJ174" i="2"/>
  <c r="AC199" i="2"/>
  <c r="AH199" i="2" s="1"/>
  <c r="AD206" i="2"/>
  <c r="AD193" i="2"/>
  <c r="AA217" i="2"/>
  <c r="AB141" i="2"/>
  <c r="AG141" i="2" s="1"/>
  <c r="AE187" i="2"/>
  <c r="AF187" i="2" s="1"/>
  <c r="Z163" i="2"/>
  <c r="AE98" i="2"/>
  <c r="AF98" i="2" s="1"/>
  <c r="AE188" i="2"/>
  <c r="AF188" i="2" s="1"/>
  <c r="AE144" i="2"/>
  <c r="AI144" i="2" s="1"/>
  <c r="Z300" i="2"/>
  <c r="AF161" i="2"/>
  <c r="AA182" i="2"/>
  <c r="AE193" i="2"/>
  <c r="AF193" i="2" s="1"/>
  <c r="AB182" i="2"/>
  <c r="AG182" i="2" s="1"/>
  <c r="AD153" i="2"/>
  <c r="AN160" i="2"/>
  <c r="AO160" i="2"/>
  <c r="AD169" i="2"/>
  <c r="AC187" i="2"/>
  <c r="AH187" i="2" s="1"/>
  <c r="AD98" i="2"/>
  <c r="AA144" i="2"/>
  <c r="AJ193" i="2"/>
  <c r="AN193" i="2" s="1"/>
  <c r="AC153" i="2"/>
  <c r="AH153" i="2" s="1"/>
  <c r="AB153" i="2"/>
  <c r="AG153" i="2" s="1"/>
  <c r="AE153" i="2"/>
  <c r="AF153" i="2" s="1"/>
  <c r="AE131" i="2"/>
  <c r="AB131" i="2"/>
  <c r="AG131" i="2" s="1"/>
  <c r="AJ131" i="2"/>
  <c r="AC131" i="2"/>
  <c r="AH131" i="2" s="1"/>
  <c r="AA131" i="2"/>
  <c r="Z131" i="2"/>
  <c r="AD131" i="2"/>
  <c r="AA169" i="2"/>
  <c r="AB217" i="2"/>
  <c r="AG217" i="2" s="1"/>
  <c r="Z218" i="2"/>
  <c r="AC98" i="2"/>
  <c r="AH98" i="2" s="1"/>
  <c r="AJ144" i="2"/>
  <c r="AN144" i="2" s="1"/>
  <c r="AD199" i="2"/>
  <c r="AA165" i="2"/>
  <c r="AA193" i="2"/>
  <c r="Z153" i="2"/>
  <c r="AF160" i="2"/>
  <c r="AI160" i="2"/>
  <c r="AB83" i="2"/>
  <c r="AG83" i="2" s="1"/>
  <c r="AA83" i="2"/>
  <c r="Z83" i="2"/>
  <c r="AD83" i="2"/>
  <c r="AE83" i="2"/>
  <c r="AC83" i="2"/>
  <c r="AH83" i="2" s="1"/>
  <c r="AJ83" i="2"/>
  <c r="AJ169" i="2"/>
  <c r="AE217" i="2"/>
  <c r="Z188" i="2"/>
  <c r="AJ165" i="2"/>
  <c r="AO165" i="2" s="1"/>
  <c r="Z193" i="2"/>
  <c r="Z156" i="2"/>
  <c r="AE106" i="2"/>
  <c r="AI106" i="2" s="1"/>
  <c r="AA106" i="2"/>
  <c r="AC244" i="2"/>
  <c r="AH244" i="2" s="1"/>
  <c r="AD79" i="2"/>
  <c r="AA301" i="2"/>
  <c r="AJ301" i="2"/>
  <c r="Z301" i="2"/>
  <c r="AE301" i="2"/>
  <c r="AC301" i="2"/>
  <c r="AH301" i="2" s="1"/>
  <c r="AB301" i="2"/>
  <c r="AG301" i="2" s="1"/>
  <c r="AD301" i="2"/>
  <c r="AE79" i="2"/>
  <c r="AI79" i="2" s="1"/>
  <c r="AD303" i="2"/>
  <c r="AI87" i="2"/>
  <c r="AF87" i="2"/>
  <c r="Z207" i="2"/>
  <c r="AB275" i="2"/>
  <c r="AG275" i="2" s="1"/>
  <c r="S226" i="2"/>
  <c r="Z226" i="2" s="1"/>
  <c r="AB207" i="2"/>
  <c r="AG207" i="2" s="1"/>
  <c r="AE303" i="2"/>
  <c r="AE170" i="2"/>
  <c r="AD170" i="2"/>
  <c r="AC170" i="2"/>
  <c r="AH170" i="2" s="1"/>
  <c r="AC304" i="2"/>
  <c r="AH304" i="2" s="1"/>
  <c r="Z264" i="2"/>
  <c r="AD264" i="2"/>
  <c r="AE264" i="2"/>
  <c r="AA264" i="2"/>
  <c r="AC264" i="2"/>
  <c r="AH264" i="2" s="1"/>
  <c r="AB264" i="2"/>
  <c r="AG264" i="2" s="1"/>
  <c r="AJ264" i="2"/>
  <c r="AD156" i="2"/>
  <c r="AC164" i="2"/>
  <c r="AH164" i="2" s="1"/>
  <c r="AC77" i="2"/>
  <c r="AH77" i="2" s="1"/>
  <c r="AD300" i="2"/>
  <c r="AE156" i="2"/>
  <c r="AI156" i="2" s="1"/>
  <c r="AC303" i="2"/>
  <c r="AH303" i="2" s="1"/>
  <c r="AO73" i="2"/>
  <c r="AN73" i="2"/>
  <c r="AC106" i="2"/>
  <c r="AH106" i="2" s="1"/>
  <c r="AJ85" i="2"/>
  <c r="AC85" i="2"/>
  <c r="AH85" i="2" s="1"/>
  <c r="AE85" i="2"/>
  <c r="AJ72" i="2"/>
  <c r="AB72" i="2"/>
  <c r="AG72" i="2" s="1"/>
  <c r="AE72" i="2"/>
  <c r="AA72" i="2"/>
  <c r="AC72" i="2"/>
  <c r="AH72" i="2" s="1"/>
  <c r="AD72" i="2"/>
  <c r="Z72" i="2"/>
  <c r="AF271" i="2"/>
  <c r="AB206" i="2"/>
  <c r="AG206" i="2" s="1"/>
  <c r="AJ142" i="2"/>
  <c r="AD142" i="2"/>
  <c r="AE142" i="2"/>
  <c r="AB142" i="2"/>
  <c r="AG142" i="2" s="1"/>
  <c r="Z142" i="2"/>
  <c r="AA142" i="2"/>
  <c r="AC142" i="2"/>
  <c r="AH142" i="2" s="1"/>
  <c r="AJ230" i="2"/>
  <c r="AN230" i="2" s="1"/>
  <c r="AD207" i="2"/>
  <c r="AJ207" i="2"/>
  <c r="AN207" i="2" s="1"/>
  <c r="AA77" i="2"/>
  <c r="AA297" i="2"/>
  <c r="AC207" i="2"/>
  <c r="AH207" i="2" s="1"/>
  <c r="AE77" i="2"/>
  <c r="AF77" i="2" s="1"/>
  <c r="AA170" i="2"/>
  <c r="AA207" i="2"/>
  <c r="AD164" i="2"/>
  <c r="Z77" i="2"/>
  <c r="AD140" i="2"/>
  <c r="AC156" i="2"/>
  <c r="AH156" i="2" s="1"/>
  <c r="AE197" i="2"/>
  <c r="AI197" i="2" s="1"/>
  <c r="AB170" i="2"/>
  <c r="AG170" i="2" s="1"/>
  <c r="AA85" i="2"/>
  <c r="Z106" i="2"/>
  <c r="AN75" i="2"/>
  <c r="AO75" i="2"/>
  <c r="AE275" i="2"/>
  <c r="AB55" i="2"/>
  <c r="AC300" i="2"/>
  <c r="AH300" i="2" s="1"/>
  <c r="AE300" i="2"/>
  <c r="AN61" i="2"/>
  <c r="AO61" i="2"/>
  <c r="AF60" i="2"/>
  <c r="AI60" i="2"/>
  <c r="AD100" i="2"/>
  <c r="AD227" i="2"/>
  <c r="AA55" i="2"/>
  <c r="AD77" i="2"/>
  <c r="AJ297" i="2"/>
  <c r="Z297" i="2"/>
  <c r="AB297" i="2"/>
  <c r="AG297" i="2" s="1"/>
  <c r="AD297" i="2"/>
  <c r="AE297" i="2"/>
  <c r="AC297" i="2"/>
  <c r="AH297" i="2" s="1"/>
  <c r="AJ77" i="2"/>
  <c r="AO77" i="2" s="1"/>
  <c r="Z275" i="2"/>
  <c r="AJ170" i="2"/>
  <c r="AJ156" i="2"/>
  <c r="AN156" i="2" s="1"/>
  <c r="AJ106" i="2"/>
  <c r="AN106" i="2" s="1"/>
  <c r="AA244" i="2"/>
  <c r="AJ289" i="2"/>
  <c r="AN289" i="2" s="1"/>
  <c r="Z55" i="2"/>
  <c r="AD55" i="2"/>
  <c r="Z85" i="2"/>
  <c r="AI75" i="2"/>
  <c r="AF75" i="2"/>
  <c r="AD275" i="2"/>
  <c r="AA275" i="2"/>
  <c r="AD304" i="2"/>
  <c r="AC101" i="2"/>
  <c r="AH101" i="2" s="1"/>
  <c r="AC200" i="2"/>
  <c r="AH200" i="2" s="1"/>
  <c r="Z200" i="2"/>
  <c r="AN271" i="2"/>
  <c r="AO271" i="2"/>
  <c r="R110" i="2"/>
  <c r="AE110" i="2" s="1"/>
  <c r="Z134" i="2"/>
  <c r="Z197" i="2"/>
  <c r="AA202" i="2"/>
  <c r="AD200" i="2"/>
  <c r="AE134" i="2"/>
  <c r="AI134" i="2" s="1"/>
  <c r="AJ200" i="2"/>
  <c r="AO200" i="2" s="1"/>
  <c r="AB197" i="2"/>
  <c r="AG197" i="2" s="1"/>
  <c r="AD218" i="2"/>
  <c r="AE66" i="2"/>
  <c r="AC208" i="2"/>
  <c r="AH208" i="2" s="1"/>
  <c r="AE202" i="2"/>
  <c r="AF202" i="2" s="1"/>
  <c r="Z304" i="2"/>
  <c r="Z184" i="2"/>
  <c r="AE244" i="2"/>
  <c r="AF244" i="2" s="1"/>
  <c r="AA208" i="2"/>
  <c r="AA200" i="2"/>
  <c r="AJ197" i="2"/>
  <c r="AN197" i="2" s="1"/>
  <c r="AA100" i="2"/>
  <c r="AJ66" i="2"/>
  <c r="AN66" i="2" s="1"/>
  <c r="AD208" i="2"/>
  <c r="AB208" i="2"/>
  <c r="AG208" i="2" s="1"/>
  <c r="AJ303" i="2"/>
  <c r="Z303" i="2"/>
  <c r="AA303" i="2"/>
  <c r="AE206" i="2"/>
  <c r="AA206" i="2"/>
  <c r="AC206" i="2"/>
  <c r="AH206" i="2" s="1"/>
  <c r="Z206" i="2"/>
  <c r="S74" i="2"/>
  <c r="AE304" i="2"/>
  <c r="AF304" i="2" s="1"/>
  <c r="AJ206" i="2"/>
  <c r="AC227" i="2"/>
  <c r="AH227" i="2" s="1"/>
  <c r="AA230" i="2"/>
  <c r="S281" i="2"/>
  <c r="AJ304" i="2"/>
  <c r="AO304" i="2" s="1"/>
  <c r="AA227" i="2"/>
  <c r="AE263" i="2"/>
  <c r="AB263" i="2"/>
  <c r="AG263" i="2" s="1"/>
  <c r="AA263" i="2"/>
  <c r="Z263" i="2"/>
  <c r="AJ263" i="2"/>
  <c r="AC263" i="2"/>
  <c r="AH263" i="2" s="1"/>
  <c r="AD263" i="2"/>
  <c r="AA203" i="2"/>
  <c r="AD203" i="2"/>
  <c r="Z203" i="2"/>
  <c r="AC203" i="2"/>
  <c r="AH203" i="2" s="1"/>
  <c r="AJ203" i="2"/>
  <c r="AB203" i="2"/>
  <c r="AG203" i="2" s="1"/>
  <c r="AE203" i="2"/>
  <c r="AC109" i="2"/>
  <c r="AH109" i="2" s="1"/>
  <c r="AB109" i="2"/>
  <c r="AG109" i="2" s="1"/>
  <c r="AJ109" i="2"/>
  <c r="AD109" i="2"/>
  <c r="AE109" i="2"/>
  <c r="Z109" i="2"/>
  <c r="AA109" i="2"/>
  <c r="AA218" i="2"/>
  <c r="AJ190" i="2"/>
  <c r="AC190" i="2"/>
  <c r="AH190" i="2" s="1"/>
  <c r="Z190" i="2"/>
  <c r="AE190" i="2"/>
  <c r="AD190" i="2"/>
  <c r="AB190" i="2"/>
  <c r="AG190" i="2" s="1"/>
  <c r="AA190" i="2"/>
  <c r="Z183" i="2"/>
  <c r="AA183" i="2"/>
  <c r="AC183" i="2"/>
  <c r="AH183" i="2" s="1"/>
  <c r="AE183" i="2"/>
  <c r="AD183" i="2"/>
  <c r="AB183" i="2"/>
  <c r="AG183" i="2" s="1"/>
  <c r="AJ183" i="2"/>
  <c r="AJ242" i="2"/>
  <c r="AE242" i="2"/>
  <c r="AC242" i="2"/>
  <c r="AH242" i="2" s="1"/>
  <c r="AA242" i="2"/>
  <c r="AB242" i="2"/>
  <c r="AG242" i="2" s="1"/>
  <c r="Z242" i="2"/>
  <c r="AD242" i="2"/>
  <c r="AE282" i="2"/>
  <c r="AC282" i="2"/>
  <c r="AH282" i="2" s="1"/>
  <c r="AD282" i="2"/>
  <c r="AA282" i="2"/>
  <c r="AJ282" i="2"/>
  <c r="AB282" i="2"/>
  <c r="AG282" i="2" s="1"/>
  <c r="Z282" i="2"/>
  <c r="R198" i="2"/>
  <c r="S198" i="2"/>
  <c r="AB230" i="2"/>
  <c r="AG230" i="2" s="1"/>
  <c r="AE258" i="2"/>
  <c r="Z258" i="2"/>
  <c r="AD258" i="2"/>
  <c r="AA258" i="2"/>
  <c r="AJ258" i="2"/>
  <c r="AB258" i="2"/>
  <c r="AG258" i="2" s="1"/>
  <c r="AC258" i="2"/>
  <c r="AH258" i="2" s="1"/>
  <c r="AC189" i="2"/>
  <c r="AH189" i="2" s="1"/>
  <c r="Z189" i="2"/>
  <c r="AJ189" i="2"/>
  <c r="AA189" i="2"/>
  <c r="AB189" i="2"/>
  <c r="AG189" i="2" s="1"/>
  <c r="AE189" i="2"/>
  <c r="AD189" i="2"/>
  <c r="AO210" i="2"/>
  <c r="AI230" i="2"/>
  <c r="AC230" i="2"/>
  <c r="AH230" i="2" s="1"/>
  <c r="S299" i="2"/>
  <c r="AO99" i="2"/>
  <c r="AN99" i="2"/>
  <c r="AE235" i="2"/>
  <c r="Z235" i="2"/>
  <c r="AA235" i="2"/>
  <c r="AC235" i="2"/>
  <c r="AH235" i="2" s="1"/>
  <c r="AB235" i="2"/>
  <c r="AG235" i="2" s="1"/>
  <c r="AD235" i="2"/>
  <c r="AJ235" i="2"/>
  <c r="AI121" i="2"/>
  <c r="AF121" i="2"/>
  <c r="AD232" i="2"/>
  <c r="AC232" i="2"/>
  <c r="AH232" i="2" s="1"/>
  <c r="AE232" i="2"/>
  <c r="AJ232" i="2"/>
  <c r="AB232" i="2"/>
  <c r="AG232" i="2" s="1"/>
  <c r="AA232" i="2"/>
  <c r="Z232" i="2"/>
  <c r="R205" i="2"/>
  <c r="AB79" i="2"/>
  <c r="AG79" i="2" s="1"/>
  <c r="R74" i="2"/>
  <c r="AE289" i="2"/>
  <c r="AI289" i="2" s="1"/>
  <c r="R257" i="2"/>
  <c r="AA304" i="2"/>
  <c r="AE108" i="2"/>
  <c r="AD108" i="2"/>
  <c r="AC108" i="2"/>
  <c r="AH108" i="2" s="1"/>
  <c r="AA108" i="2"/>
  <c r="AB108" i="2"/>
  <c r="AG108" i="2" s="1"/>
  <c r="Z108" i="2"/>
  <c r="AJ108" i="2"/>
  <c r="AC140" i="2"/>
  <c r="AH140" i="2" s="1"/>
  <c r="AB140" i="2"/>
  <c r="AG140" i="2" s="1"/>
  <c r="AJ65" i="2"/>
  <c r="AN65" i="2" s="1"/>
  <c r="AA140" i="2"/>
  <c r="AC289" i="2"/>
  <c r="AH289" i="2" s="1"/>
  <c r="R118" i="2"/>
  <c r="S118" i="2"/>
  <c r="S269" i="2"/>
  <c r="R269" i="2"/>
  <c r="Z227" i="2"/>
  <c r="AB287" i="2"/>
  <c r="AG287" i="2" s="1"/>
  <c r="AA287" i="2"/>
  <c r="AJ287" i="2"/>
  <c r="AE287" i="2"/>
  <c r="AD287" i="2"/>
  <c r="AC287" i="2"/>
  <c r="AH287" i="2" s="1"/>
  <c r="AJ79" i="2"/>
  <c r="R231" i="2"/>
  <c r="S231" i="2"/>
  <c r="R102" i="2"/>
  <c r="Z102" i="2" s="1"/>
  <c r="Z289" i="2"/>
  <c r="AB289" i="2"/>
  <c r="AG289" i="2" s="1"/>
  <c r="AE227" i="2"/>
  <c r="AA289" i="2"/>
  <c r="AE119" i="2"/>
  <c r="AC119" i="2"/>
  <c r="AH119" i="2" s="1"/>
  <c r="AB119" i="2"/>
  <c r="AG119" i="2" s="1"/>
  <c r="AJ119" i="2"/>
  <c r="AA119" i="2"/>
  <c r="AD119" i="2"/>
  <c r="Z119" i="2"/>
  <c r="AC135" i="2"/>
  <c r="AH135" i="2" s="1"/>
  <c r="AE135" i="2"/>
  <c r="AD135" i="2"/>
  <c r="Z135" i="2"/>
  <c r="AA135" i="2"/>
  <c r="AB135" i="2"/>
  <c r="AG135" i="2" s="1"/>
  <c r="AJ135" i="2"/>
  <c r="AJ184" i="2"/>
  <c r="AA184" i="2"/>
  <c r="AC184" i="2"/>
  <c r="AH184" i="2" s="1"/>
  <c r="AE184" i="2"/>
  <c r="AB184" i="2"/>
  <c r="AG184" i="2" s="1"/>
  <c r="AJ227" i="2"/>
  <c r="R185" i="2"/>
  <c r="S185" i="2"/>
  <c r="AB219" i="2"/>
  <c r="AG219" i="2" s="1"/>
  <c r="AA219" i="2"/>
  <c r="Z219" i="2"/>
  <c r="AD219" i="2"/>
  <c r="AC219" i="2"/>
  <c r="AH219" i="2" s="1"/>
  <c r="AE219" i="2"/>
  <c r="AJ219" i="2"/>
  <c r="AA79" i="2"/>
  <c r="Z230" i="2"/>
  <c r="AD230" i="2"/>
  <c r="Z125" i="2"/>
  <c r="AD125" i="2"/>
  <c r="AJ125" i="2"/>
  <c r="AE125" i="2"/>
  <c r="AA125" i="2"/>
  <c r="AC125" i="2"/>
  <c r="AH125" i="2" s="1"/>
  <c r="AB125" i="2"/>
  <c r="AG125" i="2" s="1"/>
  <c r="AC202" i="2"/>
  <c r="AH202" i="2" s="1"/>
  <c r="AJ202" i="2"/>
  <c r="AB202" i="2"/>
  <c r="AG202" i="2" s="1"/>
  <c r="AC251" i="2"/>
  <c r="AH251" i="2" s="1"/>
  <c r="Z251" i="2"/>
  <c r="AJ251" i="2"/>
  <c r="AA251" i="2"/>
  <c r="AE251" i="2"/>
  <c r="AB251" i="2"/>
  <c r="AG251" i="2" s="1"/>
  <c r="AD251" i="2"/>
  <c r="AD202" i="2"/>
  <c r="Z79" i="2"/>
  <c r="AJ180" i="2"/>
  <c r="AC180" i="2"/>
  <c r="AH180" i="2" s="1"/>
  <c r="AA180" i="2"/>
  <c r="AB180" i="2"/>
  <c r="AG180" i="2" s="1"/>
  <c r="AD180" i="2"/>
  <c r="AE180" i="2"/>
  <c r="Z180" i="2"/>
  <c r="Z244" i="2"/>
  <c r="R286" i="2"/>
  <c r="S286" i="2"/>
  <c r="R299" i="2"/>
  <c r="AA237" i="2"/>
  <c r="AJ237" i="2"/>
  <c r="AB237" i="2"/>
  <c r="AG237" i="2" s="1"/>
  <c r="AE237" i="2"/>
  <c r="AD237" i="2"/>
  <c r="AC237" i="2"/>
  <c r="AH237" i="2" s="1"/>
  <c r="AB270" i="2"/>
  <c r="AG270" i="2" s="1"/>
  <c r="AA270" i="2"/>
  <c r="Z270" i="2"/>
  <c r="AC270" i="2"/>
  <c r="AH270" i="2" s="1"/>
  <c r="AJ270" i="2"/>
  <c r="AE270" i="2"/>
  <c r="AD270" i="2"/>
  <c r="S257" i="2"/>
  <c r="AE65" i="2"/>
  <c r="AO285" i="2"/>
  <c r="AN285" i="2"/>
  <c r="AB117" i="2"/>
  <c r="AG117" i="2" s="1"/>
  <c r="AA117" i="2"/>
  <c r="Z117" i="2"/>
  <c r="AE117" i="2"/>
  <c r="AJ117" i="2"/>
  <c r="AC117" i="2"/>
  <c r="AH117" i="2" s="1"/>
  <c r="AD117" i="2"/>
  <c r="Z101" i="2"/>
  <c r="AJ101" i="2"/>
  <c r="AB101" i="2"/>
  <c r="AG101" i="2" s="1"/>
  <c r="AA101" i="2"/>
  <c r="AE101" i="2"/>
  <c r="AD101" i="2"/>
  <c r="AC196" i="2"/>
  <c r="AH196" i="2" s="1"/>
  <c r="AD196" i="2"/>
  <c r="Z196" i="2"/>
  <c r="AE196" i="2"/>
  <c r="AA196" i="2"/>
  <c r="AJ196" i="2"/>
  <c r="AB196" i="2"/>
  <c r="AG196" i="2" s="1"/>
  <c r="AB250" i="2"/>
  <c r="AG250" i="2" s="1"/>
  <c r="AC250" i="2"/>
  <c r="AH250" i="2" s="1"/>
  <c r="AJ250" i="2"/>
  <c r="AD250" i="2"/>
  <c r="AE250" i="2"/>
  <c r="Z250" i="2"/>
  <c r="AA250" i="2"/>
  <c r="AJ103" i="2"/>
  <c r="Z305" i="2"/>
  <c r="AC305" i="2"/>
  <c r="AH305" i="2" s="1"/>
  <c r="AD305" i="2"/>
  <c r="AB305" i="2"/>
  <c r="AG305" i="2" s="1"/>
  <c r="AJ305" i="2"/>
  <c r="AA305" i="2"/>
  <c r="AE305" i="2"/>
  <c r="AC65" i="2"/>
  <c r="S249" i="2"/>
  <c r="R249" i="2"/>
  <c r="AC70" i="2"/>
  <c r="AE70" i="2"/>
  <c r="AA70" i="2"/>
  <c r="Z70" i="2"/>
  <c r="AD70" i="2"/>
  <c r="AB70" i="2"/>
  <c r="AJ70" i="2"/>
  <c r="S168" i="2"/>
  <c r="R168" i="2"/>
  <c r="Z103" i="2"/>
  <c r="AA103" i="2"/>
  <c r="AB103" i="2"/>
  <c r="AG103" i="2" s="1"/>
  <c r="AD103" i="2"/>
  <c r="AC103" i="2"/>
  <c r="AH103" i="2" s="1"/>
  <c r="AE103" i="2"/>
  <c r="AB65" i="2"/>
  <c r="AJ166" i="2"/>
  <c r="AD166" i="2"/>
  <c r="AC166" i="2"/>
  <c r="AH166" i="2" s="1"/>
  <c r="AE166" i="2"/>
  <c r="Z166" i="2"/>
  <c r="AA166" i="2"/>
  <c r="AB166" i="2"/>
  <c r="AG166" i="2" s="1"/>
  <c r="AJ100" i="2"/>
  <c r="AN100" i="2" s="1"/>
  <c r="AJ262" i="2"/>
  <c r="AB262" i="2"/>
  <c r="AG262" i="2" s="1"/>
  <c r="AE262" i="2"/>
  <c r="AA262" i="2"/>
  <c r="AC262" i="2"/>
  <c r="AH262" i="2" s="1"/>
  <c r="AD262" i="2"/>
  <c r="Z262" i="2"/>
  <c r="R272" i="2"/>
  <c r="R138" i="2"/>
  <c r="Z116" i="2"/>
  <c r="AJ116" i="2"/>
  <c r="AA116" i="2"/>
  <c r="AE116" i="2"/>
  <c r="AB116" i="2"/>
  <c r="AG116" i="2" s="1"/>
  <c r="AC116" i="2"/>
  <c r="AH116" i="2" s="1"/>
  <c r="AD116" i="2"/>
  <c r="AC171" i="2"/>
  <c r="AH171" i="2" s="1"/>
  <c r="AJ171" i="2"/>
  <c r="AA171" i="2"/>
  <c r="Z171" i="2"/>
  <c r="AB171" i="2"/>
  <c r="AG171" i="2" s="1"/>
  <c r="AD171" i="2"/>
  <c r="Z65" i="2"/>
  <c r="AJ78" i="2"/>
  <c r="AC78" i="2"/>
  <c r="AH78" i="2" s="1"/>
  <c r="AA78" i="2"/>
  <c r="AE78" i="2"/>
  <c r="AD78" i="2"/>
  <c r="AB78" i="2"/>
  <c r="AG78" i="2" s="1"/>
  <c r="Z78" i="2"/>
  <c r="AB100" i="2"/>
  <c r="AG100" i="2" s="1"/>
  <c r="AJ147" i="2"/>
  <c r="R238" i="2"/>
  <c r="S238" i="2"/>
  <c r="AE181" i="2"/>
  <c r="AB181" i="2"/>
  <c r="AG181" i="2" s="1"/>
  <c r="AC181" i="2"/>
  <c r="AH181" i="2" s="1"/>
  <c r="AD181" i="2"/>
  <c r="AA181" i="2"/>
  <c r="Z181" i="2"/>
  <c r="AJ181" i="2"/>
  <c r="AA147" i="2"/>
  <c r="AB147" i="2"/>
  <c r="AG147" i="2" s="1"/>
  <c r="AD147" i="2"/>
  <c r="Z147" i="2"/>
  <c r="AC147" i="2"/>
  <c r="AH147" i="2" s="1"/>
  <c r="AE147" i="2"/>
  <c r="AD243" i="2"/>
  <c r="AB243" i="2"/>
  <c r="AG243" i="2" s="1"/>
  <c r="AE243" i="2"/>
  <c r="Z243" i="2"/>
  <c r="AJ243" i="2"/>
  <c r="AC243" i="2"/>
  <c r="AH243" i="2" s="1"/>
  <c r="AA243" i="2"/>
  <c r="AA162" i="2"/>
  <c r="Z162" i="2"/>
  <c r="AJ162" i="2"/>
  <c r="AC162" i="2"/>
  <c r="AH162" i="2" s="1"/>
  <c r="AB162" i="2"/>
  <c r="AG162" i="2" s="1"/>
  <c r="AE162" i="2"/>
  <c r="AD162" i="2"/>
  <c r="Z247" i="2"/>
  <c r="AC247" i="2"/>
  <c r="AH247" i="2" s="1"/>
  <c r="AJ247" i="2"/>
  <c r="AB247" i="2"/>
  <c r="AG247" i="2" s="1"/>
  <c r="AD247" i="2"/>
  <c r="AA247" i="2"/>
  <c r="AE247" i="2"/>
  <c r="Z100" i="2"/>
  <c r="R245" i="2"/>
  <c r="S245" i="2"/>
  <c r="AB292" i="2"/>
  <c r="AG292" i="2" s="1"/>
  <c r="AJ292" i="2"/>
  <c r="Z292" i="2"/>
  <c r="AE292" i="2"/>
  <c r="AC292" i="2"/>
  <c r="AH292" i="2" s="1"/>
  <c r="AA292" i="2"/>
  <c r="AD292" i="2"/>
  <c r="AA65" i="2"/>
  <c r="AO211" i="2"/>
  <c r="AN211" i="2"/>
  <c r="AE76" i="2"/>
  <c r="AD76" i="2"/>
  <c r="AJ76" i="2"/>
  <c r="Z76" i="2"/>
  <c r="AB76" i="2"/>
  <c r="AG76" i="2" s="1"/>
  <c r="AC76" i="2"/>
  <c r="AH76" i="2" s="1"/>
  <c r="AA76" i="2"/>
  <c r="S288" i="2"/>
  <c r="R288" i="2"/>
  <c r="AE277" i="2"/>
  <c r="AB277" i="2"/>
  <c r="AG277" i="2" s="1"/>
  <c r="Z277" i="2"/>
  <c r="AC277" i="2"/>
  <c r="AH277" i="2" s="1"/>
  <c r="AD277" i="2"/>
  <c r="AA277" i="2"/>
  <c r="AJ277" i="2"/>
  <c r="R252" i="2"/>
  <c r="S252" i="2"/>
  <c r="AE171" i="2"/>
  <c r="AC86" i="2"/>
  <c r="AH86" i="2" s="1"/>
  <c r="AE86" i="2"/>
  <c r="AJ86" i="2"/>
  <c r="Z86" i="2"/>
  <c r="AB86" i="2"/>
  <c r="AG86" i="2" s="1"/>
  <c r="AD86" i="2"/>
  <c r="AA86" i="2"/>
  <c r="S149" i="2"/>
  <c r="R149" i="2"/>
  <c r="AF65" i="15" a="1"/>
  <c r="AF67" i="15" a="1"/>
  <c r="AF69" i="15" a="1"/>
  <c r="AF68" i="15" a="1"/>
  <c r="AF62" i="15" a="1"/>
  <c r="AF53" i="15" a="1"/>
  <c r="AF58" i="15" a="1"/>
  <c r="AF60" i="15" a="1"/>
  <c r="AF64" i="15" a="1"/>
  <c r="AF63" i="15" a="1"/>
  <c r="AF54" i="15" a="1"/>
  <c r="AF61" i="15" a="1"/>
  <c r="AF55" i="15" a="1"/>
  <c r="AF57" i="15" a="1"/>
  <c r="AF56" i="15" a="1"/>
  <c r="AF70" i="15" a="1"/>
  <c r="AF66" i="15" a="1"/>
  <c r="AF59" i="15" a="1"/>
  <c r="AA25" i="15" a="1"/>
  <c r="AK65" i="15" a="1"/>
  <c r="AA45" i="15" a="1"/>
  <c r="AK66" i="15" a="1"/>
  <c r="AA21" i="15" a="1"/>
  <c r="AA5" i="15" a="1"/>
  <c r="AJ64" i="15" a="1"/>
  <c r="AI55" i="15" a="1"/>
  <c r="AC11" i="8" a="1"/>
  <c r="AI65" i="15" a="1"/>
  <c r="AC18" i="8" a="1"/>
  <c r="AA11" i="15" a="1"/>
  <c r="AK71" i="15" a="1"/>
  <c r="AI60" i="15" a="1"/>
  <c r="AA28" i="15" a="1"/>
  <c r="AK59" i="15" a="1"/>
  <c r="AH62" i="15" a="1"/>
  <c r="AJ62" i="15" a="1"/>
  <c r="AH64" i="15" a="1"/>
  <c r="AC10" i="8" a="1"/>
  <c r="AA15" i="15" a="1"/>
  <c r="AI68" i="15" a="1"/>
  <c r="AH57" i="15" a="1"/>
  <c r="AC25" i="8" a="1"/>
  <c r="AI66" i="15" a="1"/>
  <c r="AA39" i="15" a="1"/>
  <c r="AA43" i="15" a="1"/>
  <c r="AC7" i="8" a="1"/>
  <c r="Z58" i="15" a="1"/>
  <c r="AA38" i="15" a="1"/>
  <c r="AA46" i="15" a="1"/>
  <c r="AA14" i="15" a="1"/>
  <c r="Z69" i="15" a="1"/>
  <c r="AK61" i="15" a="1"/>
  <c r="AK58" i="15" a="1"/>
  <c r="Z61" i="15" a="1"/>
  <c r="AC17" i="8" a="1"/>
  <c r="AK55" i="15" a="1"/>
  <c r="AA49" i="15" a="1"/>
  <c r="AK60" i="15" a="1"/>
  <c r="AA19" i="15" a="1"/>
  <c r="Z63" i="15" a="1"/>
  <c r="AH54" i="15" a="1"/>
  <c r="AC14" i="8" a="1"/>
  <c r="AJ66" i="15" a="1"/>
  <c r="AJ71" i="15" a="1"/>
  <c r="Z54" i="15" a="1"/>
  <c r="AA4" i="15" a="1"/>
  <c r="Z66" i="15" a="1"/>
  <c r="AA53" i="15" a="1"/>
  <c r="AK70" i="15" a="1"/>
  <c r="AJ59" i="15" a="1"/>
  <c r="AJ56" i="15" a="1"/>
  <c r="AH70" i="15" a="1"/>
  <c r="AJ63" i="15" a="1"/>
  <c r="AH63" i="15" a="1"/>
  <c r="AC33" i="8" a="1"/>
  <c r="Z64" i="15" a="1"/>
  <c r="AI70" i="15" a="1"/>
  <c r="AC41" i="8" a="1"/>
  <c r="AK69" i="15" a="1"/>
  <c r="AA13" i="15" a="1"/>
  <c r="Z65" i="15" a="1"/>
  <c r="AA2" i="15" a="1"/>
  <c r="AA26" i="15" a="1"/>
  <c r="AH61" i="15" a="1"/>
  <c r="AA50" i="15" a="1"/>
  <c r="AA29" i="15" a="1"/>
  <c r="AA48" i="15" a="1"/>
  <c r="AJ68" i="15" a="1"/>
  <c r="AI64" i="15" a="1"/>
  <c r="AJ58" i="15" a="1"/>
  <c r="AH68" i="15" a="1"/>
  <c r="AC12" i="8" a="1"/>
  <c r="AC30" i="8" a="1"/>
  <c r="AI57" i="15" a="1"/>
  <c r="AC13" i="8" a="1"/>
  <c r="AI59" i="15" a="1"/>
  <c r="AA8" i="15" a="1"/>
  <c r="AH60" i="15" a="1"/>
  <c r="Z68" i="15" a="1"/>
  <c r="Z70" i="15" a="1"/>
  <c r="Z60" i="15" a="1"/>
  <c r="AA37" i="15" a="1"/>
  <c r="AI71" i="15" a="1"/>
  <c r="AH66" i="15" a="1"/>
  <c r="AI56" i="15" a="1"/>
  <c r="AH65" i="15" a="1"/>
  <c r="AC15" i="8" a="1"/>
  <c r="AC4" i="8" a="1"/>
  <c r="AA32" i="15" a="1"/>
  <c r="AK64" i="15" a="1"/>
  <c r="AA31" i="15" a="1"/>
  <c r="AA7" i="15" a="1"/>
  <c r="Z57" i="15" a="1"/>
  <c r="AK67" i="15" a="1"/>
  <c r="AK63" i="15" a="1"/>
  <c r="AK57" i="15" a="1"/>
  <c r="AH69" i="15" a="1"/>
  <c r="AJ70" i="15" a="1"/>
  <c r="AJ65" i="15" a="1"/>
  <c r="AC42" i="8" a="1"/>
  <c r="AC47" i="8" a="1"/>
  <c r="AI62" i="15" a="1"/>
  <c r="AC45" i="8" a="1"/>
  <c r="AA20" i="15" a="1"/>
  <c r="AA47" i="15" a="1"/>
  <c r="AA12" i="15" a="1"/>
  <c r="Z55" i="15" a="1"/>
  <c r="AJ60" i="15" a="1"/>
  <c r="Z59" i="15" a="1"/>
  <c r="AH56" i="15" a="1"/>
  <c r="AC5" i="8" a="1"/>
  <c r="AA22" i="15" a="1"/>
  <c r="AA6" i="15" a="1"/>
  <c r="AA41" i="15" a="1"/>
  <c r="AA40" i="15" a="1"/>
  <c r="AA17" i="15" a="1"/>
  <c r="AK68" i="15" a="1"/>
  <c r="Z71" i="15" a="1"/>
  <c r="AA24" i="15" a="1"/>
  <c r="AH58" i="15" a="1"/>
  <c r="AJ55" i="15" a="1"/>
  <c r="AI67" i="15" a="1"/>
  <c r="AJ69" i="15" a="1"/>
  <c r="AC40" i="8" a="1"/>
  <c r="AC19" i="8" a="1"/>
  <c r="AC22" i="8" a="1"/>
  <c r="AA33" i="15" a="1"/>
  <c r="AH55" i="15" a="1"/>
  <c r="AA30" i="15" a="1"/>
  <c r="AK62" i="15" a="1"/>
  <c r="AA35" i="15" a="1"/>
  <c r="AA10" i="15" a="1"/>
  <c r="AA36" i="15" a="1"/>
  <c r="AK56" i="15" a="1"/>
  <c r="AJ67" i="15" a="1"/>
  <c r="AH71" i="15" a="1"/>
  <c r="AI69" i="15" a="1"/>
  <c r="AC28" i="8" a="1"/>
  <c r="AA23" i="15" a="1"/>
  <c r="AA16" i="15" a="1"/>
  <c r="AA34" i="15" a="1"/>
  <c r="AI61" i="15" a="1"/>
  <c r="AA42" i="15" a="1"/>
  <c r="AJ61" i="15" a="1"/>
  <c r="AA27" i="15" a="1"/>
  <c r="AK54" i="15" a="1"/>
  <c r="AH67" i="15" a="1"/>
  <c r="AI54" i="15" a="1"/>
  <c r="AH59" i="15" a="1"/>
  <c r="AC6" i="8" a="1"/>
  <c r="AC16" i="8" a="1"/>
  <c r="Z56" i="15" a="1"/>
  <c r="AJ57" i="15" a="1"/>
  <c r="AA44" i="15" a="1"/>
  <c r="Z67" i="15" a="1"/>
  <c r="AA52" i="15" a="1"/>
  <c r="AA9" i="15" a="1"/>
  <c r="Z62" i="15" a="1"/>
  <c r="AA51" i="15" a="1"/>
  <c r="AI58" i="15" a="1"/>
  <c r="AJ54" i="15" a="1"/>
  <c r="AC36" i="8" a="1"/>
  <c r="AI63" i="15" a="1"/>
  <c r="AA18" i="15" a="1"/>
  <c r="AC29" i="8" a="1"/>
  <c r="AF152" i="2" l="1"/>
  <c r="AF150" i="2"/>
  <c r="AN150" i="2"/>
  <c r="AO276" i="2"/>
  <c r="AF220" i="2"/>
  <c r="AA13" i="15"/>
  <c r="AA20" i="15"/>
  <c r="AA31" i="15"/>
  <c r="AA8" i="15"/>
  <c r="AA2" i="15"/>
  <c r="AK61" i="15"/>
  <c r="AK59" i="15"/>
  <c r="AK69" i="15"/>
  <c r="AA5" i="15"/>
  <c r="AA51" i="15"/>
  <c r="Z65" i="15"/>
  <c r="AK54" i="15"/>
  <c r="AK56" i="15"/>
  <c r="AA24" i="15"/>
  <c r="Z59" i="15"/>
  <c r="AK57" i="15"/>
  <c r="AA37" i="15"/>
  <c r="AA48" i="15"/>
  <c r="Z61" i="15"/>
  <c r="AK70" i="15"/>
  <c r="Z63" i="15"/>
  <c r="AA15" i="15"/>
  <c r="AA28" i="15"/>
  <c r="AA16" i="15"/>
  <c r="AA21" i="15"/>
  <c r="Z62" i="15"/>
  <c r="AA32" i="15"/>
  <c r="AA27" i="15"/>
  <c r="AA36" i="15"/>
  <c r="Z71" i="15"/>
  <c r="AJ60" i="15"/>
  <c r="AK63" i="15"/>
  <c r="Z60" i="15"/>
  <c r="AA29" i="15"/>
  <c r="AA43" i="15"/>
  <c r="AA53" i="15"/>
  <c r="AA19" i="15"/>
  <c r="Z69" i="15"/>
  <c r="AI60" i="15"/>
  <c r="Z58" i="15"/>
  <c r="AK66" i="15"/>
  <c r="AA9" i="15"/>
  <c r="AA22" i="15"/>
  <c r="AJ61" i="15"/>
  <c r="AA10" i="15"/>
  <c r="AK68" i="15"/>
  <c r="Z55" i="15"/>
  <c r="AK67" i="15"/>
  <c r="Z70" i="15"/>
  <c r="AA50" i="15"/>
  <c r="AA39" i="15"/>
  <c r="Z66" i="15"/>
  <c r="AK60" i="15"/>
  <c r="AA14" i="15"/>
  <c r="AK71" i="15"/>
  <c r="AK64" i="15"/>
  <c r="AA45" i="15"/>
  <c r="AA52" i="15"/>
  <c r="AA33" i="15"/>
  <c r="AA42" i="15"/>
  <c r="AA35" i="15"/>
  <c r="AA17" i="15"/>
  <c r="AA12" i="15"/>
  <c r="Z57" i="15"/>
  <c r="Z68" i="15"/>
  <c r="AH61" i="15"/>
  <c r="AK58" i="15"/>
  <c r="AA4" i="15"/>
  <c r="AA49" i="15"/>
  <c r="AA46" i="15"/>
  <c r="AA11" i="15"/>
  <c r="AA6" i="15"/>
  <c r="AK65" i="15"/>
  <c r="Z67" i="15"/>
  <c r="Z56" i="15"/>
  <c r="AI61" i="15"/>
  <c r="AK62" i="15"/>
  <c r="AA40" i="15"/>
  <c r="AA47" i="15"/>
  <c r="AA7" i="15"/>
  <c r="AH60" i="15"/>
  <c r="AA26" i="15"/>
  <c r="Z64" i="15"/>
  <c r="Z54" i="15"/>
  <c r="AK55" i="15"/>
  <c r="AA38" i="15"/>
  <c r="AC18" i="8"/>
  <c r="AA18" i="15"/>
  <c r="AA25" i="15"/>
  <c r="AA44" i="15"/>
  <c r="AA23" i="15"/>
  <c r="AA34" i="15"/>
  <c r="AA30" i="15"/>
  <c r="AA41" i="15"/>
  <c r="AH63" i="15"/>
  <c r="AF66" i="15"/>
  <c r="AF67" i="15"/>
  <c r="AH64" i="15"/>
  <c r="AF59" i="15"/>
  <c r="AI63" i="15"/>
  <c r="AF65" i="15"/>
  <c r="AF70" i="15"/>
  <c r="AH59" i="15"/>
  <c r="AF63" i="15"/>
  <c r="AJ69" i="15"/>
  <c r="AF57" i="15"/>
  <c r="AF61" i="15"/>
  <c r="AH65" i="15"/>
  <c r="AH68" i="15"/>
  <c r="AF54" i="15"/>
  <c r="AJ63" i="15"/>
  <c r="AF64" i="15"/>
  <c r="AF60" i="15"/>
  <c r="AF58" i="15"/>
  <c r="AF68" i="15"/>
  <c r="AF53" i="15"/>
  <c r="AF55" i="15"/>
  <c r="AJ71" i="15"/>
  <c r="AF56" i="15"/>
  <c r="AI69" i="15"/>
  <c r="AI67" i="15"/>
  <c r="AI57" i="15"/>
  <c r="AJ65" i="15"/>
  <c r="AI56" i="15"/>
  <c r="AJ58" i="15"/>
  <c r="AF62" i="15"/>
  <c r="AH70" i="15"/>
  <c r="AI66" i="15"/>
  <c r="AH57" i="15"/>
  <c r="AJ62" i="15"/>
  <c r="AI59" i="15"/>
  <c r="AI55" i="15"/>
  <c r="AJ54" i="15"/>
  <c r="AJ57" i="15"/>
  <c r="AI54" i="15"/>
  <c r="AH71" i="15"/>
  <c r="AJ55" i="15"/>
  <c r="AH56" i="15"/>
  <c r="AJ70" i="15"/>
  <c r="AH66" i="15"/>
  <c r="AI64" i="15"/>
  <c r="AI70" i="15"/>
  <c r="AJ56" i="15"/>
  <c r="AH54" i="15"/>
  <c r="AI68" i="15"/>
  <c r="AH62" i="15"/>
  <c r="AI65" i="15"/>
  <c r="AJ64" i="15"/>
  <c r="AI58" i="15"/>
  <c r="AH55" i="15"/>
  <c r="AH67" i="15"/>
  <c r="AJ67" i="15"/>
  <c r="AH58" i="15"/>
  <c r="AI62" i="15"/>
  <c r="AH69" i="15"/>
  <c r="AI71" i="15"/>
  <c r="AJ68" i="15"/>
  <c r="AJ66" i="15"/>
  <c r="AJ59" i="15"/>
  <c r="AF69" i="15"/>
  <c r="AG63" i="2"/>
  <c r="AG64" i="2"/>
  <c r="AH63" i="2"/>
  <c r="AG59" i="2"/>
  <c r="AG65" i="2"/>
  <c r="AN63" i="2"/>
  <c r="AG68" i="2"/>
  <c r="AI63" i="2"/>
  <c r="AF71" i="2"/>
  <c r="AH69" i="2"/>
  <c r="L12" i="11"/>
  <c r="AH57" i="2"/>
  <c r="AO59" i="2"/>
  <c r="AH56" i="2"/>
  <c r="AF58" i="2"/>
  <c r="AG70" i="2"/>
  <c r="AH66" i="2"/>
  <c r="AG57" i="2"/>
  <c r="AI62" i="2"/>
  <c r="AO69" i="2"/>
  <c r="AH59" i="2"/>
  <c r="AH55" i="2"/>
  <c r="AI57" i="2"/>
  <c r="AH54" i="2"/>
  <c r="AF69" i="2"/>
  <c r="AF63" i="2"/>
  <c r="AG71" i="2"/>
  <c r="AF55" i="2"/>
  <c r="AG56" i="2"/>
  <c r="AI69" i="2"/>
  <c r="AG66" i="2"/>
  <c r="AH64" i="2"/>
  <c r="AH70" i="2"/>
  <c r="AF56" i="2"/>
  <c r="AG54" i="2"/>
  <c r="AH68" i="2"/>
  <c r="AG62" i="2"/>
  <c r="AH65" i="2"/>
  <c r="AI64" i="2"/>
  <c r="AH58" i="2"/>
  <c r="AG55" i="2"/>
  <c r="AH32" i="11"/>
  <c r="L11" i="11"/>
  <c r="AG58" i="2"/>
  <c r="AH62" i="2"/>
  <c r="AG69" i="2"/>
  <c r="AH71" i="2"/>
  <c r="AF68" i="2"/>
  <c r="AI66" i="2"/>
  <c r="AI59" i="2"/>
  <c r="AC17" i="8"/>
  <c r="AC16" i="8"/>
  <c r="AC22" i="8"/>
  <c r="AC19" i="8"/>
  <c r="AC45" i="8"/>
  <c r="AC47" i="8"/>
  <c r="AC4" i="8"/>
  <c r="AC30" i="8"/>
  <c r="AC41" i="8"/>
  <c r="AC33" i="8"/>
  <c r="AC14" i="8"/>
  <c r="AC25" i="8"/>
  <c r="AC10" i="8"/>
  <c r="AC29" i="8"/>
  <c r="AC11" i="8"/>
  <c r="AC36" i="8"/>
  <c r="AC13" i="8"/>
  <c r="AC6" i="8"/>
  <c r="AC28" i="8"/>
  <c r="AC40" i="8"/>
  <c r="AC5" i="8"/>
  <c r="AC42" i="8"/>
  <c r="AC15" i="8"/>
  <c r="AC12" i="8"/>
  <c r="AC7" i="8"/>
  <c r="AO121" i="2"/>
  <c r="AN214" i="2"/>
  <c r="AO161" i="2"/>
  <c r="AF141" i="2"/>
  <c r="AO134" i="2"/>
  <c r="AO88" i="2"/>
  <c r="AF111" i="2"/>
  <c r="AN154" i="2"/>
  <c r="AF215" i="2"/>
  <c r="AN215" i="2"/>
  <c r="AI253" i="2"/>
  <c r="AF139" i="2"/>
  <c r="AO236" i="2"/>
  <c r="AI176" i="2"/>
  <c r="AN71" i="2"/>
  <c r="AF194" i="2"/>
  <c r="AN94" i="2"/>
  <c r="AN280" i="2"/>
  <c r="AF80" i="2"/>
  <c r="AI145" i="2"/>
  <c r="AI89" i="2"/>
  <c r="AN145" i="2"/>
  <c r="AO145" i="2"/>
  <c r="AN81" i="2"/>
  <c r="AN253" i="2"/>
  <c r="AF94" i="2"/>
  <c r="AO89" i="2"/>
  <c r="AN107" i="2"/>
  <c r="AF295" i="2"/>
  <c r="AO216" i="2"/>
  <c r="AO159" i="2"/>
  <c r="AI137" i="2"/>
  <c r="AF274" i="2"/>
  <c r="AF82" i="2"/>
  <c r="AN104" i="2"/>
  <c r="AO137" i="2"/>
  <c r="AI240" i="2"/>
  <c r="AF127" i="2"/>
  <c r="AF146" i="2"/>
  <c r="AN246" i="2"/>
  <c r="AF266" i="2"/>
  <c r="AF143" i="2"/>
  <c r="AI154" i="2"/>
  <c r="AN229" i="2"/>
  <c r="AN155" i="2"/>
  <c r="AO146" i="2"/>
  <c r="AF211" i="2"/>
  <c r="AO295" i="2"/>
  <c r="AF212" i="2"/>
  <c r="AI155" i="2"/>
  <c r="AN188" i="2"/>
  <c r="AI259" i="2"/>
  <c r="AI278" i="2"/>
  <c r="AO176" i="2"/>
  <c r="AI136" i="2"/>
  <c r="AI129" i="2"/>
  <c r="AN62" i="2"/>
  <c r="AF62" i="2"/>
  <c r="AI179" i="2"/>
  <c r="AI107" i="2"/>
  <c r="AO259" i="2"/>
  <c r="AF192" i="2"/>
  <c r="AF254" i="2"/>
  <c r="AN130" i="2"/>
  <c r="AO115" i="2"/>
  <c r="AF204" i="2"/>
  <c r="AI58" i="2"/>
  <c r="AN128" i="2"/>
  <c r="AI157" i="2"/>
  <c r="AN204" i="2"/>
  <c r="AF276" i="2"/>
  <c r="AO112" i="2"/>
  <c r="AN173" i="2"/>
  <c r="AI159" i="2"/>
  <c r="AO64" i="2"/>
  <c r="AO194" i="2"/>
  <c r="AO239" i="2"/>
  <c r="AI173" i="2"/>
  <c r="AI115" i="2"/>
  <c r="AN279" i="2"/>
  <c r="AI224" i="2"/>
  <c r="AN129" i="2"/>
  <c r="AO278" i="2"/>
  <c r="AI104" i="2"/>
  <c r="AN254" i="2"/>
  <c r="AN157" i="2"/>
  <c r="AI280" i="2"/>
  <c r="AN220" i="2"/>
  <c r="AN127" i="2"/>
  <c r="AF130" i="2"/>
  <c r="AI128" i="2"/>
  <c r="AO126" i="2"/>
  <c r="AI239" i="2"/>
  <c r="AF81" i="2"/>
  <c r="AI221" i="2"/>
  <c r="AO105" i="2"/>
  <c r="AF133" i="2"/>
  <c r="AO267" i="2"/>
  <c r="AO133" i="2"/>
  <c r="AF105" i="2"/>
  <c r="AI105" i="2"/>
  <c r="AO212" i="2"/>
  <c r="AI291" i="2"/>
  <c r="AO221" i="2"/>
  <c r="AF214" i="2"/>
  <c r="AF151" i="2"/>
  <c r="AO82" i="2"/>
  <c r="AN151" i="2"/>
  <c r="AO111" i="2"/>
  <c r="AN111" i="2"/>
  <c r="AN57" i="2"/>
  <c r="AO84" i="2"/>
  <c r="AI68" i="2"/>
  <c r="AO87" i="2"/>
  <c r="AO268" i="2"/>
  <c r="AO58" i="2"/>
  <c r="AF123" i="2"/>
  <c r="AF112" i="2"/>
  <c r="AF57" i="2"/>
  <c r="AI209" i="2"/>
  <c r="AI92" i="2"/>
  <c r="AF91" i="2"/>
  <c r="AO143" i="2"/>
  <c r="AI279" i="2"/>
  <c r="AN123" i="2"/>
  <c r="AI229" i="2"/>
  <c r="AI207" i="2"/>
  <c r="AO291" i="2"/>
  <c r="AJ234" i="2"/>
  <c r="AN234" i="2" s="1"/>
  <c r="AO68" i="2"/>
  <c r="AO209" i="2"/>
  <c r="Z234" i="2"/>
  <c r="AF246" i="2"/>
  <c r="AA234" i="2"/>
  <c r="AC234" i="2"/>
  <c r="AH234" i="2" s="1"/>
  <c r="AF88" i="2"/>
  <c r="AO293" i="2"/>
  <c r="AD234" i="2"/>
  <c r="AO177" i="2"/>
  <c r="AN92" i="2"/>
  <c r="AF216" i="2"/>
  <c r="AF241" i="2"/>
  <c r="AO241" i="2"/>
  <c r="AI302" i="2"/>
  <c r="AO192" i="2"/>
  <c r="AO255" i="2"/>
  <c r="AN136" i="2"/>
  <c r="AI148" i="2"/>
  <c r="AN91" i="2"/>
  <c r="AF126" i="2"/>
  <c r="AI261" i="2"/>
  <c r="AO208" i="2"/>
  <c r="AI99" i="2"/>
  <c r="AN224" i="2"/>
  <c r="AF64" i="2"/>
  <c r="AO261" i="2"/>
  <c r="AF177" i="2"/>
  <c r="AE234" i="2"/>
  <c r="AF234" i="2" s="1"/>
  <c r="AO175" i="2"/>
  <c r="AO240" i="2"/>
  <c r="AI228" i="2"/>
  <c r="AO296" i="2"/>
  <c r="AN148" i="2"/>
  <c r="AN228" i="2"/>
  <c r="AI167" i="2"/>
  <c r="AN290" i="2"/>
  <c r="AF236" i="2"/>
  <c r="Z93" i="2"/>
  <c r="AC93" i="2"/>
  <c r="AH93" i="2" s="1"/>
  <c r="AI268" i="2"/>
  <c r="AI208" i="2"/>
  <c r="AI84" i="2"/>
  <c r="AF114" i="2"/>
  <c r="AO302" i="2"/>
  <c r="AN167" i="2"/>
  <c r="AF256" i="2"/>
  <c r="AF225" i="2"/>
  <c r="AI195" i="2"/>
  <c r="AI244" i="2"/>
  <c r="AN217" i="2"/>
  <c r="AF122" i="2"/>
  <c r="AI56" i="2"/>
  <c r="AF285" i="2"/>
  <c r="AO273" i="2"/>
  <c r="AI260" i="2"/>
  <c r="AF265" i="2"/>
  <c r="AO284" i="2"/>
  <c r="AN141" i="2"/>
  <c r="AO265" i="2"/>
  <c r="AI169" i="2"/>
  <c r="AI293" i="2"/>
  <c r="AF106" i="2"/>
  <c r="AF163" i="2"/>
  <c r="AI158" i="2"/>
  <c r="AN98" i="2"/>
  <c r="AF218" i="2"/>
  <c r="AN274" i="2"/>
  <c r="AI296" i="2"/>
  <c r="AI98" i="2"/>
  <c r="AO195" i="2"/>
  <c r="AI255" i="2"/>
  <c r="AF191" i="2"/>
  <c r="AN213" i="2"/>
  <c r="AF284" i="2"/>
  <c r="AI153" i="2"/>
  <c r="AN191" i="2"/>
  <c r="AN113" i="2"/>
  <c r="AI186" i="2"/>
  <c r="AI178" i="2"/>
  <c r="AI96" i="2"/>
  <c r="AI182" i="2"/>
  <c r="AO114" i="2"/>
  <c r="AC281" i="2"/>
  <c r="AH281" i="2" s="1"/>
  <c r="AI193" i="2"/>
  <c r="AO186" i="2"/>
  <c r="AI67" i="2"/>
  <c r="AD36" i="11" s="1"/>
  <c r="AE36" i="11" s="1"/>
  <c r="AF132" i="2"/>
  <c r="AN260" i="2"/>
  <c r="AN222" i="2"/>
  <c r="AO179" i="2"/>
  <c r="AI140" i="2"/>
  <c r="AD93" i="2"/>
  <c r="AN67" i="2"/>
  <c r="P24" i="11" s="1"/>
  <c r="AE93" i="2"/>
  <c r="AI93" i="2" s="1"/>
  <c r="AI290" i="2"/>
  <c r="AB93" i="2"/>
  <c r="AG93" i="2" s="1"/>
  <c r="Z74" i="2"/>
  <c r="AI54" i="2"/>
  <c r="AF54" i="2"/>
  <c r="AI200" i="2"/>
  <c r="AO218" i="2"/>
  <c r="AJ93" i="2"/>
  <c r="AN93" i="2" s="1"/>
  <c r="AO96" i="2"/>
  <c r="AF267" i="2"/>
  <c r="AF273" i="2"/>
  <c r="AO283" i="2"/>
  <c r="AI124" i="2"/>
  <c r="AI223" i="2"/>
  <c r="AI283" i="2"/>
  <c r="AN223" i="2"/>
  <c r="AI90" i="2"/>
  <c r="AF90" i="2"/>
  <c r="AO225" i="2"/>
  <c r="AO164" i="2"/>
  <c r="AI187" i="2"/>
  <c r="AF67" i="2"/>
  <c r="AF201" i="2"/>
  <c r="AN182" i="2"/>
  <c r="AN158" i="2"/>
  <c r="AH36" i="11"/>
  <c r="AO90" i="2"/>
  <c r="AN90" i="2"/>
  <c r="AI100" i="2"/>
  <c r="AO233" i="2"/>
  <c r="AI120" i="2"/>
  <c r="AN140" i="2"/>
  <c r="AN122" i="2"/>
  <c r="AN56" i="2"/>
  <c r="AF213" i="2"/>
  <c r="AI213" i="2"/>
  <c r="AI248" i="2"/>
  <c r="AI174" i="2"/>
  <c r="AH37" i="11"/>
  <c r="AN124" i="2"/>
  <c r="AO124" i="2"/>
  <c r="AJ257" i="2"/>
  <c r="AO257" i="2" s="1"/>
  <c r="AB172" i="2"/>
  <c r="AG172" i="2" s="1"/>
  <c r="AF294" i="2"/>
  <c r="AN97" i="2"/>
  <c r="AO97" i="2"/>
  <c r="AH67" i="2"/>
  <c r="K12" i="11" s="1"/>
  <c r="AN132" i="2"/>
  <c r="AI113" i="2"/>
  <c r="AI233" i="2"/>
  <c r="AF197" i="2"/>
  <c r="AN244" i="2"/>
  <c r="AF95" i="2"/>
  <c r="AO256" i="2"/>
  <c r="AN256" i="2"/>
  <c r="AI222" i="2"/>
  <c r="AI188" i="2"/>
  <c r="L10" i="11"/>
  <c r="AN304" i="2"/>
  <c r="AO289" i="2"/>
  <c r="AG67" i="2"/>
  <c r="AF32" i="11" s="1"/>
  <c r="AN163" i="2"/>
  <c r="AO248" i="2"/>
  <c r="AO95" i="2"/>
  <c r="AN120" i="2"/>
  <c r="AO193" i="2"/>
  <c r="AO178" i="2"/>
  <c r="AN165" i="2"/>
  <c r="AO201" i="2"/>
  <c r="AN294" i="2"/>
  <c r="AF97" i="2"/>
  <c r="AI97" i="2"/>
  <c r="AF131" i="2"/>
  <c r="AI131" i="2"/>
  <c r="AF199" i="2"/>
  <c r="AI199" i="2"/>
  <c r="AF217" i="2"/>
  <c r="AI217" i="2"/>
  <c r="AN169" i="2"/>
  <c r="AO169" i="2"/>
  <c r="AN77" i="2"/>
  <c r="AO83" i="2"/>
  <c r="AN83" i="2"/>
  <c r="AN275" i="2"/>
  <c r="AF83" i="2"/>
  <c r="AI83" i="2"/>
  <c r="AN174" i="2"/>
  <c r="AO174" i="2"/>
  <c r="AO300" i="2"/>
  <c r="AN300" i="2"/>
  <c r="AN298" i="2"/>
  <c r="AO298" i="2"/>
  <c r="AI55" i="2"/>
  <c r="AF165" i="2"/>
  <c r="AI165" i="2"/>
  <c r="AI298" i="2"/>
  <c r="AF298" i="2"/>
  <c r="AA226" i="2"/>
  <c r="AJ172" i="2"/>
  <c r="AO172" i="2" s="1"/>
  <c r="AJ226" i="2"/>
  <c r="AN226" i="2" s="1"/>
  <c r="AC226" i="2"/>
  <c r="AH226" i="2" s="1"/>
  <c r="AO144" i="2"/>
  <c r="AO187" i="2"/>
  <c r="AF164" i="2"/>
  <c r="AB226" i="2"/>
  <c r="AG226" i="2" s="1"/>
  <c r="AI77" i="2"/>
  <c r="AF144" i="2"/>
  <c r="AC172" i="2"/>
  <c r="AH172" i="2" s="1"/>
  <c r="AE226" i="2"/>
  <c r="AF226" i="2" s="1"/>
  <c r="AE172" i="2"/>
  <c r="AI172" i="2" s="1"/>
  <c r="Z172" i="2"/>
  <c r="AN200" i="2"/>
  <c r="AA172" i="2"/>
  <c r="AN131" i="2"/>
  <c r="AO131" i="2"/>
  <c r="AN199" i="2"/>
  <c r="AO199" i="2"/>
  <c r="AF170" i="2"/>
  <c r="AI170" i="2"/>
  <c r="AN72" i="2"/>
  <c r="AO72" i="2"/>
  <c r="AF79" i="2"/>
  <c r="AO297" i="2"/>
  <c r="AN297" i="2"/>
  <c r="AO106" i="2"/>
  <c r="AO170" i="2"/>
  <c r="AN170" i="2"/>
  <c r="AF142" i="2"/>
  <c r="AI142" i="2"/>
  <c r="AF289" i="2"/>
  <c r="AD110" i="2"/>
  <c r="AO85" i="2"/>
  <c r="AN85" i="2"/>
  <c r="AI304" i="2"/>
  <c r="AO156" i="2"/>
  <c r="AJ74" i="2"/>
  <c r="AN74" i="2" s="1"/>
  <c r="AF300" i="2"/>
  <c r="AI300" i="2"/>
  <c r="AO142" i="2"/>
  <c r="AN142" i="2"/>
  <c r="AF134" i="2"/>
  <c r="AB281" i="2"/>
  <c r="AG281" i="2" s="1"/>
  <c r="AD226" i="2"/>
  <c r="AO66" i="2"/>
  <c r="AF72" i="2"/>
  <c r="AI72" i="2"/>
  <c r="Z110" i="2"/>
  <c r="AO230" i="2"/>
  <c r="AO65" i="2"/>
  <c r="AA257" i="2"/>
  <c r="AB110" i="2"/>
  <c r="AG110" i="2" s="1"/>
  <c r="AI303" i="2"/>
  <c r="AF303" i="2"/>
  <c r="AJ110" i="2"/>
  <c r="AN110" i="2" s="1"/>
  <c r="AD281" i="2"/>
  <c r="AA281" i="2"/>
  <c r="AF156" i="2"/>
  <c r="AF301" i="2"/>
  <c r="AI301" i="2"/>
  <c r="AA102" i="2"/>
  <c r="AC110" i="2"/>
  <c r="AH110" i="2" s="1"/>
  <c r="AO264" i="2"/>
  <c r="AN264" i="2"/>
  <c r="AJ281" i="2"/>
  <c r="AN281" i="2" s="1"/>
  <c r="AA110" i="2"/>
  <c r="AF85" i="2"/>
  <c r="AI85" i="2"/>
  <c r="AF297" i="2"/>
  <c r="AI297" i="2"/>
  <c r="AI264" i="2"/>
  <c r="AF264" i="2"/>
  <c r="AO207" i="2"/>
  <c r="AF275" i="2"/>
  <c r="AI275" i="2"/>
  <c r="AO301" i="2"/>
  <c r="AN301" i="2"/>
  <c r="AO197" i="2"/>
  <c r="AI206" i="2"/>
  <c r="AF206" i="2"/>
  <c r="AF66" i="2"/>
  <c r="AJ286" i="2"/>
  <c r="AN286" i="2" s="1"/>
  <c r="AI202" i="2"/>
  <c r="AN303" i="2"/>
  <c r="AO303" i="2"/>
  <c r="AJ102" i="2"/>
  <c r="AN102" i="2" s="1"/>
  <c r="AC257" i="2"/>
  <c r="AH257" i="2" s="1"/>
  <c r="AN206" i="2"/>
  <c r="AO206" i="2"/>
  <c r="AE102" i="2"/>
  <c r="AI102" i="2" s="1"/>
  <c r="AD102" i="2"/>
  <c r="AC102" i="2"/>
  <c r="AH102" i="2" s="1"/>
  <c r="AA205" i="2"/>
  <c r="AE205" i="2"/>
  <c r="AC205" i="2"/>
  <c r="AH205" i="2" s="1"/>
  <c r="AD205" i="2"/>
  <c r="Z205" i="2"/>
  <c r="AJ205" i="2"/>
  <c r="AB205" i="2"/>
  <c r="AG205" i="2" s="1"/>
  <c r="AA118" i="2"/>
  <c r="AD118" i="2"/>
  <c r="AC118" i="2"/>
  <c r="AH118" i="2" s="1"/>
  <c r="Z118" i="2"/>
  <c r="AE118" i="2"/>
  <c r="AB118" i="2"/>
  <c r="AG118" i="2" s="1"/>
  <c r="AJ118" i="2"/>
  <c r="Z281" i="2"/>
  <c r="AA198" i="2"/>
  <c r="AB198" i="2"/>
  <c r="AG198" i="2" s="1"/>
  <c r="AC198" i="2"/>
  <c r="AH198" i="2" s="1"/>
  <c r="AJ198" i="2"/>
  <c r="Z198" i="2"/>
  <c r="AE198" i="2"/>
  <c r="AD198" i="2"/>
  <c r="AO242" i="2"/>
  <c r="AN242" i="2"/>
  <c r="AN190" i="2"/>
  <c r="AO190" i="2"/>
  <c r="AI203" i="2"/>
  <c r="AF203" i="2"/>
  <c r="AN263" i="2"/>
  <c r="AO263" i="2"/>
  <c r="AN235" i="2"/>
  <c r="AO235" i="2"/>
  <c r="AO183" i="2"/>
  <c r="AN183" i="2"/>
  <c r="AN203" i="2"/>
  <c r="AO203" i="2"/>
  <c r="Z269" i="2"/>
  <c r="AJ269" i="2"/>
  <c r="AB269" i="2"/>
  <c r="AG269" i="2" s="1"/>
  <c r="AD269" i="2"/>
  <c r="AA269" i="2"/>
  <c r="AC269" i="2"/>
  <c r="AH269" i="2" s="1"/>
  <c r="AI125" i="2"/>
  <c r="AF125" i="2"/>
  <c r="AN219" i="2"/>
  <c r="AO219" i="2"/>
  <c r="AO184" i="2"/>
  <c r="AN184" i="2"/>
  <c r="AE269" i="2"/>
  <c r="AF189" i="2"/>
  <c r="AI189" i="2"/>
  <c r="AI258" i="2"/>
  <c r="AF258" i="2"/>
  <c r="AN125" i="2"/>
  <c r="AO125" i="2"/>
  <c r="AI219" i="2"/>
  <c r="AF219" i="2"/>
  <c r="AE281" i="2"/>
  <c r="AF281" i="2" s="1"/>
  <c r="AB102" i="2"/>
  <c r="AG102" i="2" s="1"/>
  <c r="AN180" i="2"/>
  <c r="AO180" i="2"/>
  <c r="AN119" i="2"/>
  <c r="AO119" i="2"/>
  <c r="AI183" i="2"/>
  <c r="AF183" i="2"/>
  <c r="AF109" i="2"/>
  <c r="AI109" i="2"/>
  <c r="AF263" i="2"/>
  <c r="AI263" i="2"/>
  <c r="AO202" i="2"/>
  <c r="AN202" i="2"/>
  <c r="AI108" i="2"/>
  <c r="AF108" i="2"/>
  <c r="AO189" i="2"/>
  <c r="AN189" i="2"/>
  <c r="AN282" i="2"/>
  <c r="AO282" i="2"/>
  <c r="AN109" i="2"/>
  <c r="AO109" i="2"/>
  <c r="AF235" i="2"/>
  <c r="AI235" i="2"/>
  <c r="AE74" i="2"/>
  <c r="AF74" i="2" s="1"/>
  <c r="AO135" i="2"/>
  <c r="AN135" i="2"/>
  <c r="AN79" i="2"/>
  <c r="AO79" i="2"/>
  <c r="AO232" i="2"/>
  <c r="AN232" i="2"/>
  <c r="AC74" i="2"/>
  <c r="AH74" i="2" s="1"/>
  <c r="AB185" i="2"/>
  <c r="AG185" i="2" s="1"/>
  <c r="AE185" i="2"/>
  <c r="AC185" i="2"/>
  <c r="AH185" i="2" s="1"/>
  <c r="AJ185" i="2"/>
  <c r="AA185" i="2"/>
  <c r="Z185" i="2"/>
  <c r="AD185" i="2"/>
  <c r="AF287" i="2"/>
  <c r="AI287" i="2"/>
  <c r="AI232" i="2"/>
  <c r="AF232" i="2"/>
  <c r="AF119" i="2"/>
  <c r="AI119" i="2"/>
  <c r="AF282" i="2"/>
  <c r="AI282" i="2"/>
  <c r="AD74" i="2"/>
  <c r="AO227" i="2"/>
  <c r="AN227" i="2"/>
  <c r="AN287" i="2"/>
  <c r="AO287" i="2"/>
  <c r="AF190" i="2"/>
  <c r="AI190" i="2"/>
  <c r="AO251" i="2"/>
  <c r="AN251" i="2"/>
  <c r="AB74" i="2"/>
  <c r="AG74" i="2" s="1"/>
  <c r="AA74" i="2"/>
  <c r="AC231" i="2"/>
  <c r="AH231" i="2" s="1"/>
  <c r="Z231" i="2"/>
  <c r="AJ231" i="2"/>
  <c r="AB231" i="2"/>
  <c r="AG231" i="2" s="1"/>
  <c r="AA231" i="2"/>
  <c r="AD231" i="2"/>
  <c r="AE231" i="2"/>
  <c r="AO258" i="2"/>
  <c r="AN258" i="2"/>
  <c r="AI180" i="2"/>
  <c r="AF180" i="2"/>
  <c r="AI251" i="2"/>
  <c r="AF251" i="2"/>
  <c r="AF184" i="2"/>
  <c r="AI184" i="2"/>
  <c r="AI135" i="2"/>
  <c r="AF135" i="2"/>
  <c r="AF227" i="2"/>
  <c r="AI227" i="2"/>
  <c r="AN108" i="2"/>
  <c r="AO108" i="2"/>
  <c r="AI242" i="2"/>
  <c r="AF242" i="2"/>
  <c r="AF65" i="2"/>
  <c r="AI65" i="2"/>
  <c r="AJ299" i="2"/>
  <c r="AC299" i="2"/>
  <c r="AH299" i="2" s="1"/>
  <c r="AD299" i="2"/>
  <c r="Z299" i="2"/>
  <c r="AA299" i="2"/>
  <c r="AB299" i="2"/>
  <c r="AG299" i="2" s="1"/>
  <c r="AE299" i="2"/>
  <c r="Z252" i="2"/>
  <c r="AC252" i="2"/>
  <c r="AH252" i="2" s="1"/>
  <c r="AA252" i="2"/>
  <c r="AE252" i="2"/>
  <c r="AD252" i="2"/>
  <c r="AB252" i="2"/>
  <c r="AG252" i="2" s="1"/>
  <c r="AJ252" i="2"/>
  <c r="AN78" i="2"/>
  <c r="AO78" i="2"/>
  <c r="AB149" i="2"/>
  <c r="AG149" i="2" s="1"/>
  <c r="AA149" i="2"/>
  <c r="AJ149" i="2"/>
  <c r="AC149" i="2"/>
  <c r="AH149" i="2" s="1"/>
  <c r="Z149" i="2"/>
  <c r="AE149" i="2"/>
  <c r="AD149" i="2"/>
  <c r="AN171" i="2"/>
  <c r="AO171" i="2"/>
  <c r="AI181" i="2"/>
  <c r="AF181" i="2"/>
  <c r="AN250" i="2"/>
  <c r="AO250" i="2"/>
  <c r="AB138" i="2"/>
  <c r="AG138" i="2" s="1"/>
  <c r="AA138" i="2"/>
  <c r="AJ138" i="2"/>
  <c r="Z138" i="2"/>
  <c r="AE138" i="2"/>
  <c r="AC138" i="2"/>
  <c r="AH138" i="2" s="1"/>
  <c r="AD138" i="2"/>
  <c r="AF250" i="2"/>
  <c r="AI250" i="2"/>
  <c r="AO243" i="2"/>
  <c r="AN243" i="2"/>
  <c r="AN277" i="2"/>
  <c r="AO277" i="2"/>
  <c r="AN247" i="2"/>
  <c r="AO247" i="2"/>
  <c r="AF243" i="2"/>
  <c r="AI243" i="2"/>
  <c r="AI166" i="2"/>
  <c r="AF166" i="2"/>
  <c r="AI270" i="2"/>
  <c r="AF270" i="2"/>
  <c r="AO270" i="2"/>
  <c r="AN270" i="2"/>
  <c r="AJ272" i="2"/>
  <c r="Z272" i="2"/>
  <c r="AC272" i="2"/>
  <c r="AH272" i="2" s="1"/>
  <c r="AA272" i="2"/>
  <c r="AD272" i="2"/>
  <c r="AB272" i="2"/>
  <c r="AG272" i="2" s="1"/>
  <c r="AE272" i="2"/>
  <c r="AO292" i="2"/>
  <c r="AN292" i="2"/>
  <c r="AO166" i="2"/>
  <c r="AN166" i="2"/>
  <c r="AI305" i="2"/>
  <c r="AF305" i="2"/>
  <c r="AE286" i="2"/>
  <c r="AC286" i="2"/>
  <c r="AH286" i="2" s="1"/>
  <c r="Z286" i="2"/>
  <c r="AB286" i="2"/>
  <c r="AG286" i="2" s="1"/>
  <c r="AA286" i="2"/>
  <c r="AD286" i="2"/>
  <c r="AI101" i="2"/>
  <c r="AF101" i="2"/>
  <c r="AI147" i="2"/>
  <c r="AF147" i="2"/>
  <c r="AJ238" i="2"/>
  <c r="AD238" i="2"/>
  <c r="AE238" i="2"/>
  <c r="AC238" i="2"/>
  <c r="AH238" i="2" s="1"/>
  <c r="AB238" i="2"/>
  <c r="AG238" i="2" s="1"/>
  <c r="Z238" i="2"/>
  <c r="AA238" i="2"/>
  <c r="AF116" i="2"/>
  <c r="AI116" i="2"/>
  <c r="AF103" i="2"/>
  <c r="AI103" i="2"/>
  <c r="AN305" i="2"/>
  <c r="AO305" i="2"/>
  <c r="AO101" i="2"/>
  <c r="AN101" i="2"/>
  <c r="AF292" i="2"/>
  <c r="AI292" i="2"/>
  <c r="AN117" i="2"/>
  <c r="AO117" i="2"/>
  <c r="AI117" i="2"/>
  <c r="AF117" i="2"/>
  <c r="AF76" i="2"/>
  <c r="AI76" i="2"/>
  <c r="AF162" i="2"/>
  <c r="AI162" i="2"/>
  <c r="AF277" i="2"/>
  <c r="AI277" i="2"/>
  <c r="AN76" i="2"/>
  <c r="AO76" i="2"/>
  <c r="AO70" i="2"/>
  <c r="AN70" i="2"/>
  <c r="AO100" i="2"/>
  <c r="AJ288" i="2"/>
  <c r="Z288" i="2"/>
  <c r="AA288" i="2"/>
  <c r="AD288" i="2"/>
  <c r="AE288" i="2"/>
  <c r="AC288" i="2"/>
  <c r="AH288" i="2" s="1"/>
  <c r="AB288" i="2"/>
  <c r="AG288" i="2" s="1"/>
  <c r="AI110" i="2"/>
  <c r="AF110" i="2"/>
  <c r="AN162" i="2"/>
  <c r="AO162" i="2"/>
  <c r="AN116" i="2"/>
  <c r="AO116" i="2"/>
  <c r="AI262" i="2"/>
  <c r="AF262" i="2"/>
  <c r="Z168" i="2"/>
  <c r="AB168" i="2"/>
  <c r="AG168" i="2" s="1"/>
  <c r="AJ168" i="2"/>
  <c r="AC168" i="2"/>
  <c r="AH168" i="2" s="1"/>
  <c r="AA168" i="2"/>
  <c r="AE168" i="2"/>
  <c r="AD168" i="2"/>
  <c r="AI70" i="2"/>
  <c r="AF70" i="2"/>
  <c r="AE257" i="2"/>
  <c r="AN86" i="2"/>
  <c r="AO86" i="2"/>
  <c r="AE245" i="2"/>
  <c r="AD245" i="2"/>
  <c r="AA245" i="2"/>
  <c r="Z245" i="2"/>
  <c r="AB245" i="2"/>
  <c r="AG245" i="2" s="1"/>
  <c r="AC245" i="2"/>
  <c r="AH245" i="2" s="1"/>
  <c r="AJ245" i="2"/>
  <c r="AF86" i="2"/>
  <c r="AI86" i="2"/>
  <c r="AO181" i="2"/>
  <c r="AN181" i="2"/>
  <c r="AN262" i="2"/>
  <c r="AO262" i="2"/>
  <c r="AB249" i="2"/>
  <c r="AG249" i="2" s="1"/>
  <c r="AE249" i="2"/>
  <c r="Z249" i="2"/>
  <c r="AJ249" i="2"/>
  <c r="AC249" i="2"/>
  <c r="AH249" i="2" s="1"/>
  <c r="AA249" i="2"/>
  <c r="AD249" i="2"/>
  <c r="AO196" i="2"/>
  <c r="AN196" i="2"/>
  <c r="AB257" i="2"/>
  <c r="AG257" i="2" s="1"/>
  <c r="AF237" i="2"/>
  <c r="AI237" i="2"/>
  <c r="Z257" i="2"/>
  <c r="AN147" i="2"/>
  <c r="AO147" i="2"/>
  <c r="AI171" i="2"/>
  <c r="AF171" i="2"/>
  <c r="AI196" i="2"/>
  <c r="AF196" i="2"/>
  <c r="AD257" i="2"/>
  <c r="AI78" i="2"/>
  <c r="AF78" i="2"/>
  <c r="AN103" i="2"/>
  <c r="AO103" i="2"/>
  <c r="AF247" i="2"/>
  <c r="AI247" i="2"/>
  <c r="AO237" i="2"/>
  <c r="AN237" i="2"/>
  <c r="AA63" i="15" a="1"/>
  <c r="AA54" i="15" a="1"/>
  <c r="AA62" i="15" a="1"/>
  <c r="AA67" i="15" a="1"/>
  <c r="AA59" i="15" a="1"/>
  <c r="AA71" i="15" a="1"/>
  <c r="AA55" i="15" a="1"/>
  <c r="AA61" i="15" a="1"/>
  <c r="AA66" i="15" a="1"/>
  <c r="AA69" i="15" a="1"/>
  <c r="AA57" i="15" a="1"/>
  <c r="AA58" i="15" a="1"/>
  <c r="AA64" i="15" a="1"/>
  <c r="AA65" i="15" a="1"/>
  <c r="AA60" i="15" a="1"/>
  <c r="AA70" i="15" a="1"/>
  <c r="AA56" i="15" a="1"/>
  <c r="AA68" i="15" a="1"/>
  <c r="AA64" i="15" l="1"/>
  <c r="AA66" i="15"/>
  <c r="AA61" i="15"/>
  <c r="AA70" i="15"/>
  <c r="AA57" i="15"/>
  <c r="AA55" i="15"/>
  <c r="AA59" i="15"/>
  <c r="AA71" i="15"/>
  <c r="AA67" i="15"/>
  <c r="AA62" i="15"/>
  <c r="AA54" i="15"/>
  <c r="AA63" i="15"/>
  <c r="AA68" i="15"/>
  <c r="AA60" i="15"/>
  <c r="AA56" i="15"/>
  <c r="AA65" i="15"/>
  <c r="AA58" i="15"/>
  <c r="AA69" i="15"/>
  <c r="AI234" i="2"/>
  <c r="AO234" i="2"/>
  <c r="K11" i="11"/>
  <c r="AI74" i="2"/>
  <c r="AF93" i="2"/>
  <c r="AO93" i="2"/>
  <c r="AO226" i="2"/>
  <c r="AO74" i="2"/>
  <c r="K10" i="11"/>
  <c r="AD37" i="11"/>
  <c r="AE37" i="11" s="1"/>
  <c r="AN257" i="2"/>
  <c r="AO281" i="2"/>
  <c r="AI226" i="2"/>
  <c r="AO286" i="2"/>
  <c r="AN172" i="2"/>
  <c r="AO102" i="2"/>
  <c r="AF172" i="2"/>
  <c r="AF102" i="2"/>
  <c r="AO110" i="2"/>
  <c r="AN118" i="2"/>
  <c r="AO118" i="2"/>
  <c r="AI118" i="2"/>
  <c r="AF118" i="2"/>
  <c r="AO269" i="2"/>
  <c r="AN269" i="2"/>
  <c r="AI281" i="2"/>
  <c r="AI231" i="2"/>
  <c r="AF231" i="2"/>
  <c r="AI198" i="2"/>
  <c r="AF198" i="2"/>
  <c r="AN198" i="2"/>
  <c r="AO198" i="2"/>
  <c r="AO185" i="2"/>
  <c r="AN185" i="2"/>
  <c r="AN205" i="2"/>
  <c r="AO205" i="2"/>
  <c r="AI185" i="2"/>
  <c r="AF185" i="2"/>
  <c r="AN231" i="2"/>
  <c r="AO231" i="2"/>
  <c r="AF269" i="2"/>
  <c r="AI269" i="2"/>
  <c r="AF205" i="2"/>
  <c r="AI205" i="2"/>
  <c r="AN252" i="2"/>
  <c r="AO252" i="2"/>
  <c r="AF288" i="2"/>
  <c r="AI288" i="2"/>
  <c r="AO245" i="2"/>
  <c r="AN245" i="2"/>
  <c r="AO168" i="2"/>
  <c r="AN168" i="2"/>
  <c r="AI252" i="2"/>
  <c r="AF252" i="2"/>
  <c r="AI238" i="2"/>
  <c r="AF238" i="2"/>
  <c r="AF168" i="2"/>
  <c r="AI168" i="2"/>
  <c r="AI249" i="2"/>
  <c r="AF249" i="2"/>
  <c r="AI286" i="2"/>
  <c r="AF286" i="2"/>
  <c r="AO288" i="2"/>
  <c r="AN288" i="2"/>
  <c r="AN238" i="2"/>
  <c r="AO238" i="2"/>
  <c r="AO249" i="2"/>
  <c r="AN249" i="2"/>
  <c r="AI299" i="2"/>
  <c r="AF299" i="2"/>
  <c r="AF149" i="2"/>
  <c r="AI149" i="2"/>
  <c r="AI272" i="2"/>
  <c r="AF272" i="2"/>
  <c r="AO149" i="2"/>
  <c r="AN149" i="2"/>
  <c r="AF245" i="2"/>
  <c r="AI245" i="2"/>
  <c r="AI138" i="2"/>
  <c r="AF138" i="2"/>
  <c r="AO138" i="2"/>
  <c r="AN138" i="2"/>
  <c r="AO299" i="2"/>
  <c r="AN299" i="2"/>
  <c r="AF257" i="2"/>
  <c r="AI257" i="2"/>
  <c r="AN272" i="2"/>
  <c r="AO272" i="2"/>
  <c r="T3" i="8"/>
  <c r="Z3" i="15" a="1"/>
  <c r="AB3" i="8" a="1"/>
  <c r="Z3" i="15" l="1"/>
  <c r="AB3" i="8"/>
  <c r="AA3" i="15" a="1"/>
  <c r="AC3" i="8" a="1"/>
  <c r="AA3" i="15" l="1"/>
  <c r="AC3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<sst xmlns="http://schemas.openxmlformats.org/spreadsheetml/2006/main" count="3525" uniqueCount="885">
  <si>
    <t>Bourbon Vanilla Bean Paste</t>
  </si>
  <si>
    <t>Sugar</t>
  </si>
  <si>
    <t>Cinnadust</t>
  </si>
  <si>
    <t>Oreos</t>
  </si>
  <si>
    <t>Pint</t>
  </si>
  <si>
    <t>Cookie Butter</t>
  </si>
  <si>
    <t>Heavy</t>
  </si>
  <si>
    <t>Classic (Heavy Cream &amp; 2% Milk)</t>
  </si>
  <si>
    <t>Overproof Rum</t>
  </si>
  <si>
    <t>Raisins</t>
  </si>
  <si>
    <t>Normal</t>
  </si>
  <si>
    <t>Ice Cream</t>
  </si>
  <si>
    <t>Milk Type 1 (2/3)</t>
  </si>
  <si>
    <t>Milk Type 2 (1/3)</t>
  </si>
  <si>
    <t>Liquid Mix 1</t>
  </si>
  <si>
    <t>Liquid Mix 2</t>
  </si>
  <si>
    <t>Solid Mix 1</t>
  </si>
  <si>
    <t>Solid Mix 2</t>
  </si>
  <si>
    <t>Sweetner Type 1</t>
  </si>
  <si>
    <t>Sweetner Type 2</t>
  </si>
  <si>
    <t>Ice Cream Amount</t>
  </si>
  <si>
    <t>Liquid Mix 1 Amount (x tbsp)</t>
  </si>
  <si>
    <t>Liquid Mix 2 Amount (x tbsp)</t>
  </si>
  <si>
    <t>Solid Mix Amount (% of all ice cream)</t>
  </si>
  <si>
    <t>Sweetner Type 1 Amount (x 100g)</t>
  </si>
  <si>
    <t>Sweetner Type 2 Amount (x 100 g)</t>
  </si>
  <si>
    <t>Milk Type 1 Amount (ml)</t>
  </si>
  <si>
    <t>Milk Type 2 Amount (ml)</t>
  </si>
  <si>
    <t>Liquid Mix 1 Amount (ml)</t>
  </si>
  <si>
    <t>Liquid Mix 2 Amount (ml)</t>
  </si>
  <si>
    <t>Solid Mix 1 Amount (g)</t>
  </si>
  <si>
    <t>Solid Mix 2 Amount (g)</t>
  </si>
  <si>
    <t>Sweetner Type 1 Amount (g)</t>
  </si>
  <si>
    <t>Sweetner Type 2 Amount (g)</t>
  </si>
  <si>
    <t>Xanthan Gum To Use (g)</t>
  </si>
  <si>
    <t>Xanthan Gum To Use (tsp)</t>
  </si>
  <si>
    <t>Total Calories</t>
  </si>
  <si>
    <t>Total Sugar (g)</t>
  </si>
  <si>
    <t>Liquid Based Sugar (g)</t>
  </si>
  <si>
    <t>Total Fat (g)</t>
  </si>
  <si>
    <t>Fat %</t>
  </si>
  <si>
    <t>Calories Per Scoop (60g)</t>
  </si>
  <si>
    <t>Cost</t>
  </si>
  <si>
    <t>Quart</t>
  </si>
  <si>
    <t>None</t>
  </si>
  <si>
    <t xml:space="preserve">86% of ml amount needed for ice cream </t>
  </si>
  <si>
    <t>Double</t>
  </si>
  <si>
    <t>Half (50%)</t>
  </si>
  <si>
    <t>Extra Heavy</t>
  </si>
  <si>
    <t>Eggs</t>
  </si>
  <si>
    <t>Ultra Heavy</t>
  </si>
  <si>
    <t>Per 1 Cup (240ml)</t>
  </si>
  <si>
    <t>Calories</t>
  </si>
  <si>
    <t>Fat (g)</t>
  </si>
  <si>
    <t>Protein (g)</t>
  </si>
  <si>
    <t>Sugar (g)</t>
  </si>
  <si>
    <t>Cost ($)</t>
  </si>
  <si>
    <t>Sunk Cost ($)</t>
  </si>
  <si>
    <t>Sunk Amount (ml)</t>
  </si>
  <si>
    <t>Pre Done Milk Mixes</t>
  </si>
  <si>
    <t>Milk Type 1</t>
  </si>
  <si>
    <t xml:space="preserve">Milk Type 2 </t>
  </si>
  <si>
    <t>Heavy Cream</t>
  </si>
  <si>
    <t>Sams Club</t>
  </si>
  <si>
    <t>Gelato (Heavy Cream, Half and Half, and Eggs)</t>
  </si>
  <si>
    <t>Half and Half</t>
  </si>
  <si>
    <t>Fat Free Half and Half</t>
  </si>
  <si>
    <t>Aldi</t>
  </si>
  <si>
    <t>2% Milk</t>
  </si>
  <si>
    <t>Skim</t>
  </si>
  <si>
    <t>Fairlife 2%</t>
  </si>
  <si>
    <t>Vegan Heavy Whipping Cream</t>
  </si>
  <si>
    <t>Almond Breeze Vanilla Milk</t>
  </si>
  <si>
    <t>Condensed Milk</t>
  </si>
  <si>
    <t>Evaporated Milk</t>
  </si>
  <si>
    <t xml:space="preserve">Cream Cheese </t>
  </si>
  <si>
    <t>Irish Moss Vanilla (Royal Montego)</t>
  </si>
  <si>
    <t>Price right (Johnson and Palm)</t>
  </si>
  <si>
    <t>Trader Joes</t>
  </si>
  <si>
    <t>Per 1 Tbsp (15ml)</t>
  </si>
  <si>
    <t>Sunk Brand / Location</t>
  </si>
  <si>
    <t xml:space="preserve">Caramel Sauce </t>
  </si>
  <si>
    <t>Salted Caramel Apple Spread</t>
  </si>
  <si>
    <t>Dulce De Leche</t>
  </si>
  <si>
    <t>Rum Cream</t>
  </si>
  <si>
    <t>Butter Pecan Syrup</t>
  </si>
  <si>
    <t>michele</t>
  </si>
  <si>
    <t>Hot Fudge</t>
  </si>
  <si>
    <t>Appleton Estate Rum</t>
  </si>
  <si>
    <t xml:space="preserve">Minty Shamrock Frappe Mix </t>
  </si>
  <si>
    <t xml:space="preserve">Contains Xantham Gum, per 558ml, amount usually add 2 tbsp mix (30g) so 5%. </t>
  </si>
  <si>
    <t xml:space="preserve">Vanilla Mix </t>
  </si>
  <si>
    <t>Triple Scoop</t>
  </si>
  <si>
    <t xml:space="preserve">Chocolate Mix </t>
  </si>
  <si>
    <t>triple scoop</t>
  </si>
  <si>
    <t>Strawberry Mix</t>
  </si>
  <si>
    <t>Egg Yolk</t>
  </si>
  <si>
    <t>Smuckers Pineapple Topping</t>
  </si>
  <si>
    <t>Cake Batter Extract</t>
  </si>
  <si>
    <t>Almond Extract</t>
  </si>
  <si>
    <t>Total Cost</t>
  </si>
  <si>
    <t>Total Amount (g)</t>
  </si>
  <si>
    <t>Strawberries</t>
  </si>
  <si>
    <t>strawberry Sugar (2:1) Syrup</t>
  </si>
  <si>
    <t>Brownies</t>
  </si>
  <si>
    <t>Funfetti Cake</t>
  </si>
  <si>
    <t>Classic White Cake</t>
  </si>
  <si>
    <t>Whipped Cream Cheese Frosting</t>
  </si>
  <si>
    <t xml:space="preserve"> (Sugarlogie)</t>
  </si>
  <si>
    <t>Butter Pecan</t>
  </si>
  <si>
    <t xml:space="preserve">some recipes use a 1:1 ratio </t>
  </si>
  <si>
    <t>rough estimate</t>
  </si>
  <si>
    <t>Grape-nuts</t>
  </si>
  <si>
    <t>Easter Bun</t>
  </si>
  <si>
    <t xml:space="preserve"> (Beta Flava)</t>
  </si>
  <si>
    <t>(Aldi)</t>
  </si>
  <si>
    <t xml:space="preserve">Nappi Maraschino Cherries </t>
  </si>
  <si>
    <t xml:space="preserve">Rainbow Sprinkles </t>
  </si>
  <si>
    <t xml:space="preserve">Lieber's </t>
  </si>
  <si>
    <t>Chocolate Sprinkles</t>
  </si>
  <si>
    <t xml:space="preserve">Solid Milk Chocolate Eggs </t>
  </si>
  <si>
    <t>Peeps</t>
  </si>
  <si>
    <t>Tastee Pasteurized Cheese</t>
  </si>
  <si>
    <t>Mini Marshmallows Baker's Corner</t>
  </si>
  <si>
    <t>Lychee</t>
  </si>
  <si>
    <t>Mrs. Chris</t>
  </si>
  <si>
    <t>Pistachios</t>
  </si>
  <si>
    <t>Southern Grove Aldi Unsalted</t>
  </si>
  <si>
    <t xml:space="preserve">Slivered Almonds </t>
  </si>
  <si>
    <t>Sunk Cost</t>
  </si>
  <si>
    <t>Sunk Amount</t>
  </si>
  <si>
    <t>Additional Notes</t>
  </si>
  <si>
    <t xml:space="preserve">Stevia </t>
  </si>
  <si>
    <t>Swerve</t>
  </si>
  <si>
    <t>Thin Mints Seasoning Blend</t>
  </si>
  <si>
    <t>Walmart</t>
  </si>
  <si>
    <t>Girl Scouts Smores Seasoning Blend</t>
  </si>
  <si>
    <t>Brown Sugar</t>
  </si>
  <si>
    <t>Aldi Stevia</t>
  </si>
  <si>
    <t>Lotus Biscoff Sandwich Cookies</t>
  </si>
  <si>
    <t>1 cup butter =227g</t>
  </si>
  <si>
    <t>(2:1)</t>
  </si>
  <si>
    <t>grams (from cups)</t>
  </si>
  <si>
    <t>(4:1)</t>
  </si>
  <si>
    <t>note: this only gives the mix amount to include</t>
  </si>
  <si>
    <t>Per 1 Cup (Simulated 240ml)</t>
  </si>
  <si>
    <t>1 cup pecans = 109g</t>
  </si>
  <si>
    <t>*</t>
  </si>
  <si>
    <t>French Vanilla</t>
  </si>
  <si>
    <t>Address</t>
  </si>
  <si>
    <t>Distance Cost</t>
  </si>
  <si>
    <t>Distance (Miles)</t>
  </si>
  <si>
    <t>Cost of Last Fillup Per Gallon</t>
  </si>
  <si>
    <t>Car MPG</t>
  </si>
  <si>
    <t>Light (15%)</t>
  </si>
  <si>
    <t>Lightest (10%)</t>
  </si>
  <si>
    <t>Normal (25%)</t>
  </si>
  <si>
    <t>Light (for pastes and extracts)</t>
  </si>
  <si>
    <t>1/2 Sweet</t>
  </si>
  <si>
    <t>1/4 Sweet (Rec. For Stevia)</t>
  </si>
  <si>
    <t>Peppermint Extract</t>
  </si>
  <si>
    <t>Lily's</t>
  </si>
  <si>
    <t>Milk Chocolate Chips (Stevia sweetened)</t>
  </si>
  <si>
    <t xml:space="preserve">Dark Chocolate Chips </t>
  </si>
  <si>
    <t>Enjoy Life</t>
  </si>
  <si>
    <t>Nutella Fudge</t>
  </si>
  <si>
    <t>Ginger Snaps</t>
  </si>
  <si>
    <t xml:space="preserve">Semi Sweet Chocolate Chips </t>
  </si>
  <si>
    <t>Dulce De Leche (New Recipe To Test)</t>
  </si>
  <si>
    <t xml:space="preserve">Cookies and Cream </t>
  </si>
  <si>
    <t>Shamrock Shake</t>
  </si>
  <si>
    <t>Upcharge</t>
  </si>
  <si>
    <t>Final Cost</t>
  </si>
  <si>
    <t>1:1 Sweet</t>
  </si>
  <si>
    <t>2:1 Sweet</t>
  </si>
  <si>
    <t>Ultra Light (For strong extracts)</t>
  </si>
  <si>
    <t>Pure Bourbon Vanilla Extract</t>
  </si>
  <si>
    <t>Vegan Half and Half</t>
  </si>
  <si>
    <t>Sprouts</t>
  </si>
  <si>
    <t xml:space="preserve">Chocolate Chip Cookies </t>
  </si>
  <si>
    <t>butter</t>
  </si>
  <si>
    <t>nonfat greek yogurt</t>
  </si>
  <si>
    <t>milk chocolate chunks</t>
  </si>
  <si>
    <t>dark chocolate chunks</t>
  </si>
  <si>
    <t>butterscotch chips</t>
  </si>
  <si>
    <t>Adjusted</t>
  </si>
  <si>
    <t>Flour</t>
  </si>
  <si>
    <t>Sugar Per Scoop (60g)</t>
  </si>
  <si>
    <t>Fat Per Scoop (60g)</t>
  </si>
  <si>
    <t>Lofthouse Cookie dough</t>
  </si>
  <si>
    <t>sugar</t>
  </si>
  <si>
    <t>greek yogurt</t>
  </si>
  <si>
    <t>vanilla</t>
  </si>
  <si>
    <t>Total</t>
  </si>
  <si>
    <t>flour (heatproof)</t>
  </si>
  <si>
    <t xml:space="preserve">Dutch Chocolate </t>
  </si>
  <si>
    <t>Dutch Proccessde Black Cocoa</t>
  </si>
  <si>
    <t>Create Template</t>
  </si>
  <si>
    <t xml:space="preserve">Select Ice Cream: </t>
  </si>
  <si>
    <t>Total Nutrition</t>
  </si>
  <si>
    <t>Per Serving Nutrition</t>
  </si>
  <si>
    <t>Fat</t>
  </si>
  <si>
    <t>Nutrition Facts</t>
  </si>
  <si>
    <t>Per Container</t>
  </si>
  <si>
    <t>Per Serving (60g)</t>
  </si>
  <si>
    <t>Sticker Paper Cost</t>
  </si>
  <si>
    <t>Heavy (35%)</t>
  </si>
  <si>
    <t>Cake Batter With Cake Pieces</t>
  </si>
  <si>
    <t>S'Mores</t>
  </si>
  <si>
    <t>Ice Cream Cost</t>
  </si>
  <si>
    <t>DONE</t>
  </si>
  <si>
    <t>Order Status</t>
  </si>
  <si>
    <t>PENDING</t>
  </si>
  <si>
    <t>Category</t>
  </si>
  <si>
    <t>Amount</t>
  </si>
  <si>
    <t>Milk Type 2</t>
  </si>
  <si>
    <t>Liquid Amount 1</t>
  </si>
  <si>
    <t>Type</t>
  </si>
  <si>
    <t>Liquid Amount 2</t>
  </si>
  <si>
    <t>-</t>
  </si>
  <si>
    <t xml:space="preserve">Email: </t>
  </si>
  <si>
    <t>Name and Date</t>
  </si>
  <si>
    <t>Email</t>
  </si>
  <si>
    <t>Ice Cream Name</t>
  </si>
  <si>
    <t>Order Cost</t>
  </si>
  <si>
    <t>Delivery</t>
  </si>
  <si>
    <t xml:space="preserve">Name: </t>
  </si>
  <si>
    <t>Amount:</t>
  </si>
  <si>
    <t>Sweetener 1</t>
  </si>
  <si>
    <t>Sweetener 2</t>
  </si>
  <si>
    <t>Vegan (Vegan Heavy Cream &amp; Vegan Half and Half)</t>
  </si>
  <si>
    <t>Publix</t>
  </si>
  <si>
    <t>Maple Syrup (Publix)</t>
  </si>
  <si>
    <t>Maple Syrup (Aldi)</t>
  </si>
  <si>
    <t>Double Stuff Oreos</t>
  </si>
  <si>
    <t>Thin Mints Deluxe (Test Out New Recipe That Has More Mint)</t>
  </si>
  <si>
    <t>Strawberry Jam</t>
  </si>
  <si>
    <t>Strawberry</t>
  </si>
  <si>
    <t>Oreo Brownie (Need To Test New Ratio)</t>
  </si>
  <si>
    <t>Ripened Bananas</t>
  </si>
  <si>
    <t>Need to update pricing</t>
  </si>
  <si>
    <t>Nilla Wafers</t>
  </si>
  <si>
    <t>Need to update pricing and 1 cup amount</t>
  </si>
  <si>
    <t>Instant Coffee</t>
  </si>
  <si>
    <t>Pineapple In Coconut Water</t>
  </si>
  <si>
    <t>Cherry Pie Filling</t>
  </si>
  <si>
    <t>Strawberry Maple Syrup</t>
  </si>
  <si>
    <t>Crown (From Whole Foods)</t>
  </si>
  <si>
    <t>Chocolate - Dutch Proccessde Black Cocoa</t>
  </si>
  <si>
    <t>Homemade Chocolate Chip Cookes (Dough or Baked)</t>
  </si>
  <si>
    <t>Rasberry Cookies - Ikea - KAFFEREP</t>
  </si>
  <si>
    <t>Homemade Cookie Dough</t>
  </si>
  <si>
    <t>Choco-Chip Cookie Butter Blast</t>
  </si>
  <si>
    <t>100 Cal Oreos (PERFECT)</t>
  </si>
  <si>
    <t>Light Ginger Snaps (PERFECT)</t>
  </si>
  <si>
    <t>Light Bun n' Cheese (PERFECT)</t>
  </si>
  <si>
    <t>Banana Pudding (Need To Test New Blend)</t>
  </si>
  <si>
    <t>Grapenut (Made. Need feedback)</t>
  </si>
  <si>
    <t>Pineapple Upside Down (Need to test new blend)</t>
  </si>
  <si>
    <t>Strawberry Cheesecake With Ikea Raspberry Cookies (Made. Awaiting Feedback)</t>
  </si>
  <si>
    <t>Bun n' Cheese (PERFECT)</t>
  </si>
  <si>
    <t>Light Pistachio</t>
  </si>
  <si>
    <t>Nutella</t>
  </si>
  <si>
    <t xml:space="preserve">Caramel </t>
  </si>
  <si>
    <t>Hot Fudge (Swirl)</t>
  </si>
  <si>
    <t>Instant Coffee (Jamaican Moutain Peak)</t>
  </si>
  <si>
    <t>Homemade Sugar Cookie Dough</t>
  </si>
  <si>
    <t xml:space="preserve">Mini Marshmallows </t>
  </si>
  <si>
    <t>Emerald</t>
  </si>
  <si>
    <t>Almonds (Dry Roasted)</t>
  </si>
  <si>
    <t>Pineapple (Soaked In Coconut Water)</t>
  </si>
  <si>
    <t xml:space="preserve">Sam's </t>
  </si>
  <si>
    <t>Cheesecake (Half and Half and Cream Cheese)</t>
  </si>
  <si>
    <t>Cream Cheese</t>
  </si>
  <si>
    <t>Cream Cheese Frosting</t>
  </si>
  <si>
    <t>Buttercream Frosting</t>
  </si>
  <si>
    <t>Butter</t>
  </si>
  <si>
    <t>Powdered Sugar</t>
  </si>
  <si>
    <t xml:space="preserve">Normal </t>
  </si>
  <si>
    <t xml:space="preserve">Cost </t>
  </si>
  <si>
    <t>Protein</t>
  </si>
  <si>
    <t>Sugarlogie</t>
  </si>
  <si>
    <t>https://www.allrecipes.com/recipe/174347/quick-and-almost-professional-buttercream-icing/</t>
  </si>
  <si>
    <t>Fat Free Evaporated Milk</t>
  </si>
  <si>
    <t>Fat Free Condensed Milk</t>
  </si>
  <si>
    <t>Strawberry Puree Recipe</t>
  </si>
  <si>
    <t>Lemon Juice</t>
  </si>
  <si>
    <t>Total grams</t>
  </si>
  <si>
    <t>1:9 Ratio</t>
  </si>
  <si>
    <t>Raspberries</t>
  </si>
  <si>
    <t>grams</t>
  </si>
  <si>
    <t>calories</t>
  </si>
  <si>
    <t>fat</t>
  </si>
  <si>
    <t>(black raspberries, sugar, corn syrup, citric acid)</t>
  </si>
  <si>
    <t>Raspberry Puree</t>
  </si>
  <si>
    <t>Goal (Graeter's)</t>
  </si>
  <si>
    <t>Dark Chocolate Bar</t>
  </si>
  <si>
    <t>Milk Chocolate Bar</t>
  </si>
  <si>
    <t>Light Vanilla</t>
  </si>
  <si>
    <t>Sugar Free Molasses</t>
  </si>
  <si>
    <t>Unsalted  Buttter</t>
  </si>
  <si>
    <t>molasses</t>
  </si>
  <si>
    <t>salt</t>
  </si>
  <si>
    <t>baking soda</t>
  </si>
  <si>
    <t>ground cinnamon</t>
  </si>
  <si>
    <t>ground cloves</t>
  </si>
  <si>
    <t>Brown Sugar Swerve</t>
  </si>
  <si>
    <t>Water</t>
  </si>
  <si>
    <t>cream of tartar</t>
  </si>
  <si>
    <t xml:space="preserve">lemon juice </t>
  </si>
  <si>
    <t>Yield</t>
  </si>
  <si>
    <t xml:space="preserve">ground ginger </t>
  </si>
  <si>
    <t>ground cardamom</t>
  </si>
  <si>
    <t>Total Milk</t>
  </si>
  <si>
    <t>Diabetic Friendly Oatmeal Raisin Cookies</t>
  </si>
  <si>
    <r>
      <t>1 cup </t>
    </r>
    <r>
      <rPr>
        <b/>
        <sz val="8"/>
        <color theme="1"/>
        <rFont val="Segoe UI"/>
        <family val="2"/>
      </rPr>
      <t>whole wheat flour</t>
    </r>
  </si>
  <si>
    <r>
      <t>1/2 cup </t>
    </r>
    <r>
      <rPr>
        <b/>
        <sz val="8"/>
        <color theme="1"/>
        <rFont val="Segoe UI"/>
        <family val="2"/>
      </rPr>
      <t>Swerve brown sugar substitute</t>
    </r>
  </si>
  <si>
    <r>
      <t>1/2 cup </t>
    </r>
    <r>
      <rPr>
        <b/>
        <sz val="8"/>
        <color theme="1"/>
        <rFont val="Segoe UI"/>
        <family val="2"/>
      </rPr>
      <t>unsalted butter</t>
    </r>
    <r>
      <rPr>
        <sz val="8"/>
        <color theme="1"/>
        <rFont val="Segoe UI"/>
        <family val="2"/>
      </rPr>
      <t>, melted</t>
    </r>
  </si>
  <si>
    <r>
      <t>1 large </t>
    </r>
    <r>
      <rPr>
        <b/>
        <sz val="8"/>
        <color theme="1"/>
        <rFont val="Segoe UI"/>
        <family val="2"/>
      </rPr>
      <t>egg</t>
    </r>
  </si>
  <si>
    <r>
      <t>1 teaspoon </t>
    </r>
    <r>
      <rPr>
        <b/>
        <sz val="8"/>
        <color theme="1"/>
        <rFont val="Segoe UI"/>
        <family val="2"/>
      </rPr>
      <t>vanilla extract</t>
    </r>
  </si>
  <si>
    <r>
      <t>1/2 teaspoon </t>
    </r>
    <r>
      <rPr>
        <b/>
        <sz val="8"/>
        <color theme="1"/>
        <rFont val="Segoe UI"/>
        <family val="2"/>
      </rPr>
      <t>baking soda</t>
    </r>
  </si>
  <si>
    <r>
      <t>1/2 teaspoon </t>
    </r>
    <r>
      <rPr>
        <b/>
        <sz val="8"/>
        <color theme="1"/>
        <rFont val="Segoe UI"/>
        <family val="2"/>
      </rPr>
      <t>ground cinnamon</t>
    </r>
  </si>
  <si>
    <r>
      <t>1/4 teaspoon </t>
    </r>
    <r>
      <rPr>
        <b/>
        <sz val="8"/>
        <color theme="1"/>
        <rFont val="Segoe UI"/>
        <family val="2"/>
      </rPr>
      <t>salt</t>
    </r>
  </si>
  <si>
    <t xml:space="preserve">brown sugar substitute </t>
  </si>
  <si>
    <t>TODO: add more ginger. otherwise perfect!</t>
  </si>
  <si>
    <t>(also used a seasonings mix)</t>
  </si>
  <si>
    <t>If using 6 inch pan for ice cream sandwiches and baking the dough, use 1/8 of recipe for top and 1/8 for bottlm</t>
  </si>
  <si>
    <t>whole wheat flour</t>
  </si>
  <si>
    <t>Homemade Caramel</t>
  </si>
  <si>
    <t>Unsalted Butter</t>
  </si>
  <si>
    <t>Pinch of Salt</t>
  </si>
  <si>
    <t>Low Cal Pineapple Upside Down (Need to test new blend)</t>
  </si>
  <si>
    <t>Molasses</t>
  </si>
  <si>
    <t>Low Sugar Ginger Snaps</t>
  </si>
  <si>
    <t>110 Cal Cookie Butter &amp; Oreos (Could be a bit sweeter)</t>
  </si>
  <si>
    <t xml:space="preserve">Mango Puree (1/2 simmered down) </t>
  </si>
  <si>
    <t xml:space="preserve">Low Sugar Mango </t>
  </si>
  <si>
    <t>Solid Mix 3</t>
  </si>
  <si>
    <t>Solid Mix 3 Amount (g)</t>
  </si>
  <si>
    <t>Custom Name</t>
  </si>
  <si>
    <t>Half Gallon</t>
  </si>
  <si>
    <t>Coffee (Try different coffee)</t>
  </si>
  <si>
    <t>Pineapple Upside Down Cookie dough</t>
  </si>
  <si>
    <t>Pineapple Slices</t>
  </si>
  <si>
    <t>maraschino cherries</t>
  </si>
  <si>
    <t>melted butter</t>
  </si>
  <si>
    <t>brown sugar</t>
  </si>
  <si>
    <t>sour cream</t>
  </si>
  <si>
    <t>475 total</t>
  </si>
  <si>
    <t>Caramel Cheesecake (remember to put aside a bit of half and half)</t>
  </si>
  <si>
    <t xml:space="preserve">Box Brownie </t>
  </si>
  <si>
    <t>Brownie Mix</t>
  </si>
  <si>
    <t xml:space="preserve">water </t>
  </si>
  <si>
    <t xml:space="preserve">vegetable oil </t>
  </si>
  <si>
    <t xml:space="preserve">nonfat greek yogurt </t>
  </si>
  <si>
    <t>total</t>
  </si>
  <si>
    <t>fruits</t>
  </si>
  <si>
    <t>sauce</t>
  </si>
  <si>
    <t>Vanilla</t>
  </si>
  <si>
    <t>Sugar Cookie Dough Total</t>
  </si>
  <si>
    <t>Cookie Dough</t>
  </si>
  <si>
    <t>Ice Cream (Normal)</t>
  </si>
  <si>
    <t>Ice Cream (Thick)</t>
  </si>
  <si>
    <t>6 Inch Springform Pan</t>
  </si>
  <si>
    <t xml:space="preserve">Volume </t>
  </si>
  <si>
    <t>Ice Cream Sandwich Measurements (ml)</t>
  </si>
  <si>
    <t>4 Inch</t>
  </si>
  <si>
    <t>9 Inch Springform Pan</t>
  </si>
  <si>
    <t>7 Inch Springform Pan</t>
  </si>
  <si>
    <t>Sam's Club</t>
  </si>
  <si>
    <t xml:space="preserve">Mint Chocolate Chip, Brownies, and Cookies </t>
  </si>
  <si>
    <t>Ikea</t>
  </si>
  <si>
    <t>Lingonberry Jam</t>
  </si>
  <si>
    <t>Raspberry and Bilberry Jam</t>
  </si>
  <si>
    <t>Lingonberry Syrup</t>
  </si>
  <si>
    <t>Lingonberry Ice Cream</t>
  </si>
  <si>
    <t>Easy Pound Cake</t>
  </si>
  <si>
    <t>Yellow Cake Mix</t>
  </si>
  <si>
    <t>Sour Cream</t>
  </si>
  <si>
    <t>eggs</t>
  </si>
  <si>
    <t>Bake 50 min at 350</t>
  </si>
  <si>
    <t>Pound Cake</t>
  </si>
  <si>
    <t>egg yolks</t>
  </si>
  <si>
    <t>vanilla extract</t>
  </si>
  <si>
    <t>flour</t>
  </si>
  <si>
    <t>100 Cal Pecan (PERFECT)</t>
  </si>
  <si>
    <t xml:space="preserve">Black Raspberry Jam </t>
  </si>
  <si>
    <t xml:space="preserve">Yoder's </t>
  </si>
  <si>
    <t>100 Cal Black Raspberry With Oreo(PERFECT)</t>
  </si>
  <si>
    <t>All-purpose flour</t>
  </si>
  <si>
    <t>Baking powder</t>
  </si>
  <si>
    <t>Kosher salt</t>
  </si>
  <si>
    <t>Granulated sugar</t>
  </si>
  <si>
    <t>Pure vanilla extract</t>
  </si>
  <si>
    <t>Whole milk</t>
  </si>
  <si>
    <t xml:space="preserve">Tres Leches </t>
  </si>
  <si>
    <t>6 Eggs, separated</t>
  </si>
  <si>
    <t>Sweetened condensed milk</t>
  </si>
  <si>
    <t>Evaporated milk</t>
  </si>
  <si>
    <t>https://www.acozykitchen.com/tres-leches-cake#wprm-recipe-container-41623</t>
  </si>
  <si>
    <t>No Sugar Added Rum Raisin</t>
  </si>
  <si>
    <t xml:space="preserve">Total </t>
  </si>
  <si>
    <t xml:space="preserve">No Sugar Added Rum Cream </t>
  </si>
  <si>
    <t xml:space="preserve">Pumpkin Puree </t>
  </si>
  <si>
    <t>Add 5g pumpkin pie spice per cup</t>
  </si>
  <si>
    <t xml:space="preserve">2 teaspoons water </t>
  </si>
  <si>
    <t>Cinnamon Graham Crackers</t>
  </si>
  <si>
    <t>Bucees Huckleberry Preserves</t>
  </si>
  <si>
    <t>Huckleberry Cheesecake (PERFECT)</t>
  </si>
  <si>
    <t>Swerve Brown Sugar</t>
  </si>
  <si>
    <t>gram equivalent (of 1/2 cup)</t>
  </si>
  <si>
    <t>Per 1/2 Cup (100g)</t>
  </si>
  <si>
    <t xml:space="preserve">Sugar Free Chocolate Chip Cookies </t>
  </si>
  <si>
    <t>Lily's Milk Chocolate Style No Sugar Added</t>
  </si>
  <si>
    <t>Homemade Low Sugar Chocolate Chip Cookie Dough</t>
  </si>
  <si>
    <t>Raisins Soaked In Rum</t>
  </si>
  <si>
    <t xml:space="preserve">1:4 Ratio </t>
  </si>
  <si>
    <t>Container Costs</t>
  </si>
  <si>
    <t>Organic Alcohol Free Pure Vanilla Extract</t>
  </si>
  <si>
    <t xml:space="preserve">Crimson Mint Cookie Crunch </t>
  </si>
  <si>
    <t>Golden Oreos</t>
  </si>
  <si>
    <t>Vegan Strawberry</t>
  </si>
  <si>
    <t xml:space="preserve">Cake Bites (Cake &amp; Icing mix) </t>
  </si>
  <si>
    <t xml:space="preserve">Sams Club Sheet Cake </t>
  </si>
  <si>
    <t xml:space="preserve">Sam's Club Sheet Cake </t>
  </si>
  <si>
    <t>Chocalate with Reeses Minis</t>
  </si>
  <si>
    <t>Chocolate</t>
  </si>
  <si>
    <t>Reeses Minis Unwrapped</t>
  </si>
  <si>
    <t>Dulce De Leche With Oreos</t>
  </si>
  <si>
    <t>Black Raspberry With Oreo (PERFECT)</t>
  </si>
  <si>
    <t>Rich (Heavy Cream &amp; Half and Half) (Recommended)</t>
  </si>
  <si>
    <t>Strawberry Shortcake (Japanese)</t>
  </si>
  <si>
    <t>milk</t>
  </si>
  <si>
    <t>eggs (4) (room temp)</t>
  </si>
  <si>
    <t>Unsalted Butter (milk in microwave)</t>
  </si>
  <si>
    <t>sugar (whip 5-8 min in water bath thing)</t>
  </si>
  <si>
    <t>cake flour ( mix with spatula)</t>
  </si>
  <si>
    <t>honey</t>
  </si>
  <si>
    <t xml:space="preserve">Whipped Cream </t>
  </si>
  <si>
    <t>Heavy cream</t>
  </si>
  <si>
    <t>vanilla bean paste</t>
  </si>
  <si>
    <t>320 f for 30-35 minutes</t>
  </si>
  <si>
    <t>Sweetened Coconut Flakes</t>
  </si>
  <si>
    <t>Rum Raisin</t>
  </si>
  <si>
    <t xml:space="preserve">fix nutrition </t>
  </si>
  <si>
    <t xml:space="preserve">Cheesecake (Needs more xanthan gum for icyness) </t>
  </si>
  <si>
    <t xml:space="preserve">Oreo Cheesecake (Needs more xanthan gum for icyness) </t>
  </si>
  <si>
    <t>100 Cal Cake Batter  (PERFECT)</t>
  </si>
  <si>
    <t>1/4 Sweet</t>
  </si>
  <si>
    <t>Homemade Strawberry Jam</t>
  </si>
  <si>
    <t>Light (For pastes and extracts)</t>
  </si>
  <si>
    <t>Heavy (For jams)</t>
  </si>
  <si>
    <t>Eggs (For Gelato)</t>
  </si>
  <si>
    <t>Brown Swerve</t>
  </si>
  <si>
    <t>Vegan Chocolate with strawberry swirl (PERFECT)</t>
  </si>
  <si>
    <t>Tres Leches (PERFECT - need to add tres leches as mix in)</t>
  </si>
  <si>
    <t>Pumpkin Pie Spice</t>
  </si>
  <si>
    <t>Pumpkin Cheesecake (Too Much Pumpkin Puree)</t>
  </si>
  <si>
    <t>Spice d Chai Black Tea Concentrate</t>
  </si>
  <si>
    <t>Spiced Chai Black Tea Concentrate</t>
  </si>
  <si>
    <t>Smuckers Strawberry Preserves</t>
  </si>
  <si>
    <t>2:1 ratio. From Sam's Club</t>
  </si>
  <si>
    <t>Pumpkin Spice Oreos</t>
  </si>
  <si>
    <t xml:space="preserve"> </t>
  </si>
  <si>
    <t>Medium Low. stop at 220F</t>
  </si>
  <si>
    <t>Caramel is 320g a cup so 20g a tbsp</t>
  </si>
  <si>
    <t>Can Use Other Milk</t>
  </si>
  <si>
    <t>Apple Butter</t>
  </si>
  <si>
    <t>Honeycrisp apples</t>
  </si>
  <si>
    <t>nutmeg</t>
  </si>
  <si>
    <t>cloves</t>
  </si>
  <si>
    <t xml:space="preserve">salt </t>
  </si>
  <si>
    <t>Light Cherry Apple Bourbon Butter with Golden Oreos (PERFECT)</t>
  </si>
  <si>
    <t xml:space="preserve">Cherry Apple Bourbon Butter </t>
  </si>
  <si>
    <t>Dollywood</t>
  </si>
  <si>
    <t>% Daily Value*</t>
  </si>
  <si>
    <t>Serving size</t>
  </si>
  <si>
    <t xml:space="preserve">Amount per serving </t>
  </si>
  <si>
    <t>Total Fat</t>
  </si>
  <si>
    <t>1 Scoop (60g)</t>
  </si>
  <si>
    <r>
      <rPr>
        <sz val="8"/>
        <color rgb="FF231F20"/>
        <rFont val="Arial"/>
        <family val="2"/>
      </rPr>
      <t xml:space="preserve">* </t>
    </r>
    <r>
      <rPr>
        <sz val="8"/>
        <rFont val="Arial"/>
        <family val="2"/>
      </rPr>
      <t>The % Daily Value (DV) tells you how much a nutrient in a serving of food contributes to a daily diet. 2,000 calories a day is used for general nutrition advice.</t>
    </r>
  </si>
  <si>
    <t xml:space="preserve">     Total Sugars</t>
  </si>
  <si>
    <t>Daily value amounts</t>
  </si>
  <si>
    <t>Sorrel Extract</t>
  </si>
  <si>
    <t xml:space="preserve">kola champagne syrup </t>
  </si>
  <si>
    <t>Pumpkin Butter</t>
  </si>
  <si>
    <t xml:space="preserve">Organic Maple Butter </t>
  </si>
  <si>
    <t>Light Pumpkin Pie (Try With Pumpkin Butter)</t>
  </si>
  <si>
    <t>Cherry Apple Bourbon Butter with Golden Oreos (PERFECT) (Taking Off)</t>
  </si>
  <si>
    <t>Caramel Apple</t>
  </si>
  <si>
    <t>Fried Apples</t>
  </si>
  <si>
    <t>Toto</t>
  </si>
  <si>
    <t>Melted Butter</t>
  </si>
  <si>
    <t>baking powder</t>
  </si>
  <si>
    <t>cinnamon</t>
  </si>
  <si>
    <t>1 egg</t>
  </si>
  <si>
    <t xml:space="preserve">Calories </t>
  </si>
  <si>
    <t>Price</t>
  </si>
  <si>
    <t>sweetened coconut flakes</t>
  </si>
  <si>
    <t>Pumpkin Bomb</t>
  </si>
  <si>
    <t xml:space="preserve">DONE </t>
  </si>
  <si>
    <t>Fried Apples (Margaret Holmes)</t>
  </si>
  <si>
    <t>Apples</t>
  </si>
  <si>
    <t>entire can is 411</t>
  </si>
  <si>
    <t xml:space="preserve">Juice (from can) (114 total) </t>
  </si>
  <si>
    <t>fry 4-5 minutes then add in apple liquid</t>
  </si>
  <si>
    <t>nutmeg (freshlty grated)</t>
  </si>
  <si>
    <t>375 degrees for 30-40 minutes</t>
  </si>
  <si>
    <t>Cookies and Cream</t>
  </si>
  <si>
    <t>Grams</t>
  </si>
  <si>
    <t>Stevia</t>
  </si>
  <si>
    <t>Jamaican Toto (PERFECT)</t>
  </si>
  <si>
    <t>Jamaican Mixed Spices</t>
  </si>
  <si>
    <t>Broward Meat and Fish</t>
  </si>
  <si>
    <t>1 cup whole grain rolled oats</t>
  </si>
  <si>
    <t>Jamaican Toto</t>
  </si>
  <si>
    <t>Black Cherry Jam</t>
  </si>
  <si>
    <t>Homegoods</t>
  </si>
  <si>
    <t>100 Cal Black Cherry With Oreo(PERFECT)</t>
  </si>
  <si>
    <t>Light Jamaican Toto (PERFECT)</t>
  </si>
  <si>
    <t>56 Cal Cinnadust</t>
  </si>
  <si>
    <t>Low Calorie (Fat Free Half and Half &amp; Fat Free Evaporated Milk) (NEW)</t>
  </si>
  <si>
    <t>Caramel</t>
  </si>
  <si>
    <r>
      <t>1/2 cup </t>
    </r>
    <r>
      <rPr>
        <b/>
        <sz val="8"/>
        <color theme="1"/>
        <rFont val="Segoe UI"/>
        <family val="2"/>
      </rPr>
      <t>raisins</t>
    </r>
    <r>
      <rPr>
        <sz val="8"/>
        <color theme="1"/>
        <rFont val="Segoe UI"/>
        <family val="2"/>
      </rPr>
      <t> </t>
    </r>
  </si>
  <si>
    <t xml:space="preserve">Walmart </t>
  </si>
  <si>
    <t xml:space="preserve">grams without water </t>
  </si>
  <si>
    <t>Low Cal Lofthouse Cookies</t>
  </si>
  <si>
    <t>Ingredient</t>
  </si>
  <si>
    <t>Grams (g)</t>
  </si>
  <si>
    <t>Baking soda</t>
  </si>
  <si>
    <t>Cornstarch</t>
  </si>
  <si>
    <t>Salt</t>
  </si>
  <si>
    <t>Unsalted butter (room temp)</t>
  </si>
  <si>
    <t>Egg (room temp)</t>
  </si>
  <si>
    <t>Sour cream (room temp)</t>
  </si>
  <si>
    <t>Vanilla extract</t>
  </si>
  <si>
    <t>Almond extract (optional)</t>
  </si>
  <si>
    <t>Greek Yogurt</t>
  </si>
  <si>
    <t>TOTAL</t>
  </si>
  <si>
    <t>Nonfat Greek Yogurt</t>
  </si>
  <si>
    <t>Potato Starch</t>
  </si>
  <si>
    <t>Light Sour cream friendly farms(room temp)</t>
  </si>
  <si>
    <t>No Sugar Added Pistachio</t>
  </si>
  <si>
    <t xml:space="preserve">Maple Cinnamon </t>
  </si>
  <si>
    <t>Matcha Powder</t>
  </si>
  <si>
    <t>1/3 Fat Cream Cheese</t>
  </si>
  <si>
    <t>Light Oreo Cheeseckae (PERFECT)</t>
  </si>
  <si>
    <t>No Sugar Added Vegan Vanilla (Perfect)</t>
  </si>
  <si>
    <t>TOTALS</t>
  </si>
  <si>
    <t>Coffee Cake Cookie Dough</t>
  </si>
  <si>
    <t>Coffee Cake Cookies</t>
  </si>
  <si>
    <t>Amount (grams)</t>
  </si>
  <si>
    <t>Butter, softened</t>
  </si>
  <si>
    <t>Vegetable oil</t>
  </si>
  <si>
    <t>Brown sugar</t>
  </si>
  <si>
    <t>200g</t>
  </si>
  <si>
    <t>Egg</t>
  </si>
  <si>
    <t>50g</t>
  </si>
  <si>
    <t>4.2g</t>
  </si>
  <si>
    <t>Cinnamon</t>
  </si>
  <si>
    <t>Baking soda</t>
  </si>
  <si>
    <t>2.3g</t>
  </si>
  <si>
    <t>Baking powder</t>
  </si>
  <si>
    <t>2.8g</t>
  </si>
  <si>
    <t>Streusel Topping</t>
  </si>
  <si>
    <t>Pinch of salt</t>
  </si>
  <si>
    <t xml:space="preserve"> TOTAL</t>
  </si>
  <si>
    <t>Flour (Heatproof)</t>
  </si>
  <si>
    <t>ngredient</t>
  </si>
  <si>
    <t>Granulated sugar</t>
  </si>
  <si>
    <t>Toasted milk powder</t>
  </si>
  <si>
    <t>16g</t>
  </si>
  <si>
    <t>Unsalted butter, softened</t>
  </si>
  <si>
    <t>284g</t>
  </si>
  <si>
    <t>2 (100g)</t>
  </si>
  <si>
    <t>Vanilla extract</t>
  </si>
  <si>
    <t>15g</t>
  </si>
  <si>
    <t>All-purpose flour</t>
  </si>
  <si>
    <t>420g</t>
  </si>
  <si>
    <t>6g</t>
  </si>
  <si>
    <t>Fine salt</t>
  </si>
  <si>
    <t>5.7g</t>
  </si>
  <si>
    <t>Chocolate chips or chunks</t>
  </si>
  <si>
    <t>397g</t>
  </si>
  <si>
    <t>Ingredients</t>
  </si>
  <si>
    <t>Chocolate Chip Cookies</t>
  </si>
  <si>
    <t>Chocolate Chip Cookie Cake</t>
  </si>
  <si>
    <t>3 (150g)</t>
  </si>
  <si>
    <t>350g</t>
  </si>
  <si>
    <t>7g</t>
  </si>
  <si>
    <t>Chocolate Chip Blondie</t>
  </si>
  <si>
    <t>450g</t>
  </si>
  <si>
    <t>Unsalted butter, melted</t>
  </si>
  <si>
    <t>315g</t>
  </si>
  <si>
    <t>5g</t>
  </si>
  <si>
    <t>Lower</t>
  </si>
  <si>
    <t>all brown + 50g more</t>
  </si>
  <si>
    <t>No Baking Soda</t>
  </si>
  <si>
    <t>Higher than cookies</t>
  </si>
  <si>
    <t>Lower than cookies</t>
  </si>
  <si>
    <t>Sugar Cookie Bars</t>
  </si>
  <si>
    <t>Unsalted butter (softened)</t>
  </si>
  <si>
    <t>227g</t>
  </si>
  <si>
    <t>Large egg</t>
  </si>
  <si>
    <t>8.4g</t>
  </si>
  <si>
    <t>Almond extract</t>
  </si>
  <si>
    <t>281g</t>
  </si>
  <si>
    <t>66.7g</t>
  </si>
  <si>
    <t>5.3g</t>
  </si>
  <si>
    <t>94.7g</t>
  </si>
  <si>
    <t>1 (50g)</t>
  </si>
  <si>
    <t>116.7g</t>
  </si>
  <si>
    <t>2g</t>
  </si>
  <si>
    <t>1.9g</t>
  </si>
  <si>
    <t>132.3g</t>
  </si>
  <si>
    <t>made 98.2</t>
  </si>
  <si>
    <t xml:space="preserve">Huckleberry Cheesecake </t>
  </si>
  <si>
    <t xml:space="preserve">Choco-Chip Cookie Butter Blast </t>
  </si>
  <si>
    <t>tammytruong2013@gmail.com</t>
  </si>
  <si>
    <t>tt72602@gmail.com</t>
  </si>
  <si>
    <t>No Sugar Added Strawberry with Dark Chocolate Chips</t>
  </si>
  <si>
    <t>Cheesecake with Oreo Brownies</t>
  </si>
  <si>
    <t>Vanilla Chai (Need to experiment with teabags method)</t>
  </si>
  <si>
    <t>Chocolate with Oreos</t>
  </si>
  <si>
    <t xml:space="preserve">(Used for </t>
  </si>
  <si>
    <t>used in 9 inch pan (2400 ml)</t>
  </si>
  <si>
    <t>6.5 inch pan is 1629 ml</t>
  </si>
  <si>
    <t>6.5 inch springform pan</t>
  </si>
  <si>
    <t>140g</t>
  </si>
  <si>
    <t>124g</t>
  </si>
  <si>
    <t>31g</t>
  </si>
  <si>
    <t>2.6g</t>
  </si>
  <si>
    <t>4.34g</t>
  </si>
  <si>
    <t>1.74g</t>
  </si>
  <si>
    <t>174.22g</t>
  </si>
  <si>
    <t>https://www.designeatrepeat.com/sugar-cookie-cake/#recipe</t>
  </si>
  <si>
    <t>Eggnog</t>
  </si>
  <si>
    <t>Whole 
Container</t>
  </si>
  <si>
    <t>11582 NW 43rd St Coral Springs, FL 33065</t>
  </si>
  <si>
    <t>Ube Flavoring</t>
  </si>
  <si>
    <t>Maple Cinnamon (PERFECT)</t>
  </si>
  <si>
    <t>Light Kola Champagne (needs more kola champagne. Try to reduce syrup more)</t>
  </si>
  <si>
    <t>Ting Wei | Thursday, Oct 03, 2024 07:40 PM</t>
  </si>
  <si>
    <t>Matcha</t>
  </si>
  <si>
    <t>Light Ube</t>
  </si>
  <si>
    <t>Micah Brown | Saturday, Mar 30, 2024 06:39 PM</t>
  </si>
  <si>
    <t/>
  </si>
  <si>
    <t>I'll Pickup</t>
  </si>
  <si>
    <t>John Deer | Saturday, Mar 30, 2024 08:08 PM</t>
  </si>
  <si>
    <t>Joe Smoe | Saturday, Mar 30, 2024 08:21 PM</t>
  </si>
  <si>
    <t>tester mcgee | Saturday, Mar 30, 2024 08:26 PM</t>
  </si>
  <si>
    <t>2 Quarts</t>
  </si>
  <si>
    <t>Delete This | Saturday, Mar 30, 2024 08:35 PM</t>
  </si>
  <si>
    <t>Hi There | Saturday, Mar 30, 2024 08:55 PM</t>
  </si>
  <si>
    <t>Locally</t>
  </si>
  <si>
    <t>Joe Smoe | Thursday, Apr 04, 2024 10:51 PM</t>
  </si>
  <si>
    <t>micbro14@gmail.com</t>
  </si>
  <si>
    <t xml:space="preserve">
3730 NW 52ND ST Fort Lauderdale FL 33309</t>
  </si>
  <si>
    <t>Daniel Brown | Thursday, Apr 04, 2024 10:54 PM</t>
  </si>
  <si>
    <t>dandandan785@gmail.com</t>
  </si>
  <si>
    <t>550 S Federal Hwy, Fort Lauderdale, FL 33301</t>
  </si>
  <si>
    <t>Scrimblo Pops | Friday, Apr 05, 2024 09:32 PM</t>
  </si>
  <si>
    <t>test@email.com</t>
  </si>
  <si>
    <t>Test bruh | Friday, Apr 05, 2024 09:55 PM</t>
  </si>
  <si>
    <t>test@example.com</t>
  </si>
  <si>
    <t>4327 NW 1st Dr Deerfield Beach FL 33442</t>
  </si>
  <si>
    <t>Test Here | Wednesday, Apr 10, 2024 07:46 PM</t>
  </si>
  <si>
    <t>Cristopher | Wednesday, Apr 10, 2024 10:57 PM</t>
  </si>
  <si>
    <t>cookiejiimenez2012@gmail.com</t>
  </si>
  <si>
    <t>my house</t>
  </si>
  <si>
    <t>Anakin | Friday, Apr 12, 2024 09:30 PM</t>
  </si>
  <si>
    <t>youwerethechosenone@gmail.com</t>
  </si>
  <si>
    <t>My mouth</t>
  </si>
  <si>
    <t>Padme | Friday, Apr 12, 2024 09:31 PM</t>
  </si>
  <si>
    <t>ihavethehighground@gmail.com</t>
  </si>
  <si>
    <t>My stomach</t>
  </si>
  <si>
    <t>Zack Inthapanya | Monday, Apr 15, 2024 12:12 AM</t>
  </si>
  <si>
    <t>zinthapanya2022@gmail.com</t>
  </si>
  <si>
    <t>Zack Inthapanya | Monday, Apr 15, 2024 12:13 AM</t>
  </si>
  <si>
    <t>Tommy Truong | Wednesday, Apr 17, 2024 07:34 AM</t>
  </si>
  <si>
    <t xml:space="preserve">6053 86th Dr S, Lake Worth, Florida </t>
  </si>
  <si>
    <t>Anthony Alvino (Zack's buddy!) | Friday, Apr 19, 2024 04:03 PM</t>
  </si>
  <si>
    <t>Fuego.exe@gmail.com</t>
  </si>
  <si>
    <t>3001 Eagle Drive, Delray Beach FL 33444</t>
  </si>
  <si>
    <t>Everette Brown | Sunday, Apr 28, 2024 11:53 AM</t>
  </si>
  <si>
    <t xml:space="preserve">Edbrown33@hotmail.com </t>
  </si>
  <si>
    <t>Phoumin | Friday, Jun 14, 2024 02:21 AM</t>
  </si>
  <si>
    <t>Zack’s house</t>
  </si>
  <si>
    <t>Mr. Daily | Sunday, Jul 21, 2024 05:34 PM</t>
  </si>
  <si>
    <t>Light Rum Raisin</t>
  </si>
  <si>
    <t>1241 NW 105th Avenue, Plantation 33322</t>
  </si>
  <si>
    <t>Mr. Daily | Sunday, Jul 21, 2024 05:35 PM</t>
  </si>
  <si>
    <t>Juan | Friday, Aug 02, 2024 10:54 PM</t>
  </si>
  <si>
    <t>jxnicola@gmail.com</t>
  </si>
  <si>
    <t>At the office</t>
  </si>
  <si>
    <t>Juan | Friday, Aug 02, 2024 10:55 PM</t>
  </si>
  <si>
    <t>At the Skyline office</t>
  </si>
  <si>
    <t>Gabby Daley | Wednesday, Aug 07, 2024 03:27 PM</t>
  </si>
  <si>
    <t>Gabbytcdaley@gmail.com</t>
  </si>
  <si>
    <t>VANILLA</t>
  </si>
  <si>
    <t>1241 nw 105th Avenue pl fl 33322</t>
  </si>
  <si>
    <t>Santiago | Friday, Aug 09, 2024 12:05 AM</t>
  </si>
  <si>
    <t>zate@live.com</t>
  </si>
  <si>
    <t>Skyline office</t>
  </si>
  <si>
    <t>Rebekkah Daley  | Saturday, Aug 10, 2024 07:39 PM</t>
  </si>
  <si>
    <t xml:space="preserve">Rebekkahdaley@gmail.com </t>
  </si>
  <si>
    <t>1241nw105.ave Plantation Florida 33322</t>
  </si>
  <si>
    <t>Tommy Truong | Monday, Aug 19, 2024 03:29 PM</t>
  </si>
  <si>
    <t>Cheat Week</t>
  </si>
  <si>
    <t>6053 86th Dr S, Greenacres, FL</t>
  </si>
  <si>
    <t>Tommy Truong | Wednesday, Aug 21, 2024 01:23 PM</t>
  </si>
  <si>
    <t>Co-worker coconut</t>
  </si>
  <si>
    <t>Coconut?</t>
  </si>
  <si>
    <t>6053 86th Dr S</t>
  </si>
  <si>
    <t>Suzana | Sunday, Sep 01, 2024 01:35 AM</t>
  </si>
  <si>
    <t>Suzi.constant@gmail.com</t>
  </si>
  <si>
    <t>10746 NW 21st Street, Coral Springs, Fl 33071</t>
  </si>
  <si>
    <t>Joany | Sunday, Sep 01, 2024 01:38 AM</t>
  </si>
  <si>
    <t>joanymaxinau83@gmail.com</t>
  </si>
  <si>
    <t>With Carmel mixed in</t>
  </si>
  <si>
    <t>10746 NW 21 ST Coral Springs 33071 Fl</t>
  </si>
  <si>
    <t>James Gallagher | Monday, Sep 02, 2024 08:20 PM</t>
  </si>
  <si>
    <t>gallagherjames2@yahoo.com</t>
  </si>
  <si>
    <t>Huckleberry Cheesecake</t>
  </si>
  <si>
    <t>2821 NE 11th Ave, Pompano Beach, FL.</t>
  </si>
  <si>
    <t>Tammy Truong  | Saturday, Sep 14, 2024 05:33 PM</t>
  </si>
  <si>
    <t>Chocolate Strawberry</t>
  </si>
  <si>
    <t>Dark Chocolate Chips</t>
  </si>
  <si>
    <t>6053 86th Dr S, Lake Worth, FL 33467 (or of you see Tommy)</t>
  </si>
  <si>
    <t>Suzana | Sunday, Sep 15, 2024 09:47 PM</t>
  </si>
  <si>
    <t>Suzana | Sunday, Sep 15, 2024 09:48 PM</t>
  </si>
  <si>
    <t>Tommy Truong | Monday, Sep 16, 2024 06:36 PM</t>
  </si>
  <si>
    <t xml:space="preserve">6053 86th Dr S, Greenacres, FL
</t>
  </si>
  <si>
    <t>Mr. Maxwell | Thursday, Sep 19, 2024 07:10 PM</t>
  </si>
  <si>
    <t>Micbro14@gmail.com</t>
  </si>
  <si>
    <t>John Maxwell | Thursday, Sep 19, 2024 07:11 PM</t>
  </si>
  <si>
    <t>Kimberly Brown | Wednesday, Sep 25, 2024 01:03 PM</t>
  </si>
  <si>
    <t>Light Cinnadust</t>
  </si>
  <si>
    <t>Suzana | Thursday, Sep 26, 2024 10:22 PM</t>
  </si>
  <si>
    <t>Suzan | Thursday, Sep 26, 2024 10:23 PM</t>
  </si>
  <si>
    <t>Tommy Truong | Saturday, Sep 28, 2024 12:19 AM</t>
  </si>
  <si>
    <t xml:space="preserve">6053 86th Dr S, Greenacres, FL
</t>
  </si>
  <si>
    <t>Joany | Sunday, Sep 29, 2024 01:57 PM</t>
  </si>
  <si>
    <t>Joany | Tuesday, Oct 01, 2024 07:43 PM</t>
  </si>
  <si>
    <t xml:space="preserve">joanymaxinau83@gmail.com </t>
  </si>
  <si>
    <t>Mr. Maxwell  | Friday, Oct 04, 2024 12:10 PM</t>
  </si>
  <si>
    <t xml:space="preserve">Vanilla </t>
  </si>
  <si>
    <t>Yoseiry | Wednesday, Oct 16, 2024 06:07 PM</t>
  </si>
  <si>
    <t>Yoseiry002@gmail.com</t>
  </si>
  <si>
    <t>Dulce cream!</t>
  </si>
  <si>
    <t>Tammy Truong  | Thursday, Oct 17, 2024 03:32 PM</t>
  </si>
  <si>
    <t>Huckleberry Cheesecake &amp; choco chip cookie butter</t>
  </si>
  <si>
    <t>Tommy Truong | Friday, Oct 18, 2024 03:59 PM</t>
  </si>
  <si>
    <t xml:space="preserve">Cheat Week </t>
  </si>
  <si>
    <t>Tammy Truong | Friday, Oct 18, 2024 04:00 PM</t>
  </si>
  <si>
    <t>Tammy Truong 2 | Friday, Oct 18, 2024 04:00 PM</t>
  </si>
  <si>
    <t>3941 NW 126th Ave, Coral Springs, FL 33065</t>
  </si>
  <si>
    <t>Rocky Road</t>
  </si>
  <si>
    <t>Cookie Brownies</t>
  </si>
  <si>
    <t>Publix BOGO</t>
  </si>
  <si>
    <t>Thick?</t>
  </si>
  <si>
    <t>Yes</t>
  </si>
  <si>
    <t>Box Yellow Cake</t>
  </si>
  <si>
    <t>Cake  Mix</t>
  </si>
  <si>
    <t>Oil</t>
  </si>
  <si>
    <t xml:space="preserve">Light Sour Cream </t>
  </si>
  <si>
    <t xml:space="preserve">Peanut Butter Cookie Dough </t>
  </si>
  <si>
    <t xml:space="preserve">Vegan Vanilla Cheesecake </t>
  </si>
  <si>
    <t>Peanut Butter</t>
  </si>
  <si>
    <t>3/4 Sweet</t>
  </si>
  <si>
    <t xml:space="preserve">Vegan Cream Cheese </t>
  </si>
  <si>
    <t>Miyoko Walmart</t>
  </si>
  <si>
    <t>Pistachio</t>
  </si>
  <si>
    <t>N/A</t>
  </si>
  <si>
    <t>Amazon</t>
  </si>
  <si>
    <t>Huckleberry Preserves</t>
  </si>
  <si>
    <t>Vegan Cheesecake (Vegan Half and Half &amp; Vegan Cream Cheese) (NEW)</t>
  </si>
  <si>
    <t>Vegan Cream Cheese</t>
  </si>
  <si>
    <t>Phone Number</t>
  </si>
  <si>
    <t>Phone Number:</t>
  </si>
  <si>
    <t>Fairlife Core Power Protein Shake</t>
  </si>
  <si>
    <t xml:space="preserve">NOTE: Also contains Stevia and Monk Fruit </t>
  </si>
  <si>
    <t>Greek Cream Cheese</t>
  </si>
  <si>
    <t>Higher Protein</t>
  </si>
  <si>
    <t>Black Chocolate (Need to edit ratios)</t>
  </si>
  <si>
    <t>Protein Vanilla Cheesecake</t>
  </si>
  <si>
    <t>Milk Powder</t>
  </si>
  <si>
    <t>Total Protein (g)</t>
  </si>
  <si>
    <t>Protein Per Scoop (60g)</t>
  </si>
  <si>
    <t>Protein Cherry Apple Bourbon Butter</t>
  </si>
  <si>
    <t>Light Eggnog</t>
  </si>
  <si>
    <t>Lowfat Eggnog</t>
  </si>
  <si>
    <t>Strawberry Sorbet</t>
  </si>
  <si>
    <t xml:space="preserve">paid $14 </t>
  </si>
  <si>
    <t>Cake Batter Cheesecake</t>
  </si>
  <si>
    <t xml:space="preserve">Cheesecake </t>
  </si>
  <si>
    <t>Half and Half Amount</t>
  </si>
  <si>
    <t>Heavy Cream Amount</t>
  </si>
  <si>
    <t xml:space="preserve">Nutella Fudge </t>
  </si>
  <si>
    <t>Milk Chocolate</t>
  </si>
  <si>
    <t xml:space="preserve">Nutella </t>
  </si>
  <si>
    <t>Apple Butter Caramel Biscoff</t>
  </si>
  <si>
    <t xml:space="preserve">Swerve Brown Sugar </t>
  </si>
  <si>
    <t xml:space="preserve">Nonfat Greek Yogurt </t>
  </si>
  <si>
    <t>Hershey's No Sugar Added Chcolate Chips</t>
  </si>
  <si>
    <t>Lily's butterscotch chips</t>
  </si>
  <si>
    <t>splenda Magic Baker</t>
  </si>
  <si>
    <t xml:space="preserve">78 cal per serivng. 24 servings </t>
  </si>
  <si>
    <t xml:space="preserve">Dark Chocolate </t>
  </si>
  <si>
    <t>Cookie Butter Cheesecake</t>
  </si>
  <si>
    <t>Vegan Vanilla</t>
  </si>
  <si>
    <t xml:space="preserve">Sugar Cookie </t>
  </si>
  <si>
    <t>Spiked Eggnog</t>
  </si>
  <si>
    <t>Poinsetta</t>
  </si>
  <si>
    <t>Sorrel</t>
  </si>
  <si>
    <t xml:space="preserve">  n</t>
  </si>
  <si>
    <t xml:space="preserve">Splenda Magic Baker </t>
  </si>
  <si>
    <t>Christian Pham | Sunday, Nov 10, 2024 07:54 PM</t>
  </si>
  <si>
    <t xml:space="preserve">110g whole, 189 diced, 240 drained entire can, 371g syrup, syrup condensed is 82g </t>
  </si>
  <si>
    <t>Lychee Syrup</t>
  </si>
  <si>
    <t xml:space="preserve">Lychee Strawberry </t>
  </si>
  <si>
    <t>_Extracts</t>
  </si>
  <si>
    <t>_Powders</t>
  </si>
  <si>
    <t>_Fruits</t>
  </si>
  <si>
    <t>_Drizzles</t>
  </si>
  <si>
    <t>_Alcohols</t>
  </si>
  <si>
    <t>_Mixes</t>
  </si>
  <si>
    <t>_Syrups</t>
  </si>
  <si>
    <t>_Butters</t>
  </si>
  <si>
    <t>_Thickners</t>
  </si>
  <si>
    <t>_Chocolates</t>
  </si>
  <si>
    <t>_Cookies</t>
  </si>
  <si>
    <t>_Cookie Dough</t>
  </si>
  <si>
    <t>_Sprinkles</t>
  </si>
  <si>
    <t>_Cakes</t>
  </si>
  <si>
    <t>_Frostings</t>
  </si>
  <si>
    <t>_Nuts</t>
  </si>
  <si>
    <t>_Cereals</t>
  </si>
  <si>
    <t>_Experimental</t>
  </si>
  <si>
    <t>_Marshmallows</t>
  </si>
  <si>
    <t>_Sugar Sweetners</t>
  </si>
  <si>
    <t>_Non-Sugar Sweetners</t>
  </si>
  <si>
    <r>
      <t>_</t>
    </r>
    <r>
      <rPr>
        <b/>
        <sz val="11"/>
        <color theme="1"/>
        <rFont val="Calibri"/>
        <family val="2"/>
        <scheme val="minor"/>
      </rPr>
      <t>Fall Flavors</t>
    </r>
  </si>
  <si>
    <t>_Traditional</t>
  </si>
  <si>
    <t>Cake Batter</t>
  </si>
  <si>
    <t>_Spring Flavors</t>
  </si>
  <si>
    <t xml:space="preserve">_Specialty </t>
  </si>
  <si>
    <t>Cinnamon Cereal</t>
  </si>
  <si>
    <t>Vegan Cookies and Cream</t>
  </si>
  <si>
    <t>_Vegan</t>
  </si>
  <si>
    <t>_Low Calorie</t>
  </si>
  <si>
    <r>
      <t>_</t>
    </r>
    <r>
      <rPr>
        <b/>
        <sz val="11"/>
        <color theme="1"/>
        <rFont val="Calibri"/>
        <family val="2"/>
        <scheme val="minor"/>
      </rPr>
      <t>Diabetic Friendly</t>
    </r>
  </si>
  <si>
    <t>_NOT FEATURED</t>
  </si>
  <si>
    <t>_FEATURED: Winter Flavors</t>
  </si>
  <si>
    <t>Black Raspberry Cookies and Cream</t>
  </si>
  <si>
    <t>Additional Costs</t>
  </si>
  <si>
    <t>Size Amount Multiplier</t>
  </si>
  <si>
    <t>Size Amount (g)</t>
  </si>
  <si>
    <t xml:space="preserve">Kwh Cost </t>
  </si>
  <si>
    <t>Kwh price for Ice Cream Machine</t>
  </si>
  <si>
    <t>Kwh price for Freezer</t>
  </si>
  <si>
    <t>Sweetner Specs</t>
  </si>
  <si>
    <t>MixInSpecs</t>
  </si>
  <si>
    <t>Liquid Specs</t>
  </si>
  <si>
    <t>Black Raspberry Jam</t>
  </si>
  <si>
    <t>Cherry Apple Bourbon Butter</t>
  </si>
  <si>
    <t>Trader Joes (Seasonal)</t>
  </si>
  <si>
    <t>Ikea (Recommends 1:6 ratio)</t>
  </si>
  <si>
    <t>Sweetner Type 2 Amount (x 100g)</t>
  </si>
  <si>
    <t>Maple Cinnamon</t>
  </si>
  <si>
    <t>Zero Sugar Maple Naturally Flavored Syrup</t>
  </si>
  <si>
    <t>Sprout Market</t>
  </si>
  <si>
    <t>Stuffed Puffs - Cookies 'N Crème</t>
  </si>
  <si>
    <t>Shamrock Farms Protein Shake</t>
  </si>
  <si>
    <t>10276 SW 24th Ct, Miramar, FL 33025</t>
  </si>
  <si>
    <t>Protein Cake Batter Cookies and Cream Cheesecake (Need to blend better)</t>
  </si>
  <si>
    <t>Protein Cheesecake Cookies and Cream</t>
  </si>
  <si>
    <t>_Protein Plus</t>
  </si>
  <si>
    <t xml:space="preserve">Protein Cake Batter Cookies and Cream Cheesecake </t>
  </si>
  <si>
    <t>Carbs</t>
  </si>
  <si>
    <t>Fiber</t>
  </si>
  <si>
    <t>Thickener Amount (x tbsp)</t>
  </si>
  <si>
    <t>Thickener Amount (ml)</t>
  </si>
  <si>
    <t>Thickener</t>
  </si>
  <si>
    <t>Egg Yolks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</si>
</sst>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OPTIFrankfurter-Medium"/>
      <family val="3"/>
    </font>
    <font>
      <sz val="5"/>
      <color rgb="FF000000"/>
      <name val="OPTIFrankfurter-Medium"/>
      <family val="3"/>
    </font>
    <font>
      <sz val="8"/>
      <name val="Calibri"/>
      <family val="2"/>
      <scheme val="minor"/>
    </font>
    <font>
      <sz val="8"/>
      <color rgb="FF000000"/>
      <name val="OPTIFrankfurter-Medium"/>
      <family val="3"/>
    </font>
    <font>
      <sz val="11"/>
      <name val="Times New Roman"/>
      <family val="1"/>
    </font>
    <font>
      <sz val="11"/>
      <color rgb="FF000000"/>
      <name val="Segoe UI"/>
      <family val="2"/>
    </font>
    <font>
      <sz val="8"/>
      <color theme="1"/>
      <name val="Segoe UI"/>
      <family val="2"/>
    </font>
    <font>
      <b/>
      <sz val="8"/>
      <color theme="1"/>
      <name val="Segoe U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Roboto"/>
      <family val="18"/>
    </font>
    <font>
      <sz val="6"/>
      <name val="Yu Gothic"/>
      <family val="2"/>
      <charset val="128"/>
    </font>
    <font>
      <b/>
      <sz val="11"/>
      <color rgb="FF006100"/>
      <name val="Calibri"/>
      <family val="2"/>
      <scheme val="minor"/>
    </font>
    <font>
      <sz val="6"/>
      <name val="Arial"/>
      <family val="2"/>
    </font>
    <font>
      <sz val="8"/>
      <name val="Arial"/>
      <family val="2"/>
    </font>
    <font>
      <sz val="11"/>
      <color theme="1"/>
      <name val="Arial Black"/>
      <family val="2"/>
    </font>
    <font>
      <b/>
      <sz val="31"/>
      <color rgb="FF000000"/>
      <name val="Arial Black"/>
      <family val="2"/>
    </font>
    <font>
      <sz val="12"/>
      <color rgb="FF000000"/>
      <name val="Arial"/>
      <family val="2"/>
    </font>
    <font>
      <sz val="14"/>
      <color rgb="FF000000"/>
      <name val="Arial Black"/>
      <family val="2"/>
    </font>
    <font>
      <sz val="9"/>
      <color rgb="FF000000"/>
      <name val="Arial Black"/>
      <family val="2"/>
    </font>
    <font>
      <sz val="28"/>
      <color rgb="FF000000"/>
      <name val="Arial Black"/>
      <family val="2"/>
    </font>
    <font>
      <sz val="22"/>
      <color rgb="FF000000"/>
      <name val="Arial Black"/>
      <family val="2"/>
    </font>
    <font>
      <sz val="10"/>
      <color rgb="FF000000"/>
      <name val="Arial Black"/>
      <family val="2"/>
    </font>
    <font>
      <sz val="10"/>
      <color rgb="FF000000"/>
      <name val="Arial"/>
      <family val="2"/>
    </font>
    <font>
      <sz val="8"/>
      <color rgb="FF231F20"/>
      <name val="Arial"/>
      <family val="2"/>
    </font>
    <font>
      <sz val="11"/>
      <color rgb="FF006100"/>
      <name val="Consolas"/>
    </font>
    <font>
      <b/>
      <sz val="10"/>
      <color rgb="FF111111"/>
      <name val="Roboto"/>
    </font>
    <font>
      <sz val="10"/>
      <color rgb="FF111111"/>
      <name val="Roboto"/>
    </font>
    <font>
      <sz val="11"/>
      <color rgb="FF282523"/>
      <name val="Arial"/>
      <family val="2"/>
    </font>
    <font>
      <sz val="11"/>
      <color rgb="FF282523"/>
      <name val="Arial"/>
      <family val="2"/>
    </font>
    <font>
      <sz val="11"/>
      <color rgb="FF282523"/>
      <name val="Arial"/>
      <family val="2"/>
    </font>
    <font>
      <b/>
      <sz val="11"/>
      <color rgb="FF282523"/>
      <name val="Arial"/>
      <family val="2"/>
    </font>
    <font>
      <sz val="11"/>
      <color rgb="FF000000"/>
      <name val="Arial Black"/>
      <family val="2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8"/>
      </patternFill>
    </fill>
    <fill>
      <patternFill patternType="solid">
        <fgColor rgb="FFDDEBF7"/>
        <bgColor rgb="FFDDEBF7"/>
      </patternFill>
    </fill>
    <fill>
      <patternFill patternType="solid">
        <fgColor rgb="FFF8F9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156">
    <xf numFmtId="0" fontId="0" fillId="0" borderId="0" xfId="0"/>
    <xf numFmtId="0" fontId="2" fillId="2" borderId="0" xfId="2"/>
    <xf numFmtId="0" fontId="3" fillId="3" borderId="0" xfId="3"/>
    <xf numFmtId="0" fontId="4" fillId="4" borderId="0" xfId="4"/>
    <xf numFmtId="2" fontId="0" fillId="0" borderId="0" xfId="0" applyNumberFormat="1"/>
    <xf numFmtId="12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right"/>
    </xf>
    <xf numFmtId="10" fontId="0" fillId="0" borderId="0" xfId="0" applyNumberFormat="1" applyAlignment="1">
      <alignment horizontal="right"/>
    </xf>
    <xf numFmtId="44" fontId="0" fillId="0" borderId="0" xfId="1" applyFont="1"/>
    <xf numFmtId="4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5" fillId="5" borderId="0" xfId="0" applyFont="1" applyFill="1"/>
    <xf numFmtId="44" fontId="0" fillId="0" borderId="0" xfId="1" applyFont="1" applyAlignment="1">
      <alignment horizontal="left" indent="3"/>
    </xf>
    <xf numFmtId="1" fontId="7" fillId="0" borderId="0" xfId="0" applyNumberFormat="1" applyFont="1" applyAlignment="1">
      <alignment horizontal="left"/>
    </xf>
    <xf numFmtId="0" fontId="8" fillId="6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center"/>
    </xf>
    <xf numFmtId="44" fontId="10" fillId="6" borderId="1" xfId="1" applyFont="1" applyFill="1" applyBorder="1" applyAlignment="1">
      <alignment horizontal="center" vertical="center" wrapText="1"/>
    </xf>
    <xf numFmtId="0" fontId="12" fillId="0" borderId="0" xfId="0" applyFont="1"/>
    <xf numFmtId="0" fontId="0" fillId="0" borderId="0" xfId="1" applyNumberFormat="1" applyFont="1"/>
    <xf numFmtId="0" fontId="13" fillId="0" borderId="0" xfId="0" applyFont="1" applyAlignment="1">
      <alignment horizontal="left" vertical="center" wrapText="1" indent="1"/>
    </xf>
    <xf numFmtId="0" fontId="15" fillId="0" borderId="0" xfId="5"/>
    <xf numFmtId="0" fontId="16" fillId="0" borderId="0" xfId="0" applyFont="1"/>
    <xf numFmtId="164" fontId="0" fillId="0" borderId="0" xfId="0" applyNumberFormat="1" applyAlignment="1">
      <alignment horizontal="right"/>
    </xf>
    <xf numFmtId="0" fontId="17" fillId="0" borderId="0" xfId="0" applyFont="1" applyAlignment="1">
      <alignment wrapText="1"/>
    </xf>
    <xf numFmtId="49" fontId="0" fillId="8" borderId="4" xfId="0" applyNumberFormat="1" applyFill="1" applyBorder="1"/>
    <xf numFmtId="0" fontId="0" fillId="0" borderId="5" xfId="0" applyBorder="1"/>
    <xf numFmtId="0" fontId="2" fillId="2" borderId="5" xfId="2" applyBorder="1"/>
    <xf numFmtId="0" fontId="3" fillId="3" borderId="5" xfId="3" applyBorder="1"/>
    <xf numFmtId="0" fontId="4" fillId="4" borderId="5" xfId="4" applyBorder="1"/>
    <xf numFmtId="2" fontId="0" fillId="0" borderId="5" xfId="0" applyNumberFormat="1" applyBorder="1"/>
    <xf numFmtId="12" fontId="0" fillId="0" borderId="5" xfId="0" applyNumberFormat="1" applyBorder="1"/>
    <xf numFmtId="1" fontId="0" fillId="0" borderId="5" xfId="0" applyNumberFormat="1" applyBorder="1"/>
    <xf numFmtId="1" fontId="0" fillId="0" borderId="5" xfId="0" applyNumberFormat="1" applyBorder="1" applyAlignment="1">
      <alignment horizontal="right"/>
    </xf>
    <xf numFmtId="10" fontId="0" fillId="0" borderId="5" xfId="0" applyNumberFormat="1" applyBorder="1" applyAlignment="1">
      <alignment horizontal="right"/>
    </xf>
    <xf numFmtId="44" fontId="0" fillId="0" borderId="5" xfId="1" applyFont="1" applyBorder="1"/>
    <xf numFmtId="44" fontId="0" fillId="0" borderId="5" xfId="0" applyNumberFormat="1" applyBorder="1"/>
    <xf numFmtId="0" fontId="0" fillId="7" borderId="5" xfId="0" applyFill="1" applyBorder="1"/>
    <xf numFmtId="0" fontId="0" fillId="10" borderId="5" xfId="0" applyFill="1" applyBorder="1"/>
    <xf numFmtId="0" fontId="19" fillId="2" borderId="5" xfId="2" applyFont="1" applyBorder="1"/>
    <xf numFmtId="0" fontId="0" fillId="9" borderId="5" xfId="0" applyFill="1" applyBorder="1"/>
    <xf numFmtId="0" fontId="6" fillId="0" borderId="5" xfId="2" applyFont="1" applyFill="1" applyBorder="1"/>
    <xf numFmtId="0" fontId="0" fillId="0" borderId="5" xfId="0" applyBorder="1" applyAlignment="1">
      <alignment wrapText="1"/>
    </xf>
    <xf numFmtId="164" fontId="0" fillId="0" borderId="5" xfId="0" applyNumberFormat="1" applyBorder="1"/>
    <xf numFmtId="44" fontId="16" fillId="0" borderId="5" xfId="0" applyNumberFormat="1" applyFont="1" applyBorder="1"/>
    <xf numFmtId="0" fontId="6" fillId="11" borderId="5" xfId="0" applyFont="1" applyFill="1" applyBorder="1"/>
    <xf numFmtId="0" fontId="0" fillId="12" borderId="5" xfId="0" applyFill="1" applyBorder="1"/>
    <xf numFmtId="0" fontId="0" fillId="13" borderId="5" xfId="0" applyFill="1" applyBorder="1"/>
    <xf numFmtId="0" fontId="0" fillId="14" borderId="5" xfId="0" applyFill="1" applyBorder="1"/>
    <xf numFmtId="0" fontId="2" fillId="15" borderId="5" xfId="2" applyFill="1" applyBorder="1"/>
    <xf numFmtId="1" fontId="0" fillId="15" borderId="5" xfId="0" applyNumberFormat="1" applyFill="1" applyBorder="1" applyAlignment="1">
      <alignment horizontal="right"/>
    </xf>
    <xf numFmtId="0" fontId="0" fillId="15" borderId="0" xfId="0" applyFill="1"/>
    <xf numFmtId="0" fontId="2" fillId="7" borderId="5" xfId="2" applyFill="1" applyBorder="1"/>
    <xf numFmtId="1" fontId="0" fillId="7" borderId="5" xfId="0" applyNumberFormat="1" applyFill="1" applyBorder="1"/>
    <xf numFmtId="0" fontId="0" fillId="7" borderId="0" xfId="0" applyFill="1"/>
    <xf numFmtId="0" fontId="0" fillId="0" borderId="0" xfId="0" applyAlignment="1">
      <alignment horizontal="left" wrapText="1"/>
    </xf>
    <xf numFmtId="0" fontId="0" fillId="11" borderId="0" xfId="0" applyFill="1" applyAlignment="1">
      <alignment wrapText="1"/>
    </xf>
    <xf numFmtId="0" fontId="0" fillId="0" borderId="0" xfId="0" applyAlignment="1">
      <alignment horizontal="left" vertical="top" wrapText="1"/>
    </xf>
    <xf numFmtId="0" fontId="22" fillId="0" borderId="0" xfId="0" applyFont="1" applyAlignment="1">
      <alignment vertical="top"/>
    </xf>
    <xf numFmtId="0" fontId="25" fillId="0" borderId="6" xfId="0" applyFont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26" fillId="0" borderId="6" xfId="0" applyFont="1" applyBorder="1" applyAlignment="1">
      <alignment horizontal="left" vertical="top"/>
    </xf>
    <xf numFmtId="0" fontId="28" fillId="0" borderId="6" xfId="0" applyFont="1" applyBorder="1" applyAlignment="1">
      <alignment horizontal="left"/>
    </xf>
    <xf numFmtId="0" fontId="29" fillId="0" borderId="8" xfId="0" applyFont="1" applyBorder="1" applyAlignment="1">
      <alignment vertical="top"/>
    </xf>
    <xf numFmtId="0" fontId="30" fillId="0" borderId="9" xfId="0" applyFont="1" applyBorder="1" applyAlignment="1">
      <alignment horizontal="left" vertical="top"/>
    </xf>
    <xf numFmtId="0" fontId="30" fillId="0" borderId="8" xfId="0" applyFont="1" applyBorder="1" applyAlignment="1">
      <alignment vertical="top"/>
    </xf>
    <xf numFmtId="0" fontId="23" fillId="11" borderId="0" xfId="0" applyFont="1" applyFill="1" applyAlignment="1">
      <alignment vertical="center"/>
    </xf>
    <xf numFmtId="0" fontId="0" fillId="14" borderId="0" xfId="0" applyFill="1"/>
    <xf numFmtId="0" fontId="0" fillId="10" borderId="0" xfId="0" applyFill="1"/>
    <xf numFmtId="0" fontId="0" fillId="11" borderId="5" xfId="0" applyFill="1" applyBorder="1"/>
    <xf numFmtId="0" fontId="32" fillId="2" borderId="5" xfId="2" applyNumberFormat="1" applyFont="1" applyBorder="1" applyAlignment="1">
      <alignment horizontal="left" wrapText="1"/>
    </xf>
    <xf numFmtId="0" fontId="6" fillId="11" borderId="5" xfId="2" applyFont="1" applyFill="1" applyBorder="1"/>
    <xf numFmtId="2" fontId="10" fillId="6" borderId="1" xfId="0" applyNumberFormat="1" applyFont="1" applyFill="1" applyBorder="1" applyAlignment="1">
      <alignment horizontal="center" vertical="center" wrapText="1"/>
    </xf>
    <xf numFmtId="2" fontId="16" fillId="0" borderId="0" xfId="0" applyNumberFormat="1" applyFont="1"/>
    <xf numFmtId="8" fontId="0" fillId="0" borderId="0" xfId="0" applyNumberFormat="1"/>
    <xf numFmtId="0" fontId="0" fillId="17" borderId="0" xfId="0" applyFill="1"/>
    <xf numFmtId="0" fontId="33" fillId="0" borderId="0" xfId="0" applyFont="1" applyAlignment="1">
      <alignment horizontal="left" vertical="center" wrapText="1"/>
    </xf>
    <xf numFmtId="0" fontId="34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17" xfId="0" applyBorder="1"/>
    <xf numFmtId="0" fontId="35" fillId="0" borderId="18" xfId="0" applyFont="1" applyBorder="1" applyAlignment="1">
      <alignment horizontal="left" vertical="center" wrapText="1"/>
    </xf>
    <xf numFmtId="0" fontId="36" fillId="0" borderId="18" xfId="0" applyFont="1" applyBorder="1" applyAlignment="1">
      <alignment horizontal="left" vertical="center" wrapText="1"/>
    </xf>
    <xf numFmtId="0" fontId="37" fillId="0" borderId="18" xfId="0" applyFont="1" applyBorder="1" applyAlignment="1">
      <alignment horizontal="left" vertical="center" wrapText="1"/>
    </xf>
    <xf numFmtId="0" fontId="36" fillId="0" borderId="19" xfId="0" applyFont="1" applyBorder="1" applyAlignment="1">
      <alignment horizontal="left" vertical="center" wrapText="1"/>
    </xf>
    <xf numFmtId="0" fontId="36" fillId="7" borderId="18" xfId="0" applyFont="1" applyFill="1" applyBorder="1" applyAlignment="1">
      <alignment horizontal="left" vertical="center" wrapText="1"/>
    </xf>
    <xf numFmtId="0" fontId="38" fillId="7" borderId="18" xfId="0" applyFont="1" applyFill="1" applyBorder="1" applyAlignment="1">
      <alignment horizontal="left" vertical="center" wrapText="1"/>
    </xf>
    <xf numFmtId="0" fontId="35" fillId="0" borderId="19" xfId="0" applyFont="1" applyBorder="1" applyAlignment="1">
      <alignment horizontal="left" vertical="center" wrapText="1"/>
    </xf>
    <xf numFmtId="0" fontId="35" fillId="0" borderId="0" xfId="0" applyFont="1" applyAlignment="1">
      <alignment horizontal="left" vertical="center" wrapText="1"/>
    </xf>
    <xf numFmtId="0" fontId="25" fillId="0" borderId="0" xfId="0" applyFont="1" applyAlignment="1">
      <alignment vertical="center"/>
    </xf>
    <xf numFmtId="0" fontId="0" fillId="11" borderId="0" xfId="0" applyFill="1" applyAlignment="1">
      <alignment vertical="top"/>
    </xf>
    <xf numFmtId="0" fontId="0" fillId="11" borderId="0" xfId="0" applyFill="1"/>
    <xf numFmtId="0" fontId="27" fillId="0" borderId="7" xfId="0" applyFont="1" applyBorder="1" applyAlignment="1">
      <alignment vertical="top"/>
    </xf>
    <xf numFmtId="0" fontId="29" fillId="0" borderId="0" xfId="0" applyFont="1" applyAlignment="1">
      <alignment vertical="top"/>
    </xf>
    <xf numFmtId="0" fontId="29" fillId="0" borderId="7" xfId="0" applyFont="1" applyBorder="1" applyAlignment="1">
      <alignment vertical="top"/>
    </xf>
    <xf numFmtId="0" fontId="29" fillId="0" borderId="11" xfId="0" applyFont="1" applyBorder="1" applyAlignment="1">
      <alignment vertical="top"/>
    </xf>
    <xf numFmtId="0" fontId="30" fillId="0" borderId="12" xfId="0" applyFont="1" applyBorder="1" applyAlignment="1">
      <alignment horizontal="left" vertical="top"/>
    </xf>
    <xf numFmtId="0" fontId="0" fillId="0" borderId="20" xfId="0" applyBorder="1"/>
    <xf numFmtId="0" fontId="0" fillId="0" borderId="21" xfId="0" applyBorder="1"/>
    <xf numFmtId="0" fontId="30" fillId="0" borderId="5" xfId="0" applyFont="1" applyBorder="1" applyAlignment="1">
      <alignment horizontal="right" vertical="top"/>
    </xf>
    <xf numFmtId="0" fontId="30" fillId="0" borderId="21" xfId="0" applyFont="1" applyBorder="1" applyAlignment="1">
      <alignment horizontal="right" vertical="top"/>
    </xf>
    <xf numFmtId="0" fontId="29" fillId="0" borderId="21" xfId="0" applyFont="1" applyBorder="1" applyAlignment="1">
      <alignment horizontal="right" vertical="top"/>
    </xf>
    <xf numFmtId="0" fontId="0" fillId="16" borderId="17" xfId="0" applyFill="1" applyBorder="1" applyAlignment="1">
      <alignment vertical="top"/>
    </xf>
    <xf numFmtId="0" fontId="24" fillId="11" borderId="0" xfId="0" applyFont="1" applyFill="1" applyAlignment="1">
      <alignment vertical="top"/>
    </xf>
    <xf numFmtId="0" fontId="25" fillId="11" borderId="0" xfId="0" applyFont="1" applyFill="1" applyAlignment="1">
      <alignment vertical="center"/>
    </xf>
    <xf numFmtId="0" fontId="0" fillId="11" borderId="0" xfId="0" applyFill="1" applyAlignment="1">
      <alignment horizontal="left" vertical="top"/>
    </xf>
    <xf numFmtId="0" fontId="27" fillId="11" borderId="0" xfId="0" applyFont="1" applyFill="1" applyAlignment="1">
      <alignment vertical="top"/>
    </xf>
    <xf numFmtId="0" fontId="29" fillId="11" borderId="0" xfId="0" applyFont="1" applyFill="1" applyAlignment="1">
      <alignment vertical="top"/>
    </xf>
    <xf numFmtId="9" fontId="29" fillId="11" borderId="0" xfId="0" applyNumberFormat="1" applyFont="1" applyFill="1" applyAlignment="1">
      <alignment vertical="top"/>
    </xf>
    <xf numFmtId="0" fontId="20" fillId="11" borderId="0" xfId="0" applyFont="1" applyFill="1" applyAlignment="1">
      <alignment vertical="top" wrapText="1"/>
    </xf>
    <xf numFmtId="0" fontId="0" fillId="18" borderId="0" xfId="0" applyFill="1"/>
    <xf numFmtId="0" fontId="0" fillId="19" borderId="5" xfId="0" applyFill="1" applyBorder="1"/>
    <xf numFmtId="0" fontId="2" fillId="2" borderId="17" xfId="2" applyBorder="1"/>
    <xf numFmtId="0" fontId="16" fillId="12" borderId="5" xfId="0" applyFont="1" applyFill="1" applyBorder="1"/>
    <xf numFmtId="0" fontId="0" fillId="12" borderId="0" xfId="0" applyFill="1"/>
    <xf numFmtId="0" fontId="16" fillId="20" borderId="5" xfId="0" applyFont="1" applyFill="1" applyBorder="1"/>
    <xf numFmtId="0" fontId="0" fillId="20" borderId="5" xfId="0" applyFill="1" applyBorder="1"/>
    <xf numFmtId="0" fontId="16" fillId="11" borderId="0" xfId="0" applyFont="1" applyFill="1"/>
    <xf numFmtId="0" fontId="16" fillId="11" borderId="5" xfId="0" applyFont="1" applyFill="1" applyBorder="1"/>
    <xf numFmtId="0" fontId="10" fillId="6" borderId="2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center" vertical="center" wrapText="1"/>
    </xf>
    <xf numFmtId="0" fontId="29" fillId="0" borderId="6" xfId="0" applyFont="1" applyBorder="1" applyAlignment="1">
      <alignment horizontal="right" vertical="top"/>
    </xf>
    <xf numFmtId="0" fontId="29" fillId="0" borderId="0" xfId="0" applyFont="1" applyAlignment="1">
      <alignment horizontal="right" vertical="top"/>
    </xf>
    <xf numFmtId="0" fontId="29" fillId="0" borderId="7" xfId="0" applyFont="1" applyBorder="1" applyAlignment="1">
      <alignment horizontal="right" vertical="top"/>
    </xf>
    <xf numFmtId="0" fontId="21" fillId="0" borderId="11" xfId="0" applyFont="1" applyBorder="1" applyAlignment="1">
      <alignment horizontal="center" vertical="top" wrapText="1"/>
    </xf>
    <xf numFmtId="0" fontId="21" fillId="0" borderId="12" xfId="0" applyFont="1" applyBorder="1" applyAlignment="1">
      <alignment horizontal="center" vertical="top" wrapText="1"/>
    </xf>
    <xf numFmtId="0" fontId="21" fillId="0" borderId="13" xfId="0" applyFont="1" applyBorder="1" applyAlignment="1">
      <alignment horizontal="center" vertical="top" wrapText="1"/>
    </xf>
    <xf numFmtId="0" fontId="21" fillId="0" borderId="14" xfId="0" applyFont="1" applyBorder="1" applyAlignment="1">
      <alignment horizontal="center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16" xfId="0" applyFont="1" applyBorder="1" applyAlignment="1">
      <alignment horizontal="center" vertical="top" wrapText="1"/>
    </xf>
    <xf numFmtId="0" fontId="23" fillId="0" borderId="8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9" fontId="29" fillId="0" borderId="9" xfId="0" applyNumberFormat="1" applyFont="1" applyBorder="1" applyAlignment="1">
      <alignment horizontal="right" vertical="top"/>
    </xf>
    <xf numFmtId="9" fontId="29" fillId="0" borderId="10" xfId="0" applyNumberFormat="1" applyFont="1" applyBorder="1" applyAlignment="1">
      <alignment horizontal="right" vertical="top"/>
    </xf>
    <xf numFmtId="9" fontId="29" fillId="0" borderId="12" xfId="0" applyNumberFormat="1" applyFont="1" applyBorder="1" applyAlignment="1">
      <alignment horizontal="right" vertical="top"/>
    </xf>
    <xf numFmtId="9" fontId="29" fillId="0" borderId="13" xfId="0" applyNumberFormat="1" applyFont="1" applyBorder="1" applyAlignment="1">
      <alignment horizontal="right" vertical="top"/>
    </xf>
    <xf numFmtId="0" fontId="27" fillId="0" borderId="0" xfId="0" applyFont="1" applyAlignment="1">
      <alignment horizontal="right" vertical="top"/>
    </xf>
    <xf numFmtId="0" fontId="27" fillId="0" borderId="7" xfId="0" applyFont="1" applyBorder="1" applyAlignment="1">
      <alignment horizontal="right" vertical="top"/>
    </xf>
    <xf numFmtId="0" fontId="24" fillId="0" borderId="6" xfId="0" applyFont="1" applyBorder="1" applyAlignment="1">
      <alignment horizontal="left" vertical="top"/>
    </xf>
    <xf numFmtId="0" fontId="24" fillId="0" borderId="0" xfId="0" applyFont="1" applyAlignment="1">
      <alignment horizontal="left" vertical="top"/>
    </xf>
    <xf numFmtId="0" fontId="24" fillId="0" borderId="7" xfId="0" applyFont="1" applyBorder="1" applyAlignment="1">
      <alignment horizontal="left" vertical="top"/>
    </xf>
    <xf numFmtId="0" fontId="25" fillId="0" borderId="0" xfId="0" applyFont="1" applyAlignment="1">
      <alignment horizontal="right" vertical="center"/>
    </xf>
    <xf numFmtId="0" fontId="25" fillId="0" borderId="7" xfId="0" applyFont="1" applyBorder="1" applyAlignment="1">
      <alignment horizontal="right" vertical="center"/>
    </xf>
    <xf numFmtId="0" fontId="0" fillId="16" borderId="6" xfId="0" applyFill="1" applyBorder="1" applyAlignment="1">
      <alignment horizontal="center" vertical="top"/>
    </xf>
    <xf numFmtId="0" fontId="0" fillId="16" borderId="0" xfId="0" applyFill="1" applyAlignment="1">
      <alignment horizontal="center" vertical="top"/>
    </xf>
    <xf numFmtId="0" fontId="0" fillId="16" borderId="7" xfId="0" applyFill="1" applyBorder="1" applyAlignment="1">
      <alignment horizontal="center" vertical="top"/>
    </xf>
    <xf numFmtId="0" fontId="27" fillId="0" borderId="17" xfId="0" applyFont="1" applyBorder="1" applyAlignment="1">
      <alignment horizontal="right" vertical="top"/>
    </xf>
    <xf numFmtId="0" fontId="27" fillId="0" borderId="21" xfId="0" applyFont="1" applyBorder="1" applyAlignment="1">
      <alignment horizontal="right" vertical="top"/>
    </xf>
    <xf numFmtId="0" fontId="39" fillId="0" borderId="20" xfId="0" applyFont="1" applyBorder="1" applyAlignment="1">
      <alignment horizontal="center" vertical="center" wrapText="1"/>
    </xf>
    <xf numFmtId="0" fontId="39" fillId="0" borderId="17" xfId="0" applyFont="1" applyBorder="1" applyAlignment="1">
      <alignment horizontal="center" vertical="center" wrapText="1"/>
    </xf>
  </cellXfs>
  <cellStyles count="6">
    <cellStyle name="Accent5" xfId="4" builtinId="45"/>
    <cellStyle name="Currency" xfId="1" builtinId="4"/>
    <cellStyle name="Good" xfId="2" builtinId="26"/>
    <cellStyle name="Hyperlink" xfId="5" builtinId="8"/>
    <cellStyle name="Neutral" xfId="3" builtinId="2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Drop" dropStyle="simple" dx="17" sel="0" val="0" widthMin="21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608757</xdr:colOff>
      <xdr:row>10</xdr:row>
      <xdr:rowOff>92095</xdr:rowOff>
    </xdr:from>
    <xdr:to>
      <xdr:col>7</xdr:col>
      <xdr:colOff>795420</xdr:colOff>
      <xdr:row>23</xdr:row>
      <xdr:rowOff>72389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8651" y="2179489"/>
          <a:ext cx="2355120" cy="2483139"/>
        </a:xfrm>
        <a:prstGeom prst="rect">
          <a:avLst/>
        </a:prstGeom>
      </xdr:spPr>
    </xdr:pic>
    <xdr:clientData/>
  </xdr:twoCellAnchor>
  <xdr:oneCellAnchor>
    <xdr:from>
      <xdr:col>5</xdr:col>
      <xdr:colOff>800644</xdr:colOff>
      <xdr:row>13</xdr:row>
      <xdr:rowOff>84551</xdr:rowOff>
    </xdr:from>
    <xdr:ext cx="1961643" cy="1648556"/>
    <xdr:sp macro="" textlink="$H$9">
      <xdr:nvSpPr>
        <xdr:cNvPr id="7" name="Rectang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21405164">
          <a:off x="3840538" y="2749524"/>
          <a:ext cx="1961643" cy="1648556"/>
        </a:xfrm>
        <a:prstGeom prst="rect">
          <a:avLst/>
        </a:prstGeom>
        <a:noFill/>
      </xdr:spPr>
      <xdr:txBody>
        <a:bodyPr wrap="none" lIns="91440" tIns="45720" rIns="91440" bIns="45720">
          <a:prstTxWarp prst="textArchDown">
            <a:avLst>
              <a:gd name="adj" fmla="val 17134044"/>
            </a:avLst>
          </a:prstTxWarp>
          <a:spAutoFit/>
        </a:bodyPr>
        <a:lstStyle/>
        <a:p>
          <a:pPr algn="ctr"/>
          <a:fld id="{00EF93AD-E1F4-4629-B802-E8B692BBA1BA}" type="TxLink">
            <a:rPr lang="en-US" sz="1100" b="0" i="0" u="none" strike="noStrike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TIFrankfurter-Medium" pitchFamily="50" charset="0"/>
              <a:ea typeface="Calibri"/>
              <a:cs typeface="Calibri"/>
            </a:rPr>
            <a:pPr algn="ctr"/>
            <a:t>Rum Raisin</a:t>
          </a:fld>
          <a:endParaRPr lang="en-US" b="0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TIFrankfurter-Medium" pitchFamily="50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1027" name="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14</xdr:row>
          <xdr:rowOff>66675</xdr:rowOff>
        </xdr:from>
        <xdr:to>
          <xdr:col>8</xdr:col>
          <xdr:colOff>895350</xdr:colOff>
          <xdr:row>16</xdr:row>
          <xdr:rowOff>95250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84e66801b230499/Create%20Your%20Own%20Ice%20Cream!%20_%20Micah's%20Cookies%20and%20Creams%20Beta.xlsx" TargetMode="External"/><Relationship Id="rId1" Type="http://schemas.openxmlformats.org/officeDocument/2006/relationships/externalLinkPath" Target="/e84e66801b230499/Create%20Your%20Own%20Ice%20Cream!%20_%20Micah's%20Cookies%20and%20Creams%20Beta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84e66801b230499/Create%20Your%20Own%20Ice%20Cream!%20_%20Micah's%20Cookies%20and%20Creams%20Test.xlsx" TargetMode="External"/><Relationship Id="rId1" Type="http://schemas.openxmlformats.org/officeDocument/2006/relationships/externalLinkPath" Target="/e84e66801b230499/Create%20Your%20Own%20Ice%20Cream!%20_%20Micah's%20Cookies%20and%20Creams%20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A1" t="str">
            <v>Id</v>
          </cell>
          <cell r="B1" t="str">
            <v>Start time</v>
          </cell>
          <cell r="C1" t="str">
            <v>Completion time</v>
          </cell>
          <cell r="D1" t="str">
            <v>Email</v>
          </cell>
          <cell r="E1" t="str">
            <v>Name</v>
          </cell>
          <cell r="F1" t="str">
            <v>What's Your Name?</v>
          </cell>
          <cell r="G1" t="str">
            <v>Do You Want To Craft An Ice Cream Flavor Or Pick One Of Our Flavors? </v>
          </cell>
          <cell r="H1" t="str">
            <v>What Kind Of Ice Cream Base Do You Want? </v>
          </cell>
          <cell r="I1" t="str">
            <v>What's The First Flavor You Want? </v>
          </cell>
          <cell r="J1" t="str">
            <v>How Strong Do You Want The First Flavor?</v>
          </cell>
          <cell r="K1" t="str">
            <v>Do You Want Another Flavoring?</v>
          </cell>
          <cell r="L1" t="str">
            <v>What's the Second Flavor You Want?</v>
          </cell>
          <cell r="M1" t="str">
            <v>How Strong Do You Want The Second Flavor?</v>
          </cell>
          <cell r="N1" t="str">
            <v>What Sweetner Do You Want?</v>
          </cell>
          <cell r="O1" t="str">
            <v>How Much Of The First Sweetner? </v>
          </cell>
          <cell r="P1" t="str">
            <v>Do You Want A Second Sweetner?</v>
          </cell>
          <cell r="Q1" t="str">
            <v>What's the Second Sweetner?</v>
          </cell>
          <cell r="R1" t="str">
            <v>How Much of The Second Sweetner?</v>
          </cell>
          <cell r="S1" t="str">
            <v>Do You Want To Add Mix Ins?</v>
          </cell>
          <cell r="T1" t="str">
            <v>What's The First Mix In That You Want? </v>
          </cell>
          <cell r="U1" t="str">
            <v>Do You Want A Second Mix In?</v>
          </cell>
          <cell r="V1" t="str">
            <v>What's The Second Mix In That You Want? </v>
          </cell>
          <cell r="W1" t="str">
            <v>How Dense Should the Mix Ins Be?</v>
          </cell>
          <cell r="X1" t="str">
            <v>Name Your Ice Cream!</v>
          </cell>
          <cell r="Y1" t="str">
            <v>Which Flavor? (Pint Price | Quart Price | Half Gallon Price) (NOTE: Prices may fluctuate based on market conditions)</v>
          </cell>
          <cell r="Z1" t="str">
            <v>Should It Use Sugar or A Non-Sugar Sweetner?</v>
          </cell>
          <cell r="AA1" t="str">
            <v>Do You Want a Different Milk Base Than What the Flavor Has? (Pick This If You Want It Vegan, More Diabetic Friendly, or Lower Calorie)</v>
          </cell>
          <cell r="AB1" t="str">
            <v>What Ice Cream Base Do You Want To Change It To?</v>
          </cell>
          <cell r="AC1" t="str">
            <v>How Much Ice Cream Do You Want?</v>
          </cell>
          <cell r="AD1" t="str">
            <v>Do You Want Your Ice Cream to Be Lactose Free? ($1 extra)</v>
          </cell>
          <cell r="AE1" t="str">
            <v>Do You Want To Pickup (In Miramar, FL) or Get It Delivered (Additional Cost)?</v>
          </cell>
          <cell r="AF1" t="str">
            <v>What's The Delivery Address?</v>
          </cell>
          <cell r="AG1" t="str">
            <v>What's Your Number?</v>
          </cell>
          <cell r="AH1" t="str">
            <v>What's Your Email Address?</v>
          </cell>
          <cell r="AI1" t="str">
            <v>Any Special Instructions? (Ex: Allergies, Dietary considerations, etc.)</v>
          </cell>
        </row>
        <row r="2">
          <cell r="A2">
            <v>1</v>
          </cell>
          <cell r="B2">
            <v>45381.776828703703</v>
          </cell>
          <cell r="C2">
            <v>45381.777592592596</v>
          </cell>
          <cell r="D2" t="str">
            <v>anonymous</v>
          </cell>
          <cell r="F2" t="str">
            <v>Micah Brown</v>
          </cell>
          <cell r="G2" t="str">
            <v>Create</v>
          </cell>
          <cell r="H2" t="str">
            <v>Rich (Heavy Cream &amp; Half and Half)</v>
          </cell>
          <cell r="I2" t="str">
            <v>Bourbon Vanilla Bean Paste</v>
          </cell>
          <cell r="J2" t="str">
            <v>Light </v>
          </cell>
          <cell r="L2" t="str">
            <v>Bourbon Vanilla Bean Paste</v>
          </cell>
          <cell r="M2" t="str">
            <v>Light</v>
          </cell>
          <cell r="N2" t="str">
            <v>Sugar</v>
          </cell>
          <cell r="O2" t="str">
            <v>Half Sweet</v>
          </cell>
          <cell r="Q2" t="str">
            <v>Cinnadust</v>
          </cell>
          <cell r="R2" t="str">
            <v>Half Sweet</v>
          </cell>
          <cell r="T2" t="str">
            <v>Oreos</v>
          </cell>
          <cell r="W2" t="str">
            <v>Heavy (25%)</v>
          </cell>
          <cell r="AC2" t="str">
            <v>Pint</v>
          </cell>
          <cell r="AF2" t="str">
            <v>I'll Pickup</v>
          </cell>
        </row>
        <row r="3">
          <cell r="A3">
            <v>2</v>
          </cell>
          <cell r="B3">
            <v>45381.838518518518</v>
          </cell>
          <cell r="C3">
            <v>45381.839143518519</v>
          </cell>
          <cell r="D3" t="str">
            <v>anonymous</v>
          </cell>
          <cell r="F3" t="str">
            <v>John Deer</v>
          </cell>
          <cell r="G3" t="str">
            <v>Create</v>
          </cell>
          <cell r="H3" t="str">
            <v>Low Calorie (Fat Free Half and Half &amp; 2% Milk) </v>
          </cell>
          <cell r="I3" t="str">
            <v>Cookie Butter</v>
          </cell>
          <cell r="J3" t="str">
            <v>Heavy</v>
          </cell>
          <cell r="N3" t="str">
            <v>Stevia (No Sugar)</v>
          </cell>
          <cell r="O3" t="str">
            <v>Half Sweet</v>
          </cell>
          <cell r="Q3" t="str">
            <v>Sugar</v>
          </cell>
          <cell r="R3" t="str">
            <v>Ultra Light Sweet (Rec. For Stevia)</v>
          </cell>
          <cell r="T3" t="str">
            <v>Oreos</v>
          </cell>
          <cell r="W3" t="str">
            <v>Light (10%)</v>
          </cell>
          <cell r="AC3" t="str">
            <v>Pint</v>
          </cell>
          <cell r="AF3" t="str">
            <v>I'll Pickup</v>
          </cell>
        </row>
        <row r="4">
          <cell r="A4">
            <v>3</v>
          </cell>
          <cell r="B4">
            <v>45381.847511574073</v>
          </cell>
          <cell r="C4">
            <v>45381.848136574074</v>
          </cell>
          <cell r="D4" t="str">
            <v>anonymous</v>
          </cell>
          <cell r="F4" t="str">
            <v>Joe Smoe</v>
          </cell>
          <cell r="G4" t="str">
            <v>Create</v>
          </cell>
          <cell r="H4" t="str">
            <v>Classic (Heavy Cream &amp; 2% Milk)</v>
          </cell>
          <cell r="I4" t="str">
            <v>Overproof Rum</v>
          </cell>
          <cell r="J4" t="str">
            <v>Light </v>
          </cell>
          <cell r="L4" t="str">
            <v>Bourbon Vanilla Bean Paste</v>
          </cell>
          <cell r="M4" t="str">
            <v>Light</v>
          </cell>
          <cell r="N4" t="str">
            <v>Sugar</v>
          </cell>
          <cell r="O4" t="str">
            <v>Half Sweet</v>
          </cell>
          <cell r="T4" t="str">
            <v>Raisins</v>
          </cell>
          <cell r="W4" t="str">
            <v>Heavy (25%)</v>
          </cell>
          <cell r="AC4" t="str">
            <v>Pint</v>
          </cell>
          <cell r="AF4" t="str">
            <v>I'll Pickup</v>
          </cell>
        </row>
        <row r="5">
          <cell r="A5">
            <v>4</v>
          </cell>
          <cell r="B5">
            <v>45381.848611111112</v>
          </cell>
          <cell r="C5">
            <v>45381.8515162037</v>
          </cell>
          <cell r="D5" t="str">
            <v>anonymous</v>
          </cell>
          <cell r="F5" t="str">
            <v>tester mcgee</v>
          </cell>
          <cell r="G5" t="str">
            <v>Create</v>
          </cell>
          <cell r="H5" t="str">
            <v>Vegan (Vegan Heavy Cream &amp; Almond Milk)</v>
          </cell>
          <cell r="I5" t="str">
            <v>Bourbon Vanilla Bean Paste</v>
          </cell>
          <cell r="J5" t="str">
            <v>Normal</v>
          </cell>
          <cell r="N5" t="str">
            <v>Cinnadust</v>
          </cell>
          <cell r="O5" t="str">
            <v>Half Sweet</v>
          </cell>
          <cell r="Q5" t="str">
            <v>Sugar</v>
          </cell>
          <cell r="R5" t="str">
            <v>Half Sweet</v>
          </cell>
          <cell r="AC5" t="str">
            <v>2 Quarts</v>
          </cell>
        </row>
        <row r="6">
          <cell r="A6">
            <v>5</v>
          </cell>
          <cell r="B6">
            <v>45381.856446759259</v>
          </cell>
          <cell r="C6">
            <v>45381.857743055552</v>
          </cell>
          <cell r="D6" t="str">
            <v>anonymous</v>
          </cell>
          <cell r="F6" t="str">
            <v>Delete This</v>
          </cell>
          <cell r="G6" t="str">
            <v>Create</v>
          </cell>
          <cell r="H6" t="str">
            <v>Classic (Heavy Cream &amp; 2% Milk)</v>
          </cell>
          <cell r="I6" t="str">
            <v>Minty Shamrock Frappe Mix</v>
          </cell>
          <cell r="J6" t="str">
            <v>Heavy</v>
          </cell>
          <cell r="N6" t="str">
            <v>Sugar</v>
          </cell>
          <cell r="O6" t="str">
            <v>Ultra Light Sweet (Rec. For Stevia)</v>
          </cell>
          <cell r="T6" t="str">
            <v>Lotus Biscoff Sandwich Cookies</v>
          </cell>
          <cell r="W6" t="str">
            <v>Heavy (25%)</v>
          </cell>
          <cell r="AC6" t="str">
            <v>2 Quarts</v>
          </cell>
        </row>
        <row r="7">
          <cell r="A7">
            <v>6</v>
          </cell>
          <cell r="B7">
            <v>45381.871307870373</v>
          </cell>
          <cell r="C7">
            <v>45381.872013888889</v>
          </cell>
          <cell r="D7" t="str">
            <v>anonymous</v>
          </cell>
          <cell r="F7" t="str">
            <v>Hi There</v>
          </cell>
          <cell r="G7" t="str">
            <v>Create</v>
          </cell>
          <cell r="H7" t="str">
            <v>Gelato (Heavy Cream, Half and Half, and Eggs)</v>
          </cell>
          <cell r="I7" t="str">
            <v>Strawberry Mix</v>
          </cell>
          <cell r="J7" t="str">
            <v>Heavy</v>
          </cell>
          <cell r="L7" t="str">
            <v>Bourbon Vanilla Bean Paste</v>
          </cell>
          <cell r="M7" t="str">
            <v>Light</v>
          </cell>
          <cell r="N7" t="str">
            <v>Sugar</v>
          </cell>
          <cell r="O7" t="str">
            <v>Half Sweet</v>
          </cell>
          <cell r="Q7" t="str">
            <v>Girl Scouts Smores Seasoning Blend</v>
          </cell>
          <cell r="R7" t="str">
            <v>Half Sweet</v>
          </cell>
          <cell r="T7" t="str">
            <v>Strawberries</v>
          </cell>
          <cell r="W7" t="str">
            <v>Heavy (25%)</v>
          </cell>
          <cell r="AC7" t="str">
            <v>Pint</v>
          </cell>
          <cell r="AF7" t="str">
            <v>Locally</v>
          </cell>
        </row>
        <row r="8">
          <cell r="A8">
            <v>7</v>
          </cell>
          <cell r="B8">
            <v>45386.951828703706</v>
          </cell>
          <cell r="C8">
            <v>45386.952581018515</v>
          </cell>
          <cell r="D8" t="str">
            <v>anonymous</v>
          </cell>
          <cell r="F8" t="str">
            <v>Joe Smoe</v>
          </cell>
          <cell r="G8" t="str">
            <v>Create</v>
          </cell>
          <cell r="H8" t="str">
            <v>Low Calorie (Fat Free Half and Half &amp; 2% Milk) </v>
          </cell>
          <cell r="I8" t="str">
            <v>Cookie Butter</v>
          </cell>
          <cell r="J8" t="str">
            <v>Normal</v>
          </cell>
          <cell r="K8" t="str">
            <v>No</v>
          </cell>
          <cell r="N8" t="str">
            <v>Stevia (No Sugar)</v>
          </cell>
          <cell r="O8" t="str">
            <v>Ultra Light Sweet (Rec. For Stevia)</v>
          </cell>
          <cell r="P8" t="str">
            <v>Yes</v>
          </cell>
          <cell r="Q8" t="str">
            <v>Sugar</v>
          </cell>
          <cell r="R8" t="str">
            <v>Ultra Light Sweet (Rec. For Stevia)</v>
          </cell>
          <cell r="U8" t="str">
            <v>No</v>
          </cell>
          <cell r="AC8" t="str">
            <v>Pint</v>
          </cell>
          <cell r="AF8" t="str">
            <v xml:space="preserve">
3730 NW 52ND ST Fort Lauderdale FL 33309</v>
          </cell>
          <cell r="AG8" t="str">
            <v>954-483-8278</v>
          </cell>
          <cell r="AH8" t="str">
            <v>micbro14@gmail.com</v>
          </cell>
        </row>
        <row r="9">
          <cell r="A9">
            <v>8</v>
          </cell>
          <cell r="B9">
            <v>45386.953287037039</v>
          </cell>
          <cell r="C9">
            <v>45386.954212962963</v>
          </cell>
          <cell r="D9" t="str">
            <v>anonymous</v>
          </cell>
          <cell r="F9" t="str">
            <v>Daniel Brown</v>
          </cell>
          <cell r="G9" t="str">
            <v>Create</v>
          </cell>
          <cell r="H9" t="str">
            <v>Rich (Heavy Cream &amp; Half and Half)</v>
          </cell>
          <cell r="I9" t="str">
            <v>Bourbon Vanilla Bean Paste</v>
          </cell>
          <cell r="J9" t="str">
            <v>Light </v>
          </cell>
          <cell r="K9" t="str">
            <v>No</v>
          </cell>
          <cell r="N9" t="str">
            <v>Sugar</v>
          </cell>
          <cell r="O9" t="str">
            <v>Normal Sweet</v>
          </cell>
          <cell r="P9" t="str">
            <v>No</v>
          </cell>
          <cell r="T9" t="str">
            <v>Oreos</v>
          </cell>
          <cell r="U9" t="str">
            <v>Yes</v>
          </cell>
          <cell r="V9" t="str">
            <v>Brownies</v>
          </cell>
          <cell r="W9" t="str">
            <v>Ultra (30%)</v>
          </cell>
          <cell r="AC9" t="str">
            <v>Quart</v>
          </cell>
          <cell r="AF9" t="str">
            <v>550 S Federal Hwy, Fort Lauderdale, FL 33301</v>
          </cell>
          <cell r="AG9" t="str">
            <v>954-552-1311</v>
          </cell>
          <cell r="AH9" t="str">
            <v>dandandan785@gmail.com</v>
          </cell>
        </row>
        <row r="10">
          <cell r="A10">
            <v>9</v>
          </cell>
          <cell r="B10">
            <v>45387.896539351852</v>
          </cell>
          <cell r="C10">
            <v>45387.897222222222</v>
          </cell>
          <cell r="D10" t="str">
            <v>anonymous</v>
          </cell>
          <cell r="F10" t="str">
            <v>Scrimblo Pops</v>
          </cell>
          <cell r="G10" t="str">
            <v>Create</v>
          </cell>
          <cell r="H10" t="str">
            <v>Vegan (Vegan Heavy Cream &amp; Almond Milk)</v>
          </cell>
          <cell r="I10" t="str">
            <v>Rum Cream</v>
          </cell>
          <cell r="J10" t="str">
            <v>Normal</v>
          </cell>
          <cell r="K10" t="str">
            <v>No</v>
          </cell>
          <cell r="N10" t="str">
            <v>Sugar</v>
          </cell>
          <cell r="O10" t="str">
            <v>Normal Sweet</v>
          </cell>
          <cell r="P10" t="str">
            <v>No</v>
          </cell>
          <cell r="U10" t="str">
            <v>No</v>
          </cell>
          <cell r="AC10" t="str">
            <v>Pint</v>
          </cell>
          <cell r="AF10" t="str">
            <v>I'll Pickup</v>
          </cell>
          <cell r="AG10" t="str">
            <v>954-123-4567</v>
          </cell>
          <cell r="AH10" t="str">
            <v>test@email.com</v>
          </cell>
        </row>
        <row r="11">
          <cell r="A11">
            <v>10</v>
          </cell>
          <cell r="B11">
            <v>45387.912164351852</v>
          </cell>
          <cell r="C11">
            <v>45387.913460648146</v>
          </cell>
          <cell r="D11" t="str">
            <v>anonymous</v>
          </cell>
          <cell r="F11" t="str">
            <v>Test bruh</v>
          </cell>
          <cell r="G11" t="str">
            <v>Create</v>
          </cell>
          <cell r="H11" t="str">
            <v>Low Calorie (Fat Free Half and Half &amp; 2% Milk) </v>
          </cell>
          <cell r="I11" t="str">
            <v>Cake Batter Extract</v>
          </cell>
          <cell r="J11" t="str">
            <v>Double</v>
          </cell>
          <cell r="K11" t="str">
            <v>No</v>
          </cell>
          <cell r="N11" t="str">
            <v>Stevia (No Sugar)</v>
          </cell>
          <cell r="O11" t="str">
            <v>Ultra Light Sweet (Rec. For Stevia)</v>
          </cell>
          <cell r="P11" t="str">
            <v>No</v>
          </cell>
          <cell r="S11" t="str">
            <v>No</v>
          </cell>
          <cell r="AC11" t="str">
            <v>Pint</v>
          </cell>
          <cell r="AF11" t="str">
            <v>4327 NW 1st Dr Deerfield Beach FL 33442</v>
          </cell>
          <cell r="AG11" t="str">
            <v>954-123-4567</v>
          </cell>
          <cell r="AH11" t="str">
            <v>test@example.com</v>
          </cell>
        </row>
        <row r="12">
          <cell r="A12">
            <v>11</v>
          </cell>
          <cell r="B12">
            <v>45392.823194444441</v>
          </cell>
          <cell r="C12">
            <v>45392.82402777778</v>
          </cell>
          <cell r="D12" t="str">
            <v>anonymous</v>
          </cell>
          <cell r="F12" t="str">
            <v>Test Here</v>
          </cell>
          <cell r="G12" t="str">
            <v>Pick a flavor</v>
          </cell>
          <cell r="Y12" t="str">
            <v xml:space="preserve">Cookies and Cream </v>
          </cell>
          <cell r="Z12" t="str">
            <v>Sugar</v>
          </cell>
          <cell r="AB12" t="str">
            <v>Rich (Heavy Cream &amp; Half and Half)</v>
          </cell>
          <cell r="AC12" t="str">
            <v>Quart</v>
          </cell>
          <cell r="AF12" t="str">
            <v>I'll Pickup</v>
          </cell>
          <cell r="AG12" t="str">
            <v>123-456-7890</v>
          </cell>
          <cell r="AH12" t="str">
            <v>test@example.com</v>
          </cell>
        </row>
        <row r="13">
          <cell r="A13">
            <v>12</v>
          </cell>
          <cell r="B13">
            <v>45392.955740740741</v>
          </cell>
          <cell r="C13">
            <v>45392.956458333334</v>
          </cell>
          <cell r="D13" t="str">
            <v>anonymous</v>
          </cell>
          <cell r="F13" t="str">
            <v>Cristopher</v>
          </cell>
          <cell r="G13" t="str">
            <v>Pick a flavor</v>
          </cell>
          <cell r="Y13" t="str">
            <v xml:space="preserve">Cookies and Cream </v>
          </cell>
          <cell r="Z13" t="str">
            <v>Sugar</v>
          </cell>
          <cell r="AB13" t="str">
            <v>Rich (Heavy Cream &amp; Half and Half)</v>
          </cell>
          <cell r="AC13" t="str">
            <v>Quart</v>
          </cell>
          <cell r="AF13" t="str">
            <v>my house</v>
          </cell>
          <cell r="AG13" t="str">
            <v>954-376-2788</v>
          </cell>
          <cell r="AH13" t="str">
            <v>cookiejiimenez2012@gmail.com</v>
          </cell>
          <cell r="AI13" t="str">
            <v>draw goku</v>
          </cell>
        </row>
        <row r="14">
          <cell r="A14">
            <v>13</v>
          </cell>
          <cell r="B14">
            <v>45394.877962962964</v>
          </cell>
          <cell r="C14">
            <v>45394.896203703705</v>
          </cell>
          <cell r="D14" t="str">
            <v>anonymous</v>
          </cell>
          <cell r="F14" t="str">
            <v>Anakin</v>
          </cell>
          <cell r="G14" t="str">
            <v>Create A Flavor</v>
          </cell>
          <cell r="H14" t="str">
            <v>Classic (Heavy Cream &amp; 2% Milk)</v>
          </cell>
          <cell r="I14" t="str">
            <v>Chocolate Mix</v>
          </cell>
          <cell r="J14" t="str">
            <v>Normal</v>
          </cell>
          <cell r="K14" t="str">
            <v>Yes</v>
          </cell>
          <cell r="L14" t="str">
            <v>Cake Batter Extract</v>
          </cell>
          <cell r="M14" t="str">
            <v>Normal</v>
          </cell>
          <cell r="N14" t="str">
            <v>Thin Mints Seasoning Blend</v>
          </cell>
          <cell r="O14" t="str">
            <v>Half Sweet</v>
          </cell>
          <cell r="P14" t="str">
            <v>No</v>
          </cell>
          <cell r="S14" t="str">
            <v>Yes</v>
          </cell>
          <cell r="T14" t="str">
            <v>Oreos</v>
          </cell>
          <cell r="U14" t="str">
            <v>Yes</v>
          </cell>
          <cell r="V14" t="str">
            <v>Chocolate Chip Cookes (Dough or Baked)</v>
          </cell>
          <cell r="W14" t="str">
            <v>Normal (15%)</v>
          </cell>
          <cell r="AC14" t="str">
            <v>Pint</v>
          </cell>
          <cell r="AF14" t="str">
            <v>My mouth</v>
          </cell>
          <cell r="AG14" t="str">
            <v>1234567</v>
          </cell>
          <cell r="AH14" t="str">
            <v>youwerethechosenone@gmail.com</v>
          </cell>
        </row>
        <row r="15">
          <cell r="A15">
            <v>14</v>
          </cell>
          <cell r="B15">
            <v>45394.896249999998</v>
          </cell>
          <cell r="C15">
            <v>45394.897175925929</v>
          </cell>
          <cell r="D15" t="str">
            <v>anonymous</v>
          </cell>
          <cell r="F15" t="str">
            <v>Padme</v>
          </cell>
          <cell r="G15" t="str">
            <v>Pick A Flavor</v>
          </cell>
          <cell r="Y15" t="str">
            <v xml:space="preserve">Cookies and Cream </v>
          </cell>
          <cell r="Z15" t="str">
            <v>Sugar</v>
          </cell>
          <cell r="AB15" t="str">
            <v>Classic (Heavy Cream &amp; 2% Milk)</v>
          </cell>
          <cell r="AC15" t="str">
            <v>Pint</v>
          </cell>
          <cell r="AF15" t="str">
            <v>My stomach</v>
          </cell>
          <cell r="AG15" t="str">
            <v>987655</v>
          </cell>
          <cell r="AH15" t="str">
            <v>ihavethehighground@gmail.com</v>
          </cell>
        </row>
        <row r="16">
          <cell r="A16">
            <v>15</v>
          </cell>
          <cell r="B16">
            <v>45397.007037037038</v>
          </cell>
          <cell r="C16">
            <v>45397.008356481485</v>
          </cell>
          <cell r="D16" t="str">
            <v>anonymous</v>
          </cell>
          <cell r="F16" t="str">
            <v>Zack Inthapanya</v>
          </cell>
          <cell r="G16" t="str">
            <v>Pick A Flavor</v>
          </cell>
          <cell r="Y16" t="str">
            <v xml:space="preserve">Cookies and Cream </v>
          </cell>
          <cell r="Z16" t="str">
            <v>Non-Sugar Sweetner</v>
          </cell>
          <cell r="AA16" t="str">
            <v>No</v>
          </cell>
          <cell r="AC16" t="str">
            <v>Quart</v>
          </cell>
          <cell r="AF16" t="str">
            <v>4327 NW 1st Dr Deerfield Beach FL 33442</v>
          </cell>
          <cell r="AG16" t="str">
            <v>5615623572</v>
          </cell>
          <cell r="AH16" t="str">
            <v>zinthapanya2022@gmail.com</v>
          </cell>
          <cell r="AI16" t="str">
            <v>I love you</v>
          </cell>
        </row>
        <row r="17">
          <cell r="A17">
            <v>16</v>
          </cell>
          <cell r="B17">
            <v>45397.008402777778</v>
          </cell>
          <cell r="C17">
            <v>45397.00917824074</v>
          </cell>
          <cell r="D17" t="str">
            <v>anonymous</v>
          </cell>
          <cell r="F17" t="str">
            <v>Zack Inthapanya</v>
          </cell>
          <cell r="G17" t="str">
            <v>Pick A Flavor</v>
          </cell>
          <cell r="Y17" t="str">
            <v>Shamrock Shake</v>
          </cell>
          <cell r="Z17" t="str">
            <v>Non-Sugar Sweetner</v>
          </cell>
          <cell r="AA17" t="str">
            <v>No</v>
          </cell>
          <cell r="AC17" t="str">
            <v>Quart</v>
          </cell>
          <cell r="AF17" t="str">
            <v>4327 NW 1st Dr Deerfield Beach FL 33442</v>
          </cell>
          <cell r="AG17" t="str">
            <v>5615623572</v>
          </cell>
          <cell r="AH17" t="str">
            <v>zinthapanya2022@gmail.com</v>
          </cell>
          <cell r="AI17" t="str">
            <v>Hi</v>
          </cell>
        </row>
        <row r="18">
          <cell r="A18">
            <v>17</v>
          </cell>
          <cell r="B18">
            <v>45399.314247685186</v>
          </cell>
          <cell r="C18">
            <v>45399.315821759257</v>
          </cell>
          <cell r="D18" t="str">
            <v>anonymous</v>
          </cell>
          <cell r="F18" t="str">
            <v>Tommy Truong</v>
          </cell>
          <cell r="G18" t="str">
            <v>Pick A Flavor</v>
          </cell>
          <cell r="Y18" t="str">
            <v>Cookie Dough</v>
          </cell>
          <cell r="Z18" t="str">
            <v>Sugar</v>
          </cell>
          <cell r="AA18" t="str">
            <v>No</v>
          </cell>
          <cell r="AC18" t="str">
            <v>Pint</v>
          </cell>
          <cell r="AF18" t="str">
            <v xml:space="preserve">6053 86th Dr S, Lake Worth, Florida </v>
          </cell>
          <cell r="AG18" t="str">
            <v>5612914048</v>
          </cell>
          <cell r="AH18" t="str">
            <v>tt72602@gmail.com</v>
          </cell>
          <cell r="AI18" t="str">
            <v>dm me if its too far and we can meet at fau or something.</v>
          </cell>
        </row>
        <row r="19">
          <cell r="A19">
            <v>18</v>
          </cell>
          <cell r="B19">
            <v>45401.573379629626</v>
          </cell>
          <cell r="C19">
            <v>45401.668935185182</v>
          </cell>
          <cell r="D19" t="str">
            <v>anonymous</v>
          </cell>
          <cell r="F19" t="str">
            <v>Anthony Alvino (Zack's buddy!)</v>
          </cell>
          <cell r="G19" t="str">
            <v>Pick A Flavor</v>
          </cell>
          <cell r="Y19" t="str">
            <v>Shamrock Shake</v>
          </cell>
          <cell r="Z19" t="str">
            <v>Sugar</v>
          </cell>
          <cell r="AA19" t="str">
            <v>No</v>
          </cell>
          <cell r="AC19" t="str">
            <v>Quart</v>
          </cell>
          <cell r="AF19" t="str">
            <v>3001 Eagle Drive, Delray Beach FL 33444</v>
          </cell>
          <cell r="AG19" t="str">
            <v>561-901-8804</v>
          </cell>
          <cell r="AH19" t="str">
            <v>Fuego.exe@gmail.com</v>
          </cell>
          <cell r="AI19" t="str">
            <v>Have fun :)</v>
          </cell>
        </row>
        <row r="20">
          <cell r="A20">
            <v>19</v>
          </cell>
          <cell r="B20">
            <v>45410.49324074074</v>
          </cell>
          <cell r="C20">
            <v>45410.495335648149</v>
          </cell>
          <cell r="D20" t="str">
            <v>anonymous</v>
          </cell>
          <cell r="F20" t="str">
            <v>Everette Brown</v>
          </cell>
          <cell r="G20" t="str">
            <v>Pick A Flavor</v>
          </cell>
          <cell r="Y20" t="str">
            <v>Homemade Cookie Dough</v>
          </cell>
          <cell r="Z20" t="str">
            <v>Sugar</v>
          </cell>
          <cell r="AA20" t="str">
            <v>No</v>
          </cell>
          <cell r="AC20" t="str">
            <v>Quart</v>
          </cell>
          <cell r="AE20" t="str">
            <v>Pickup</v>
          </cell>
          <cell r="AG20" t="str">
            <v>9548049592</v>
          </cell>
          <cell r="AH20" t="str">
            <v xml:space="preserve">Edbrown33@hotmail.com </v>
          </cell>
        </row>
        <row r="21">
          <cell r="A21">
            <v>20</v>
          </cell>
          <cell r="B21">
            <v>45457.096180555556</v>
          </cell>
          <cell r="C21">
            <v>45457.098067129627</v>
          </cell>
          <cell r="D21" t="str">
            <v>anonymous</v>
          </cell>
          <cell r="F21" t="str">
            <v>Phoumin</v>
          </cell>
          <cell r="G21" t="str">
            <v>Pick A Flavor</v>
          </cell>
          <cell r="Y21" t="str">
            <v xml:space="preserve">Cookies and Cream </v>
          </cell>
          <cell r="Z21" t="str">
            <v>Non-Sugar Sweetner</v>
          </cell>
          <cell r="AA21" t="str">
            <v>No</v>
          </cell>
          <cell r="AC21" t="str">
            <v>Quart</v>
          </cell>
          <cell r="AE21" t="str">
            <v>Deliver</v>
          </cell>
          <cell r="AF21" t="str">
            <v>Zack’s house</v>
          </cell>
          <cell r="AG21" t="str">
            <v>5615623572</v>
          </cell>
          <cell r="AH21" t="str">
            <v>zinthapanya2022@gmail.com</v>
          </cell>
        </row>
        <row r="22">
          <cell r="A22">
            <v>21</v>
          </cell>
          <cell r="B22">
            <v>45494.731817129628</v>
          </cell>
          <cell r="C22">
            <v>45494.732349537036</v>
          </cell>
          <cell r="D22" t="str">
            <v>anonymous</v>
          </cell>
          <cell r="F22" t="str">
            <v>Mr. Daily</v>
          </cell>
          <cell r="G22" t="str">
            <v>Pick A Flavor</v>
          </cell>
          <cell r="Y22" t="str">
            <v>Light Rum Raisin</v>
          </cell>
          <cell r="Z22" t="str">
            <v>Non-Sugar Sweetner</v>
          </cell>
          <cell r="AA22" t="str">
            <v>No</v>
          </cell>
          <cell r="AC22" t="str">
            <v>Pint</v>
          </cell>
          <cell r="AE22" t="str">
            <v>Deliver</v>
          </cell>
          <cell r="AF22" t="str">
            <v>1241 NW 105th Avenue, Plantation 33322</v>
          </cell>
          <cell r="AG22" t="str">
            <v>571-641-9424</v>
          </cell>
          <cell r="AH22" t="str">
            <v>micbro14@gmail.com</v>
          </cell>
        </row>
        <row r="23">
          <cell r="A23">
            <v>22</v>
          </cell>
          <cell r="B23">
            <v>45494.732372685183</v>
          </cell>
          <cell r="C23">
            <v>45494.732754629629</v>
          </cell>
          <cell r="D23" t="str">
            <v>anonymous</v>
          </cell>
          <cell r="F23" t="str">
            <v>Mr. Daily</v>
          </cell>
          <cell r="G23" t="str">
            <v>Pick A Flavor</v>
          </cell>
          <cell r="Y23" t="str">
            <v>Vanilla</v>
          </cell>
          <cell r="Z23" t="str">
            <v>Sugar</v>
          </cell>
          <cell r="AA23" t="str">
            <v>No</v>
          </cell>
          <cell r="AC23" t="str">
            <v>Pint</v>
          </cell>
          <cell r="AE23" t="str">
            <v>Pickup</v>
          </cell>
          <cell r="AG23" t="str">
            <v>571-641-9424</v>
          </cell>
          <cell r="AH23" t="str">
            <v>micbro14@gmail.com</v>
          </cell>
        </row>
        <row r="24">
          <cell r="A24">
            <v>23</v>
          </cell>
          <cell r="B24">
            <v>45494.732766203706</v>
          </cell>
          <cell r="C24">
            <v>45494.733101851853</v>
          </cell>
          <cell r="D24" t="str">
            <v>anonymous</v>
          </cell>
          <cell r="F24" t="str">
            <v>Mr. Daily</v>
          </cell>
          <cell r="G24" t="str">
            <v>Pick A Flavor</v>
          </cell>
          <cell r="Y24" t="str">
            <v xml:space="preserve">Cookies and Cream </v>
          </cell>
          <cell r="Z24" t="str">
            <v>Sugar</v>
          </cell>
          <cell r="AA24" t="str">
            <v>No</v>
          </cell>
          <cell r="AC24" t="str">
            <v>Pint</v>
          </cell>
          <cell r="AE24" t="str">
            <v>Pickup</v>
          </cell>
          <cell r="AG24" t="str">
            <v>571-641-9424</v>
          </cell>
          <cell r="AH24" t="str">
            <v>micbro14@gmail.com</v>
          </cell>
        </row>
        <row r="25">
          <cell r="A25">
            <v>24</v>
          </cell>
          <cell r="B25">
            <v>45506.95244212963</v>
          </cell>
          <cell r="C25">
            <v>45506.954189814816</v>
          </cell>
          <cell r="D25" t="str">
            <v>anonymous</v>
          </cell>
          <cell r="F25" t="str">
            <v>Juan</v>
          </cell>
          <cell r="G25" t="str">
            <v>Pick A Flavor</v>
          </cell>
          <cell r="Y25" t="str">
            <v xml:space="preserve">Cookies and Cream </v>
          </cell>
          <cell r="Z25" t="str">
            <v>Sugar</v>
          </cell>
          <cell r="AA25" t="str">
            <v>No</v>
          </cell>
          <cell r="AC25" t="str">
            <v>Pint</v>
          </cell>
          <cell r="AE25" t="str">
            <v>Deliver</v>
          </cell>
          <cell r="AF25" t="str">
            <v>At the office</v>
          </cell>
          <cell r="AG25" t="str">
            <v>3057962886</v>
          </cell>
          <cell r="AH25" t="str">
            <v>jxnicola@gmail.com</v>
          </cell>
          <cell r="AI25" t="str">
            <v>Pickup on Tuesday 6th</v>
          </cell>
        </row>
        <row r="26">
          <cell r="A26">
            <v>25</v>
          </cell>
          <cell r="B26">
            <v>45506.954282407409</v>
          </cell>
          <cell r="C26">
            <v>45506.955034722225</v>
          </cell>
          <cell r="D26" t="str">
            <v>anonymous</v>
          </cell>
          <cell r="F26" t="str">
            <v>Juan</v>
          </cell>
          <cell r="G26" t="str">
            <v>Pick A Flavor</v>
          </cell>
          <cell r="Y26" t="str">
            <v>Homemade Cookie Dough</v>
          </cell>
          <cell r="Z26" t="str">
            <v>Non-Sugar Sweetner</v>
          </cell>
          <cell r="AA26" t="str">
            <v>No</v>
          </cell>
          <cell r="AC26" t="str">
            <v>Pint</v>
          </cell>
          <cell r="AE26" t="str">
            <v>Deliver</v>
          </cell>
          <cell r="AF26" t="str">
            <v>At the Skyline office</v>
          </cell>
          <cell r="AG26" t="str">
            <v>3057962886</v>
          </cell>
          <cell r="AH26" t="str">
            <v>jxnicola@gmail.com</v>
          </cell>
          <cell r="AI26" t="str">
            <v>Pickup on tuesday 6th</v>
          </cell>
        </row>
        <row r="27">
          <cell r="A27">
            <v>26</v>
          </cell>
          <cell r="B27">
            <v>45511.639652777776</v>
          </cell>
          <cell r="C27">
            <v>45511.644108796296</v>
          </cell>
          <cell r="D27" t="str">
            <v>anonymous</v>
          </cell>
          <cell r="F27" t="str">
            <v>Gabby Daley</v>
          </cell>
          <cell r="G27" t="str">
            <v>Craft A Flavor</v>
          </cell>
          <cell r="H27" t="str">
            <v>Rich (Heavy Cream &amp; Half and Half) (Recommended)</v>
          </cell>
          <cell r="I27" t="str">
            <v>Bourbon Vanilla Bean Paste</v>
          </cell>
          <cell r="J27" t="str">
            <v>Light (for pastes and extracts)</v>
          </cell>
          <cell r="K27" t="str">
            <v>No</v>
          </cell>
          <cell r="N27" t="str">
            <v>Sugar</v>
          </cell>
          <cell r="O27" t="str">
            <v>1/2 Sweet</v>
          </cell>
          <cell r="P27" t="str">
            <v>No</v>
          </cell>
          <cell r="S27" t="str">
            <v>No</v>
          </cell>
          <cell r="X27" t="str">
            <v xml:space="preserve">VANILLA </v>
          </cell>
          <cell r="AC27" t="str">
            <v>Pint</v>
          </cell>
          <cell r="AE27" t="str">
            <v>Deliver</v>
          </cell>
          <cell r="AF27" t="str">
            <v>1241 nw 105th Avenue pl fl 33322</v>
          </cell>
          <cell r="AG27" t="str">
            <v>9548129024</v>
          </cell>
          <cell r="AH27" t="str">
            <v>Gabbytcdaley@gmail.com</v>
          </cell>
          <cell r="AI27" t="str">
            <v xml:space="preserve">I cannot have chocolate so if possible can you avoid putting chocolate near or in the ice cream thanks! </v>
          </cell>
        </row>
        <row r="28">
          <cell r="A28">
            <v>27</v>
          </cell>
          <cell r="B28">
            <v>45512.998194444444</v>
          </cell>
          <cell r="C28">
            <v>45513.003981481481</v>
          </cell>
          <cell r="D28" t="str">
            <v>anonymous</v>
          </cell>
          <cell r="F28" t="str">
            <v>Santiago</v>
          </cell>
          <cell r="G28" t="str">
            <v>Pick A Flavor</v>
          </cell>
          <cell r="Y28" t="str">
            <v>No Sugar Added Rum Raisin</v>
          </cell>
          <cell r="Z28" t="str">
            <v>Sugar</v>
          </cell>
          <cell r="AA28" t="str">
            <v>No</v>
          </cell>
          <cell r="AC28" t="str">
            <v>Half Gallon</v>
          </cell>
          <cell r="AE28" t="str">
            <v>Deliver</v>
          </cell>
          <cell r="AF28" t="str">
            <v>Skyline office</v>
          </cell>
          <cell r="AG28" t="str">
            <v>9542491226</v>
          </cell>
          <cell r="AH28" t="str">
            <v>zate@live.com</v>
          </cell>
        </row>
        <row r="29">
          <cell r="A29">
            <v>28</v>
          </cell>
          <cell r="B29">
            <v>45514.81726851852</v>
          </cell>
          <cell r="C29">
            <v>45514.818819444445</v>
          </cell>
          <cell r="D29" t="str">
            <v>anonymous</v>
          </cell>
          <cell r="F29" t="str">
            <v xml:space="preserve">Rebekkah Daley </v>
          </cell>
          <cell r="G29" t="str">
            <v>Pick A Flavor</v>
          </cell>
          <cell r="Y29" t="str">
            <v>French Vanilla</v>
          </cell>
          <cell r="Z29" t="str">
            <v>Sugar</v>
          </cell>
          <cell r="AA29" t="str">
            <v>No</v>
          </cell>
          <cell r="AC29" t="str">
            <v>Pint</v>
          </cell>
          <cell r="AE29" t="str">
            <v>Deliver</v>
          </cell>
          <cell r="AF29" t="str">
            <v>1241nw105.ave Plantation Florida 33322</v>
          </cell>
          <cell r="AG29" t="str">
            <v xml:space="preserve">571-641-9459 </v>
          </cell>
          <cell r="AH29" t="str">
            <v xml:space="preserve">Rebekkahdaley@gmail.com </v>
          </cell>
        </row>
        <row r="30">
          <cell r="A30">
            <v>29</v>
          </cell>
          <cell r="B30">
            <v>45523.641099537039</v>
          </cell>
          <cell r="C30">
            <v>45523.645324074074</v>
          </cell>
          <cell r="D30" t="str">
            <v>anonymous</v>
          </cell>
          <cell r="F30" t="str">
            <v>Tommy Truong</v>
          </cell>
          <cell r="G30" t="str">
            <v>Craft A Flavor</v>
          </cell>
          <cell r="H30" t="str">
            <v>Rich (Heavy Cream &amp; Half and Half) (Recommended)</v>
          </cell>
          <cell r="I30" t="str">
            <v>Caramel</v>
          </cell>
          <cell r="J30" t="str">
            <v>Heavy</v>
          </cell>
          <cell r="K30" t="str">
            <v>Yes</v>
          </cell>
          <cell r="L30" t="str">
            <v>Dulce De Leche</v>
          </cell>
          <cell r="M30" t="str">
            <v>Normal</v>
          </cell>
          <cell r="N30" t="str">
            <v>Sugar</v>
          </cell>
          <cell r="O30" t="str">
            <v>1:1 Sweet</v>
          </cell>
          <cell r="P30" t="str">
            <v>No</v>
          </cell>
          <cell r="S30" t="str">
            <v>Yes</v>
          </cell>
          <cell r="T30" t="str">
            <v>Homemade Sugar Cookie Dough</v>
          </cell>
          <cell r="U30" t="str">
            <v>Yes</v>
          </cell>
          <cell r="V30" t="str">
            <v>Brownies</v>
          </cell>
          <cell r="W30" t="str">
            <v>Heavy (35%)</v>
          </cell>
          <cell r="X30" t="str">
            <v>Cheat Week</v>
          </cell>
          <cell r="AC30" t="str">
            <v>Pint</v>
          </cell>
          <cell r="AE30" t="str">
            <v>Deliver</v>
          </cell>
          <cell r="AF30" t="str">
            <v>6053 86th Dr S, Greenacres, FL</v>
          </cell>
          <cell r="AG30" t="str">
            <v>5612914048</v>
          </cell>
          <cell r="AH30" t="str">
            <v>tt72602@gmail.com</v>
          </cell>
          <cell r="AI30" t="str">
            <v>if it seems bad let me know this is impulsive</v>
          </cell>
        </row>
        <row r="31">
          <cell r="A31">
            <v>30</v>
          </cell>
          <cell r="B31">
            <v>45525.556215277778</v>
          </cell>
          <cell r="C31">
            <v>45525.557789351849</v>
          </cell>
          <cell r="D31" t="str">
            <v>anonymous</v>
          </cell>
          <cell r="F31" t="str">
            <v>Tommy Truong</v>
          </cell>
          <cell r="G31" t="str">
            <v>Craft A Flavor</v>
          </cell>
          <cell r="H31" t="str">
            <v>Rich (Heavy Cream &amp; Half and Half) (Recommended)</v>
          </cell>
          <cell r="I31" t="str">
            <v>Dulce De Leche</v>
          </cell>
          <cell r="J31" t="str">
            <v>Normal</v>
          </cell>
          <cell r="K31" t="str">
            <v>Yes</v>
          </cell>
          <cell r="L31" t="str">
            <v>Bourbon Vanilla Bean Paste</v>
          </cell>
          <cell r="M31" t="str">
            <v>Light (for pastes and extracts)</v>
          </cell>
          <cell r="N31" t="str">
            <v>Sugar</v>
          </cell>
          <cell r="O31" t="str">
            <v>1:1 Sweet</v>
          </cell>
          <cell r="P31" t="str">
            <v>No</v>
          </cell>
          <cell r="S31" t="str">
            <v>Yes</v>
          </cell>
          <cell r="T31" t="str">
            <v>Coconut?</v>
          </cell>
          <cell r="U31" t="str">
            <v>No</v>
          </cell>
          <cell r="W31" t="str">
            <v>Normal (25%)</v>
          </cell>
          <cell r="X31" t="str">
            <v>Co-worker coconut</v>
          </cell>
          <cell r="AC31" t="str">
            <v>Pint</v>
          </cell>
          <cell r="AE31" t="str">
            <v>Deliver</v>
          </cell>
          <cell r="AF31" t="str">
            <v>6053 86th Dr S</v>
          </cell>
          <cell r="AG31" t="str">
            <v>5612914048</v>
          </cell>
          <cell r="AH31" t="str">
            <v>tt72602@gmail.com</v>
          </cell>
        </row>
        <row r="32">
          <cell r="A32">
            <v>32</v>
          </cell>
          <cell r="B32">
            <v>45536.064189814817</v>
          </cell>
          <cell r="C32">
            <v>45536.066180555557</v>
          </cell>
          <cell r="D32" t="str">
            <v>anonymous</v>
          </cell>
          <cell r="F32" t="str">
            <v>Suzana</v>
          </cell>
          <cell r="G32" t="str">
            <v>Pick A Flavor</v>
          </cell>
          <cell r="Y32" t="str">
            <v>Cookies and Cream ($6|$9|$16)</v>
          </cell>
          <cell r="Z32" t="str">
            <v>Sugar</v>
          </cell>
          <cell r="AA32" t="str">
            <v>Yes</v>
          </cell>
          <cell r="AB32" t="str">
            <v>Vegan (Vegan Heavy Cream &amp; Almond Milk)</v>
          </cell>
          <cell r="AC32" t="str">
            <v>Pint</v>
          </cell>
          <cell r="AE32" t="str">
            <v>Deliver</v>
          </cell>
          <cell r="AF32" t="str">
            <v>10746 NW 21st Street, Coral Springs, Fl 33071</v>
          </cell>
          <cell r="AG32" t="str">
            <v>(754) 281-7323</v>
          </cell>
          <cell r="AH32" t="str">
            <v>Suzi.constant@gmail.com</v>
          </cell>
          <cell r="AI32" t="str">
            <v>Lactose disagrees with my digestive system</v>
          </cell>
        </row>
        <row r="33">
          <cell r="A33">
            <v>33</v>
          </cell>
          <cell r="B33">
            <v>45536.066203703704</v>
          </cell>
          <cell r="C33">
            <v>45536.068506944444</v>
          </cell>
          <cell r="D33" t="str">
            <v>anonymous</v>
          </cell>
          <cell r="F33" t="str">
            <v>Joany</v>
          </cell>
          <cell r="G33" t="str">
            <v>Pick A Flavor</v>
          </cell>
          <cell r="Y33" t="str">
            <v xml:space="preserve">With Carmel mixed in </v>
          </cell>
          <cell r="Z33" t="str">
            <v>Sugar</v>
          </cell>
          <cell r="AA33" t="str">
            <v>No</v>
          </cell>
          <cell r="AC33" t="str">
            <v>Pint</v>
          </cell>
          <cell r="AE33" t="str">
            <v>Deliver</v>
          </cell>
          <cell r="AF33" t="str">
            <v>10746 NW 21 ST Coral Springs 33071 Fl</v>
          </cell>
          <cell r="AG33" t="str">
            <v>954-830-6368</v>
          </cell>
          <cell r="AH33" t="str">
            <v>joanymaxinau83@gmail.com</v>
          </cell>
        </row>
        <row r="34">
          <cell r="A34">
            <v>34</v>
          </cell>
          <cell r="B34">
            <v>45537.846215277779</v>
          </cell>
          <cell r="C34">
            <v>45537.847500000003</v>
          </cell>
          <cell r="D34" t="str">
            <v>anonymous</v>
          </cell>
          <cell r="F34" t="str">
            <v>James Gallagher</v>
          </cell>
          <cell r="G34" t="str">
            <v>Pick A Flavor</v>
          </cell>
          <cell r="Y34" t="str">
            <v>Huckleberry Cheesecake ($6|$9|$15)</v>
          </cell>
          <cell r="Z34" t="str">
            <v>Sugar</v>
          </cell>
          <cell r="AA34" t="str">
            <v>No</v>
          </cell>
          <cell r="AC34" t="str">
            <v>Quart</v>
          </cell>
          <cell r="AE34" t="str">
            <v>Deliver</v>
          </cell>
          <cell r="AF34" t="str">
            <v>2821 NE 11th Ave, Pompano Beach, FL.</v>
          </cell>
          <cell r="AG34" t="str">
            <v>7723213613</v>
          </cell>
          <cell r="AH34" t="str">
            <v>gallagherjames2@yahoo.com</v>
          </cell>
        </row>
        <row r="35">
          <cell r="A35">
            <v>35</v>
          </cell>
          <cell r="B35">
            <v>45549.677187499998</v>
          </cell>
          <cell r="C35">
            <v>45549.73128472222</v>
          </cell>
          <cell r="D35" t="str">
            <v>anonymous</v>
          </cell>
          <cell r="F35" t="str">
            <v xml:space="preserve">Tammy Truong </v>
          </cell>
          <cell r="G35" t="str">
            <v>Craft A Flavor</v>
          </cell>
          <cell r="H35" t="str">
            <v>Gelato (Heavy Cream, Half and Half, and Eggs)</v>
          </cell>
          <cell r="I35" t="str">
            <v>Bourbon Vanilla Bean Paste</v>
          </cell>
          <cell r="J35" t="str">
            <v>Light (For pastes and extracts)</v>
          </cell>
          <cell r="K35" t="str">
            <v>Yes</v>
          </cell>
          <cell r="L35" t="str">
            <v>Homemade Strawberry Jam</v>
          </cell>
          <cell r="M35" t="str">
            <v>Heavy</v>
          </cell>
          <cell r="N35" t="str">
            <v>Stevia</v>
          </cell>
          <cell r="O35" t="str">
            <v>1/4 Sweet (Rec. For Stevia)</v>
          </cell>
          <cell r="P35" t="str">
            <v>No</v>
          </cell>
          <cell r="S35" t="str">
            <v>Yes</v>
          </cell>
          <cell r="T35" t="str">
            <v>Dark Chocolate Chips</v>
          </cell>
          <cell r="U35" t="str">
            <v>No</v>
          </cell>
          <cell r="W35" t="str">
            <v>Normal (25%)</v>
          </cell>
          <cell r="X35" t="str">
            <v>Chocolate Strawberry</v>
          </cell>
          <cell r="AC35" t="str">
            <v>Quart</v>
          </cell>
          <cell r="AE35" t="str">
            <v>Deliver</v>
          </cell>
          <cell r="AF35" t="str">
            <v>6053 86th Dr S, Lake Worth, FL 33467 (or of you see Tommy)</v>
          </cell>
          <cell r="AG35" t="str">
            <v xml:space="preserve">561-398-0142 </v>
          </cell>
          <cell r="AH35" t="str">
            <v>tammytruong2013@gmail.com</v>
          </cell>
        </row>
        <row r="36">
          <cell r="A36">
            <v>36</v>
          </cell>
          <cell r="B36">
            <v>45550.906412037039</v>
          </cell>
          <cell r="C36">
            <v>45550.907685185186</v>
          </cell>
          <cell r="D36" t="str">
            <v>anonymous</v>
          </cell>
          <cell r="F36" t="str">
            <v>Suzana</v>
          </cell>
          <cell r="G36" t="str">
            <v>Pick A Flavor</v>
          </cell>
          <cell r="Y36" t="str">
            <v>Cookies and Cream ($6|$9|$16)</v>
          </cell>
          <cell r="Z36" t="str">
            <v>Sugar</v>
          </cell>
          <cell r="AA36" t="str">
            <v>Yes</v>
          </cell>
          <cell r="AB36" t="str">
            <v>Vegan (Vegan Heavy Cream &amp; Almond Milk)</v>
          </cell>
          <cell r="AC36" t="str">
            <v>Quart</v>
          </cell>
          <cell r="AE36" t="str">
            <v>Deliver</v>
          </cell>
          <cell r="AF36" t="str">
            <v>10746 NW 21st Street, Coral Springs, Fl 33071</v>
          </cell>
          <cell r="AG36" t="str">
            <v>(754) 281-7323</v>
          </cell>
          <cell r="AH36" t="str">
            <v>Suzi.constant@gmail.com</v>
          </cell>
        </row>
        <row r="37">
          <cell r="A37">
            <v>37</v>
          </cell>
          <cell r="B37">
            <v>45550.907719907409</v>
          </cell>
          <cell r="C37">
            <v>45550.908564814818</v>
          </cell>
          <cell r="D37" t="str">
            <v>anonymous</v>
          </cell>
          <cell r="F37" t="str">
            <v>Suzana</v>
          </cell>
          <cell r="G37" t="str">
            <v>Pick A Flavor</v>
          </cell>
          <cell r="Y37" t="str">
            <v>Cookies and Cream ($6|$9|$16)</v>
          </cell>
          <cell r="Z37" t="str">
            <v>Sugar</v>
          </cell>
          <cell r="AA37" t="str">
            <v>Yes</v>
          </cell>
          <cell r="AB37" t="str">
            <v>Vegan (Vegan Heavy Cream &amp; Almond Milk)</v>
          </cell>
          <cell r="AC37" t="str">
            <v>Pint</v>
          </cell>
          <cell r="AE37" t="str">
            <v>Deliver</v>
          </cell>
          <cell r="AF37" t="str">
            <v>10746 NW 21st Street, Coral Springs, Fl 33071</v>
          </cell>
          <cell r="AG37" t="str">
            <v>(754) 281-7323</v>
          </cell>
          <cell r="AH37" t="str">
            <v>Suzi.constant@gmail.com</v>
          </cell>
          <cell r="AI37" t="str">
            <v>Please add caramel</v>
          </cell>
        </row>
        <row r="38">
          <cell r="A38">
            <v>38</v>
          </cell>
          <cell r="B38">
            <v>45551.766122685185</v>
          </cell>
          <cell r="C38">
            <v>45551.77547453704</v>
          </cell>
          <cell r="D38" t="str">
            <v>anonymous</v>
          </cell>
          <cell r="F38" t="str">
            <v>Tommy Truong</v>
          </cell>
          <cell r="G38" t="str">
            <v>Craft A Flavor</v>
          </cell>
          <cell r="H38" t="str">
            <v>Rich (Heavy Cream &amp; Half and Half) (Recommended)</v>
          </cell>
          <cell r="I38" t="str">
            <v>Caramel</v>
          </cell>
          <cell r="J38" t="str">
            <v>Heavy (For jams)</v>
          </cell>
          <cell r="K38" t="str">
            <v>Yes</v>
          </cell>
          <cell r="L38" t="str">
            <v>Dulce De Leche</v>
          </cell>
          <cell r="M38" t="str">
            <v>Heavy</v>
          </cell>
          <cell r="N38" t="str">
            <v>Sugar</v>
          </cell>
          <cell r="O38" t="str">
            <v>1/4 Sweet (Rec. For Stevia)</v>
          </cell>
          <cell r="P38" t="str">
            <v>No</v>
          </cell>
          <cell r="S38" t="str">
            <v>Yes</v>
          </cell>
          <cell r="T38" t="str">
            <v>Homemade Sugar Cookie Dough</v>
          </cell>
          <cell r="U38" t="str">
            <v>Yes</v>
          </cell>
          <cell r="V38" t="str">
            <v>Brownies</v>
          </cell>
          <cell r="W38" t="str">
            <v>Heavy (35%)</v>
          </cell>
          <cell r="X38" t="str">
            <v>Cheat Week</v>
          </cell>
          <cell r="AC38" t="str">
            <v>Quart</v>
          </cell>
          <cell r="AE38" t="str">
            <v>Deliver</v>
          </cell>
          <cell r="AF38" t="str">
            <v xml:space="preserve">6053 86th Dr S, Greenacres, FL
</v>
          </cell>
          <cell r="AG38" t="str">
            <v>5612914048</v>
          </cell>
          <cell r="AH38" t="str">
            <v>tt72602@gmail.com</v>
          </cell>
        </row>
        <row r="39">
          <cell r="A39">
            <v>39</v>
          </cell>
          <cell r="B39">
            <v>45554.798344907409</v>
          </cell>
          <cell r="C39">
            <v>45554.798854166664</v>
          </cell>
          <cell r="D39" t="str">
            <v>anonymous</v>
          </cell>
          <cell r="F39" t="str">
            <v>Mr. Maxwell</v>
          </cell>
          <cell r="G39" t="str">
            <v>Pick A Flavor</v>
          </cell>
          <cell r="Y39" t="str">
            <v>Vanilla ($7|$11|$19)</v>
          </cell>
          <cell r="Z39" t="str">
            <v>Non-Sugar Sweetner</v>
          </cell>
          <cell r="AA39" t="str">
            <v>Yes</v>
          </cell>
          <cell r="AB39" t="str">
            <v>Vegan (Vegan Heavy Cream &amp; Almond Milk)</v>
          </cell>
          <cell r="AC39" t="str">
            <v>Pint</v>
          </cell>
          <cell r="AE39" t="str">
            <v>Pickup</v>
          </cell>
          <cell r="AG39" t="str">
            <v>954-483-8278</v>
          </cell>
          <cell r="AH39" t="str">
            <v>Micbro14@gmail.com</v>
          </cell>
        </row>
        <row r="40">
          <cell r="A40">
            <v>40</v>
          </cell>
          <cell r="B40">
            <v>45554.79891203704</v>
          </cell>
          <cell r="C40">
            <v>45554.799351851849</v>
          </cell>
          <cell r="D40" t="str">
            <v>anonymous</v>
          </cell>
          <cell r="F40" t="str">
            <v>John Maxwell</v>
          </cell>
          <cell r="G40" t="str">
            <v>Pick A Flavor</v>
          </cell>
          <cell r="Y40" t="str">
            <v>Choco-Chip Cookie Butter Blast ($6|$8|$15)</v>
          </cell>
          <cell r="Z40" t="str">
            <v>Sugar</v>
          </cell>
          <cell r="AA40" t="str">
            <v>No</v>
          </cell>
          <cell r="AC40" t="str">
            <v>Pint</v>
          </cell>
          <cell r="AE40" t="str">
            <v>Pickup</v>
          </cell>
          <cell r="AG40" t="str">
            <v>954-483-8278</v>
          </cell>
          <cell r="AH40" t="str">
            <v>Micbro14@gmail.com</v>
          </cell>
        </row>
        <row r="41">
          <cell r="A41">
            <v>41</v>
          </cell>
          <cell r="B41">
            <v>45560.542685185203</v>
          </cell>
          <cell r="C41">
            <v>45560.543831018498</v>
          </cell>
          <cell r="D41" t="str">
            <v>anonymous</v>
          </cell>
          <cell r="E41"/>
          <cell r="F41" t="str">
            <v>Kimberly Brown</v>
          </cell>
          <cell r="G41" t="str">
            <v>Craft A Flavor</v>
          </cell>
          <cell r="H41" t="str">
            <v>Low Calorie (Fat Free Half and Half &amp; Fat Free Evaporated Milk) (NEW)</v>
          </cell>
          <cell r="I41" t="str">
            <v>Bourbon Vanilla Bean Paste</v>
          </cell>
          <cell r="J41" t="str">
            <v>Light (For pastes and extracts)</v>
          </cell>
          <cell r="K41" t="str">
            <v>Yes</v>
          </cell>
          <cell r="L41" t="str">
            <v>Egg Yolk</v>
          </cell>
          <cell r="M41" t="str">
            <v>Double</v>
          </cell>
          <cell r="N41" t="str">
            <v>Cinnadust</v>
          </cell>
          <cell r="O41" t="str">
            <v>1/4 Sweet (Rec. For Stevia)</v>
          </cell>
          <cell r="P41" t="str">
            <v>Yes</v>
          </cell>
          <cell r="Q41" t="str">
            <v>Stevia</v>
          </cell>
          <cell r="R41" t="str">
            <v>1/2 Sweet</v>
          </cell>
          <cell r="S41" t="str">
            <v>No</v>
          </cell>
          <cell r="T41"/>
          <cell r="U41"/>
          <cell r="V41"/>
          <cell r="W41"/>
          <cell r="X41" t="str">
            <v>Light Cinnadust</v>
          </cell>
          <cell r="Y41"/>
          <cell r="Z41"/>
          <cell r="AA41"/>
          <cell r="AB41"/>
          <cell r="AC41" t="str">
            <v>Pint</v>
          </cell>
          <cell r="AE41" t="str">
            <v>Pickup</v>
          </cell>
          <cell r="AF41"/>
          <cell r="AG41" t="str">
            <v>954-483-8278</v>
          </cell>
          <cell r="AH41" t="str">
            <v>micbro14@gmail.com</v>
          </cell>
          <cell r="AI41" t="str">
            <v>free order test</v>
          </cell>
        </row>
        <row r="42">
          <cell r="A42">
            <v>42</v>
          </cell>
          <cell r="B42">
            <v>45561.931296296301</v>
          </cell>
          <cell r="C42">
            <v>45561.932465277801</v>
          </cell>
          <cell r="D42" t="str">
            <v>anonymous</v>
          </cell>
          <cell r="E42"/>
          <cell r="F42" t="str">
            <v>Suzana</v>
          </cell>
          <cell r="G42" t="str">
            <v>Pick A Flavor</v>
          </cell>
          <cell r="H42"/>
          <cell r="I42"/>
          <cell r="J42"/>
          <cell r="K42"/>
          <cell r="L42"/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 t="str">
            <v>Cookies and Cream ($6|$9|$16)</v>
          </cell>
          <cell r="Z42" t="str">
            <v>Sugar</v>
          </cell>
          <cell r="AA42" t="str">
            <v>Yes</v>
          </cell>
          <cell r="AB42" t="str">
            <v>Vegan (Vegan Heavy Cream &amp; Vegan Half and Half)</v>
          </cell>
          <cell r="AC42" t="str">
            <v>Quart</v>
          </cell>
          <cell r="AE42" t="str">
            <v>Deliver</v>
          </cell>
          <cell r="AF42" t="str">
            <v>10746 NW 21st Street, Coral Springs, Fl 33071</v>
          </cell>
          <cell r="AG42" t="str">
            <v>7542817324</v>
          </cell>
          <cell r="AH42" t="str">
            <v>Suzi.constant@gmail.com</v>
          </cell>
          <cell r="AI42"/>
        </row>
        <row r="43">
          <cell r="A43">
            <v>43</v>
          </cell>
          <cell r="B43">
            <v>45561.932488425897</v>
          </cell>
          <cell r="C43">
            <v>45561.933252314797</v>
          </cell>
          <cell r="D43" t="str">
            <v>anonymous</v>
          </cell>
          <cell r="E43"/>
          <cell r="F43" t="str">
            <v>Suzan</v>
          </cell>
          <cell r="G43" t="str">
            <v>Pick A Flavor</v>
          </cell>
          <cell r="H43"/>
          <cell r="I43"/>
          <cell r="J43"/>
          <cell r="K43"/>
          <cell r="L43"/>
          <cell r="M43"/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 t="str">
            <v>Cookies and Cream ($6|$9|$16)</v>
          </cell>
          <cell r="Z43" t="str">
            <v>Sugar</v>
          </cell>
          <cell r="AA43" t="str">
            <v>Yes</v>
          </cell>
          <cell r="AB43" t="str">
            <v>Vegan (Vegan Heavy Cream &amp; Vegan Half and Half)</v>
          </cell>
          <cell r="AC43" t="str">
            <v>Pint</v>
          </cell>
          <cell r="AE43" t="str">
            <v>Deliver</v>
          </cell>
          <cell r="AF43" t="str">
            <v>10746 NW 21st Street, Coral Springs, Fl 33071</v>
          </cell>
          <cell r="AG43" t="str">
            <v>7542817323</v>
          </cell>
          <cell r="AH43" t="str">
            <v>Suzi.constant@gmail.com</v>
          </cell>
          <cell r="AI43"/>
        </row>
        <row r="44">
          <cell r="A44">
            <v>44</v>
          </cell>
          <cell r="B44">
            <v>45563.011203703703</v>
          </cell>
          <cell r="C44">
            <v>45563.013252314799</v>
          </cell>
          <cell r="D44" t="str">
            <v>anonymous</v>
          </cell>
          <cell r="E44"/>
          <cell r="F44" t="str">
            <v>Tommy Truong</v>
          </cell>
          <cell r="G44" t="str">
            <v>Craft A Flavor</v>
          </cell>
          <cell r="H44" t="str">
            <v>Rich (Heavy Cream &amp; Half and Half) (Recommended)</v>
          </cell>
          <cell r="I44" t="str">
            <v>Caramel</v>
          </cell>
          <cell r="J44" t="str">
            <v>Heavy (For jams)</v>
          </cell>
          <cell r="K44" t="str">
            <v>Yes</v>
          </cell>
          <cell r="L44" t="str">
            <v>Dulce De Leche</v>
          </cell>
          <cell r="M44" t="str">
            <v>Heavy (For jams)</v>
          </cell>
          <cell r="N44" t="str">
            <v>Sugar</v>
          </cell>
          <cell r="O44" t="str">
            <v>1/4 Sweet (Rec. For Stevia)</v>
          </cell>
          <cell r="P44" t="str">
            <v>No</v>
          </cell>
          <cell r="Q44"/>
          <cell r="R44"/>
          <cell r="S44" t="str">
            <v>Yes</v>
          </cell>
          <cell r="T44" t="str">
            <v>Homemade Sugar Cookie Dough</v>
          </cell>
          <cell r="U44" t="str">
            <v>Yes</v>
          </cell>
          <cell r="V44" t="str">
            <v>Brownies</v>
          </cell>
          <cell r="W44" t="str">
            <v>Heavy (35%)</v>
          </cell>
          <cell r="X44" t="str">
            <v>Cheat Week</v>
          </cell>
          <cell r="Y44"/>
          <cell r="Z44"/>
          <cell r="AA44"/>
          <cell r="AB44"/>
          <cell r="AC44" t="str">
            <v>Half Gallon</v>
          </cell>
          <cell r="AE44" t="str">
            <v>Deliver</v>
          </cell>
          <cell r="AF44" t="str">
            <v xml:space="preserve">6053 86th Dr S, Greenacres, FL
</v>
          </cell>
          <cell r="AG44" t="str">
            <v>954-483-8278</v>
          </cell>
          <cell r="AH44" t="str">
            <v>tt72602@gmail.com</v>
          </cell>
          <cell r="AI44"/>
        </row>
        <row r="45">
          <cell r="A45">
            <v>45</v>
          </cell>
          <cell r="B45">
            <v>45564.578101851803</v>
          </cell>
          <cell r="C45">
            <v>45564.581886574102</v>
          </cell>
          <cell r="D45" t="str">
            <v>anonymous</v>
          </cell>
          <cell r="E45"/>
          <cell r="F45" t="str">
            <v>Joany</v>
          </cell>
          <cell r="G45" t="str">
            <v>Pick A Flavor</v>
          </cell>
          <cell r="H45"/>
          <cell r="I45"/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 t="str">
            <v>Cookies and Cream ($6|$9|$16)</v>
          </cell>
          <cell r="Z45" t="str">
            <v>Sugar</v>
          </cell>
          <cell r="AA45" t="str">
            <v>No</v>
          </cell>
          <cell r="AB45"/>
          <cell r="AC45" t="str">
            <v>Quart</v>
          </cell>
          <cell r="AE45" t="str">
            <v>Pickup</v>
          </cell>
          <cell r="AF45"/>
          <cell r="AG45" t="str">
            <v>954-830-6368</v>
          </cell>
          <cell r="AH45" t="str">
            <v>joanymaxinau83@gmail.com</v>
          </cell>
          <cell r="AI45" t="str">
            <v>Add EXTRA Carmel, and top it off with small marshmallow please and thank you</v>
          </cell>
        </row>
        <row r="46">
          <cell r="A46">
            <v>46</v>
          </cell>
          <cell r="B46">
            <v>45566.820567129602</v>
          </cell>
          <cell r="C46">
            <v>45566.821655092601</v>
          </cell>
          <cell r="D46" t="str">
            <v>anonymous</v>
          </cell>
          <cell r="E46"/>
          <cell r="F46" t="str">
            <v>Joany</v>
          </cell>
          <cell r="G46" t="str">
            <v>Pick A Flavor</v>
          </cell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 t="str">
            <v>Maple Cinnamon ($10|$16|$29) NEW</v>
          </cell>
          <cell r="Z46" t="str">
            <v>Sugar</v>
          </cell>
          <cell r="AA46" t="str">
            <v>No</v>
          </cell>
          <cell r="AB46"/>
          <cell r="AC46" t="str">
            <v>Pint</v>
          </cell>
          <cell r="AE46" t="str">
            <v>Deliver</v>
          </cell>
          <cell r="AF46" t="str">
            <v>11582 NW 43rd st</v>
          </cell>
          <cell r="AG46" t="str">
            <v>954-830-6368</v>
          </cell>
          <cell r="AH46" t="str">
            <v xml:space="preserve">joanymaxinau83@gmail.com </v>
          </cell>
          <cell r="AI46"/>
        </row>
        <row r="47">
          <cell r="A47">
            <v>47</v>
          </cell>
          <cell r="B47">
            <v>45568.818877314799</v>
          </cell>
          <cell r="C47">
            <v>45568.819699074098</v>
          </cell>
          <cell r="D47" t="str">
            <v>anonymous</v>
          </cell>
          <cell r="E47"/>
          <cell r="F47" t="str">
            <v>Ting Wei</v>
          </cell>
          <cell r="G47" t="str">
            <v>Craft A Flavor</v>
          </cell>
          <cell r="H47" t="str">
            <v>Rich (Heavy Cream &amp; Half and Half) (Recommended)</v>
          </cell>
          <cell r="I47" t="str">
            <v>Matcha Powder</v>
          </cell>
          <cell r="J47" t="str">
            <v>Normal</v>
          </cell>
          <cell r="K47" t="str">
            <v>No</v>
          </cell>
          <cell r="L47"/>
          <cell r="M47"/>
          <cell r="N47" t="str">
            <v>Sugar</v>
          </cell>
          <cell r="O47" t="str">
            <v>1/2 Sweet</v>
          </cell>
          <cell r="P47" t="str">
            <v>No</v>
          </cell>
          <cell r="Q47"/>
          <cell r="R47"/>
          <cell r="S47" t="str">
            <v>No</v>
          </cell>
          <cell r="T47"/>
          <cell r="U47"/>
          <cell r="V47"/>
          <cell r="W47"/>
          <cell r="X47" t="str">
            <v>Matcha</v>
          </cell>
          <cell r="Y47"/>
          <cell r="Z47"/>
          <cell r="AA47"/>
          <cell r="AB47"/>
          <cell r="AC47" t="str">
            <v>Pint</v>
          </cell>
          <cell r="AE47" t="str">
            <v>Pickup</v>
          </cell>
          <cell r="AF47"/>
          <cell r="AG47" t="str">
            <v>954-483-8278</v>
          </cell>
          <cell r="AH47" t="str">
            <v>Micbro14@gmail.com</v>
          </cell>
          <cell r="AI47"/>
        </row>
        <row r="48">
          <cell r="A48">
            <v>48</v>
          </cell>
          <cell r="B48">
            <v>45569.506712962997</v>
          </cell>
          <cell r="C48">
            <v>45569.507372685199</v>
          </cell>
          <cell r="D48" t="str">
            <v>anonymous</v>
          </cell>
          <cell r="E48"/>
          <cell r="F48" t="str">
            <v xml:space="preserve">Mr. Maxwell </v>
          </cell>
          <cell r="G48" t="str">
            <v>Pick A Flavor</v>
          </cell>
          <cell r="H48"/>
          <cell r="I48"/>
          <cell r="J48"/>
          <cell r="K48"/>
          <cell r="L48"/>
          <cell r="M48"/>
          <cell r="N48"/>
          <cell r="O48"/>
          <cell r="P48"/>
          <cell r="Q48"/>
          <cell r="R48"/>
          <cell r="S48"/>
          <cell r="T48"/>
          <cell r="U48"/>
          <cell r="V48"/>
          <cell r="W48"/>
          <cell r="X48"/>
          <cell r="Y48" t="str">
            <v>Vanilla ($7|$11|$19)</v>
          </cell>
          <cell r="Z48" t="str">
            <v>Non-Sugar Sweetner</v>
          </cell>
          <cell r="AA48" t="str">
            <v>Yes</v>
          </cell>
          <cell r="AB48" t="str">
            <v>Vegan (Vegan Heavy Cream &amp; Vegan Half and Half)</v>
          </cell>
          <cell r="AC48" t="str">
            <v>Pint</v>
          </cell>
          <cell r="AE48" t="str">
            <v>Pickup</v>
          </cell>
          <cell r="AF48"/>
          <cell r="AG48" t="str">
            <v>954-483-8278</v>
          </cell>
          <cell r="AH48" t="str">
            <v>micbro14@gmail.com</v>
          </cell>
          <cell r="AI48"/>
        </row>
        <row r="49">
          <cell r="A49">
            <v>49</v>
          </cell>
          <cell r="B49">
            <v>45581.751712963</v>
          </cell>
          <cell r="C49">
            <v>45581.755451388897</v>
          </cell>
          <cell r="D49" t="str">
            <v>anonymous</v>
          </cell>
          <cell r="E49"/>
          <cell r="F49" t="str">
            <v>Yoseiry</v>
          </cell>
          <cell r="G49" t="str">
            <v>Craft A Flavor</v>
          </cell>
          <cell r="H49" t="str">
            <v>Rich (Heavy Cream &amp; Half and Half) (Recommended)</v>
          </cell>
          <cell r="I49" t="str">
            <v>Dulce De Leche</v>
          </cell>
          <cell r="J49" t="str">
            <v>Normal</v>
          </cell>
          <cell r="K49" t="str">
            <v>Yes</v>
          </cell>
          <cell r="L49" t="str">
            <v>Cookie Butter</v>
          </cell>
          <cell r="M49" t="str">
            <v>Normal</v>
          </cell>
          <cell r="N49" t="str">
            <v>Girl Scouts Smores Seasoning Blend</v>
          </cell>
          <cell r="O49" t="str">
            <v>1/2 Sweet</v>
          </cell>
          <cell r="P49" t="str">
            <v>No</v>
          </cell>
          <cell r="Q49"/>
          <cell r="R49"/>
          <cell r="S49" t="str">
            <v>Yes</v>
          </cell>
          <cell r="T49" t="str">
            <v>Homemade Chocolate Chip Cookes (Dough or Baked)</v>
          </cell>
          <cell r="U49" t="str">
            <v>Yes</v>
          </cell>
          <cell r="V49" t="str">
            <v>Oreos</v>
          </cell>
          <cell r="W49" t="str">
            <v>Normal (25%)</v>
          </cell>
          <cell r="X49" t="str">
            <v>Dulce cream!</v>
          </cell>
          <cell r="Y49"/>
          <cell r="Z49"/>
          <cell r="AA49"/>
          <cell r="AB49"/>
          <cell r="AC49" t="str">
            <v>Pint</v>
          </cell>
          <cell r="AE49" t="str">
            <v>Deliver</v>
          </cell>
          <cell r="AF49" t="str">
            <v xml:space="preserve">Chow one Korean steakhouse </v>
          </cell>
          <cell r="AG49" t="str">
            <v>7867882139</v>
          </cell>
          <cell r="AH49" t="str">
            <v>Yoseiry002@gmail.com</v>
          </cell>
          <cell r="AI49"/>
        </row>
        <row r="50">
          <cell r="A50">
            <v>50</v>
          </cell>
          <cell r="B50">
            <v>45582.645335648202</v>
          </cell>
          <cell r="C50">
            <v>45582.647407407399</v>
          </cell>
          <cell r="D50" t="str">
            <v>anonymous</v>
          </cell>
          <cell r="E50"/>
          <cell r="F50" t="str">
            <v xml:space="preserve">Tammy Truong </v>
          </cell>
          <cell r="G50" t="str">
            <v>Pick A Flavor</v>
          </cell>
          <cell r="H50"/>
          <cell r="I50"/>
          <cell r="J50"/>
          <cell r="K50"/>
          <cell r="L50"/>
          <cell r="M50"/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 t="str">
            <v>Huckleberry Cheesecake &amp; choco chip cookie butter</v>
          </cell>
          <cell r="Z50" t="str">
            <v>Sugar</v>
          </cell>
          <cell r="AA50" t="str">
            <v>No</v>
          </cell>
          <cell r="AB50"/>
          <cell r="AC50" t="str">
            <v>Pint</v>
          </cell>
          <cell r="AE50" t="str">
            <v>Deliver</v>
          </cell>
          <cell r="AF50" t="str">
            <v>6053 86th Dr S, Lake Worth, FL 33467</v>
          </cell>
          <cell r="AG50" t="str">
            <v xml:space="preserve">561-398-0142 </v>
          </cell>
          <cell r="AH50" t="str">
            <v>tammytruong2013@gmail.com</v>
          </cell>
          <cell r="AI50"/>
        </row>
        <row r="51">
          <cell r="A51">
            <v>51</v>
          </cell>
          <cell r="B51">
            <v>45583.664849537003</v>
          </cell>
          <cell r="C51">
            <v>45583.666423611103</v>
          </cell>
          <cell r="D51" t="str">
            <v>anonymous</v>
          </cell>
          <cell r="E51"/>
          <cell r="F51" t="str">
            <v>Tommy Truong</v>
          </cell>
          <cell r="G51" t="str">
            <v>Craft A Flavor</v>
          </cell>
          <cell r="H51" t="str">
            <v>Rich (Heavy Cream &amp; Half and Half) (Recommended)</v>
          </cell>
          <cell r="I51" t="str">
            <v>Dulce De Leche</v>
          </cell>
          <cell r="J51" t="str">
            <v>Heavy (For jams)</v>
          </cell>
          <cell r="K51" t="str">
            <v>Yes</v>
          </cell>
          <cell r="L51" t="str">
            <v>Caramel</v>
          </cell>
          <cell r="M51" t="str">
            <v>Normal</v>
          </cell>
          <cell r="N51" t="str">
            <v>Sugar</v>
          </cell>
          <cell r="O51" t="str">
            <v>1/4 Sweet (Rec. For Stevia)</v>
          </cell>
          <cell r="P51" t="str">
            <v>No</v>
          </cell>
          <cell r="Q51"/>
          <cell r="R51"/>
          <cell r="S51" t="str">
            <v>Yes</v>
          </cell>
          <cell r="T51" t="str">
            <v>Homemade Sugar Cookie Dough</v>
          </cell>
          <cell r="U51" t="str">
            <v>Yes</v>
          </cell>
          <cell r="V51" t="str">
            <v>Brownies</v>
          </cell>
          <cell r="W51" t="str">
            <v>Heavy (35%)</v>
          </cell>
          <cell r="X51" t="str">
            <v xml:space="preserve">Cheat Week </v>
          </cell>
          <cell r="Y51"/>
          <cell r="Z51"/>
          <cell r="AA51"/>
          <cell r="AB51"/>
          <cell r="AC51" t="str">
            <v>Half Gallon</v>
          </cell>
          <cell r="AE51" t="str">
            <v>Pickup</v>
          </cell>
          <cell r="AF51"/>
          <cell r="AG51" t="str">
            <v>954-483-8278</v>
          </cell>
          <cell r="AH51" t="str">
            <v>micbro14@gmail.com</v>
          </cell>
          <cell r="AI51"/>
        </row>
        <row r="52">
          <cell r="A52">
            <v>52</v>
          </cell>
          <cell r="B52">
            <v>45583.666469907403</v>
          </cell>
          <cell r="C52">
            <v>45583.666770833297</v>
          </cell>
          <cell r="D52" t="str">
            <v>anonymous</v>
          </cell>
          <cell r="E52"/>
          <cell r="F52" t="str">
            <v xml:space="preserve">Tommy Truong </v>
          </cell>
          <cell r="G52" t="str">
            <v>Pick A Flavor</v>
          </cell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 t="str">
            <v>Huckleberry Cheesecake ($6|$9|$15)</v>
          </cell>
          <cell r="Z52" t="str">
            <v>Sugar</v>
          </cell>
          <cell r="AA52" t="str">
            <v>No</v>
          </cell>
          <cell r="AB52"/>
          <cell r="AC52" t="str">
            <v>Pint</v>
          </cell>
          <cell r="AE52" t="str">
            <v>Pickup</v>
          </cell>
          <cell r="AF52"/>
          <cell r="AG52" t="str">
            <v>954-483-8278</v>
          </cell>
          <cell r="AH52" t="str">
            <v>micbro14@gmail.com</v>
          </cell>
          <cell r="AI52"/>
        </row>
        <row r="53">
          <cell r="A53">
            <v>53</v>
          </cell>
          <cell r="B53">
            <v>45583.666817129597</v>
          </cell>
          <cell r="C53">
            <v>45583.667210648098</v>
          </cell>
          <cell r="D53" t="str">
            <v>anonymous</v>
          </cell>
          <cell r="E53"/>
          <cell r="F53" t="str">
            <v xml:space="preserve">Tommy Truong </v>
          </cell>
          <cell r="G53" t="str">
            <v>Pick A Flavor</v>
          </cell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 t="str">
            <v>Choco-Chip Cookie Butter Blast ($6|$8|$15)</v>
          </cell>
          <cell r="Z53" t="str">
            <v>Sugar</v>
          </cell>
          <cell r="AA53" t="str">
            <v>No</v>
          </cell>
          <cell r="AB53"/>
          <cell r="AC53" t="str">
            <v>Pint</v>
          </cell>
          <cell r="AE53" t="str">
            <v>Pickup</v>
          </cell>
          <cell r="AF53"/>
          <cell r="AG53" t="str">
            <v>954-483-8278</v>
          </cell>
          <cell r="AH53" t="str">
            <v>micbro14@gmail.com</v>
          </cell>
          <cell r="AI53"/>
        </row>
        <row r="54">
          <cell r="A54">
            <v>54</v>
          </cell>
          <cell r="B54">
            <v>45589.801064814797</v>
          </cell>
          <cell r="C54">
            <v>45589.802928240701</v>
          </cell>
          <cell r="D54" t="str">
            <v>anonymous</v>
          </cell>
          <cell r="E54"/>
          <cell r="F54" t="str">
            <v>Joany</v>
          </cell>
          <cell r="G54" t="str">
            <v>Pick A Flavor</v>
          </cell>
          <cell r="H54"/>
          <cell r="I54"/>
          <cell r="J54"/>
          <cell r="K54"/>
          <cell r="L54"/>
          <cell r="M54"/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 t="str">
            <v>Maple Cinnamon ($10|$16|$29) NEW</v>
          </cell>
          <cell r="Z54" t="str">
            <v>Sugar</v>
          </cell>
          <cell r="AA54" t="str">
            <v>No</v>
          </cell>
          <cell r="AB54"/>
          <cell r="AC54" t="str">
            <v>Pint</v>
          </cell>
          <cell r="AE54" t="str">
            <v>Deliver</v>
          </cell>
          <cell r="AF54" t="str">
            <v>11582 NW 43rd ST 33065, FL, Coral Springs</v>
          </cell>
          <cell r="AG54" t="str">
            <v>954-830-6368</v>
          </cell>
          <cell r="AH54" t="str">
            <v>Joanymaxinau83@gmail.com</v>
          </cell>
          <cell r="AI54"/>
        </row>
        <row r="55">
          <cell r="A55">
            <v>55</v>
          </cell>
          <cell r="B55">
            <v>45589.802974537</v>
          </cell>
          <cell r="C55">
            <v>45589.804259259297</v>
          </cell>
          <cell r="D55" t="str">
            <v>anonymous</v>
          </cell>
          <cell r="E55"/>
          <cell r="F55" t="str">
            <v>Joany</v>
          </cell>
          <cell r="G55" t="str">
            <v>Pick A Flavor</v>
          </cell>
          <cell r="H55"/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 t="str">
            <v>Cookies and Cream ($6|$9|$16)</v>
          </cell>
          <cell r="Z55" t="str">
            <v>Sugar</v>
          </cell>
          <cell r="AA55" t="str">
            <v>No</v>
          </cell>
          <cell r="AB55"/>
          <cell r="AC55" t="str">
            <v>Quart</v>
          </cell>
          <cell r="AE55" t="str">
            <v>Deliver</v>
          </cell>
          <cell r="AF55" t="str">
            <v>11582 NW 43rd ST 33065, fl coral springs</v>
          </cell>
          <cell r="AG55" t="str">
            <v>954-830-6368</v>
          </cell>
          <cell r="AH55" t="str">
            <v>Joanymaxinau83@gmail.com</v>
          </cell>
          <cell r="AI55"/>
        </row>
        <row r="56">
          <cell r="A56">
            <v>56</v>
          </cell>
          <cell r="B56">
            <v>45594.316354166702</v>
          </cell>
          <cell r="C56">
            <v>45594.317141203697</v>
          </cell>
          <cell r="D56" t="str">
            <v>anonymous</v>
          </cell>
          <cell r="E56"/>
          <cell r="F56" t="str">
            <v xml:space="preserve">Rosy </v>
          </cell>
          <cell r="G56" t="str">
            <v>Craft A Flavor</v>
          </cell>
          <cell r="H56" t="str">
            <v>Gelato (Heavy Cream, Half and Half, and Eggs)</v>
          </cell>
          <cell r="I56" t="str">
            <v>Instant Coffee (Jamaican Moutain Peak)</v>
          </cell>
          <cell r="J56" t="str">
            <v>Light (For pastes and extracts)</v>
          </cell>
          <cell r="K56" t="str">
            <v>No</v>
          </cell>
          <cell r="L56"/>
          <cell r="M56"/>
          <cell r="N56" t="str">
            <v>Sugar</v>
          </cell>
          <cell r="O56" t="str">
            <v>1:1 Sweet</v>
          </cell>
          <cell r="P56" t="str">
            <v>No</v>
          </cell>
          <cell r="Q56"/>
          <cell r="R56"/>
          <cell r="S56" t="str">
            <v>No</v>
          </cell>
          <cell r="T56"/>
          <cell r="U56"/>
          <cell r="V56"/>
          <cell r="W56"/>
          <cell r="X56" t="str">
            <v>Coffee Gelato</v>
          </cell>
          <cell r="Y56"/>
          <cell r="Z56"/>
          <cell r="AA56"/>
          <cell r="AB56"/>
          <cell r="AC56" t="str">
            <v>Pint</v>
          </cell>
          <cell r="AD56" t="str">
            <v>No</v>
          </cell>
          <cell r="AE56" t="str">
            <v>Pickup</v>
          </cell>
          <cell r="AF56"/>
          <cell r="AG56" t="str">
            <v>954-483-8278</v>
          </cell>
          <cell r="AH56" t="str">
            <v>micbro14@gmail.com</v>
          </cell>
          <cell r="AI56"/>
        </row>
        <row r="57">
          <cell r="A57">
            <v>57</v>
          </cell>
          <cell r="B57">
            <v>45594.317210648202</v>
          </cell>
          <cell r="C57">
            <v>45594.317951388897</v>
          </cell>
          <cell r="D57" t="str">
            <v>anonymous</v>
          </cell>
          <cell r="E57"/>
          <cell r="F57" t="str">
            <v xml:space="preserve">John Maxwell </v>
          </cell>
          <cell r="G57" t="str">
            <v>Pick A Flavor</v>
          </cell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 t="str">
            <v>Choco-Chip Cookie Butter Blast ($6|$8|$15)</v>
          </cell>
          <cell r="Z57" t="str">
            <v>Sugar</v>
          </cell>
          <cell r="AA57" t="str">
            <v>No</v>
          </cell>
          <cell r="AB57"/>
          <cell r="AC57" t="str">
            <v>Pint</v>
          </cell>
          <cell r="AD57" t="str">
            <v>No</v>
          </cell>
          <cell r="AE57" t="str">
            <v>Pickup</v>
          </cell>
          <cell r="AF57"/>
          <cell r="AG57" t="str">
            <v>954-483-8278</v>
          </cell>
          <cell r="AH57" t="str">
            <v>micbro14@gmail.com</v>
          </cell>
          <cell r="AI57"/>
        </row>
        <row r="58">
          <cell r="A58">
            <v>58</v>
          </cell>
          <cell r="B58">
            <v>45594.317210648202</v>
          </cell>
          <cell r="C58">
            <v>45594.317962963003</v>
          </cell>
          <cell r="D58" t="str">
            <v>anonymous</v>
          </cell>
          <cell r="E58"/>
          <cell r="F58" t="str">
            <v xml:space="preserve">John Maxwell </v>
          </cell>
          <cell r="G58" t="str">
            <v>Pick A Flavor</v>
          </cell>
          <cell r="H58"/>
          <cell r="I58"/>
          <cell r="J58"/>
          <cell r="K58"/>
          <cell r="L58"/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 t="str">
            <v>Choco-Chip Cookie Butter Blast ($6|$8|$15)</v>
          </cell>
          <cell r="Z58" t="str">
            <v>Sugar</v>
          </cell>
          <cell r="AA58" t="str">
            <v>No</v>
          </cell>
          <cell r="AB58"/>
          <cell r="AC58" t="str">
            <v>Pint</v>
          </cell>
          <cell r="AD58" t="str">
            <v>No</v>
          </cell>
          <cell r="AE58" t="str">
            <v>Pickup</v>
          </cell>
          <cell r="AF58"/>
          <cell r="AG58" t="str">
            <v>954-483-8278</v>
          </cell>
          <cell r="AH58" t="str">
            <v>micbro14@gmail.com</v>
          </cell>
          <cell r="AI58"/>
        </row>
        <row r="59">
          <cell r="A59">
            <v>60</v>
          </cell>
          <cell r="B59">
            <v>45594.593518518501</v>
          </cell>
          <cell r="C59">
            <v>45594.594571759299</v>
          </cell>
          <cell r="D59" t="str">
            <v>anonymous</v>
          </cell>
          <cell r="E59"/>
          <cell r="F59" t="str">
            <v xml:space="preserve">Alina </v>
          </cell>
          <cell r="G59" t="str">
            <v>Pick A Flavor</v>
          </cell>
          <cell r="H59"/>
          <cell r="I59"/>
          <cell r="J59"/>
          <cell r="K59"/>
          <cell r="L59"/>
          <cell r="M59"/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 t="str">
            <v>Rocky Road (Chocolate Ice Cream with Marshmallows and Almonds)</v>
          </cell>
          <cell r="Z59" t="str">
            <v>Sugar</v>
          </cell>
          <cell r="AA59" t="str">
            <v>No</v>
          </cell>
          <cell r="AB59"/>
          <cell r="AC59" t="str">
            <v>Quart</v>
          </cell>
          <cell r="AD59" t="str">
            <v>No</v>
          </cell>
          <cell r="AE59" t="str">
            <v>Deliver</v>
          </cell>
          <cell r="AF59" t="str">
            <v>talk to tommy !</v>
          </cell>
          <cell r="AG59" t="str">
            <v>8134807284</v>
          </cell>
          <cell r="AH59" t="str">
            <v>alinameghan@gmail.com</v>
          </cell>
          <cell r="AI59" t="str">
            <v>resubmit of the first form. i just want one quart 🙏🏼</v>
          </cell>
        </row>
        <row r="60">
          <cell r="A60">
            <v>61</v>
          </cell>
          <cell r="B60">
            <v>45594.590937499997</v>
          </cell>
          <cell r="C60">
            <v>45594.598553240699</v>
          </cell>
          <cell r="D60" t="str">
            <v>anonymous</v>
          </cell>
          <cell r="E60"/>
          <cell r="F60" t="str">
            <v>Mary Claire</v>
          </cell>
          <cell r="G60" t="str">
            <v>Craft A Flavor</v>
          </cell>
          <cell r="H60" t="str">
            <v>Rich (Heavy Cream &amp; Half and Half) (Recommended)</v>
          </cell>
          <cell r="I60" t="str">
            <v>Instant Coffee (Jamaican Moutain Peak)</v>
          </cell>
          <cell r="J60" t="str">
            <v>Normal</v>
          </cell>
          <cell r="K60" t="str">
            <v>No</v>
          </cell>
          <cell r="L60"/>
          <cell r="M60"/>
          <cell r="N60" t="str">
            <v>Sugar</v>
          </cell>
          <cell r="O60" t="str">
            <v>1:1 Sweet</v>
          </cell>
          <cell r="P60" t="str">
            <v>No</v>
          </cell>
          <cell r="Q60"/>
          <cell r="R60"/>
          <cell r="S60" t="str">
            <v>Yes</v>
          </cell>
          <cell r="T60" t="str">
            <v>Brownies</v>
          </cell>
          <cell r="U60" t="str">
            <v>Yes</v>
          </cell>
          <cell r="V60" t="str">
            <v>Homemade Chocolate Chip Cookes (Dough or Baked)</v>
          </cell>
          <cell r="W60" t="str">
            <v>Heavy (35%)</v>
          </cell>
          <cell r="X60" t="str">
            <v>Timmothy</v>
          </cell>
          <cell r="Y60"/>
          <cell r="Z60"/>
          <cell r="AA60"/>
          <cell r="AB60"/>
          <cell r="AC60" t="str">
            <v>Quart</v>
          </cell>
          <cell r="AD60" t="str">
            <v>No</v>
          </cell>
          <cell r="AE60" t="str">
            <v>Deliver</v>
          </cell>
          <cell r="AF60" t="str">
            <v>Tommy’s house - I work with him</v>
          </cell>
          <cell r="AG60" t="str">
            <v>9108138323</v>
          </cell>
          <cell r="AH60" t="str">
            <v>Mcf0920@gmail.com</v>
          </cell>
          <cell r="AI60" t="str">
            <v xml:space="preserve">I want the cookies to be cookie dough please. </v>
          </cell>
        </row>
        <row r="61">
          <cell r="A61">
            <v>62</v>
          </cell>
          <cell r="B61">
            <v>45594.592662037001</v>
          </cell>
          <cell r="C61">
            <v>45594.6014236111</v>
          </cell>
          <cell r="D61" t="str">
            <v>anonymous</v>
          </cell>
          <cell r="E61"/>
          <cell r="F61" t="str">
            <v>Tyler</v>
          </cell>
          <cell r="G61" t="str">
            <v>Craft A Flavor</v>
          </cell>
          <cell r="H61" t="str">
            <v>Rich (Heavy Cream &amp; Half and Half) (Recommended)</v>
          </cell>
          <cell r="I61" t="str">
            <v>Cake Batter Extract</v>
          </cell>
          <cell r="J61" t="str">
            <v>Light (For pastes and extracts)</v>
          </cell>
          <cell r="K61" t="str">
            <v>Yes</v>
          </cell>
          <cell r="L61" t="str">
            <v>Nutella</v>
          </cell>
          <cell r="M61" t="str">
            <v>Light (for pastes and extracts)</v>
          </cell>
          <cell r="N61" t="str">
            <v>Sugar</v>
          </cell>
          <cell r="O61" t="str">
            <v>1:1 Sweet</v>
          </cell>
          <cell r="P61" t="str">
            <v>No</v>
          </cell>
          <cell r="Q61"/>
          <cell r="R61"/>
          <cell r="S61" t="str">
            <v>Yes</v>
          </cell>
          <cell r="T61" t="str">
            <v>Rainbow Sprinkles</v>
          </cell>
          <cell r="U61" t="str">
            <v>Yes</v>
          </cell>
          <cell r="V61" t="str">
            <v>Cake Bites (Cake &amp; Icing mix)</v>
          </cell>
          <cell r="W61" t="str">
            <v>Normal (25%)</v>
          </cell>
          <cell r="X61" t="str">
            <v>Cake Cake Cake</v>
          </cell>
          <cell r="Y61"/>
          <cell r="Z61"/>
          <cell r="AA61"/>
          <cell r="AB61"/>
          <cell r="AC61" t="str">
            <v>Quart</v>
          </cell>
          <cell r="AD61" t="str">
            <v>No</v>
          </cell>
          <cell r="AE61" t="str">
            <v>Deliver</v>
          </cell>
          <cell r="AF61" t="str">
            <v>Talk to my dawg, Tommy Truong</v>
          </cell>
          <cell r="AG61" t="str">
            <v>7723703396</v>
          </cell>
          <cell r="AH61" t="str">
            <v>tydonow25@gmail.com</v>
          </cell>
          <cell r="AI61"/>
        </row>
        <row r="62">
          <cell r="A62">
            <v>63</v>
          </cell>
          <cell r="B62">
            <v>45594.589143518497</v>
          </cell>
          <cell r="C62">
            <v>45594.602256944403</v>
          </cell>
          <cell r="D62" t="str">
            <v>anonymous</v>
          </cell>
          <cell r="E62"/>
          <cell r="F62" t="str">
            <v>Qadir</v>
          </cell>
          <cell r="G62" t="str">
            <v>Craft A Flavor</v>
          </cell>
          <cell r="H62" t="str">
            <v>Classic (Heavy Cream &amp; 2% Milk)</v>
          </cell>
          <cell r="I62" t="str">
            <v>Thin Mints Seasoning Blend</v>
          </cell>
          <cell r="J62" t="str">
            <v>Normal</v>
          </cell>
          <cell r="K62" t="str">
            <v>No</v>
          </cell>
          <cell r="L62"/>
          <cell r="M62"/>
          <cell r="N62" t="str">
            <v>Sugar</v>
          </cell>
          <cell r="O62" t="str">
            <v>1:1 Sweet</v>
          </cell>
          <cell r="P62" t="str">
            <v>No</v>
          </cell>
          <cell r="Q62"/>
          <cell r="R62"/>
          <cell r="S62" t="str">
            <v>Yes</v>
          </cell>
          <cell r="T62" t="str">
            <v>Reeses Minis Unwrapped</v>
          </cell>
          <cell r="U62" t="str">
            <v>Yes</v>
          </cell>
          <cell r="V62" t="str">
            <v>Homemade Chocolate Chip Cookes (Dough or Baked)</v>
          </cell>
          <cell r="W62" t="str">
            <v>Normal (25%)</v>
          </cell>
          <cell r="X62" t="str">
            <v xml:space="preserve">Get Lost </v>
          </cell>
          <cell r="Y62"/>
          <cell r="Z62"/>
          <cell r="AA62"/>
          <cell r="AB62"/>
          <cell r="AC62" t="str">
            <v>Quart</v>
          </cell>
          <cell r="AD62" t="str">
            <v>No</v>
          </cell>
          <cell r="AE62" t="str">
            <v>Deliver</v>
          </cell>
          <cell r="AF62" t="str">
            <v>Talk to Tommy</v>
          </cell>
          <cell r="AG62" t="str">
            <v>954-203-8661</v>
          </cell>
          <cell r="AH62" t="str">
            <v>qadirhameed811@gmail.com</v>
          </cell>
          <cell r="AI62"/>
        </row>
        <row r="63">
          <cell r="A63">
            <v>64</v>
          </cell>
          <cell r="B63">
            <v>45601.6397222222</v>
          </cell>
          <cell r="C63">
            <v>45601.651516203703</v>
          </cell>
          <cell r="D63" t="str">
            <v>anonymous</v>
          </cell>
          <cell r="E63"/>
          <cell r="F63" t="str">
            <v>Moe Saleh</v>
          </cell>
          <cell r="G63" t="str">
            <v>Pick A Flavor</v>
          </cell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 t="str">
            <v>Jamaican Toto ($6|$9|$16) NEW</v>
          </cell>
          <cell r="Z63" t="str">
            <v>Sugar</v>
          </cell>
          <cell r="AA63" t="str">
            <v>No</v>
          </cell>
          <cell r="AB63"/>
          <cell r="AC63" t="str">
            <v>Quart</v>
          </cell>
          <cell r="AD63" t="str">
            <v>No</v>
          </cell>
          <cell r="AE63" t="str">
            <v>Deliver</v>
          </cell>
          <cell r="AF63" t="str">
            <v>Tommy Truong</v>
          </cell>
          <cell r="AG63" t="str">
            <v>Tommy Truong</v>
          </cell>
          <cell r="AH63" t="str">
            <v>Muhammadsaleh10@gmail.com</v>
          </cell>
          <cell r="AI63"/>
        </row>
        <row r="64">
          <cell r="A64">
            <v>65</v>
          </cell>
          <cell r="B64">
            <v>45601.645543981504</v>
          </cell>
          <cell r="C64">
            <v>45601.652719907397</v>
          </cell>
          <cell r="D64" t="str">
            <v>anonymous</v>
          </cell>
          <cell r="E64"/>
          <cell r="F64" t="str">
            <v>caitlin</v>
          </cell>
          <cell r="G64" t="str">
            <v>Pick A Flavor</v>
          </cell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 t="str">
            <v>Huckleberry Cheesecake ($6|$9|$15)</v>
          </cell>
          <cell r="Z64" t="str">
            <v>Sugar</v>
          </cell>
          <cell r="AA64" t="str">
            <v>No</v>
          </cell>
          <cell r="AB64"/>
          <cell r="AC64" t="str">
            <v>Pint</v>
          </cell>
          <cell r="AD64" t="str">
            <v>No</v>
          </cell>
          <cell r="AE64" t="str">
            <v>Deliver</v>
          </cell>
          <cell r="AF64" t="str">
            <v>tommy</v>
          </cell>
          <cell r="AG64" t="str">
            <v>4077563525</v>
          </cell>
          <cell r="AH64" t="str">
            <v>cattparkinson@icloud.com</v>
          </cell>
          <cell r="AI64" t="str">
            <v>thanks!!!</v>
          </cell>
        </row>
        <row r="65">
          <cell r="A65">
            <v>66</v>
          </cell>
          <cell r="B65">
            <v>45604.671412037002</v>
          </cell>
          <cell r="C65">
            <v>45604.675381944398</v>
          </cell>
          <cell r="D65" t="str">
            <v>anonymous</v>
          </cell>
          <cell r="E65"/>
          <cell r="F65" t="str">
            <v>Santiago Alzate</v>
          </cell>
          <cell r="G65" t="str">
            <v>Pick A Flavor</v>
          </cell>
          <cell r="H65"/>
          <cell r="I65"/>
          <cell r="J65"/>
          <cell r="K65"/>
          <cell r="L65"/>
          <cell r="M65"/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 t="str">
            <v>Strawberry ($6|$8|$14)</v>
          </cell>
          <cell r="Z65" t="str">
            <v>Sugar</v>
          </cell>
          <cell r="AA65" t="str">
            <v>No</v>
          </cell>
          <cell r="AB65"/>
          <cell r="AC65" t="str">
            <v>Quart</v>
          </cell>
          <cell r="AD65" t="str">
            <v>No</v>
          </cell>
          <cell r="AE65" t="str">
            <v>Pickup</v>
          </cell>
          <cell r="AF65"/>
          <cell r="AG65" t="str">
            <v>9542491226</v>
          </cell>
          <cell r="AH65" t="str">
            <v>santiagoalzatehurtado@gmail.com</v>
          </cell>
          <cell r="AI65"/>
        </row>
        <row r="66">
          <cell r="A66">
            <v>67</v>
          </cell>
          <cell r="B66">
            <v>45606.8034722222</v>
          </cell>
          <cell r="C66">
            <v>45606.805</v>
          </cell>
          <cell r="D66" t="str">
            <v>anonymous</v>
          </cell>
          <cell r="E66"/>
          <cell r="F66" t="str">
            <v>Francisco L.</v>
          </cell>
          <cell r="G66" t="str">
            <v>Pick A Flavor</v>
          </cell>
          <cell r="H66"/>
          <cell r="I66"/>
          <cell r="J66"/>
          <cell r="K66"/>
          <cell r="L66"/>
          <cell r="M66"/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 t="str">
            <v>Maple Cinnamon ($10|$16|$29) NEW</v>
          </cell>
          <cell r="Z66" t="str">
            <v>Sugar</v>
          </cell>
          <cell r="AA66" t="str">
            <v>No</v>
          </cell>
          <cell r="AB66"/>
          <cell r="AC66" t="str">
            <v>Quart</v>
          </cell>
          <cell r="AD66" t="str">
            <v>No</v>
          </cell>
          <cell r="AE66" t="str">
            <v>Deliver</v>
          </cell>
          <cell r="AF66" t="str">
            <v>4327 NW 1st Dr, Deerfield Beach, FL 33442</v>
          </cell>
          <cell r="AG66" t="str">
            <v>9547061700</v>
          </cell>
          <cell r="AH66" t="str">
            <v>flimongi1122@gmail.com</v>
          </cell>
          <cell r="AI66" t="str">
            <v>I want that hand delivered to my face so I can give honest review :)</v>
          </cell>
        </row>
        <row r="67">
          <cell r="A67">
            <v>68</v>
          </cell>
          <cell r="B67">
            <v>45606.822326388901</v>
          </cell>
          <cell r="C67">
            <v>45606.829722222203</v>
          </cell>
          <cell r="D67" t="str">
            <v>anonymous</v>
          </cell>
          <cell r="E67"/>
          <cell r="F67" t="str">
            <v>Christian Pham</v>
          </cell>
          <cell r="G67" t="str">
            <v>Craft A Flavor</v>
          </cell>
          <cell r="H67" t="str">
            <v>Rich (Heavy Cream &amp; Half and Half) (Recommended)</v>
          </cell>
          <cell r="I67" t="str">
            <v>Strawberry Mix</v>
          </cell>
          <cell r="J67" t="str">
            <v>Normal</v>
          </cell>
          <cell r="K67" t="str">
            <v>Yes</v>
          </cell>
          <cell r="L67" t="str">
            <v>Strawberry Sorbet</v>
          </cell>
          <cell r="M67" t="str">
            <v>Normal</v>
          </cell>
          <cell r="N67" t="str">
            <v>Sugar</v>
          </cell>
          <cell r="O67" t="str">
            <v>1:1 Sweet</v>
          </cell>
          <cell r="P67" t="str">
            <v>No</v>
          </cell>
          <cell r="Q67"/>
          <cell r="R67"/>
          <cell r="S67" t="str">
            <v>Yes</v>
          </cell>
          <cell r="T67" t="str">
            <v>Strawberries</v>
          </cell>
          <cell r="U67" t="str">
            <v>No</v>
          </cell>
          <cell r="V67"/>
          <cell r="W67" t="str">
            <v>Normal (25%)</v>
          </cell>
          <cell r="X67" t="str">
            <v>Micah's Jeremiah's Strawberry Special</v>
          </cell>
          <cell r="Y67"/>
          <cell r="Z67"/>
          <cell r="AA67"/>
          <cell r="AB67"/>
          <cell r="AC67" t="str">
            <v>Quart</v>
          </cell>
          <cell r="AD67" t="str">
            <v>No</v>
          </cell>
          <cell r="AE67" t="str">
            <v>Deliver</v>
          </cell>
          <cell r="AF67" t="str">
            <v>10687 Kasmir Ct. Boynton Beach, FL 33437</v>
          </cell>
          <cell r="AG67" t="str">
            <v>56194515</v>
          </cell>
          <cell r="AH67" t="str">
            <v>tuan.christian@gmail.com</v>
          </cell>
          <cell r="AI67" t="str">
            <v>Peanut Allergy (Saying just in case, likely not an issue for this)</v>
          </cell>
        </row>
        <row r="68">
          <cell r="A68">
            <v>69</v>
          </cell>
          <cell r="B68">
            <v>45608.635462963</v>
          </cell>
          <cell r="C68">
            <v>45608.637164351901</v>
          </cell>
          <cell r="D68" t="str">
            <v>anonymous</v>
          </cell>
          <cell r="E68"/>
          <cell r="F68" t="str">
            <v>Logan Fontirroche</v>
          </cell>
          <cell r="G68" t="str">
            <v>Craft A Flavor</v>
          </cell>
          <cell r="H68" t="str">
            <v>Cheesecake (Half and Half and Cream Cheese)</v>
          </cell>
          <cell r="I68" t="str">
            <v>Cake Batter Extract</v>
          </cell>
          <cell r="J68" t="str">
            <v>Light (For pastes and extracts)</v>
          </cell>
          <cell r="K68" t="str">
            <v>Yes</v>
          </cell>
          <cell r="L68" t="str">
            <v>Nutella</v>
          </cell>
          <cell r="M68" t="str">
            <v>Normal</v>
          </cell>
          <cell r="N68" t="str">
            <v>Sugar</v>
          </cell>
          <cell r="O68" t="str">
            <v>3/4 Sweet</v>
          </cell>
          <cell r="P68" t="str">
            <v>No</v>
          </cell>
          <cell r="Q68"/>
          <cell r="R68"/>
          <cell r="S68" t="str">
            <v>Yes</v>
          </cell>
          <cell r="T68" t="str">
            <v>Reeses Minis Unwrapped</v>
          </cell>
          <cell r="U68" t="str">
            <v>Yes</v>
          </cell>
          <cell r="V68" t="str">
            <v>Homemade Chocolate Chip Cookes (Dough or Baked)</v>
          </cell>
          <cell r="W68" t="str">
            <v>Light (15%)</v>
          </cell>
          <cell r="X68" t="str">
            <v>Cheescake reeses</v>
          </cell>
          <cell r="Y68"/>
          <cell r="Z68"/>
          <cell r="AA68"/>
          <cell r="AB68"/>
          <cell r="AC68" t="str">
            <v>Half Gallon</v>
          </cell>
          <cell r="AD68" t="str">
            <v>No</v>
          </cell>
          <cell r="AE68" t="str">
            <v>Pickup</v>
          </cell>
          <cell r="AF68"/>
          <cell r="AG68" t="str">
            <v>7863655931</v>
          </cell>
          <cell r="AH68" t="str">
            <v>Fontirrochel@gmail.com</v>
          </cell>
          <cell r="AI68"/>
        </row>
        <row r="69">
          <cell r="A69">
            <v>70</v>
          </cell>
          <cell r="B69">
            <v>45609.376956018503</v>
          </cell>
          <cell r="C69">
            <v>45609.388217592597</v>
          </cell>
          <cell r="D69" t="str">
            <v>anonymous</v>
          </cell>
          <cell r="E69"/>
          <cell r="F69" t="str">
            <v>Janica</v>
          </cell>
          <cell r="G69" t="str">
            <v>Craft A Flavor</v>
          </cell>
          <cell r="H69" t="str">
            <v>Rich (Heavy Cream &amp; Half and Half) (Recommended)</v>
          </cell>
          <cell r="I69" t="str">
            <v>Dulce De Leche</v>
          </cell>
          <cell r="J69" t="str">
            <v>Normal</v>
          </cell>
          <cell r="K69" t="str">
            <v>Yes</v>
          </cell>
          <cell r="L69" t="str">
            <v>Caramel</v>
          </cell>
          <cell r="M69" t="str">
            <v>Normal</v>
          </cell>
          <cell r="N69" t="str">
            <v>Sugar</v>
          </cell>
          <cell r="O69" t="str">
            <v>1:1 Sweet</v>
          </cell>
          <cell r="P69" t="str">
            <v>No</v>
          </cell>
          <cell r="Q69"/>
          <cell r="R69"/>
          <cell r="S69" t="str">
            <v>No</v>
          </cell>
          <cell r="T69"/>
          <cell r="U69"/>
          <cell r="V69"/>
          <cell r="W69"/>
          <cell r="X69" t="str">
            <v>Double caramel swirl</v>
          </cell>
          <cell r="Y69"/>
          <cell r="Z69"/>
          <cell r="AA69"/>
          <cell r="AB69"/>
          <cell r="AC69" t="str">
            <v>Quart</v>
          </cell>
          <cell r="AD69" t="str">
            <v>No</v>
          </cell>
          <cell r="AE69" t="str">
            <v>Pickup</v>
          </cell>
          <cell r="AF69"/>
          <cell r="AG69" t="str">
            <v>5618096432</v>
          </cell>
          <cell r="AH69" t="str">
            <v>janicajack@yahoo.com</v>
          </cell>
          <cell r="AI69"/>
        </row>
        <row r="70">
          <cell r="A70">
            <v>71</v>
          </cell>
          <cell r="B70">
            <v>45611.743796296301</v>
          </cell>
          <cell r="C70">
            <v>45611.755914351903</v>
          </cell>
          <cell r="D70" t="str">
            <v>anonymous</v>
          </cell>
          <cell r="E70"/>
          <cell r="F70" t="str">
            <v>Mary Claire Foley</v>
          </cell>
          <cell r="G70" t="str">
            <v>Craft A Flavor</v>
          </cell>
          <cell r="H70" t="str">
            <v>Rich (Heavy Cream &amp; Half and Half) (Recommended)</v>
          </cell>
          <cell r="I70" t="str">
            <v>Pumpkin Pie Spice</v>
          </cell>
          <cell r="J70" t="str">
            <v>Normal</v>
          </cell>
          <cell r="K70" t="str">
            <v>Yes</v>
          </cell>
          <cell r="L70" t="str">
            <v>Cherry Apple Bourbon Butter</v>
          </cell>
          <cell r="M70" t="str">
            <v>Heavy (For jams)</v>
          </cell>
          <cell r="N70" t="str">
            <v>Brown Sugar</v>
          </cell>
          <cell r="O70" t="str">
            <v>1:1 Sweet</v>
          </cell>
          <cell r="P70" t="str">
            <v>No</v>
          </cell>
          <cell r="Q70"/>
          <cell r="R70"/>
          <cell r="S70" t="str">
            <v>Yes</v>
          </cell>
          <cell r="T70" t="str">
            <v>Lotus Biscoff Sandwich Cookies</v>
          </cell>
          <cell r="U70" t="str">
            <v>Yes</v>
          </cell>
          <cell r="V70" t="str">
            <v>Reeses Minis Unwrapped</v>
          </cell>
          <cell r="W70" t="str">
            <v>Normal (25%)</v>
          </cell>
          <cell r="X70" t="str">
            <v>Fall Cream</v>
          </cell>
          <cell r="Y70"/>
          <cell r="Z70"/>
          <cell r="AA70"/>
          <cell r="AB70"/>
          <cell r="AC70" t="str">
            <v>Quart</v>
          </cell>
          <cell r="AD70" t="str">
            <v>No</v>
          </cell>
          <cell r="AE70" t="str">
            <v>Deliver</v>
          </cell>
          <cell r="AF70" t="str">
            <v>Tommy’s House</v>
          </cell>
          <cell r="AG70" t="str">
            <v>Mary Claire Foley</v>
          </cell>
          <cell r="AH70" t="str">
            <v>Mcf0920gmail.com</v>
          </cell>
          <cell r="AI70" t="str">
            <v>N/A</v>
          </cell>
        </row>
        <row r="71">
          <cell r="A71">
            <v>72</v>
          </cell>
          <cell r="B71">
            <v>45611.755949074097</v>
          </cell>
          <cell r="C71">
            <v>45611.768657407403</v>
          </cell>
          <cell r="D71" t="str">
            <v>anonymous</v>
          </cell>
          <cell r="E71"/>
          <cell r="F71" t="str">
            <v>Mary Claire Foley</v>
          </cell>
          <cell r="G71" t="str">
            <v>Craft A Flavor</v>
          </cell>
          <cell r="H71" t="str">
            <v>Rich (Heavy Cream &amp; Half and Half) (Recommended)</v>
          </cell>
          <cell r="I71" t="str">
            <v>Ripened Bananas</v>
          </cell>
          <cell r="J71" t="str">
            <v>Normal</v>
          </cell>
          <cell r="K71" t="str">
            <v>Yes</v>
          </cell>
          <cell r="L71" t="str">
            <v>Instant Coffee (Jamaican Moutain Peak)</v>
          </cell>
          <cell r="M71" t="str">
            <v>Normal</v>
          </cell>
          <cell r="N71" t="str">
            <v>Brown Sugar</v>
          </cell>
          <cell r="O71" t="str">
            <v>1:1 Sweet</v>
          </cell>
          <cell r="P71" t="str">
            <v>No</v>
          </cell>
          <cell r="Q71"/>
          <cell r="R71"/>
          <cell r="S71" t="str">
            <v>Yes</v>
          </cell>
          <cell r="T71" t="str">
            <v>Nutella Fudge</v>
          </cell>
          <cell r="U71" t="str">
            <v>Yes</v>
          </cell>
          <cell r="V71" t="str">
            <v>Brownies</v>
          </cell>
          <cell r="W71" t="str">
            <v>Heavy (35%)</v>
          </cell>
          <cell r="X71" t="str">
            <v>Mother’s Milk</v>
          </cell>
          <cell r="Y71"/>
          <cell r="Z71"/>
          <cell r="AA71"/>
          <cell r="AB71"/>
          <cell r="AC71" t="str">
            <v>Quart</v>
          </cell>
          <cell r="AD71" t="str">
            <v>No</v>
          </cell>
          <cell r="AE71" t="str">
            <v>Deliver</v>
          </cell>
          <cell r="AF71" t="str">
            <v>Tommy’s House</v>
          </cell>
          <cell r="AG71" t="str">
            <v>9108138323</v>
          </cell>
          <cell r="AH71" t="str">
            <v>mcf0920@gmail.com</v>
          </cell>
          <cell r="AI71" t="str">
            <v>N/A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www.allrecipes.com/recipe/174347/quick-and-almost-professional-buttercream-icing/" TargetMode="External"/><Relationship Id="rId1" Type="http://schemas.openxmlformats.org/officeDocument/2006/relationships/hyperlink" Target="https://www.acozykitchen.com/tres-leches-cake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designeatrepeat.com/sugar-cookie-cak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D1A87-70B4-48C8-B5AD-9B239483F5B5}">
  <sheetPr codeName="Sheet1"/>
  <dimension ref="F4:AM66"/>
  <sheetViews>
    <sheetView zoomScale="94" zoomScaleNormal="74" workbookViewId="0">
      <selection activeCell="H22" sqref="H22"/>
    </sheetView>
  </sheetViews>
  <sheetFormatPr defaultRowHeight="15" x14ac:dyDescent="0.25"/>
  <cols>
    <col min="6" max="6" width="12.5703125" bestFit="1" customWidth="1"/>
    <col min="7" max="7" width="19.85546875" bestFit="1" customWidth="1"/>
    <col min="8" max="8" width="55.7109375" bestFit="1" customWidth="1"/>
    <col min="9" max="9" width="19.85546875" bestFit="1" customWidth="1"/>
    <col min="10" max="10" width="9" customWidth="1"/>
    <col min="11" max="11" width="5.7109375" customWidth="1"/>
    <col min="12" max="12" width="7.5703125" customWidth="1"/>
    <col min="15" max="15" width="15.85546875" bestFit="1" customWidth="1"/>
    <col min="16" max="16" width="39.42578125" bestFit="1" customWidth="1"/>
    <col min="17" max="17" width="24.28515625" customWidth="1"/>
    <col min="18" max="18" width="12.28515625" bestFit="1" customWidth="1"/>
    <col min="22" max="22" width="25" customWidth="1"/>
    <col min="23" max="23" width="12.5703125" customWidth="1"/>
    <col min="24" max="24" width="0.140625" customWidth="1"/>
    <col min="26" max="26" width="2.7109375" customWidth="1"/>
    <col min="29" max="29" width="14" customWidth="1"/>
    <col min="33" max="33" width="12.7109375" customWidth="1"/>
    <col min="34" max="34" width="16.7109375" customWidth="1"/>
    <col min="35" max="35" width="21.140625" bestFit="1" customWidth="1"/>
    <col min="39" max="39" width="14.140625" customWidth="1"/>
  </cols>
  <sheetData>
    <row r="4" spans="6:18" x14ac:dyDescent="0.25">
      <c r="G4" t="s">
        <v>197</v>
      </c>
    </row>
    <row r="5" spans="6:18" x14ac:dyDescent="0.25">
      <c r="G5" t="s">
        <v>198</v>
      </c>
      <c r="H5" s="20" t="s">
        <v>817</v>
      </c>
      <c r="O5" t="s">
        <v>226</v>
      </c>
      <c r="P5" t="str">
        <f>LEFT(H5, FIND("|", H5) - 1)</f>
        <v xml:space="preserve">Christian Pham </v>
      </c>
    </row>
    <row r="6" spans="6:18" x14ac:dyDescent="0.25">
      <c r="G6" t="s">
        <v>199</v>
      </c>
      <c r="O6" t="s">
        <v>220</v>
      </c>
      <c r="P6" t="str">
        <f>_xlfn.XLOOKUP($H$5,'Ice Cream Orders'!$A:$A,'Ice Cream Orders'!B:B)</f>
        <v>tuan.christian@gmail.com</v>
      </c>
    </row>
    <row r="7" spans="6:18" ht="18" x14ac:dyDescent="0.35">
      <c r="G7" t="s">
        <v>200</v>
      </c>
      <c r="H7" s="15"/>
      <c r="O7" t="s">
        <v>227</v>
      </c>
      <c r="P7" t="str">
        <f>_xlfn.XLOOKUP($H$5,'Ice Cream Orders'!$A:$A,'Ice Cream Orders'!L:L)</f>
        <v>Pint</v>
      </c>
    </row>
    <row r="8" spans="6:18" x14ac:dyDescent="0.25">
      <c r="O8" t="s">
        <v>779</v>
      </c>
      <c r="P8">
        <f>_xlfn.XLOOKUP($H$5,'Ice Cream Orders'!$A:$A,'Ice Cream Orders'!AQ:AQ)</f>
        <v>0</v>
      </c>
    </row>
    <row r="9" spans="6:18" ht="24.75" x14ac:dyDescent="0.25">
      <c r="F9" t="s">
        <v>339</v>
      </c>
      <c r="G9" t="s">
        <v>443</v>
      </c>
      <c r="H9" t="str">
        <f>_xlfn.CONCAT($G$9)</f>
        <v>Rum Raisin</v>
      </c>
      <c r="I9" t="str">
        <f>_xlfn.XLOOKUP($H$5,'Ice Cream Orders'!$A:$A,'Ice Cream Orders'!C:C)</f>
        <v>Micah's Jeremiah's Strawberry Special</v>
      </c>
      <c r="J9" s="16" t="s">
        <v>202</v>
      </c>
      <c r="K9" s="17" t="s">
        <v>204</v>
      </c>
      <c r="L9" s="17" t="s">
        <v>203</v>
      </c>
      <c r="O9" s="18" t="s">
        <v>213</v>
      </c>
      <c r="P9" s="19" t="s">
        <v>217</v>
      </c>
      <c r="Q9" s="18" t="s">
        <v>214</v>
      </c>
      <c r="R9" s="18" t="s">
        <v>509</v>
      </c>
    </row>
    <row r="10" spans="6:18" x14ac:dyDescent="0.25">
      <c r="J10" s="17" t="s">
        <v>52</v>
      </c>
      <c r="K10" s="17">
        <f>ROUNDUP(_xlfn.XLOOKUP($H$5,'Ice Cream Orders'!$A:$A,'Ice Cream Orders'!AG:AG),0)</f>
        <v>94</v>
      </c>
      <c r="L10" s="17">
        <f>ROUNDUP(_xlfn.XLOOKUP($H$5,'Ice Cream Orders'!$A:$A,'Ice Cream Orders'!AB:AB),0)</f>
        <v>739</v>
      </c>
      <c r="O10" s="18" t="s">
        <v>60</v>
      </c>
      <c r="P10" s="19" t="str">
        <f>_xlfn.XLOOKUP($H$5,'Ice Cream Orders'!$A:$A,'Ice Cream Orders'!D:D)</f>
        <v>Heavy Cream</v>
      </c>
      <c r="Q10" s="18" t="s">
        <v>219</v>
      </c>
      <c r="R10" s="78">
        <f>IF(_xlfn.XLOOKUP($H$5,'Ice Cream Orders'!$A:$A,'Ice Cream Orders'!M:M) = 0, "",_xlfn.XLOOKUP($H$5,'Ice Cream Orders'!$A:$A,'Ice Cream Orders'!R:R))</f>
        <v>115.33500000000001</v>
      </c>
    </row>
    <row r="11" spans="6:18" x14ac:dyDescent="0.25">
      <c r="J11" s="17" t="s">
        <v>201</v>
      </c>
      <c r="K11" s="17" t="str">
        <f>_xlfn.CONCAT(ROUNDUP(_xlfn.XLOOKUP($H$5,'Ice Cream Orders'!$A:$A,'Ice Cream Orders'!AI:AI),0),"g")</f>
        <v>7g</v>
      </c>
      <c r="L11" s="17" t="str">
        <f>_xlfn.CONCAT(ROUNDUP(_xlfn.XLOOKUP($H$5,'Ice Cream Orders'!$A:$A,'Ice Cream Orders'!AE:AE),0),"g")</f>
        <v>54g</v>
      </c>
      <c r="O11" s="18" t="s">
        <v>215</v>
      </c>
      <c r="P11" s="19" t="str">
        <f>_xlfn.XLOOKUP($H$5,'Ice Cream Orders'!$A:$A,'Ice Cream Orders'!E:E)</f>
        <v>Half and Half</v>
      </c>
      <c r="Q11" s="18" t="s">
        <v>219</v>
      </c>
      <c r="R11" s="78">
        <f>IF(_xlfn.XLOOKUP($H$5,'Ice Cream Orders'!$A:$A,'Ice Cream Orders'!M:M) = 0, "",_xlfn.XLOOKUP($H$5,'Ice Cream Orders'!$A:$A,'Ice Cream Orders'!S:S))</f>
        <v>57.667500000000004</v>
      </c>
    </row>
    <row r="12" spans="6:18" x14ac:dyDescent="0.25">
      <c r="J12" s="17" t="s">
        <v>1</v>
      </c>
      <c r="K12" s="17" t="str">
        <f>_xlfn.CONCAT(ROUNDUP(_xlfn.XLOOKUP($H$5,'Ice Cream Orders'!$A:$A,'Ice Cream Orders'!AH:AH),0),"g")</f>
        <v>9g</v>
      </c>
      <c r="L12" s="17" t="str">
        <f>_xlfn.CONCAT(ROUNDUP(_xlfn.XLOOKUP($H$5,'Ice Cream Orders'!$A:$A,'Ice Cream Orders'!AC:AC),0),"g")</f>
        <v>67g</v>
      </c>
      <c r="O12" s="18" t="s">
        <v>216</v>
      </c>
      <c r="P12" s="19" t="str">
        <f>_xlfn.XLOOKUP($H$5,'Ice Cream Orders'!$A:$A,'Ice Cream Orders'!F:F)</f>
        <v>Strawberries</v>
      </c>
      <c r="Q12" s="18" t="str">
        <f>IF(_xlfn.XLOOKUP($H$5,'Ice Cream Orders'!$A:$A,'Ice Cream Orders'!M:M) = 0, "",_xlfn.XLOOKUP($H$5,'Ice Cream Orders'!$A:$A,'Ice Cream Orders'!M:M))</f>
        <v>Extra Heavy</v>
      </c>
      <c r="R12" s="78">
        <f>IF(_xlfn.XLOOKUP($H$5,'Ice Cream Orders'!$A:$A,'Ice Cream Orders'!M:M) = 0, "",_xlfn.XLOOKUP($H$5,'Ice Cream Orders'!$A:$A,'Ice Cream Orders'!T:T))</f>
        <v>90</v>
      </c>
    </row>
    <row r="13" spans="6:18" x14ac:dyDescent="0.25">
      <c r="O13" s="18" t="s">
        <v>218</v>
      </c>
      <c r="P13" s="19" t="str">
        <f>IF(_xlfn.XLOOKUP($H$5,'Ice Cream Orders'!$A:$A,'Ice Cream Orders'!G:G) = 0, "",_xlfn.XLOOKUP($H$5,'Ice Cream Orders'!$A:$A,'Ice Cream Orders'!G:G))</f>
        <v>Strawberry Sorbet</v>
      </c>
      <c r="Q13" s="18" t="str">
        <f>IF(_xlfn.XLOOKUP($H$5,'Ice Cream Orders'!$A:$A,'Ice Cream Orders'!N:N) = 0, "",_xlfn.XLOOKUP($H$5,'Ice Cream Orders'!$A:$A,'Ice Cream Orders'!N:N))</f>
        <v>Extra Heavy</v>
      </c>
      <c r="R13" s="78">
        <f>IF(_xlfn.XLOOKUP($H$5,'Ice Cream Orders'!$A:$A,'Ice Cream Orders'!N:N) = 0, "",_xlfn.XLOOKUP($H$5,'Ice Cream Orders'!$A:$A,'Ice Cream Orders'!U:U))</f>
        <v>90</v>
      </c>
    </row>
    <row r="14" spans="6:18" x14ac:dyDescent="0.25">
      <c r="O14" s="18" t="s">
        <v>16</v>
      </c>
      <c r="P14" s="19" t="str">
        <f>IF(_xlfn.XLOOKUP($H$5,'Ice Cream Orders'!$A:$A,'Ice Cream Orders'!H:H) = 0, "",_xlfn.XLOOKUP($H$5,'Ice Cream Orders'!$A:$A,'Ice Cream Orders'!H:H))</f>
        <v>Strawberries</v>
      </c>
      <c r="Q14" s="18" t="str">
        <f>IF(_xlfn.XLOOKUP($H$5,'Ice Cream Orders'!$A:$A,'Ice Cream Orders'!O:O) = 0, "",_xlfn.XLOOKUP($H$5,'Ice Cream Orders'!$A:$A,'Ice Cream Orders'!O:O))</f>
        <v>Normal (25%)</v>
      </c>
      <c r="R14" s="78">
        <f>IF(_xlfn.XLOOKUP($H$5,'Ice Cream Orders'!$A:$A,'Ice Cream Orders'!M:M) = 0, "",_xlfn.XLOOKUP($H$5,'Ice Cream Orders'!$A:$A,'Ice Cream Orders'!V:V))</f>
        <v>81.78958333333334</v>
      </c>
    </row>
    <row r="15" spans="6:18" x14ac:dyDescent="0.25">
      <c r="O15" s="18" t="s">
        <v>17</v>
      </c>
      <c r="P15" s="19" t="str">
        <f>IF(_xlfn.XLOOKUP($H$5,'Ice Cream Orders'!$A:$A,'Ice Cream Orders'!I:I) = 0, "",_xlfn.XLOOKUP($H$5,'Ice Cream Orders'!$A:$A,'Ice Cream Orders'!I:I))</f>
        <v/>
      </c>
      <c r="Q15" s="18" t="str">
        <f>IF(_xlfn.XLOOKUP($H$5,'Ice Cream Orders'!$A:$A,'Ice Cream Orders'!O:O) = 0, "",_xlfn.XLOOKUP($H$5,'Ice Cream Orders'!$A:$A,'Ice Cream Orders'!O:O))</f>
        <v>Normal (25%)</v>
      </c>
      <c r="R15" s="78">
        <f>IF(_xlfn.XLOOKUP($H$5,'Ice Cream Orders'!$A:$A,'Ice Cream Orders'!M:M) = 0, "",_xlfn.XLOOKUP($H$5,'Ice Cream Orders'!$A:$A,'Ice Cream Orders'!W:W))</f>
        <v>0</v>
      </c>
    </row>
    <row r="16" spans="6:18" x14ac:dyDescent="0.25">
      <c r="O16" s="18" t="s">
        <v>228</v>
      </c>
      <c r="P16" s="19" t="str">
        <f>IF(_xlfn.XLOOKUP($H$5,'Ice Cream Orders'!$A:$A,'Ice Cream Orders'!J:J) = 0, "",_xlfn.XLOOKUP($H$5,'Ice Cream Orders'!$A:$A,'Ice Cream Orders'!J:J))</f>
        <v>Sugar</v>
      </c>
      <c r="Q16" s="18" t="str">
        <f>IF(_xlfn.XLOOKUP($H$5,'Ice Cream Orders'!$A:$A,'Ice Cream Orders'!P:P) = 0, "",_xlfn.XLOOKUP($H$5,'Ice Cream Orders'!$A:$A,'Ice Cream Orders'!P:P))</f>
        <v>3/4 Sweet</v>
      </c>
      <c r="R16" s="78">
        <f>IF(_xlfn.XLOOKUP($H$5,'Ice Cream Orders'!$A:$A,'Ice Cream Orders'!M:M) = 0, "",_xlfn.XLOOKUP($H$5,'Ice Cream Orders'!$A:$A,'Ice Cream Orders'!X:X))</f>
        <v>37.5</v>
      </c>
    </row>
    <row r="17" spans="15:39" x14ac:dyDescent="0.25">
      <c r="O17" s="18" t="s">
        <v>229</v>
      </c>
      <c r="P17" s="19" t="str">
        <f>IF(_xlfn.XLOOKUP($H$5,'Ice Cream Orders'!$A:$A,'Ice Cream Orders'!K:K) = 0, "",_xlfn.XLOOKUP($H$5,'Ice Cream Orders'!$A:$A,'Ice Cream Orders'!K:K))</f>
        <v/>
      </c>
      <c r="Q17" s="18" t="str">
        <f>IF(_xlfn.XLOOKUP($H$5,'Ice Cream Orders'!$A:$A,'Ice Cream Orders'!Q:Q) = 0, "",_xlfn.XLOOKUP($H$5,'Ice Cream Orders'!$A:$A,'Ice Cream Orders'!Q:Q))</f>
        <v/>
      </c>
      <c r="R17" s="78">
        <f>IF(_xlfn.XLOOKUP($H$5,'Ice Cream Orders'!$A:$A,'Ice Cream Orders'!M:M) = 0, "",_xlfn.XLOOKUP($H$5,'Ice Cream Orders'!$A:$A,'Ice Cream Orders'!Y:Y))</f>
        <v>0</v>
      </c>
    </row>
    <row r="21" spans="15:39" x14ac:dyDescent="0.25">
      <c r="O21" s="124" t="s">
        <v>224</v>
      </c>
      <c r="P21" s="125"/>
    </row>
    <row r="22" spans="15:39" x14ac:dyDescent="0.25">
      <c r="O22" s="18" t="s">
        <v>11</v>
      </c>
      <c r="P22" s="21">
        <f>IF(_xlfn.XLOOKUP($H$5,'Ice Cream Orders'!$A:$A,'Ice Cream Orders'!AO:AO) = 0, "",_xlfn.XLOOKUP($H$5,'Ice Cream Orders'!$A:$A,'Ice Cream Orders'!AO:AO))</f>
        <v>5</v>
      </c>
    </row>
    <row r="23" spans="15:39" x14ac:dyDescent="0.25">
      <c r="O23" s="18" t="s">
        <v>225</v>
      </c>
      <c r="P23" s="21">
        <f>IF(_xlfn.XLOOKUP($H$5,'Ice Cream Orders'!$A:$A,'Ice Cream Orders'!AM:AM) = 0, "",_xlfn.XLOOKUP($H$5,'Ice Cream Orders'!$A:$A,'Ice Cream Orders'!AM:AM))</f>
        <v>4</v>
      </c>
    </row>
    <row r="24" spans="15:39" x14ac:dyDescent="0.25">
      <c r="O24" s="18" t="s">
        <v>193</v>
      </c>
      <c r="P24" s="21">
        <f>IF(_xlfn.XLOOKUP($H$5,'Ice Cream Orders'!$A:$A,'Ice Cream Orders'!AN:AN) = 0, "",_xlfn.XLOOKUP($H$5,'Ice Cream Orders'!$A:$A,'Ice Cream Orders'!AN:AN))</f>
        <v>9</v>
      </c>
    </row>
    <row r="27" spans="15:39" ht="47.25" x14ac:dyDescent="0.25">
      <c r="V27" s="72"/>
      <c r="W27" s="72"/>
      <c r="X27" s="72"/>
      <c r="Y27" s="72"/>
      <c r="Z27" s="72"/>
      <c r="AC27" s="135" t="s">
        <v>202</v>
      </c>
      <c r="AD27" s="136"/>
      <c r="AE27" s="136"/>
      <c r="AF27" s="136"/>
      <c r="AG27" s="136"/>
      <c r="AH27" s="137"/>
      <c r="AK27" t="s">
        <v>482</v>
      </c>
    </row>
    <row r="28" spans="15:39" ht="15" customHeight="1" x14ac:dyDescent="0.25">
      <c r="V28" s="72"/>
      <c r="W28" s="72"/>
      <c r="X28" s="72"/>
      <c r="Y28" s="72"/>
      <c r="Z28" s="108"/>
      <c r="AC28" s="144" t="str">
        <f>_xlfn.CONCAT(ROUNDUP(_xlfn.XLOOKUP(_xlfn.XLOOKUP($H$5,'Ice Cream Orders'!A:A,'Ice Cream Orders'!L:L),Specs!A:A,Specs!B:B)/60,0)," servings per container")</f>
        <v>8 servings per container</v>
      </c>
      <c r="AD28" s="145"/>
      <c r="AE28" s="145"/>
      <c r="AF28" s="145"/>
      <c r="AG28" s="146"/>
      <c r="AH28" s="154" t="s">
        <v>637</v>
      </c>
    </row>
    <row r="29" spans="15:39" ht="22.5" customHeight="1" x14ac:dyDescent="0.25">
      <c r="V29" s="72"/>
      <c r="W29" s="72"/>
      <c r="X29" s="72"/>
      <c r="Y29" s="72"/>
      <c r="Z29" s="109"/>
      <c r="AC29" s="63" t="s">
        <v>476</v>
      </c>
      <c r="AD29" s="64"/>
      <c r="AE29" s="147" t="s">
        <v>479</v>
      </c>
      <c r="AF29" s="147"/>
      <c r="AG29" s="148"/>
      <c r="AH29" s="155"/>
      <c r="AI29" s="94"/>
      <c r="AJ29" s="94"/>
    </row>
    <row r="30" spans="15:39" ht="15" customHeight="1" x14ac:dyDescent="0.25">
      <c r="V30" s="72"/>
      <c r="W30" s="72"/>
      <c r="X30" s="72"/>
      <c r="Y30" s="72"/>
      <c r="Z30" s="95"/>
      <c r="AC30" s="149"/>
      <c r="AD30" s="150"/>
      <c r="AE30" s="150"/>
      <c r="AF30" s="150"/>
      <c r="AG30" s="151"/>
      <c r="AH30" s="107"/>
      <c r="AI30" s="95"/>
      <c r="AJ30" s="95"/>
      <c r="AK30" s="95"/>
      <c r="AL30" s="95"/>
      <c r="AM30" s="96"/>
    </row>
    <row r="31" spans="15:39" ht="7.5" customHeight="1" x14ac:dyDescent="0.25">
      <c r="V31" s="72"/>
      <c r="W31" s="72"/>
      <c r="X31" s="72"/>
      <c r="Y31" s="72"/>
      <c r="Z31" s="110"/>
      <c r="AC31" s="65"/>
      <c r="AD31" s="64"/>
      <c r="AE31" s="64"/>
      <c r="AF31" s="64"/>
      <c r="AG31" s="66"/>
      <c r="AH31" s="85"/>
    </row>
    <row r="32" spans="15:39" ht="15" customHeight="1" x14ac:dyDescent="0.25">
      <c r="S32" s="62"/>
      <c r="V32" s="72"/>
      <c r="W32" s="72"/>
      <c r="X32" s="72"/>
      <c r="Y32" s="72"/>
      <c r="Z32" s="111"/>
      <c r="AC32" s="67" t="s">
        <v>477</v>
      </c>
      <c r="AD32" s="64"/>
      <c r="AE32" s="64"/>
      <c r="AF32" s="142">
        <f>ROUNDUP(_xlfn.XLOOKUP($H$5,'Ice Cream Orders'!$A:$A,'Ice Cream Orders'!$AG:$AG,-1),0)</f>
        <v>94</v>
      </c>
      <c r="AG32" s="143"/>
      <c r="AH32" s="152">
        <f>ROUNDUP(_xlfn.XLOOKUP($H$5,'Ice Cream Orders'!$A:$A,'Ice Cream Orders'!$AB:$AB,-1),0)</f>
        <v>739</v>
      </c>
    </row>
    <row r="33" spans="22:38" ht="28.5" customHeight="1" x14ac:dyDescent="0.65">
      <c r="V33" s="72"/>
      <c r="W33" s="72"/>
      <c r="X33" s="72"/>
      <c r="Y33" s="72"/>
      <c r="Z33" s="111"/>
      <c r="AC33" s="68" t="s">
        <v>52</v>
      </c>
      <c r="AD33" s="64"/>
      <c r="AE33" s="64"/>
      <c r="AF33" s="142"/>
      <c r="AG33" s="143"/>
      <c r="AH33" s="153"/>
      <c r="AI33" s="97"/>
    </row>
    <row r="34" spans="22:38" ht="24" customHeight="1" x14ac:dyDescent="0.25">
      <c r="V34" s="72"/>
      <c r="W34" s="72"/>
      <c r="X34" s="72"/>
      <c r="Y34" s="72"/>
      <c r="Z34" s="95"/>
      <c r="AC34" s="149"/>
      <c r="AD34" s="150"/>
      <c r="AE34" s="150"/>
      <c r="AF34" s="150"/>
      <c r="AG34" s="150"/>
      <c r="AH34" s="151"/>
      <c r="AI34" s="97"/>
    </row>
    <row r="35" spans="22:38" ht="15" customHeight="1" x14ac:dyDescent="0.25">
      <c r="V35" s="72"/>
      <c r="W35" s="72"/>
      <c r="X35" s="72"/>
      <c r="Y35" s="72"/>
      <c r="Z35" s="112"/>
      <c r="AC35" s="126" t="s">
        <v>475</v>
      </c>
      <c r="AD35" s="127"/>
      <c r="AE35" s="127"/>
      <c r="AF35" s="127"/>
      <c r="AG35" s="128"/>
      <c r="AH35" s="106"/>
      <c r="AI35" s="98"/>
      <c r="AJ35" s="98"/>
      <c r="AK35" s="98"/>
      <c r="AL35" s="99"/>
    </row>
    <row r="36" spans="22:38" ht="15" customHeight="1" x14ac:dyDescent="0.25">
      <c r="V36" s="72"/>
      <c r="W36" s="72"/>
      <c r="X36" s="72"/>
      <c r="Y36" s="72"/>
      <c r="Z36" s="113"/>
      <c r="AC36" s="69" t="s">
        <v>478</v>
      </c>
      <c r="AD36" s="70" t="str">
        <f>_xlfn.CONCAT(ROUNDUP(_xlfn.XLOOKUP($H$5,'Ice Cream Orders'!$A:$A,'Ice Cream Orders'!$AI:$AI),0),"g")</f>
        <v>7g</v>
      </c>
      <c r="AE36" s="138">
        <f>LEFT(AD36,LEN(AD36)-1)/AK36</f>
        <v>8.9743589743589744E-2</v>
      </c>
      <c r="AF36" s="138"/>
      <c r="AG36" s="139"/>
      <c r="AH36" s="105" t="str">
        <f>_xlfn.CONCAT(ROUNDUP(_xlfn.XLOOKUP($H$5,'Ice Cream Orders'!$A:$A,'Ice Cream Orders'!$AE:$AE),0),"g")</f>
        <v>54g</v>
      </c>
      <c r="AK36">
        <v>78</v>
      </c>
    </row>
    <row r="37" spans="22:38" ht="15" customHeight="1" x14ac:dyDescent="0.25">
      <c r="V37" s="72"/>
      <c r="W37" s="72"/>
      <c r="X37" s="72"/>
      <c r="Y37" s="72"/>
      <c r="Z37" s="113"/>
      <c r="AC37" s="71" t="s">
        <v>481</v>
      </c>
      <c r="AD37" s="70" t="str">
        <f>_xlfn.CONCAT(ROUNDUP(_xlfn.XLOOKUP($H$5,'Ice Cream Orders'!$A:$A,'Ice Cream Orders'!$AH:$AH),0),"g")</f>
        <v>9g</v>
      </c>
      <c r="AE37" s="138">
        <f>LEFT(AD37,LEN(AD37)-1)/AK37</f>
        <v>0.18</v>
      </c>
      <c r="AF37" s="138"/>
      <c r="AG37" s="139"/>
      <c r="AH37" s="104" t="str">
        <f>_xlfn.CONCAT(ROUNDUP(_xlfn.XLOOKUP($H$5,'Ice Cream Orders'!$A:$A,'Ice Cream Orders'!$AC:$AC),0),"g")</f>
        <v>67g</v>
      </c>
      <c r="AK37">
        <v>50</v>
      </c>
    </row>
    <row r="38" spans="22:38" ht="15.75" customHeight="1" x14ac:dyDescent="0.25">
      <c r="V38" s="72"/>
      <c r="W38" s="72"/>
      <c r="X38" s="72"/>
      <c r="Y38" s="72"/>
      <c r="Z38" s="110"/>
      <c r="AC38" s="65"/>
      <c r="AD38" s="64"/>
      <c r="AE38" s="64"/>
      <c r="AF38" s="64"/>
      <c r="AG38" s="66"/>
      <c r="AH38" s="102"/>
    </row>
    <row r="39" spans="22:38" ht="15" customHeight="1" x14ac:dyDescent="0.25">
      <c r="V39" s="72"/>
      <c r="W39" s="72"/>
      <c r="X39" s="72"/>
      <c r="Y39" s="72"/>
      <c r="Z39" s="113"/>
      <c r="AC39" s="100"/>
      <c r="AD39" s="101"/>
      <c r="AE39" s="140"/>
      <c r="AF39" s="140"/>
      <c r="AG39" s="141"/>
      <c r="AH39" s="103"/>
    </row>
    <row r="40" spans="22:38" ht="15" customHeight="1" x14ac:dyDescent="0.25">
      <c r="V40" s="72"/>
      <c r="W40" s="72"/>
      <c r="X40" s="72"/>
      <c r="Y40" s="72"/>
      <c r="Z40" s="114"/>
      <c r="AC40" s="129" t="s">
        <v>480</v>
      </c>
      <c r="AD40" s="130"/>
      <c r="AE40" s="130"/>
      <c r="AF40" s="130"/>
      <c r="AG40" s="130"/>
      <c r="AH40" s="131"/>
    </row>
    <row r="41" spans="22:38" ht="24" customHeight="1" x14ac:dyDescent="0.25">
      <c r="V41" s="72"/>
      <c r="W41" s="72"/>
      <c r="X41" s="72"/>
      <c r="Y41" s="72"/>
      <c r="Z41" s="114"/>
      <c r="AC41" s="132"/>
      <c r="AD41" s="133"/>
      <c r="AE41" s="133"/>
      <c r="AF41" s="133"/>
      <c r="AG41" s="133"/>
      <c r="AH41" s="134"/>
    </row>
    <row r="42" spans="22:38" x14ac:dyDescent="0.25">
      <c r="Y42" s="61"/>
    </row>
    <row r="43" spans="22:38" ht="15" customHeight="1" x14ac:dyDescent="0.25">
      <c r="Y43" s="61"/>
    </row>
    <row r="44" spans="22:38" x14ac:dyDescent="0.25">
      <c r="Y44" s="60"/>
    </row>
    <row r="45" spans="22:38" x14ac:dyDescent="0.25">
      <c r="Y45" s="59"/>
    </row>
    <row r="46" spans="22:38" x14ac:dyDescent="0.25">
      <c r="Y46" s="59"/>
    </row>
    <row r="47" spans="22:38" x14ac:dyDescent="0.25">
      <c r="Y47" s="59"/>
    </row>
    <row r="48" spans="22:38" x14ac:dyDescent="0.25">
      <c r="Y48" s="59"/>
    </row>
    <row r="49" spans="25:25" ht="35.25" customHeight="1" x14ac:dyDescent="0.25">
      <c r="Y49" s="61"/>
    </row>
    <row r="57" spans="25:25" ht="15" customHeight="1" x14ac:dyDescent="0.25"/>
    <row r="58" spans="25:25" ht="33.75" customHeight="1" x14ac:dyDescent="0.25"/>
    <row r="66" ht="18.75" customHeight="1" x14ac:dyDescent="0.25"/>
  </sheetData>
  <mergeCells count="14">
    <mergeCell ref="O21:P21"/>
    <mergeCell ref="AC35:AG35"/>
    <mergeCell ref="AC40:AH41"/>
    <mergeCell ref="AC27:AH27"/>
    <mergeCell ref="AE36:AG36"/>
    <mergeCell ref="AE37:AG37"/>
    <mergeCell ref="AE39:AG39"/>
    <mergeCell ref="AF32:AG33"/>
    <mergeCell ref="AC28:AG28"/>
    <mergeCell ref="AE29:AG29"/>
    <mergeCell ref="AC30:AG30"/>
    <mergeCell ref="AH32:AH33"/>
    <mergeCell ref="AC34:AH34"/>
    <mergeCell ref="AH28:AH29"/>
  </mergeCell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 3">
              <controlPr defaultSize="0" print="0" uiObject="1" autoLine="0" autoPict="0">
                <anchor moveWithCells="1" siz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print="0" autoFill="0" autoPict="0" macro="[0]!CreateOrderEmail">
                <anchor moveWithCells="1" sizeWithCells="1">
                  <from>
                    <xdr:col>8</xdr:col>
                    <xdr:colOff>9525</xdr:colOff>
                    <xdr:row>14</xdr:row>
                    <xdr:rowOff>66675</xdr:rowOff>
                  </from>
                  <to>
                    <xdr:col>8</xdr:col>
                    <xdr:colOff>895350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12B6DC-8CB0-49A2-AEC6-5CC518C12B56}">
          <x14:formula1>
            <xm:f>'Ice Cream Orders'!$A:$A</xm:f>
          </x14:formula1>
          <xm:sqref>H5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BC950-330E-450E-8FB7-B5FC908ED656}">
  <sheetPr codeName="Sheet23"/>
  <dimension ref="A1:AL15"/>
  <sheetViews>
    <sheetView zoomScale="92" zoomScaleNormal="80" workbookViewId="0">
      <selection activeCell="A5" sqref="A5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8" x14ac:dyDescent="0.25">
      <c r="A2" t="s">
        <v>251</v>
      </c>
      <c r="B2" s="1" t="s">
        <v>62</v>
      </c>
      <c r="C2" s="1" t="s">
        <v>65</v>
      </c>
      <c r="D2" s="1" t="s">
        <v>0</v>
      </c>
      <c r="F2" s="1" t="s">
        <v>249</v>
      </c>
      <c r="H2" s="1" t="s">
        <v>1</v>
      </c>
      <c r="J2" t="s">
        <v>4</v>
      </c>
      <c r="K2" t="s">
        <v>157</v>
      </c>
      <c r="M2" t="s">
        <v>156</v>
      </c>
      <c r="N2" t="s">
        <v>173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229.185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114.5925</v>
      </c>
      <c r="R2">
        <f t="shared" ref="R2:R4" si="0">P2+Q2</f>
        <v>343.77750000000003</v>
      </c>
      <c r="S2">
        <f>_xlfn.XLOOKUP($K2,Specs!$D:$D,Specs!$E:$E,0)*15*_xlfn.XLOOKUP($J2,Specs!$A:$A,Specs!$C:$C,0)</f>
        <v>7.5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118.25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0.48153299999999999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1696.5080881385661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92.708436691515004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58.319749999999999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129.02498204889278</v>
      </c>
      <c r="AE2" s="8">
        <f>$AD2 / (_xlfn.XLOOKUP($J2,Specs!A:A,Specs!B:B,0))</f>
        <v>0.27278008889829342</v>
      </c>
      <c r="AF2" s="7">
        <f>60* ($AA2 / _xlfn.XLOOKUP($J2,Specs!$A:$A,Specs!$B:$B,0))</f>
        <v>215.20187164548409</v>
      </c>
      <c r="AG2" s="7">
        <f>60* (AB2 / _xlfn.XLOOKUP($J2,Specs!$A:$A,Specs!$B:$B,0))</f>
        <v>11.760055394272516</v>
      </c>
      <c r="AH2" s="7">
        <f>60* (AD2 / _xlfn.XLOOKUP($J2,Specs!$A:$A,Specs!$B:$B,0))</f>
        <v>16.366805333897606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2.3582060430508549</v>
      </c>
      <c r="AJ2" s="10">
        <f>ROUNDUP((AI2+Specs!$R$2+Specs!$S$2+_xlfn.XLOOKUP($J2,Specs!A:A,Specs!V:V,0))*Specs!$N$2,0)</f>
        <v>7</v>
      </c>
    </row>
    <row r="3" spans="1:38" x14ac:dyDescent="0.25">
      <c r="A3" t="s">
        <v>358</v>
      </c>
      <c r="B3" s="1" t="s">
        <v>62</v>
      </c>
      <c r="C3" s="1" t="s">
        <v>65</v>
      </c>
      <c r="D3" s="1" t="s">
        <v>0</v>
      </c>
      <c r="H3" s="1" t="s">
        <v>1</v>
      </c>
      <c r="J3" t="s">
        <v>43</v>
      </c>
      <c r="K3" t="s">
        <v>46</v>
      </c>
      <c r="L3" t="s">
        <v>44</v>
      </c>
      <c r="N3" t="s">
        <v>769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604.56000000000006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302.28000000000003</v>
      </c>
      <c r="R3">
        <f t="shared" si="0"/>
        <v>906.84000000000015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75</v>
      </c>
      <c r="X3">
        <f>_xlfn.XLOOKUP($O3,Specs!F:F,Specs!G:G,0)*100*_xlfn.XLOOKUP($J3,Specs!A:A,Specs!C:C,0)</f>
        <v>0</v>
      </c>
      <c r="Y3" s="4">
        <f t="shared" ref="Y3:Y5" si="3">($P3+$Q3+$S3+$W3+$X3)*IF(ISNUMBER(SEARCH("Fat Free",$B3)),0.0036,0.0012)</f>
        <v>1.2142080000000002</v>
      </c>
      <c r="Z3" s="5">
        <f t="shared" ref="Z3:Z5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2798.4900000000002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103.07599999999999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103.07599999999999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277.09000000000003</v>
      </c>
      <c r="AE3" s="8">
        <f>$AD3 / (_xlfn.XLOOKUP($J3,Specs!A:A,Specs!B:B,0))</f>
        <v>0.29290697674418609</v>
      </c>
      <c r="AF3" s="7">
        <f>60* ($AA3 / _xlfn.XLOOKUP($J3,Specs!$A:$A,Specs!$B:$B,0))</f>
        <v>177.4940803382664</v>
      </c>
      <c r="AG3" s="7">
        <f>60* (AB3 / _xlfn.XLOOKUP($J3,Specs!$A:$A,Specs!$B:$B,0))</f>
        <v>6.5375898520084563</v>
      </c>
      <c r="AH3" s="7">
        <f>60* (AD3 / _xlfn.XLOOKUP($J3,Specs!$A:$A,Specs!$B:$B,0))</f>
        <v>17.574418604651164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5.1009637490183035</v>
      </c>
      <c r="AJ3" s="10">
        <f>ROUNDUP((AI3+Specs!$R$2+Specs!$S$2+_xlfn.XLOOKUP($J3,Specs!A:A,Specs!V:V,0))*Specs!$N$2,0)</f>
        <v>13</v>
      </c>
    </row>
    <row r="4" spans="1:38" x14ac:dyDescent="0.25">
      <c r="A4" s="42" t="s">
        <v>795</v>
      </c>
      <c r="B4" s="31" t="s">
        <v>65</v>
      </c>
      <c r="C4" s="31" t="s">
        <v>75</v>
      </c>
      <c r="D4" s="31" t="s">
        <v>0</v>
      </c>
      <c r="E4" s="31"/>
      <c r="F4" s="31" t="s">
        <v>406</v>
      </c>
      <c r="G4" s="31"/>
      <c r="H4" s="31" t="s">
        <v>1</v>
      </c>
      <c r="I4" s="31"/>
      <c r="J4" s="30" t="s">
        <v>43</v>
      </c>
      <c r="K4" s="30" t="s">
        <v>46</v>
      </c>
      <c r="L4" s="30" t="s">
        <v>44</v>
      </c>
      <c r="M4" s="30" t="s">
        <v>156</v>
      </c>
      <c r="N4" s="30" t="s">
        <v>769</v>
      </c>
      <c r="O4" s="30"/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448.47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224.23500000000001</v>
      </c>
      <c r="R4">
        <f t="shared" si="0"/>
        <v>672.70500000000004</v>
      </c>
      <c r="S4">
        <f>_xlfn.XLOOKUP($K4,Specs!$D:$D,Specs!$E:$E,0)*15*_xlfn.XLOOKUP($J4,Specs!$A:$A,Specs!$C:$C,0)</f>
        <v>30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78.833333333333343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75</v>
      </c>
      <c r="X4">
        <f>_xlfn.XLOOKUP($O4,Specs!F:F,Specs!G:G,0)*100*_xlfn.XLOOKUP($J4,Specs!A:A,Specs!C:C,0)</f>
        <v>0</v>
      </c>
      <c r="Y4" s="4">
        <f t="shared" si="3"/>
        <v>0.93324600000000002</v>
      </c>
      <c r="Z4" s="5">
        <f t="shared" si="4"/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1874.939166666667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156.23441666666668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107.949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76.464208333333346</v>
      </c>
      <c r="AE4" s="8">
        <f>$AD4 / (_xlfn.XLOOKUP($J4,Specs!A:A,Specs!B:B,0))</f>
        <v>8.0828972868217067E-2</v>
      </c>
      <c r="AF4" s="7">
        <f>60* ($AA4 / _xlfn.XLOOKUP($J4,Specs!$A:$A,Specs!$B:$B,0))</f>
        <v>118.91791754756873</v>
      </c>
      <c r="AG4" s="7">
        <f>60* (AB4 / _xlfn.XLOOKUP($J4,Specs!$A:$A,Specs!$B:$B,0))</f>
        <v>9.9091596194503175</v>
      </c>
      <c r="AH4" s="7">
        <f>60* (AD4 / _xlfn.XLOOKUP($J4,Specs!$A:$A,Specs!$B:$B,0))</f>
        <v>4.8497383720930243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3.5745790478044848</v>
      </c>
      <c r="AJ4" s="10">
        <f>ROUNDUP((AI4+Specs!$R$2+Specs!$S$2+_xlfn.XLOOKUP($J4,Specs!A:A,Specs!V:V,0))*Specs!$N$2,0)</f>
        <v>10</v>
      </c>
    </row>
    <row r="5" spans="1:38" x14ac:dyDescent="0.25">
      <c r="A5" s="50" t="s">
        <v>772</v>
      </c>
      <c r="B5" s="31" t="s">
        <v>62</v>
      </c>
      <c r="C5" s="31" t="s">
        <v>65</v>
      </c>
      <c r="D5" s="31" t="s">
        <v>99</v>
      </c>
      <c r="E5" s="31" t="s">
        <v>0</v>
      </c>
      <c r="F5" s="31" t="s">
        <v>126</v>
      </c>
      <c r="G5" s="31"/>
      <c r="H5" s="31" t="s">
        <v>1</v>
      </c>
      <c r="I5" s="31"/>
      <c r="J5" s="30" t="s">
        <v>4</v>
      </c>
      <c r="K5" s="30" t="s">
        <v>175</v>
      </c>
      <c r="L5" s="30" t="s">
        <v>175</v>
      </c>
      <c r="M5" s="30" t="s">
        <v>154</v>
      </c>
      <c r="N5" s="30" t="s">
        <v>173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262.87800000000004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131.43900000000002</v>
      </c>
      <c r="R5">
        <f>P5+Q5</f>
        <v>394.31700000000006</v>
      </c>
      <c r="S5">
        <f>_xlfn.XLOOKUP($K5,Specs!$D:$D,Specs!$E:$E,0)*15*_xlfn.XLOOKUP($J5,Specs!$A:$A,Specs!$C:$C,0)</f>
        <v>1.875</v>
      </c>
      <c r="T5">
        <f>_xlfn.XLOOKUP($L5,Specs!$D:$D,Specs!$E:$E,0)*15*_xlfn.XLOOKUP($J5,Specs!$A:$A,Specs!$C:$C,0)</f>
        <v>1.875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44.343750000000007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 t="shared" si="3"/>
        <v>0.53543040000000008</v>
      </c>
      <c r="Z5" s="5">
        <f t="shared" si="4"/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1492.5370000000003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58.700050000000005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55.7438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139.70137500000004</v>
      </c>
      <c r="AE5" s="8">
        <f>$AD5 / (_xlfn.XLOOKUP($J5,Specs!A:A,Specs!B:B,0))</f>
        <v>0.29535174418604659</v>
      </c>
      <c r="AF5" s="7">
        <f>60* ($AA5 / _xlfn.XLOOKUP($J5,Specs!$A:$A,Specs!$B:$B,0))</f>
        <v>189.3281606765328</v>
      </c>
      <c r="AG5" s="7">
        <f>60* (AB5 / _xlfn.XLOOKUP($J5,Specs!$A:$A,Specs!$B:$B,0))</f>
        <v>7.4460951374207189</v>
      </c>
      <c r="AH5" s="7">
        <f>60* (AD5 / _xlfn.XLOOKUP($J5,Specs!$A:$A,Specs!$B:$B,0))</f>
        <v>17.721104651162797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2.7855904875076267</v>
      </c>
      <c r="AJ5" s="10">
        <f>ROUNDUP((AI5+Specs!$R$2+Specs!$S$2+_xlfn.XLOOKUP($J5,Specs!A:A,Specs!V:V,0))*Specs!$N$2,0)</f>
        <v>7</v>
      </c>
      <c r="AK5" s="39"/>
      <c r="AL5" s="40"/>
    </row>
    <row r="6" spans="1:38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8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  <c r="AK9" s="10" t="e">
        <f>SUM(#REF!)</f>
        <v>#REF!</v>
      </c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2" spans="1:38" x14ac:dyDescent="0.25">
      <c r="AK12" s="10" t="e">
        <f>SUM(#REF!)</f>
        <v>#REF!</v>
      </c>
    </row>
    <row r="14" spans="1:38" x14ac:dyDescent="0.25">
      <c r="P14" t="s">
        <v>796</v>
      </c>
      <c r="Q14" t="s">
        <v>797</v>
      </c>
    </row>
    <row r="15" spans="1:38" x14ac:dyDescent="0.25">
      <c r="P15">
        <f>SUM(Q2,P3,Q4,Q5)</f>
        <v>1074.8265000000001</v>
      </c>
      <c r="Q15">
        <f>SUM(P2,P4,P5)</f>
        <v>940.53300000000002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846F149F-B533-479E-BFB5-D8B111303212}">
          <x14:formula1>
            <xm:f>'Sweetener Mix In Nutrition'!$A:$A</xm:f>
          </x14:formula1>
          <xm:sqref>I6:I10 I2</xm:sqref>
        </x14:dataValidation>
        <x14:dataValidation type="list" allowBlank="1" showInputMessage="1" showErrorMessage="1" xr:uid="{DFA8C591-AC04-4E02-9853-18B992B5061A}">
          <x14:formula1>
            <xm:f>'Sweetener Mix In Nutrition'!$A:$A</xm:f>
          </x14:formula1>
          <xm:sqref>I11:I441 H2 I4:I5 H5:H227 H3:I3</xm:sqref>
        </x14:dataValidation>
        <x14:dataValidation type="list" allowBlank="1" showInputMessage="1" showErrorMessage="1" xr:uid="{547C04AB-8C52-4092-B8C3-F183C984E3BC}">
          <x14:formula1>
            <xm:f>'Milk Types Nutrition Per Cup'!$A:$A</xm:f>
          </x14:formula1>
          <xm:sqref>C6:C17 B2:C5 B6:B16</xm:sqref>
        </x14:dataValidation>
        <x14:dataValidation type="list" allowBlank="1" showInputMessage="1" xr:uid="{2BA701A1-5A1C-4F18-85FD-4395D51E43AC}">
          <x14:formula1>
            <xm:f>Specs!$F:$F</xm:f>
          </x14:formula1>
          <xm:sqref>H228:H237 O6:O72 N5:N197 N2:O4</xm:sqref>
        </x14:dataValidation>
        <x14:dataValidation type="list" allowBlank="1" showInputMessage="1" showErrorMessage="1" xr:uid="{27B73F90-90A7-4631-B45D-5AB5B87B2021}">
          <x14:formula1>
            <xm:f>Specs!$A:$A</xm:f>
          </x14:formula1>
          <xm:sqref>K17:L30 J2:J30</xm:sqref>
        </x14:dataValidation>
        <x14:dataValidation type="list" allowBlank="1" showInputMessage="1" showErrorMessage="1" xr:uid="{E3619BC5-1059-4BC5-B270-536FAFD6BECE}">
          <x14:formula1>
            <xm:f>Specs!$H:$H</xm:f>
          </x14:formula1>
          <xm:sqref>M2:M17</xm:sqref>
        </x14:dataValidation>
        <x14:dataValidation type="list" allowBlank="1" showInputMessage="1" xr:uid="{458278E3-AB29-46C3-AF72-B70126E1E8B2}">
          <x14:formula1>
            <xm:f>Specs!$D:$D</xm:f>
          </x14:formula1>
          <xm:sqref>K2:L16</xm:sqref>
        </x14:dataValidation>
        <x14:dataValidation type="list" showInputMessage="1" xr:uid="{0DEB0062-D52C-481D-BAE8-4AEA0390F82B}">
          <x14:formula1>
            <xm:f>'Solid Mix In Nutrition'!$A:$A</xm:f>
          </x14:formula1>
          <xm:sqref>F6:G15 F5:H5 F2:G4</xm:sqref>
        </x14:dataValidation>
        <x14:dataValidation type="list" allowBlank="1" showInputMessage="1" showErrorMessage="1" xr:uid="{E35387B6-6108-47B0-889B-D43A522F67B0}">
          <x14:formula1>
            <xm:f>'Liquid Mix In Nutrition'!$A:$A</xm:f>
          </x14:formula1>
          <xm:sqref>D4:D5</xm:sqref>
        </x14:dataValidation>
        <x14:dataValidation type="list" allowBlank="1" showInputMessage="1" xr:uid="{928C7755-711F-4BC0-A66F-BAE500F3FD1A}">
          <x14:formula1>
            <xm:f>'Liquid Mix In Nutrition'!$A:$A</xm:f>
          </x14:formula1>
          <xm:sqref>D6:D10 D2</xm:sqref>
        </x14:dataValidation>
        <x14:dataValidation type="list" allowBlank="1" xr:uid="{F01EA329-DD9F-441F-A833-18A9E96CAB36}">
          <x14:formula1>
            <xm:f>'Liquid Mix In Nutrition'!$A:$A</xm:f>
          </x14:formula1>
          <xm:sqref>D11:D16 E2 E4:E16 D3:E3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5EB0B-88D4-4405-87A5-19336647A626}">
  <sheetPr codeName="Sheet2"/>
  <dimension ref="A1:AR305"/>
  <sheetViews>
    <sheetView zoomScale="69" zoomScaleNormal="82" workbookViewId="0">
      <pane xSplit="1" topLeftCell="Q1" activePane="topRight" state="frozen"/>
      <selection activeCell="A14" sqref="A14"/>
      <selection pane="topRight" activeCell="R2" sqref="R2"/>
    </sheetView>
  </sheetViews>
  <sheetFormatPr defaultRowHeight="15" x14ac:dyDescent="0.25"/>
  <cols>
    <col min="1" max="1" width="44" customWidth="1"/>
    <col min="2" max="2" width="35.28515625" bestFit="1" customWidth="1"/>
    <col min="3" max="3" width="37.140625" customWidth="1"/>
    <col min="4" max="4" width="39.7109375" style="1" customWidth="1"/>
    <col min="5" max="5" width="47" style="1" bestFit="1" customWidth="1"/>
    <col min="6" max="7" width="31.28515625" style="1" bestFit="1" customWidth="1"/>
    <col min="8" max="8" width="32" style="1" bestFit="1" customWidth="1"/>
    <col min="9" max="9" width="25" style="1" bestFit="1" customWidth="1"/>
    <col min="10" max="10" width="25.7109375" style="1" bestFit="1" customWidth="1"/>
    <col min="11" max="11" width="14.5703125" style="1" bestFit="1" customWidth="1"/>
    <col min="12" max="12" width="16.28515625" bestFit="1" customWidth="1"/>
    <col min="13" max="13" width="24.7109375" bestFit="1" customWidth="1"/>
    <col min="14" max="14" width="26.85546875" bestFit="1" customWidth="1"/>
    <col min="15" max="15" width="25.7109375" bestFit="1" customWidth="1"/>
    <col min="16" max="16" width="28.5703125" bestFit="1" customWidth="1"/>
    <col min="17" max="17" width="29" bestFit="1" customWidth="1"/>
    <col min="18" max="19" width="23.140625" bestFit="1" customWidth="1"/>
    <col min="20" max="21" width="23.7109375" bestFit="1" customWidth="1"/>
    <col min="22" max="23" width="21.28515625" bestFit="1" customWidth="1"/>
    <col min="24" max="25" width="24.140625" bestFit="1" customWidth="1"/>
    <col min="26" max="27" width="24.140625" customWidth="1"/>
    <col min="28" max="29" width="18.7109375" bestFit="1" customWidth="1"/>
    <col min="30" max="30" width="20.28515625" bestFit="1" customWidth="1"/>
    <col min="31" max="32" width="22.28515625" customWidth="1"/>
    <col min="33" max="35" width="22.28515625" bestFit="1" customWidth="1"/>
    <col min="36" max="36" width="20.28515625" bestFit="1" customWidth="1"/>
    <col min="37" max="37" width="38.85546875" customWidth="1"/>
    <col min="38" max="38" width="27.42578125" customWidth="1"/>
    <col min="39" max="39" width="14.5703125" bestFit="1" customWidth="1"/>
    <col min="40" max="40" width="12.85546875" style="26" bestFit="1" customWidth="1"/>
    <col min="41" max="41" width="14.5703125" bestFit="1" customWidth="1"/>
    <col min="42" max="42" width="22.42578125" bestFit="1" customWidth="1"/>
    <col min="43" max="43" width="13.5703125" bestFit="1" customWidth="1"/>
  </cols>
  <sheetData>
    <row r="1" spans="1:43" x14ac:dyDescent="0.25">
      <c r="A1" s="30" t="s">
        <v>221</v>
      </c>
      <c r="B1" s="30" t="s">
        <v>222</v>
      </c>
      <c r="C1" s="30" t="s">
        <v>223</v>
      </c>
      <c r="D1" s="31" t="s">
        <v>12</v>
      </c>
      <c r="E1" s="31" t="s">
        <v>13</v>
      </c>
      <c r="F1" s="31" t="s">
        <v>14</v>
      </c>
      <c r="G1" s="31" t="s">
        <v>15</v>
      </c>
      <c r="H1" s="31" t="s">
        <v>16</v>
      </c>
      <c r="I1" s="31" t="s">
        <v>17</v>
      </c>
      <c r="J1" s="31" t="s">
        <v>18</v>
      </c>
      <c r="K1" s="31" t="s">
        <v>19</v>
      </c>
      <c r="L1" s="32" t="s">
        <v>20</v>
      </c>
      <c r="M1" s="32" t="s">
        <v>21</v>
      </c>
      <c r="N1" s="32" t="s">
        <v>22</v>
      </c>
      <c r="O1" s="32" t="s">
        <v>23</v>
      </c>
      <c r="P1" s="32" t="s">
        <v>24</v>
      </c>
      <c r="Q1" s="32" t="s">
        <v>25</v>
      </c>
      <c r="R1" s="33" t="s">
        <v>26</v>
      </c>
      <c r="S1" s="33" t="s">
        <v>27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32</v>
      </c>
      <c r="Y1" s="33" t="s">
        <v>33</v>
      </c>
      <c r="Z1" s="33" t="s">
        <v>34</v>
      </c>
      <c r="AA1" s="33" t="s">
        <v>35</v>
      </c>
      <c r="AB1" s="31" t="s">
        <v>36</v>
      </c>
      <c r="AC1" s="31" t="s">
        <v>37</v>
      </c>
      <c r="AD1" s="31" t="s">
        <v>38</v>
      </c>
      <c r="AE1" s="31" t="s">
        <v>39</v>
      </c>
      <c r="AF1" s="31" t="s">
        <v>40</v>
      </c>
      <c r="AG1" s="31" t="s">
        <v>41</v>
      </c>
      <c r="AH1" s="31" t="s">
        <v>187</v>
      </c>
      <c r="AI1" s="31" t="s">
        <v>188</v>
      </c>
      <c r="AJ1" s="31" t="s">
        <v>42</v>
      </c>
      <c r="AK1" s="31" t="s">
        <v>149</v>
      </c>
      <c r="AL1" s="31" t="s">
        <v>151</v>
      </c>
      <c r="AM1" s="31" t="s">
        <v>150</v>
      </c>
      <c r="AN1" s="43" t="s">
        <v>172</v>
      </c>
      <c r="AO1" s="31" t="s">
        <v>209</v>
      </c>
      <c r="AP1" s="32" t="s">
        <v>211</v>
      </c>
      <c r="AQ1" s="117" t="s">
        <v>778</v>
      </c>
    </row>
    <row r="2" spans="1:43" ht="18.75" customHeight="1" x14ac:dyDescent="0.25">
      <c r="A2" s="44" t="s">
        <v>645</v>
      </c>
      <c r="B2" s="76">
        <v>0</v>
      </c>
      <c r="C2" s="31" t="s">
        <v>646</v>
      </c>
      <c r="D2" s="31" t="e">
        <v>#N/A</v>
      </c>
      <c r="E2" s="31" t="e">
        <v>#N/A</v>
      </c>
      <c r="F2" s="31" t="e">
        <v>#N/A</v>
      </c>
      <c r="G2" s="31" t="e">
        <v>#N/A</v>
      </c>
      <c r="H2" s="31" t="e">
        <v>#N/A</v>
      </c>
      <c r="I2" s="31" t="e">
        <v>#N/A</v>
      </c>
      <c r="J2" s="31" t="s">
        <v>510</v>
      </c>
      <c r="K2" s="31" t="e">
        <v>#N/A</v>
      </c>
      <c r="L2" s="77" t="s">
        <v>4</v>
      </c>
      <c r="M2" s="45" t="e">
        <v>#N/A</v>
      </c>
      <c r="N2" s="45" t="e">
        <v>#N/A</v>
      </c>
      <c r="O2" s="45" t="e">
        <v>#N/A</v>
      </c>
      <c r="P2" s="45" t="e">
        <v>#N/A</v>
      </c>
      <c r="Q2" s="45" t="e">
        <v>#N/A</v>
      </c>
      <c r="R2" s="30" t="e">
        <f>(_xlfn.XLOOKUP($L2,Specs!A:A,Specs!B:B,0)-(IF(ISNUMBER(SEARCH("Dulce De Leche", $G2)), 0, $T2))-(IF(ISNUMBER(SEARCH("Dulce De Leche", $F2)), 0, $U2))-(($V2/MAX(1,_xlfn.XLOOKUP($H2,'Solid Mix In Nutrition'!A:A,'Solid Mix In Nutrition'!I:I,1)))*240)-(($W2/MAX(1,_xlfn.XLOOKUP($I2,'Solid Mix In Nutrition'!A:A,'Solid Mix In Nutrition'!I:I,1)))*240))*0.66</f>
        <v>#N/A</v>
      </c>
      <c r="S2" s="30" t="e">
        <f>(_xlfn.XLOOKUP($L2,Specs!A:A,Specs!B:B,0)-(IF(ISNUMBER(SEARCH("Dulce De Leche", $G2)), 0, $T2))-(IF(ISNUMBER(SEARCH("Dulce De Leche", $F2)), 0, $U2))-(($V2/MAX(1,_xlfn.XLOOKUP($H2,'Solid Mix In Nutrition'!A:A,'Solid Mix In Nutrition'!I:I,1)))*240)-(($W2/MAX(1,_xlfn.XLOOKUP($I2,'Solid Mix In Nutrition'!A:A,'Solid Mix In Nutrition'!I:I,1)))*240))*0.33</f>
        <v>#N/A</v>
      </c>
      <c r="T2" s="30" t="e">
        <f>_xlfn.XLOOKUP($M2,Specs!$D:$D,Specs!$E:$E,0)*15*_xlfn.XLOOKUP($L2,Specs!$A:$A,Specs!$C:$C,0)</f>
        <v>#N/A</v>
      </c>
      <c r="U2" s="30" t="e">
        <f>_xlfn.XLOOKUP($N2,Specs!$D:$D,Specs!$E:$E,0)*15*_xlfn.XLOOKUP($L2,Specs!$A:$A,Specs!$C:$C,0)</f>
        <v>#N/A</v>
      </c>
      <c r="V2" s="30" t="e">
        <f>( ((_xlfn.XLOOKUP($O2,Specs!$H:$H,Specs!$I:$I,0)*_xlfn.XLOOKUP($L2,Specs!$A:$A,Specs!$B:$B,0))/240) *_xlfn.XLOOKUP($H2,'Solid Mix In Nutrition'!A:A,'Solid Mix In Nutrition'!I:I,0)) *IF(AND(NOT($I2=0), COUNTA($I2)),0.5,1)</f>
        <v>#N/A</v>
      </c>
      <c r="W2" s="30" t="e">
        <f>( ((_xlfn.XLOOKUP($O2,Specs!$H:$H,Specs!$I:$I,0)*_xlfn.XLOOKUP($L2,Specs!$A:$A,Specs!$B:$B,0))/240) *_xlfn.XLOOKUP($I2,'Solid Mix In Nutrition'!A:A,'Solid Mix In Nutrition'!I:I,0)) *IF(AND(NOT($I2=0), COUNTA($I2)),0.5,0)</f>
        <v>#N/A</v>
      </c>
      <c r="X2" s="30" t="e">
        <f>_xlfn.XLOOKUP($P2,Specs!F:F,Specs!G:G,0)*_xlfn.XLOOKUP($J2,'Sweetener Mix In Nutrition'!A:A,'Sweetener Mix In Nutrition'!I:I,0)*_xlfn.XLOOKUP($L2,Specs!A:A,Specs!C:C,0)</f>
        <v>#N/A</v>
      </c>
      <c r="Y2" s="30" t="e">
        <f>_xlfn.XLOOKUP($Q2,Specs!F:F,Specs!G:G,0)*_xlfn.XLOOKUP($K2,'Sweetener Mix In Nutrition'!A:A,'Sweetener Mix In Nutrition'!I:I,0)*_xlfn.XLOOKUP($L2,Specs!A:A,Specs!C:C,0)</f>
        <v>#N/A</v>
      </c>
      <c r="Z2" s="34" t="e">
        <f t="shared" ref="Z2:Z53" si="0">($R2+$S2+$T2+$X2+$Y2)*IF(ISNUMBER(SEARCH("Fat Free",$D2)),0.0036,0.0012)</f>
        <v>#N/A</v>
      </c>
      <c r="AA2" s="35" t="e">
        <f t="shared" ref="AA2:AA53" si="1">CEILING(CONVERT(($R2+$S2+$T2+$X2+$Y2)*IF(ISNUMBER(SEARCH("Fat Free",$D2)),0.0036,0.0012),"ml","tsp"),0.25)</f>
        <v>#N/A</v>
      </c>
      <c r="AB2" s="36" t="e">
        <f>(($R2 / 240) * _xlfn.XLOOKUP($D2,'Milk Types Nutrition Per Cup'!A:A,'Milk Types Nutrition Per Cup'!B:B,0)) +(($S2 / 240)  * _xlfn.XLOOKUP($E2,'Milk Types Nutrition Per Cup'!A:A,'Milk Types Nutrition Per Cup'!B:B,0)) +(($T2 / 15)  * _xlfn.XLOOKUP($F2,'Liquid Mix In Nutrition'!A:A,'Liquid Mix In Nutrition'!B:B,0))+(($U2 / 15)  * _xlfn.XLOOKUP($G2,'Liquid Mix In Nutrition'!A:A,'Liquid Mix In Nutrition'!B:B,0))+(($V2 /MAX(1, _xlfn.XLOOKUP($H2,'Solid Mix In Nutrition'!A:A,'Solid Mix In Nutrition'!I:I,1)))  * _xlfn.XLOOKUP($H2,'Solid Mix In Nutrition'!A:A,'Solid Mix In Nutrition'!B:B,0))+(($W2 / MAX(1, _xlfn.XLOOKUP($I2,'Solid Mix In Nutrition'!A:A,'Solid Mix In Nutrition'!I:I,1))))+(($X2 / 100)  * _xlfn.XLOOKUP($J2,'Sweetener Mix In Nutrition'!A:A,'Sweetener Mix In Nutrition'!B:B,0))+(($Y2 / 100)  * _xlfn.XLOOKUP($K2,'Sweetener Mix In Nutrition'!A:A,'Sweetener Mix In Nutrition'!B:B,0))</f>
        <v>#N/A</v>
      </c>
      <c r="AC2" s="36" t="e">
        <f>(($R2 / 240) * _xlfn.XLOOKUP($D2,'Milk Types Nutrition Per Cup'!A:A,'Milk Types Nutrition Per Cup'!E:E,0)) +(($S2 / 240)  * _xlfn.XLOOKUP($E2,'Milk Types Nutrition Per Cup'!A:A,'Milk Types Nutrition Per Cup'!E:E,0)) +(($T2 / 15)  * _xlfn.XLOOKUP($F2,'Liquid Mix In Nutrition'!A:A,'Liquid Mix In Nutrition'!E:E,0)) +(($U2 / 15)  * _xlfn.XLOOKUP($G2,'Liquid Mix In Nutrition'!A:A,'Liquid Mix In Nutrition'!E:E,0))+(($V2 / MAX(1, _xlfn.XLOOKUP($H2,'Solid Mix In Nutrition'!A:A,'Solid Mix In Nutrition'!I:I,1)))  * _xlfn.XLOOKUP($H2,'Solid Mix In Nutrition'!A:A,'Solid Mix In Nutrition'!E:E,0))+(($W2 / MAX(1, _xlfn.XLOOKUP($I2,'Solid Mix In Nutrition'!A:A,'Solid Mix In Nutrition'!I:I,1)))  * _xlfn.XLOOKUP($I2,'Solid Mix In Nutrition'!A:A,'Solid Mix In Nutrition'!G:G,0))+(($X2 / 100)  * _xlfn.XLOOKUP($J2,'Sweetener Mix In Nutrition'!A:A,'Sweetener Mix In Nutrition'!E:E,0))+(($Y2 / 100)  * _xlfn.XLOOKUP($K2,'Sweetener Mix In Nutrition'!A:A,'Sweetener Mix In Nutrition'!E:E,0))</f>
        <v>#N/A</v>
      </c>
      <c r="AD2" s="36" t="e">
        <f>(($R2 / 240) * _xlfn.XLOOKUP($D2,'Milk Types Nutrition Per Cup'!A:A,'Milk Types Nutrition Per Cup'!E:E,0)) +(($S2 / 240)  * _xlfn.XLOOKUP($E2,'Milk Types Nutrition Per Cup'!A:A,'Milk Types Nutrition Per Cup'!E:E,0)) +(($T2 / 15)  * _xlfn.XLOOKUP($F2,'Liquid Mix In Nutrition'!A:A,'Liquid Mix In Nutrition'!E:E,0)) +(($U2 / 15)  * _xlfn.XLOOKUP($G2,'Liquid Mix In Nutrition'!A:A,'Liquid Mix In Nutrition'!E:E,0))+(($X2 / 100)  * _xlfn.XLOOKUP($J2,'Sweetener Mix In Nutrition'!A:A,'Sweetener Mix In Nutrition'!E:E,0))+(($Y2 / 100)  * _xlfn.XLOOKUP($K2,'Sweetener Mix In Nutrition'!A:A,'Sweetener Mix In Nutrition'!E:E,0))</f>
        <v>#N/A</v>
      </c>
      <c r="AE2" s="37" t="e">
        <f>(($R2 / 240) * _xlfn.XLOOKUP($D2,'Milk Types Nutrition Per Cup'!A:A,'Milk Types Nutrition Per Cup'!C:C,0)) +(($S2 / 240)  * _xlfn.XLOOKUP($E2,'Milk Types Nutrition Per Cup'!A:A,'Milk Types Nutrition Per Cup'!C:C,0)) +(($T2 / 15)  * _xlfn.XLOOKUP($F2,'Liquid Mix In Nutrition'!A:A,'Liquid Mix In Nutrition'!C:C,0))+(($U2 / 15)  * _xlfn.XLOOKUP($G2,'Liquid Mix In Nutrition'!A:A,'Liquid Mix In Nutrition'!C:C,0))+(($V2 / MAX(1, _xlfn.XLOOKUP($H2,'Solid Mix In Nutrition'!A:A,'Solid Mix In Nutrition'!I:I,1)))  * _xlfn.XLOOKUP($H2,'Solid Mix In Nutrition'!A:A,'Solid Mix In Nutrition'!C:C,0))+(($W2 / MAX(1, _xlfn.XLOOKUP($I2,'Solid Mix In Nutrition'!A:A,'Solid Mix In Nutrition'!I:I,1)))  * _xlfn.XLOOKUP($I2,'Solid Mix In Nutrition'!A:A,'Solid Mix In Nutrition'!C:C,0))+(($X2 / 100)  * _xlfn.XLOOKUP($J2,'Sweetener Mix In Nutrition'!A:A,'Sweetener Mix In Nutrition'!C:C,0))+(($Y2 / 100)  * _xlfn.XLOOKUP($K2,'Sweetener Mix In Nutrition'!A:A,'Sweetener Mix In Nutrition'!C:C,0))</f>
        <v>#N/A</v>
      </c>
      <c r="AF2" s="38" t="e">
        <f>$AE2 / (_xlfn.XLOOKUP($L2,Specs!A:A,Specs!B:B,0))</f>
        <v>#N/A</v>
      </c>
      <c r="AG2" s="37" t="e">
        <f>60* ($AB2 / _xlfn.XLOOKUP($L2,Specs!A:A,Specs!B:B,0))</f>
        <v>#N/A</v>
      </c>
      <c r="AH2" s="37" t="e">
        <f>60* (AC2 / _xlfn.XLOOKUP($L2,Specs!$A:$A,Specs!$B:$B,0))</f>
        <v>#N/A</v>
      </c>
      <c r="AI2" s="37" t="e">
        <f>60* (AE2 / _xlfn.XLOOKUP($L2,Specs!$A:$A,Specs!$B:$B,0))</f>
        <v>#N/A</v>
      </c>
      <c r="AJ2" s="39" t="e">
        <v>#N/A</v>
      </c>
      <c r="AK2" s="46" t="s">
        <v>647</v>
      </c>
      <c r="AL2" s="47" t="s">
        <v>646</v>
      </c>
      <c r="AM2" s="40">
        <v>0</v>
      </c>
      <c r="AN2" s="48" t="e">
        <v>#N/A</v>
      </c>
      <c r="AO2" s="40" t="e">
        <v>#N/A</v>
      </c>
      <c r="AP2" s="30"/>
      <c r="AQ2">
        <f>_xlfn.XLOOKUP("What's Your Number?",[1]Sheet1!$1:$1,[1]Sheet1!2:2)</f>
        <v>0</v>
      </c>
    </row>
    <row r="3" spans="1:43" x14ac:dyDescent="0.25">
      <c r="A3" s="44" t="s">
        <v>648</v>
      </c>
      <c r="B3" s="76">
        <v>0</v>
      </c>
      <c r="C3" s="31" t="s">
        <v>646</v>
      </c>
      <c r="D3" s="31" t="e">
        <v>#N/A</v>
      </c>
      <c r="E3" s="31" t="e">
        <v>#N/A</v>
      </c>
      <c r="F3" s="31" t="e">
        <v>#N/A</v>
      </c>
      <c r="G3" s="31" t="e">
        <v>#N/A</v>
      </c>
      <c r="H3" s="31" t="e">
        <v>#N/A</v>
      </c>
      <c r="I3" s="31" t="e">
        <v>#N/A</v>
      </c>
      <c r="J3" s="31" t="s">
        <v>510</v>
      </c>
      <c r="K3" s="31" t="e">
        <v>#N/A</v>
      </c>
      <c r="L3" s="77" t="s">
        <v>4</v>
      </c>
      <c r="M3" s="45" t="e">
        <v>#N/A</v>
      </c>
      <c r="N3" s="45" t="e">
        <v>#N/A</v>
      </c>
      <c r="O3" s="45" t="e">
        <v>#N/A</v>
      </c>
      <c r="P3" s="45" t="e">
        <v>#N/A</v>
      </c>
      <c r="Q3" s="45" t="e">
        <v>#N/A</v>
      </c>
      <c r="R3" s="30" t="e">
        <f>(_xlfn.XLOOKUP($L3,Specs!A:A,Specs!B:B,0)-(IF(ISNUMBER(SEARCH("Dulce De Leche", $G3)), 0, $T3))-(IF(ISNUMBER(SEARCH("Dulce De Leche", $F3)), 0, $U3))-(($V3/MAX(1,_xlfn.XLOOKUP($H3,'Solid Mix In Nutrition'!A:A,'Solid Mix In Nutrition'!I:I,1)))*240)-(($W3/MAX(1,_xlfn.XLOOKUP($I3,'Solid Mix In Nutrition'!A:A,'Solid Mix In Nutrition'!I:I,1)))*240))*0.66</f>
        <v>#N/A</v>
      </c>
      <c r="S3" s="30" t="e">
        <f>(_xlfn.XLOOKUP($L3,Specs!A:A,Specs!B:B,0)-(IF(ISNUMBER(SEARCH("Dulce De Leche", $G3)), 0, $T3))-(IF(ISNUMBER(SEARCH("Dulce De Leche", $F3)), 0, $U3))-(($V3/MAX(1,_xlfn.XLOOKUP($H3,'Solid Mix In Nutrition'!A:A,'Solid Mix In Nutrition'!I:I,1)))*240)-(($W3/MAX(1,_xlfn.XLOOKUP($I3,'Solid Mix In Nutrition'!A:A,'Solid Mix In Nutrition'!I:I,1)))*240))*0.33</f>
        <v>#N/A</v>
      </c>
      <c r="T3" s="30" t="e">
        <f>_xlfn.XLOOKUP($M3,Specs!$D:$D,Specs!$E:$E,0)*15*_xlfn.XLOOKUP($L3,Specs!$A:$A,Specs!$C:$C,0)</f>
        <v>#N/A</v>
      </c>
      <c r="U3" s="30" t="e">
        <f>_xlfn.XLOOKUP($N3,Specs!$D:$D,Specs!$E:$E,0)*15*_xlfn.XLOOKUP($L3,Specs!$A:$A,Specs!$C:$C,0)</f>
        <v>#N/A</v>
      </c>
      <c r="V3" s="30" t="e">
        <f>( ((_xlfn.XLOOKUP($O3,Specs!$H:$H,Specs!$I:$I,0)*_xlfn.XLOOKUP($L3,Specs!$A:$A,Specs!$B:$B,0))/240) *_xlfn.XLOOKUP($H3,'Solid Mix In Nutrition'!A:A,'Solid Mix In Nutrition'!I:I,0)) *IF(AND(NOT($I3=0), COUNTA($I3)),0.5,1)</f>
        <v>#N/A</v>
      </c>
      <c r="W3" s="30" t="e">
        <f>( ((_xlfn.XLOOKUP($O3,Specs!$H:$H,Specs!$I:$I,0)*_xlfn.XLOOKUP($L3,Specs!$A:$A,Specs!$B:$B,0))/240) *_xlfn.XLOOKUP($I3,'Solid Mix In Nutrition'!A:A,'Solid Mix In Nutrition'!I:I,0)) *IF(AND(NOT($I3=0), COUNTA($I3)),0.5,0)</f>
        <v>#N/A</v>
      </c>
      <c r="X3" s="30" t="e">
        <f>_xlfn.XLOOKUP($P3,Specs!F:F,Specs!G:G,0)*_xlfn.XLOOKUP($J3,'Sweetener Mix In Nutrition'!A:A,'Sweetener Mix In Nutrition'!I:I,0)*_xlfn.XLOOKUP($L3,Specs!A:A,Specs!C:C,0)</f>
        <v>#N/A</v>
      </c>
      <c r="Y3" s="30" t="e">
        <f>_xlfn.XLOOKUP($Q3,Specs!F:F,Specs!G:G,0)*_xlfn.XLOOKUP($K3,'Sweetener Mix In Nutrition'!A:A,'Sweetener Mix In Nutrition'!I:I,0)*_xlfn.XLOOKUP($L3,Specs!A:A,Specs!C:C,0)</f>
        <v>#N/A</v>
      </c>
      <c r="Z3" s="34" t="e">
        <f t="shared" si="0"/>
        <v>#N/A</v>
      </c>
      <c r="AA3" s="35" t="e">
        <f t="shared" si="1"/>
        <v>#N/A</v>
      </c>
      <c r="AB3" s="36" t="e">
        <f>(($R3 / 240) * _xlfn.XLOOKUP($D3,'Milk Types Nutrition Per Cup'!A:A,'Milk Types Nutrition Per Cup'!B:B,0)) +(($S3 / 240)  * _xlfn.XLOOKUP($E3,'Milk Types Nutrition Per Cup'!A:A,'Milk Types Nutrition Per Cup'!B:B,0)) +(($T3 / 15)  * _xlfn.XLOOKUP($F3,'Liquid Mix In Nutrition'!A:A,'Liquid Mix In Nutrition'!B:B,0))+(($U3 / 15)  * _xlfn.XLOOKUP($G3,'Liquid Mix In Nutrition'!A:A,'Liquid Mix In Nutrition'!B:B,0))+(($V3 /MAX(1, _xlfn.XLOOKUP($H3,'Solid Mix In Nutrition'!A:A,'Solid Mix In Nutrition'!I:I,1)))  * _xlfn.XLOOKUP($H3,'Solid Mix In Nutrition'!A:A,'Solid Mix In Nutrition'!B:B,0))+(($W3 / MAX(1, _xlfn.XLOOKUP($I3,'Solid Mix In Nutrition'!A:A,'Solid Mix In Nutrition'!I:I,1))))+(($X3 / 100)  * _xlfn.XLOOKUP($J3,'Sweetener Mix In Nutrition'!A:A,'Sweetener Mix In Nutrition'!B:B,0))+(($Y3 / 100)  * _xlfn.XLOOKUP($K3,'Sweetener Mix In Nutrition'!A:A,'Sweetener Mix In Nutrition'!B:B,0))</f>
        <v>#N/A</v>
      </c>
      <c r="AC3" s="36" t="e">
        <f>(($R3 / 240) * _xlfn.XLOOKUP($D3,'Milk Types Nutrition Per Cup'!A:A,'Milk Types Nutrition Per Cup'!E:E,0)) +(($S3 / 240)  * _xlfn.XLOOKUP($E3,'Milk Types Nutrition Per Cup'!A:A,'Milk Types Nutrition Per Cup'!E:E,0)) +(($T3 / 15)  * _xlfn.XLOOKUP($F3,'Liquid Mix In Nutrition'!A:A,'Liquid Mix In Nutrition'!E:E,0)) +(($U3 / 15)  * _xlfn.XLOOKUP($G3,'Liquid Mix In Nutrition'!A:A,'Liquid Mix In Nutrition'!E:E,0))+(($V3 / MAX(1, _xlfn.XLOOKUP($H3,'Solid Mix In Nutrition'!A:A,'Solid Mix In Nutrition'!I:I,1)))  * _xlfn.XLOOKUP($H3,'Solid Mix In Nutrition'!A:A,'Solid Mix In Nutrition'!E:E,0))+(($W3 / MAX(1, _xlfn.XLOOKUP($I3,'Solid Mix In Nutrition'!A:A,'Solid Mix In Nutrition'!I:I,1)))  * _xlfn.XLOOKUP($I3,'Solid Mix In Nutrition'!A:A,'Solid Mix In Nutrition'!G:G,0))+(($X3 / 100)  * _xlfn.XLOOKUP($J3,'Sweetener Mix In Nutrition'!A:A,'Sweetener Mix In Nutrition'!E:E,0))+(($Y3 / 100)  * _xlfn.XLOOKUP($K3,'Sweetener Mix In Nutrition'!A:A,'Sweetener Mix In Nutrition'!E:E,0))</f>
        <v>#N/A</v>
      </c>
      <c r="AD3" s="36" t="e">
        <f>(($R3 / 240) * _xlfn.XLOOKUP($D3,'Milk Types Nutrition Per Cup'!A:A,'Milk Types Nutrition Per Cup'!E:E,0)) +(($S3 / 240)  * _xlfn.XLOOKUP($E3,'Milk Types Nutrition Per Cup'!A:A,'Milk Types Nutrition Per Cup'!E:E,0)) +(($T3 / 15)  * _xlfn.XLOOKUP($F3,'Liquid Mix In Nutrition'!A:A,'Liquid Mix In Nutrition'!E:E,0)) +(($U3 / 15)  * _xlfn.XLOOKUP($G3,'Liquid Mix In Nutrition'!A:A,'Liquid Mix In Nutrition'!E:E,0))+(($X3 / 100)  * _xlfn.XLOOKUP($J3,'Sweetener Mix In Nutrition'!A:A,'Sweetener Mix In Nutrition'!E:E,0))+(($Y3 / 100)  * _xlfn.XLOOKUP($K3,'Sweetener Mix In Nutrition'!A:A,'Sweetener Mix In Nutrition'!E:E,0))</f>
        <v>#N/A</v>
      </c>
      <c r="AE3" s="37" t="e">
        <f>(($R3 / 240) * _xlfn.XLOOKUP($D3,'Milk Types Nutrition Per Cup'!A:A,'Milk Types Nutrition Per Cup'!C:C,0)) +(($S3 / 240)  * _xlfn.XLOOKUP($E3,'Milk Types Nutrition Per Cup'!A:A,'Milk Types Nutrition Per Cup'!C:C,0)) +(($T3 / 15)  * _xlfn.XLOOKUP($F3,'Liquid Mix In Nutrition'!A:A,'Liquid Mix In Nutrition'!C:C,0))+(($U3 / 15)  * _xlfn.XLOOKUP($G3,'Liquid Mix In Nutrition'!A:A,'Liquid Mix In Nutrition'!C:C,0))+(($V3 / MAX(1, _xlfn.XLOOKUP($H3,'Solid Mix In Nutrition'!A:A,'Solid Mix In Nutrition'!I:I,1)))  * _xlfn.XLOOKUP($H3,'Solid Mix In Nutrition'!A:A,'Solid Mix In Nutrition'!C:C,0))+(($W3 / MAX(1, _xlfn.XLOOKUP($I3,'Solid Mix In Nutrition'!A:A,'Solid Mix In Nutrition'!I:I,1)))  * _xlfn.XLOOKUP($I3,'Solid Mix In Nutrition'!A:A,'Solid Mix In Nutrition'!C:C,0))+(($X3 / 100)  * _xlfn.XLOOKUP($J3,'Sweetener Mix In Nutrition'!A:A,'Sweetener Mix In Nutrition'!C:C,0))+(($Y3 / 100)  * _xlfn.XLOOKUP($K3,'Sweetener Mix In Nutrition'!A:A,'Sweetener Mix In Nutrition'!C:C,0))</f>
        <v>#N/A</v>
      </c>
      <c r="AF3" s="38" t="e">
        <f>$AE3 / (_xlfn.XLOOKUP($L3,Specs!A:A,Specs!B:B,0))</f>
        <v>#N/A</v>
      </c>
      <c r="AG3" s="37" t="e">
        <f>60* ($AB3 / _xlfn.XLOOKUP($L3,Specs!A:A,Specs!B:B,0))</f>
        <v>#N/A</v>
      </c>
      <c r="AH3" s="37" t="e">
        <f>60* (AC3 / _xlfn.XLOOKUP($L3,Specs!$A:$A,Specs!$B:$B,0))</f>
        <v>#N/A</v>
      </c>
      <c r="AI3" s="37" t="e">
        <f>60* (AE3 / _xlfn.XLOOKUP($L3,Specs!$A:$A,Specs!$B:$B,0))</f>
        <v>#N/A</v>
      </c>
      <c r="AJ3" s="39" t="e">
        <v>#N/A</v>
      </c>
      <c r="AK3" s="46" t="s">
        <v>647</v>
      </c>
      <c r="AL3" s="47" t="s">
        <v>646</v>
      </c>
      <c r="AM3" s="40">
        <v>0</v>
      </c>
      <c r="AN3" s="48" t="e">
        <v>#N/A</v>
      </c>
      <c r="AO3" s="40" t="e">
        <v>#N/A</v>
      </c>
      <c r="AP3" s="30"/>
      <c r="AQ3">
        <f>_xlfn.XLOOKUP("What's Your Number?",[1]Sheet1!$1:$1,[1]Sheet1!3:3)</f>
        <v>0</v>
      </c>
    </row>
    <row r="4" spans="1:43" x14ac:dyDescent="0.25">
      <c r="A4" s="44" t="s">
        <v>649</v>
      </c>
      <c r="B4" s="76">
        <v>0</v>
      </c>
      <c r="C4" s="31" t="s">
        <v>646</v>
      </c>
      <c r="D4" s="31" t="e">
        <v>#N/A</v>
      </c>
      <c r="E4" s="31" t="e">
        <v>#N/A</v>
      </c>
      <c r="F4" s="31" t="e">
        <v>#N/A</v>
      </c>
      <c r="G4" s="31" t="e">
        <v>#N/A</v>
      </c>
      <c r="H4" s="31" t="e">
        <v>#N/A</v>
      </c>
      <c r="I4" s="31" t="e">
        <v>#N/A</v>
      </c>
      <c r="J4" s="31" t="s">
        <v>510</v>
      </c>
      <c r="K4" s="31" t="e">
        <v>#N/A</v>
      </c>
      <c r="L4" s="77" t="s">
        <v>4</v>
      </c>
      <c r="M4" s="45" t="e">
        <v>#N/A</v>
      </c>
      <c r="N4" s="45" t="e">
        <v>#N/A</v>
      </c>
      <c r="O4" s="45" t="e">
        <v>#N/A</v>
      </c>
      <c r="P4" s="45" t="e">
        <v>#N/A</v>
      </c>
      <c r="Q4" s="45" t="e">
        <v>#N/A</v>
      </c>
      <c r="R4" s="30" t="e">
        <f>(_xlfn.XLOOKUP($L4,Specs!A:A,Specs!B:B,0)-(IF(ISNUMBER(SEARCH("Dulce De Leche", $G4)), 0, $T4))-(IF(ISNUMBER(SEARCH("Dulce De Leche", $F4)), 0, $U4))-(($V4/MAX(1,_xlfn.XLOOKUP($H4,'Solid Mix In Nutrition'!A:A,'Solid Mix In Nutrition'!I:I,1)))*240)-(($W4/MAX(1,_xlfn.XLOOKUP($I4,'Solid Mix In Nutrition'!A:A,'Solid Mix In Nutrition'!I:I,1)))*240))*0.66</f>
        <v>#N/A</v>
      </c>
      <c r="S4" s="30" t="e">
        <f>(_xlfn.XLOOKUP($L4,Specs!A:A,Specs!B:B,0)-(IF(ISNUMBER(SEARCH("Dulce De Leche", $G4)), 0, $T4))-(IF(ISNUMBER(SEARCH("Dulce De Leche", $F4)), 0, $U4))-(($V4/MAX(1,_xlfn.XLOOKUP($H4,'Solid Mix In Nutrition'!A:A,'Solid Mix In Nutrition'!I:I,1)))*240)-(($W4/MAX(1,_xlfn.XLOOKUP($I4,'Solid Mix In Nutrition'!A:A,'Solid Mix In Nutrition'!I:I,1)))*240))*0.33</f>
        <v>#N/A</v>
      </c>
      <c r="T4" s="30" t="e">
        <f>_xlfn.XLOOKUP($M4,Specs!$D:$D,Specs!$E:$E,0)*15*_xlfn.XLOOKUP($L4,Specs!$A:$A,Specs!$C:$C,0)</f>
        <v>#N/A</v>
      </c>
      <c r="U4" s="30" t="e">
        <f>_xlfn.XLOOKUP($N4,Specs!$D:$D,Specs!$E:$E,0)*15*_xlfn.XLOOKUP($L4,Specs!$A:$A,Specs!$C:$C,0)</f>
        <v>#N/A</v>
      </c>
      <c r="V4" s="30" t="e">
        <f>( ((_xlfn.XLOOKUP($O4,Specs!$H:$H,Specs!$I:$I,0)*_xlfn.XLOOKUP($L4,Specs!$A:$A,Specs!$B:$B,0))/240) *_xlfn.XLOOKUP($H4,'Solid Mix In Nutrition'!A:A,'Solid Mix In Nutrition'!I:I,0)) *IF(AND(NOT($I4=0), COUNTA($I4)),0.5,1)</f>
        <v>#N/A</v>
      </c>
      <c r="W4" s="30" t="e">
        <f>( ((_xlfn.XLOOKUP($O4,Specs!$H:$H,Specs!$I:$I,0)*_xlfn.XLOOKUP($L4,Specs!$A:$A,Specs!$B:$B,0))/240) *_xlfn.XLOOKUP($I4,'Solid Mix In Nutrition'!A:A,'Solid Mix In Nutrition'!I:I,0)) *IF(AND(NOT($I4=0), COUNTA($I4)),0.5,0)</f>
        <v>#N/A</v>
      </c>
      <c r="X4" s="30" t="e">
        <f>_xlfn.XLOOKUP($P4,Specs!F:F,Specs!G:G,0)*_xlfn.XLOOKUP($J4,'Sweetener Mix In Nutrition'!A:A,'Sweetener Mix In Nutrition'!I:I,0)*_xlfn.XLOOKUP($L4,Specs!A:A,Specs!C:C,0)</f>
        <v>#N/A</v>
      </c>
      <c r="Y4" s="30" t="e">
        <f>_xlfn.XLOOKUP($Q4,Specs!F:F,Specs!G:G,0)*_xlfn.XLOOKUP($K4,'Sweetener Mix In Nutrition'!A:A,'Sweetener Mix In Nutrition'!I:I,0)*_xlfn.XLOOKUP($L4,Specs!A:A,Specs!C:C,0)</f>
        <v>#N/A</v>
      </c>
      <c r="Z4" s="34" t="e">
        <f t="shared" si="0"/>
        <v>#N/A</v>
      </c>
      <c r="AA4" s="35" t="e">
        <f t="shared" si="1"/>
        <v>#N/A</v>
      </c>
      <c r="AB4" s="36" t="e">
        <f>(($R4 / 240) * _xlfn.XLOOKUP($D4,'Milk Types Nutrition Per Cup'!A:A,'Milk Types Nutrition Per Cup'!B:B,0)) +(($S4 / 240)  * _xlfn.XLOOKUP($E4,'Milk Types Nutrition Per Cup'!A:A,'Milk Types Nutrition Per Cup'!B:B,0)) +(($T4 / 15)  * _xlfn.XLOOKUP($F4,'Liquid Mix In Nutrition'!A:A,'Liquid Mix In Nutrition'!B:B,0))+(($U4 / 15)  * _xlfn.XLOOKUP($G4,'Liquid Mix In Nutrition'!A:A,'Liquid Mix In Nutrition'!B:B,0))+(($V4 /MAX(1, _xlfn.XLOOKUP($H4,'Solid Mix In Nutrition'!A:A,'Solid Mix In Nutrition'!I:I,1)))  * _xlfn.XLOOKUP($H4,'Solid Mix In Nutrition'!A:A,'Solid Mix In Nutrition'!B:B,0))+(($W4 / MAX(1, _xlfn.XLOOKUP($I4,'Solid Mix In Nutrition'!A:A,'Solid Mix In Nutrition'!I:I,1))))+(($X4 / 100)  * _xlfn.XLOOKUP($J4,'Sweetener Mix In Nutrition'!A:A,'Sweetener Mix In Nutrition'!B:B,0))+(($Y4 / 100)  * _xlfn.XLOOKUP($K4,'Sweetener Mix In Nutrition'!A:A,'Sweetener Mix In Nutrition'!B:B,0))</f>
        <v>#N/A</v>
      </c>
      <c r="AC4" s="36" t="e">
        <f>(($R4 / 240) * _xlfn.XLOOKUP($D4,'Milk Types Nutrition Per Cup'!A:A,'Milk Types Nutrition Per Cup'!E:E,0)) +(($S4 / 240)  * _xlfn.XLOOKUP($E4,'Milk Types Nutrition Per Cup'!A:A,'Milk Types Nutrition Per Cup'!E:E,0)) +(($T4 / 15)  * _xlfn.XLOOKUP($F4,'Liquid Mix In Nutrition'!A:A,'Liquid Mix In Nutrition'!E:E,0)) +(($U4 / 15)  * _xlfn.XLOOKUP($G4,'Liquid Mix In Nutrition'!A:A,'Liquid Mix In Nutrition'!E:E,0))+(($V4 / MAX(1, _xlfn.XLOOKUP($H4,'Solid Mix In Nutrition'!A:A,'Solid Mix In Nutrition'!I:I,1)))  * _xlfn.XLOOKUP($H4,'Solid Mix In Nutrition'!A:A,'Solid Mix In Nutrition'!E:E,0))+(($W4 / MAX(1, _xlfn.XLOOKUP($I4,'Solid Mix In Nutrition'!A:A,'Solid Mix In Nutrition'!I:I,1)))  * _xlfn.XLOOKUP($I4,'Solid Mix In Nutrition'!A:A,'Solid Mix In Nutrition'!G:G,0))+(($X4 / 100)  * _xlfn.XLOOKUP($J4,'Sweetener Mix In Nutrition'!A:A,'Sweetener Mix In Nutrition'!E:E,0))+(($Y4 / 100)  * _xlfn.XLOOKUP($K4,'Sweetener Mix In Nutrition'!A:A,'Sweetener Mix In Nutrition'!E:E,0))</f>
        <v>#N/A</v>
      </c>
      <c r="AD4" s="36" t="e">
        <f>(($R4 / 240) * _xlfn.XLOOKUP($D4,'Milk Types Nutrition Per Cup'!A:A,'Milk Types Nutrition Per Cup'!E:E,0)) +(($S4 / 240)  * _xlfn.XLOOKUP($E4,'Milk Types Nutrition Per Cup'!A:A,'Milk Types Nutrition Per Cup'!E:E,0)) +(($T4 / 15)  * _xlfn.XLOOKUP($F4,'Liquid Mix In Nutrition'!A:A,'Liquid Mix In Nutrition'!E:E,0)) +(($U4 / 15)  * _xlfn.XLOOKUP($G4,'Liquid Mix In Nutrition'!A:A,'Liquid Mix In Nutrition'!E:E,0))+(($X4 / 100)  * _xlfn.XLOOKUP($J4,'Sweetener Mix In Nutrition'!A:A,'Sweetener Mix In Nutrition'!E:E,0))+(($Y4 / 100)  * _xlfn.XLOOKUP($K4,'Sweetener Mix In Nutrition'!A:A,'Sweetener Mix In Nutrition'!E:E,0))</f>
        <v>#N/A</v>
      </c>
      <c r="AE4" s="37" t="e">
        <f>(($R4 / 240) * _xlfn.XLOOKUP($D4,'Milk Types Nutrition Per Cup'!A:A,'Milk Types Nutrition Per Cup'!C:C,0)) +(($S4 / 240)  * _xlfn.XLOOKUP($E4,'Milk Types Nutrition Per Cup'!A:A,'Milk Types Nutrition Per Cup'!C:C,0)) +(($T4 / 15)  * _xlfn.XLOOKUP($F4,'Liquid Mix In Nutrition'!A:A,'Liquid Mix In Nutrition'!C:C,0))+(($U4 / 15)  * _xlfn.XLOOKUP($G4,'Liquid Mix In Nutrition'!A:A,'Liquid Mix In Nutrition'!C:C,0))+(($V4 / MAX(1, _xlfn.XLOOKUP($H4,'Solid Mix In Nutrition'!A:A,'Solid Mix In Nutrition'!I:I,1)))  * _xlfn.XLOOKUP($H4,'Solid Mix In Nutrition'!A:A,'Solid Mix In Nutrition'!C:C,0))+(($W4 / MAX(1, _xlfn.XLOOKUP($I4,'Solid Mix In Nutrition'!A:A,'Solid Mix In Nutrition'!I:I,1)))  * _xlfn.XLOOKUP($I4,'Solid Mix In Nutrition'!A:A,'Solid Mix In Nutrition'!C:C,0))+(($X4 / 100)  * _xlfn.XLOOKUP($J4,'Sweetener Mix In Nutrition'!A:A,'Sweetener Mix In Nutrition'!C:C,0))+(($Y4 / 100)  * _xlfn.XLOOKUP($K4,'Sweetener Mix In Nutrition'!A:A,'Sweetener Mix In Nutrition'!C:C,0))</f>
        <v>#N/A</v>
      </c>
      <c r="AF4" s="38" t="e">
        <f>$AE4 / (_xlfn.XLOOKUP($L4,Specs!A:A,Specs!B:B,0))</f>
        <v>#N/A</v>
      </c>
      <c r="AG4" s="37" t="e">
        <f>60* ($AB4 / _xlfn.XLOOKUP($L4,Specs!A:A,Specs!B:B,0))</f>
        <v>#N/A</v>
      </c>
      <c r="AH4" s="37" t="e">
        <f>60* (AC4 / _xlfn.XLOOKUP($L4,Specs!$A:$A,Specs!$B:$B,0))</f>
        <v>#N/A</v>
      </c>
      <c r="AI4" s="37" t="e">
        <f>60* (AE4 / _xlfn.XLOOKUP($L4,Specs!$A:$A,Specs!$B:$B,0))</f>
        <v>#N/A</v>
      </c>
      <c r="AJ4" s="39" t="e">
        <v>#N/A</v>
      </c>
      <c r="AK4" s="46" t="s">
        <v>647</v>
      </c>
      <c r="AL4" s="47" t="s">
        <v>646</v>
      </c>
      <c r="AM4" s="40">
        <v>0</v>
      </c>
      <c r="AN4" s="48" t="e">
        <v>#N/A</v>
      </c>
      <c r="AO4" s="40" t="e">
        <v>#N/A</v>
      </c>
      <c r="AP4" s="30"/>
      <c r="AQ4">
        <f>_xlfn.XLOOKUP("What's Your Number?",[1]Sheet1!$1:$1,[1]Sheet1!4:4)</f>
        <v>0</v>
      </c>
    </row>
    <row r="5" spans="1:43" x14ac:dyDescent="0.25">
      <c r="A5" s="44" t="s">
        <v>650</v>
      </c>
      <c r="B5" s="76">
        <v>0</v>
      </c>
      <c r="C5" s="31" t="s">
        <v>646</v>
      </c>
      <c r="D5" s="31" t="e">
        <v>#N/A</v>
      </c>
      <c r="E5" s="31" t="e">
        <v>#N/A</v>
      </c>
      <c r="F5" s="31" t="e">
        <v>#N/A</v>
      </c>
      <c r="G5" s="31" t="e">
        <v>#N/A</v>
      </c>
      <c r="H5" s="31" t="e">
        <v>#N/A</v>
      </c>
      <c r="I5" s="31" t="e">
        <v>#N/A</v>
      </c>
      <c r="J5" s="31" t="s">
        <v>510</v>
      </c>
      <c r="K5" s="31" t="e">
        <v>#N/A</v>
      </c>
      <c r="L5" s="77" t="s">
        <v>651</v>
      </c>
      <c r="M5" s="45" t="e">
        <v>#N/A</v>
      </c>
      <c r="N5" s="45" t="e">
        <v>#N/A</v>
      </c>
      <c r="O5" s="45" t="e">
        <v>#N/A</v>
      </c>
      <c r="P5" s="45" t="e">
        <v>#N/A</v>
      </c>
      <c r="Q5" s="45" t="e">
        <v>#N/A</v>
      </c>
      <c r="R5" s="30" t="e">
        <f>(_xlfn.XLOOKUP($L5,Specs!A:A,Specs!B:B,0)-(IF(ISNUMBER(SEARCH("Dulce De Leche", $G5)), 0, $T5))-(IF(ISNUMBER(SEARCH("Dulce De Leche", $F5)), 0, $U5))-(($V5/MAX(1,_xlfn.XLOOKUP($H5,'Solid Mix In Nutrition'!A:A,'Solid Mix In Nutrition'!I:I,1)))*240)-(($W5/MAX(1,_xlfn.XLOOKUP($I5,'Solid Mix In Nutrition'!A:A,'Solid Mix In Nutrition'!I:I,1)))*240))*0.66</f>
        <v>#N/A</v>
      </c>
      <c r="S5" s="30" t="e">
        <f>(_xlfn.XLOOKUP($L5,Specs!A:A,Specs!B:B,0)-(IF(ISNUMBER(SEARCH("Dulce De Leche", $G5)), 0, $T5))-(IF(ISNUMBER(SEARCH("Dulce De Leche", $F5)), 0, $U5))-(($V5/MAX(1,_xlfn.XLOOKUP($H5,'Solid Mix In Nutrition'!A:A,'Solid Mix In Nutrition'!I:I,1)))*240)-(($W5/MAX(1,_xlfn.XLOOKUP($I5,'Solid Mix In Nutrition'!A:A,'Solid Mix In Nutrition'!I:I,1)))*240))*0.33</f>
        <v>#N/A</v>
      </c>
      <c r="T5" s="30" t="e">
        <f>_xlfn.XLOOKUP($M5,Specs!$D:$D,Specs!$E:$E,0)*15*_xlfn.XLOOKUP($L5,Specs!$A:$A,Specs!$C:$C,0)</f>
        <v>#N/A</v>
      </c>
      <c r="U5" s="30" t="e">
        <f>_xlfn.XLOOKUP($N5,Specs!$D:$D,Specs!$E:$E,0)*15*_xlfn.XLOOKUP($L5,Specs!$A:$A,Specs!$C:$C,0)</f>
        <v>#N/A</v>
      </c>
      <c r="V5" s="30" t="e">
        <f>( ((_xlfn.XLOOKUP($O5,Specs!$H:$H,Specs!$I:$I,0)*_xlfn.XLOOKUP($L5,Specs!$A:$A,Specs!$B:$B,0))/240) *_xlfn.XLOOKUP($H5,'Solid Mix In Nutrition'!A:A,'Solid Mix In Nutrition'!I:I,0)) *IF(AND(NOT($I5=0), COUNTA($I5)),0.5,1)</f>
        <v>#N/A</v>
      </c>
      <c r="W5" s="30" t="e">
        <f>( ((_xlfn.XLOOKUP($O5,Specs!$H:$H,Specs!$I:$I,0)*_xlfn.XLOOKUP($L5,Specs!$A:$A,Specs!$B:$B,0))/240) *_xlfn.XLOOKUP($I5,'Solid Mix In Nutrition'!A:A,'Solid Mix In Nutrition'!I:I,0)) *IF(AND(NOT($I5=0), COUNTA($I5)),0.5,0)</f>
        <v>#N/A</v>
      </c>
      <c r="X5" s="30" t="e">
        <f>_xlfn.XLOOKUP($P5,Specs!F:F,Specs!G:G,0)*_xlfn.XLOOKUP($J5,'Sweetener Mix In Nutrition'!A:A,'Sweetener Mix In Nutrition'!I:I,0)*_xlfn.XLOOKUP($L5,Specs!A:A,Specs!C:C,0)</f>
        <v>#N/A</v>
      </c>
      <c r="Y5" s="30" t="e">
        <f>_xlfn.XLOOKUP($Q5,Specs!F:F,Specs!G:G,0)*_xlfn.XLOOKUP($K5,'Sweetener Mix In Nutrition'!A:A,'Sweetener Mix In Nutrition'!I:I,0)*_xlfn.XLOOKUP($L5,Specs!A:A,Specs!C:C,0)</f>
        <v>#N/A</v>
      </c>
      <c r="Z5" s="34" t="e">
        <f t="shared" si="0"/>
        <v>#N/A</v>
      </c>
      <c r="AA5" s="35" t="e">
        <f t="shared" si="1"/>
        <v>#N/A</v>
      </c>
      <c r="AB5" s="36" t="e">
        <f>(($R5 / 240) * _xlfn.XLOOKUP($D5,'Milk Types Nutrition Per Cup'!A:A,'Milk Types Nutrition Per Cup'!B:B,0)) +(($S5 / 240)  * _xlfn.XLOOKUP($E5,'Milk Types Nutrition Per Cup'!A:A,'Milk Types Nutrition Per Cup'!B:B,0)) +(($T5 / 15)  * _xlfn.XLOOKUP($F5,'Liquid Mix In Nutrition'!A:A,'Liquid Mix In Nutrition'!B:B,0))+(($U5 / 15)  * _xlfn.XLOOKUP($G5,'Liquid Mix In Nutrition'!A:A,'Liquid Mix In Nutrition'!B:B,0))+(($V5 /MAX(1, _xlfn.XLOOKUP($H5,'Solid Mix In Nutrition'!A:A,'Solid Mix In Nutrition'!I:I,1)))  * _xlfn.XLOOKUP($H5,'Solid Mix In Nutrition'!A:A,'Solid Mix In Nutrition'!B:B,0))+(($W5 / MAX(1, _xlfn.XLOOKUP($I5,'Solid Mix In Nutrition'!A:A,'Solid Mix In Nutrition'!I:I,1))))+(($X5 / 100)  * _xlfn.XLOOKUP($J5,'Sweetener Mix In Nutrition'!A:A,'Sweetener Mix In Nutrition'!B:B,0))+(($Y5 / 100)  * _xlfn.XLOOKUP($K5,'Sweetener Mix In Nutrition'!A:A,'Sweetener Mix In Nutrition'!B:B,0))</f>
        <v>#N/A</v>
      </c>
      <c r="AC5" s="36" t="e">
        <f>(($R5 / 240) * _xlfn.XLOOKUP($D5,'Milk Types Nutrition Per Cup'!A:A,'Milk Types Nutrition Per Cup'!E:E,0)) +(($S5 / 240)  * _xlfn.XLOOKUP($E5,'Milk Types Nutrition Per Cup'!A:A,'Milk Types Nutrition Per Cup'!E:E,0)) +(($T5 / 15)  * _xlfn.XLOOKUP($F5,'Liquid Mix In Nutrition'!A:A,'Liquid Mix In Nutrition'!E:E,0)) +(($U5 / 15)  * _xlfn.XLOOKUP($G5,'Liquid Mix In Nutrition'!A:A,'Liquid Mix In Nutrition'!E:E,0))+(($V5 / MAX(1, _xlfn.XLOOKUP($H5,'Solid Mix In Nutrition'!A:A,'Solid Mix In Nutrition'!I:I,1)))  * _xlfn.XLOOKUP($H5,'Solid Mix In Nutrition'!A:A,'Solid Mix In Nutrition'!E:E,0))+(($W5 / MAX(1, _xlfn.XLOOKUP($I5,'Solid Mix In Nutrition'!A:A,'Solid Mix In Nutrition'!I:I,1)))  * _xlfn.XLOOKUP($I5,'Solid Mix In Nutrition'!A:A,'Solid Mix In Nutrition'!G:G,0))+(($X5 / 100)  * _xlfn.XLOOKUP($J5,'Sweetener Mix In Nutrition'!A:A,'Sweetener Mix In Nutrition'!E:E,0))+(($Y5 / 100)  * _xlfn.XLOOKUP($K5,'Sweetener Mix In Nutrition'!A:A,'Sweetener Mix In Nutrition'!E:E,0))</f>
        <v>#N/A</v>
      </c>
      <c r="AD5" s="36" t="e">
        <f>(($R5 / 240) * _xlfn.XLOOKUP($D5,'Milk Types Nutrition Per Cup'!A:A,'Milk Types Nutrition Per Cup'!E:E,0)) +(($S5 / 240)  * _xlfn.XLOOKUP($E5,'Milk Types Nutrition Per Cup'!A:A,'Milk Types Nutrition Per Cup'!E:E,0)) +(($T5 / 15)  * _xlfn.XLOOKUP($F5,'Liquid Mix In Nutrition'!A:A,'Liquid Mix In Nutrition'!E:E,0)) +(($U5 / 15)  * _xlfn.XLOOKUP($G5,'Liquid Mix In Nutrition'!A:A,'Liquid Mix In Nutrition'!E:E,0))+(($X5 / 100)  * _xlfn.XLOOKUP($J5,'Sweetener Mix In Nutrition'!A:A,'Sweetener Mix In Nutrition'!E:E,0))+(($Y5 / 100)  * _xlfn.XLOOKUP($K5,'Sweetener Mix In Nutrition'!A:A,'Sweetener Mix In Nutrition'!E:E,0))</f>
        <v>#N/A</v>
      </c>
      <c r="AE5" s="37" t="e">
        <f>(($R5 / 240) * _xlfn.XLOOKUP($D5,'Milk Types Nutrition Per Cup'!A:A,'Milk Types Nutrition Per Cup'!C:C,0)) +(($S5 / 240)  * _xlfn.XLOOKUP($E5,'Milk Types Nutrition Per Cup'!A:A,'Milk Types Nutrition Per Cup'!C:C,0)) +(($T5 / 15)  * _xlfn.XLOOKUP($F5,'Liquid Mix In Nutrition'!A:A,'Liquid Mix In Nutrition'!C:C,0))+(($U5 / 15)  * _xlfn.XLOOKUP($G5,'Liquid Mix In Nutrition'!A:A,'Liquid Mix In Nutrition'!C:C,0))+(($V5 / MAX(1, _xlfn.XLOOKUP($H5,'Solid Mix In Nutrition'!A:A,'Solid Mix In Nutrition'!I:I,1)))  * _xlfn.XLOOKUP($H5,'Solid Mix In Nutrition'!A:A,'Solid Mix In Nutrition'!C:C,0))+(($W5 / MAX(1, _xlfn.XLOOKUP($I5,'Solid Mix In Nutrition'!A:A,'Solid Mix In Nutrition'!I:I,1)))  * _xlfn.XLOOKUP($I5,'Solid Mix In Nutrition'!A:A,'Solid Mix In Nutrition'!C:C,0))+(($X5 / 100)  * _xlfn.XLOOKUP($J5,'Sweetener Mix In Nutrition'!A:A,'Sweetener Mix In Nutrition'!C:C,0))+(($Y5 / 100)  * _xlfn.XLOOKUP($K5,'Sweetener Mix In Nutrition'!A:A,'Sweetener Mix In Nutrition'!C:C,0))</f>
        <v>#N/A</v>
      </c>
      <c r="AF5" s="38" t="e">
        <f>$AE5 / (_xlfn.XLOOKUP($L5,Specs!A:A,Specs!B:B,0))</f>
        <v>#N/A</v>
      </c>
      <c r="AG5" s="37" t="e">
        <f>60* ($AB5 / _xlfn.XLOOKUP($L5,Specs!A:A,Specs!B:B,0))</f>
        <v>#N/A</v>
      </c>
      <c r="AH5" s="37" t="e">
        <f>60* (AC5 / _xlfn.XLOOKUP($L5,Specs!$A:$A,Specs!$B:$B,0))</f>
        <v>#N/A</v>
      </c>
      <c r="AI5" s="37" t="e">
        <f>60* (AE5 / _xlfn.XLOOKUP($L5,Specs!$A:$A,Specs!$B:$B,0))</f>
        <v>#N/A</v>
      </c>
      <c r="AJ5" s="39" t="e">
        <v>#N/A</v>
      </c>
      <c r="AK5" s="46">
        <v>0</v>
      </c>
      <c r="AL5" s="47" t="s">
        <v>646</v>
      </c>
      <c r="AM5" s="40">
        <v>0</v>
      </c>
      <c r="AN5" s="48" t="e">
        <v>#N/A</v>
      </c>
      <c r="AO5" s="40" t="e">
        <v>#N/A</v>
      </c>
      <c r="AP5" s="30"/>
      <c r="AQ5">
        <f>_xlfn.XLOOKUP("What's Your Number?",[1]Sheet1!$1:$1,[1]Sheet1!5:5)</f>
        <v>0</v>
      </c>
    </row>
    <row r="6" spans="1:43" x14ac:dyDescent="0.25">
      <c r="A6" s="44" t="s">
        <v>652</v>
      </c>
      <c r="B6" s="76">
        <v>0</v>
      </c>
      <c r="C6" s="31" t="s">
        <v>646</v>
      </c>
      <c r="D6" s="31" t="e">
        <v>#N/A</v>
      </c>
      <c r="E6" s="31" t="e">
        <v>#N/A</v>
      </c>
      <c r="F6" s="31" t="e">
        <v>#N/A</v>
      </c>
      <c r="G6" s="31" t="e">
        <v>#N/A</v>
      </c>
      <c r="H6" s="31" t="e">
        <v>#N/A</v>
      </c>
      <c r="I6" s="31" t="e">
        <v>#N/A</v>
      </c>
      <c r="J6" s="31" t="s">
        <v>510</v>
      </c>
      <c r="K6" s="31" t="e">
        <v>#N/A</v>
      </c>
      <c r="L6" s="77" t="s">
        <v>651</v>
      </c>
      <c r="M6" s="45" t="e">
        <v>#N/A</v>
      </c>
      <c r="N6" s="45" t="e">
        <v>#N/A</v>
      </c>
      <c r="O6" s="45" t="e">
        <v>#N/A</v>
      </c>
      <c r="P6" s="45" t="e">
        <v>#N/A</v>
      </c>
      <c r="Q6" s="45" t="e">
        <v>#N/A</v>
      </c>
      <c r="R6" s="30" t="e">
        <f>(_xlfn.XLOOKUP($L6,Specs!A:A,Specs!B:B,0)-(IF(ISNUMBER(SEARCH("Dulce De Leche", $G6)), 0, $T6))-(IF(ISNUMBER(SEARCH("Dulce De Leche", $F6)), 0, $U6))-(($V6/MAX(1,_xlfn.XLOOKUP($H6,'Solid Mix In Nutrition'!A:A,'Solid Mix In Nutrition'!I:I,1)))*240)-(($W6/MAX(1,_xlfn.XLOOKUP($I6,'Solid Mix In Nutrition'!A:A,'Solid Mix In Nutrition'!I:I,1)))*240))*0.66</f>
        <v>#N/A</v>
      </c>
      <c r="S6" s="30" t="e">
        <f>(_xlfn.XLOOKUP($L6,Specs!A:A,Specs!B:B,0)-(IF(ISNUMBER(SEARCH("Dulce De Leche", $G6)), 0, $T6))-(IF(ISNUMBER(SEARCH("Dulce De Leche", $F6)), 0, $U6))-(($V6/MAX(1,_xlfn.XLOOKUP($H6,'Solid Mix In Nutrition'!A:A,'Solid Mix In Nutrition'!I:I,1)))*240)-(($W6/MAX(1,_xlfn.XLOOKUP($I6,'Solid Mix In Nutrition'!A:A,'Solid Mix In Nutrition'!I:I,1)))*240))*0.33</f>
        <v>#N/A</v>
      </c>
      <c r="T6" s="30" t="e">
        <f>_xlfn.XLOOKUP($M6,Specs!$D:$D,Specs!$E:$E,0)*15*_xlfn.XLOOKUP($L6,Specs!$A:$A,Specs!$C:$C,0)</f>
        <v>#N/A</v>
      </c>
      <c r="U6" s="30" t="e">
        <f>_xlfn.XLOOKUP($N6,Specs!$D:$D,Specs!$E:$E,0)*15*_xlfn.XLOOKUP($L6,Specs!$A:$A,Specs!$C:$C,0)</f>
        <v>#N/A</v>
      </c>
      <c r="V6" s="30" t="e">
        <f>( ((_xlfn.XLOOKUP($O6,Specs!$H:$H,Specs!$I:$I,0)*_xlfn.XLOOKUP($L6,Specs!$A:$A,Specs!$B:$B,0))/240) *_xlfn.XLOOKUP($H6,'Solid Mix In Nutrition'!A:A,'Solid Mix In Nutrition'!I:I,0)) *IF(AND(NOT($I6=0), COUNTA($I6)),0.5,1)</f>
        <v>#N/A</v>
      </c>
      <c r="W6" s="30" t="e">
        <f>( ((_xlfn.XLOOKUP($O6,Specs!$H:$H,Specs!$I:$I,0)*_xlfn.XLOOKUP($L6,Specs!$A:$A,Specs!$B:$B,0))/240) *_xlfn.XLOOKUP($I6,'Solid Mix In Nutrition'!A:A,'Solid Mix In Nutrition'!I:I,0)) *IF(AND(NOT($I6=0), COUNTA($I6)),0.5,0)</f>
        <v>#N/A</v>
      </c>
      <c r="X6" s="30" t="e">
        <f>_xlfn.XLOOKUP($P6,Specs!F:F,Specs!G:G,0)*_xlfn.XLOOKUP($J6,'Sweetener Mix In Nutrition'!A:A,'Sweetener Mix In Nutrition'!I:I,0)*_xlfn.XLOOKUP($L6,Specs!A:A,Specs!C:C,0)</f>
        <v>#N/A</v>
      </c>
      <c r="Y6" s="30" t="e">
        <f>_xlfn.XLOOKUP($Q6,Specs!F:F,Specs!G:G,0)*_xlfn.XLOOKUP($K6,'Sweetener Mix In Nutrition'!A:A,'Sweetener Mix In Nutrition'!I:I,0)*_xlfn.XLOOKUP($L6,Specs!A:A,Specs!C:C,0)</f>
        <v>#N/A</v>
      </c>
      <c r="Z6" s="34" t="e">
        <f t="shared" si="0"/>
        <v>#N/A</v>
      </c>
      <c r="AA6" s="35" t="e">
        <f t="shared" si="1"/>
        <v>#N/A</v>
      </c>
      <c r="AB6" s="36" t="e">
        <f>(($R6 / 240) * _xlfn.XLOOKUP($D6,'Milk Types Nutrition Per Cup'!A:A,'Milk Types Nutrition Per Cup'!B:B,0)) +(($S6 / 240)  * _xlfn.XLOOKUP($E6,'Milk Types Nutrition Per Cup'!A:A,'Milk Types Nutrition Per Cup'!B:B,0)) +(($T6 / 15)  * _xlfn.XLOOKUP($F6,'Liquid Mix In Nutrition'!A:A,'Liquid Mix In Nutrition'!B:B,0))+(($U6 / 15)  * _xlfn.XLOOKUP($G6,'Liquid Mix In Nutrition'!A:A,'Liquid Mix In Nutrition'!B:B,0))+(($V6 /MAX(1, _xlfn.XLOOKUP($H6,'Solid Mix In Nutrition'!A:A,'Solid Mix In Nutrition'!I:I,1)))  * _xlfn.XLOOKUP($H6,'Solid Mix In Nutrition'!A:A,'Solid Mix In Nutrition'!B:B,0))+(($W6 / MAX(1, _xlfn.XLOOKUP($I6,'Solid Mix In Nutrition'!A:A,'Solid Mix In Nutrition'!I:I,1))))+(($X6 / 100)  * _xlfn.XLOOKUP($J6,'Sweetener Mix In Nutrition'!A:A,'Sweetener Mix In Nutrition'!B:B,0))+(($Y6 / 100)  * _xlfn.XLOOKUP($K6,'Sweetener Mix In Nutrition'!A:A,'Sweetener Mix In Nutrition'!B:B,0))</f>
        <v>#N/A</v>
      </c>
      <c r="AC6" s="36" t="e">
        <f>(($R6 / 240) * _xlfn.XLOOKUP($D6,'Milk Types Nutrition Per Cup'!A:A,'Milk Types Nutrition Per Cup'!E:E,0)) +(($S6 / 240)  * _xlfn.XLOOKUP($E6,'Milk Types Nutrition Per Cup'!A:A,'Milk Types Nutrition Per Cup'!E:E,0)) +(($T6 / 15)  * _xlfn.XLOOKUP($F6,'Liquid Mix In Nutrition'!A:A,'Liquid Mix In Nutrition'!E:E,0)) +(($U6 / 15)  * _xlfn.XLOOKUP($G6,'Liquid Mix In Nutrition'!A:A,'Liquid Mix In Nutrition'!E:E,0))+(($V6 / MAX(1, _xlfn.XLOOKUP($H6,'Solid Mix In Nutrition'!A:A,'Solid Mix In Nutrition'!I:I,1)))  * _xlfn.XLOOKUP($H6,'Solid Mix In Nutrition'!A:A,'Solid Mix In Nutrition'!E:E,0))+(($W6 / MAX(1, _xlfn.XLOOKUP($I6,'Solid Mix In Nutrition'!A:A,'Solid Mix In Nutrition'!I:I,1)))  * _xlfn.XLOOKUP($I6,'Solid Mix In Nutrition'!A:A,'Solid Mix In Nutrition'!G:G,0))+(($X6 / 100)  * _xlfn.XLOOKUP($J6,'Sweetener Mix In Nutrition'!A:A,'Sweetener Mix In Nutrition'!E:E,0))+(($Y6 / 100)  * _xlfn.XLOOKUP($K6,'Sweetener Mix In Nutrition'!A:A,'Sweetener Mix In Nutrition'!E:E,0))</f>
        <v>#N/A</v>
      </c>
      <c r="AD6" s="36" t="e">
        <f>(($R6 / 240) * _xlfn.XLOOKUP($D6,'Milk Types Nutrition Per Cup'!A:A,'Milk Types Nutrition Per Cup'!E:E,0)) +(($S6 / 240)  * _xlfn.XLOOKUP($E6,'Milk Types Nutrition Per Cup'!A:A,'Milk Types Nutrition Per Cup'!E:E,0)) +(($T6 / 15)  * _xlfn.XLOOKUP($F6,'Liquid Mix In Nutrition'!A:A,'Liquid Mix In Nutrition'!E:E,0)) +(($U6 / 15)  * _xlfn.XLOOKUP($G6,'Liquid Mix In Nutrition'!A:A,'Liquid Mix In Nutrition'!E:E,0))+(($X6 / 100)  * _xlfn.XLOOKUP($J6,'Sweetener Mix In Nutrition'!A:A,'Sweetener Mix In Nutrition'!E:E,0))+(($Y6 / 100)  * _xlfn.XLOOKUP($K6,'Sweetener Mix In Nutrition'!A:A,'Sweetener Mix In Nutrition'!E:E,0))</f>
        <v>#N/A</v>
      </c>
      <c r="AE6" s="37" t="e">
        <f>(($R6 / 240) * _xlfn.XLOOKUP($D6,'Milk Types Nutrition Per Cup'!A:A,'Milk Types Nutrition Per Cup'!C:C,0)) +(($S6 / 240)  * _xlfn.XLOOKUP($E6,'Milk Types Nutrition Per Cup'!A:A,'Milk Types Nutrition Per Cup'!C:C,0)) +(($T6 / 15)  * _xlfn.XLOOKUP($F6,'Liquid Mix In Nutrition'!A:A,'Liquid Mix In Nutrition'!C:C,0))+(($U6 / 15)  * _xlfn.XLOOKUP($G6,'Liquid Mix In Nutrition'!A:A,'Liquid Mix In Nutrition'!C:C,0))+(($V6 / MAX(1, _xlfn.XLOOKUP($H6,'Solid Mix In Nutrition'!A:A,'Solid Mix In Nutrition'!I:I,1)))  * _xlfn.XLOOKUP($H6,'Solid Mix In Nutrition'!A:A,'Solid Mix In Nutrition'!C:C,0))+(($W6 / MAX(1, _xlfn.XLOOKUP($I6,'Solid Mix In Nutrition'!A:A,'Solid Mix In Nutrition'!I:I,1)))  * _xlfn.XLOOKUP($I6,'Solid Mix In Nutrition'!A:A,'Solid Mix In Nutrition'!C:C,0))+(($X6 / 100)  * _xlfn.XLOOKUP($J6,'Sweetener Mix In Nutrition'!A:A,'Sweetener Mix In Nutrition'!C:C,0))+(($Y6 / 100)  * _xlfn.XLOOKUP($K6,'Sweetener Mix In Nutrition'!A:A,'Sweetener Mix In Nutrition'!C:C,0))</f>
        <v>#N/A</v>
      </c>
      <c r="AF6" s="38" t="e">
        <f>$AE6 / (_xlfn.XLOOKUP($L6,Specs!A:A,Specs!B:B,0))</f>
        <v>#N/A</v>
      </c>
      <c r="AG6" s="37" t="e">
        <f>60* ($AB6 / _xlfn.XLOOKUP($L6,Specs!A:A,Specs!B:B,0))</f>
        <v>#N/A</v>
      </c>
      <c r="AH6" s="37" t="e">
        <f>60* (AC6 / _xlfn.XLOOKUP($L6,Specs!$A:$A,Specs!$B:$B,0))</f>
        <v>#N/A</v>
      </c>
      <c r="AI6" s="37" t="e">
        <f>60* (AE6 / _xlfn.XLOOKUP($L6,Specs!$A:$A,Specs!$B:$B,0))</f>
        <v>#N/A</v>
      </c>
      <c r="AJ6" s="39" t="e">
        <v>#N/A</v>
      </c>
      <c r="AK6" s="46">
        <v>0</v>
      </c>
      <c r="AL6" s="47" t="s">
        <v>646</v>
      </c>
      <c r="AM6" s="40">
        <v>0</v>
      </c>
      <c r="AN6" s="48" t="e">
        <v>#N/A</v>
      </c>
      <c r="AO6" s="40" t="e">
        <v>#N/A</v>
      </c>
      <c r="AP6" s="30"/>
      <c r="AQ6">
        <f>_xlfn.XLOOKUP("What's Your Number?",[1]Sheet1!$1:$1,[1]Sheet1!6:6)</f>
        <v>0</v>
      </c>
    </row>
    <row r="7" spans="1:43" x14ac:dyDescent="0.25">
      <c r="A7" s="44" t="s">
        <v>653</v>
      </c>
      <c r="B7" s="76">
        <v>0</v>
      </c>
      <c r="C7" s="31" t="s">
        <v>646</v>
      </c>
      <c r="D7" s="31" t="e">
        <v>#N/A</v>
      </c>
      <c r="E7" s="31" t="e">
        <v>#N/A</v>
      </c>
      <c r="F7" s="31" t="e">
        <v>#N/A</v>
      </c>
      <c r="G7" s="31" t="e">
        <v>#N/A</v>
      </c>
      <c r="H7" s="31" t="e">
        <v>#N/A</v>
      </c>
      <c r="I7" s="31" t="e">
        <v>#N/A</v>
      </c>
      <c r="J7" s="31" t="s">
        <v>510</v>
      </c>
      <c r="K7" s="31" t="e">
        <v>#N/A</v>
      </c>
      <c r="L7" s="77" t="s">
        <v>4</v>
      </c>
      <c r="M7" s="45" t="e">
        <v>#N/A</v>
      </c>
      <c r="N7" s="45" t="e">
        <v>#N/A</v>
      </c>
      <c r="O7" s="45" t="e">
        <v>#N/A</v>
      </c>
      <c r="P7" s="45" t="e">
        <v>#N/A</v>
      </c>
      <c r="Q7" s="45" t="e">
        <v>#N/A</v>
      </c>
      <c r="R7" s="30" t="e">
        <f>(_xlfn.XLOOKUP($L7,Specs!A:A,Specs!B:B,0)-(IF(ISNUMBER(SEARCH("Dulce De Leche", $G7)), 0, $T7))-(IF(ISNUMBER(SEARCH("Dulce De Leche", $F7)), 0, $U7))-(($V7/MAX(1,_xlfn.XLOOKUP($H7,'Solid Mix In Nutrition'!A:A,'Solid Mix In Nutrition'!I:I,1)))*240)-(($W7/MAX(1,_xlfn.XLOOKUP($I7,'Solid Mix In Nutrition'!A:A,'Solid Mix In Nutrition'!I:I,1)))*240))*0.66</f>
        <v>#N/A</v>
      </c>
      <c r="S7" s="30" t="e">
        <f>(_xlfn.XLOOKUP($L7,Specs!A:A,Specs!B:B,0)-(IF(ISNUMBER(SEARCH("Dulce De Leche", $G7)), 0, $T7))-(IF(ISNUMBER(SEARCH("Dulce De Leche", $F7)), 0, $U7))-(($V7/MAX(1,_xlfn.XLOOKUP($H7,'Solid Mix In Nutrition'!A:A,'Solid Mix In Nutrition'!I:I,1)))*240)-(($W7/MAX(1,_xlfn.XLOOKUP($I7,'Solid Mix In Nutrition'!A:A,'Solid Mix In Nutrition'!I:I,1)))*240))*0.33</f>
        <v>#N/A</v>
      </c>
      <c r="T7" s="30" t="e">
        <f>_xlfn.XLOOKUP($M7,Specs!$D:$D,Specs!$E:$E,0)*15*_xlfn.XLOOKUP($L7,Specs!$A:$A,Specs!$C:$C,0)</f>
        <v>#N/A</v>
      </c>
      <c r="U7" s="30" t="e">
        <f>_xlfn.XLOOKUP($N7,Specs!$D:$D,Specs!$E:$E,0)*15*_xlfn.XLOOKUP($L7,Specs!$A:$A,Specs!$C:$C,0)</f>
        <v>#N/A</v>
      </c>
      <c r="V7" s="30" t="e">
        <f>( ((_xlfn.XLOOKUP($O7,Specs!$H:$H,Specs!$I:$I,0)*_xlfn.XLOOKUP($L7,Specs!$A:$A,Specs!$B:$B,0))/240) *_xlfn.XLOOKUP($H7,'Solid Mix In Nutrition'!A:A,'Solid Mix In Nutrition'!I:I,0)) *IF(AND(NOT($I7=0), COUNTA($I7)),0.5,1)</f>
        <v>#N/A</v>
      </c>
      <c r="W7" s="30" t="e">
        <f>( ((_xlfn.XLOOKUP($O7,Specs!$H:$H,Specs!$I:$I,0)*_xlfn.XLOOKUP($L7,Specs!$A:$A,Specs!$B:$B,0))/240) *_xlfn.XLOOKUP($I7,'Solid Mix In Nutrition'!A:A,'Solid Mix In Nutrition'!I:I,0)) *IF(AND(NOT($I7=0), COUNTA($I7)),0.5,0)</f>
        <v>#N/A</v>
      </c>
      <c r="X7" s="30" t="e">
        <f>_xlfn.XLOOKUP($P7,Specs!F:F,Specs!G:G,0)*_xlfn.XLOOKUP($J7,'Sweetener Mix In Nutrition'!A:A,'Sweetener Mix In Nutrition'!I:I,0)*_xlfn.XLOOKUP($L7,Specs!A:A,Specs!C:C,0)</f>
        <v>#N/A</v>
      </c>
      <c r="Y7" s="30" t="e">
        <f>_xlfn.XLOOKUP($Q7,Specs!F:F,Specs!G:G,0)*_xlfn.XLOOKUP($K7,'Sweetener Mix In Nutrition'!A:A,'Sweetener Mix In Nutrition'!I:I,0)*_xlfn.XLOOKUP($L7,Specs!A:A,Specs!C:C,0)</f>
        <v>#N/A</v>
      </c>
      <c r="Z7" s="34" t="e">
        <f t="shared" si="0"/>
        <v>#N/A</v>
      </c>
      <c r="AA7" s="35" t="e">
        <f t="shared" si="1"/>
        <v>#N/A</v>
      </c>
      <c r="AB7" s="36" t="e">
        <f>(($R7 / 240) * _xlfn.XLOOKUP($D7,'Milk Types Nutrition Per Cup'!A:A,'Milk Types Nutrition Per Cup'!B:B,0)) +(($S7 / 240)  * _xlfn.XLOOKUP($E7,'Milk Types Nutrition Per Cup'!A:A,'Milk Types Nutrition Per Cup'!B:B,0)) +(($T7 / 15)  * _xlfn.XLOOKUP($F7,'Liquid Mix In Nutrition'!A:A,'Liquid Mix In Nutrition'!B:B,0))+(($U7 / 15)  * _xlfn.XLOOKUP($G7,'Liquid Mix In Nutrition'!A:A,'Liquid Mix In Nutrition'!B:B,0))+(($V7 /MAX(1, _xlfn.XLOOKUP($H7,'Solid Mix In Nutrition'!A:A,'Solid Mix In Nutrition'!I:I,1)))  * _xlfn.XLOOKUP($H7,'Solid Mix In Nutrition'!A:A,'Solid Mix In Nutrition'!B:B,0))+(($W7 / MAX(1, _xlfn.XLOOKUP($I7,'Solid Mix In Nutrition'!A:A,'Solid Mix In Nutrition'!I:I,1))))+(($X7 / 100)  * _xlfn.XLOOKUP($J7,'Sweetener Mix In Nutrition'!A:A,'Sweetener Mix In Nutrition'!B:B,0))+(($Y7 / 100)  * _xlfn.XLOOKUP($K7,'Sweetener Mix In Nutrition'!A:A,'Sweetener Mix In Nutrition'!B:B,0))</f>
        <v>#N/A</v>
      </c>
      <c r="AC7" s="36" t="e">
        <f>(($R7 / 240) * _xlfn.XLOOKUP($D7,'Milk Types Nutrition Per Cup'!A:A,'Milk Types Nutrition Per Cup'!E:E,0)) +(($S7 / 240)  * _xlfn.XLOOKUP($E7,'Milk Types Nutrition Per Cup'!A:A,'Milk Types Nutrition Per Cup'!E:E,0)) +(($T7 / 15)  * _xlfn.XLOOKUP($F7,'Liquid Mix In Nutrition'!A:A,'Liquid Mix In Nutrition'!E:E,0)) +(($U7 / 15)  * _xlfn.XLOOKUP($G7,'Liquid Mix In Nutrition'!A:A,'Liquid Mix In Nutrition'!E:E,0))+(($V7 / MAX(1, _xlfn.XLOOKUP($H7,'Solid Mix In Nutrition'!A:A,'Solid Mix In Nutrition'!I:I,1)))  * _xlfn.XLOOKUP($H7,'Solid Mix In Nutrition'!A:A,'Solid Mix In Nutrition'!E:E,0))+(($W7 / MAX(1, _xlfn.XLOOKUP($I7,'Solid Mix In Nutrition'!A:A,'Solid Mix In Nutrition'!I:I,1)))  * _xlfn.XLOOKUP($I7,'Solid Mix In Nutrition'!A:A,'Solid Mix In Nutrition'!G:G,0))+(($X7 / 100)  * _xlfn.XLOOKUP($J7,'Sweetener Mix In Nutrition'!A:A,'Sweetener Mix In Nutrition'!E:E,0))+(($Y7 / 100)  * _xlfn.XLOOKUP($K7,'Sweetener Mix In Nutrition'!A:A,'Sweetener Mix In Nutrition'!E:E,0))</f>
        <v>#N/A</v>
      </c>
      <c r="AD7" s="36" t="e">
        <f>(($R7 / 240) * _xlfn.XLOOKUP($D7,'Milk Types Nutrition Per Cup'!A:A,'Milk Types Nutrition Per Cup'!E:E,0)) +(($S7 / 240)  * _xlfn.XLOOKUP($E7,'Milk Types Nutrition Per Cup'!A:A,'Milk Types Nutrition Per Cup'!E:E,0)) +(($T7 / 15)  * _xlfn.XLOOKUP($F7,'Liquid Mix In Nutrition'!A:A,'Liquid Mix In Nutrition'!E:E,0)) +(($U7 / 15)  * _xlfn.XLOOKUP($G7,'Liquid Mix In Nutrition'!A:A,'Liquid Mix In Nutrition'!E:E,0))+(($X7 / 100)  * _xlfn.XLOOKUP($J7,'Sweetener Mix In Nutrition'!A:A,'Sweetener Mix In Nutrition'!E:E,0))+(($Y7 / 100)  * _xlfn.XLOOKUP($K7,'Sweetener Mix In Nutrition'!A:A,'Sweetener Mix In Nutrition'!E:E,0))</f>
        <v>#N/A</v>
      </c>
      <c r="AE7" s="37" t="e">
        <f>(($R7 / 240) * _xlfn.XLOOKUP($D7,'Milk Types Nutrition Per Cup'!A:A,'Milk Types Nutrition Per Cup'!C:C,0)) +(($S7 / 240)  * _xlfn.XLOOKUP($E7,'Milk Types Nutrition Per Cup'!A:A,'Milk Types Nutrition Per Cup'!C:C,0)) +(($T7 / 15)  * _xlfn.XLOOKUP($F7,'Liquid Mix In Nutrition'!A:A,'Liquid Mix In Nutrition'!C:C,0))+(($U7 / 15)  * _xlfn.XLOOKUP($G7,'Liquid Mix In Nutrition'!A:A,'Liquid Mix In Nutrition'!C:C,0))+(($V7 / MAX(1, _xlfn.XLOOKUP($H7,'Solid Mix In Nutrition'!A:A,'Solid Mix In Nutrition'!I:I,1)))  * _xlfn.XLOOKUP($H7,'Solid Mix In Nutrition'!A:A,'Solid Mix In Nutrition'!C:C,0))+(($W7 / MAX(1, _xlfn.XLOOKUP($I7,'Solid Mix In Nutrition'!A:A,'Solid Mix In Nutrition'!I:I,1)))  * _xlfn.XLOOKUP($I7,'Solid Mix In Nutrition'!A:A,'Solid Mix In Nutrition'!C:C,0))+(($X7 / 100)  * _xlfn.XLOOKUP($J7,'Sweetener Mix In Nutrition'!A:A,'Sweetener Mix In Nutrition'!C:C,0))+(($Y7 / 100)  * _xlfn.XLOOKUP($K7,'Sweetener Mix In Nutrition'!A:A,'Sweetener Mix In Nutrition'!C:C,0))</f>
        <v>#N/A</v>
      </c>
      <c r="AF7" s="38" t="e">
        <f>$AE7 / (_xlfn.XLOOKUP($L7,Specs!A:A,Specs!B:B,0))</f>
        <v>#N/A</v>
      </c>
      <c r="AG7" s="37" t="e">
        <f>60* ($AB7 / _xlfn.XLOOKUP($L7,Specs!A:A,Specs!B:B,0))</f>
        <v>#N/A</v>
      </c>
      <c r="AH7" s="37" t="e">
        <f>60* (AC7 / _xlfn.XLOOKUP($L7,Specs!$A:$A,Specs!$B:$B,0))</f>
        <v>#N/A</v>
      </c>
      <c r="AI7" s="37" t="e">
        <f>60* (AE7 / _xlfn.XLOOKUP($L7,Specs!$A:$A,Specs!$B:$B,0))</f>
        <v>#N/A</v>
      </c>
      <c r="AJ7" s="39" t="e">
        <v>#N/A</v>
      </c>
      <c r="AK7" s="46" t="s">
        <v>654</v>
      </c>
      <c r="AL7" s="47" t="s">
        <v>646</v>
      </c>
      <c r="AM7" s="40">
        <v>0</v>
      </c>
      <c r="AN7" s="48" t="e">
        <v>#N/A</v>
      </c>
      <c r="AO7" s="40" t="e">
        <v>#N/A</v>
      </c>
      <c r="AP7" s="30"/>
      <c r="AQ7">
        <f>_xlfn.XLOOKUP("What's Your Number?",[1]Sheet1!$1:$1,[1]Sheet1!7:7)</f>
        <v>0</v>
      </c>
    </row>
    <row r="8" spans="1:43" ht="45" x14ac:dyDescent="0.25">
      <c r="A8" s="44" t="s">
        <v>655</v>
      </c>
      <c r="B8" s="76" t="s">
        <v>656</v>
      </c>
      <c r="C8" s="31" t="s">
        <v>646</v>
      </c>
      <c r="D8" s="31" t="e">
        <v>#N/A</v>
      </c>
      <c r="E8" s="31" t="e">
        <v>#N/A</v>
      </c>
      <c r="F8" s="31" t="e">
        <v>#N/A</v>
      </c>
      <c r="G8" s="31" t="e">
        <v>#N/A</v>
      </c>
      <c r="H8" s="31" t="e">
        <v>#N/A</v>
      </c>
      <c r="I8" s="31" t="e">
        <v>#N/A</v>
      </c>
      <c r="J8" s="31" t="s">
        <v>510</v>
      </c>
      <c r="K8" s="31" t="e">
        <v>#N/A</v>
      </c>
      <c r="L8" s="77" t="s">
        <v>4</v>
      </c>
      <c r="M8" s="45" t="e">
        <v>#N/A</v>
      </c>
      <c r="N8" s="45" t="e">
        <v>#N/A</v>
      </c>
      <c r="O8" s="45" t="e">
        <v>#N/A</v>
      </c>
      <c r="P8" s="45" t="e">
        <v>#N/A</v>
      </c>
      <c r="Q8" s="45" t="e">
        <v>#N/A</v>
      </c>
      <c r="R8" s="30" t="e">
        <f>(_xlfn.XLOOKUP($L8,Specs!A:A,Specs!B:B,0)-(IF(ISNUMBER(SEARCH("Dulce De Leche", $G8)), 0, $T8))-(IF(ISNUMBER(SEARCH("Dulce De Leche", $F8)), 0, $U8))-(($V8/MAX(1,_xlfn.XLOOKUP($H8,'Solid Mix In Nutrition'!A:A,'Solid Mix In Nutrition'!I:I,1)))*240)-(($W8/MAX(1,_xlfn.XLOOKUP($I8,'Solid Mix In Nutrition'!A:A,'Solid Mix In Nutrition'!I:I,1)))*240))*0.66</f>
        <v>#N/A</v>
      </c>
      <c r="S8" s="30" t="e">
        <f>(_xlfn.XLOOKUP($L8,Specs!A:A,Specs!B:B,0)-(IF(ISNUMBER(SEARCH("Dulce De Leche", $G8)), 0, $T8))-(IF(ISNUMBER(SEARCH("Dulce De Leche", $F8)), 0, $U8))-(($V8/MAX(1,_xlfn.XLOOKUP($H8,'Solid Mix In Nutrition'!A:A,'Solid Mix In Nutrition'!I:I,1)))*240)-(($W8/MAX(1,_xlfn.XLOOKUP($I8,'Solid Mix In Nutrition'!A:A,'Solid Mix In Nutrition'!I:I,1)))*240))*0.33</f>
        <v>#N/A</v>
      </c>
      <c r="T8" s="30" t="e">
        <f>_xlfn.XLOOKUP($M8,Specs!$D:$D,Specs!$E:$E,0)*15*_xlfn.XLOOKUP($L8,Specs!$A:$A,Specs!$C:$C,0)</f>
        <v>#N/A</v>
      </c>
      <c r="U8" s="30" t="e">
        <f>_xlfn.XLOOKUP($N8,Specs!$D:$D,Specs!$E:$E,0)*15*_xlfn.XLOOKUP($L8,Specs!$A:$A,Specs!$C:$C,0)</f>
        <v>#N/A</v>
      </c>
      <c r="V8" s="30" t="e">
        <f>( ((_xlfn.XLOOKUP($O8,Specs!$H:$H,Specs!$I:$I,0)*_xlfn.XLOOKUP($L8,Specs!$A:$A,Specs!$B:$B,0))/240) *_xlfn.XLOOKUP($H8,'Solid Mix In Nutrition'!A:A,'Solid Mix In Nutrition'!I:I,0)) *IF(AND(NOT($I8=0), COUNTA($I8)),0.5,1)</f>
        <v>#N/A</v>
      </c>
      <c r="W8" s="30" t="e">
        <f>( ((_xlfn.XLOOKUP($O8,Specs!$H:$H,Specs!$I:$I,0)*_xlfn.XLOOKUP($L8,Specs!$A:$A,Specs!$B:$B,0))/240) *_xlfn.XLOOKUP($I8,'Solid Mix In Nutrition'!A:A,'Solid Mix In Nutrition'!I:I,0)) *IF(AND(NOT($I8=0), COUNTA($I8)),0.5,0)</f>
        <v>#N/A</v>
      </c>
      <c r="X8" s="30" t="e">
        <f>_xlfn.XLOOKUP($P8,Specs!F:F,Specs!G:G,0)*_xlfn.XLOOKUP($J8,'Sweetener Mix In Nutrition'!A:A,'Sweetener Mix In Nutrition'!I:I,0)*_xlfn.XLOOKUP($L8,Specs!A:A,Specs!C:C,0)</f>
        <v>#N/A</v>
      </c>
      <c r="Y8" s="30" t="e">
        <f>_xlfn.XLOOKUP($Q8,Specs!F:F,Specs!G:G,0)*_xlfn.XLOOKUP($K8,'Sweetener Mix In Nutrition'!A:A,'Sweetener Mix In Nutrition'!I:I,0)*_xlfn.XLOOKUP($L8,Specs!A:A,Specs!C:C,0)</f>
        <v>#N/A</v>
      </c>
      <c r="Z8" s="34" t="e">
        <f t="shared" si="0"/>
        <v>#N/A</v>
      </c>
      <c r="AA8" s="35" t="e">
        <f t="shared" si="1"/>
        <v>#N/A</v>
      </c>
      <c r="AB8" s="36" t="e">
        <f>(($R8 / 240) * _xlfn.XLOOKUP($D8,'Milk Types Nutrition Per Cup'!A:A,'Milk Types Nutrition Per Cup'!B:B,0)) +(($S8 / 240)  * _xlfn.XLOOKUP($E8,'Milk Types Nutrition Per Cup'!A:A,'Milk Types Nutrition Per Cup'!B:B,0)) +(($T8 / 15)  * _xlfn.XLOOKUP($F8,'Liquid Mix In Nutrition'!A:A,'Liquid Mix In Nutrition'!B:B,0))+(($U8 / 15)  * _xlfn.XLOOKUP($G8,'Liquid Mix In Nutrition'!A:A,'Liquid Mix In Nutrition'!B:B,0))+(($V8 /MAX(1, _xlfn.XLOOKUP($H8,'Solid Mix In Nutrition'!A:A,'Solid Mix In Nutrition'!I:I,1)))  * _xlfn.XLOOKUP($H8,'Solid Mix In Nutrition'!A:A,'Solid Mix In Nutrition'!B:B,0))+(($W8 / MAX(1, _xlfn.XLOOKUP($I8,'Solid Mix In Nutrition'!A:A,'Solid Mix In Nutrition'!I:I,1))))+(($X8 / 100)  * _xlfn.XLOOKUP($J8,'Sweetener Mix In Nutrition'!A:A,'Sweetener Mix In Nutrition'!B:B,0))+(($Y8 / 100)  * _xlfn.XLOOKUP($K8,'Sweetener Mix In Nutrition'!A:A,'Sweetener Mix In Nutrition'!B:B,0))</f>
        <v>#N/A</v>
      </c>
      <c r="AC8" s="36" t="e">
        <f>(($R8 / 240) * _xlfn.XLOOKUP($D8,'Milk Types Nutrition Per Cup'!A:A,'Milk Types Nutrition Per Cup'!E:E,0)) +(($S8 / 240)  * _xlfn.XLOOKUP($E8,'Milk Types Nutrition Per Cup'!A:A,'Milk Types Nutrition Per Cup'!E:E,0)) +(($T8 / 15)  * _xlfn.XLOOKUP($F8,'Liquid Mix In Nutrition'!A:A,'Liquid Mix In Nutrition'!E:E,0)) +(($U8 / 15)  * _xlfn.XLOOKUP($G8,'Liquid Mix In Nutrition'!A:A,'Liquid Mix In Nutrition'!E:E,0))+(($V8 / MAX(1, _xlfn.XLOOKUP($H8,'Solid Mix In Nutrition'!A:A,'Solid Mix In Nutrition'!I:I,1)))  * _xlfn.XLOOKUP($H8,'Solid Mix In Nutrition'!A:A,'Solid Mix In Nutrition'!E:E,0))+(($W8 / MAX(1, _xlfn.XLOOKUP($I8,'Solid Mix In Nutrition'!A:A,'Solid Mix In Nutrition'!I:I,1)))  * _xlfn.XLOOKUP($I8,'Solid Mix In Nutrition'!A:A,'Solid Mix In Nutrition'!G:G,0))+(($X8 / 100)  * _xlfn.XLOOKUP($J8,'Sweetener Mix In Nutrition'!A:A,'Sweetener Mix In Nutrition'!E:E,0))+(($Y8 / 100)  * _xlfn.XLOOKUP($K8,'Sweetener Mix In Nutrition'!A:A,'Sweetener Mix In Nutrition'!E:E,0))</f>
        <v>#N/A</v>
      </c>
      <c r="AD8" s="36" t="e">
        <f>(($R8 / 240) * _xlfn.XLOOKUP($D8,'Milk Types Nutrition Per Cup'!A:A,'Milk Types Nutrition Per Cup'!E:E,0)) +(($S8 / 240)  * _xlfn.XLOOKUP($E8,'Milk Types Nutrition Per Cup'!A:A,'Milk Types Nutrition Per Cup'!E:E,0)) +(($T8 / 15)  * _xlfn.XLOOKUP($F8,'Liquid Mix In Nutrition'!A:A,'Liquid Mix In Nutrition'!E:E,0)) +(($U8 / 15)  * _xlfn.XLOOKUP($G8,'Liquid Mix In Nutrition'!A:A,'Liquid Mix In Nutrition'!E:E,0))+(($X8 / 100)  * _xlfn.XLOOKUP($J8,'Sweetener Mix In Nutrition'!A:A,'Sweetener Mix In Nutrition'!E:E,0))+(($Y8 / 100)  * _xlfn.XLOOKUP($K8,'Sweetener Mix In Nutrition'!A:A,'Sweetener Mix In Nutrition'!E:E,0))</f>
        <v>#N/A</v>
      </c>
      <c r="AE8" s="37" t="e">
        <f>(($R8 / 240) * _xlfn.XLOOKUP($D8,'Milk Types Nutrition Per Cup'!A:A,'Milk Types Nutrition Per Cup'!C:C,0)) +(($S8 / 240)  * _xlfn.XLOOKUP($E8,'Milk Types Nutrition Per Cup'!A:A,'Milk Types Nutrition Per Cup'!C:C,0)) +(($T8 / 15)  * _xlfn.XLOOKUP($F8,'Liquid Mix In Nutrition'!A:A,'Liquid Mix In Nutrition'!C:C,0))+(($U8 / 15)  * _xlfn.XLOOKUP($G8,'Liquid Mix In Nutrition'!A:A,'Liquid Mix In Nutrition'!C:C,0))+(($V8 / MAX(1, _xlfn.XLOOKUP($H8,'Solid Mix In Nutrition'!A:A,'Solid Mix In Nutrition'!I:I,1)))  * _xlfn.XLOOKUP($H8,'Solid Mix In Nutrition'!A:A,'Solid Mix In Nutrition'!C:C,0))+(($W8 / MAX(1, _xlfn.XLOOKUP($I8,'Solid Mix In Nutrition'!A:A,'Solid Mix In Nutrition'!I:I,1)))  * _xlfn.XLOOKUP($I8,'Solid Mix In Nutrition'!A:A,'Solid Mix In Nutrition'!C:C,0))+(($X8 / 100)  * _xlfn.XLOOKUP($J8,'Sweetener Mix In Nutrition'!A:A,'Sweetener Mix In Nutrition'!C:C,0))+(($Y8 / 100)  * _xlfn.XLOOKUP($K8,'Sweetener Mix In Nutrition'!A:A,'Sweetener Mix In Nutrition'!C:C,0))</f>
        <v>#N/A</v>
      </c>
      <c r="AF8" s="38" t="e">
        <f>$AE8 / (_xlfn.XLOOKUP($L8,Specs!A:A,Specs!B:B,0))</f>
        <v>#N/A</v>
      </c>
      <c r="AG8" s="37" t="e">
        <f>60* ($AB8 / _xlfn.XLOOKUP($L8,Specs!A:A,Specs!B:B,0))</f>
        <v>#N/A</v>
      </c>
      <c r="AH8" s="37" t="e">
        <f>60* (AC8 / _xlfn.XLOOKUP($L8,Specs!$A:$A,Specs!$B:$B,0))</f>
        <v>#N/A</v>
      </c>
      <c r="AI8" s="37" t="e">
        <f>60* (AE8 / _xlfn.XLOOKUP($L8,Specs!$A:$A,Specs!$B:$B,0))</f>
        <v>#N/A</v>
      </c>
      <c r="AJ8" s="39" t="e">
        <v>#N/A</v>
      </c>
      <c r="AK8" s="46" t="s">
        <v>657</v>
      </c>
      <c r="AL8" s="47" t="s">
        <v>646</v>
      </c>
      <c r="AM8" s="40">
        <v>0</v>
      </c>
      <c r="AN8" s="48" t="e">
        <v>#N/A</v>
      </c>
      <c r="AO8" s="40" t="e">
        <v>#N/A</v>
      </c>
      <c r="AP8" s="30"/>
      <c r="AQ8" t="str">
        <f>_xlfn.XLOOKUP("What's Your Number?",[1]Sheet1!$1:$1,[1]Sheet1!8:8)</f>
        <v>954-483-8278</v>
      </c>
    </row>
    <row r="9" spans="1:43" ht="30" x14ac:dyDescent="0.25">
      <c r="A9" s="44" t="s">
        <v>658</v>
      </c>
      <c r="B9" s="76" t="s">
        <v>659</v>
      </c>
      <c r="C9" s="31" t="s">
        <v>646</v>
      </c>
      <c r="D9" s="31" t="e">
        <v>#N/A</v>
      </c>
      <c r="E9" s="31" t="e">
        <v>#N/A</v>
      </c>
      <c r="F9" s="31" t="e">
        <v>#N/A</v>
      </c>
      <c r="G9" s="31" t="e">
        <v>#N/A</v>
      </c>
      <c r="H9" s="31" t="e">
        <v>#N/A</v>
      </c>
      <c r="I9" s="31" t="e">
        <v>#N/A</v>
      </c>
      <c r="J9" s="31" t="s">
        <v>510</v>
      </c>
      <c r="K9" s="31" t="e">
        <v>#N/A</v>
      </c>
      <c r="L9" s="77" t="s">
        <v>43</v>
      </c>
      <c r="M9" s="45" t="e">
        <v>#N/A</v>
      </c>
      <c r="N9" s="45" t="e">
        <v>#N/A</v>
      </c>
      <c r="O9" s="45" t="e">
        <v>#N/A</v>
      </c>
      <c r="P9" s="45" t="e">
        <v>#N/A</v>
      </c>
      <c r="Q9" s="45" t="e">
        <v>#N/A</v>
      </c>
      <c r="R9" s="30" t="e">
        <f>(_xlfn.XLOOKUP($L9,Specs!A:A,Specs!B:B,0)-(IF(ISNUMBER(SEARCH("Dulce De Leche", $G9)), 0, $T9))-(IF(ISNUMBER(SEARCH("Dulce De Leche", $F9)), 0, $U9))-(($V9/MAX(1,_xlfn.XLOOKUP($H9,'Solid Mix In Nutrition'!A:A,'Solid Mix In Nutrition'!I:I,1)))*240)-(($W9/MAX(1,_xlfn.XLOOKUP($I9,'Solid Mix In Nutrition'!A:A,'Solid Mix In Nutrition'!I:I,1)))*240))*0.66</f>
        <v>#N/A</v>
      </c>
      <c r="S9" s="30" t="e">
        <f>(_xlfn.XLOOKUP($L9,Specs!A:A,Specs!B:B,0)-(IF(ISNUMBER(SEARCH("Dulce De Leche", $G9)), 0, $T9))-(IF(ISNUMBER(SEARCH("Dulce De Leche", $F9)), 0, $U9))-(($V9/MAX(1,_xlfn.XLOOKUP($H9,'Solid Mix In Nutrition'!A:A,'Solid Mix In Nutrition'!I:I,1)))*240)-(($W9/MAX(1,_xlfn.XLOOKUP($I9,'Solid Mix In Nutrition'!A:A,'Solid Mix In Nutrition'!I:I,1)))*240))*0.33</f>
        <v>#N/A</v>
      </c>
      <c r="T9" s="30" t="e">
        <f>_xlfn.XLOOKUP($M9,Specs!$D:$D,Specs!$E:$E,0)*15*_xlfn.XLOOKUP($L9,Specs!$A:$A,Specs!$C:$C,0)</f>
        <v>#N/A</v>
      </c>
      <c r="U9" s="30" t="e">
        <f>_xlfn.XLOOKUP($N9,Specs!$D:$D,Specs!$E:$E,0)*15*_xlfn.XLOOKUP($L9,Specs!$A:$A,Specs!$C:$C,0)</f>
        <v>#N/A</v>
      </c>
      <c r="V9" s="30" t="e">
        <f>( ((_xlfn.XLOOKUP($O9,Specs!$H:$H,Specs!$I:$I,0)*_xlfn.XLOOKUP($L9,Specs!$A:$A,Specs!$B:$B,0))/240) *_xlfn.XLOOKUP($H9,'Solid Mix In Nutrition'!A:A,'Solid Mix In Nutrition'!I:I,0)) *IF(AND(NOT($I9=0), COUNTA($I9)),0.5,1)</f>
        <v>#N/A</v>
      </c>
      <c r="W9" s="30" t="e">
        <f>( ((_xlfn.XLOOKUP($O9,Specs!$H:$H,Specs!$I:$I,0)*_xlfn.XLOOKUP($L9,Specs!$A:$A,Specs!$B:$B,0))/240) *_xlfn.XLOOKUP($I9,'Solid Mix In Nutrition'!A:A,'Solid Mix In Nutrition'!I:I,0)) *IF(AND(NOT($I9=0), COUNTA($I9)),0.5,0)</f>
        <v>#N/A</v>
      </c>
      <c r="X9" s="30" t="e">
        <f>_xlfn.XLOOKUP($P9,Specs!F:F,Specs!G:G,0)*_xlfn.XLOOKUP($J9,'Sweetener Mix In Nutrition'!A:A,'Sweetener Mix In Nutrition'!I:I,0)*_xlfn.XLOOKUP($L9,Specs!A:A,Specs!C:C,0)</f>
        <v>#N/A</v>
      </c>
      <c r="Y9" s="30" t="e">
        <f>_xlfn.XLOOKUP($Q9,Specs!F:F,Specs!G:G,0)*_xlfn.XLOOKUP($K9,'Sweetener Mix In Nutrition'!A:A,'Sweetener Mix In Nutrition'!I:I,0)*_xlfn.XLOOKUP($L9,Specs!A:A,Specs!C:C,0)</f>
        <v>#N/A</v>
      </c>
      <c r="Z9" s="34" t="e">
        <f t="shared" si="0"/>
        <v>#N/A</v>
      </c>
      <c r="AA9" s="35" t="e">
        <f t="shared" si="1"/>
        <v>#N/A</v>
      </c>
      <c r="AB9" s="36" t="e">
        <f>(($R9 / 240) * _xlfn.XLOOKUP($D9,'Milk Types Nutrition Per Cup'!A:A,'Milk Types Nutrition Per Cup'!B:B,0)) +(($S9 / 240)  * _xlfn.XLOOKUP($E9,'Milk Types Nutrition Per Cup'!A:A,'Milk Types Nutrition Per Cup'!B:B,0)) +(($T9 / 15)  * _xlfn.XLOOKUP($F9,'Liquid Mix In Nutrition'!A:A,'Liquid Mix In Nutrition'!B:B,0))+(($U9 / 15)  * _xlfn.XLOOKUP($G9,'Liquid Mix In Nutrition'!A:A,'Liquid Mix In Nutrition'!B:B,0))+(($V9 /MAX(1, _xlfn.XLOOKUP($H9,'Solid Mix In Nutrition'!A:A,'Solid Mix In Nutrition'!I:I,1)))  * _xlfn.XLOOKUP($H9,'Solid Mix In Nutrition'!A:A,'Solid Mix In Nutrition'!B:B,0))+(($W9 / MAX(1, _xlfn.XLOOKUP($I9,'Solid Mix In Nutrition'!A:A,'Solid Mix In Nutrition'!I:I,1))))+(($X9 / 100)  * _xlfn.XLOOKUP($J9,'Sweetener Mix In Nutrition'!A:A,'Sweetener Mix In Nutrition'!B:B,0))+(($Y9 / 100)  * _xlfn.XLOOKUP($K9,'Sweetener Mix In Nutrition'!A:A,'Sweetener Mix In Nutrition'!B:B,0))</f>
        <v>#N/A</v>
      </c>
      <c r="AC9" s="36" t="e">
        <f>(($R9 / 240) * _xlfn.XLOOKUP($D9,'Milk Types Nutrition Per Cup'!A:A,'Milk Types Nutrition Per Cup'!E:E,0)) +(($S9 / 240)  * _xlfn.XLOOKUP($E9,'Milk Types Nutrition Per Cup'!A:A,'Milk Types Nutrition Per Cup'!E:E,0)) +(($T9 / 15)  * _xlfn.XLOOKUP($F9,'Liquid Mix In Nutrition'!A:A,'Liquid Mix In Nutrition'!E:E,0)) +(($U9 / 15)  * _xlfn.XLOOKUP($G9,'Liquid Mix In Nutrition'!A:A,'Liquid Mix In Nutrition'!E:E,0))+(($V9 / MAX(1, _xlfn.XLOOKUP($H9,'Solid Mix In Nutrition'!A:A,'Solid Mix In Nutrition'!I:I,1)))  * _xlfn.XLOOKUP($H9,'Solid Mix In Nutrition'!A:A,'Solid Mix In Nutrition'!E:E,0))+(($W9 / MAX(1, _xlfn.XLOOKUP($I9,'Solid Mix In Nutrition'!A:A,'Solid Mix In Nutrition'!I:I,1)))  * _xlfn.XLOOKUP($I9,'Solid Mix In Nutrition'!A:A,'Solid Mix In Nutrition'!G:G,0))+(($X9 / 100)  * _xlfn.XLOOKUP($J9,'Sweetener Mix In Nutrition'!A:A,'Sweetener Mix In Nutrition'!E:E,0))+(($Y9 / 100)  * _xlfn.XLOOKUP($K9,'Sweetener Mix In Nutrition'!A:A,'Sweetener Mix In Nutrition'!E:E,0))</f>
        <v>#N/A</v>
      </c>
      <c r="AD9" s="36" t="e">
        <f>(($R9 / 240) * _xlfn.XLOOKUP($D9,'Milk Types Nutrition Per Cup'!A:A,'Milk Types Nutrition Per Cup'!E:E,0)) +(($S9 / 240)  * _xlfn.XLOOKUP($E9,'Milk Types Nutrition Per Cup'!A:A,'Milk Types Nutrition Per Cup'!E:E,0)) +(($T9 / 15)  * _xlfn.XLOOKUP($F9,'Liquid Mix In Nutrition'!A:A,'Liquid Mix In Nutrition'!E:E,0)) +(($U9 / 15)  * _xlfn.XLOOKUP($G9,'Liquid Mix In Nutrition'!A:A,'Liquid Mix In Nutrition'!E:E,0))+(($X9 / 100)  * _xlfn.XLOOKUP($J9,'Sweetener Mix In Nutrition'!A:A,'Sweetener Mix In Nutrition'!E:E,0))+(($Y9 / 100)  * _xlfn.XLOOKUP($K9,'Sweetener Mix In Nutrition'!A:A,'Sweetener Mix In Nutrition'!E:E,0))</f>
        <v>#N/A</v>
      </c>
      <c r="AE9" s="37" t="e">
        <f>(($R9 / 240) * _xlfn.XLOOKUP($D9,'Milk Types Nutrition Per Cup'!A:A,'Milk Types Nutrition Per Cup'!C:C,0)) +(($S9 / 240)  * _xlfn.XLOOKUP($E9,'Milk Types Nutrition Per Cup'!A:A,'Milk Types Nutrition Per Cup'!C:C,0)) +(($T9 / 15)  * _xlfn.XLOOKUP($F9,'Liquid Mix In Nutrition'!A:A,'Liquid Mix In Nutrition'!C:C,0))+(($U9 / 15)  * _xlfn.XLOOKUP($G9,'Liquid Mix In Nutrition'!A:A,'Liquid Mix In Nutrition'!C:C,0))+(($V9 / MAX(1, _xlfn.XLOOKUP($H9,'Solid Mix In Nutrition'!A:A,'Solid Mix In Nutrition'!I:I,1)))  * _xlfn.XLOOKUP($H9,'Solid Mix In Nutrition'!A:A,'Solid Mix In Nutrition'!C:C,0))+(($W9 / MAX(1, _xlfn.XLOOKUP($I9,'Solid Mix In Nutrition'!A:A,'Solid Mix In Nutrition'!I:I,1)))  * _xlfn.XLOOKUP($I9,'Solid Mix In Nutrition'!A:A,'Solid Mix In Nutrition'!C:C,0))+(($X9 / 100)  * _xlfn.XLOOKUP($J9,'Sweetener Mix In Nutrition'!A:A,'Sweetener Mix In Nutrition'!C:C,0))+(($Y9 / 100)  * _xlfn.XLOOKUP($K9,'Sweetener Mix In Nutrition'!A:A,'Sweetener Mix In Nutrition'!C:C,0))</f>
        <v>#N/A</v>
      </c>
      <c r="AF9" s="38" t="e">
        <f>$AE9 / (_xlfn.XLOOKUP($L9,Specs!A:A,Specs!B:B,0))</f>
        <v>#N/A</v>
      </c>
      <c r="AG9" s="37" t="e">
        <f>60* ($AB9 / _xlfn.XLOOKUP($L9,Specs!A:A,Specs!B:B,0))</f>
        <v>#N/A</v>
      </c>
      <c r="AH9" s="37" t="e">
        <f>60* (AC9 / _xlfn.XLOOKUP($L9,Specs!$A:$A,Specs!$B:$B,0))</f>
        <v>#N/A</v>
      </c>
      <c r="AI9" s="37" t="e">
        <f>60* (AE9 / _xlfn.XLOOKUP($L9,Specs!$A:$A,Specs!$B:$B,0))</f>
        <v>#N/A</v>
      </c>
      <c r="AJ9" s="39" t="e">
        <v>#N/A</v>
      </c>
      <c r="AK9" s="46" t="s">
        <v>660</v>
      </c>
      <c r="AL9" s="47" t="s">
        <v>646</v>
      </c>
      <c r="AM9" s="40">
        <v>0</v>
      </c>
      <c r="AN9" s="48" t="e">
        <v>#N/A</v>
      </c>
      <c r="AO9" s="40" t="e">
        <v>#N/A</v>
      </c>
      <c r="AP9" s="30"/>
      <c r="AQ9" t="str">
        <f>_xlfn.XLOOKUP("What's Your Number?",[1]Sheet1!$1:$1,[1]Sheet1!9:9)</f>
        <v>954-552-1311</v>
      </c>
    </row>
    <row r="10" spans="1:43" x14ac:dyDescent="0.25">
      <c r="A10" s="44" t="s">
        <v>661</v>
      </c>
      <c r="B10" s="76" t="s">
        <v>662</v>
      </c>
      <c r="C10" s="31" t="s">
        <v>646</v>
      </c>
      <c r="D10" s="31" t="e">
        <v>#N/A</v>
      </c>
      <c r="E10" s="31" t="e">
        <v>#N/A</v>
      </c>
      <c r="F10" s="31" t="e">
        <v>#N/A</v>
      </c>
      <c r="G10" s="31" t="e">
        <v>#N/A</v>
      </c>
      <c r="H10" s="31" t="e">
        <v>#N/A</v>
      </c>
      <c r="I10" s="31" t="e">
        <v>#N/A</v>
      </c>
      <c r="J10" s="31" t="s">
        <v>510</v>
      </c>
      <c r="K10" s="31" t="e">
        <v>#N/A</v>
      </c>
      <c r="L10" s="77" t="s">
        <v>4</v>
      </c>
      <c r="M10" s="45" t="e">
        <v>#N/A</v>
      </c>
      <c r="N10" s="45" t="e">
        <v>#N/A</v>
      </c>
      <c r="O10" s="45" t="e">
        <v>#N/A</v>
      </c>
      <c r="P10" s="45" t="e">
        <v>#N/A</v>
      </c>
      <c r="Q10" s="45" t="e">
        <v>#N/A</v>
      </c>
      <c r="R10" s="30" t="e">
        <f>(_xlfn.XLOOKUP($L10,Specs!A:A,Specs!B:B,0)-(IF(ISNUMBER(SEARCH("Dulce De Leche", $G10)), 0, $T10))-(IF(ISNUMBER(SEARCH("Dulce De Leche", $F10)), 0, $U10))-(($V10/MAX(1,_xlfn.XLOOKUP($H10,'Solid Mix In Nutrition'!A:A,'Solid Mix In Nutrition'!I:I,1)))*240)-(($W10/MAX(1,_xlfn.XLOOKUP($I10,'Solid Mix In Nutrition'!A:A,'Solid Mix In Nutrition'!I:I,1)))*240))*0.66</f>
        <v>#N/A</v>
      </c>
      <c r="S10" s="30" t="e">
        <f>(_xlfn.XLOOKUP($L10,Specs!A:A,Specs!B:B,0)-(IF(ISNUMBER(SEARCH("Dulce De Leche", $G10)), 0, $T10))-(IF(ISNUMBER(SEARCH("Dulce De Leche", $F10)), 0, $U10))-(($V10/MAX(1,_xlfn.XLOOKUP($H10,'Solid Mix In Nutrition'!A:A,'Solid Mix In Nutrition'!I:I,1)))*240)-(($W10/MAX(1,_xlfn.XLOOKUP($I10,'Solid Mix In Nutrition'!A:A,'Solid Mix In Nutrition'!I:I,1)))*240))*0.33</f>
        <v>#N/A</v>
      </c>
      <c r="T10" s="30" t="e">
        <f>_xlfn.XLOOKUP($M10,Specs!$D:$D,Specs!$E:$E,0)*15*_xlfn.XLOOKUP($L10,Specs!$A:$A,Specs!$C:$C,0)</f>
        <v>#N/A</v>
      </c>
      <c r="U10" s="30" t="e">
        <f>_xlfn.XLOOKUP($N10,Specs!$D:$D,Specs!$E:$E,0)*15*_xlfn.XLOOKUP($L10,Specs!$A:$A,Specs!$C:$C,0)</f>
        <v>#N/A</v>
      </c>
      <c r="V10" s="30" t="e">
        <f>( ((_xlfn.XLOOKUP($O10,Specs!$H:$H,Specs!$I:$I,0)*_xlfn.XLOOKUP($L10,Specs!$A:$A,Specs!$B:$B,0))/240) *_xlfn.XLOOKUP($H10,'Solid Mix In Nutrition'!A:A,'Solid Mix In Nutrition'!I:I,0)) *IF(AND(NOT($I10=0), COUNTA($I10)),0.5,1)</f>
        <v>#N/A</v>
      </c>
      <c r="W10" s="30" t="e">
        <f>( ((_xlfn.XLOOKUP($O10,Specs!$H:$H,Specs!$I:$I,0)*_xlfn.XLOOKUP($L10,Specs!$A:$A,Specs!$B:$B,0))/240) *_xlfn.XLOOKUP($I10,'Solid Mix In Nutrition'!A:A,'Solid Mix In Nutrition'!I:I,0)) *IF(AND(NOT($I10=0), COUNTA($I10)),0.5,0)</f>
        <v>#N/A</v>
      </c>
      <c r="X10" s="30" t="e">
        <f>_xlfn.XLOOKUP($P10,Specs!F:F,Specs!G:G,0)*_xlfn.XLOOKUP($J10,'Sweetener Mix In Nutrition'!A:A,'Sweetener Mix In Nutrition'!I:I,0)*_xlfn.XLOOKUP($L10,Specs!A:A,Specs!C:C,0)</f>
        <v>#N/A</v>
      </c>
      <c r="Y10" s="30" t="e">
        <f>_xlfn.XLOOKUP($Q10,Specs!F:F,Specs!G:G,0)*_xlfn.XLOOKUP($K10,'Sweetener Mix In Nutrition'!A:A,'Sweetener Mix In Nutrition'!I:I,0)*_xlfn.XLOOKUP($L10,Specs!A:A,Specs!C:C,0)</f>
        <v>#N/A</v>
      </c>
      <c r="Z10" s="34" t="e">
        <f t="shared" si="0"/>
        <v>#N/A</v>
      </c>
      <c r="AA10" s="35" t="e">
        <f t="shared" si="1"/>
        <v>#N/A</v>
      </c>
      <c r="AB10" s="36" t="e">
        <f>(($R10 / 240) * _xlfn.XLOOKUP($D10,'Milk Types Nutrition Per Cup'!A:A,'Milk Types Nutrition Per Cup'!B:B,0)) +(($S10 / 240)  * _xlfn.XLOOKUP($E10,'Milk Types Nutrition Per Cup'!A:A,'Milk Types Nutrition Per Cup'!B:B,0)) +(($T10 / 15)  * _xlfn.XLOOKUP($F10,'Liquid Mix In Nutrition'!A:A,'Liquid Mix In Nutrition'!B:B,0))+(($U10 / 15)  * _xlfn.XLOOKUP($G10,'Liquid Mix In Nutrition'!A:A,'Liquid Mix In Nutrition'!B:B,0))+(($V10 /MAX(1, _xlfn.XLOOKUP($H10,'Solid Mix In Nutrition'!A:A,'Solid Mix In Nutrition'!I:I,1)))  * _xlfn.XLOOKUP($H10,'Solid Mix In Nutrition'!A:A,'Solid Mix In Nutrition'!B:B,0))+(($W10 / MAX(1, _xlfn.XLOOKUP($I10,'Solid Mix In Nutrition'!A:A,'Solid Mix In Nutrition'!I:I,1))))+(($X10 / 100)  * _xlfn.XLOOKUP($J10,'Sweetener Mix In Nutrition'!A:A,'Sweetener Mix In Nutrition'!B:B,0))+(($Y10 / 100)  * _xlfn.XLOOKUP($K10,'Sweetener Mix In Nutrition'!A:A,'Sweetener Mix In Nutrition'!B:B,0))</f>
        <v>#N/A</v>
      </c>
      <c r="AC10" s="36" t="e">
        <f>(($R10 / 240) * _xlfn.XLOOKUP($D10,'Milk Types Nutrition Per Cup'!A:A,'Milk Types Nutrition Per Cup'!E:E,0)) +(($S10 / 240)  * _xlfn.XLOOKUP($E10,'Milk Types Nutrition Per Cup'!A:A,'Milk Types Nutrition Per Cup'!E:E,0)) +(($T10 / 15)  * _xlfn.XLOOKUP($F10,'Liquid Mix In Nutrition'!A:A,'Liquid Mix In Nutrition'!E:E,0)) +(($U10 / 15)  * _xlfn.XLOOKUP($G10,'Liquid Mix In Nutrition'!A:A,'Liquid Mix In Nutrition'!E:E,0))+(($V10 / MAX(1, _xlfn.XLOOKUP($H10,'Solid Mix In Nutrition'!A:A,'Solid Mix In Nutrition'!I:I,1)))  * _xlfn.XLOOKUP($H10,'Solid Mix In Nutrition'!A:A,'Solid Mix In Nutrition'!E:E,0))+(($W10 / MAX(1, _xlfn.XLOOKUP($I10,'Solid Mix In Nutrition'!A:A,'Solid Mix In Nutrition'!I:I,1)))  * _xlfn.XLOOKUP($I10,'Solid Mix In Nutrition'!A:A,'Solid Mix In Nutrition'!G:G,0))+(($X10 / 100)  * _xlfn.XLOOKUP($J10,'Sweetener Mix In Nutrition'!A:A,'Sweetener Mix In Nutrition'!E:E,0))+(($Y10 / 100)  * _xlfn.XLOOKUP($K10,'Sweetener Mix In Nutrition'!A:A,'Sweetener Mix In Nutrition'!E:E,0))</f>
        <v>#N/A</v>
      </c>
      <c r="AD10" s="36" t="e">
        <f>(($R10 / 240) * _xlfn.XLOOKUP($D10,'Milk Types Nutrition Per Cup'!A:A,'Milk Types Nutrition Per Cup'!E:E,0)) +(($S10 / 240)  * _xlfn.XLOOKUP($E10,'Milk Types Nutrition Per Cup'!A:A,'Milk Types Nutrition Per Cup'!E:E,0)) +(($T10 / 15)  * _xlfn.XLOOKUP($F10,'Liquid Mix In Nutrition'!A:A,'Liquid Mix In Nutrition'!E:E,0)) +(($U10 / 15)  * _xlfn.XLOOKUP($G10,'Liquid Mix In Nutrition'!A:A,'Liquid Mix In Nutrition'!E:E,0))+(($X10 / 100)  * _xlfn.XLOOKUP($J10,'Sweetener Mix In Nutrition'!A:A,'Sweetener Mix In Nutrition'!E:E,0))+(($Y10 / 100)  * _xlfn.XLOOKUP($K10,'Sweetener Mix In Nutrition'!A:A,'Sweetener Mix In Nutrition'!E:E,0))</f>
        <v>#N/A</v>
      </c>
      <c r="AE10" s="37" t="e">
        <f>(($R10 / 240) * _xlfn.XLOOKUP($D10,'Milk Types Nutrition Per Cup'!A:A,'Milk Types Nutrition Per Cup'!C:C,0)) +(($S10 / 240)  * _xlfn.XLOOKUP($E10,'Milk Types Nutrition Per Cup'!A:A,'Milk Types Nutrition Per Cup'!C:C,0)) +(($T10 / 15)  * _xlfn.XLOOKUP($F10,'Liquid Mix In Nutrition'!A:A,'Liquid Mix In Nutrition'!C:C,0))+(($U10 / 15)  * _xlfn.XLOOKUP($G10,'Liquid Mix In Nutrition'!A:A,'Liquid Mix In Nutrition'!C:C,0))+(($V10 / MAX(1, _xlfn.XLOOKUP($H10,'Solid Mix In Nutrition'!A:A,'Solid Mix In Nutrition'!I:I,1)))  * _xlfn.XLOOKUP($H10,'Solid Mix In Nutrition'!A:A,'Solid Mix In Nutrition'!C:C,0))+(($W10 / MAX(1, _xlfn.XLOOKUP($I10,'Solid Mix In Nutrition'!A:A,'Solid Mix In Nutrition'!I:I,1)))  * _xlfn.XLOOKUP($I10,'Solid Mix In Nutrition'!A:A,'Solid Mix In Nutrition'!C:C,0))+(($X10 / 100)  * _xlfn.XLOOKUP($J10,'Sweetener Mix In Nutrition'!A:A,'Sweetener Mix In Nutrition'!C:C,0))+(($Y10 / 100)  * _xlfn.XLOOKUP($K10,'Sweetener Mix In Nutrition'!A:A,'Sweetener Mix In Nutrition'!C:C,0))</f>
        <v>#N/A</v>
      </c>
      <c r="AF10" s="38" t="e">
        <f>$AE10 / (_xlfn.XLOOKUP($L10,Specs!A:A,Specs!B:B,0))</f>
        <v>#N/A</v>
      </c>
      <c r="AG10" s="37" t="e">
        <f>60* ($AB10 / _xlfn.XLOOKUP($L10,Specs!A:A,Specs!B:B,0))</f>
        <v>#N/A</v>
      </c>
      <c r="AH10" s="37" t="e">
        <f>60* (AC10 / _xlfn.XLOOKUP($L10,Specs!$A:$A,Specs!$B:$B,0))</f>
        <v>#N/A</v>
      </c>
      <c r="AI10" s="37" t="e">
        <f>60* (AE10 / _xlfn.XLOOKUP($L10,Specs!$A:$A,Specs!$B:$B,0))</f>
        <v>#N/A</v>
      </c>
      <c r="AJ10" s="39" t="e">
        <v>#N/A</v>
      </c>
      <c r="AK10" s="46" t="s">
        <v>647</v>
      </c>
      <c r="AL10" s="47" t="s">
        <v>646</v>
      </c>
      <c r="AM10" s="40">
        <v>0</v>
      </c>
      <c r="AN10" s="48" t="e">
        <v>#N/A</v>
      </c>
      <c r="AO10" s="40" t="e">
        <v>#N/A</v>
      </c>
      <c r="AP10" s="30"/>
      <c r="AQ10" t="str">
        <f>_xlfn.XLOOKUP("What's Your Number?",[1]Sheet1!$1:$1,[1]Sheet1!10:10)</f>
        <v>954-123-4567</v>
      </c>
    </row>
    <row r="11" spans="1:43" x14ac:dyDescent="0.25">
      <c r="A11" s="44" t="s">
        <v>663</v>
      </c>
      <c r="B11" s="76" t="s">
        <v>664</v>
      </c>
      <c r="C11" s="31" t="s">
        <v>646</v>
      </c>
      <c r="D11" s="31" t="e">
        <v>#N/A</v>
      </c>
      <c r="E11" s="31" t="e">
        <v>#N/A</v>
      </c>
      <c r="F11" s="31" t="e">
        <v>#N/A</v>
      </c>
      <c r="G11" s="31" t="e">
        <v>#N/A</v>
      </c>
      <c r="H11" s="31" t="e">
        <v>#N/A</v>
      </c>
      <c r="I11" s="31" t="e">
        <v>#N/A</v>
      </c>
      <c r="J11" s="31" t="s">
        <v>510</v>
      </c>
      <c r="K11" s="31" t="e">
        <v>#N/A</v>
      </c>
      <c r="L11" s="77" t="s">
        <v>4</v>
      </c>
      <c r="M11" s="45" t="e">
        <v>#N/A</v>
      </c>
      <c r="N11" s="45" t="e">
        <v>#N/A</v>
      </c>
      <c r="O11" s="45" t="e">
        <v>#N/A</v>
      </c>
      <c r="P11" s="45" t="e">
        <v>#N/A</v>
      </c>
      <c r="Q11" s="45" t="e">
        <v>#N/A</v>
      </c>
      <c r="R11" s="30" t="e">
        <f>(_xlfn.XLOOKUP($L11,Specs!A:A,Specs!B:B,0)-(IF(ISNUMBER(SEARCH("Dulce De Leche", $G11)), 0, $T11))-(IF(ISNUMBER(SEARCH("Dulce De Leche", $F11)), 0, $U11))-(($V11/MAX(1,_xlfn.XLOOKUP($H11,'Solid Mix In Nutrition'!A:A,'Solid Mix In Nutrition'!I:I,1)))*240)-(($W11/MAX(1,_xlfn.XLOOKUP($I11,'Solid Mix In Nutrition'!A:A,'Solid Mix In Nutrition'!I:I,1)))*240))*0.66</f>
        <v>#N/A</v>
      </c>
      <c r="S11" s="30" t="e">
        <f>(_xlfn.XLOOKUP($L11,Specs!A:A,Specs!B:B,0)-(IF(ISNUMBER(SEARCH("Dulce De Leche", $G11)), 0, $T11))-(IF(ISNUMBER(SEARCH("Dulce De Leche", $F11)), 0, $U11))-(($V11/MAX(1,_xlfn.XLOOKUP($H11,'Solid Mix In Nutrition'!A:A,'Solid Mix In Nutrition'!I:I,1)))*240)-(($W11/MAX(1,_xlfn.XLOOKUP($I11,'Solid Mix In Nutrition'!A:A,'Solid Mix In Nutrition'!I:I,1)))*240))*0.33</f>
        <v>#N/A</v>
      </c>
      <c r="T11" s="30" t="e">
        <f>_xlfn.XLOOKUP($M11,Specs!$D:$D,Specs!$E:$E,0)*15*_xlfn.XLOOKUP($L11,Specs!$A:$A,Specs!$C:$C,0)</f>
        <v>#N/A</v>
      </c>
      <c r="U11" s="30" t="e">
        <f>_xlfn.XLOOKUP($N11,Specs!$D:$D,Specs!$E:$E,0)*15*_xlfn.XLOOKUP($L11,Specs!$A:$A,Specs!$C:$C,0)</f>
        <v>#N/A</v>
      </c>
      <c r="V11" s="30" t="e">
        <f>( ((_xlfn.XLOOKUP($O11,Specs!$H:$H,Specs!$I:$I,0)*_xlfn.XLOOKUP($L11,Specs!$A:$A,Specs!$B:$B,0))/240) *_xlfn.XLOOKUP($H11,'Solid Mix In Nutrition'!A:A,'Solid Mix In Nutrition'!I:I,0)) *IF(AND(NOT($I11=0), COUNTA($I11)),0.5,1)</f>
        <v>#N/A</v>
      </c>
      <c r="W11" s="30" t="e">
        <f>( ((_xlfn.XLOOKUP($O11,Specs!$H:$H,Specs!$I:$I,0)*_xlfn.XLOOKUP($L11,Specs!$A:$A,Specs!$B:$B,0))/240) *_xlfn.XLOOKUP($I11,'Solid Mix In Nutrition'!A:A,'Solid Mix In Nutrition'!I:I,0)) *IF(AND(NOT($I11=0), COUNTA($I11)),0.5,0)</f>
        <v>#N/A</v>
      </c>
      <c r="X11" s="30" t="e">
        <f>_xlfn.XLOOKUP($P11,Specs!F:F,Specs!G:G,0)*_xlfn.XLOOKUP($J11,'Sweetener Mix In Nutrition'!A:A,'Sweetener Mix In Nutrition'!I:I,0)*_xlfn.XLOOKUP($L11,Specs!A:A,Specs!C:C,0)</f>
        <v>#N/A</v>
      </c>
      <c r="Y11" s="30" t="e">
        <f>_xlfn.XLOOKUP($Q11,Specs!F:F,Specs!G:G,0)*_xlfn.XLOOKUP($K11,'Sweetener Mix In Nutrition'!A:A,'Sweetener Mix In Nutrition'!I:I,0)*_xlfn.XLOOKUP($L11,Specs!A:A,Specs!C:C,0)</f>
        <v>#N/A</v>
      </c>
      <c r="Z11" s="34" t="e">
        <f t="shared" si="0"/>
        <v>#N/A</v>
      </c>
      <c r="AA11" s="35" t="e">
        <f t="shared" si="1"/>
        <v>#N/A</v>
      </c>
      <c r="AB11" s="36" t="e">
        <f>(($R11 / 240) * _xlfn.XLOOKUP($D11,'Milk Types Nutrition Per Cup'!A:A,'Milk Types Nutrition Per Cup'!B:B,0)) +(($S11 / 240)  * _xlfn.XLOOKUP($E11,'Milk Types Nutrition Per Cup'!A:A,'Milk Types Nutrition Per Cup'!B:B,0)) +(($T11 / 15)  * _xlfn.XLOOKUP($F11,'Liquid Mix In Nutrition'!A:A,'Liquid Mix In Nutrition'!B:B,0))+(($U11 / 15)  * _xlfn.XLOOKUP($G11,'Liquid Mix In Nutrition'!A:A,'Liquid Mix In Nutrition'!B:B,0))+(($V11 /MAX(1, _xlfn.XLOOKUP($H11,'Solid Mix In Nutrition'!A:A,'Solid Mix In Nutrition'!I:I,1)))  * _xlfn.XLOOKUP($H11,'Solid Mix In Nutrition'!A:A,'Solid Mix In Nutrition'!B:B,0))+(($W11 / MAX(1, _xlfn.XLOOKUP($I11,'Solid Mix In Nutrition'!A:A,'Solid Mix In Nutrition'!I:I,1))))+(($X11 / 100)  * _xlfn.XLOOKUP($J11,'Sweetener Mix In Nutrition'!A:A,'Sweetener Mix In Nutrition'!B:B,0))+(($Y11 / 100)  * _xlfn.XLOOKUP($K11,'Sweetener Mix In Nutrition'!A:A,'Sweetener Mix In Nutrition'!B:B,0))</f>
        <v>#N/A</v>
      </c>
      <c r="AC11" s="36" t="e">
        <f>(($R11 / 240) * _xlfn.XLOOKUP($D11,'Milk Types Nutrition Per Cup'!A:A,'Milk Types Nutrition Per Cup'!E:E,0)) +(($S11 / 240)  * _xlfn.XLOOKUP($E11,'Milk Types Nutrition Per Cup'!A:A,'Milk Types Nutrition Per Cup'!E:E,0)) +(($T11 / 15)  * _xlfn.XLOOKUP($F11,'Liquid Mix In Nutrition'!A:A,'Liquid Mix In Nutrition'!E:E,0)) +(($U11 / 15)  * _xlfn.XLOOKUP($G11,'Liquid Mix In Nutrition'!A:A,'Liquid Mix In Nutrition'!E:E,0))+(($V11 / MAX(1, _xlfn.XLOOKUP($H11,'Solid Mix In Nutrition'!A:A,'Solid Mix In Nutrition'!I:I,1)))  * _xlfn.XLOOKUP($H11,'Solid Mix In Nutrition'!A:A,'Solid Mix In Nutrition'!E:E,0))+(($W11 / MAX(1, _xlfn.XLOOKUP($I11,'Solid Mix In Nutrition'!A:A,'Solid Mix In Nutrition'!I:I,1)))  * _xlfn.XLOOKUP($I11,'Solid Mix In Nutrition'!A:A,'Solid Mix In Nutrition'!G:G,0))+(($X11 / 100)  * _xlfn.XLOOKUP($J11,'Sweetener Mix In Nutrition'!A:A,'Sweetener Mix In Nutrition'!E:E,0))+(($Y11 / 100)  * _xlfn.XLOOKUP($K11,'Sweetener Mix In Nutrition'!A:A,'Sweetener Mix In Nutrition'!E:E,0))</f>
        <v>#N/A</v>
      </c>
      <c r="AD11" s="36" t="e">
        <f>(($R11 / 240) * _xlfn.XLOOKUP($D11,'Milk Types Nutrition Per Cup'!A:A,'Milk Types Nutrition Per Cup'!E:E,0)) +(($S11 / 240)  * _xlfn.XLOOKUP($E11,'Milk Types Nutrition Per Cup'!A:A,'Milk Types Nutrition Per Cup'!E:E,0)) +(($T11 / 15)  * _xlfn.XLOOKUP($F11,'Liquid Mix In Nutrition'!A:A,'Liquid Mix In Nutrition'!E:E,0)) +(($U11 / 15)  * _xlfn.XLOOKUP($G11,'Liquid Mix In Nutrition'!A:A,'Liquid Mix In Nutrition'!E:E,0))+(($X11 / 100)  * _xlfn.XLOOKUP($J11,'Sweetener Mix In Nutrition'!A:A,'Sweetener Mix In Nutrition'!E:E,0))+(($Y11 / 100)  * _xlfn.XLOOKUP($K11,'Sweetener Mix In Nutrition'!A:A,'Sweetener Mix In Nutrition'!E:E,0))</f>
        <v>#N/A</v>
      </c>
      <c r="AE11" s="37" t="e">
        <f>(($R11 / 240) * _xlfn.XLOOKUP($D11,'Milk Types Nutrition Per Cup'!A:A,'Milk Types Nutrition Per Cup'!C:C,0)) +(($S11 / 240)  * _xlfn.XLOOKUP($E11,'Milk Types Nutrition Per Cup'!A:A,'Milk Types Nutrition Per Cup'!C:C,0)) +(($T11 / 15)  * _xlfn.XLOOKUP($F11,'Liquid Mix In Nutrition'!A:A,'Liquid Mix In Nutrition'!C:C,0))+(($U11 / 15)  * _xlfn.XLOOKUP($G11,'Liquid Mix In Nutrition'!A:A,'Liquid Mix In Nutrition'!C:C,0))+(($V11 / MAX(1, _xlfn.XLOOKUP($H11,'Solid Mix In Nutrition'!A:A,'Solid Mix In Nutrition'!I:I,1)))  * _xlfn.XLOOKUP($H11,'Solid Mix In Nutrition'!A:A,'Solid Mix In Nutrition'!C:C,0))+(($W11 / MAX(1, _xlfn.XLOOKUP($I11,'Solid Mix In Nutrition'!A:A,'Solid Mix In Nutrition'!I:I,1)))  * _xlfn.XLOOKUP($I11,'Solid Mix In Nutrition'!A:A,'Solid Mix In Nutrition'!C:C,0))+(($X11 / 100)  * _xlfn.XLOOKUP($J11,'Sweetener Mix In Nutrition'!A:A,'Sweetener Mix In Nutrition'!C:C,0))+(($Y11 / 100)  * _xlfn.XLOOKUP($K11,'Sweetener Mix In Nutrition'!A:A,'Sweetener Mix In Nutrition'!C:C,0))</f>
        <v>#N/A</v>
      </c>
      <c r="AF11" s="38" t="e">
        <f>$AE11 / (_xlfn.XLOOKUP($L11,Specs!A:A,Specs!B:B,0))</f>
        <v>#N/A</v>
      </c>
      <c r="AG11" s="37" t="e">
        <f>60* ($AB11 / _xlfn.XLOOKUP($L11,Specs!A:A,Specs!B:B,0))</f>
        <v>#N/A</v>
      </c>
      <c r="AH11" s="37" t="e">
        <f>60* (AC11 / _xlfn.XLOOKUP($L11,Specs!$A:$A,Specs!$B:$B,0))</f>
        <v>#N/A</v>
      </c>
      <c r="AI11" s="37" t="e">
        <f>60* (AE11 / _xlfn.XLOOKUP($L11,Specs!$A:$A,Specs!$B:$B,0))</f>
        <v>#N/A</v>
      </c>
      <c r="AJ11" s="39" t="e">
        <v>#N/A</v>
      </c>
      <c r="AK11" s="46" t="s">
        <v>665</v>
      </c>
      <c r="AL11" s="47" t="s">
        <v>646</v>
      </c>
      <c r="AM11" s="40">
        <v>0</v>
      </c>
      <c r="AN11" s="48" t="e">
        <v>#N/A</v>
      </c>
      <c r="AO11" s="40" t="e">
        <v>#N/A</v>
      </c>
      <c r="AP11" s="30"/>
      <c r="AQ11" t="str">
        <f>_xlfn.XLOOKUP("What's Your Number?",[1]Sheet1!$1:$1,[1]Sheet1!11:11)</f>
        <v>954-123-4567</v>
      </c>
    </row>
    <row r="12" spans="1:43" x14ac:dyDescent="0.25">
      <c r="A12" s="44" t="s">
        <v>666</v>
      </c>
      <c r="B12" s="76" t="s">
        <v>664</v>
      </c>
      <c r="C12" s="31" t="s">
        <v>508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31">
        <v>0</v>
      </c>
      <c r="J12" s="31">
        <v>0</v>
      </c>
      <c r="K12" s="31">
        <v>0</v>
      </c>
      <c r="L12" s="77" t="s">
        <v>43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30">
        <f>(_xlfn.XLOOKUP($L12,Specs!A:A,Specs!B:B,0)-(IF(ISNUMBER(SEARCH("Dulce De Leche", $G12)), 0, $T12))-(IF(ISNUMBER(SEARCH("Dulce De Leche", $F12)), 0, $U12))-(($V12/MAX(1,_xlfn.XLOOKUP($H12,'Solid Mix In Nutrition'!A:A,'Solid Mix In Nutrition'!I:I,1)))*240)-(($W12/MAX(1,_xlfn.XLOOKUP($I12,'Solid Mix In Nutrition'!A:A,'Solid Mix In Nutrition'!I:I,1)))*240))*0.66</f>
        <v>624.36</v>
      </c>
      <c r="S12" s="30">
        <f>(_xlfn.XLOOKUP($L12,Specs!A:A,Specs!B:B,0)-(IF(ISNUMBER(SEARCH("Dulce De Leche", $G12)), 0, $T12))-(IF(ISNUMBER(SEARCH("Dulce De Leche", $F12)), 0, $U12))-(($V12/MAX(1,_xlfn.XLOOKUP($H12,'Solid Mix In Nutrition'!A:A,'Solid Mix In Nutrition'!I:I,1)))*240)-(($W12/MAX(1,_xlfn.XLOOKUP($I12,'Solid Mix In Nutrition'!A:A,'Solid Mix In Nutrition'!I:I,1)))*240))*0.33</f>
        <v>312.18</v>
      </c>
      <c r="T12" s="30">
        <f>_xlfn.XLOOKUP($M12,Specs!$D:$D,Specs!$E:$E,0)*15*_xlfn.XLOOKUP($L12,Specs!$A:$A,Specs!$C:$C,0)</f>
        <v>0</v>
      </c>
      <c r="U12" s="30">
        <f>_xlfn.XLOOKUP($N12,Specs!$D:$D,Specs!$E:$E,0)*15*_xlfn.XLOOKUP($L12,Specs!$A:$A,Specs!$C:$C,0)</f>
        <v>0</v>
      </c>
      <c r="V12" s="30">
        <f>( ((_xlfn.XLOOKUP($O12,Specs!$H:$H,Specs!$I:$I,0)*_xlfn.XLOOKUP($L12,Specs!$A:$A,Specs!$B:$B,0))/240) *_xlfn.XLOOKUP($H12,'Solid Mix In Nutrition'!A:A,'Solid Mix In Nutrition'!I:I,0)) *IF(AND(NOT($I12=0), COUNTA($I12)),0.5,1)</f>
        <v>0</v>
      </c>
      <c r="W12" s="30">
        <f>( ((_xlfn.XLOOKUP($O12,Specs!$H:$H,Specs!$I:$I,0)*_xlfn.XLOOKUP($L12,Specs!$A:$A,Specs!$B:$B,0))/240) *_xlfn.XLOOKUP($I12,'Solid Mix In Nutrition'!A:A,'Solid Mix In Nutrition'!I:I,0)) *IF(AND(NOT($I12=0), COUNTA($I12)),0.5,0)</f>
        <v>0</v>
      </c>
      <c r="X12" s="30">
        <f>_xlfn.XLOOKUP($P12,Specs!F:F,Specs!G:G,0)*_xlfn.XLOOKUP($J12,'Sweetener Mix In Nutrition'!A:A,'Sweetener Mix In Nutrition'!I:I,0)*_xlfn.XLOOKUP($L12,Specs!A:A,Specs!C:C,0)</f>
        <v>0</v>
      </c>
      <c r="Y12" s="30">
        <f>_xlfn.XLOOKUP($Q12,Specs!F:F,Specs!G:G,0)*_xlfn.XLOOKUP($K12,'Sweetener Mix In Nutrition'!A:A,'Sweetener Mix In Nutrition'!I:I,0)*_xlfn.XLOOKUP($L12,Specs!A:A,Specs!C:C,0)</f>
        <v>0</v>
      </c>
      <c r="Z12" s="34">
        <f t="shared" si="0"/>
        <v>1.123848</v>
      </c>
      <c r="AA12" s="35">
        <f t="shared" si="1"/>
        <v>0.25</v>
      </c>
      <c r="AB12" s="36">
        <f>(($R12 / 240) * _xlfn.XLOOKUP($D12,'Milk Types Nutrition Per Cup'!A:A,'Milk Types Nutrition Per Cup'!B:B,0)) +(($S12 / 240)  * _xlfn.XLOOKUP($E12,'Milk Types Nutrition Per Cup'!A:A,'Milk Types Nutrition Per Cup'!B:B,0)) +(($T12 / 15)  * _xlfn.XLOOKUP($F12,'Liquid Mix In Nutrition'!A:A,'Liquid Mix In Nutrition'!B:B,0))+(($U12 / 15)  * _xlfn.XLOOKUP($G12,'Liquid Mix In Nutrition'!A:A,'Liquid Mix In Nutrition'!B:B,0))+(($V12 /MAX(1, _xlfn.XLOOKUP($H12,'Solid Mix In Nutrition'!A:A,'Solid Mix In Nutrition'!I:I,1)))  * _xlfn.XLOOKUP($H12,'Solid Mix In Nutrition'!A:A,'Solid Mix In Nutrition'!B:B,0))+(($W12 / MAX(1, _xlfn.XLOOKUP($I12,'Solid Mix In Nutrition'!A:A,'Solid Mix In Nutrition'!I:I,1))))+(($X12 / 100)  * _xlfn.XLOOKUP($J12,'Sweetener Mix In Nutrition'!A:A,'Sweetener Mix In Nutrition'!B:B,0))+(($Y12 / 100)  * _xlfn.XLOOKUP($K12,'Sweetener Mix In Nutrition'!A:A,'Sweetener Mix In Nutrition'!B:B,0))</f>
        <v>0</v>
      </c>
      <c r="AC12" s="36">
        <f>(($R12 / 240) * _xlfn.XLOOKUP($D12,'Milk Types Nutrition Per Cup'!A:A,'Milk Types Nutrition Per Cup'!E:E,0)) +(($S12 / 240)  * _xlfn.XLOOKUP($E12,'Milk Types Nutrition Per Cup'!A:A,'Milk Types Nutrition Per Cup'!E:E,0)) +(($T12 / 15)  * _xlfn.XLOOKUP($F12,'Liquid Mix In Nutrition'!A:A,'Liquid Mix In Nutrition'!E:E,0)) +(($U12 / 15)  * _xlfn.XLOOKUP($G12,'Liquid Mix In Nutrition'!A:A,'Liquid Mix In Nutrition'!E:E,0))+(($V12 / MAX(1, _xlfn.XLOOKUP($H12,'Solid Mix In Nutrition'!A:A,'Solid Mix In Nutrition'!I:I,1)))  * _xlfn.XLOOKUP($H12,'Solid Mix In Nutrition'!A:A,'Solid Mix In Nutrition'!E:E,0))+(($W12 / MAX(1, _xlfn.XLOOKUP($I12,'Solid Mix In Nutrition'!A:A,'Solid Mix In Nutrition'!I:I,1)))  * _xlfn.XLOOKUP($I12,'Solid Mix In Nutrition'!A:A,'Solid Mix In Nutrition'!G:G,0))+(($X12 / 100)  * _xlfn.XLOOKUP($J12,'Sweetener Mix In Nutrition'!A:A,'Sweetener Mix In Nutrition'!E:E,0))+(($Y12 / 100)  * _xlfn.XLOOKUP($K12,'Sweetener Mix In Nutrition'!A:A,'Sweetener Mix In Nutrition'!E:E,0))</f>
        <v>0</v>
      </c>
      <c r="AD12" s="36">
        <f>(($R12 / 240) * _xlfn.XLOOKUP($D12,'Milk Types Nutrition Per Cup'!A:A,'Milk Types Nutrition Per Cup'!E:E,0)) +(($S12 / 240)  * _xlfn.XLOOKUP($E12,'Milk Types Nutrition Per Cup'!A:A,'Milk Types Nutrition Per Cup'!E:E,0)) +(($T12 / 15)  * _xlfn.XLOOKUP($F12,'Liquid Mix In Nutrition'!A:A,'Liquid Mix In Nutrition'!E:E,0)) +(($U12 / 15)  * _xlfn.XLOOKUP($G12,'Liquid Mix In Nutrition'!A:A,'Liquid Mix In Nutrition'!E:E,0))+(($X12 / 100)  * _xlfn.XLOOKUP($J12,'Sweetener Mix In Nutrition'!A:A,'Sweetener Mix In Nutrition'!E:E,0))+(($Y12 / 100)  * _xlfn.XLOOKUP($K12,'Sweetener Mix In Nutrition'!A:A,'Sweetener Mix In Nutrition'!E:E,0))</f>
        <v>0</v>
      </c>
      <c r="AE12" s="37">
        <f>(($R12 / 240) * _xlfn.XLOOKUP($D12,'Milk Types Nutrition Per Cup'!A:A,'Milk Types Nutrition Per Cup'!C:C,0)) +(($S12 / 240)  * _xlfn.XLOOKUP($E12,'Milk Types Nutrition Per Cup'!A:A,'Milk Types Nutrition Per Cup'!C:C,0)) +(($T12 / 15)  * _xlfn.XLOOKUP($F12,'Liquid Mix In Nutrition'!A:A,'Liquid Mix In Nutrition'!C:C,0))+(($U12 / 15)  * _xlfn.XLOOKUP($G12,'Liquid Mix In Nutrition'!A:A,'Liquid Mix In Nutrition'!C:C,0))+(($V12 / MAX(1, _xlfn.XLOOKUP($H12,'Solid Mix In Nutrition'!A:A,'Solid Mix In Nutrition'!I:I,1)))  * _xlfn.XLOOKUP($H12,'Solid Mix In Nutrition'!A:A,'Solid Mix In Nutrition'!C:C,0))+(($W12 / MAX(1, _xlfn.XLOOKUP($I12,'Solid Mix In Nutrition'!A:A,'Solid Mix In Nutrition'!I:I,1)))  * _xlfn.XLOOKUP($I12,'Solid Mix In Nutrition'!A:A,'Solid Mix In Nutrition'!C:C,0))+(($X12 / 100)  * _xlfn.XLOOKUP($J12,'Sweetener Mix In Nutrition'!A:A,'Sweetener Mix In Nutrition'!C:C,0))+(($Y12 / 100)  * _xlfn.XLOOKUP($K12,'Sweetener Mix In Nutrition'!A:A,'Sweetener Mix In Nutrition'!C:C,0))</f>
        <v>0</v>
      </c>
      <c r="AF12" s="38">
        <f>$AE12 / (_xlfn.XLOOKUP($L12,Specs!A:A,Specs!B:B,0))</f>
        <v>0</v>
      </c>
      <c r="AG12" s="37">
        <f>60* ($AB12 / _xlfn.XLOOKUP($L12,Specs!A:A,Specs!B:B,0))</f>
        <v>0</v>
      </c>
      <c r="AH12" s="37">
        <f>60* (AC12 / _xlfn.XLOOKUP($L12,Specs!$A:$A,Specs!$B:$B,0))</f>
        <v>0</v>
      </c>
      <c r="AI12" s="37">
        <f>60* (AE12 / _xlfn.XLOOKUP($L12,Specs!$A:$A,Specs!$B:$B,0))</f>
        <v>0</v>
      </c>
      <c r="AJ12" s="39">
        <v>0</v>
      </c>
      <c r="AK12" s="46" t="s">
        <v>647</v>
      </c>
      <c r="AL12" s="47" t="s">
        <v>646</v>
      </c>
      <c r="AM12" s="40">
        <v>0</v>
      </c>
      <c r="AN12" s="48">
        <v>1</v>
      </c>
      <c r="AO12" s="40">
        <v>1</v>
      </c>
      <c r="AP12" s="30"/>
      <c r="AQ12" t="str">
        <f>_xlfn.XLOOKUP("What's Your Number?",[1]Sheet1!$1:$1,[1]Sheet1!12:12)</f>
        <v>123-456-7890</v>
      </c>
    </row>
    <row r="13" spans="1:43" x14ac:dyDescent="0.25">
      <c r="A13" s="44" t="s">
        <v>667</v>
      </c>
      <c r="B13" s="76" t="s">
        <v>668</v>
      </c>
      <c r="C13" s="31" t="s">
        <v>508</v>
      </c>
      <c r="D13" s="31">
        <v>0</v>
      </c>
      <c r="E13" s="31">
        <v>0</v>
      </c>
      <c r="F13" s="31">
        <v>0</v>
      </c>
      <c r="G13" s="31">
        <v>0</v>
      </c>
      <c r="H13" s="31">
        <v>0</v>
      </c>
      <c r="I13" s="31">
        <v>0</v>
      </c>
      <c r="J13" s="31">
        <v>0</v>
      </c>
      <c r="K13" s="31">
        <v>0</v>
      </c>
      <c r="L13" s="77" t="s">
        <v>43</v>
      </c>
      <c r="M13" s="45">
        <v>0</v>
      </c>
      <c r="N13" s="45">
        <v>0</v>
      </c>
      <c r="O13" s="45">
        <v>0</v>
      </c>
      <c r="P13" s="45">
        <v>0</v>
      </c>
      <c r="Q13" s="45">
        <v>0</v>
      </c>
      <c r="R13" s="30">
        <f>(_xlfn.XLOOKUP($L13,Specs!A:A,Specs!B:B,0)-(IF(ISNUMBER(SEARCH("Dulce De Leche", $G13)), 0, $T13))-(IF(ISNUMBER(SEARCH("Dulce De Leche", $F13)), 0, $U13))-(($V13/MAX(1,_xlfn.XLOOKUP($H13,'Solid Mix In Nutrition'!A:A,'Solid Mix In Nutrition'!I:I,1)))*240)-(($W13/MAX(1,_xlfn.XLOOKUP($I13,'Solid Mix In Nutrition'!A:A,'Solid Mix In Nutrition'!I:I,1)))*240))*0.66</f>
        <v>624.36</v>
      </c>
      <c r="S13" s="30">
        <f>(_xlfn.XLOOKUP($L13,Specs!A:A,Specs!B:B,0)-(IF(ISNUMBER(SEARCH("Dulce De Leche", $G13)), 0, $T13))-(IF(ISNUMBER(SEARCH("Dulce De Leche", $F13)), 0, $U13))-(($V13/MAX(1,_xlfn.XLOOKUP($H13,'Solid Mix In Nutrition'!A:A,'Solid Mix In Nutrition'!I:I,1)))*240)-(($W13/MAX(1,_xlfn.XLOOKUP($I13,'Solid Mix In Nutrition'!A:A,'Solid Mix In Nutrition'!I:I,1)))*240))*0.33</f>
        <v>312.18</v>
      </c>
      <c r="T13" s="30">
        <f>_xlfn.XLOOKUP($M13,Specs!$D:$D,Specs!$E:$E,0)*15*_xlfn.XLOOKUP($L13,Specs!$A:$A,Specs!$C:$C,0)</f>
        <v>0</v>
      </c>
      <c r="U13" s="30">
        <f>_xlfn.XLOOKUP($N13,Specs!$D:$D,Specs!$E:$E,0)*15*_xlfn.XLOOKUP($L13,Specs!$A:$A,Specs!$C:$C,0)</f>
        <v>0</v>
      </c>
      <c r="V13" s="30">
        <f>( ((_xlfn.XLOOKUP($O13,Specs!$H:$H,Specs!$I:$I,0)*_xlfn.XLOOKUP($L13,Specs!$A:$A,Specs!$B:$B,0))/240) *_xlfn.XLOOKUP($H13,'Solid Mix In Nutrition'!A:A,'Solid Mix In Nutrition'!I:I,0)) *IF(AND(NOT($I13=0), COUNTA($I13)),0.5,1)</f>
        <v>0</v>
      </c>
      <c r="W13" s="30">
        <f>( ((_xlfn.XLOOKUP($O13,Specs!$H:$H,Specs!$I:$I,0)*_xlfn.XLOOKUP($L13,Specs!$A:$A,Specs!$B:$B,0))/240) *_xlfn.XLOOKUP($I13,'Solid Mix In Nutrition'!A:A,'Solid Mix In Nutrition'!I:I,0)) *IF(AND(NOT($I13=0), COUNTA($I13)),0.5,0)</f>
        <v>0</v>
      </c>
      <c r="X13" s="30">
        <f>_xlfn.XLOOKUP($P13,Specs!F:F,Specs!G:G,0)*_xlfn.XLOOKUP($J13,'Sweetener Mix In Nutrition'!A:A,'Sweetener Mix In Nutrition'!I:I,0)*_xlfn.XLOOKUP($L13,Specs!A:A,Specs!C:C,0)</f>
        <v>0</v>
      </c>
      <c r="Y13" s="30">
        <f>_xlfn.XLOOKUP($Q13,Specs!F:F,Specs!G:G,0)*_xlfn.XLOOKUP($K13,'Sweetener Mix In Nutrition'!A:A,'Sweetener Mix In Nutrition'!I:I,0)*_xlfn.XLOOKUP($L13,Specs!A:A,Specs!C:C,0)</f>
        <v>0</v>
      </c>
      <c r="Z13" s="34">
        <f t="shared" si="0"/>
        <v>1.123848</v>
      </c>
      <c r="AA13" s="35">
        <f t="shared" si="1"/>
        <v>0.25</v>
      </c>
      <c r="AB13" s="36">
        <f>(($R13 / 240) * _xlfn.XLOOKUP($D13,'Milk Types Nutrition Per Cup'!A:A,'Milk Types Nutrition Per Cup'!B:B,0)) +(($S13 / 240)  * _xlfn.XLOOKUP($E13,'Milk Types Nutrition Per Cup'!A:A,'Milk Types Nutrition Per Cup'!B:B,0)) +(($T13 / 15)  * _xlfn.XLOOKUP($F13,'Liquid Mix In Nutrition'!A:A,'Liquid Mix In Nutrition'!B:B,0))+(($U13 / 15)  * _xlfn.XLOOKUP($G13,'Liquid Mix In Nutrition'!A:A,'Liquid Mix In Nutrition'!B:B,0))+(($V13 /MAX(1, _xlfn.XLOOKUP($H13,'Solid Mix In Nutrition'!A:A,'Solid Mix In Nutrition'!I:I,1)))  * _xlfn.XLOOKUP($H13,'Solid Mix In Nutrition'!A:A,'Solid Mix In Nutrition'!B:B,0))+(($W13 / MAX(1, _xlfn.XLOOKUP($I13,'Solid Mix In Nutrition'!A:A,'Solid Mix In Nutrition'!I:I,1))))+(($X13 / 100)  * _xlfn.XLOOKUP($J13,'Sweetener Mix In Nutrition'!A:A,'Sweetener Mix In Nutrition'!B:B,0))+(($Y13 / 100)  * _xlfn.XLOOKUP($K13,'Sweetener Mix In Nutrition'!A:A,'Sweetener Mix In Nutrition'!B:B,0))</f>
        <v>0</v>
      </c>
      <c r="AC13" s="36">
        <f>(($R13 / 240) * _xlfn.XLOOKUP($D13,'Milk Types Nutrition Per Cup'!A:A,'Milk Types Nutrition Per Cup'!E:E,0)) +(($S13 / 240)  * _xlfn.XLOOKUP($E13,'Milk Types Nutrition Per Cup'!A:A,'Milk Types Nutrition Per Cup'!E:E,0)) +(($T13 / 15)  * _xlfn.XLOOKUP($F13,'Liquid Mix In Nutrition'!A:A,'Liquid Mix In Nutrition'!E:E,0)) +(($U13 / 15)  * _xlfn.XLOOKUP($G13,'Liquid Mix In Nutrition'!A:A,'Liquid Mix In Nutrition'!E:E,0))+(($V13 / MAX(1, _xlfn.XLOOKUP($H13,'Solid Mix In Nutrition'!A:A,'Solid Mix In Nutrition'!I:I,1)))  * _xlfn.XLOOKUP($H13,'Solid Mix In Nutrition'!A:A,'Solid Mix In Nutrition'!E:E,0))+(($W13 / MAX(1, _xlfn.XLOOKUP($I13,'Solid Mix In Nutrition'!A:A,'Solid Mix In Nutrition'!I:I,1)))  * _xlfn.XLOOKUP($I13,'Solid Mix In Nutrition'!A:A,'Solid Mix In Nutrition'!G:G,0))+(($X13 / 100)  * _xlfn.XLOOKUP($J13,'Sweetener Mix In Nutrition'!A:A,'Sweetener Mix In Nutrition'!E:E,0))+(($Y13 / 100)  * _xlfn.XLOOKUP($K13,'Sweetener Mix In Nutrition'!A:A,'Sweetener Mix In Nutrition'!E:E,0))</f>
        <v>0</v>
      </c>
      <c r="AD13" s="36">
        <f>(($R13 / 240) * _xlfn.XLOOKUP($D13,'Milk Types Nutrition Per Cup'!A:A,'Milk Types Nutrition Per Cup'!E:E,0)) +(($S13 / 240)  * _xlfn.XLOOKUP($E13,'Milk Types Nutrition Per Cup'!A:A,'Milk Types Nutrition Per Cup'!E:E,0)) +(($T13 / 15)  * _xlfn.XLOOKUP($F13,'Liquid Mix In Nutrition'!A:A,'Liquid Mix In Nutrition'!E:E,0)) +(($U13 / 15)  * _xlfn.XLOOKUP($G13,'Liquid Mix In Nutrition'!A:A,'Liquid Mix In Nutrition'!E:E,0))+(($X13 / 100)  * _xlfn.XLOOKUP($J13,'Sweetener Mix In Nutrition'!A:A,'Sweetener Mix In Nutrition'!E:E,0))+(($Y13 / 100)  * _xlfn.XLOOKUP($K13,'Sweetener Mix In Nutrition'!A:A,'Sweetener Mix In Nutrition'!E:E,0))</f>
        <v>0</v>
      </c>
      <c r="AE13" s="37">
        <f>(($R13 / 240) * _xlfn.XLOOKUP($D13,'Milk Types Nutrition Per Cup'!A:A,'Milk Types Nutrition Per Cup'!C:C,0)) +(($S13 / 240)  * _xlfn.XLOOKUP($E13,'Milk Types Nutrition Per Cup'!A:A,'Milk Types Nutrition Per Cup'!C:C,0)) +(($T13 / 15)  * _xlfn.XLOOKUP($F13,'Liquid Mix In Nutrition'!A:A,'Liquid Mix In Nutrition'!C:C,0))+(($U13 / 15)  * _xlfn.XLOOKUP($G13,'Liquid Mix In Nutrition'!A:A,'Liquid Mix In Nutrition'!C:C,0))+(($V13 / MAX(1, _xlfn.XLOOKUP($H13,'Solid Mix In Nutrition'!A:A,'Solid Mix In Nutrition'!I:I,1)))  * _xlfn.XLOOKUP($H13,'Solid Mix In Nutrition'!A:A,'Solid Mix In Nutrition'!C:C,0))+(($W13 / MAX(1, _xlfn.XLOOKUP($I13,'Solid Mix In Nutrition'!A:A,'Solid Mix In Nutrition'!I:I,1)))  * _xlfn.XLOOKUP($I13,'Solid Mix In Nutrition'!A:A,'Solid Mix In Nutrition'!C:C,0))+(($X13 / 100)  * _xlfn.XLOOKUP($J13,'Sweetener Mix In Nutrition'!A:A,'Sweetener Mix In Nutrition'!C:C,0))+(($Y13 / 100)  * _xlfn.XLOOKUP($K13,'Sweetener Mix In Nutrition'!A:A,'Sweetener Mix In Nutrition'!C:C,0))</f>
        <v>0</v>
      </c>
      <c r="AF13" s="38">
        <f>$AE13 / (_xlfn.XLOOKUP($L13,Specs!A:A,Specs!B:B,0))</f>
        <v>0</v>
      </c>
      <c r="AG13" s="37">
        <f>60* ($AB13 / _xlfn.XLOOKUP($L13,Specs!A:A,Specs!B:B,0))</f>
        <v>0</v>
      </c>
      <c r="AH13" s="37">
        <f>60* (AC13 / _xlfn.XLOOKUP($L13,Specs!$A:$A,Specs!$B:$B,0))</f>
        <v>0</v>
      </c>
      <c r="AI13" s="37">
        <f>60* (AE13 / _xlfn.XLOOKUP($L13,Specs!$A:$A,Specs!$B:$B,0))</f>
        <v>0</v>
      </c>
      <c r="AJ13" s="39">
        <v>0</v>
      </c>
      <c r="AK13" s="46" t="s">
        <v>669</v>
      </c>
      <c r="AL13" s="47" t="s">
        <v>646</v>
      </c>
      <c r="AM13" s="40">
        <v>0</v>
      </c>
      <c r="AN13" s="48">
        <v>1</v>
      </c>
      <c r="AO13" s="40">
        <v>1</v>
      </c>
      <c r="AP13" s="30" t="s">
        <v>210</v>
      </c>
      <c r="AQ13" t="str">
        <f>_xlfn.XLOOKUP("What's Your Number?",[1]Sheet1!$1:$1,[1]Sheet1!13:13)</f>
        <v>954-376-2788</v>
      </c>
    </row>
    <row r="14" spans="1:43" x14ac:dyDescent="0.25">
      <c r="A14" s="44" t="s">
        <v>670</v>
      </c>
      <c r="B14" s="76" t="s">
        <v>671</v>
      </c>
      <c r="C14" s="31" t="s">
        <v>646</v>
      </c>
      <c r="D14" s="31" t="e">
        <v>#N/A</v>
      </c>
      <c r="E14" s="31" t="e">
        <v>#N/A</v>
      </c>
      <c r="F14" s="31" t="e">
        <v>#N/A</v>
      </c>
      <c r="G14" s="31" t="e">
        <v>#N/A</v>
      </c>
      <c r="H14" s="31" t="e">
        <v>#N/A</v>
      </c>
      <c r="I14" s="31" t="e">
        <v>#N/A</v>
      </c>
      <c r="J14" s="31" t="s">
        <v>510</v>
      </c>
      <c r="K14" s="31" t="e">
        <v>#N/A</v>
      </c>
      <c r="L14" s="77" t="s">
        <v>4</v>
      </c>
      <c r="M14" s="45" t="e">
        <v>#N/A</v>
      </c>
      <c r="N14" s="45" t="e">
        <v>#N/A</v>
      </c>
      <c r="O14" s="45" t="e">
        <v>#N/A</v>
      </c>
      <c r="P14" s="45" t="e">
        <v>#N/A</v>
      </c>
      <c r="Q14" s="45" t="e">
        <v>#N/A</v>
      </c>
      <c r="R14" s="30" t="e">
        <f>(_xlfn.XLOOKUP($L14,Specs!A:A,Specs!B:B,0)-(IF(ISNUMBER(SEARCH("Dulce De Leche", $G14)), 0, $T14))-(IF(ISNUMBER(SEARCH("Dulce De Leche", $F14)), 0, $U14))-(($V14/MAX(1,_xlfn.XLOOKUP($H14,'Solid Mix In Nutrition'!A:A,'Solid Mix In Nutrition'!I:I,1)))*240)-(($W14/MAX(1,_xlfn.XLOOKUP($I14,'Solid Mix In Nutrition'!A:A,'Solid Mix In Nutrition'!I:I,1)))*240))*0.66</f>
        <v>#N/A</v>
      </c>
      <c r="S14" s="30" t="e">
        <f>(_xlfn.XLOOKUP($L14,Specs!A:A,Specs!B:B,0)-(IF(ISNUMBER(SEARCH("Dulce De Leche", $G14)), 0, $T14))-(IF(ISNUMBER(SEARCH("Dulce De Leche", $F14)), 0, $U14))-(($V14/MAX(1,_xlfn.XLOOKUP($H14,'Solid Mix In Nutrition'!A:A,'Solid Mix In Nutrition'!I:I,1)))*240)-(($W14/MAX(1,_xlfn.XLOOKUP($I14,'Solid Mix In Nutrition'!A:A,'Solid Mix In Nutrition'!I:I,1)))*240))*0.33</f>
        <v>#N/A</v>
      </c>
      <c r="T14" s="30" t="e">
        <f>_xlfn.XLOOKUP($M14,Specs!$D:$D,Specs!$E:$E,0)*15*_xlfn.XLOOKUP($L14,Specs!$A:$A,Specs!$C:$C,0)</f>
        <v>#N/A</v>
      </c>
      <c r="U14" s="30" t="e">
        <f>_xlfn.XLOOKUP($N14,Specs!$D:$D,Specs!$E:$E,0)*15*_xlfn.XLOOKUP($L14,Specs!$A:$A,Specs!$C:$C,0)</f>
        <v>#N/A</v>
      </c>
      <c r="V14" s="30" t="e">
        <f>( ((_xlfn.XLOOKUP($O14,Specs!$H:$H,Specs!$I:$I,0)*_xlfn.XLOOKUP($L14,Specs!$A:$A,Specs!$B:$B,0))/240) *_xlfn.XLOOKUP($H14,'Solid Mix In Nutrition'!A:A,'Solid Mix In Nutrition'!I:I,0)) *IF(AND(NOT($I14=0), COUNTA($I14)),0.5,1)</f>
        <v>#N/A</v>
      </c>
      <c r="W14" s="30" t="e">
        <f>( ((_xlfn.XLOOKUP($O14,Specs!$H:$H,Specs!$I:$I,0)*_xlfn.XLOOKUP($L14,Specs!$A:$A,Specs!$B:$B,0))/240) *_xlfn.XLOOKUP($I14,'Solid Mix In Nutrition'!A:A,'Solid Mix In Nutrition'!I:I,0)) *IF(AND(NOT($I14=0), COUNTA($I14)),0.5,0)</f>
        <v>#N/A</v>
      </c>
      <c r="X14" s="30" t="e">
        <f>_xlfn.XLOOKUP($P14,Specs!F:F,Specs!G:G,0)*_xlfn.XLOOKUP($J14,'Sweetener Mix In Nutrition'!A:A,'Sweetener Mix In Nutrition'!I:I,0)*_xlfn.XLOOKUP($L14,Specs!A:A,Specs!C:C,0)</f>
        <v>#N/A</v>
      </c>
      <c r="Y14" s="30" t="e">
        <f>_xlfn.XLOOKUP($Q14,Specs!F:F,Specs!G:G,0)*_xlfn.XLOOKUP($K14,'Sweetener Mix In Nutrition'!A:A,'Sweetener Mix In Nutrition'!I:I,0)*_xlfn.XLOOKUP($L14,Specs!A:A,Specs!C:C,0)</f>
        <v>#N/A</v>
      </c>
      <c r="Z14" s="34" t="e">
        <f t="shared" si="0"/>
        <v>#N/A</v>
      </c>
      <c r="AA14" s="35" t="e">
        <f t="shared" si="1"/>
        <v>#N/A</v>
      </c>
      <c r="AB14" s="36" t="e">
        <f>(($R14 / 240) * _xlfn.XLOOKUP($D14,'Milk Types Nutrition Per Cup'!A:A,'Milk Types Nutrition Per Cup'!B:B,0)) +(($S14 / 240)  * _xlfn.XLOOKUP($E14,'Milk Types Nutrition Per Cup'!A:A,'Milk Types Nutrition Per Cup'!B:B,0)) +(($T14 / 15)  * _xlfn.XLOOKUP($F14,'Liquid Mix In Nutrition'!A:A,'Liquid Mix In Nutrition'!B:B,0))+(($U14 / 15)  * _xlfn.XLOOKUP($G14,'Liquid Mix In Nutrition'!A:A,'Liquid Mix In Nutrition'!B:B,0))+(($V14 /MAX(1, _xlfn.XLOOKUP($H14,'Solid Mix In Nutrition'!A:A,'Solid Mix In Nutrition'!I:I,1)))  * _xlfn.XLOOKUP($H14,'Solid Mix In Nutrition'!A:A,'Solid Mix In Nutrition'!B:B,0))+(($W14 / MAX(1, _xlfn.XLOOKUP($I14,'Solid Mix In Nutrition'!A:A,'Solid Mix In Nutrition'!I:I,1))))+(($X14 / 100)  * _xlfn.XLOOKUP($J14,'Sweetener Mix In Nutrition'!A:A,'Sweetener Mix In Nutrition'!B:B,0))+(($Y14 / 100)  * _xlfn.XLOOKUP($K14,'Sweetener Mix In Nutrition'!A:A,'Sweetener Mix In Nutrition'!B:B,0))</f>
        <v>#N/A</v>
      </c>
      <c r="AC14" s="36" t="e">
        <f>(($R14 / 240) * _xlfn.XLOOKUP($D14,'Milk Types Nutrition Per Cup'!A:A,'Milk Types Nutrition Per Cup'!E:E,0)) +(($S14 / 240)  * _xlfn.XLOOKUP($E14,'Milk Types Nutrition Per Cup'!A:A,'Milk Types Nutrition Per Cup'!E:E,0)) +(($T14 / 15)  * _xlfn.XLOOKUP($F14,'Liquid Mix In Nutrition'!A:A,'Liquid Mix In Nutrition'!E:E,0)) +(($U14 / 15)  * _xlfn.XLOOKUP($G14,'Liquid Mix In Nutrition'!A:A,'Liquid Mix In Nutrition'!E:E,0))+(($V14 / MAX(1, _xlfn.XLOOKUP($H14,'Solid Mix In Nutrition'!A:A,'Solid Mix In Nutrition'!I:I,1)))  * _xlfn.XLOOKUP($H14,'Solid Mix In Nutrition'!A:A,'Solid Mix In Nutrition'!E:E,0))+(($W14 / MAX(1, _xlfn.XLOOKUP($I14,'Solid Mix In Nutrition'!A:A,'Solid Mix In Nutrition'!I:I,1)))  * _xlfn.XLOOKUP($I14,'Solid Mix In Nutrition'!A:A,'Solid Mix In Nutrition'!G:G,0))+(($X14 / 100)  * _xlfn.XLOOKUP($J14,'Sweetener Mix In Nutrition'!A:A,'Sweetener Mix In Nutrition'!E:E,0))+(($Y14 / 100)  * _xlfn.XLOOKUP($K14,'Sweetener Mix In Nutrition'!A:A,'Sweetener Mix In Nutrition'!E:E,0))</f>
        <v>#N/A</v>
      </c>
      <c r="AD14" s="36" t="e">
        <f>(($R14 / 240) * _xlfn.XLOOKUP($D14,'Milk Types Nutrition Per Cup'!A:A,'Milk Types Nutrition Per Cup'!E:E,0)) +(($S14 / 240)  * _xlfn.XLOOKUP($E14,'Milk Types Nutrition Per Cup'!A:A,'Milk Types Nutrition Per Cup'!E:E,0)) +(($T14 / 15)  * _xlfn.XLOOKUP($F14,'Liquid Mix In Nutrition'!A:A,'Liquid Mix In Nutrition'!E:E,0)) +(($U14 / 15)  * _xlfn.XLOOKUP($G14,'Liquid Mix In Nutrition'!A:A,'Liquid Mix In Nutrition'!E:E,0))+(($X14 / 100)  * _xlfn.XLOOKUP($J14,'Sweetener Mix In Nutrition'!A:A,'Sweetener Mix In Nutrition'!E:E,0))+(($Y14 / 100)  * _xlfn.XLOOKUP($K14,'Sweetener Mix In Nutrition'!A:A,'Sweetener Mix In Nutrition'!E:E,0))</f>
        <v>#N/A</v>
      </c>
      <c r="AE14" s="37" t="e">
        <f>(($R14 / 240) * _xlfn.XLOOKUP($D14,'Milk Types Nutrition Per Cup'!A:A,'Milk Types Nutrition Per Cup'!C:C,0)) +(($S14 / 240)  * _xlfn.XLOOKUP($E14,'Milk Types Nutrition Per Cup'!A:A,'Milk Types Nutrition Per Cup'!C:C,0)) +(($T14 / 15)  * _xlfn.XLOOKUP($F14,'Liquid Mix In Nutrition'!A:A,'Liquid Mix In Nutrition'!C:C,0))+(($U14 / 15)  * _xlfn.XLOOKUP($G14,'Liquid Mix In Nutrition'!A:A,'Liquid Mix In Nutrition'!C:C,0))+(($V14 / MAX(1, _xlfn.XLOOKUP($H14,'Solid Mix In Nutrition'!A:A,'Solid Mix In Nutrition'!I:I,1)))  * _xlfn.XLOOKUP($H14,'Solid Mix In Nutrition'!A:A,'Solid Mix In Nutrition'!C:C,0))+(($W14 / MAX(1, _xlfn.XLOOKUP($I14,'Solid Mix In Nutrition'!A:A,'Solid Mix In Nutrition'!I:I,1)))  * _xlfn.XLOOKUP($I14,'Solid Mix In Nutrition'!A:A,'Solid Mix In Nutrition'!C:C,0))+(($X14 / 100)  * _xlfn.XLOOKUP($J14,'Sweetener Mix In Nutrition'!A:A,'Sweetener Mix In Nutrition'!C:C,0))+(($Y14 / 100)  * _xlfn.XLOOKUP($K14,'Sweetener Mix In Nutrition'!A:A,'Sweetener Mix In Nutrition'!C:C,0))</f>
        <v>#N/A</v>
      </c>
      <c r="AF14" s="38" t="e">
        <f>$AE14 / (_xlfn.XLOOKUP($L14,Specs!A:A,Specs!B:B,0))</f>
        <v>#N/A</v>
      </c>
      <c r="AG14" s="37" t="e">
        <f>60* ($AB14 / _xlfn.XLOOKUP($L14,Specs!A:A,Specs!B:B,0))</f>
        <v>#N/A</v>
      </c>
      <c r="AH14" s="37" t="e">
        <f>60* (AC14 / _xlfn.XLOOKUP($L14,Specs!$A:$A,Specs!$B:$B,0))</f>
        <v>#N/A</v>
      </c>
      <c r="AI14" s="37" t="e">
        <f>60* (AE14 / _xlfn.XLOOKUP($L14,Specs!$A:$A,Specs!$B:$B,0))</f>
        <v>#N/A</v>
      </c>
      <c r="AJ14" s="39" t="e">
        <v>#N/A</v>
      </c>
      <c r="AK14" s="46" t="s">
        <v>672</v>
      </c>
      <c r="AL14" s="47" t="s">
        <v>646</v>
      </c>
      <c r="AM14" s="40">
        <v>0</v>
      </c>
      <c r="AN14" s="48" t="e">
        <v>#N/A</v>
      </c>
      <c r="AO14" s="40" t="e">
        <v>#N/A</v>
      </c>
      <c r="AP14" s="30"/>
      <c r="AQ14" t="str">
        <f>_xlfn.XLOOKUP("What's Your Number?",[1]Sheet1!$1:$1,[1]Sheet1!14:14)</f>
        <v>1234567</v>
      </c>
    </row>
    <row r="15" spans="1:43" x14ac:dyDescent="0.25">
      <c r="A15" s="44" t="s">
        <v>673</v>
      </c>
      <c r="B15" s="76" t="s">
        <v>674</v>
      </c>
      <c r="C15" s="31" t="s">
        <v>508</v>
      </c>
      <c r="D15" s="31">
        <v>0</v>
      </c>
      <c r="E15" s="31">
        <v>0</v>
      </c>
      <c r="F15" s="31">
        <v>0</v>
      </c>
      <c r="G15" s="31">
        <v>0</v>
      </c>
      <c r="H15" s="31">
        <v>0</v>
      </c>
      <c r="I15" s="31">
        <v>0</v>
      </c>
      <c r="J15" s="31">
        <v>0</v>
      </c>
      <c r="K15" s="31">
        <v>0</v>
      </c>
      <c r="L15" s="77" t="s">
        <v>4</v>
      </c>
      <c r="M15" s="45">
        <v>0</v>
      </c>
      <c r="N15" s="45">
        <v>0</v>
      </c>
      <c r="O15" s="45">
        <v>0</v>
      </c>
      <c r="P15" s="45">
        <v>0</v>
      </c>
      <c r="Q15" s="45">
        <v>0</v>
      </c>
      <c r="R15" s="30">
        <f>(_xlfn.XLOOKUP($L15,Specs!A:A,Specs!B:B,0)-(IF(ISNUMBER(SEARCH("Dulce De Leche", $G15)), 0, $T15))-(IF(ISNUMBER(SEARCH("Dulce De Leche", $F15)), 0, $U15))-(($V15/MAX(1,_xlfn.XLOOKUP($H15,'Solid Mix In Nutrition'!A:A,'Solid Mix In Nutrition'!I:I,1)))*240)-(($W15/MAX(1,_xlfn.XLOOKUP($I15,'Solid Mix In Nutrition'!A:A,'Solid Mix In Nutrition'!I:I,1)))*240))*0.66</f>
        <v>312.18</v>
      </c>
      <c r="S15" s="30">
        <f>(_xlfn.XLOOKUP($L15,Specs!A:A,Specs!B:B,0)-(IF(ISNUMBER(SEARCH("Dulce De Leche", $G15)), 0, $T15))-(IF(ISNUMBER(SEARCH("Dulce De Leche", $F15)), 0, $U15))-(($V15/MAX(1,_xlfn.XLOOKUP($H15,'Solid Mix In Nutrition'!A:A,'Solid Mix In Nutrition'!I:I,1)))*240)-(($W15/MAX(1,_xlfn.XLOOKUP($I15,'Solid Mix In Nutrition'!A:A,'Solid Mix In Nutrition'!I:I,1)))*240))*0.33</f>
        <v>156.09</v>
      </c>
      <c r="T15" s="30">
        <f>_xlfn.XLOOKUP($M15,Specs!$D:$D,Specs!$E:$E,0)*15*_xlfn.XLOOKUP($L15,Specs!$A:$A,Specs!$C:$C,0)</f>
        <v>0</v>
      </c>
      <c r="U15" s="30">
        <f>_xlfn.XLOOKUP($N15,Specs!$D:$D,Specs!$E:$E,0)*15*_xlfn.XLOOKUP($L15,Specs!$A:$A,Specs!$C:$C,0)</f>
        <v>0</v>
      </c>
      <c r="V15" s="30">
        <f>( ((_xlfn.XLOOKUP($O15,Specs!$H:$H,Specs!$I:$I,0)*_xlfn.XLOOKUP($L15,Specs!$A:$A,Specs!$B:$B,0))/240) *_xlfn.XLOOKUP($H15,'Solid Mix In Nutrition'!A:A,'Solid Mix In Nutrition'!I:I,0)) *IF(AND(NOT($I15=0), COUNTA($I15)),0.5,1)</f>
        <v>0</v>
      </c>
      <c r="W15" s="30">
        <f>( ((_xlfn.XLOOKUP($O15,Specs!$H:$H,Specs!$I:$I,0)*_xlfn.XLOOKUP($L15,Specs!$A:$A,Specs!$B:$B,0))/240) *_xlfn.XLOOKUP($I15,'Solid Mix In Nutrition'!A:A,'Solid Mix In Nutrition'!I:I,0)) *IF(AND(NOT($I15=0), COUNTA($I15)),0.5,0)</f>
        <v>0</v>
      </c>
      <c r="X15" s="30">
        <f>_xlfn.XLOOKUP($P15,Specs!F:F,Specs!G:G,0)*_xlfn.XLOOKUP($J15,'Sweetener Mix In Nutrition'!A:A,'Sweetener Mix In Nutrition'!I:I,0)*_xlfn.XLOOKUP($L15,Specs!A:A,Specs!C:C,0)</f>
        <v>0</v>
      </c>
      <c r="Y15" s="30">
        <f>_xlfn.XLOOKUP($Q15,Specs!F:F,Specs!G:G,0)*_xlfn.XLOOKUP($K15,'Sweetener Mix In Nutrition'!A:A,'Sweetener Mix In Nutrition'!I:I,0)*_xlfn.XLOOKUP($L15,Specs!A:A,Specs!C:C,0)</f>
        <v>0</v>
      </c>
      <c r="Z15" s="34">
        <f t="shared" si="0"/>
        <v>0.56192399999999998</v>
      </c>
      <c r="AA15" s="35">
        <f t="shared" si="1"/>
        <v>0.25</v>
      </c>
      <c r="AB15" s="36">
        <f>(($R15 / 240) * _xlfn.XLOOKUP($D15,'Milk Types Nutrition Per Cup'!A:A,'Milk Types Nutrition Per Cup'!B:B,0)) +(($S15 / 240)  * _xlfn.XLOOKUP($E15,'Milk Types Nutrition Per Cup'!A:A,'Milk Types Nutrition Per Cup'!B:B,0)) +(($T15 / 15)  * _xlfn.XLOOKUP($F15,'Liquid Mix In Nutrition'!A:A,'Liquid Mix In Nutrition'!B:B,0))+(($U15 / 15)  * _xlfn.XLOOKUP($G15,'Liquid Mix In Nutrition'!A:A,'Liquid Mix In Nutrition'!B:B,0))+(($V15 /MAX(1, _xlfn.XLOOKUP($H15,'Solid Mix In Nutrition'!A:A,'Solid Mix In Nutrition'!I:I,1)))  * _xlfn.XLOOKUP($H15,'Solid Mix In Nutrition'!A:A,'Solid Mix In Nutrition'!B:B,0))+(($W15 / MAX(1, _xlfn.XLOOKUP($I15,'Solid Mix In Nutrition'!A:A,'Solid Mix In Nutrition'!I:I,1))))+(($X15 / 100)  * _xlfn.XLOOKUP($J15,'Sweetener Mix In Nutrition'!A:A,'Sweetener Mix In Nutrition'!B:B,0))+(($Y15 / 100)  * _xlfn.XLOOKUP($K15,'Sweetener Mix In Nutrition'!A:A,'Sweetener Mix In Nutrition'!B:B,0))</f>
        <v>0</v>
      </c>
      <c r="AC15" s="36">
        <f>(($R15 / 240) * _xlfn.XLOOKUP($D15,'Milk Types Nutrition Per Cup'!A:A,'Milk Types Nutrition Per Cup'!E:E,0)) +(($S15 / 240)  * _xlfn.XLOOKUP($E15,'Milk Types Nutrition Per Cup'!A:A,'Milk Types Nutrition Per Cup'!E:E,0)) +(($T15 / 15)  * _xlfn.XLOOKUP($F15,'Liquid Mix In Nutrition'!A:A,'Liquid Mix In Nutrition'!E:E,0)) +(($U15 / 15)  * _xlfn.XLOOKUP($G15,'Liquid Mix In Nutrition'!A:A,'Liquid Mix In Nutrition'!E:E,0))+(($V15 / MAX(1, _xlfn.XLOOKUP($H15,'Solid Mix In Nutrition'!A:A,'Solid Mix In Nutrition'!I:I,1)))  * _xlfn.XLOOKUP($H15,'Solid Mix In Nutrition'!A:A,'Solid Mix In Nutrition'!E:E,0))+(($W15 / MAX(1, _xlfn.XLOOKUP($I15,'Solid Mix In Nutrition'!A:A,'Solid Mix In Nutrition'!I:I,1)))  * _xlfn.XLOOKUP($I15,'Solid Mix In Nutrition'!A:A,'Solid Mix In Nutrition'!G:G,0))+(($X15 / 100)  * _xlfn.XLOOKUP($J15,'Sweetener Mix In Nutrition'!A:A,'Sweetener Mix In Nutrition'!E:E,0))+(($Y15 / 100)  * _xlfn.XLOOKUP($K15,'Sweetener Mix In Nutrition'!A:A,'Sweetener Mix In Nutrition'!E:E,0))</f>
        <v>0</v>
      </c>
      <c r="AD15" s="36">
        <f>(($R15 / 240) * _xlfn.XLOOKUP($D15,'Milk Types Nutrition Per Cup'!A:A,'Milk Types Nutrition Per Cup'!E:E,0)) +(($S15 / 240)  * _xlfn.XLOOKUP($E15,'Milk Types Nutrition Per Cup'!A:A,'Milk Types Nutrition Per Cup'!E:E,0)) +(($T15 / 15)  * _xlfn.XLOOKUP($F15,'Liquid Mix In Nutrition'!A:A,'Liquid Mix In Nutrition'!E:E,0)) +(($U15 / 15)  * _xlfn.XLOOKUP($G15,'Liquid Mix In Nutrition'!A:A,'Liquid Mix In Nutrition'!E:E,0))+(($X15 / 100)  * _xlfn.XLOOKUP($J15,'Sweetener Mix In Nutrition'!A:A,'Sweetener Mix In Nutrition'!E:E,0))+(($Y15 / 100)  * _xlfn.XLOOKUP($K15,'Sweetener Mix In Nutrition'!A:A,'Sweetener Mix In Nutrition'!E:E,0))</f>
        <v>0</v>
      </c>
      <c r="AE15" s="37">
        <f>(($R15 / 240) * _xlfn.XLOOKUP($D15,'Milk Types Nutrition Per Cup'!A:A,'Milk Types Nutrition Per Cup'!C:C,0)) +(($S15 / 240)  * _xlfn.XLOOKUP($E15,'Milk Types Nutrition Per Cup'!A:A,'Milk Types Nutrition Per Cup'!C:C,0)) +(($T15 / 15)  * _xlfn.XLOOKUP($F15,'Liquid Mix In Nutrition'!A:A,'Liquid Mix In Nutrition'!C:C,0))+(($U15 / 15)  * _xlfn.XLOOKUP($G15,'Liquid Mix In Nutrition'!A:A,'Liquid Mix In Nutrition'!C:C,0))+(($V15 / MAX(1, _xlfn.XLOOKUP($H15,'Solid Mix In Nutrition'!A:A,'Solid Mix In Nutrition'!I:I,1)))  * _xlfn.XLOOKUP($H15,'Solid Mix In Nutrition'!A:A,'Solid Mix In Nutrition'!C:C,0))+(($W15 / MAX(1, _xlfn.XLOOKUP($I15,'Solid Mix In Nutrition'!A:A,'Solid Mix In Nutrition'!I:I,1)))  * _xlfn.XLOOKUP($I15,'Solid Mix In Nutrition'!A:A,'Solid Mix In Nutrition'!C:C,0))+(($X15 / 100)  * _xlfn.XLOOKUP($J15,'Sweetener Mix In Nutrition'!A:A,'Sweetener Mix In Nutrition'!C:C,0))+(($Y15 / 100)  * _xlfn.XLOOKUP($K15,'Sweetener Mix In Nutrition'!A:A,'Sweetener Mix In Nutrition'!C:C,0))</f>
        <v>0</v>
      </c>
      <c r="AF15" s="38">
        <f>$AE15 / (_xlfn.XLOOKUP($L15,Specs!A:A,Specs!B:B,0))</f>
        <v>0</v>
      </c>
      <c r="AG15" s="37">
        <f>60* ($AB15 / _xlfn.XLOOKUP($L15,Specs!A:A,Specs!B:B,0))</f>
        <v>0</v>
      </c>
      <c r="AH15" s="37">
        <f>60* (AC15 / _xlfn.XLOOKUP($L15,Specs!$A:$A,Specs!$B:$B,0))</f>
        <v>0</v>
      </c>
      <c r="AI15" s="37">
        <f>60* (AE15 / _xlfn.XLOOKUP($L15,Specs!$A:$A,Specs!$B:$B,0))</f>
        <v>0</v>
      </c>
      <c r="AJ15" s="39">
        <v>0</v>
      </c>
      <c r="AK15" s="46" t="s">
        <v>675</v>
      </c>
      <c r="AL15" s="47" t="s">
        <v>646</v>
      </c>
      <c r="AM15" s="40">
        <v>0</v>
      </c>
      <c r="AN15" s="48">
        <v>2</v>
      </c>
      <c r="AO15" s="40">
        <v>2</v>
      </c>
      <c r="AP15" s="30"/>
      <c r="AQ15" t="str">
        <f>_xlfn.XLOOKUP("What's Your Number?",[1]Sheet1!$1:$1,[1]Sheet1!15:15)</f>
        <v>987655</v>
      </c>
    </row>
    <row r="16" spans="1:43" x14ac:dyDescent="0.25">
      <c r="A16" s="42" t="s">
        <v>676</v>
      </c>
      <c r="B16" s="76" t="s">
        <v>677</v>
      </c>
      <c r="C16" s="31" t="s">
        <v>508</v>
      </c>
      <c r="D16" s="31">
        <v>0</v>
      </c>
      <c r="E16" s="31">
        <v>0</v>
      </c>
      <c r="F16" s="31">
        <v>0</v>
      </c>
      <c r="G16" s="31">
        <v>0</v>
      </c>
      <c r="H16" s="31">
        <v>0</v>
      </c>
      <c r="I16" s="31">
        <v>0</v>
      </c>
      <c r="J16" s="31">
        <v>0</v>
      </c>
      <c r="K16" s="31">
        <v>0</v>
      </c>
      <c r="L16" s="77" t="s">
        <v>43</v>
      </c>
      <c r="M16" s="45">
        <v>0</v>
      </c>
      <c r="N16" s="45">
        <v>0</v>
      </c>
      <c r="O16" s="45">
        <v>0</v>
      </c>
      <c r="P16" s="45">
        <v>0</v>
      </c>
      <c r="Q16" s="45">
        <v>0</v>
      </c>
      <c r="R16" s="30">
        <f>(_xlfn.XLOOKUP($L16,Specs!A:A,Specs!B:B,0)-(IF(ISNUMBER(SEARCH("Dulce De Leche", $G16)), 0, $T16))-(IF(ISNUMBER(SEARCH("Dulce De Leche", $F16)), 0, $U16))-(($V16/MAX(1,_xlfn.XLOOKUP($H16,'Solid Mix In Nutrition'!A:A,'Solid Mix In Nutrition'!I:I,1)))*240)-(($W16/MAX(1,_xlfn.XLOOKUP($I16,'Solid Mix In Nutrition'!A:A,'Solid Mix In Nutrition'!I:I,1)))*240))*0.66</f>
        <v>624.36</v>
      </c>
      <c r="S16" s="30">
        <f>(_xlfn.XLOOKUP($L16,Specs!A:A,Specs!B:B,0)-(IF(ISNUMBER(SEARCH("Dulce De Leche", $G16)), 0, $T16))-(IF(ISNUMBER(SEARCH("Dulce De Leche", $F16)), 0, $U16))-(($V16/MAX(1,_xlfn.XLOOKUP($H16,'Solid Mix In Nutrition'!A:A,'Solid Mix In Nutrition'!I:I,1)))*240)-(($W16/MAX(1,_xlfn.XLOOKUP($I16,'Solid Mix In Nutrition'!A:A,'Solid Mix In Nutrition'!I:I,1)))*240))*0.33</f>
        <v>312.18</v>
      </c>
      <c r="T16" s="30">
        <f>_xlfn.XLOOKUP($M16,Specs!$D:$D,Specs!$E:$E,0)*15*_xlfn.XLOOKUP($L16,Specs!$A:$A,Specs!$C:$C,0)</f>
        <v>0</v>
      </c>
      <c r="U16" s="30">
        <f>_xlfn.XLOOKUP($N16,Specs!$D:$D,Specs!$E:$E,0)*15*_xlfn.XLOOKUP($L16,Specs!$A:$A,Specs!$C:$C,0)</f>
        <v>0</v>
      </c>
      <c r="V16" s="30">
        <f>( ((_xlfn.XLOOKUP($O16,Specs!$H:$H,Specs!$I:$I,0)*_xlfn.XLOOKUP($L16,Specs!$A:$A,Specs!$B:$B,0))/240) *_xlfn.XLOOKUP($H16,'Solid Mix In Nutrition'!A:A,'Solid Mix In Nutrition'!I:I,0)) *IF(AND(NOT($I16=0), COUNTA($I16)),0.5,1)</f>
        <v>0</v>
      </c>
      <c r="W16" s="30">
        <f>( ((_xlfn.XLOOKUP($O16,Specs!$H:$H,Specs!$I:$I,0)*_xlfn.XLOOKUP($L16,Specs!$A:$A,Specs!$B:$B,0))/240) *_xlfn.XLOOKUP($I16,'Solid Mix In Nutrition'!A:A,'Solid Mix In Nutrition'!I:I,0)) *IF(AND(NOT($I16=0), COUNTA($I16)),0.5,0)</f>
        <v>0</v>
      </c>
      <c r="X16" s="30">
        <f>_xlfn.XLOOKUP($P16,Specs!F:F,Specs!G:G,0)*_xlfn.XLOOKUP($J16,'Sweetener Mix In Nutrition'!A:A,'Sweetener Mix In Nutrition'!I:I,0)*_xlfn.XLOOKUP($L16,Specs!A:A,Specs!C:C,0)</f>
        <v>0</v>
      </c>
      <c r="Y16" s="30">
        <f>_xlfn.XLOOKUP($Q16,Specs!F:F,Specs!G:G,0)*_xlfn.XLOOKUP($K16,'Sweetener Mix In Nutrition'!A:A,'Sweetener Mix In Nutrition'!I:I,0)*_xlfn.XLOOKUP($L16,Specs!A:A,Specs!C:C,0)</f>
        <v>0</v>
      </c>
      <c r="Z16" s="34">
        <f t="shared" si="0"/>
        <v>1.123848</v>
      </c>
      <c r="AA16" s="35">
        <f t="shared" si="1"/>
        <v>0.25</v>
      </c>
      <c r="AB16" s="36">
        <f>(($R16 / 240) * _xlfn.XLOOKUP($D16,'Milk Types Nutrition Per Cup'!A:A,'Milk Types Nutrition Per Cup'!B:B,0)) +(($S16 / 240)  * _xlfn.XLOOKUP($E16,'Milk Types Nutrition Per Cup'!A:A,'Milk Types Nutrition Per Cup'!B:B,0)) +(($T16 / 15)  * _xlfn.XLOOKUP($F16,'Liquid Mix In Nutrition'!A:A,'Liquid Mix In Nutrition'!B:B,0))+(($U16 / 15)  * _xlfn.XLOOKUP($G16,'Liquid Mix In Nutrition'!A:A,'Liquid Mix In Nutrition'!B:B,0))+(($V16 /MAX(1, _xlfn.XLOOKUP($H16,'Solid Mix In Nutrition'!A:A,'Solid Mix In Nutrition'!I:I,1)))  * _xlfn.XLOOKUP($H16,'Solid Mix In Nutrition'!A:A,'Solid Mix In Nutrition'!B:B,0))+(($W16 / MAX(1, _xlfn.XLOOKUP($I16,'Solid Mix In Nutrition'!A:A,'Solid Mix In Nutrition'!I:I,1))))+(($X16 / 100)  * _xlfn.XLOOKUP($J16,'Sweetener Mix In Nutrition'!A:A,'Sweetener Mix In Nutrition'!B:B,0))+(($Y16 / 100)  * _xlfn.XLOOKUP($K16,'Sweetener Mix In Nutrition'!A:A,'Sweetener Mix In Nutrition'!B:B,0))</f>
        <v>0</v>
      </c>
      <c r="AC16" s="36">
        <f>(($R16 / 240) * _xlfn.XLOOKUP($D16,'Milk Types Nutrition Per Cup'!A:A,'Milk Types Nutrition Per Cup'!E:E,0)) +(($S16 / 240)  * _xlfn.XLOOKUP($E16,'Milk Types Nutrition Per Cup'!A:A,'Milk Types Nutrition Per Cup'!E:E,0)) +(($T16 / 15)  * _xlfn.XLOOKUP($F16,'Liquid Mix In Nutrition'!A:A,'Liquid Mix In Nutrition'!E:E,0)) +(($U16 / 15)  * _xlfn.XLOOKUP($G16,'Liquid Mix In Nutrition'!A:A,'Liquid Mix In Nutrition'!E:E,0))+(($V16 / MAX(1, _xlfn.XLOOKUP($H16,'Solid Mix In Nutrition'!A:A,'Solid Mix In Nutrition'!I:I,1)))  * _xlfn.XLOOKUP($H16,'Solid Mix In Nutrition'!A:A,'Solid Mix In Nutrition'!E:E,0))+(($W16 / MAX(1, _xlfn.XLOOKUP($I16,'Solid Mix In Nutrition'!A:A,'Solid Mix In Nutrition'!I:I,1)))  * _xlfn.XLOOKUP($I16,'Solid Mix In Nutrition'!A:A,'Solid Mix In Nutrition'!G:G,0))+(($X16 / 100)  * _xlfn.XLOOKUP($J16,'Sweetener Mix In Nutrition'!A:A,'Sweetener Mix In Nutrition'!E:E,0))+(($Y16 / 100)  * _xlfn.XLOOKUP($K16,'Sweetener Mix In Nutrition'!A:A,'Sweetener Mix In Nutrition'!E:E,0))</f>
        <v>0</v>
      </c>
      <c r="AD16" s="36">
        <f>(($R16 / 240) * _xlfn.XLOOKUP($D16,'Milk Types Nutrition Per Cup'!A:A,'Milk Types Nutrition Per Cup'!E:E,0)) +(($S16 / 240)  * _xlfn.XLOOKUP($E16,'Milk Types Nutrition Per Cup'!A:A,'Milk Types Nutrition Per Cup'!E:E,0)) +(($T16 / 15)  * _xlfn.XLOOKUP($F16,'Liquid Mix In Nutrition'!A:A,'Liquid Mix In Nutrition'!E:E,0)) +(($U16 / 15)  * _xlfn.XLOOKUP($G16,'Liquid Mix In Nutrition'!A:A,'Liquid Mix In Nutrition'!E:E,0))+(($X16 / 100)  * _xlfn.XLOOKUP($J16,'Sweetener Mix In Nutrition'!A:A,'Sweetener Mix In Nutrition'!E:E,0))+(($Y16 / 100)  * _xlfn.XLOOKUP($K16,'Sweetener Mix In Nutrition'!A:A,'Sweetener Mix In Nutrition'!E:E,0))</f>
        <v>0</v>
      </c>
      <c r="AE16" s="37">
        <f>(($R16 / 240) * _xlfn.XLOOKUP($D16,'Milk Types Nutrition Per Cup'!A:A,'Milk Types Nutrition Per Cup'!C:C,0)) +(($S16 / 240)  * _xlfn.XLOOKUP($E16,'Milk Types Nutrition Per Cup'!A:A,'Milk Types Nutrition Per Cup'!C:C,0)) +(($T16 / 15)  * _xlfn.XLOOKUP($F16,'Liquid Mix In Nutrition'!A:A,'Liquid Mix In Nutrition'!C:C,0))+(($U16 / 15)  * _xlfn.XLOOKUP($G16,'Liquid Mix In Nutrition'!A:A,'Liquid Mix In Nutrition'!C:C,0))+(($V16 / MAX(1, _xlfn.XLOOKUP($H16,'Solid Mix In Nutrition'!A:A,'Solid Mix In Nutrition'!I:I,1)))  * _xlfn.XLOOKUP($H16,'Solid Mix In Nutrition'!A:A,'Solid Mix In Nutrition'!C:C,0))+(($W16 / MAX(1, _xlfn.XLOOKUP($I16,'Solid Mix In Nutrition'!A:A,'Solid Mix In Nutrition'!I:I,1)))  * _xlfn.XLOOKUP($I16,'Solid Mix In Nutrition'!A:A,'Solid Mix In Nutrition'!C:C,0))+(($X16 / 100)  * _xlfn.XLOOKUP($J16,'Sweetener Mix In Nutrition'!A:A,'Sweetener Mix In Nutrition'!C:C,0))+(($Y16 / 100)  * _xlfn.XLOOKUP($K16,'Sweetener Mix In Nutrition'!A:A,'Sweetener Mix In Nutrition'!C:C,0))</f>
        <v>0</v>
      </c>
      <c r="AF16" s="38">
        <f>$AE16 / (_xlfn.XLOOKUP($L16,Specs!A:A,Specs!B:B,0))</f>
        <v>0</v>
      </c>
      <c r="AG16" s="37">
        <f>60* ($AB16 / _xlfn.XLOOKUP($L16,Specs!A:A,Specs!B:B,0))</f>
        <v>0</v>
      </c>
      <c r="AH16" s="37">
        <f>60* (AC16 / _xlfn.XLOOKUP($L16,Specs!$A:$A,Specs!$B:$B,0))</f>
        <v>0</v>
      </c>
      <c r="AI16" s="37">
        <f>60* (AE16 / _xlfn.XLOOKUP($L16,Specs!$A:$A,Specs!$B:$B,0))</f>
        <v>0</v>
      </c>
      <c r="AJ16" s="39">
        <v>0</v>
      </c>
      <c r="AK16" s="46" t="s">
        <v>665</v>
      </c>
      <c r="AL16" s="47" t="s">
        <v>646</v>
      </c>
      <c r="AM16" s="40">
        <v>0</v>
      </c>
      <c r="AN16" s="48">
        <v>1</v>
      </c>
      <c r="AO16" s="40">
        <v>1</v>
      </c>
      <c r="AP16" s="30" t="s">
        <v>210</v>
      </c>
      <c r="AQ16" t="str">
        <f>_xlfn.XLOOKUP("What's Your Number?",[1]Sheet1!$1:$1,[1]Sheet1!16:16)</f>
        <v>5615623572</v>
      </c>
    </row>
    <row r="17" spans="1:43" x14ac:dyDescent="0.25">
      <c r="A17" s="42" t="s">
        <v>678</v>
      </c>
      <c r="B17" s="76" t="s">
        <v>677</v>
      </c>
      <c r="C17" s="31" t="s">
        <v>170</v>
      </c>
      <c r="D17" s="31" t="s">
        <v>62</v>
      </c>
      <c r="E17" s="31" t="s">
        <v>65</v>
      </c>
      <c r="F17" s="31" t="s">
        <v>89</v>
      </c>
      <c r="G17" s="31" t="s">
        <v>0</v>
      </c>
      <c r="H17" s="31">
        <v>0</v>
      </c>
      <c r="I17" s="31">
        <v>0</v>
      </c>
      <c r="J17" s="31" t="s">
        <v>510</v>
      </c>
      <c r="K17" s="31">
        <v>0</v>
      </c>
      <c r="L17" s="77" t="s">
        <v>43</v>
      </c>
      <c r="M17" s="45" t="s">
        <v>451</v>
      </c>
      <c r="N17" s="45" t="s">
        <v>157</v>
      </c>
      <c r="O17" s="45">
        <v>0</v>
      </c>
      <c r="P17" s="45" t="s">
        <v>158</v>
      </c>
      <c r="Q17" s="45">
        <v>0</v>
      </c>
      <c r="R17" s="30">
        <f>(_xlfn.XLOOKUP($L17,Specs!A:A,Specs!B:B,0)-(IF(ISNUMBER(SEARCH("Dulce De Leche", $G17)), 0, $T17))-(IF(ISNUMBER(SEARCH("Dulce De Leche", $F17)), 0, $U17))-(($V17/MAX(1,_xlfn.XLOOKUP($H17,'Solid Mix In Nutrition'!A:A,'Solid Mix In Nutrition'!I:I,1)))*240)-(($W17/MAX(1,_xlfn.XLOOKUP($I17,'Solid Mix In Nutrition'!A:A,'Solid Mix In Nutrition'!I:I,1)))*240))*0.66</f>
        <v>535.26</v>
      </c>
      <c r="S17" s="30">
        <f>(_xlfn.XLOOKUP($L17,Specs!A:A,Specs!B:B,0)-(IF(ISNUMBER(SEARCH("Dulce De Leche", $G17)), 0, $T17))-(IF(ISNUMBER(SEARCH("Dulce De Leche", $F17)), 0, $U17))-(($V17/MAX(1,_xlfn.XLOOKUP($H17,'Solid Mix In Nutrition'!A:A,'Solid Mix In Nutrition'!I:I,1)))*240)-(($W17/MAX(1,_xlfn.XLOOKUP($I17,'Solid Mix In Nutrition'!A:A,'Solid Mix In Nutrition'!I:I,1)))*240))*0.33</f>
        <v>267.63</v>
      </c>
      <c r="T17" s="30">
        <f>_xlfn.XLOOKUP($M17,Specs!$D:$D,Specs!$E:$E,0)*15*_xlfn.XLOOKUP($L17,Specs!$A:$A,Specs!$C:$C,0)</f>
        <v>120</v>
      </c>
      <c r="U17" s="30">
        <f>_xlfn.XLOOKUP($N17,Specs!$D:$D,Specs!$E:$E,0)*15*_xlfn.XLOOKUP($L17,Specs!$A:$A,Specs!$C:$C,0)</f>
        <v>15</v>
      </c>
      <c r="V17" s="30">
        <f>( ((_xlfn.XLOOKUP($O17,Specs!$H:$H,Specs!$I:$I,0)*_xlfn.XLOOKUP($L17,Specs!$A:$A,Specs!$B:$B,0))/240) *_xlfn.XLOOKUP($H17,'Solid Mix In Nutrition'!A:A,'Solid Mix In Nutrition'!I:I,0)) *IF(AND(NOT($I17=0), COUNTA($I17)),0.5,1)</f>
        <v>0</v>
      </c>
      <c r="W17" s="30">
        <f>( ((_xlfn.XLOOKUP($O17,Specs!$H:$H,Specs!$I:$I,0)*_xlfn.XLOOKUP($L17,Specs!$A:$A,Specs!$B:$B,0))/240) *_xlfn.XLOOKUP($I17,'Solid Mix In Nutrition'!A:A,'Solid Mix In Nutrition'!I:I,0)) *IF(AND(NOT($I17=0), COUNTA($I17)),0.5,0)</f>
        <v>0</v>
      </c>
      <c r="X17" s="30">
        <f>_xlfn.XLOOKUP($P17,Specs!F:F,Specs!G:G,0)*_xlfn.XLOOKUP($J17,'Sweetener Mix In Nutrition'!A:A,'Sweetener Mix In Nutrition'!I:I,0)*_xlfn.XLOOKUP($L17,Specs!A:A,Specs!C:C,0)</f>
        <v>8.75</v>
      </c>
      <c r="Y17" s="30">
        <f>_xlfn.XLOOKUP($Q17,Specs!F:F,Specs!G:G,0)*_xlfn.XLOOKUP($K17,'Sweetener Mix In Nutrition'!A:A,'Sweetener Mix In Nutrition'!I:I,0)*_xlfn.XLOOKUP($L17,Specs!A:A,Specs!C:C,0)</f>
        <v>0</v>
      </c>
      <c r="Z17" s="34">
        <f t="shared" si="0"/>
        <v>1.1179679999999999</v>
      </c>
      <c r="AA17" s="35">
        <f t="shared" si="1"/>
        <v>0.25</v>
      </c>
      <c r="AB17" s="36">
        <f>(($R17 / 240) * _xlfn.XLOOKUP($D17,'Milk Types Nutrition Per Cup'!A:A,'Milk Types Nutrition Per Cup'!B:B,0)) +(($S17 / 240)  * _xlfn.XLOOKUP($E17,'Milk Types Nutrition Per Cup'!A:A,'Milk Types Nutrition Per Cup'!B:B,0)) +(($T17 / 15)  * _xlfn.XLOOKUP($F17,'Liquid Mix In Nutrition'!A:A,'Liquid Mix In Nutrition'!B:B,0))+(($U17 / 15)  * _xlfn.XLOOKUP($G17,'Liquid Mix In Nutrition'!A:A,'Liquid Mix In Nutrition'!B:B,0))+(($V17 /MAX(1, _xlfn.XLOOKUP($H17,'Solid Mix In Nutrition'!A:A,'Solid Mix In Nutrition'!I:I,1)))  * _xlfn.XLOOKUP($H17,'Solid Mix In Nutrition'!A:A,'Solid Mix In Nutrition'!B:B,0))+(($W17 / MAX(1, _xlfn.XLOOKUP($I17,'Solid Mix In Nutrition'!A:A,'Solid Mix In Nutrition'!I:I,1))))+(($X17 / 100)  * _xlfn.XLOOKUP($J17,'Sweetener Mix In Nutrition'!A:A,'Sweetener Mix In Nutrition'!B:B,0))+(($Y17 / 100)  * _xlfn.XLOOKUP($K17,'Sweetener Mix In Nutrition'!A:A,'Sweetener Mix In Nutrition'!B:B,0))</f>
        <v>2756.04</v>
      </c>
      <c r="AC17" s="36">
        <f>(($R17 / 240) * _xlfn.XLOOKUP($D17,'Milk Types Nutrition Per Cup'!A:A,'Milk Types Nutrition Per Cup'!E:E,0)) +(($S17 / 240)  * _xlfn.XLOOKUP($E17,'Milk Types Nutrition Per Cup'!A:A,'Milk Types Nutrition Per Cup'!E:E,0)) +(($T17 / 15)  * _xlfn.XLOOKUP($F17,'Liquid Mix In Nutrition'!A:A,'Liquid Mix In Nutrition'!E:E,0)) +(($U17 / 15)  * _xlfn.XLOOKUP($G17,'Liquid Mix In Nutrition'!A:A,'Liquid Mix In Nutrition'!E:E,0))+(($V17 / MAX(1, _xlfn.XLOOKUP($H17,'Solid Mix In Nutrition'!A:A,'Solid Mix In Nutrition'!I:I,1)))  * _xlfn.XLOOKUP($H17,'Solid Mix In Nutrition'!A:A,'Solid Mix In Nutrition'!E:E,0))+(($W17 / MAX(1, _xlfn.XLOOKUP($I17,'Solid Mix In Nutrition'!A:A,'Solid Mix In Nutrition'!I:I,1)))  * _xlfn.XLOOKUP($I17,'Solid Mix In Nutrition'!A:A,'Solid Mix In Nutrition'!G:G,0))+(($X17 / 100)  * _xlfn.XLOOKUP($J17,'Sweetener Mix In Nutrition'!A:A,'Sweetener Mix In Nutrition'!E:E,0))+(($Y17 / 100)  * _xlfn.XLOOKUP($K17,'Sweetener Mix In Nutrition'!A:A,'Sweetener Mix In Nutrition'!E:E,0))</f>
        <v>80.920999999999992</v>
      </c>
      <c r="AD17" s="36">
        <f>(($R17 / 240) * _xlfn.XLOOKUP($D17,'Milk Types Nutrition Per Cup'!A:A,'Milk Types Nutrition Per Cup'!E:E,0)) +(($S17 / 240)  * _xlfn.XLOOKUP($E17,'Milk Types Nutrition Per Cup'!A:A,'Milk Types Nutrition Per Cup'!E:E,0)) +(($T17 / 15)  * _xlfn.XLOOKUP($F17,'Liquid Mix In Nutrition'!A:A,'Liquid Mix In Nutrition'!E:E,0)) +(($U17 / 15)  * _xlfn.XLOOKUP($G17,'Liquid Mix In Nutrition'!A:A,'Liquid Mix In Nutrition'!E:E,0))+(($X17 / 100)  * _xlfn.XLOOKUP($J17,'Sweetener Mix In Nutrition'!A:A,'Sweetener Mix In Nutrition'!E:E,0))+(($Y17 / 100)  * _xlfn.XLOOKUP($K17,'Sweetener Mix In Nutrition'!A:A,'Sweetener Mix In Nutrition'!E:E,0))</f>
        <v>80.920999999999992</v>
      </c>
      <c r="AE17" s="37">
        <f>(($R17 / 240) * _xlfn.XLOOKUP($D17,'Milk Types Nutrition Per Cup'!A:A,'Milk Types Nutrition Per Cup'!C:C,0)) +(($S17 / 240)  * _xlfn.XLOOKUP($E17,'Milk Types Nutrition Per Cup'!A:A,'Milk Types Nutrition Per Cup'!C:C,0)) +(($T17 / 15)  * _xlfn.XLOOKUP($F17,'Liquid Mix In Nutrition'!A:A,'Liquid Mix In Nutrition'!C:C,0))+(($U17 / 15)  * _xlfn.XLOOKUP($G17,'Liquid Mix In Nutrition'!A:A,'Liquid Mix In Nutrition'!C:C,0))+(($V17 / MAX(1, _xlfn.XLOOKUP($H17,'Solid Mix In Nutrition'!A:A,'Solid Mix In Nutrition'!I:I,1)))  * _xlfn.XLOOKUP($H17,'Solid Mix In Nutrition'!A:A,'Solid Mix In Nutrition'!C:C,0))+(($W17 / MAX(1, _xlfn.XLOOKUP($I17,'Solid Mix In Nutrition'!A:A,'Solid Mix In Nutrition'!I:I,1)))  * _xlfn.XLOOKUP($I17,'Solid Mix In Nutrition'!A:A,'Solid Mix In Nutrition'!C:C,0))+(($X17 / 100)  * _xlfn.XLOOKUP($J17,'Sweetener Mix In Nutrition'!A:A,'Sweetener Mix In Nutrition'!C:C,0))+(($Y17 / 100)  * _xlfn.XLOOKUP($K17,'Sweetener Mix In Nutrition'!A:A,'Sweetener Mix In Nutrition'!C:C,0))</f>
        <v>270.82749999999999</v>
      </c>
      <c r="AF17" s="38">
        <f>$AE17 / (_xlfn.XLOOKUP($L17,Specs!A:A,Specs!B:B,0))</f>
        <v>0.28628699788583506</v>
      </c>
      <c r="AG17" s="37">
        <f>60* ($AB17 / _xlfn.XLOOKUP($L17,Specs!A:A,Specs!B:B,0))</f>
        <v>174.80169133192388</v>
      </c>
      <c r="AH17" s="37">
        <f>60* (AC17 / _xlfn.XLOOKUP($L17,Specs!$A:$A,Specs!$B:$B,0))</f>
        <v>5.1324101479915436</v>
      </c>
      <c r="AI17" s="37">
        <f>60* (AE17 / _xlfn.XLOOKUP($L17,Specs!$A:$A,Specs!$B:$B,0))</f>
        <v>17.177219873150104</v>
      </c>
      <c r="AJ17" s="39">
        <v>4.4997675318250456</v>
      </c>
      <c r="AK17" s="46" t="s">
        <v>665</v>
      </c>
      <c r="AL17" s="47" t="s">
        <v>646</v>
      </c>
      <c r="AM17" s="40">
        <v>0</v>
      </c>
      <c r="AN17" s="48">
        <v>10</v>
      </c>
      <c r="AO17" s="40">
        <v>10</v>
      </c>
      <c r="AP17" s="30" t="s">
        <v>210</v>
      </c>
      <c r="AQ17" t="str">
        <f>_xlfn.XLOOKUP("What's Your Number?",[1]Sheet1!$1:$1,[1]Sheet1!17:17)</f>
        <v>5615623572</v>
      </c>
    </row>
    <row r="18" spans="1:43" x14ac:dyDescent="0.25">
      <c r="A18" s="42" t="s">
        <v>679</v>
      </c>
      <c r="B18" s="76" t="s">
        <v>619</v>
      </c>
      <c r="C18" s="31" t="s">
        <v>360</v>
      </c>
      <c r="D18" s="31">
        <v>0</v>
      </c>
      <c r="E18" s="31">
        <v>0</v>
      </c>
      <c r="F18" s="31">
        <v>0</v>
      </c>
      <c r="G18" s="31">
        <v>0</v>
      </c>
      <c r="H18" s="31">
        <v>0</v>
      </c>
      <c r="I18" s="31">
        <v>0</v>
      </c>
      <c r="J18" s="31">
        <v>0</v>
      </c>
      <c r="K18" s="31">
        <v>0</v>
      </c>
      <c r="L18" s="77" t="s">
        <v>4</v>
      </c>
      <c r="M18" s="45">
        <v>0</v>
      </c>
      <c r="N18" s="45">
        <v>0</v>
      </c>
      <c r="O18" s="45">
        <v>0</v>
      </c>
      <c r="P18" s="45">
        <v>0</v>
      </c>
      <c r="Q18" s="45">
        <v>0</v>
      </c>
      <c r="R18" s="30">
        <f>(_xlfn.XLOOKUP($L18,Specs!A:A,Specs!B:B,0)-(IF(ISNUMBER(SEARCH("Dulce De Leche", $G18)), 0, $T18))-(IF(ISNUMBER(SEARCH("Dulce De Leche", $F18)), 0, $U18))-(($V18/MAX(1,_xlfn.XLOOKUP($H18,'Solid Mix In Nutrition'!A:A,'Solid Mix In Nutrition'!I:I,1)))*240)-(($W18/MAX(1,_xlfn.XLOOKUP($I18,'Solid Mix In Nutrition'!A:A,'Solid Mix In Nutrition'!I:I,1)))*240))*0.66</f>
        <v>312.18</v>
      </c>
      <c r="S18" s="30">
        <f>(_xlfn.XLOOKUP($L18,Specs!A:A,Specs!B:B,0)-(IF(ISNUMBER(SEARCH("Dulce De Leche", $G18)), 0, $T18))-(IF(ISNUMBER(SEARCH("Dulce De Leche", $F18)), 0, $U18))-(($V18/MAX(1,_xlfn.XLOOKUP($H18,'Solid Mix In Nutrition'!A:A,'Solid Mix In Nutrition'!I:I,1)))*240)-(($W18/MAX(1,_xlfn.XLOOKUP($I18,'Solid Mix In Nutrition'!A:A,'Solid Mix In Nutrition'!I:I,1)))*240))*0.33</f>
        <v>156.09</v>
      </c>
      <c r="T18" s="30">
        <f>_xlfn.XLOOKUP($M18,Specs!$D:$D,Specs!$E:$E,0)*15*_xlfn.XLOOKUP($L18,Specs!$A:$A,Specs!$C:$C,0)</f>
        <v>0</v>
      </c>
      <c r="U18" s="30">
        <f>_xlfn.XLOOKUP($N18,Specs!$D:$D,Specs!$E:$E,0)*15*_xlfn.XLOOKUP($L18,Specs!$A:$A,Specs!$C:$C,0)</f>
        <v>0</v>
      </c>
      <c r="V18" s="30">
        <f>( ((_xlfn.XLOOKUP($O18,Specs!$H:$H,Specs!$I:$I,0)*_xlfn.XLOOKUP($L18,Specs!$A:$A,Specs!$B:$B,0))/240) *_xlfn.XLOOKUP($H18,'Solid Mix In Nutrition'!A:A,'Solid Mix In Nutrition'!I:I,0)) *IF(AND(NOT($I18=0), COUNTA($I18)),0.5,1)</f>
        <v>0</v>
      </c>
      <c r="W18" s="30">
        <f>( ((_xlfn.XLOOKUP($O18,Specs!$H:$H,Specs!$I:$I,0)*_xlfn.XLOOKUP($L18,Specs!$A:$A,Specs!$B:$B,0))/240) *_xlfn.XLOOKUP($I18,'Solid Mix In Nutrition'!A:A,'Solid Mix In Nutrition'!I:I,0)) *IF(AND(NOT($I18=0), COUNTA($I18)),0.5,0)</f>
        <v>0</v>
      </c>
      <c r="X18" s="30">
        <f>_xlfn.XLOOKUP($P18,Specs!F:F,Specs!G:G,0)*_xlfn.XLOOKUP($J18,'Sweetener Mix In Nutrition'!A:A,'Sweetener Mix In Nutrition'!I:I,0)*_xlfn.XLOOKUP($L18,Specs!A:A,Specs!C:C,0)</f>
        <v>0</v>
      </c>
      <c r="Y18" s="30">
        <f>_xlfn.XLOOKUP($Q18,Specs!F:F,Specs!G:G,0)*_xlfn.XLOOKUP($K18,'Sweetener Mix In Nutrition'!A:A,'Sweetener Mix In Nutrition'!I:I,0)*_xlfn.XLOOKUP($L18,Specs!A:A,Specs!C:C,0)</f>
        <v>0</v>
      </c>
      <c r="Z18" s="34">
        <f t="shared" si="0"/>
        <v>0.56192399999999998</v>
      </c>
      <c r="AA18" s="35">
        <f t="shared" si="1"/>
        <v>0.25</v>
      </c>
      <c r="AB18" s="36">
        <f>(($R18 / 240) * _xlfn.XLOOKUP($D18,'Milk Types Nutrition Per Cup'!A:A,'Milk Types Nutrition Per Cup'!B:B,0)) +(($S18 / 240)  * _xlfn.XLOOKUP($E18,'Milk Types Nutrition Per Cup'!A:A,'Milk Types Nutrition Per Cup'!B:B,0)) +(($T18 / 15)  * _xlfn.XLOOKUP($F18,'Liquid Mix In Nutrition'!A:A,'Liquid Mix In Nutrition'!B:B,0))+(($U18 / 15)  * _xlfn.XLOOKUP($G18,'Liquid Mix In Nutrition'!A:A,'Liquid Mix In Nutrition'!B:B,0))+(($V18 /MAX(1, _xlfn.XLOOKUP($H18,'Solid Mix In Nutrition'!A:A,'Solid Mix In Nutrition'!I:I,1)))  * _xlfn.XLOOKUP($H18,'Solid Mix In Nutrition'!A:A,'Solid Mix In Nutrition'!B:B,0))+(($W18 / MAX(1, _xlfn.XLOOKUP($I18,'Solid Mix In Nutrition'!A:A,'Solid Mix In Nutrition'!I:I,1))))+(($X18 / 100)  * _xlfn.XLOOKUP($J18,'Sweetener Mix In Nutrition'!A:A,'Sweetener Mix In Nutrition'!B:B,0))+(($Y18 / 100)  * _xlfn.XLOOKUP($K18,'Sweetener Mix In Nutrition'!A:A,'Sweetener Mix In Nutrition'!B:B,0))</f>
        <v>0</v>
      </c>
      <c r="AC18" s="36">
        <f>(($R18 / 240) * _xlfn.XLOOKUP($D18,'Milk Types Nutrition Per Cup'!A:A,'Milk Types Nutrition Per Cup'!E:E,0)) +(($S18 / 240)  * _xlfn.XLOOKUP($E18,'Milk Types Nutrition Per Cup'!A:A,'Milk Types Nutrition Per Cup'!E:E,0)) +(($T18 / 15)  * _xlfn.XLOOKUP($F18,'Liquid Mix In Nutrition'!A:A,'Liquid Mix In Nutrition'!E:E,0)) +(($U18 / 15)  * _xlfn.XLOOKUP($G18,'Liquid Mix In Nutrition'!A:A,'Liquid Mix In Nutrition'!E:E,0))+(($V18 / MAX(1, _xlfn.XLOOKUP($H18,'Solid Mix In Nutrition'!A:A,'Solid Mix In Nutrition'!I:I,1)))  * _xlfn.XLOOKUP($H18,'Solid Mix In Nutrition'!A:A,'Solid Mix In Nutrition'!E:E,0))+(($W18 / MAX(1, _xlfn.XLOOKUP($I18,'Solid Mix In Nutrition'!A:A,'Solid Mix In Nutrition'!I:I,1)))  * _xlfn.XLOOKUP($I18,'Solid Mix In Nutrition'!A:A,'Solid Mix In Nutrition'!G:G,0))+(($X18 / 100)  * _xlfn.XLOOKUP($J18,'Sweetener Mix In Nutrition'!A:A,'Sweetener Mix In Nutrition'!E:E,0))+(($Y18 / 100)  * _xlfn.XLOOKUP($K18,'Sweetener Mix In Nutrition'!A:A,'Sweetener Mix In Nutrition'!E:E,0))</f>
        <v>0</v>
      </c>
      <c r="AD18" s="36">
        <f>(($R18 / 240) * _xlfn.XLOOKUP($D18,'Milk Types Nutrition Per Cup'!A:A,'Milk Types Nutrition Per Cup'!E:E,0)) +(($S18 / 240)  * _xlfn.XLOOKUP($E18,'Milk Types Nutrition Per Cup'!A:A,'Milk Types Nutrition Per Cup'!E:E,0)) +(($T18 / 15)  * _xlfn.XLOOKUP($F18,'Liquid Mix In Nutrition'!A:A,'Liquid Mix In Nutrition'!E:E,0)) +(($U18 / 15)  * _xlfn.XLOOKUP($G18,'Liquid Mix In Nutrition'!A:A,'Liquid Mix In Nutrition'!E:E,0))+(($X18 / 100)  * _xlfn.XLOOKUP($J18,'Sweetener Mix In Nutrition'!A:A,'Sweetener Mix In Nutrition'!E:E,0))+(($Y18 / 100)  * _xlfn.XLOOKUP($K18,'Sweetener Mix In Nutrition'!A:A,'Sweetener Mix In Nutrition'!E:E,0))</f>
        <v>0</v>
      </c>
      <c r="AE18" s="37">
        <f>(($R18 / 240) * _xlfn.XLOOKUP($D18,'Milk Types Nutrition Per Cup'!A:A,'Milk Types Nutrition Per Cup'!C:C,0)) +(($S18 / 240)  * _xlfn.XLOOKUP($E18,'Milk Types Nutrition Per Cup'!A:A,'Milk Types Nutrition Per Cup'!C:C,0)) +(($T18 / 15)  * _xlfn.XLOOKUP($F18,'Liquid Mix In Nutrition'!A:A,'Liquid Mix In Nutrition'!C:C,0))+(($U18 / 15)  * _xlfn.XLOOKUP($G18,'Liquid Mix In Nutrition'!A:A,'Liquid Mix In Nutrition'!C:C,0))+(($V18 / MAX(1, _xlfn.XLOOKUP($H18,'Solid Mix In Nutrition'!A:A,'Solid Mix In Nutrition'!I:I,1)))  * _xlfn.XLOOKUP($H18,'Solid Mix In Nutrition'!A:A,'Solid Mix In Nutrition'!C:C,0))+(($W18 / MAX(1, _xlfn.XLOOKUP($I18,'Solid Mix In Nutrition'!A:A,'Solid Mix In Nutrition'!I:I,1)))  * _xlfn.XLOOKUP($I18,'Solid Mix In Nutrition'!A:A,'Solid Mix In Nutrition'!C:C,0))+(($X18 / 100)  * _xlfn.XLOOKUP($J18,'Sweetener Mix In Nutrition'!A:A,'Sweetener Mix In Nutrition'!C:C,0))+(($Y18 / 100)  * _xlfn.XLOOKUP($K18,'Sweetener Mix In Nutrition'!A:A,'Sweetener Mix In Nutrition'!C:C,0))</f>
        <v>0</v>
      </c>
      <c r="AF18" s="38">
        <f>$AE18 / (_xlfn.XLOOKUP($L18,Specs!A:A,Specs!B:B,0))</f>
        <v>0</v>
      </c>
      <c r="AG18" s="37">
        <f>60* ($AB18 / _xlfn.XLOOKUP($L18,Specs!A:A,Specs!B:B,0))</f>
        <v>0</v>
      </c>
      <c r="AH18" s="37">
        <f>60* (AC18 / _xlfn.XLOOKUP($L18,Specs!$A:$A,Specs!$B:$B,0))</f>
        <v>0</v>
      </c>
      <c r="AI18" s="37">
        <f>60* (AE18 / _xlfn.XLOOKUP($L18,Specs!$A:$A,Specs!$B:$B,0))</f>
        <v>0</v>
      </c>
      <c r="AJ18" s="39">
        <v>0</v>
      </c>
      <c r="AK18" s="46" t="s">
        <v>680</v>
      </c>
      <c r="AL18" s="47" t="s">
        <v>646</v>
      </c>
      <c r="AM18" s="40">
        <v>0</v>
      </c>
      <c r="AN18" s="48">
        <v>2</v>
      </c>
      <c r="AO18" s="40">
        <v>2</v>
      </c>
      <c r="AP18" s="30" t="s">
        <v>210</v>
      </c>
      <c r="AQ18" t="str">
        <f>_xlfn.XLOOKUP("What's Your Number?",[1]Sheet1!$1:$1,[1]Sheet1!18:18)</f>
        <v>5612914048</v>
      </c>
    </row>
    <row r="19" spans="1:43" x14ac:dyDescent="0.25">
      <c r="A19" s="42" t="s">
        <v>681</v>
      </c>
      <c r="B19" s="76" t="s">
        <v>682</v>
      </c>
      <c r="C19" s="31" t="s">
        <v>170</v>
      </c>
      <c r="D19" s="31" t="s">
        <v>62</v>
      </c>
      <c r="E19" s="31" t="s">
        <v>65</v>
      </c>
      <c r="F19" s="31" t="s">
        <v>89</v>
      </c>
      <c r="G19" s="31" t="s">
        <v>0</v>
      </c>
      <c r="H19" s="31">
        <v>0</v>
      </c>
      <c r="I19" s="31">
        <v>0</v>
      </c>
      <c r="J19" s="31" t="s">
        <v>1</v>
      </c>
      <c r="K19" s="31">
        <v>0</v>
      </c>
      <c r="L19" s="77" t="s">
        <v>43</v>
      </c>
      <c r="M19" s="45" t="s">
        <v>451</v>
      </c>
      <c r="N19" s="45" t="s">
        <v>157</v>
      </c>
      <c r="O19" s="45">
        <v>0</v>
      </c>
      <c r="P19" s="45" t="s">
        <v>158</v>
      </c>
      <c r="Q19" s="45">
        <v>0</v>
      </c>
      <c r="R19" s="30">
        <f>(_xlfn.XLOOKUP($L19,Specs!A:A,Specs!B:B,0)-(IF(ISNUMBER(SEARCH("Dulce De Leche", $G19)), 0, $T19))-(IF(ISNUMBER(SEARCH("Dulce De Leche", $F19)), 0, $U19))-(($V19/MAX(1,_xlfn.XLOOKUP($H19,'Solid Mix In Nutrition'!A:A,'Solid Mix In Nutrition'!I:I,1)))*240)-(($W19/MAX(1,_xlfn.XLOOKUP($I19,'Solid Mix In Nutrition'!A:A,'Solid Mix In Nutrition'!I:I,1)))*240))*0.66</f>
        <v>535.26</v>
      </c>
      <c r="S19" s="30">
        <f>(_xlfn.XLOOKUP($L19,Specs!A:A,Specs!B:B,0)-(IF(ISNUMBER(SEARCH("Dulce De Leche", $G19)), 0, $T19))-(IF(ISNUMBER(SEARCH("Dulce De Leche", $F19)), 0, $U19))-(($V19/MAX(1,_xlfn.XLOOKUP($H19,'Solid Mix In Nutrition'!A:A,'Solid Mix In Nutrition'!I:I,1)))*240)-(($W19/MAX(1,_xlfn.XLOOKUP($I19,'Solid Mix In Nutrition'!A:A,'Solid Mix In Nutrition'!I:I,1)))*240))*0.33</f>
        <v>267.63</v>
      </c>
      <c r="T19" s="30">
        <f>_xlfn.XLOOKUP($M19,Specs!$D:$D,Specs!$E:$E,0)*15*_xlfn.XLOOKUP($L19,Specs!$A:$A,Specs!$C:$C,0)</f>
        <v>120</v>
      </c>
      <c r="U19" s="30">
        <f>_xlfn.XLOOKUP($N19,Specs!$D:$D,Specs!$E:$E,0)*15*_xlfn.XLOOKUP($L19,Specs!$A:$A,Specs!$C:$C,0)</f>
        <v>15</v>
      </c>
      <c r="V19" s="30">
        <f>( ((_xlfn.XLOOKUP($O19,Specs!$H:$H,Specs!$I:$I,0)*_xlfn.XLOOKUP($L19,Specs!$A:$A,Specs!$B:$B,0))/240) *_xlfn.XLOOKUP($H19,'Solid Mix In Nutrition'!A:A,'Solid Mix In Nutrition'!I:I,0)) *IF(AND(NOT($I19=0), COUNTA($I19)),0.5,1)</f>
        <v>0</v>
      </c>
      <c r="W19" s="30">
        <f>( ((_xlfn.XLOOKUP($O19,Specs!$H:$H,Specs!$I:$I,0)*_xlfn.XLOOKUP($L19,Specs!$A:$A,Specs!$B:$B,0))/240) *_xlfn.XLOOKUP($I19,'Solid Mix In Nutrition'!A:A,'Solid Mix In Nutrition'!I:I,0)) *IF(AND(NOT($I19=0), COUNTA($I19)),0.5,0)</f>
        <v>0</v>
      </c>
      <c r="X19" s="30">
        <f>_xlfn.XLOOKUP($P19,Specs!F:F,Specs!G:G,0)*_xlfn.XLOOKUP($J19,'Sweetener Mix In Nutrition'!A:A,'Sweetener Mix In Nutrition'!I:I,0)*_xlfn.XLOOKUP($L19,Specs!A:A,Specs!C:C,0)</f>
        <v>50</v>
      </c>
      <c r="Y19" s="30">
        <f>_xlfn.XLOOKUP($Q19,Specs!F:F,Specs!G:G,0)*_xlfn.XLOOKUP($K19,'Sweetener Mix In Nutrition'!A:A,'Sweetener Mix In Nutrition'!I:I,0)*_xlfn.XLOOKUP($L19,Specs!A:A,Specs!C:C,0)</f>
        <v>0</v>
      </c>
      <c r="Z19" s="34">
        <f t="shared" si="0"/>
        <v>1.167468</v>
      </c>
      <c r="AA19" s="35">
        <f t="shared" si="1"/>
        <v>0.25</v>
      </c>
      <c r="AB19" s="36">
        <f>(($R19 / 240) * _xlfn.XLOOKUP($D19,'Milk Types Nutrition Per Cup'!A:A,'Milk Types Nutrition Per Cup'!B:B,0)) +(($S19 / 240)  * _xlfn.XLOOKUP($E19,'Milk Types Nutrition Per Cup'!A:A,'Milk Types Nutrition Per Cup'!B:B,0)) +(($T19 / 15)  * _xlfn.XLOOKUP($F19,'Liquid Mix In Nutrition'!A:A,'Liquid Mix In Nutrition'!B:B,0))+(($U19 / 15)  * _xlfn.XLOOKUP($G19,'Liquid Mix In Nutrition'!A:A,'Liquid Mix In Nutrition'!B:B,0))+(($V19 /MAX(1, _xlfn.XLOOKUP($H19,'Solid Mix In Nutrition'!A:A,'Solid Mix In Nutrition'!I:I,1)))  * _xlfn.XLOOKUP($H19,'Solid Mix In Nutrition'!A:A,'Solid Mix In Nutrition'!B:B,0))+(($W19 / MAX(1, _xlfn.XLOOKUP($I19,'Solid Mix In Nutrition'!A:A,'Solid Mix In Nutrition'!I:I,1))))+(($X19 / 100)  * _xlfn.XLOOKUP($J19,'Sweetener Mix In Nutrition'!A:A,'Sweetener Mix In Nutrition'!B:B,0))+(($Y19 / 100)  * _xlfn.XLOOKUP($K19,'Sweetener Mix In Nutrition'!A:A,'Sweetener Mix In Nutrition'!B:B,0))</f>
        <v>2949.54</v>
      </c>
      <c r="AC19" s="36">
        <f>(($R19 / 240) * _xlfn.XLOOKUP($D19,'Milk Types Nutrition Per Cup'!A:A,'Milk Types Nutrition Per Cup'!E:E,0)) +(($S19 / 240)  * _xlfn.XLOOKUP($E19,'Milk Types Nutrition Per Cup'!A:A,'Milk Types Nutrition Per Cup'!E:E,0)) +(($T19 / 15)  * _xlfn.XLOOKUP($F19,'Liquid Mix In Nutrition'!A:A,'Liquid Mix In Nutrition'!E:E,0)) +(($U19 / 15)  * _xlfn.XLOOKUP($G19,'Liquid Mix In Nutrition'!A:A,'Liquid Mix In Nutrition'!E:E,0))+(($V19 / MAX(1, _xlfn.XLOOKUP($H19,'Solid Mix In Nutrition'!A:A,'Solid Mix In Nutrition'!I:I,1)))  * _xlfn.XLOOKUP($H19,'Solid Mix In Nutrition'!A:A,'Solid Mix In Nutrition'!E:E,0))+(($W19 / MAX(1, _xlfn.XLOOKUP($I19,'Solid Mix In Nutrition'!A:A,'Solid Mix In Nutrition'!I:I,1)))  * _xlfn.XLOOKUP($I19,'Solid Mix In Nutrition'!A:A,'Solid Mix In Nutrition'!G:G,0))+(($X19 / 100)  * _xlfn.XLOOKUP($J19,'Sweetener Mix In Nutrition'!A:A,'Sweetener Mix In Nutrition'!E:E,0))+(($Y19 / 100)  * _xlfn.XLOOKUP($K19,'Sweetener Mix In Nutrition'!A:A,'Sweetener Mix In Nutrition'!E:E,0))</f>
        <v>130.92099999999999</v>
      </c>
      <c r="AD19" s="36">
        <f>(($R19 / 240) * _xlfn.XLOOKUP($D19,'Milk Types Nutrition Per Cup'!A:A,'Milk Types Nutrition Per Cup'!E:E,0)) +(($S19 / 240)  * _xlfn.XLOOKUP($E19,'Milk Types Nutrition Per Cup'!A:A,'Milk Types Nutrition Per Cup'!E:E,0)) +(($T19 / 15)  * _xlfn.XLOOKUP($F19,'Liquid Mix In Nutrition'!A:A,'Liquid Mix In Nutrition'!E:E,0)) +(($U19 / 15)  * _xlfn.XLOOKUP($G19,'Liquid Mix In Nutrition'!A:A,'Liquid Mix In Nutrition'!E:E,0))+(($X19 / 100)  * _xlfn.XLOOKUP($J19,'Sweetener Mix In Nutrition'!A:A,'Sweetener Mix In Nutrition'!E:E,0))+(($Y19 / 100)  * _xlfn.XLOOKUP($K19,'Sweetener Mix In Nutrition'!A:A,'Sweetener Mix In Nutrition'!E:E,0))</f>
        <v>130.92099999999999</v>
      </c>
      <c r="AE19" s="37">
        <f>(($R19 / 240) * _xlfn.XLOOKUP($D19,'Milk Types Nutrition Per Cup'!A:A,'Milk Types Nutrition Per Cup'!C:C,0)) +(($S19 / 240)  * _xlfn.XLOOKUP($E19,'Milk Types Nutrition Per Cup'!A:A,'Milk Types Nutrition Per Cup'!C:C,0)) +(($T19 / 15)  * _xlfn.XLOOKUP($F19,'Liquid Mix In Nutrition'!A:A,'Liquid Mix In Nutrition'!C:C,0))+(($U19 / 15)  * _xlfn.XLOOKUP($G19,'Liquid Mix In Nutrition'!A:A,'Liquid Mix In Nutrition'!C:C,0))+(($V19 / MAX(1, _xlfn.XLOOKUP($H19,'Solid Mix In Nutrition'!A:A,'Solid Mix In Nutrition'!I:I,1)))  * _xlfn.XLOOKUP($H19,'Solid Mix In Nutrition'!A:A,'Solid Mix In Nutrition'!C:C,0))+(($W19 / MAX(1, _xlfn.XLOOKUP($I19,'Solid Mix In Nutrition'!A:A,'Solid Mix In Nutrition'!I:I,1)))  * _xlfn.XLOOKUP($I19,'Solid Mix In Nutrition'!A:A,'Solid Mix In Nutrition'!C:C,0))+(($X19 / 100)  * _xlfn.XLOOKUP($J19,'Sweetener Mix In Nutrition'!A:A,'Sweetener Mix In Nutrition'!C:C,0))+(($Y19 / 100)  * _xlfn.XLOOKUP($K19,'Sweetener Mix In Nutrition'!A:A,'Sweetener Mix In Nutrition'!C:C,0))</f>
        <v>270.82749999999999</v>
      </c>
      <c r="AF19" s="38">
        <f>$AE19 / (_xlfn.XLOOKUP($L19,Specs!A:A,Specs!B:B,0))</f>
        <v>0.28628699788583506</v>
      </c>
      <c r="AG19" s="37">
        <f>60* ($AB19 / _xlfn.XLOOKUP($L19,Specs!A:A,Specs!B:B,0))</f>
        <v>187.07441860465116</v>
      </c>
      <c r="AH19" s="37">
        <f>60* (AC19 / _xlfn.XLOOKUP($L19,Specs!$A:$A,Specs!$B:$B,0))</f>
        <v>8.3036575052854129</v>
      </c>
      <c r="AI19" s="37">
        <f>60* (AE19 / _xlfn.XLOOKUP($L19,Specs!$A:$A,Specs!$B:$B,0))</f>
        <v>17.177219873150104</v>
      </c>
      <c r="AJ19" s="39">
        <v>4.536846147798034</v>
      </c>
      <c r="AK19" s="46" t="s">
        <v>683</v>
      </c>
      <c r="AL19" s="47" t="s">
        <v>646</v>
      </c>
      <c r="AM19" s="40">
        <v>0</v>
      </c>
      <c r="AN19" s="48">
        <v>10</v>
      </c>
      <c r="AO19" s="40">
        <v>10</v>
      </c>
      <c r="AP19" s="30" t="s">
        <v>210</v>
      </c>
      <c r="AQ19" t="str">
        <f>_xlfn.XLOOKUP("What's Your Number?",[1]Sheet1!$1:$1,[1]Sheet1!19:19)</f>
        <v>561-901-8804</v>
      </c>
    </row>
    <row r="20" spans="1:43" x14ac:dyDescent="0.25">
      <c r="A20" s="44" t="s">
        <v>684</v>
      </c>
      <c r="B20" s="76" t="s">
        <v>685</v>
      </c>
      <c r="C20" s="31" t="s">
        <v>251</v>
      </c>
      <c r="D20" s="31" t="s">
        <v>62</v>
      </c>
      <c r="E20" s="31" t="s">
        <v>65</v>
      </c>
      <c r="F20" s="31" t="s">
        <v>0</v>
      </c>
      <c r="G20" s="31">
        <v>0</v>
      </c>
      <c r="H20" s="31" t="s">
        <v>249</v>
      </c>
      <c r="I20" s="31">
        <v>0</v>
      </c>
      <c r="J20" s="31" t="s">
        <v>1</v>
      </c>
      <c r="K20" s="31">
        <v>0</v>
      </c>
      <c r="L20" s="77" t="s">
        <v>43</v>
      </c>
      <c r="M20" s="45" t="s">
        <v>157</v>
      </c>
      <c r="N20" s="45">
        <v>0</v>
      </c>
      <c r="O20" s="45" t="s">
        <v>156</v>
      </c>
      <c r="P20" s="45" t="s">
        <v>173</v>
      </c>
      <c r="Q20" s="45">
        <v>0</v>
      </c>
      <c r="R20" s="30">
        <f>(_xlfn.XLOOKUP($L20,Specs!A:A,Specs!B:B,0)-(IF(ISNUMBER(SEARCH("Dulce De Leche", $G20)), 0, $T20))-(IF(ISNUMBER(SEARCH("Dulce De Leche", $F20)), 0, $U20))-(($V20/MAX(1,_xlfn.XLOOKUP($H20,'Solid Mix In Nutrition'!A:A,'Solid Mix In Nutrition'!I:I,1)))*240)-(($W20/MAX(1,_xlfn.XLOOKUP($I20,'Solid Mix In Nutrition'!A:A,'Solid Mix In Nutrition'!I:I,1)))*240))*0.66</f>
        <v>458.37</v>
      </c>
      <c r="S20" s="30">
        <f>(_xlfn.XLOOKUP($L20,Specs!A:A,Specs!B:B,0)-(IF(ISNUMBER(SEARCH("Dulce De Leche", $G20)), 0, $T20))-(IF(ISNUMBER(SEARCH("Dulce De Leche", $F20)), 0, $U20))-(($V20/MAX(1,_xlfn.XLOOKUP($H20,'Solid Mix In Nutrition'!A:A,'Solid Mix In Nutrition'!I:I,1)))*240)-(($W20/MAX(1,_xlfn.XLOOKUP($I20,'Solid Mix In Nutrition'!A:A,'Solid Mix In Nutrition'!I:I,1)))*240))*0.33</f>
        <v>229.185</v>
      </c>
      <c r="T20" s="30">
        <f>_xlfn.XLOOKUP($M20,Specs!$D:$D,Specs!$E:$E,0)*15*_xlfn.XLOOKUP($L20,Specs!$A:$A,Specs!$C:$C,0)</f>
        <v>15</v>
      </c>
      <c r="U20" s="30">
        <f>_xlfn.XLOOKUP($N20,Specs!$D:$D,Specs!$E:$E,0)*15*_xlfn.XLOOKUP($L20,Specs!$A:$A,Specs!$C:$C,0)</f>
        <v>0</v>
      </c>
      <c r="V20" s="30">
        <f>( ((_xlfn.XLOOKUP($O20,Specs!$H:$H,Specs!$I:$I,0)*_xlfn.XLOOKUP($L20,Specs!$A:$A,Specs!$B:$B,0))/240) *_xlfn.XLOOKUP($H20,'Solid Mix In Nutrition'!A:A,'Solid Mix In Nutrition'!I:I,0)) *IF(AND(NOT($I20=0), COUNTA($I20)),0.5,1)</f>
        <v>236.5</v>
      </c>
      <c r="W20" s="30">
        <f>( ((_xlfn.XLOOKUP($O20,Specs!$H:$H,Specs!$I:$I,0)*_xlfn.XLOOKUP($L20,Specs!$A:$A,Specs!$B:$B,0))/240) *_xlfn.XLOOKUP($I20,'Solid Mix In Nutrition'!A:A,'Solid Mix In Nutrition'!I:I,0)) *IF(AND(NOT($I20=0), COUNTA($I20)),0.5,0)</f>
        <v>0</v>
      </c>
      <c r="X20" s="30">
        <f>_xlfn.XLOOKUP($P20,Specs!F:F,Specs!G:G,0)*_xlfn.XLOOKUP($J20,'Sweetener Mix In Nutrition'!A:A,'Sweetener Mix In Nutrition'!I:I,0)*_xlfn.XLOOKUP($L20,Specs!A:A,Specs!C:C,0)</f>
        <v>100</v>
      </c>
      <c r="Y20" s="30">
        <f>_xlfn.XLOOKUP($Q20,Specs!F:F,Specs!G:G,0)*_xlfn.XLOOKUP($K20,'Sweetener Mix In Nutrition'!A:A,'Sweetener Mix In Nutrition'!I:I,0)*_xlfn.XLOOKUP($L20,Specs!A:A,Specs!C:C,0)</f>
        <v>0</v>
      </c>
      <c r="Z20" s="34">
        <f t="shared" si="0"/>
        <v>0.96306599999999998</v>
      </c>
      <c r="AA20" s="35">
        <f t="shared" si="1"/>
        <v>0.25</v>
      </c>
      <c r="AB20" s="36">
        <f>(($R20 / 240) * _xlfn.XLOOKUP($D20,'Milk Types Nutrition Per Cup'!A:A,'Milk Types Nutrition Per Cup'!B:B,0)) +(($S20 / 240)  * _xlfn.XLOOKUP($E20,'Milk Types Nutrition Per Cup'!A:A,'Milk Types Nutrition Per Cup'!B:B,0)) +(($T20 / 15)  * _xlfn.XLOOKUP($F20,'Liquid Mix In Nutrition'!A:A,'Liquid Mix In Nutrition'!B:B,0))+(($U20 / 15)  * _xlfn.XLOOKUP($G20,'Liquid Mix In Nutrition'!A:A,'Liquid Mix In Nutrition'!B:B,0))+(($V20 /MAX(1, _xlfn.XLOOKUP($H20,'Solid Mix In Nutrition'!A:A,'Solid Mix In Nutrition'!I:I,1)))  * _xlfn.XLOOKUP($H20,'Solid Mix In Nutrition'!A:A,'Solid Mix In Nutrition'!B:B,0))+(($W20 / MAX(1, _xlfn.XLOOKUP($I20,'Solid Mix In Nutrition'!A:A,'Solid Mix In Nutrition'!I:I,1))))+(($X20 / 100)  * _xlfn.XLOOKUP($J20,'Sweetener Mix In Nutrition'!A:A,'Sweetener Mix In Nutrition'!B:B,0))+(($Y20 / 100)  * _xlfn.XLOOKUP($K20,'Sweetener Mix In Nutrition'!A:A,'Sweetener Mix In Nutrition'!B:B,0))</f>
        <v>3393.0161762771322</v>
      </c>
      <c r="AC20" s="36">
        <f>(($R20 / 240) * _xlfn.XLOOKUP($D20,'Milk Types Nutrition Per Cup'!A:A,'Milk Types Nutrition Per Cup'!E:E,0)) +(($S20 / 240)  * _xlfn.XLOOKUP($E20,'Milk Types Nutrition Per Cup'!A:A,'Milk Types Nutrition Per Cup'!E:E,0)) +(($T20 / 15)  * _xlfn.XLOOKUP($F20,'Liquid Mix In Nutrition'!A:A,'Liquid Mix In Nutrition'!E:E,0)) +(($U20 / 15)  * _xlfn.XLOOKUP($G20,'Liquid Mix In Nutrition'!A:A,'Liquid Mix In Nutrition'!E:E,0))+(($V20 / MAX(1, _xlfn.XLOOKUP($H20,'Solid Mix In Nutrition'!A:A,'Solid Mix In Nutrition'!I:I,1)))  * _xlfn.XLOOKUP($H20,'Solid Mix In Nutrition'!A:A,'Solid Mix In Nutrition'!E:E,0))+(($W20 / MAX(1, _xlfn.XLOOKUP($I20,'Solid Mix In Nutrition'!A:A,'Solid Mix In Nutrition'!I:I,1)))  * _xlfn.XLOOKUP($I20,'Solid Mix In Nutrition'!A:A,'Solid Mix In Nutrition'!G:G,0))+(($X20 / 100)  * _xlfn.XLOOKUP($J20,'Sweetener Mix In Nutrition'!A:A,'Sweetener Mix In Nutrition'!E:E,0))+(($Y20 / 100)  * _xlfn.XLOOKUP($K20,'Sweetener Mix In Nutrition'!A:A,'Sweetener Mix In Nutrition'!E:E,0))</f>
        <v>185.41687338303001</v>
      </c>
      <c r="AD20" s="36">
        <f>(($R20 / 240) * _xlfn.XLOOKUP($D20,'Milk Types Nutrition Per Cup'!A:A,'Milk Types Nutrition Per Cup'!E:E,0)) +(($S20 / 240)  * _xlfn.XLOOKUP($E20,'Milk Types Nutrition Per Cup'!A:A,'Milk Types Nutrition Per Cup'!E:E,0)) +(($T20 / 15)  * _xlfn.XLOOKUP($F20,'Liquid Mix In Nutrition'!A:A,'Liquid Mix In Nutrition'!E:E,0)) +(($U20 / 15)  * _xlfn.XLOOKUP($G20,'Liquid Mix In Nutrition'!A:A,'Liquid Mix In Nutrition'!E:E,0))+(($X20 / 100)  * _xlfn.XLOOKUP($J20,'Sweetener Mix In Nutrition'!A:A,'Sweetener Mix In Nutrition'!E:E,0))+(($Y20 / 100)  * _xlfn.XLOOKUP($K20,'Sweetener Mix In Nutrition'!A:A,'Sweetener Mix In Nutrition'!E:E,0))</f>
        <v>116.6395</v>
      </c>
      <c r="AE20" s="37">
        <f>(($R20 / 240) * _xlfn.XLOOKUP($D20,'Milk Types Nutrition Per Cup'!A:A,'Milk Types Nutrition Per Cup'!C:C,0)) +(($S20 / 240)  * _xlfn.XLOOKUP($E20,'Milk Types Nutrition Per Cup'!A:A,'Milk Types Nutrition Per Cup'!C:C,0)) +(($T20 / 15)  * _xlfn.XLOOKUP($F20,'Liquid Mix In Nutrition'!A:A,'Liquid Mix In Nutrition'!C:C,0))+(($U20 / 15)  * _xlfn.XLOOKUP($G20,'Liquid Mix In Nutrition'!A:A,'Liquid Mix In Nutrition'!C:C,0))+(($V20 / MAX(1, _xlfn.XLOOKUP($H20,'Solid Mix In Nutrition'!A:A,'Solid Mix In Nutrition'!I:I,1)))  * _xlfn.XLOOKUP($H20,'Solid Mix In Nutrition'!A:A,'Solid Mix In Nutrition'!C:C,0))+(($W20 / MAX(1, _xlfn.XLOOKUP($I20,'Solid Mix In Nutrition'!A:A,'Solid Mix In Nutrition'!I:I,1)))  * _xlfn.XLOOKUP($I20,'Solid Mix In Nutrition'!A:A,'Solid Mix In Nutrition'!C:C,0))+(($X20 / 100)  * _xlfn.XLOOKUP($J20,'Sweetener Mix In Nutrition'!A:A,'Sweetener Mix In Nutrition'!C:C,0))+(($Y20 / 100)  * _xlfn.XLOOKUP($K20,'Sweetener Mix In Nutrition'!A:A,'Sweetener Mix In Nutrition'!C:C,0))</f>
        <v>258.04996409778556</v>
      </c>
      <c r="AF20" s="38">
        <f>$AE20 / (_xlfn.XLOOKUP($L20,Specs!A:A,Specs!B:B,0))</f>
        <v>0.27278008889829342</v>
      </c>
      <c r="AG20" s="37">
        <f>60* ($AB20 / _xlfn.XLOOKUP($L20,Specs!A:A,Specs!B:B,0))</f>
        <v>215.20187164548409</v>
      </c>
      <c r="AH20" s="37">
        <f>60* (AC20 / _xlfn.XLOOKUP($L20,Specs!$A:$A,Specs!$B:$B,0))</f>
        <v>11.760055394272516</v>
      </c>
      <c r="AI20" s="37">
        <f>60* (AE20 / _xlfn.XLOOKUP($L20,Specs!$A:$A,Specs!$B:$B,0))</f>
        <v>16.366805333897606</v>
      </c>
      <c r="AJ20" s="39">
        <v>3.7199259626978067</v>
      </c>
      <c r="AK20" s="46">
        <v>0</v>
      </c>
      <c r="AL20" s="47" t="s">
        <v>646</v>
      </c>
      <c r="AM20" s="40">
        <v>0</v>
      </c>
      <c r="AN20" s="48">
        <v>8</v>
      </c>
      <c r="AO20" s="40">
        <v>8</v>
      </c>
      <c r="AP20" s="30" t="s">
        <v>212</v>
      </c>
      <c r="AQ20" t="str">
        <f>_xlfn.XLOOKUP("What's Your Number?",[1]Sheet1!$1:$1,[1]Sheet1!20:20)</f>
        <v>9548049592</v>
      </c>
    </row>
    <row r="21" spans="1:43" x14ac:dyDescent="0.25">
      <c r="A21" s="42" t="s">
        <v>686</v>
      </c>
      <c r="B21" s="76" t="s">
        <v>677</v>
      </c>
      <c r="C21" s="31" t="s">
        <v>508</v>
      </c>
      <c r="D21" s="31">
        <v>0</v>
      </c>
      <c r="E21" s="31">
        <v>0</v>
      </c>
      <c r="F21" s="31">
        <v>0</v>
      </c>
      <c r="G21" s="31">
        <v>0</v>
      </c>
      <c r="H21" s="31">
        <v>0</v>
      </c>
      <c r="I21" s="31">
        <v>0</v>
      </c>
      <c r="J21" s="31">
        <v>0</v>
      </c>
      <c r="K21" s="31">
        <v>0</v>
      </c>
      <c r="L21" s="77" t="s">
        <v>43</v>
      </c>
      <c r="M21" s="45">
        <v>0</v>
      </c>
      <c r="N21" s="45">
        <v>0</v>
      </c>
      <c r="O21" s="45">
        <v>0</v>
      </c>
      <c r="P21" s="45">
        <v>0</v>
      </c>
      <c r="Q21" s="45">
        <v>0</v>
      </c>
      <c r="R21" s="30">
        <f>(_xlfn.XLOOKUP($L21,Specs!A:A,Specs!B:B,0)-(IF(ISNUMBER(SEARCH("Dulce De Leche", $G21)), 0, $T21))-(IF(ISNUMBER(SEARCH("Dulce De Leche", $F21)), 0, $U21))-(($V21/MAX(1,_xlfn.XLOOKUP($H21,'Solid Mix In Nutrition'!A:A,'Solid Mix In Nutrition'!I:I,1)))*240)-(($W21/MAX(1,_xlfn.XLOOKUP($I21,'Solid Mix In Nutrition'!A:A,'Solid Mix In Nutrition'!I:I,1)))*240))*0.66</f>
        <v>624.36</v>
      </c>
      <c r="S21" s="30">
        <f>(_xlfn.XLOOKUP($L21,Specs!A:A,Specs!B:B,0)-(IF(ISNUMBER(SEARCH("Dulce De Leche", $G21)), 0, $T21))-(IF(ISNUMBER(SEARCH("Dulce De Leche", $F21)), 0, $U21))-(($V21/MAX(1,_xlfn.XLOOKUP($H21,'Solid Mix In Nutrition'!A:A,'Solid Mix In Nutrition'!I:I,1)))*240)-(($W21/MAX(1,_xlfn.XLOOKUP($I21,'Solid Mix In Nutrition'!A:A,'Solid Mix In Nutrition'!I:I,1)))*240))*0.33</f>
        <v>312.18</v>
      </c>
      <c r="T21" s="30">
        <f>_xlfn.XLOOKUP($M21,Specs!$D:$D,Specs!$E:$E,0)*15*_xlfn.XLOOKUP($L21,Specs!$A:$A,Specs!$C:$C,0)</f>
        <v>0</v>
      </c>
      <c r="U21" s="30">
        <f>_xlfn.XLOOKUP($N21,Specs!$D:$D,Specs!$E:$E,0)*15*_xlfn.XLOOKUP($L21,Specs!$A:$A,Specs!$C:$C,0)</f>
        <v>0</v>
      </c>
      <c r="V21" s="30">
        <f>( ((_xlfn.XLOOKUP($O21,Specs!$H:$H,Specs!$I:$I,0)*_xlfn.XLOOKUP($L21,Specs!$A:$A,Specs!$B:$B,0))/240) *_xlfn.XLOOKUP($H21,'Solid Mix In Nutrition'!A:A,'Solid Mix In Nutrition'!I:I,0)) *IF(AND(NOT($I21=0), COUNTA($I21)),0.5,1)</f>
        <v>0</v>
      </c>
      <c r="W21" s="30">
        <f>( ((_xlfn.XLOOKUP($O21,Specs!$H:$H,Specs!$I:$I,0)*_xlfn.XLOOKUP($L21,Specs!$A:$A,Specs!$B:$B,0))/240) *_xlfn.XLOOKUP($I21,'Solid Mix In Nutrition'!A:A,'Solid Mix In Nutrition'!I:I,0)) *IF(AND(NOT($I21=0), COUNTA($I21)),0.5,0)</f>
        <v>0</v>
      </c>
      <c r="X21" s="30">
        <f>_xlfn.XLOOKUP($P21,Specs!F:F,Specs!G:G,0)*_xlfn.XLOOKUP($J21,'Sweetener Mix In Nutrition'!A:A,'Sweetener Mix In Nutrition'!I:I,0)*_xlfn.XLOOKUP($L21,Specs!A:A,Specs!C:C,0)</f>
        <v>0</v>
      </c>
      <c r="Y21" s="30">
        <f>_xlfn.XLOOKUP($Q21,Specs!F:F,Specs!G:G,0)*_xlfn.XLOOKUP($K21,'Sweetener Mix In Nutrition'!A:A,'Sweetener Mix In Nutrition'!I:I,0)*_xlfn.XLOOKUP($L21,Specs!A:A,Specs!C:C,0)</f>
        <v>0</v>
      </c>
      <c r="Z21" s="34">
        <f t="shared" si="0"/>
        <v>1.123848</v>
      </c>
      <c r="AA21" s="35">
        <f t="shared" si="1"/>
        <v>0.25</v>
      </c>
      <c r="AB21" s="36">
        <f>(($R21 / 240) * _xlfn.XLOOKUP($D21,'Milk Types Nutrition Per Cup'!A:A,'Milk Types Nutrition Per Cup'!B:B,0)) +(($S21 / 240)  * _xlfn.XLOOKUP($E21,'Milk Types Nutrition Per Cup'!A:A,'Milk Types Nutrition Per Cup'!B:B,0)) +(($T21 / 15)  * _xlfn.XLOOKUP($F21,'Liquid Mix In Nutrition'!A:A,'Liquid Mix In Nutrition'!B:B,0))+(($U21 / 15)  * _xlfn.XLOOKUP($G21,'Liquid Mix In Nutrition'!A:A,'Liquid Mix In Nutrition'!B:B,0))+(($V21 /MAX(1, _xlfn.XLOOKUP($H21,'Solid Mix In Nutrition'!A:A,'Solid Mix In Nutrition'!I:I,1)))  * _xlfn.XLOOKUP($H21,'Solid Mix In Nutrition'!A:A,'Solid Mix In Nutrition'!B:B,0))+(($W21 / MAX(1, _xlfn.XLOOKUP($I21,'Solid Mix In Nutrition'!A:A,'Solid Mix In Nutrition'!I:I,1))))+(($X21 / 100)  * _xlfn.XLOOKUP($J21,'Sweetener Mix In Nutrition'!A:A,'Sweetener Mix In Nutrition'!B:B,0))+(($Y21 / 100)  * _xlfn.XLOOKUP($K21,'Sweetener Mix In Nutrition'!A:A,'Sweetener Mix In Nutrition'!B:B,0))</f>
        <v>0</v>
      </c>
      <c r="AC21" s="36">
        <f>(($R21 / 240) * _xlfn.XLOOKUP($D21,'Milk Types Nutrition Per Cup'!A:A,'Milk Types Nutrition Per Cup'!E:E,0)) +(($S21 / 240)  * _xlfn.XLOOKUP($E21,'Milk Types Nutrition Per Cup'!A:A,'Milk Types Nutrition Per Cup'!E:E,0)) +(($T21 / 15)  * _xlfn.XLOOKUP($F21,'Liquid Mix In Nutrition'!A:A,'Liquid Mix In Nutrition'!E:E,0)) +(($U21 / 15)  * _xlfn.XLOOKUP($G21,'Liquid Mix In Nutrition'!A:A,'Liquid Mix In Nutrition'!E:E,0))+(($V21 / MAX(1, _xlfn.XLOOKUP($H21,'Solid Mix In Nutrition'!A:A,'Solid Mix In Nutrition'!I:I,1)))  * _xlfn.XLOOKUP($H21,'Solid Mix In Nutrition'!A:A,'Solid Mix In Nutrition'!E:E,0))+(($W21 / MAX(1, _xlfn.XLOOKUP($I21,'Solid Mix In Nutrition'!A:A,'Solid Mix In Nutrition'!I:I,1)))  * _xlfn.XLOOKUP($I21,'Solid Mix In Nutrition'!A:A,'Solid Mix In Nutrition'!G:G,0))+(($X21 / 100)  * _xlfn.XLOOKUP($J21,'Sweetener Mix In Nutrition'!A:A,'Sweetener Mix In Nutrition'!E:E,0))+(($Y21 / 100)  * _xlfn.XLOOKUP($K21,'Sweetener Mix In Nutrition'!A:A,'Sweetener Mix In Nutrition'!E:E,0))</f>
        <v>0</v>
      </c>
      <c r="AD21" s="36">
        <f>(($R21 / 240) * _xlfn.XLOOKUP($D21,'Milk Types Nutrition Per Cup'!A:A,'Milk Types Nutrition Per Cup'!E:E,0)) +(($S21 / 240)  * _xlfn.XLOOKUP($E21,'Milk Types Nutrition Per Cup'!A:A,'Milk Types Nutrition Per Cup'!E:E,0)) +(($T21 / 15)  * _xlfn.XLOOKUP($F21,'Liquid Mix In Nutrition'!A:A,'Liquid Mix In Nutrition'!E:E,0)) +(($U21 / 15)  * _xlfn.XLOOKUP($G21,'Liquid Mix In Nutrition'!A:A,'Liquid Mix In Nutrition'!E:E,0))+(($X21 / 100)  * _xlfn.XLOOKUP($J21,'Sweetener Mix In Nutrition'!A:A,'Sweetener Mix In Nutrition'!E:E,0))+(($Y21 / 100)  * _xlfn.XLOOKUP($K21,'Sweetener Mix In Nutrition'!A:A,'Sweetener Mix In Nutrition'!E:E,0))</f>
        <v>0</v>
      </c>
      <c r="AE21" s="37">
        <f>(($R21 / 240) * _xlfn.XLOOKUP($D21,'Milk Types Nutrition Per Cup'!A:A,'Milk Types Nutrition Per Cup'!C:C,0)) +(($S21 / 240)  * _xlfn.XLOOKUP($E21,'Milk Types Nutrition Per Cup'!A:A,'Milk Types Nutrition Per Cup'!C:C,0)) +(($T21 / 15)  * _xlfn.XLOOKUP($F21,'Liquid Mix In Nutrition'!A:A,'Liquid Mix In Nutrition'!C:C,0))+(($U21 / 15)  * _xlfn.XLOOKUP($G21,'Liquid Mix In Nutrition'!A:A,'Liquid Mix In Nutrition'!C:C,0))+(($V21 / MAX(1, _xlfn.XLOOKUP($H21,'Solid Mix In Nutrition'!A:A,'Solid Mix In Nutrition'!I:I,1)))  * _xlfn.XLOOKUP($H21,'Solid Mix In Nutrition'!A:A,'Solid Mix In Nutrition'!C:C,0))+(($W21 / MAX(1, _xlfn.XLOOKUP($I21,'Solid Mix In Nutrition'!A:A,'Solid Mix In Nutrition'!I:I,1)))  * _xlfn.XLOOKUP($I21,'Solid Mix In Nutrition'!A:A,'Solid Mix In Nutrition'!C:C,0))+(($X21 / 100)  * _xlfn.XLOOKUP($J21,'Sweetener Mix In Nutrition'!A:A,'Sweetener Mix In Nutrition'!C:C,0))+(($Y21 / 100)  * _xlfn.XLOOKUP($K21,'Sweetener Mix In Nutrition'!A:A,'Sweetener Mix In Nutrition'!C:C,0))</f>
        <v>0</v>
      </c>
      <c r="AF21" s="38">
        <f>$AE21 / (_xlfn.XLOOKUP($L21,Specs!A:A,Specs!B:B,0))</f>
        <v>0</v>
      </c>
      <c r="AG21" s="37">
        <f>60* ($AB21 / _xlfn.XLOOKUP($L21,Specs!A:A,Specs!B:B,0))</f>
        <v>0</v>
      </c>
      <c r="AH21" s="37">
        <f>60* (AC21 / _xlfn.XLOOKUP($L21,Specs!$A:$A,Specs!$B:$B,0))</f>
        <v>0</v>
      </c>
      <c r="AI21" s="37">
        <f>60* (AE21 / _xlfn.XLOOKUP($L21,Specs!$A:$A,Specs!$B:$B,0))</f>
        <v>0</v>
      </c>
      <c r="AJ21" s="39">
        <v>0</v>
      </c>
      <c r="AK21" s="46" t="s">
        <v>687</v>
      </c>
      <c r="AL21" s="47" t="s">
        <v>646</v>
      </c>
      <c r="AM21" s="40">
        <v>0</v>
      </c>
      <c r="AN21" s="48">
        <v>1</v>
      </c>
      <c r="AO21" s="40">
        <v>1</v>
      </c>
      <c r="AP21" s="30" t="s">
        <v>210</v>
      </c>
      <c r="AQ21" t="str">
        <f>_xlfn.XLOOKUP("What's Your Number?",[1]Sheet1!$1:$1,[1]Sheet1!21:21)</f>
        <v>5615623572</v>
      </c>
    </row>
    <row r="22" spans="1:43" x14ac:dyDescent="0.25">
      <c r="A22" s="42" t="s">
        <v>688</v>
      </c>
      <c r="B22" s="76" t="s">
        <v>656</v>
      </c>
      <c r="C22" s="31" t="s">
        <v>689</v>
      </c>
      <c r="D22" s="31">
        <v>0</v>
      </c>
      <c r="E22" s="31">
        <v>0</v>
      </c>
      <c r="F22" s="31">
        <v>0</v>
      </c>
      <c r="G22" s="31">
        <v>0</v>
      </c>
      <c r="H22" s="31">
        <v>0</v>
      </c>
      <c r="I22" s="31">
        <v>0</v>
      </c>
      <c r="J22" s="31">
        <v>0</v>
      </c>
      <c r="K22" s="31">
        <v>0</v>
      </c>
      <c r="L22" s="77" t="s">
        <v>4</v>
      </c>
      <c r="M22" s="45">
        <v>0</v>
      </c>
      <c r="N22" s="45">
        <v>0</v>
      </c>
      <c r="O22" s="45">
        <v>0</v>
      </c>
      <c r="P22" s="45">
        <v>0</v>
      </c>
      <c r="Q22" s="45">
        <v>0</v>
      </c>
      <c r="R22" s="30">
        <f>(_xlfn.XLOOKUP($L22,Specs!A:A,Specs!B:B,0)-(IF(ISNUMBER(SEARCH("Dulce De Leche", $G22)), 0, $T22))-(IF(ISNUMBER(SEARCH("Dulce De Leche", $F22)), 0, $U22))-(($V22/MAX(1,_xlfn.XLOOKUP($H22,'Solid Mix In Nutrition'!A:A,'Solid Mix In Nutrition'!I:I,1)))*240)-(($W22/MAX(1,_xlfn.XLOOKUP($I22,'Solid Mix In Nutrition'!A:A,'Solid Mix In Nutrition'!I:I,1)))*240))*0.66</f>
        <v>312.18</v>
      </c>
      <c r="S22" s="30">
        <f>(_xlfn.XLOOKUP($L22,Specs!A:A,Specs!B:B,0)-(IF(ISNUMBER(SEARCH("Dulce De Leche", $G22)), 0, $T22))-(IF(ISNUMBER(SEARCH("Dulce De Leche", $F22)), 0, $U22))-(($V22/MAX(1,_xlfn.XLOOKUP($H22,'Solid Mix In Nutrition'!A:A,'Solid Mix In Nutrition'!I:I,1)))*240)-(($W22/MAX(1,_xlfn.XLOOKUP($I22,'Solid Mix In Nutrition'!A:A,'Solid Mix In Nutrition'!I:I,1)))*240))*0.33</f>
        <v>156.09</v>
      </c>
      <c r="T22" s="30">
        <f>_xlfn.XLOOKUP($M22,Specs!$D:$D,Specs!$E:$E,0)*15*_xlfn.XLOOKUP($L22,Specs!$A:$A,Specs!$C:$C,0)</f>
        <v>0</v>
      </c>
      <c r="U22" s="30">
        <f>_xlfn.XLOOKUP($N22,Specs!$D:$D,Specs!$E:$E,0)*15*_xlfn.XLOOKUP($L22,Specs!$A:$A,Specs!$C:$C,0)</f>
        <v>0</v>
      </c>
      <c r="V22" s="30">
        <f>( ((_xlfn.XLOOKUP($O22,Specs!$H:$H,Specs!$I:$I,0)*_xlfn.XLOOKUP($L22,Specs!$A:$A,Specs!$B:$B,0))/240) *_xlfn.XLOOKUP($H22,'Solid Mix In Nutrition'!A:A,'Solid Mix In Nutrition'!I:I,0)) *IF(AND(NOT($I22=0), COUNTA($I22)),0.5,1)</f>
        <v>0</v>
      </c>
      <c r="W22" s="30">
        <f>( ((_xlfn.XLOOKUP($O22,Specs!$H:$H,Specs!$I:$I,0)*_xlfn.XLOOKUP($L22,Specs!$A:$A,Specs!$B:$B,0))/240) *_xlfn.XLOOKUP($I22,'Solid Mix In Nutrition'!A:A,'Solid Mix In Nutrition'!I:I,0)) *IF(AND(NOT($I22=0), COUNTA($I22)),0.5,0)</f>
        <v>0</v>
      </c>
      <c r="X22" s="30">
        <f>_xlfn.XLOOKUP($P22,Specs!F:F,Specs!G:G,0)*_xlfn.XLOOKUP($J22,'Sweetener Mix In Nutrition'!A:A,'Sweetener Mix In Nutrition'!I:I,0)*_xlfn.XLOOKUP($L22,Specs!A:A,Specs!C:C,0)</f>
        <v>0</v>
      </c>
      <c r="Y22" s="30">
        <f>_xlfn.XLOOKUP($Q22,Specs!F:F,Specs!G:G,0)*_xlfn.XLOOKUP($K22,'Sweetener Mix In Nutrition'!A:A,'Sweetener Mix In Nutrition'!I:I,0)*_xlfn.XLOOKUP($L22,Specs!A:A,Specs!C:C,0)</f>
        <v>0</v>
      </c>
      <c r="Z22" s="34">
        <f t="shared" si="0"/>
        <v>0.56192399999999998</v>
      </c>
      <c r="AA22" s="35">
        <f t="shared" si="1"/>
        <v>0.25</v>
      </c>
      <c r="AB22" s="36">
        <f>(($R22 / 240) * _xlfn.XLOOKUP($D22,'Milk Types Nutrition Per Cup'!A:A,'Milk Types Nutrition Per Cup'!B:B,0)) +(($S22 / 240)  * _xlfn.XLOOKUP($E22,'Milk Types Nutrition Per Cup'!A:A,'Milk Types Nutrition Per Cup'!B:B,0)) +(($T22 / 15)  * _xlfn.XLOOKUP($F22,'Liquid Mix In Nutrition'!A:A,'Liquid Mix In Nutrition'!B:B,0))+(($U22 / 15)  * _xlfn.XLOOKUP($G22,'Liquid Mix In Nutrition'!A:A,'Liquid Mix In Nutrition'!B:B,0))+(($V22 /MAX(1, _xlfn.XLOOKUP($H22,'Solid Mix In Nutrition'!A:A,'Solid Mix In Nutrition'!I:I,1)))  * _xlfn.XLOOKUP($H22,'Solid Mix In Nutrition'!A:A,'Solid Mix In Nutrition'!B:B,0))+(($W22 / MAX(1, _xlfn.XLOOKUP($I22,'Solid Mix In Nutrition'!A:A,'Solid Mix In Nutrition'!I:I,1))))+(($X22 / 100)  * _xlfn.XLOOKUP($J22,'Sweetener Mix In Nutrition'!A:A,'Sweetener Mix In Nutrition'!B:B,0))+(($Y22 / 100)  * _xlfn.XLOOKUP($K22,'Sweetener Mix In Nutrition'!A:A,'Sweetener Mix In Nutrition'!B:B,0))</f>
        <v>0</v>
      </c>
      <c r="AC22" s="36">
        <f>(($R22 / 240) * _xlfn.XLOOKUP($D22,'Milk Types Nutrition Per Cup'!A:A,'Milk Types Nutrition Per Cup'!E:E,0)) +(($S22 / 240)  * _xlfn.XLOOKUP($E22,'Milk Types Nutrition Per Cup'!A:A,'Milk Types Nutrition Per Cup'!E:E,0)) +(($T22 / 15)  * _xlfn.XLOOKUP($F22,'Liquid Mix In Nutrition'!A:A,'Liquid Mix In Nutrition'!E:E,0)) +(($U22 / 15)  * _xlfn.XLOOKUP($G22,'Liquid Mix In Nutrition'!A:A,'Liquid Mix In Nutrition'!E:E,0))+(($V22 / MAX(1, _xlfn.XLOOKUP($H22,'Solid Mix In Nutrition'!A:A,'Solid Mix In Nutrition'!I:I,1)))  * _xlfn.XLOOKUP($H22,'Solid Mix In Nutrition'!A:A,'Solid Mix In Nutrition'!E:E,0))+(($W22 / MAX(1, _xlfn.XLOOKUP($I22,'Solid Mix In Nutrition'!A:A,'Solid Mix In Nutrition'!I:I,1)))  * _xlfn.XLOOKUP($I22,'Solid Mix In Nutrition'!A:A,'Solid Mix In Nutrition'!G:G,0))+(($X22 / 100)  * _xlfn.XLOOKUP($J22,'Sweetener Mix In Nutrition'!A:A,'Sweetener Mix In Nutrition'!E:E,0))+(($Y22 / 100)  * _xlfn.XLOOKUP($K22,'Sweetener Mix In Nutrition'!A:A,'Sweetener Mix In Nutrition'!E:E,0))</f>
        <v>0</v>
      </c>
      <c r="AD22" s="36">
        <f>(($R22 / 240) * _xlfn.XLOOKUP($D22,'Milk Types Nutrition Per Cup'!A:A,'Milk Types Nutrition Per Cup'!E:E,0)) +(($S22 / 240)  * _xlfn.XLOOKUP($E22,'Milk Types Nutrition Per Cup'!A:A,'Milk Types Nutrition Per Cup'!E:E,0)) +(($T22 / 15)  * _xlfn.XLOOKUP($F22,'Liquid Mix In Nutrition'!A:A,'Liquid Mix In Nutrition'!E:E,0)) +(($U22 / 15)  * _xlfn.XLOOKUP($G22,'Liquid Mix In Nutrition'!A:A,'Liquid Mix In Nutrition'!E:E,0))+(($X22 / 100)  * _xlfn.XLOOKUP($J22,'Sweetener Mix In Nutrition'!A:A,'Sweetener Mix In Nutrition'!E:E,0))+(($Y22 / 100)  * _xlfn.XLOOKUP($K22,'Sweetener Mix In Nutrition'!A:A,'Sweetener Mix In Nutrition'!E:E,0))</f>
        <v>0</v>
      </c>
      <c r="AE22" s="37">
        <f>(($R22 / 240) * _xlfn.XLOOKUP($D22,'Milk Types Nutrition Per Cup'!A:A,'Milk Types Nutrition Per Cup'!C:C,0)) +(($S22 / 240)  * _xlfn.XLOOKUP($E22,'Milk Types Nutrition Per Cup'!A:A,'Milk Types Nutrition Per Cup'!C:C,0)) +(($T22 / 15)  * _xlfn.XLOOKUP($F22,'Liquid Mix In Nutrition'!A:A,'Liquid Mix In Nutrition'!C:C,0))+(($U22 / 15)  * _xlfn.XLOOKUP($G22,'Liquid Mix In Nutrition'!A:A,'Liquid Mix In Nutrition'!C:C,0))+(($V22 / MAX(1, _xlfn.XLOOKUP($H22,'Solid Mix In Nutrition'!A:A,'Solid Mix In Nutrition'!I:I,1)))  * _xlfn.XLOOKUP($H22,'Solid Mix In Nutrition'!A:A,'Solid Mix In Nutrition'!C:C,0))+(($W22 / MAX(1, _xlfn.XLOOKUP($I22,'Solid Mix In Nutrition'!A:A,'Solid Mix In Nutrition'!I:I,1)))  * _xlfn.XLOOKUP($I22,'Solid Mix In Nutrition'!A:A,'Solid Mix In Nutrition'!C:C,0))+(($X22 / 100)  * _xlfn.XLOOKUP($J22,'Sweetener Mix In Nutrition'!A:A,'Sweetener Mix In Nutrition'!C:C,0))+(($Y22 / 100)  * _xlfn.XLOOKUP($K22,'Sweetener Mix In Nutrition'!A:A,'Sweetener Mix In Nutrition'!C:C,0))</f>
        <v>0</v>
      </c>
      <c r="AF22" s="38">
        <f>$AE22 / (_xlfn.XLOOKUP($L22,Specs!A:A,Specs!B:B,0))</f>
        <v>0</v>
      </c>
      <c r="AG22" s="37">
        <f>60* ($AB22 / _xlfn.XLOOKUP($L22,Specs!A:A,Specs!B:B,0))</f>
        <v>0</v>
      </c>
      <c r="AH22" s="37">
        <f>60* (AC22 / _xlfn.XLOOKUP($L22,Specs!$A:$A,Specs!$B:$B,0))</f>
        <v>0</v>
      </c>
      <c r="AI22" s="37">
        <f>60* (AE22 / _xlfn.XLOOKUP($L22,Specs!$A:$A,Specs!$B:$B,0))</f>
        <v>0</v>
      </c>
      <c r="AJ22" s="39">
        <v>0</v>
      </c>
      <c r="AK22" s="46" t="s">
        <v>690</v>
      </c>
      <c r="AL22" s="47">
        <v>24</v>
      </c>
      <c r="AM22" s="40">
        <v>6</v>
      </c>
      <c r="AN22" s="48">
        <v>8</v>
      </c>
      <c r="AO22" s="40">
        <v>2</v>
      </c>
      <c r="AP22" s="30" t="s">
        <v>210</v>
      </c>
      <c r="AQ22" t="str">
        <f>_xlfn.XLOOKUP("What's Your Number?",[1]Sheet1!$1:$1,[1]Sheet1!22:22)</f>
        <v>571-641-9424</v>
      </c>
    </row>
    <row r="23" spans="1:43" x14ac:dyDescent="0.25">
      <c r="A23" s="42" t="s">
        <v>691</v>
      </c>
      <c r="B23" s="76" t="s">
        <v>656</v>
      </c>
      <c r="C23" s="31" t="s">
        <v>358</v>
      </c>
      <c r="D23" s="31" t="s">
        <v>62</v>
      </c>
      <c r="E23" s="31" t="s">
        <v>65</v>
      </c>
      <c r="F23" s="31" t="s">
        <v>0</v>
      </c>
      <c r="G23" s="31">
        <v>0</v>
      </c>
      <c r="H23" s="31">
        <v>0</v>
      </c>
      <c r="I23" s="31">
        <v>0</v>
      </c>
      <c r="J23" s="31" t="s">
        <v>1</v>
      </c>
      <c r="K23" s="31">
        <v>0</v>
      </c>
      <c r="L23" s="77" t="s">
        <v>4</v>
      </c>
      <c r="M23" s="45" t="s">
        <v>46</v>
      </c>
      <c r="N23" s="45" t="s">
        <v>44</v>
      </c>
      <c r="O23" s="45">
        <v>0</v>
      </c>
      <c r="P23" s="45" t="s">
        <v>173</v>
      </c>
      <c r="Q23" s="45">
        <v>0</v>
      </c>
      <c r="R23" s="30">
        <f>(_xlfn.XLOOKUP($L23,Specs!A:A,Specs!B:B,0)-(IF(ISNUMBER(SEARCH("Dulce De Leche", $G23)), 0, $T23))-(IF(ISNUMBER(SEARCH("Dulce De Leche", $F23)), 0, $U23))-(($V23/MAX(1,_xlfn.XLOOKUP($H23,'Solid Mix In Nutrition'!A:A,'Solid Mix In Nutrition'!I:I,1)))*240)-(($W23/MAX(1,_xlfn.XLOOKUP($I23,'Solid Mix In Nutrition'!A:A,'Solid Mix In Nutrition'!I:I,1)))*240))*0.66</f>
        <v>302.28000000000003</v>
      </c>
      <c r="S23" s="30">
        <f>(_xlfn.XLOOKUP($L23,Specs!A:A,Specs!B:B,0)-(IF(ISNUMBER(SEARCH("Dulce De Leche", $G23)), 0, $T23))-(IF(ISNUMBER(SEARCH("Dulce De Leche", $F23)), 0, $U23))-(($V23/MAX(1,_xlfn.XLOOKUP($H23,'Solid Mix In Nutrition'!A:A,'Solid Mix In Nutrition'!I:I,1)))*240)-(($W23/MAX(1,_xlfn.XLOOKUP($I23,'Solid Mix In Nutrition'!A:A,'Solid Mix In Nutrition'!I:I,1)))*240))*0.33</f>
        <v>151.14000000000001</v>
      </c>
      <c r="T23" s="30">
        <f>_xlfn.XLOOKUP($M23,Specs!$D:$D,Specs!$E:$E,0)*15*_xlfn.XLOOKUP($L23,Specs!$A:$A,Specs!$C:$C,0)</f>
        <v>15</v>
      </c>
      <c r="U23" s="30">
        <f>_xlfn.XLOOKUP($N23,Specs!$D:$D,Specs!$E:$E,0)*15*_xlfn.XLOOKUP($L23,Specs!$A:$A,Specs!$C:$C,0)</f>
        <v>0</v>
      </c>
      <c r="V23" s="30">
        <f>( ((_xlfn.XLOOKUP($O23,Specs!$H:$H,Specs!$I:$I,0)*_xlfn.XLOOKUP($L23,Specs!$A:$A,Specs!$B:$B,0))/240) *_xlfn.XLOOKUP($H23,'Solid Mix In Nutrition'!A:A,'Solid Mix In Nutrition'!I:I,0)) *IF(AND(NOT($I23=0), COUNTA($I23)),0.5,1)</f>
        <v>0</v>
      </c>
      <c r="W23" s="30">
        <f>( ((_xlfn.XLOOKUP($O23,Specs!$H:$H,Specs!$I:$I,0)*_xlfn.XLOOKUP($L23,Specs!$A:$A,Specs!$B:$B,0))/240) *_xlfn.XLOOKUP($I23,'Solid Mix In Nutrition'!A:A,'Solid Mix In Nutrition'!I:I,0)) *IF(AND(NOT($I23=0), COUNTA($I23)),0.5,0)</f>
        <v>0</v>
      </c>
      <c r="X23" s="30">
        <f>_xlfn.XLOOKUP($P23,Specs!F:F,Specs!G:G,0)*_xlfn.XLOOKUP($J23,'Sweetener Mix In Nutrition'!A:A,'Sweetener Mix In Nutrition'!I:I,0)*_xlfn.XLOOKUP($L23,Specs!A:A,Specs!C:C,0)</f>
        <v>50</v>
      </c>
      <c r="Y23" s="30">
        <f>_xlfn.XLOOKUP($Q23,Specs!F:F,Specs!G:G,0)*_xlfn.XLOOKUP($K23,'Sweetener Mix In Nutrition'!A:A,'Sweetener Mix In Nutrition'!I:I,0)*_xlfn.XLOOKUP($L23,Specs!A:A,Specs!C:C,0)</f>
        <v>0</v>
      </c>
      <c r="Z23" s="34">
        <f t="shared" si="0"/>
        <v>0.62210399999999999</v>
      </c>
      <c r="AA23" s="35">
        <f t="shared" si="1"/>
        <v>0.25</v>
      </c>
      <c r="AB23" s="36">
        <f>(($R23 / 240) * _xlfn.XLOOKUP($D23,'Milk Types Nutrition Per Cup'!A:A,'Milk Types Nutrition Per Cup'!B:B,0)) +(($S23 / 240)  * _xlfn.XLOOKUP($E23,'Milk Types Nutrition Per Cup'!A:A,'Milk Types Nutrition Per Cup'!B:B,0)) +(($T23 / 15)  * _xlfn.XLOOKUP($F23,'Liquid Mix In Nutrition'!A:A,'Liquid Mix In Nutrition'!B:B,0))+(($U23 / 15)  * _xlfn.XLOOKUP($G23,'Liquid Mix In Nutrition'!A:A,'Liquid Mix In Nutrition'!B:B,0))+(($V23 /MAX(1, _xlfn.XLOOKUP($H23,'Solid Mix In Nutrition'!A:A,'Solid Mix In Nutrition'!I:I,1)))  * _xlfn.XLOOKUP($H23,'Solid Mix In Nutrition'!A:A,'Solid Mix In Nutrition'!B:B,0))+(($W23 / MAX(1, _xlfn.XLOOKUP($I23,'Solid Mix In Nutrition'!A:A,'Solid Mix In Nutrition'!I:I,1))))+(($X23 / 100)  * _xlfn.XLOOKUP($J23,'Sweetener Mix In Nutrition'!A:A,'Sweetener Mix In Nutrition'!B:B,0))+(($Y23 / 100)  * _xlfn.XLOOKUP($K23,'Sweetener Mix In Nutrition'!A:A,'Sweetener Mix In Nutrition'!B:B,0))</f>
        <v>1447.6200000000001</v>
      </c>
      <c r="AC23" s="36">
        <f>(($R23 / 240) * _xlfn.XLOOKUP($D23,'Milk Types Nutrition Per Cup'!A:A,'Milk Types Nutrition Per Cup'!E:E,0)) +(($S23 / 240)  * _xlfn.XLOOKUP($E23,'Milk Types Nutrition Per Cup'!A:A,'Milk Types Nutrition Per Cup'!E:E,0)) +(($T23 / 15)  * _xlfn.XLOOKUP($F23,'Liquid Mix In Nutrition'!A:A,'Liquid Mix In Nutrition'!E:E,0)) +(($U23 / 15)  * _xlfn.XLOOKUP($G23,'Liquid Mix In Nutrition'!A:A,'Liquid Mix In Nutrition'!E:E,0))+(($V23 / MAX(1, _xlfn.XLOOKUP($H23,'Solid Mix In Nutrition'!A:A,'Solid Mix In Nutrition'!I:I,1)))  * _xlfn.XLOOKUP($H23,'Solid Mix In Nutrition'!A:A,'Solid Mix In Nutrition'!E:E,0))+(($W23 / MAX(1, _xlfn.XLOOKUP($I23,'Solid Mix In Nutrition'!A:A,'Solid Mix In Nutrition'!I:I,1)))  * _xlfn.XLOOKUP($I23,'Solid Mix In Nutrition'!A:A,'Solid Mix In Nutrition'!G:G,0))+(($X23 / 100)  * _xlfn.XLOOKUP($J23,'Sweetener Mix In Nutrition'!A:A,'Sweetener Mix In Nutrition'!E:E,0))+(($Y23 / 100)  * _xlfn.XLOOKUP($K23,'Sweetener Mix In Nutrition'!A:A,'Sweetener Mix In Nutrition'!E:E,0))</f>
        <v>64.037999999999997</v>
      </c>
      <c r="AD23" s="36">
        <f>(($R23 / 240) * _xlfn.XLOOKUP($D23,'Milk Types Nutrition Per Cup'!A:A,'Milk Types Nutrition Per Cup'!E:E,0)) +(($S23 / 240)  * _xlfn.XLOOKUP($E23,'Milk Types Nutrition Per Cup'!A:A,'Milk Types Nutrition Per Cup'!E:E,0)) +(($T23 / 15)  * _xlfn.XLOOKUP($F23,'Liquid Mix In Nutrition'!A:A,'Liquid Mix In Nutrition'!E:E,0)) +(($U23 / 15)  * _xlfn.XLOOKUP($G23,'Liquid Mix In Nutrition'!A:A,'Liquid Mix In Nutrition'!E:E,0))+(($X23 / 100)  * _xlfn.XLOOKUP($J23,'Sweetener Mix In Nutrition'!A:A,'Sweetener Mix In Nutrition'!E:E,0))+(($Y23 / 100)  * _xlfn.XLOOKUP($K23,'Sweetener Mix In Nutrition'!A:A,'Sweetener Mix In Nutrition'!E:E,0))</f>
        <v>64.037999999999997</v>
      </c>
      <c r="AE23" s="37">
        <f>(($R23 / 240) * _xlfn.XLOOKUP($D23,'Milk Types Nutrition Per Cup'!A:A,'Milk Types Nutrition Per Cup'!C:C,0)) +(($S23 / 240)  * _xlfn.XLOOKUP($E23,'Milk Types Nutrition Per Cup'!A:A,'Milk Types Nutrition Per Cup'!C:C,0)) +(($T23 / 15)  * _xlfn.XLOOKUP($F23,'Liquid Mix In Nutrition'!A:A,'Liquid Mix In Nutrition'!C:C,0))+(($U23 / 15)  * _xlfn.XLOOKUP($G23,'Liquid Mix In Nutrition'!A:A,'Liquid Mix In Nutrition'!C:C,0))+(($V23 / MAX(1, _xlfn.XLOOKUP($H23,'Solid Mix In Nutrition'!A:A,'Solid Mix In Nutrition'!I:I,1)))  * _xlfn.XLOOKUP($H23,'Solid Mix In Nutrition'!A:A,'Solid Mix In Nutrition'!C:C,0))+(($W23 / MAX(1, _xlfn.XLOOKUP($I23,'Solid Mix In Nutrition'!A:A,'Solid Mix In Nutrition'!I:I,1)))  * _xlfn.XLOOKUP($I23,'Solid Mix In Nutrition'!A:A,'Solid Mix In Nutrition'!C:C,0))+(($X23 / 100)  * _xlfn.XLOOKUP($J23,'Sweetener Mix In Nutrition'!A:A,'Sweetener Mix In Nutrition'!C:C,0))+(($Y23 / 100)  * _xlfn.XLOOKUP($K23,'Sweetener Mix In Nutrition'!A:A,'Sweetener Mix In Nutrition'!C:C,0))</f>
        <v>138.54500000000002</v>
      </c>
      <c r="AF23" s="38">
        <f>$AE23 / (_xlfn.XLOOKUP($L23,Specs!A:A,Specs!B:B,0))</f>
        <v>0.29290697674418609</v>
      </c>
      <c r="AG23" s="37">
        <f>60* ($AB23 / _xlfn.XLOOKUP($L23,Specs!A:A,Specs!B:B,0))</f>
        <v>183.63044397463003</v>
      </c>
      <c r="AH23" s="37">
        <f>60* (AC23 / _xlfn.XLOOKUP($L23,Specs!$A:$A,Specs!$B:$B,0))</f>
        <v>8.1232135306553896</v>
      </c>
      <c r="AI23" s="37">
        <f>60* (AE23 / _xlfn.XLOOKUP($L23,Specs!$A:$A,Specs!$B:$B,0))</f>
        <v>17.574418604651164</v>
      </c>
      <c r="AJ23" s="39">
        <v>2.5710855128773988</v>
      </c>
      <c r="AK23" s="46">
        <v>0</v>
      </c>
      <c r="AL23" s="47" t="s">
        <v>646</v>
      </c>
      <c r="AM23" s="40">
        <v>0</v>
      </c>
      <c r="AN23" s="48">
        <v>7</v>
      </c>
      <c r="AO23" s="40">
        <v>7</v>
      </c>
      <c r="AP23" s="30" t="s">
        <v>210</v>
      </c>
      <c r="AQ23" t="str">
        <f>_xlfn.XLOOKUP("What's Your Number?",[1]Sheet1!$1:$1,[1]Sheet1!23:23)</f>
        <v>571-641-9424</v>
      </c>
    </row>
    <row r="24" spans="1:43" x14ac:dyDescent="0.25">
      <c r="A24" s="42" t="s">
        <v>691</v>
      </c>
      <c r="B24" s="76" t="s">
        <v>656</v>
      </c>
      <c r="C24" s="31" t="s">
        <v>508</v>
      </c>
      <c r="D24" s="31">
        <v>0</v>
      </c>
      <c r="E24" s="31">
        <v>0</v>
      </c>
      <c r="F24" s="31">
        <v>0</v>
      </c>
      <c r="G24" s="31">
        <v>0</v>
      </c>
      <c r="H24" s="31">
        <v>0</v>
      </c>
      <c r="I24" s="31">
        <v>0</v>
      </c>
      <c r="J24" s="31">
        <v>0</v>
      </c>
      <c r="K24" s="31">
        <v>0</v>
      </c>
      <c r="L24" s="77" t="s">
        <v>4</v>
      </c>
      <c r="M24" s="45">
        <v>0</v>
      </c>
      <c r="N24" s="45">
        <v>0</v>
      </c>
      <c r="O24" s="45">
        <v>0</v>
      </c>
      <c r="P24" s="45">
        <v>0</v>
      </c>
      <c r="Q24" s="45">
        <v>0</v>
      </c>
      <c r="R24" s="30">
        <f>(_xlfn.XLOOKUP($L24,Specs!A:A,Specs!B:B,0)-(IF(ISNUMBER(SEARCH("Dulce De Leche", $G24)), 0, $T24))-(IF(ISNUMBER(SEARCH("Dulce De Leche", $F24)), 0, $U24))-(($V24/MAX(1,_xlfn.XLOOKUP($H24,'Solid Mix In Nutrition'!A:A,'Solid Mix In Nutrition'!I:I,1)))*240)-(($W24/MAX(1,_xlfn.XLOOKUP($I24,'Solid Mix In Nutrition'!A:A,'Solid Mix In Nutrition'!I:I,1)))*240))*0.66</f>
        <v>312.18</v>
      </c>
      <c r="S24" s="30">
        <f>(_xlfn.XLOOKUP($L24,Specs!A:A,Specs!B:B,0)-(IF(ISNUMBER(SEARCH("Dulce De Leche", $G24)), 0, $T24))-(IF(ISNUMBER(SEARCH("Dulce De Leche", $F24)), 0, $U24))-(($V24/MAX(1,_xlfn.XLOOKUP($H24,'Solid Mix In Nutrition'!A:A,'Solid Mix In Nutrition'!I:I,1)))*240)-(($W24/MAX(1,_xlfn.XLOOKUP($I24,'Solid Mix In Nutrition'!A:A,'Solid Mix In Nutrition'!I:I,1)))*240))*0.33</f>
        <v>156.09</v>
      </c>
      <c r="T24" s="30">
        <f>_xlfn.XLOOKUP($M24,Specs!$D:$D,Specs!$E:$E,0)*15*_xlfn.XLOOKUP($L24,Specs!$A:$A,Specs!$C:$C,0)</f>
        <v>0</v>
      </c>
      <c r="U24" s="30">
        <f>_xlfn.XLOOKUP($N24,Specs!$D:$D,Specs!$E:$E,0)*15*_xlfn.XLOOKUP($L24,Specs!$A:$A,Specs!$C:$C,0)</f>
        <v>0</v>
      </c>
      <c r="V24" s="30">
        <f>( ((_xlfn.XLOOKUP($O24,Specs!$H:$H,Specs!$I:$I,0)*_xlfn.XLOOKUP($L24,Specs!$A:$A,Specs!$B:$B,0))/240) *_xlfn.XLOOKUP($H24,'Solid Mix In Nutrition'!A:A,'Solid Mix In Nutrition'!I:I,0)) *IF(AND(NOT($I24=0), COUNTA($I24)),0.5,1)</f>
        <v>0</v>
      </c>
      <c r="W24" s="30">
        <f>( ((_xlfn.XLOOKUP($O24,Specs!$H:$H,Specs!$I:$I,0)*_xlfn.XLOOKUP($L24,Specs!$A:$A,Specs!$B:$B,0))/240) *_xlfn.XLOOKUP($I24,'Solid Mix In Nutrition'!A:A,'Solid Mix In Nutrition'!I:I,0)) *IF(AND(NOT($I24=0), COUNTA($I24)),0.5,0)</f>
        <v>0</v>
      </c>
      <c r="X24" s="30">
        <f>_xlfn.XLOOKUP($P24,Specs!F:F,Specs!G:G,0)*_xlfn.XLOOKUP($J24,'Sweetener Mix In Nutrition'!A:A,'Sweetener Mix In Nutrition'!I:I,0)*_xlfn.XLOOKUP($L24,Specs!A:A,Specs!C:C,0)</f>
        <v>0</v>
      </c>
      <c r="Y24" s="30">
        <f>_xlfn.XLOOKUP($Q24,Specs!F:F,Specs!G:G,0)*_xlfn.XLOOKUP($K24,'Sweetener Mix In Nutrition'!A:A,'Sweetener Mix In Nutrition'!I:I,0)*_xlfn.XLOOKUP($L24,Specs!A:A,Specs!C:C,0)</f>
        <v>0</v>
      </c>
      <c r="Z24" s="34">
        <f t="shared" si="0"/>
        <v>0.56192399999999998</v>
      </c>
      <c r="AA24" s="35">
        <f t="shared" si="1"/>
        <v>0.25</v>
      </c>
      <c r="AB24" s="36">
        <f>(($R24 / 240) * _xlfn.XLOOKUP($D24,'Milk Types Nutrition Per Cup'!A:A,'Milk Types Nutrition Per Cup'!B:B,0)) +(($S24 / 240)  * _xlfn.XLOOKUP($E24,'Milk Types Nutrition Per Cup'!A:A,'Milk Types Nutrition Per Cup'!B:B,0)) +(($T24 / 15)  * _xlfn.XLOOKUP($F24,'Liquid Mix In Nutrition'!A:A,'Liquid Mix In Nutrition'!B:B,0))+(($U24 / 15)  * _xlfn.XLOOKUP($G24,'Liquid Mix In Nutrition'!A:A,'Liquid Mix In Nutrition'!B:B,0))+(($V24 /MAX(1, _xlfn.XLOOKUP($H24,'Solid Mix In Nutrition'!A:A,'Solid Mix In Nutrition'!I:I,1)))  * _xlfn.XLOOKUP($H24,'Solid Mix In Nutrition'!A:A,'Solid Mix In Nutrition'!B:B,0))+(($W24 / MAX(1, _xlfn.XLOOKUP($I24,'Solid Mix In Nutrition'!A:A,'Solid Mix In Nutrition'!I:I,1))))+(($X24 / 100)  * _xlfn.XLOOKUP($J24,'Sweetener Mix In Nutrition'!A:A,'Sweetener Mix In Nutrition'!B:B,0))+(($Y24 / 100)  * _xlfn.XLOOKUP($K24,'Sweetener Mix In Nutrition'!A:A,'Sweetener Mix In Nutrition'!B:B,0))</f>
        <v>0</v>
      </c>
      <c r="AC24" s="36">
        <f>(($R24 / 240) * _xlfn.XLOOKUP($D24,'Milk Types Nutrition Per Cup'!A:A,'Milk Types Nutrition Per Cup'!E:E,0)) +(($S24 / 240)  * _xlfn.XLOOKUP($E24,'Milk Types Nutrition Per Cup'!A:A,'Milk Types Nutrition Per Cup'!E:E,0)) +(($T24 / 15)  * _xlfn.XLOOKUP($F24,'Liquid Mix In Nutrition'!A:A,'Liquid Mix In Nutrition'!E:E,0)) +(($U24 / 15)  * _xlfn.XLOOKUP($G24,'Liquid Mix In Nutrition'!A:A,'Liquid Mix In Nutrition'!E:E,0))+(($V24 / MAX(1, _xlfn.XLOOKUP($H24,'Solid Mix In Nutrition'!A:A,'Solid Mix In Nutrition'!I:I,1)))  * _xlfn.XLOOKUP($H24,'Solid Mix In Nutrition'!A:A,'Solid Mix In Nutrition'!E:E,0))+(($W24 / MAX(1, _xlfn.XLOOKUP($I24,'Solid Mix In Nutrition'!A:A,'Solid Mix In Nutrition'!I:I,1)))  * _xlfn.XLOOKUP($I24,'Solid Mix In Nutrition'!A:A,'Solid Mix In Nutrition'!G:G,0))+(($X24 / 100)  * _xlfn.XLOOKUP($J24,'Sweetener Mix In Nutrition'!A:A,'Sweetener Mix In Nutrition'!E:E,0))+(($Y24 / 100)  * _xlfn.XLOOKUP($K24,'Sweetener Mix In Nutrition'!A:A,'Sweetener Mix In Nutrition'!E:E,0))</f>
        <v>0</v>
      </c>
      <c r="AD24" s="36">
        <f>(($R24 / 240) * _xlfn.XLOOKUP($D24,'Milk Types Nutrition Per Cup'!A:A,'Milk Types Nutrition Per Cup'!E:E,0)) +(($S24 / 240)  * _xlfn.XLOOKUP($E24,'Milk Types Nutrition Per Cup'!A:A,'Milk Types Nutrition Per Cup'!E:E,0)) +(($T24 / 15)  * _xlfn.XLOOKUP($F24,'Liquid Mix In Nutrition'!A:A,'Liquid Mix In Nutrition'!E:E,0)) +(($U24 / 15)  * _xlfn.XLOOKUP($G24,'Liquid Mix In Nutrition'!A:A,'Liquid Mix In Nutrition'!E:E,0))+(($X24 / 100)  * _xlfn.XLOOKUP($J24,'Sweetener Mix In Nutrition'!A:A,'Sweetener Mix In Nutrition'!E:E,0))+(($Y24 / 100)  * _xlfn.XLOOKUP($K24,'Sweetener Mix In Nutrition'!A:A,'Sweetener Mix In Nutrition'!E:E,0))</f>
        <v>0</v>
      </c>
      <c r="AE24" s="37">
        <f>(($R24 / 240) * _xlfn.XLOOKUP($D24,'Milk Types Nutrition Per Cup'!A:A,'Milk Types Nutrition Per Cup'!C:C,0)) +(($S24 / 240)  * _xlfn.XLOOKUP($E24,'Milk Types Nutrition Per Cup'!A:A,'Milk Types Nutrition Per Cup'!C:C,0)) +(($T24 / 15)  * _xlfn.XLOOKUP($F24,'Liquid Mix In Nutrition'!A:A,'Liquid Mix In Nutrition'!C:C,0))+(($U24 / 15)  * _xlfn.XLOOKUP($G24,'Liquid Mix In Nutrition'!A:A,'Liquid Mix In Nutrition'!C:C,0))+(($V24 / MAX(1, _xlfn.XLOOKUP($H24,'Solid Mix In Nutrition'!A:A,'Solid Mix In Nutrition'!I:I,1)))  * _xlfn.XLOOKUP($H24,'Solid Mix In Nutrition'!A:A,'Solid Mix In Nutrition'!C:C,0))+(($W24 / MAX(1, _xlfn.XLOOKUP($I24,'Solid Mix In Nutrition'!A:A,'Solid Mix In Nutrition'!I:I,1)))  * _xlfn.XLOOKUP($I24,'Solid Mix In Nutrition'!A:A,'Solid Mix In Nutrition'!C:C,0))+(($X24 / 100)  * _xlfn.XLOOKUP($J24,'Sweetener Mix In Nutrition'!A:A,'Sweetener Mix In Nutrition'!C:C,0))+(($Y24 / 100)  * _xlfn.XLOOKUP($K24,'Sweetener Mix In Nutrition'!A:A,'Sweetener Mix In Nutrition'!C:C,0))</f>
        <v>0</v>
      </c>
      <c r="AF24" s="38">
        <f>$AE24 / (_xlfn.XLOOKUP($L24,Specs!A:A,Specs!B:B,0))</f>
        <v>0</v>
      </c>
      <c r="AG24" s="37">
        <f>60* ($AB24 / _xlfn.XLOOKUP($L24,Specs!A:A,Specs!B:B,0))</f>
        <v>0</v>
      </c>
      <c r="AH24" s="37">
        <f>60* (AC24 / _xlfn.XLOOKUP($L24,Specs!$A:$A,Specs!$B:$B,0))</f>
        <v>0</v>
      </c>
      <c r="AI24" s="37">
        <f>60* (AE24 / _xlfn.XLOOKUP($L24,Specs!$A:$A,Specs!$B:$B,0))</f>
        <v>0</v>
      </c>
      <c r="AJ24" s="39">
        <v>0</v>
      </c>
      <c r="AK24" s="46">
        <v>0</v>
      </c>
      <c r="AL24" s="47" t="s">
        <v>646</v>
      </c>
      <c r="AM24" s="40">
        <v>0</v>
      </c>
      <c r="AN24" s="48">
        <v>2</v>
      </c>
      <c r="AO24" s="40">
        <v>2</v>
      </c>
      <c r="AP24" s="30" t="s">
        <v>210</v>
      </c>
      <c r="AQ24" t="str">
        <f>_xlfn.XLOOKUP("What's Your Number?",[1]Sheet1!$1:$1,[1]Sheet1!24:24)</f>
        <v>571-641-9424</v>
      </c>
    </row>
    <row r="25" spans="1:43" x14ac:dyDescent="0.25">
      <c r="A25" s="42" t="s">
        <v>692</v>
      </c>
      <c r="B25" s="76" t="s">
        <v>693</v>
      </c>
      <c r="C25" s="31" t="s">
        <v>508</v>
      </c>
      <c r="D25" s="31">
        <v>0</v>
      </c>
      <c r="E25" s="31">
        <v>0</v>
      </c>
      <c r="F25" s="31">
        <v>0</v>
      </c>
      <c r="G25" s="31">
        <v>0</v>
      </c>
      <c r="H25" s="31">
        <v>0</v>
      </c>
      <c r="I25" s="31">
        <v>0</v>
      </c>
      <c r="J25" s="31">
        <v>0</v>
      </c>
      <c r="K25" s="31">
        <v>0</v>
      </c>
      <c r="L25" s="77" t="s">
        <v>4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30">
        <f>(_xlfn.XLOOKUP($L25,Specs!A:A,Specs!B:B,0)-(IF(ISNUMBER(SEARCH("Dulce De Leche", $G25)), 0, $T25))-(IF(ISNUMBER(SEARCH("Dulce De Leche", $F25)), 0, $U25))-(($V25/MAX(1,_xlfn.XLOOKUP($H25,'Solid Mix In Nutrition'!A:A,'Solid Mix In Nutrition'!I:I,1)))*240)-(($W25/MAX(1,_xlfn.XLOOKUP($I25,'Solid Mix In Nutrition'!A:A,'Solid Mix In Nutrition'!I:I,1)))*240))*0.66</f>
        <v>312.18</v>
      </c>
      <c r="S25" s="30">
        <f>(_xlfn.XLOOKUP($L25,Specs!A:A,Specs!B:B,0)-(IF(ISNUMBER(SEARCH("Dulce De Leche", $G25)), 0, $T25))-(IF(ISNUMBER(SEARCH("Dulce De Leche", $F25)), 0, $U25))-(($V25/MAX(1,_xlfn.XLOOKUP($H25,'Solid Mix In Nutrition'!A:A,'Solid Mix In Nutrition'!I:I,1)))*240)-(($W25/MAX(1,_xlfn.XLOOKUP($I25,'Solid Mix In Nutrition'!A:A,'Solid Mix In Nutrition'!I:I,1)))*240))*0.33</f>
        <v>156.09</v>
      </c>
      <c r="T25" s="30">
        <f>_xlfn.XLOOKUP($M25,Specs!$D:$D,Specs!$E:$E,0)*15*_xlfn.XLOOKUP($L25,Specs!$A:$A,Specs!$C:$C,0)</f>
        <v>0</v>
      </c>
      <c r="U25" s="30">
        <f>_xlfn.XLOOKUP($N25,Specs!$D:$D,Specs!$E:$E,0)*15*_xlfn.XLOOKUP($L25,Specs!$A:$A,Specs!$C:$C,0)</f>
        <v>0</v>
      </c>
      <c r="V25" s="30">
        <f>( ((_xlfn.XLOOKUP($O25,Specs!$H:$H,Specs!$I:$I,0)*_xlfn.XLOOKUP($L25,Specs!$A:$A,Specs!$B:$B,0))/240) *_xlfn.XLOOKUP($H25,'Solid Mix In Nutrition'!A:A,'Solid Mix In Nutrition'!I:I,0)) *IF(AND(NOT($I25=0), COUNTA($I25)),0.5,1)</f>
        <v>0</v>
      </c>
      <c r="W25" s="30">
        <f>( ((_xlfn.XLOOKUP($O25,Specs!$H:$H,Specs!$I:$I,0)*_xlfn.XLOOKUP($L25,Specs!$A:$A,Specs!$B:$B,0))/240) *_xlfn.XLOOKUP($I25,'Solid Mix In Nutrition'!A:A,'Solid Mix In Nutrition'!I:I,0)) *IF(AND(NOT($I25=0), COUNTA($I25)),0.5,0)</f>
        <v>0</v>
      </c>
      <c r="X25" s="30">
        <f>_xlfn.XLOOKUP($P25,Specs!F:F,Specs!G:G,0)*_xlfn.XLOOKUP($J25,'Sweetener Mix In Nutrition'!A:A,'Sweetener Mix In Nutrition'!I:I,0)*_xlfn.XLOOKUP($L25,Specs!A:A,Specs!C:C,0)</f>
        <v>0</v>
      </c>
      <c r="Y25" s="30">
        <f>_xlfn.XLOOKUP($Q25,Specs!F:F,Specs!G:G,0)*_xlfn.XLOOKUP($K25,'Sweetener Mix In Nutrition'!A:A,'Sweetener Mix In Nutrition'!I:I,0)*_xlfn.XLOOKUP($L25,Specs!A:A,Specs!C:C,0)</f>
        <v>0</v>
      </c>
      <c r="Z25" s="34">
        <f t="shared" si="0"/>
        <v>0.56192399999999998</v>
      </c>
      <c r="AA25" s="35">
        <f t="shared" si="1"/>
        <v>0.25</v>
      </c>
      <c r="AB25" s="36">
        <f>(($R25 / 240) * _xlfn.XLOOKUP($D25,'Milk Types Nutrition Per Cup'!A:A,'Milk Types Nutrition Per Cup'!B:B,0)) +(($S25 / 240)  * _xlfn.XLOOKUP($E25,'Milk Types Nutrition Per Cup'!A:A,'Milk Types Nutrition Per Cup'!B:B,0)) +(($T25 / 15)  * _xlfn.XLOOKUP($F25,'Liquid Mix In Nutrition'!A:A,'Liquid Mix In Nutrition'!B:B,0))+(($U25 / 15)  * _xlfn.XLOOKUP($G25,'Liquid Mix In Nutrition'!A:A,'Liquid Mix In Nutrition'!B:B,0))+(($V25 /MAX(1, _xlfn.XLOOKUP($H25,'Solid Mix In Nutrition'!A:A,'Solid Mix In Nutrition'!I:I,1)))  * _xlfn.XLOOKUP($H25,'Solid Mix In Nutrition'!A:A,'Solid Mix In Nutrition'!B:B,0))+(($W25 / MAX(1, _xlfn.XLOOKUP($I25,'Solid Mix In Nutrition'!A:A,'Solid Mix In Nutrition'!I:I,1))))+(($X25 / 100)  * _xlfn.XLOOKUP($J25,'Sweetener Mix In Nutrition'!A:A,'Sweetener Mix In Nutrition'!B:B,0))+(($Y25 / 100)  * _xlfn.XLOOKUP($K25,'Sweetener Mix In Nutrition'!A:A,'Sweetener Mix In Nutrition'!B:B,0))</f>
        <v>0</v>
      </c>
      <c r="AC25" s="36">
        <f>(($R25 / 240) * _xlfn.XLOOKUP($D25,'Milk Types Nutrition Per Cup'!A:A,'Milk Types Nutrition Per Cup'!E:E,0)) +(($S25 / 240)  * _xlfn.XLOOKUP($E25,'Milk Types Nutrition Per Cup'!A:A,'Milk Types Nutrition Per Cup'!E:E,0)) +(($T25 / 15)  * _xlfn.XLOOKUP($F25,'Liquid Mix In Nutrition'!A:A,'Liquid Mix In Nutrition'!E:E,0)) +(($U25 / 15)  * _xlfn.XLOOKUP($G25,'Liquid Mix In Nutrition'!A:A,'Liquid Mix In Nutrition'!E:E,0))+(($V25 / MAX(1, _xlfn.XLOOKUP($H25,'Solid Mix In Nutrition'!A:A,'Solid Mix In Nutrition'!I:I,1)))  * _xlfn.XLOOKUP($H25,'Solid Mix In Nutrition'!A:A,'Solid Mix In Nutrition'!E:E,0))+(($W25 / MAX(1, _xlfn.XLOOKUP($I25,'Solid Mix In Nutrition'!A:A,'Solid Mix In Nutrition'!I:I,1)))  * _xlfn.XLOOKUP($I25,'Solid Mix In Nutrition'!A:A,'Solid Mix In Nutrition'!G:G,0))+(($X25 / 100)  * _xlfn.XLOOKUP($J25,'Sweetener Mix In Nutrition'!A:A,'Sweetener Mix In Nutrition'!E:E,0))+(($Y25 / 100)  * _xlfn.XLOOKUP($K25,'Sweetener Mix In Nutrition'!A:A,'Sweetener Mix In Nutrition'!E:E,0))</f>
        <v>0</v>
      </c>
      <c r="AD25" s="36">
        <f>(($R25 / 240) * _xlfn.XLOOKUP($D25,'Milk Types Nutrition Per Cup'!A:A,'Milk Types Nutrition Per Cup'!E:E,0)) +(($S25 / 240)  * _xlfn.XLOOKUP($E25,'Milk Types Nutrition Per Cup'!A:A,'Milk Types Nutrition Per Cup'!E:E,0)) +(($T25 / 15)  * _xlfn.XLOOKUP($F25,'Liquid Mix In Nutrition'!A:A,'Liquid Mix In Nutrition'!E:E,0)) +(($U25 / 15)  * _xlfn.XLOOKUP($G25,'Liquid Mix In Nutrition'!A:A,'Liquid Mix In Nutrition'!E:E,0))+(($X25 / 100)  * _xlfn.XLOOKUP($J25,'Sweetener Mix In Nutrition'!A:A,'Sweetener Mix In Nutrition'!E:E,0))+(($Y25 / 100)  * _xlfn.XLOOKUP($K25,'Sweetener Mix In Nutrition'!A:A,'Sweetener Mix In Nutrition'!E:E,0))</f>
        <v>0</v>
      </c>
      <c r="AE25" s="37">
        <f>(($R25 / 240) * _xlfn.XLOOKUP($D25,'Milk Types Nutrition Per Cup'!A:A,'Milk Types Nutrition Per Cup'!C:C,0)) +(($S25 / 240)  * _xlfn.XLOOKUP($E25,'Milk Types Nutrition Per Cup'!A:A,'Milk Types Nutrition Per Cup'!C:C,0)) +(($T25 / 15)  * _xlfn.XLOOKUP($F25,'Liquid Mix In Nutrition'!A:A,'Liquid Mix In Nutrition'!C:C,0))+(($U25 / 15)  * _xlfn.XLOOKUP($G25,'Liquid Mix In Nutrition'!A:A,'Liquid Mix In Nutrition'!C:C,0))+(($V25 / MAX(1, _xlfn.XLOOKUP($H25,'Solid Mix In Nutrition'!A:A,'Solid Mix In Nutrition'!I:I,1)))  * _xlfn.XLOOKUP($H25,'Solid Mix In Nutrition'!A:A,'Solid Mix In Nutrition'!C:C,0))+(($W25 / MAX(1, _xlfn.XLOOKUP($I25,'Solid Mix In Nutrition'!A:A,'Solid Mix In Nutrition'!I:I,1)))  * _xlfn.XLOOKUP($I25,'Solid Mix In Nutrition'!A:A,'Solid Mix In Nutrition'!C:C,0))+(($X25 / 100)  * _xlfn.XLOOKUP($J25,'Sweetener Mix In Nutrition'!A:A,'Sweetener Mix In Nutrition'!C:C,0))+(($Y25 / 100)  * _xlfn.XLOOKUP($K25,'Sweetener Mix In Nutrition'!A:A,'Sweetener Mix In Nutrition'!C:C,0))</f>
        <v>0</v>
      </c>
      <c r="AF25" s="38">
        <f>$AE25 / (_xlfn.XLOOKUP($L25,Specs!A:A,Specs!B:B,0))</f>
        <v>0</v>
      </c>
      <c r="AG25" s="37">
        <f>60* ($AB25 / _xlfn.XLOOKUP($L25,Specs!A:A,Specs!B:B,0))</f>
        <v>0</v>
      </c>
      <c r="AH25" s="37">
        <f>60* (AC25 / _xlfn.XLOOKUP($L25,Specs!$A:$A,Specs!$B:$B,0))</f>
        <v>0</v>
      </c>
      <c r="AI25" s="37">
        <f>60* (AE25 / _xlfn.XLOOKUP($L25,Specs!$A:$A,Specs!$B:$B,0))</f>
        <v>0</v>
      </c>
      <c r="AJ25" s="39">
        <v>0</v>
      </c>
      <c r="AK25" s="46" t="s">
        <v>694</v>
      </c>
      <c r="AL25" s="47" t="s">
        <v>646</v>
      </c>
      <c r="AM25" s="40">
        <v>0</v>
      </c>
      <c r="AN25" s="48">
        <v>2</v>
      </c>
      <c r="AO25" s="40">
        <v>2</v>
      </c>
      <c r="AP25" s="30" t="s">
        <v>210</v>
      </c>
      <c r="AQ25" t="str">
        <f>_xlfn.XLOOKUP("What's Your Number?",[1]Sheet1!$1:$1,[1]Sheet1!25:25)</f>
        <v>3057962886</v>
      </c>
    </row>
    <row r="26" spans="1:43" x14ac:dyDescent="0.25">
      <c r="A26" s="42" t="s">
        <v>695</v>
      </c>
      <c r="B26" s="76" t="s">
        <v>693</v>
      </c>
      <c r="C26" s="31" t="s">
        <v>251</v>
      </c>
      <c r="D26" s="31" t="s">
        <v>62</v>
      </c>
      <c r="E26" s="31" t="s">
        <v>65</v>
      </c>
      <c r="F26" s="31" t="s">
        <v>0</v>
      </c>
      <c r="G26" s="31">
        <v>0</v>
      </c>
      <c r="H26" s="31" t="s">
        <v>249</v>
      </c>
      <c r="I26" s="31">
        <v>0</v>
      </c>
      <c r="J26" s="31" t="s">
        <v>510</v>
      </c>
      <c r="K26" s="31">
        <v>0</v>
      </c>
      <c r="L26" s="77" t="s">
        <v>4</v>
      </c>
      <c r="M26" s="45" t="s">
        <v>157</v>
      </c>
      <c r="N26" s="45">
        <v>0</v>
      </c>
      <c r="O26" s="45" t="s">
        <v>156</v>
      </c>
      <c r="P26" s="45" t="s">
        <v>173</v>
      </c>
      <c r="Q26" s="45">
        <v>0</v>
      </c>
      <c r="R26" s="30">
        <f>(_xlfn.XLOOKUP($L26,Specs!A:A,Specs!B:B,0)-(IF(ISNUMBER(SEARCH("Dulce De Leche", $G26)), 0, $T26))-(IF(ISNUMBER(SEARCH("Dulce De Leche", $F26)), 0, $U26))-(($V26/MAX(1,_xlfn.XLOOKUP($H26,'Solid Mix In Nutrition'!A:A,'Solid Mix In Nutrition'!I:I,1)))*240)-(($W26/MAX(1,_xlfn.XLOOKUP($I26,'Solid Mix In Nutrition'!A:A,'Solid Mix In Nutrition'!I:I,1)))*240))*0.66</f>
        <v>229.185</v>
      </c>
      <c r="S26" s="30">
        <f>(_xlfn.XLOOKUP($L26,Specs!A:A,Specs!B:B,0)-(IF(ISNUMBER(SEARCH("Dulce De Leche", $G26)), 0, $T26))-(IF(ISNUMBER(SEARCH("Dulce De Leche", $F26)), 0, $U26))-(($V26/MAX(1,_xlfn.XLOOKUP($H26,'Solid Mix In Nutrition'!A:A,'Solid Mix In Nutrition'!I:I,1)))*240)-(($W26/MAX(1,_xlfn.XLOOKUP($I26,'Solid Mix In Nutrition'!A:A,'Solid Mix In Nutrition'!I:I,1)))*240))*0.33</f>
        <v>114.5925</v>
      </c>
      <c r="T26" s="30">
        <f>_xlfn.XLOOKUP($M26,Specs!$D:$D,Specs!$E:$E,0)*15*_xlfn.XLOOKUP($L26,Specs!$A:$A,Specs!$C:$C,0)</f>
        <v>7.5</v>
      </c>
      <c r="U26" s="30">
        <f>_xlfn.XLOOKUP($N26,Specs!$D:$D,Specs!$E:$E,0)*15*_xlfn.XLOOKUP($L26,Specs!$A:$A,Specs!$C:$C,0)</f>
        <v>0</v>
      </c>
      <c r="V26" s="30">
        <f>( ((_xlfn.XLOOKUP($O26,Specs!$H:$H,Specs!$I:$I,0)*_xlfn.XLOOKUP($L26,Specs!$A:$A,Specs!$B:$B,0))/240) *_xlfn.XLOOKUP($H26,'Solid Mix In Nutrition'!A:A,'Solid Mix In Nutrition'!I:I,0)) *IF(AND(NOT($I26=0), COUNTA($I26)),0.5,1)</f>
        <v>118.25</v>
      </c>
      <c r="W26" s="30">
        <f>( ((_xlfn.XLOOKUP($O26,Specs!$H:$H,Specs!$I:$I,0)*_xlfn.XLOOKUP($L26,Specs!$A:$A,Specs!$B:$B,0))/240) *_xlfn.XLOOKUP($I26,'Solid Mix In Nutrition'!A:A,'Solid Mix In Nutrition'!I:I,0)) *IF(AND(NOT($I26=0), COUNTA($I26)),0.5,0)</f>
        <v>0</v>
      </c>
      <c r="X26" s="30">
        <f>_xlfn.XLOOKUP($P26,Specs!F:F,Specs!G:G,0)*_xlfn.XLOOKUP($J26,'Sweetener Mix In Nutrition'!A:A,'Sweetener Mix In Nutrition'!I:I,0)*_xlfn.XLOOKUP($L26,Specs!A:A,Specs!C:C,0)</f>
        <v>8.75</v>
      </c>
      <c r="Y26" s="30">
        <f>_xlfn.XLOOKUP($Q26,Specs!F:F,Specs!G:G,0)*_xlfn.XLOOKUP($K26,'Sweetener Mix In Nutrition'!A:A,'Sweetener Mix In Nutrition'!I:I,0)*_xlfn.XLOOKUP($L26,Specs!A:A,Specs!C:C,0)</f>
        <v>0</v>
      </c>
      <c r="Z26" s="34">
        <f t="shared" si="0"/>
        <v>0.432033</v>
      </c>
      <c r="AA26" s="35">
        <f t="shared" si="1"/>
        <v>0.25</v>
      </c>
      <c r="AB26" s="36">
        <f>(($R26 / 240) * _xlfn.XLOOKUP($D26,'Milk Types Nutrition Per Cup'!A:A,'Milk Types Nutrition Per Cup'!B:B,0)) +(($S26 / 240)  * _xlfn.XLOOKUP($E26,'Milk Types Nutrition Per Cup'!A:A,'Milk Types Nutrition Per Cup'!B:B,0)) +(($T26 / 15)  * _xlfn.XLOOKUP($F26,'Liquid Mix In Nutrition'!A:A,'Liquid Mix In Nutrition'!B:B,0))+(($U26 / 15)  * _xlfn.XLOOKUP($G26,'Liquid Mix In Nutrition'!A:A,'Liquid Mix In Nutrition'!B:B,0))+(($V26 /MAX(1, _xlfn.XLOOKUP($H26,'Solid Mix In Nutrition'!A:A,'Solid Mix In Nutrition'!I:I,1)))  * _xlfn.XLOOKUP($H26,'Solid Mix In Nutrition'!A:A,'Solid Mix In Nutrition'!B:B,0))+(($W26 / MAX(1, _xlfn.XLOOKUP($I26,'Solid Mix In Nutrition'!A:A,'Solid Mix In Nutrition'!I:I,1))))+(($X26 / 100)  * _xlfn.XLOOKUP($J26,'Sweetener Mix In Nutrition'!A:A,'Sweetener Mix In Nutrition'!B:B,0))+(($Y26 / 100)  * _xlfn.XLOOKUP($K26,'Sweetener Mix In Nutrition'!A:A,'Sweetener Mix In Nutrition'!B:B,0))</f>
        <v>1503.0080881385661</v>
      </c>
      <c r="AC26" s="36">
        <f>(($R26 / 240) * _xlfn.XLOOKUP($D26,'Milk Types Nutrition Per Cup'!A:A,'Milk Types Nutrition Per Cup'!E:E,0)) +(($S26 / 240)  * _xlfn.XLOOKUP($E26,'Milk Types Nutrition Per Cup'!A:A,'Milk Types Nutrition Per Cup'!E:E,0)) +(($T26 / 15)  * _xlfn.XLOOKUP($F26,'Liquid Mix In Nutrition'!A:A,'Liquid Mix In Nutrition'!E:E,0)) +(($U26 / 15)  * _xlfn.XLOOKUP($G26,'Liquid Mix In Nutrition'!A:A,'Liquid Mix In Nutrition'!E:E,0))+(($V26 / MAX(1, _xlfn.XLOOKUP($H26,'Solid Mix In Nutrition'!A:A,'Solid Mix In Nutrition'!I:I,1)))  * _xlfn.XLOOKUP($H26,'Solid Mix In Nutrition'!A:A,'Solid Mix In Nutrition'!E:E,0))+(($W26 / MAX(1, _xlfn.XLOOKUP($I26,'Solid Mix In Nutrition'!A:A,'Solid Mix In Nutrition'!I:I,1)))  * _xlfn.XLOOKUP($I26,'Solid Mix In Nutrition'!A:A,'Solid Mix In Nutrition'!G:G,0))+(($X26 / 100)  * _xlfn.XLOOKUP($J26,'Sweetener Mix In Nutrition'!A:A,'Sweetener Mix In Nutrition'!E:E,0))+(($Y26 / 100)  * _xlfn.XLOOKUP($K26,'Sweetener Mix In Nutrition'!A:A,'Sweetener Mix In Nutrition'!E:E,0))</f>
        <v>42.708436691515011</v>
      </c>
      <c r="AD26" s="36">
        <f>(($R26 / 240) * _xlfn.XLOOKUP($D26,'Milk Types Nutrition Per Cup'!A:A,'Milk Types Nutrition Per Cup'!E:E,0)) +(($S26 / 240)  * _xlfn.XLOOKUP($E26,'Milk Types Nutrition Per Cup'!A:A,'Milk Types Nutrition Per Cup'!E:E,0)) +(($T26 / 15)  * _xlfn.XLOOKUP($F26,'Liquid Mix In Nutrition'!A:A,'Liquid Mix In Nutrition'!E:E,0)) +(($U26 / 15)  * _xlfn.XLOOKUP($G26,'Liquid Mix In Nutrition'!A:A,'Liquid Mix In Nutrition'!E:E,0))+(($X26 / 100)  * _xlfn.XLOOKUP($J26,'Sweetener Mix In Nutrition'!A:A,'Sweetener Mix In Nutrition'!E:E,0))+(($Y26 / 100)  * _xlfn.XLOOKUP($K26,'Sweetener Mix In Nutrition'!A:A,'Sweetener Mix In Nutrition'!E:E,0))</f>
        <v>8.3197499999999991</v>
      </c>
      <c r="AE26" s="37">
        <f>(($R26 / 240) * _xlfn.XLOOKUP($D26,'Milk Types Nutrition Per Cup'!A:A,'Milk Types Nutrition Per Cup'!C:C,0)) +(($S26 / 240)  * _xlfn.XLOOKUP($E26,'Milk Types Nutrition Per Cup'!A:A,'Milk Types Nutrition Per Cup'!C:C,0)) +(($T26 / 15)  * _xlfn.XLOOKUP($F26,'Liquid Mix In Nutrition'!A:A,'Liquid Mix In Nutrition'!C:C,0))+(($U26 / 15)  * _xlfn.XLOOKUP($G26,'Liquid Mix In Nutrition'!A:A,'Liquid Mix In Nutrition'!C:C,0))+(($V26 / MAX(1, _xlfn.XLOOKUP($H26,'Solid Mix In Nutrition'!A:A,'Solid Mix In Nutrition'!I:I,1)))  * _xlfn.XLOOKUP($H26,'Solid Mix In Nutrition'!A:A,'Solid Mix In Nutrition'!C:C,0))+(($W26 / MAX(1, _xlfn.XLOOKUP($I26,'Solid Mix In Nutrition'!A:A,'Solid Mix In Nutrition'!I:I,1)))  * _xlfn.XLOOKUP($I26,'Solid Mix In Nutrition'!A:A,'Solid Mix In Nutrition'!C:C,0))+(($X26 / 100)  * _xlfn.XLOOKUP($J26,'Sweetener Mix In Nutrition'!A:A,'Sweetener Mix In Nutrition'!C:C,0))+(($Y26 / 100)  * _xlfn.XLOOKUP($K26,'Sweetener Mix In Nutrition'!A:A,'Sweetener Mix In Nutrition'!C:C,0))</f>
        <v>129.02498204889278</v>
      </c>
      <c r="AF26" s="38">
        <f>$AE26 / (_xlfn.XLOOKUP($L26,Specs!A:A,Specs!B:B,0))</f>
        <v>0.27278008889829342</v>
      </c>
      <c r="AG26" s="37">
        <f>60* ($AB26 / _xlfn.XLOOKUP($L26,Specs!A:A,Specs!B:B,0))</f>
        <v>190.65641710002953</v>
      </c>
      <c r="AH26" s="37">
        <f>60* (AC26 / _xlfn.XLOOKUP($L26,Specs!$A:$A,Specs!$B:$B,0))</f>
        <v>5.4175606796847795</v>
      </c>
      <c r="AI26" s="37">
        <f>60* (AE26 / _xlfn.XLOOKUP($L26,Specs!$A:$A,Specs!$B:$B,0))</f>
        <v>16.366805333897606</v>
      </c>
      <c r="AJ26" s="39">
        <v>1.8228843653759155</v>
      </c>
      <c r="AK26" s="46" t="s">
        <v>696</v>
      </c>
      <c r="AL26" s="47" t="s">
        <v>646</v>
      </c>
      <c r="AM26" s="40">
        <v>0</v>
      </c>
      <c r="AN26" s="48">
        <v>5</v>
      </c>
      <c r="AO26" s="40">
        <v>5</v>
      </c>
      <c r="AP26" s="30" t="s">
        <v>210</v>
      </c>
      <c r="AQ26" t="str">
        <f>_xlfn.XLOOKUP("What's Your Number?",[1]Sheet1!$1:$1,[1]Sheet1!26:26)</f>
        <v>3057962886</v>
      </c>
    </row>
    <row r="27" spans="1:43" x14ac:dyDescent="0.25">
      <c r="A27" s="42" t="s">
        <v>697</v>
      </c>
      <c r="B27" s="76" t="s">
        <v>698</v>
      </c>
      <c r="C27" s="31" t="s">
        <v>699</v>
      </c>
      <c r="D27" s="31" t="s">
        <v>62</v>
      </c>
      <c r="E27" s="31" t="s">
        <v>65</v>
      </c>
      <c r="F27" s="31" t="s">
        <v>0</v>
      </c>
      <c r="G27" s="31">
        <v>0</v>
      </c>
      <c r="H27" s="31">
        <v>0</v>
      </c>
      <c r="I27" s="31">
        <v>0</v>
      </c>
      <c r="J27" s="31" t="s">
        <v>510</v>
      </c>
      <c r="K27" s="31">
        <v>0</v>
      </c>
      <c r="L27" s="77" t="s">
        <v>4</v>
      </c>
      <c r="M27" s="45" t="s">
        <v>46</v>
      </c>
      <c r="N27" s="45" t="s">
        <v>44</v>
      </c>
      <c r="O27" s="45">
        <v>0</v>
      </c>
      <c r="P27" s="45" t="s">
        <v>173</v>
      </c>
      <c r="Q27" s="45">
        <v>0</v>
      </c>
      <c r="R27" s="30">
        <f>(_xlfn.XLOOKUP($L27,Specs!A:A,Specs!B:B,0)-(IF(ISNUMBER(SEARCH("Dulce De Leche", $G27)), 0, $T27))-(IF(ISNUMBER(SEARCH("Dulce De Leche", $F27)), 0, $U27))-(($V27/MAX(1,_xlfn.XLOOKUP($H27,'Solid Mix In Nutrition'!A:A,'Solid Mix In Nutrition'!I:I,1)))*240)-(($W27/MAX(1,_xlfn.XLOOKUP($I27,'Solid Mix In Nutrition'!A:A,'Solid Mix In Nutrition'!I:I,1)))*240))*0.66</f>
        <v>302.28000000000003</v>
      </c>
      <c r="S27" s="30">
        <f>(_xlfn.XLOOKUP($L27,Specs!A:A,Specs!B:B,0)-(IF(ISNUMBER(SEARCH("Dulce De Leche", $G27)), 0, $T27))-(IF(ISNUMBER(SEARCH("Dulce De Leche", $F27)), 0, $U27))-(($V27/MAX(1,_xlfn.XLOOKUP($H27,'Solid Mix In Nutrition'!A:A,'Solid Mix In Nutrition'!I:I,1)))*240)-(($W27/MAX(1,_xlfn.XLOOKUP($I27,'Solid Mix In Nutrition'!A:A,'Solid Mix In Nutrition'!I:I,1)))*240))*0.33</f>
        <v>151.14000000000001</v>
      </c>
      <c r="T27" s="30">
        <f>_xlfn.XLOOKUP($M27,Specs!$D:$D,Specs!$E:$E,0)*15*_xlfn.XLOOKUP($L27,Specs!$A:$A,Specs!$C:$C,0)</f>
        <v>15</v>
      </c>
      <c r="U27" s="30">
        <f>_xlfn.XLOOKUP($N27,Specs!$D:$D,Specs!$E:$E,0)*15*_xlfn.XLOOKUP($L27,Specs!$A:$A,Specs!$C:$C,0)</f>
        <v>0</v>
      </c>
      <c r="V27" s="30">
        <f>( ((_xlfn.XLOOKUP($O27,Specs!$H:$H,Specs!$I:$I,0)*_xlfn.XLOOKUP($L27,Specs!$A:$A,Specs!$B:$B,0))/240) *_xlfn.XLOOKUP($H27,'Solid Mix In Nutrition'!A:A,'Solid Mix In Nutrition'!I:I,0)) *IF(AND(NOT($I27=0), COUNTA($I27)),0.5,1)</f>
        <v>0</v>
      </c>
      <c r="W27" s="30">
        <f>( ((_xlfn.XLOOKUP($O27,Specs!$H:$H,Specs!$I:$I,0)*_xlfn.XLOOKUP($L27,Specs!$A:$A,Specs!$B:$B,0))/240) *_xlfn.XLOOKUP($I27,'Solid Mix In Nutrition'!A:A,'Solid Mix In Nutrition'!I:I,0)) *IF(AND(NOT($I27=0), COUNTA($I27)),0.5,0)</f>
        <v>0</v>
      </c>
      <c r="X27" s="30">
        <f>_xlfn.XLOOKUP($P27,Specs!F:F,Specs!G:G,0)*_xlfn.XLOOKUP($J27,'Sweetener Mix In Nutrition'!A:A,'Sweetener Mix In Nutrition'!I:I,0)*_xlfn.XLOOKUP($L27,Specs!A:A,Specs!C:C,0)</f>
        <v>8.75</v>
      </c>
      <c r="Y27" s="30">
        <f>_xlfn.XLOOKUP($Q27,Specs!F:F,Specs!G:G,0)*_xlfn.XLOOKUP($K27,'Sweetener Mix In Nutrition'!A:A,'Sweetener Mix In Nutrition'!I:I,0)*_xlfn.XLOOKUP($L27,Specs!A:A,Specs!C:C,0)</f>
        <v>0</v>
      </c>
      <c r="Z27" s="34">
        <f t="shared" si="0"/>
        <v>0.572604</v>
      </c>
      <c r="AA27" s="35">
        <f t="shared" si="1"/>
        <v>0.25</v>
      </c>
      <c r="AB27" s="36">
        <f>(($R27 / 240) * _xlfn.XLOOKUP($D27,'Milk Types Nutrition Per Cup'!A:A,'Milk Types Nutrition Per Cup'!B:B,0)) +(($S27 / 240)  * _xlfn.XLOOKUP($E27,'Milk Types Nutrition Per Cup'!A:A,'Milk Types Nutrition Per Cup'!B:B,0)) +(($T27 / 15)  * _xlfn.XLOOKUP($F27,'Liquid Mix In Nutrition'!A:A,'Liquid Mix In Nutrition'!B:B,0))+(($U27 / 15)  * _xlfn.XLOOKUP($G27,'Liquid Mix In Nutrition'!A:A,'Liquid Mix In Nutrition'!B:B,0))+(($V27 /MAX(1, _xlfn.XLOOKUP($H27,'Solid Mix In Nutrition'!A:A,'Solid Mix In Nutrition'!I:I,1)))  * _xlfn.XLOOKUP($H27,'Solid Mix In Nutrition'!A:A,'Solid Mix In Nutrition'!B:B,0))+(($W27 / MAX(1, _xlfn.XLOOKUP($I27,'Solid Mix In Nutrition'!A:A,'Solid Mix In Nutrition'!I:I,1))))+(($X27 / 100)  * _xlfn.XLOOKUP($J27,'Sweetener Mix In Nutrition'!A:A,'Sweetener Mix In Nutrition'!B:B,0))+(($Y27 / 100)  * _xlfn.XLOOKUP($K27,'Sweetener Mix In Nutrition'!A:A,'Sweetener Mix In Nutrition'!B:B,0))</f>
        <v>1254.1200000000001</v>
      </c>
      <c r="AC27" s="36">
        <f>(($R27 / 240) * _xlfn.XLOOKUP($D27,'Milk Types Nutrition Per Cup'!A:A,'Milk Types Nutrition Per Cup'!E:E,0)) +(($S27 / 240)  * _xlfn.XLOOKUP($E27,'Milk Types Nutrition Per Cup'!A:A,'Milk Types Nutrition Per Cup'!E:E,0)) +(($T27 / 15)  * _xlfn.XLOOKUP($F27,'Liquid Mix In Nutrition'!A:A,'Liquid Mix In Nutrition'!E:E,0)) +(($U27 / 15)  * _xlfn.XLOOKUP($G27,'Liquid Mix In Nutrition'!A:A,'Liquid Mix In Nutrition'!E:E,0))+(($V27 / MAX(1, _xlfn.XLOOKUP($H27,'Solid Mix In Nutrition'!A:A,'Solid Mix In Nutrition'!I:I,1)))  * _xlfn.XLOOKUP($H27,'Solid Mix In Nutrition'!A:A,'Solid Mix In Nutrition'!E:E,0))+(($W27 / MAX(1, _xlfn.XLOOKUP($I27,'Solid Mix In Nutrition'!A:A,'Solid Mix In Nutrition'!I:I,1)))  * _xlfn.XLOOKUP($I27,'Solid Mix In Nutrition'!A:A,'Solid Mix In Nutrition'!G:G,0))+(($X27 / 100)  * _xlfn.XLOOKUP($J27,'Sweetener Mix In Nutrition'!A:A,'Sweetener Mix In Nutrition'!E:E,0))+(($Y27 / 100)  * _xlfn.XLOOKUP($K27,'Sweetener Mix In Nutrition'!A:A,'Sweetener Mix In Nutrition'!E:E,0))</f>
        <v>14.038</v>
      </c>
      <c r="AD27" s="36">
        <f>(($R27 / 240) * _xlfn.XLOOKUP($D27,'Milk Types Nutrition Per Cup'!A:A,'Milk Types Nutrition Per Cup'!E:E,0)) +(($S27 / 240)  * _xlfn.XLOOKUP($E27,'Milk Types Nutrition Per Cup'!A:A,'Milk Types Nutrition Per Cup'!E:E,0)) +(($T27 / 15)  * _xlfn.XLOOKUP($F27,'Liquid Mix In Nutrition'!A:A,'Liquid Mix In Nutrition'!E:E,0)) +(($U27 / 15)  * _xlfn.XLOOKUP($G27,'Liquid Mix In Nutrition'!A:A,'Liquid Mix In Nutrition'!E:E,0))+(($X27 / 100)  * _xlfn.XLOOKUP($J27,'Sweetener Mix In Nutrition'!A:A,'Sweetener Mix In Nutrition'!E:E,0))+(($Y27 / 100)  * _xlfn.XLOOKUP($K27,'Sweetener Mix In Nutrition'!A:A,'Sweetener Mix In Nutrition'!E:E,0))</f>
        <v>14.038</v>
      </c>
      <c r="AE27" s="37">
        <f>(($R27 / 240) * _xlfn.XLOOKUP($D27,'Milk Types Nutrition Per Cup'!A:A,'Milk Types Nutrition Per Cup'!C:C,0)) +(($S27 / 240)  * _xlfn.XLOOKUP($E27,'Milk Types Nutrition Per Cup'!A:A,'Milk Types Nutrition Per Cup'!C:C,0)) +(($T27 / 15)  * _xlfn.XLOOKUP($F27,'Liquid Mix In Nutrition'!A:A,'Liquid Mix In Nutrition'!C:C,0))+(($U27 / 15)  * _xlfn.XLOOKUP($G27,'Liquid Mix In Nutrition'!A:A,'Liquid Mix In Nutrition'!C:C,0))+(($V27 / MAX(1, _xlfn.XLOOKUP($H27,'Solid Mix In Nutrition'!A:A,'Solid Mix In Nutrition'!I:I,1)))  * _xlfn.XLOOKUP($H27,'Solid Mix In Nutrition'!A:A,'Solid Mix In Nutrition'!C:C,0))+(($W27 / MAX(1, _xlfn.XLOOKUP($I27,'Solid Mix In Nutrition'!A:A,'Solid Mix In Nutrition'!I:I,1)))  * _xlfn.XLOOKUP($I27,'Solid Mix In Nutrition'!A:A,'Solid Mix In Nutrition'!C:C,0))+(($X27 / 100)  * _xlfn.XLOOKUP($J27,'Sweetener Mix In Nutrition'!A:A,'Sweetener Mix In Nutrition'!C:C,0))+(($Y27 / 100)  * _xlfn.XLOOKUP($K27,'Sweetener Mix In Nutrition'!A:A,'Sweetener Mix In Nutrition'!C:C,0))</f>
        <v>138.54500000000002</v>
      </c>
      <c r="AF27" s="38">
        <f>$AE27 / (_xlfn.XLOOKUP($L27,Specs!A:A,Specs!B:B,0))</f>
        <v>0.29290697674418609</v>
      </c>
      <c r="AG27" s="37">
        <f>60* ($AB27 / _xlfn.XLOOKUP($L27,Specs!A:A,Specs!B:B,0))</f>
        <v>159.08498942917549</v>
      </c>
      <c r="AH27" s="37">
        <f>60* (AC27 / _xlfn.XLOOKUP($L27,Specs!$A:$A,Specs!$B:$B,0))</f>
        <v>1.7807188160676535</v>
      </c>
      <c r="AI27" s="37">
        <f>60* (AE27 / _xlfn.XLOOKUP($L27,Specs!$A:$A,Specs!$B:$B,0))</f>
        <v>17.574418604651164</v>
      </c>
      <c r="AJ27" s="39">
        <v>2.5340068969044109</v>
      </c>
      <c r="AK27" s="46" t="s">
        <v>700</v>
      </c>
      <c r="AL27" s="47">
        <v>24</v>
      </c>
      <c r="AM27" s="40">
        <v>4</v>
      </c>
      <c r="AN27" s="48">
        <v>11</v>
      </c>
      <c r="AO27" s="40">
        <v>7</v>
      </c>
      <c r="AP27" s="30" t="s">
        <v>210</v>
      </c>
      <c r="AQ27" t="str">
        <f>_xlfn.XLOOKUP("What's Your Number?",[1]Sheet1!$1:$1,[1]Sheet1!27:27)</f>
        <v>9548129024</v>
      </c>
    </row>
    <row r="28" spans="1:43" x14ac:dyDescent="0.25">
      <c r="A28" s="42" t="s">
        <v>701</v>
      </c>
      <c r="B28" s="76" t="s">
        <v>702</v>
      </c>
      <c r="C28" s="31" t="s">
        <v>400</v>
      </c>
      <c r="D28" s="31" t="s">
        <v>62</v>
      </c>
      <c r="E28" s="31" t="s">
        <v>65</v>
      </c>
      <c r="F28" s="31" t="s">
        <v>0</v>
      </c>
      <c r="G28" s="31">
        <v>0</v>
      </c>
      <c r="H28" s="31" t="s">
        <v>415</v>
      </c>
      <c r="I28" s="31">
        <v>0</v>
      </c>
      <c r="J28" s="31" t="s">
        <v>132</v>
      </c>
      <c r="K28" s="31">
        <v>0</v>
      </c>
      <c r="L28" s="77" t="s">
        <v>340</v>
      </c>
      <c r="M28" s="45" t="s">
        <v>157</v>
      </c>
      <c r="N28" s="45">
        <v>0</v>
      </c>
      <c r="O28" s="45" t="s">
        <v>154</v>
      </c>
      <c r="P28" s="45" t="s">
        <v>448</v>
      </c>
      <c r="Q28" s="45">
        <v>0</v>
      </c>
      <c r="R28" s="30">
        <f>(_xlfn.XLOOKUP($L28,Specs!A:A,Specs!B:B,0)-(IF(ISNUMBER(SEARCH("Dulce De Leche", $G28)), 0, $T28))-(IF(ISNUMBER(SEARCH("Dulce De Leche", $F28)), 0, $U28))-(($V28/MAX(1,_xlfn.XLOOKUP($H28,'Solid Mix In Nutrition'!A:A,'Solid Mix In Nutrition'!I:I,1)))*240)-(($W28/MAX(1,_xlfn.XLOOKUP($I28,'Solid Mix In Nutrition'!A:A,'Solid Mix In Nutrition'!I:I,1)))*240))*0.66</f>
        <v>986.07299999999998</v>
      </c>
      <c r="S28" s="30">
        <f>(_xlfn.XLOOKUP($L28,Specs!A:A,Specs!B:B,0)-(IF(ISNUMBER(SEARCH("Dulce De Leche", $G28)), 0, $T28))-(IF(ISNUMBER(SEARCH("Dulce De Leche", $F28)), 0, $U28))-(($V28/MAX(1,_xlfn.XLOOKUP($H28,'Solid Mix In Nutrition'!A:A,'Solid Mix In Nutrition'!I:I,1)))*240)-(($W28/MAX(1,_xlfn.XLOOKUP($I28,'Solid Mix In Nutrition'!A:A,'Solid Mix In Nutrition'!I:I,1)))*240))*0.33</f>
        <v>493.03649999999999</v>
      </c>
      <c r="T28" s="30">
        <f>_xlfn.XLOOKUP($M28,Specs!$D:$D,Specs!$E:$E,0)*15*_xlfn.XLOOKUP($L28,Specs!$A:$A,Specs!$C:$C,0)</f>
        <v>30</v>
      </c>
      <c r="U28" s="30">
        <f>_xlfn.XLOOKUP($N28,Specs!$D:$D,Specs!$E:$E,0)*15*_xlfn.XLOOKUP($L28,Specs!$A:$A,Specs!$C:$C,0)</f>
        <v>0</v>
      </c>
      <c r="V28" s="30">
        <f>( ((_xlfn.XLOOKUP($O28,Specs!$H:$H,Specs!$I:$I,0)*_xlfn.XLOOKUP($L28,Specs!$A:$A,Specs!$B:$B,0))/240) *_xlfn.XLOOKUP($H28,'Solid Mix In Nutrition'!A:A,'Solid Mix In Nutrition'!I:I,0)) *IF(AND(NOT($I28=0), COUNTA($I28)),0.5,1)</f>
        <v>224.125</v>
      </c>
      <c r="W28" s="30">
        <f>( ((_xlfn.XLOOKUP($O28,Specs!$H:$H,Specs!$I:$I,0)*_xlfn.XLOOKUP($L28,Specs!$A:$A,Specs!$B:$B,0))/240) *_xlfn.XLOOKUP($I28,'Solid Mix In Nutrition'!A:A,'Solid Mix In Nutrition'!I:I,0)) *IF(AND(NOT($I28=0), COUNTA($I28)),0.5,0)</f>
        <v>0</v>
      </c>
      <c r="X28" s="30">
        <f>_xlfn.XLOOKUP($P28,Specs!F:F,Specs!G:G,0)*_xlfn.XLOOKUP($J28,'Sweetener Mix In Nutrition'!A:A,'Sweetener Mix In Nutrition'!I:I,0)*_xlfn.XLOOKUP($L28,Specs!A:A,Specs!C:C,0)</f>
        <v>0</v>
      </c>
      <c r="Y28" s="30">
        <f>_xlfn.XLOOKUP($Q28,Specs!F:F,Specs!G:G,0)*_xlfn.XLOOKUP($K28,'Sweetener Mix In Nutrition'!A:A,'Sweetener Mix In Nutrition'!I:I,0)*_xlfn.XLOOKUP($L28,Specs!A:A,Specs!C:C,0)</f>
        <v>0</v>
      </c>
      <c r="Z28" s="34">
        <f t="shared" si="0"/>
        <v>1.8109313999999999</v>
      </c>
      <c r="AA28" s="35">
        <f t="shared" si="1"/>
        <v>0.5</v>
      </c>
      <c r="AB28" s="36">
        <f>(($R28 / 240) * _xlfn.XLOOKUP($D28,'Milk Types Nutrition Per Cup'!A:A,'Milk Types Nutrition Per Cup'!B:B,0)) +(($S28 / 240)  * _xlfn.XLOOKUP($E28,'Milk Types Nutrition Per Cup'!A:A,'Milk Types Nutrition Per Cup'!B:B,0)) +(($T28 / 15)  * _xlfn.XLOOKUP($F28,'Liquid Mix In Nutrition'!A:A,'Liquid Mix In Nutrition'!B:B,0))+(($U28 / 15)  * _xlfn.XLOOKUP($G28,'Liquid Mix In Nutrition'!A:A,'Liquid Mix In Nutrition'!B:B,0))+(($V28 /MAX(1, _xlfn.XLOOKUP($H28,'Solid Mix In Nutrition'!A:A,'Solid Mix In Nutrition'!I:I,1)))  * _xlfn.XLOOKUP($H28,'Solid Mix In Nutrition'!A:A,'Solid Mix In Nutrition'!B:B,0))+(($W28 / MAX(1, _xlfn.XLOOKUP($I28,'Solid Mix In Nutrition'!A:A,'Solid Mix In Nutrition'!I:I,1))))+(($X28 / 100)  * _xlfn.XLOOKUP($J28,'Sweetener Mix In Nutrition'!A:A,'Sweetener Mix In Nutrition'!B:B,0))+(($Y28 / 100)  * _xlfn.XLOOKUP($K28,'Sweetener Mix In Nutrition'!A:A,'Sweetener Mix In Nutrition'!B:B,0))</f>
        <v>4676.7836666666662</v>
      </c>
      <c r="AC28" s="36">
        <f>(($R28 / 240) * _xlfn.XLOOKUP($D28,'Milk Types Nutrition Per Cup'!A:A,'Milk Types Nutrition Per Cup'!E:E,0)) +(($S28 / 240)  * _xlfn.XLOOKUP($E28,'Milk Types Nutrition Per Cup'!A:A,'Milk Types Nutrition Per Cup'!E:E,0)) +(($T28 / 15)  * _xlfn.XLOOKUP($F28,'Liquid Mix In Nutrition'!A:A,'Liquid Mix In Nutrition'!E:E,0)) +(($U28 / 15)  * _xlfn.XLOOKUP($G28,'Liquid Mix In Nutrition'!A:A,'Liquid Mix In Nutrition'!E:E,0))+(($V28 / MAX(1, _xlfn.XLOOKUP($H28,'Solid Mix In Nutrition'!A:A,'Solid Mix In Nutrition'!I:I,1)))  * _xlfn.XLOOKUP($H28,'Solid Mix In Nutrition'!A:A,'Solid Mix In Nutrition'!E:E,0))+(($W28 / MAX(1, _xlfn.XLOOKUP($I28,'Solid Mix In Nutrition'!A:A,'Solid Mix In Nutrition'!I:I,1)))  * _xlfn.XLOOKUP($I28,'Solid Mix In Nutrition'!A:A,'Solid Mix In Nutrition'!G:G,0))+(($X28 / 100)  * _xlfn.XLOOKUP($J28,'Sweetener Mix In Nutrition'!A:A,'Sweetener Mix In Nutrition'!E:E,0))+(($Y28 / 100)  * _xlfn.XLOOKUP($K28,'Sweetener Mix In Nutrition'!A:A,'Sweetener Mix In Nutrition'!E:E,0))</f>
        <v>150.97955000000002</v>
      </c>
      <c r="AD28" s="36">
        <f>(($R28 / 240) * _xlfn.XLOOKUP($D28,'Milk Types Nutrition Per Cup'!A:A,'Milk Types Nutrition Per Cup'!E:E,0)) +(($S28 / 240)  * _xlfn.XLOOKUP($E28,'Milk Types Nutrition Per Cup'!A:A,'Milk Types Nutrition Per Cup'!E:E,0)) +(($T28 / 15)  * _xlfn.XLOOKUP($F28,'Liquid Mix In Nutrition'!A:A,'Liquid Mix In Nutrition'!E:E,0)) +(($U28 / 15)  * _xlfn.XLOOKUP($G28,'Liquid Mix In Nutrition'!A:A,'Liquid Mix In Nutrition'!E:E,0))+(($X28 / 100)  * _xlfn.XLOOKUP($J28,'Sweetener Mix In Nutrition'!A:A,'Sweetener Mix In Nutrition'!E:E,0))+(($Y28 / 100)  * _xlfn.XLOOKUP($K28,'Sweetener Mix In Nutrition'!A:A,'Sweetener Mix In Nutrition'!E:E,0))</f>
        <v>34.434550000000002</v>
      </c>
      <c r="AE28" s="37">
        <f>(($R28 / 240) * _xlfn.XLOOKUP($D28,'Milk Types Nutrition Per Cup'!A:A,'Milk Types Nutrition Per Cup'!C:C,0)) +(($S28 / 240)  * _xlfn.XLOOKUP($E28,'Milk Types Nutrition Per Cup'!A:A,'Milk Types Nutrition Per Cup'!C:C,0)) +(($T28 / 15)  * _xlfn.XLOOKUP($F28,'Liquid Mix In Nutrition'!A:A,'Liquid Mix In Nutrition'!C:C,0))+(($U28 / 15)  * _xlfn.XLOOKUP($G28,'Liquid Mix In Nutrition'!A:A,'Liquid Mix In Nutrition'!C:C,0))+(($V28 / MAX(1, _xlfn.XLOOKUP($H28,'Solid Mix In Nutrition'!A:A,'Solid Mix In Nutrition'!I:I,1)))  * _xlfn.XLOOKUP($H28,'Solid Mix In Nutrition'!A:A,'Solid Mix In Nutrition'!C:C,0))+(($W28 / MAX(1, _xlfn.XLOOKUP($I28,'Solid Mix In Nutrition'!A:A,'Solid Mix In Nutrition'!I:I,1)))  * _xlfn.XLOOKUP($I28,'Solid Mix In Nutrition'!A:A,'Solid Mix In Nutrition'!C:C,0))+(($X28 / 100)  * _xlfn.XLOOKUP($J28,'Sweetener Mix In Nutrition'!A:A,'Sweetener Mix In Nutrition'!C:C,0))+(($Y28 / 100)  * _xlfn.XLOOKUP($K28,'Sweetener Mix In Nutrition'!A:A,'Sweetener Mix In Nutrition'!C:C,0))</f>
        <v>451.9501249999999</v>
      </c>
      <c r="AF28" s="38">
        <f>$AE28 / (_xlfn.XLOOKUP($L28,Specs!A:A,Specs!B:B,0))</f>
        <v>0.25206365030674843</v>
      </c>
      <c r="AG28" s="37">
        <f>60* ($AB28 / _xlfn.XLOOKUP($L28,Specs!A:A,Specs!B:B,0))</f>
        <v>156.50140546569992</v>
      </c>
      <c r="AH28" s="37">
        <f>60* (AC28 / _xlfn.XLOOKUP($L28,Specs!$A:$A,Specs!$B:$B,0))</f>
        <v>5.0522994980479652</v>
      </c>
      <c r="AI28" s="37">
        <f>60* (AE28 / _xlfn.XLOOKUP($L28,Specs!$A:$A,Specs!$B:$B,0))</f>
        <v>15.123819018404905</v>
      </c>
      <c r="AJ28" s="39">
        <v>7.4489487971157002</v>
      </c>
      <c r="AK28" s="46" t="s">
        <v>703</v>
      </c>
      <c r="AL28" s="47" t="s">
        <v>646</v>
      </c>
      <c r="AM28" s="40">
        <v>0</v>
      </c>
      <c r="AN28" s="48">
        <v>18</v>
      </c>
      <c r="AO28" s="40">
        <v>18</v>
      </c>
      <c r="AP28" s="30" t="s">
        <v>210</v>
      </c>
      <c r="AQ28" t="str">
        <f>_xlfn.XLOOKUP("What's Your Number?",[1]Sheet1!$1:$1,[1]Sheet1!28:28)</f>
        <v>9542491226</v>
      </c>
    </row>
    <row r="29" spans="1:43" x14ac:dyDescent="0.25">
      <c r="A29" s="42" t="s">
        <v>704</v>
      </c>
      <c r="B29" s="76" t="s">
        <v>705</v>
      </c>
      <c r="C29" s="31" t="s">
        <v>148</v>
      </c>
      <c r="D29" s="31" t="s">
        <v>62</v>
      </c>
      <c r="E29" s="31" t="s">
        <v>65</v>
      </c>
      <c r="F29" s="31" t="s">
        <v>0</v>
      </c>
      <c r="G29" s="31" t="s">
        <v>96</v>
      </c>
      <c r="H29" s="31">
        <v>0</v>
      </c>
      <c r="I29" s="31">
        <v>0</v>
      </c>
      <c r="J29" s="31" t="s">
        <v>1</v>
      </c>
      <c r="K29" s="31">
        <v>0</v>
      </c>
      <c r="L29" s="77" t="s">
        <v>4</v>
      </c>
      <c r="M29" s="45" t="s">
        <v>46</v>
      </c>
      <c r="N29" s="45" t="s">
        <v>49</v>
      </c>
      <c r="O29" s="45">
        <v>0</v>
      </c>
      <c r="P29" s="45" t="s">
        <v>173</v>
      </c>
      <c r="Q29" s="45">
        <v>0</v>
      </c>
      <c r="R29" s="30">
        <f>(_xlfn.XLOOKUP($L29,Specs!A:A,Specs!B:B,0)-(IF(ISNUMBER(SEARCH("Dulce De Leche", $G29)), 0, $T29))-(IF(ISNUMBER(SEARCH("Dulce De Leche", $F29)), 0, $U29))-(($V29/MAX(1,_xlfn.XLOOKUP($H29,'Solid Mix In Nutrition'!A:A,'Solid Mix In Nutrition'!I:I,1)))*240)-(($W29/MAX(1,_xlfn.XLOOKUP($I29,'Solid Mix In Nutrition'!A:A,'Solid Mix In Nutrition'!I:I,1)))*240))*0.66</f>
        <v>302.28000000000003</v>
      </c>
      <c r="S29" s="30">
        <f>(_xlfn.XLOOKUP($L29,Specs!A:A,Specs!B:B,0)-(IF(ISNUMBER(SEARCH("Dulce De Leche", $G29)), 0, $T29))-(IF(ISNUMBER(SEARCH("Dulce De Leche", $F29)), 0, $U29))-(($V29/MAX(1,_xlfn.XLOOKUP($H29,'Solid Mix In Nutrition'!A:A,'Solid Mix In Nutrition'!I:I,1)))*240)-(($W29/MAX(1,_xlfn.XLOOKUP($I29,'Solid Mix In Nutrition'!A:A,'Solid Mix In Nutrition'!I:I,1)))*240))*0.33</f>
        <v>151.14000000000001</v>
      </c>
      <c r="T29" s="30">
        <f>_xlfn.XLOOKUP($M29,Specs!$D:$D,Specs!$E:$E,0)*15*_xlfn.XLOOKUP($L29,Specs!$A:$A,Specs!$C:$C,0)</f>
        <v>15</v>
      </c>
      <c r="U29" s="30">
        <f>_xlfn.XLOOKUP($N29,Specs!$D:$D,Specs!$E:$E,0)*15*_xlfn.XLOOKUP($L29,Specs!$A:$A,Specs!$C:$C,0)</f>
        <v>0</v>
      </c>
      <c r="V29" s="30">
        <f>( ((_xlfn.XLOOKUP($O29,Specs!$H:$H,Specs!$I:$I,0)*_xlfn.XLOOKUP($L29,Specs!$A:$A,Specs!$B:$B,0))/240) *_xlfn.XLOOKUP($H29,'Solid Mix In Nutrition'!A:A,'Solid Mix In Nutrition'!I:I,0)) *IF(AND(NOT($I29=0), COUNTA($I29)),0.5,1)</f>
        <v>0</v>
      </c>
      <c r="W29" s="30">
        <f>( ((_xlfn.XLOOKUP($O29,Specs!$H:$H,Specs!$I:$I,0)*_xlfn.XLOOKUP($L29,Specs!$A:$A,Specs!$B:$B,0))/240) *_xlfn.XLOOKUP($I29,'Solid Mix In Nutrition'!A:A,'Solid Mix In Nutrition'!I:I,0)) *IF(AND(NOT($I29=0), COUNTA($I29)),0.5,0)</f>
        <v>0</v>
      </c>
      <c r="X29" s="30">
        <f>_xlfn.XLOOKUP($P29,Specs!F:F,Specs!G:G,0)*_xlfn.XLOOKUP($J29,'Sweetener Mix In Nutrition'!A:A,'Sweetener Mix In Nutrition'!I:I,0)*_xlfn.XLOOKUP($L29,Specs!A:A,Specs!C:C,0)</f>
        <v>50</v>
      </c>
      <c r="Y29" s="30">
        <f>_xlfn.XLOOKUP($Q29,Specs!F:F,Specs!G:G,0)*_xlfn.XLOOKUP($K29,'Sweetener Mix In Nutrition'!A:A,'Sweetener Mix In Nutrition'!I:I,0)*_xlfn.XLOOKUP($L29,Specs!A:A,Specs!C:C,0)</f>
        <v>0</v>
      </c>
      <c r="Z29" s="34">
        <f t="shared" si="0"/>
        <v>0.62210399999999999</v>
      </c>
      <c r="AA29" s="35">
        <f t="shared" si="1"/>
        <v>0.25</v>
      </c>
      <c r="AB29" s="36">
        <f>(($R29 / 240) * _xlfn.XLOOKUP($D29,'Milk Types Nutrition Per Cup'!A:A,'Milk Types Nutrition Per Cup'!B:B,0)) +(($S29 / 240)  * _xlfn.XLOOKUP($E29,'Milk Types Nutrition Per Cup'!A:A,'Milk Types Nutrition Per Cup'!B:B,0)) +(($T29 / 15)  * _xlfn.XLOOKUP($F29,'Liquid Mix In Nutrition'!A:A,'Liquid Mix In Nutrition'!B:B,0))+(($U29 / 15)  * _xlfn.XLOOKUP($G29,'Liquid Mix In Nutrition'!A:A,'Liquid Mix In Nutrition'!B:B,0))+(($V29 /MAX(1, _xlfn.XLOOKUP($H29,'Solid Mix In Nutrition'!A:A,'Solid Mix In Nutrition'!I:I,1)))  * _xlfn.XLOOKUP($H29,'Solid Mix In Nutrition'!A:A,'Solid Mix In Nutrition'!B:B,0))+(($W29 / MAX(1, _xlfn.XLOOKUP($I29,'Solid Mix In Nutrition'!A:A,'Solid Mix In Nutrition'!I:I,1))))+(($X29 / 100)  * _xlfn.XLOOKUP($J29,'Sweetener Mix In Nutrition'!A:A,'Sweetener Mix In Nutrition'!B:B,0))+(($Y29 / 100)  * _xlfn.XLOOKUP($K29,'Sweetener Mix In Nutrition'!A:A,'Sweetener Mix In Nutrition'!B:B,0))</f>
        <v>1447.6200000000001</v>
      </c>
      <c r="AC29" s="36">
        <f>(($R29 / 240) * _xlfn.XLOOKUP($D29,'Milk Types Nutrition Per Cup'!A:A,'Milk Types Nutrition Per Cup'!E:E,0)) +(($S29 / 240)  * _xlfn.XLOOKUP($E29,'Milk Types Nutrition Per Cup'!A:A,'Milk Types Nutrition Per Cup'!E:E,0)) +(($T29 / 15)  * _xlfn.XLOOKUP($F29,'Liquid Mix In Nutrition'!A:A,'Liquid Mix In Nutrition'!E:E,0)) +(($U29 / 15)  * _xlfn.XLOOKUP($G29,'Liquid Mix In Nutrition'!A:A,'Liquid Mix In Nutrition'!E:E,0))+(($V29 / MAX(1, _xlfn.XLOOKUP($H29,'Solid Mix In Nutrition'!A:A,'Solid Mix In Nutrition'!I:I,1)))  * _xlfn.XLOOKUP($H29,'Solid Mix In Nutrition'!A:A,'Solid Mix In Nutrition'!E:E,0))+(($W29 / MAX(1, _xlfn.XLOOKUP($I29,'Solid Mix In Nutrition'!A:A,'Solid Mix In Nutrition'!I:I,1)))  * _xlfn.XLOOKUP($I29,'Solid Mix In Nutrition'!A:A,'Solid Mix In Nutrition'!G:G,0))+(($X29 / 100)  * _xlfn.XLOOKUP($J29,'Sweetener Mix In Nutrition'!A:A,'Sweetener Mix In Nutrition'!E:E,0))+(($Y29 / 100)  * _xlfn.XLOOKUP($K29,'Sweetener Mix In Nutrition'!A:A,'Sweetener Mix In Nutrition'!E:E,0))</f>
        <v>64.037999999999997</v>
      </c>
      <c r="AD29" s="36">
        <f>(($R29 / 240) * _xlfn.XLOOKUP($D29,'Milk Types Nutrition Per Cup'!A:A,'Milk Types Nutrition Per Cup'!E:E,0)) +(($S29 / 240)  * _xlfn.XLOOKUP($E29,'Milk Types Nutrition Per Cup'!A:A,'Milk Types Nutrition Per Cup'!E:E,0)) +(($T29 / 15)  * _xlfn.XLOOKUP($F29,'Liquid Mix In Nutrition'!A:A,'Liquid Mix In Nutrition'!E:E,0)) +(($U29 / 15)  * _xlfn.XLOOKUP($G29,'Liquid Mix In Nutrition'!A:A,'Liquid Mix In Nutrition'!E:E,0))+(($X29 / 100)  * _xlfn.XLOOKUP($J29,'Sweetener Mix In Nutrition'!A:A,'Sweetener Mix In Nutrition'!E:E,0))+(($Y29 / 100)  * _xlfn.XLOOKUP($K29,'Sweetener Mix In Nutrition'!A:A,'Sweetener Mix In Nutrition'!E:E,0))</f>
        <v>64.037999999999997</v>
      </c>
      <c r="AE29" s="37">
        <f>(($R29 / 240) * _xlfn.XLOOKUP($D29,'Milk Types Nutrition Per Cup'!A:A,'Milk Types Nutrition Per Cup'!C:C,0)) +(($S29 / 240)  * _xlfn.XLOOKUP($E29,'Milk Types Nutrition Per Cup'!A:A,'Milk Types Nutrition Per Cup'!C:C,0)) +(($T29 / 15)  * _xlfn.XLOOKUP($F29,'Liquid Mix In Nutrition'!A:A,'Liquid Mix In Nutrition'!C:C,0))+(($U29 / 15)  * _xlfn.XLOOKUP($G29,'Liquid Mix In Nutrition'!A:A,'Liquid Mix In Nutrition'!C:C,0))+(($V29 / MAX(1, _xlfn.XLOOKUP($H29,'Solid Mix In Nutrition'!A:A,'Solid Mix In Nutrition'!I:I,1)))  * _xlfn.XLOOKUP($H29,'Solid Mix In Nutrition'!A:A,'Solid Mix In Nutrition'!C:C,0))+(($W29 / MAX(1, _xlfn.XLOOKUP($I29,'Solid Mix In Nutrition'!A:A,'Solid Mix In Nutrition'!I:I,1)))  * _xlfn.XLOOKUP($I29,'Solid Mix In Nutrition'!A:A,'Solid Mix In Nutrition'!C:C,0))+(($X29 / 100)  * _xlfn.XLOOKUP($J29,'Sweetener Mix In Nutrition'!A:A,'Sweetener Mix In Nutrition'!C:C,0))+(($Y29 / 100)  * _xlfn.XLOOKUP($K29,'Sweetener Mix In Nutrition'!A:A,'Sweetener Mix In Nutrition'!C:C,0))</f>
        <v>138.54500000000002</v>
      </c>
      <c r="AF29" s="38">
        <f>$AE29 / (_xlfn.XLOOKUP($L29,Specs!A:A,Specs!B:B,0))</f>
        <v>0.29290697674418609</v>
      </c>
      <c r="AG29" s="37">
        <f>60* ($AB29 / _xlfn.XLOOKUP($L29,Specs!A:A,Specs!B:B,0))</f>
        <v>183.63044397463003</v>
      </c>
      <c r="AH29" s="37">
        <f>60* (AC29 / _xlfn.XLOOKUP($L29,Specs!$A:$A,Specs!$B:$B,0))</f>
        <v>8.1232135306553896</v>
      </c>
      <c r="AI29" s="37">
        <f>60* (AE29 / _xlfn.XLOOKUP($L29,Specs!$A:$A,Specs!$B:$B,0))</f>
        <v>17.574418604651164</v>
      </c>
      <c r="AJ29" s="39">
        <v>2.5710855128773988</v>
      </c>
      <c r="AK29" s="46" t="s">
        <v>706</v>
      </c>
      <c r="AL29" s="47" t="s">
        <v>646</v>
      </c>
      <c r="AM29" s="40">
        <v>4</v>
      </c>
      <c r="AN29" s="48">
        <v>11</v>
      </c>
      <c r="AO29" s="40">
        <v>7</v>
      </c>
      <c r="AP29" s="30" t="s">
        <v>210</v>
      </c>
      <c r="AQ29" t="str">
        <f>_xlfn.XLOOKUP("What's Your Number?",[1]Sheet1!$1:$1,[1]Sheet1!29:29)</f>
        <v xml:space="preserve">571-641-9459 </v>
      </c>
    </row>
    <row r="30" spans="1:43" x14ac:dyDescent="0.25">
      <c r="A30" s="42" t="s">
        <v>707</v>
      </c>
      <c r="B30" s="76" t="s">
        <v>619</v>
      </c>
      <c r="C30" s="31" t="s">
        <v>708</v>
      </c>
      <c r="D30" s="31" t="s">
        <v>62</v>
      </c>
      <c r="E30" s="31" t="s">
        <v>65</v>
      </c>
      <c r="F30" s="31" t="s">
        <v>522</v>
      </c>
      <c r="G30" s="31" t="s">
        <v>83</v>
      </c>
      <c r="H30" s="31" t="s">
        <v>266</v>
      </c>
      <c r="I30" s="31" t="s">
        <v>104</v>
      </c>
      <c r="J30" s="31" t="s">
        <v>1</v>
      </c>
      <c r="K30" s="31">
        <v>0</v>
      </c>
      <c r="L30" s="77" t="s">
        <v>4</v>
      </c>
      <c r="M30" s="45" t="s">
        <v>6</v>
      </c>
      <c r="N30" s="45" t="s">
        <v>10</v>
      </c>
      <c r="O30" s="45" t="s">
        <v>206</v>
      </c>
      <c r="P30" s="45" t="s">
        <v>173</v>
      </c>
      <c r="Q30" s="45">
        <v>0</v>
      </c>
      <c r="R30" s="30">
        <f>(_xlfn.XLOOKUP($L30,Specs!A:A,Specs!B:B,0)-(IF(ISNUMBER(SEARCH("Dulce De Leche", $G30)), 0, $T30))-(IF(ISNUMBER(SEARCH("Dulce De Leche", $F30)), 0, $U30))-(($V30/MAX(1,_xlfn.XLOOKUP($H30,'Solid Mix In Nutrition'!A:A,'Solid Mix In Nutrition'!I:I,1)))*240)-(($W30/MAX(1,_xlfn.XLOOKUP($I30,'Solid Mix In Nutrition'!A:A,'Solid Mix In Nutrition'!I:I,1)))*240))*0.66</f>
        <v>183.11700000000005</v>
      </c>
      <c r="S30" s="30">
        <f>(_xlfn.XLOOKUP($L30,Specs!A:A,Specs!B:B,0)-(IF(ISNUMBER(SEARCH("Dulce De Leche", $G30)), 0, $T30))-(IF(ISNUMBER(SEARCH("Dulce De Leche", $F30)), 0, $U30))-(($V30/MAX(1,_xlfn.XLOOKUP($H30,'Solid Mix In Nutrition'!A:A,'Solid Mix In Nutrition'!I:I,1)))*240)-(($W30/MAX(1,_xlfn.XLOOKUP($I30,'Solid Mix In Nutrition'!A:A,'Solid Mix In Nutrition'!I:I,1)))*240))*0.33</f>
        <v>91.558500000000024</v>
      </c>
      <c r="T30" s="30">
        <f>_xlfn.XLOOKUP($M30,Specs!$D:$D,Specs!$E:$E,0)*15*_xlfn.XLOOKUP($L30,Specs!$A:$A,Specs!$C:$C,0)</f>
        <v>0</v>
      </c>
      <c r="U30" s="30">
        <f>_xlfn.XLOOKUP($N30,Specs!$D:$D,Specs!$E:$E,0)*15*_xlfn.XLOOKUP($L30,Specs!$A:$A,Specs!$C:$C,0)</f>
        <v>30</v>
      </c>
      <c r="V30" s="30">
        <f>( ((_xlfn.XLOOKUP($O30,Specs!$H:$H,Specs!$I:$I,0)*_xlfn.XLOOKUP($L30,Specs!$A:$A,Specs!$B:$B,0))/240) *_xlfn.XLOOKUP($H30,'Solid Mix In Nutrition'!A:A,'Solid Mix In Nutrition'!I:I,0)) *IF(AND(NOT($I30=0), COUNTA($I30)),0.5,1)</f>
        <v>110.36666666666665</v>
      </c>
      <c r="W30" s="30">
        <f>( ((_xlfn.XLOOKUP($O30,Specs!$H:$H,Specs!$I:$I,0)*_xlfn.XLOOKUP($L30,Specs!$A:$A,Specs!$B:$B,0))/240) *_xlfn.XLOOKUP($I30,'Solid Mix In Nutrition'!A:A,'Solid Mix In Nutrition'!I:I,0)) *IF(AND(NOT($I30=0), COUNTA($I30)),0.5,0)</f>
        <v>82.774999999999991</v>
      </c>
      <c r="X30" s="30">
        <f>_xlfn.XLOOKUP($P30,Specs!F:F,Specs!G:G,0)*_xlfn.XLOOKUP($J30,'Sweetener Mix In Nutrition'!A:A,'Sweetener Mix In Nutrition'!I:I,0)*_xlfn.XLOOKUP($L30,Specs!A:A,Specs!C:C,0)</f>
        <v>50</v>
      </c>
      <c r="Y30" s="30">
        <f>_xlfn.XLOOKUP($Q30,Specs!F:F,Specs!G:G,0)*_xlfn.XLOOKUP($K30,'Sweetener Mix In Nutrition'!A:A,'Sweetener Mix In Nutrition'!I:I,0)*_xlfn.XLOOKUP($L30,Specs!A:A,Specs!C:C,0)</f>
        <v>0</v>
      </c>
      <c r="Z30" s="34">
        <f t="shared" si="0"/>
        <v>0.38961060000000003</v>
      </c>
      <c r="AA30" s="35">
        <f t="shared" si="1"/>
        <v>0.25</v>
      </c>
      <c r="AB30" s="36">
        <f>(($R30 / 240) * _xlfn.XLOOKUP($D30,'Milk Types Nutrition Per Cup'!A:A,'Milk Types Nutrition Per Cup'!B:B,0)) +(($S30 / 240)  * _xlfn.XLOOKUP($E30,'Milk Types Nutrition Per Cup'!A:A,'Milk Types Nutrition Per Cup'!B:B,0)) +(($T30 / 15)  * _xlfn.XLOOKUP($F30,'Liquid Mix In Nutrition'!A:A,'Liquid Mix In Nutrition'!B:B,0))+(($U30 / 15)  * _xlfn.XLOOKUP($G30,'Liquid Mix In Nutrition'!A:A,'Liquid Mix In Nutrition'!B:B,0))+(($V30 /MAX(1, _xlfn.XLOOKUP($H30,'Solid Mix In Nutrition'!A:A,'Solid Mix In Nutrition'!I:I,1)))  * _xlfn.XLOOKUP($H30,'Solid Mix In Nutrition'!A:A,'Solid Mix In Nutrition'!B:B,0))+(($W30 / MAX(1, _xlfn.XLOOKUP($I30,'Solid Mix In Nutrition'!A:A,'Solid Mix In Nutrition'!I:I,1))))+(($X30 / 100)  * _xlfn.XLOOKUP($J30,'Sweetener Mix In Nutrition'!A:A,'Sweetener Mix In Nutrition'!B:B,0))+(($Y30 / 100)  * _xlfn.XLOOKUP($K30,'Sweetener Mix In Nutrition'!A:A,'Sweetener Mix In Nutrition'!B:B,0))</f>
        <v>1495.9539467364532</v>
      </c>
      <c r="AC30" s="36">
        <f>(($R30 / 240) * _xlfn.XLOOKUP($D30,'Milk Types Nutrition Per Cup'!A:A,'Milk Types Nutrition Per Cup'!E:E,0)) +(($S30 / 240)  * _xlfn.XLOOKUP($E30,'Milk Types Nutrition Per Cup'!A:A,'Milk Types Nutrition Per Cup'!E:E,0)) +(($T30 / 15)  * _xlfn.XLOOKUP($F30,'Liquid Mix In Nutrition'!A:A,'Liquid Mix In Nutrition'!E:E,0)) +(($U30 / 15)  * _xlfn.XLOOKUP($G30,'Liquid Mix In Nutrition'!A:A,'Liquid Mix In Nutrition'!E:E,0))+(($V30 / MAX(1, _xlfn.XLOOKUP($H30,'Solid Mix In Nutrition'!A:A,'Solid Mix In Nutrition'!I:I,1)))  * _xlfn.XLOOKUP($H30,'Solid Mix In Nutrition'!A:A,'Solid Mix In Nutrition'!E:E,0))+(($W30 / MAX(1, _xlfn.XLOOKUP($I30,'Solid Mix In Nutrition'!A:A,'Solid Mix In Nutrition'!I:I,1)))  * _xlfn.XLOOKUP($I30,'Solid Mix In Nutrition'!A:A,'Solid Mix In Nutrition'!G:G,0))+(($X30 / 100)  * _xlfn.XLOOKUP($J30,'Sweetener Mix In Nutrition'!A:A,'Sweetener Mix In Nutrition'!E:E,0))+(($Y30 / 100)  * _xlfn.XLOOKUP($K30,'Sweetener Mix In Nutrition'!A:A,'Sweetener Mix In Nutrition'!E:E,0))</f>
        <v>97.726500005952374</v>
      </c>
      <c r="AD30" s="36">
        <f>(($R30 / 240) * _xlfn.XLOOKUP($D30,'Milk Types Nutrition Per Cup'!A:A,'Milk Types Nutrition Per Cup'!E:E,0)) +(($S30 / 240)  * _xlfn.XLOOKUP($E30,'Milk Types Nutrition Per Cup'!A:A,'Milk Types Nutrition Per Cup'!E:E,0)) +(($T30 / 15)  * _xlfn.XLOOKUP($F30,'Liquid Mix In Nutrition'!A:A,'Liquid Mix In Nutrition'!E:E,0)) +(($U30 / 15)  * _xlfn.XLOOKUP($G30,'Liquid Mix In Nutrition'!A:A,'Liquid Mix In Nutrition'!E:E,0))+(($X30 / 100)  * _xlfn.XLOOKUP($J30,'Sweetener Mix In Nutrition'!A:A,'Sweetener Mix In Nutrition'!E:E,0))+(($Y30 / 100)  * _xlfn.XLOOKUP($K30,'Sweetener Mix In Nutrition'!A:A,'Sweetener Mix In Nutrition'!E:E,0))</f>
        <v>65.051950000000005</v>
      </c>
      <c r="AE30" s="37">
        <f>(($R30 / 240) * _xlfn.XLOOKUP($D30,'Milk Types Nutrition Per Cup'!A:A,'Milk Types Nutrition Per Cup'!C:C,0)) +(($S30 / 240)  * _xlfn.XLOOKUP($E30,'Milk Types Nutrition Per Cup'!A:A,'Milk Types Nutrition Per Cup'!C:C,0)) +(($T30 / 15)  * _xlfn.XLOOKUP($F30,'Liquid Mix In Nutrition'!A:A,'Liquid Mix In Nutrition'!C:C,0))+(($U30 / 15)  * _xlfn.XLOOKUP($G30,'Liquid Mix In Nutrition'!A:A,'Liquid Mix In Nutrition'!C:C,0))+(($V30 / MAX(1, _xlfn.XLOOKUP($H30,'Solid Mix In Nutrition'!A:A,'Solid Mix In Nutrition'!I:I,1)))  * _xlfn.XLOOKUP($H30,'Solid Mix In Nutrition'!A:A,'Solid Mix In Nutrition'!C:C,0))+(($W30 / MAX(1, _xlfn.XLOOKUP($I30,'Solid Mix In Nutrition'!A:A,'Solid Mix In Nutrition'!I:I,1)))  * _xlfn.XLOOKUP($I30,'Solid Mix In Nutrition'!A:A,'Solid Mix In Nutrition'!C:C,0))+(($X30 / 100)  * _xlfn.XLOOKUP($J30,'Sweetener Mix In Nutrition'!A:A,'Sweetener Mix In Nutrition'!C:C,0))+(($Y30 / 100)  * _xlfn.XLOOKUP($K30,'Sweetener Mix In Nutrition'!A:A,'Sweetener Mix In Nutrition'!C:C,0))</f>
        <v>123.908611863711</v>
      </c>
      <c r="AF30" s="38">
        <f>$AE30 / (_xlfn.XLOOKUP($L30,Specs!A:A,Specs!B:B,0))</f>
        <v>0.26196323861249682</v>
      </c>
      <c r="AG30" s="37">
        <f>60* ($AB30 / _xlfn.XLOOKUP($L30,Specs!A:A,Specs!B:B,0))</f>
        <v>189.76160000885241</v>
      </c>
      <c r="AH30" s="37">
        <f>60* (AC30 / _xlfn.XLOOKUP($L30,Specs!$A:$A,Specs!$B:$B,0))</f>
        <v>12.39659619525823</v>
      </c>
      <c r="AI30" s="37">
        <f>60* (AE30 / _xlfn.XLOOKUP($L30,Specs!$A:$A,Specs!$B:$B,0))</f>
        <v>15.71779431674981</v>
      </c>
      <c r="AJ30" s="39">
        <v>2.4369733716451707</v>
      </c>
      <c r="AK30" s="46" t="s">
        <v>709</v>
      </c>
      <c r="AL30" s="47">
        <v>48.5</v>
      </c>
      <c r="AM30" s="40">
        <v>12</v>
      </c>
      <c r="AN30" s="48">
        <v>19</v>
      </c>
      <c r="AO30" s="40">
        <v>7</v>
      </c>
      <c r="AP30" s="30" t="s">
        <v>210</v>
      </c>
      <c r="AQ30" t="str">
        <f>_xlfn.XLOOKUP("What's Your Number?",[1]Sheet1!$1:$1,[1]Sheet1!30:30)</f>
        <v>5612914048</v>
      </c>
    </row>
    <row r="31" spans="1:43" x14ac:dyDescent="0.25">
      <c r="A31" s="42" t="s">
        <v>710</v>
      </c>
      <c r="B31" s="76" t="s">
        <v>619</v>
      </c>
      <c r="C31" s="31" t="s">
        <v>711</v>
      </c>
      <c r="D31" s="31" t="s">
        <v>62</v>
      </c>
      <c r="E31" s="31" t="s">
        <v>65</v>
      </c>
      <c r="F31" s="31" t="s">
        <v>83</v>
      </c>
      <c r="G31" s="31" t="s">
        <v>0</v>
      </c>
      <c r="H31" s="31" t="s">
        <v>712</v>
      </c>
      <c r="I31" s="31">
        <v>0</v>
      </c>
      <c r="J31" s="31" t="s">
        <v>1</v>
      </c>
      <c r="K31" s="31">
        <v>0</v>
      </c>
      <c r="L31" s="77" t="s">
        <v>4</v>
      </c>
      <c r="M31" s="45" t="s">
        <v>10</v>
      </c>
      <c r="N31" s="45" t="s">
        <v>157</v>
      </c>
      <c r="O31" s="45" t="s">
        <v>156</v>
      </c>
      <c r="P31" s="45" t="s">
        <v>173</v>
      </c>
      <c r="Q31" s="45">
        <v>0</v>
      </c>
      <c r="R31" s="30">
        <f>(_xlfn.XLOOKUP($L31,Specs!A:A,Specs!B:B,0)-(IF(ISNUMBER(SEARCH("Dulce De Leche", $G31)), 0, $T31))-(IF(ISNUMBER(SEARCH("Dulce De Leche", $F31)), 0, $U31))-(($V31/MAX(1,_xlfn.XLOOKUP($H31,'Solid Mix In Nutrition'!A:A,'Solid Mix In Nutrition'!I:I,1)))*240)-(($W31/MAX(1,_xlfn.XLOOKUP($I31,'Solid Mix In Nutrition'!A:A,'Solid Mix In Nutrition'!I:I,1)))*240))*0.66</f>
        <v>292.38</v>
      </c>
      <c r="S31" s="30">
        <f>(_xlfn.XLOOKUP($L31,Specs!A:A,Specs!B:B,0)-(IF(ISNUMBER(SEARCH("Dulce De Leche", $G31)), 0, $T31))-(IF(ISNUMBER(SEARCH("Dulce De Leche", $F31)), 0, $U31))-(($V31/MAX(1,_xlfn.XLOOKUP($H31,'Solid Mix In Nutrition'!A:A,'Solid Mix In Nutrition'!I:I,1)))*240)-(($W31/MAX(1,_xlfn.XLOOKUP($I31,'Solid Mix In Nutrition'!A:A,'Solid Mix In Nutrition'!I:I,1)))*240))*0.33</f>
        <v>146.19</v>
      </c>
      <c r="T31" s="30">
        <f>_xlfn.XLOOKUP($M31,Specs!$D:$D,Specs!$E:$E,0)*15*_xlfn.XLOOKUP($L31,Specs!$A:$A,Specs!$C:$C,0)</f>
        <v>30</v>
      </c>
      <c r="U31" s="30">
        <f>_xlfn.XLOOKUP($N31,Specs!$D:$D,Specs!$E:$E,0)*15*_xlfn.XLOOKUP($L31,Specs!$A:$A,Specs!$C:$C,0)</f>
        <v>7.5</v>
      </c>
      <c r="V31" s="30">
        <f>( ((_xlfn.XLOOKUP($O31,Specs!$H:$H,Specs!$I:$I,0)*_xlfn.XLOOKUP($L31,Specs!$A:$A,Specs!$B:$B,0))/240) *_xlfn.XLOOKUP($H31,'Solid Mix In Nutrition'!A:A,'Solid Mix In Nutrition'!I:I,0)) *IF(AND(NOT($I31=0), COUNTA($I31)),0.5,1)</f>
        <v>0</v>
      </c>
      <c r="W31" s="30">
        <f>( ((_xlfn.XLOOKUP($O31,Specs!$H:$H,Specs!$I:$I,0)*_xlfn.XLOOKUP($L31,Specs!$A:$A,Specs!$B:$B,0))/240) *_xlfn.XLOOKUP($I31,'Solid Mix In Nutrition'!A:A,'Solid Mix In Nutrition'!I:I,0)) *IF(AND(NOT($I31=0), COUNTA($I31)),0.5,0)</f>
        <v>0</v>
      </c>
      <c r="X31" s="30">
        <f>_xlfn.XLOOKUP($P31,Specs!F:F,Specs!G:G,0)*_xlfn.XLOOKUP($J31,'Sweetener Mix In Nutrition'!A:A,'Sweetener Mix In Nutrition'!I:I,0)*_xlfn.XLOOKUP($L31,Specs!A:A,Specs!C:C,0)</f>
        <v>50</v>
      </c>
      <c r="Y31" s="30">
        <f>_xlfn.XLOOKUP($Q31,Specs!F:F,Specs!G:G,0)*_xlfn.XLOOKUP($K31,'Sweetener Mix In Nutrition'!A:A,'Sweetener Mix In Nutrition'!I:I,0)*_xlfn.XLOOKUP($L31,Specs!A:A,Specs!C:C,0)</f>
        <v>0</v>
      </c>
      <c r="Z31" s="34">
        <f t="shared" si="0"/>
        <v>0.62228399999999984</v>
      </c>
      <c r="AA31" s="35">
        <f t="shared" si="1"/>
        <v>0.25</v>
      </c>
      <c r="AB31" s="36">
        <f>(($R31 / 240) * _xlfn.XLOOKUP($D31,'Milk Types Nutrition Per Cup'!A:A,'Milk Types Nutrition Per Cup'!B:B,0)) +(($S31 / 240)  * _xlfn.XLOOKUP($E31,'Milk Types Nutrition Per Cup'!A:A,'Milk Types Nutrition Per Cup'!B:B,0)) +(($T31 / 15)  * _xlfn.XLOOKUP($F31,'Liquid Mix In Nutrition'!A:A,'Liquid Mix In Nutrition'!B:B,0))+(($U31 / 15)  * _xlfn.XLOOKUP($G31,'Liquid Mix In Nutrition'!A:A,'Liquid Mix In Nutrition'!B:B,0))+(($V31 /MAX(1, _xlfn.XLOOKUP($H31,'Solid Mix In Nutrition'!A:A,'Solid Mix In Nutrition'!I:I,1)))  * _xlfn.XLOOKUP($H31,'Solid Mix In Nutrition'!A:A,'Solid Mix In Nutrition'!B:B,0))+(($W31 / MAX(1, _xlfn.XLOOKUP($I31,'Solid Mix In Nutrition'!A:A,'Solid Mix In Nutrition'!I:I,1))))+(($X31 / 100)  * _xlfn.XLOOKUP($J31,'Sweetener Mix In Nutrition'!A:A,'Sweetener Mix In Nutrition'!B:B,0))+(($Y31 / 100)  * _xlfn.XLOOKUP($K31,'Sweetener Mix In Nutrition'!A:A,'Sweetener Mix In Nutrition'!B:B,0))</f>
        <v>1495.52</v>
      </c>
      <c r="AC31" s="36">
        <f>(($R31 / 240) * _xlfn.XLOOKUP($D31,'Milk Types Nutrition Per Cup'!A:A,'Milk Types Nutrition Per Cup'!E:E,0)) +(($S31 / 240)  * _xlfn.XLOOKUP($E31,'Milk Types Nutrition Per Cup'!A:A,'Milk Types Nutrition Per Cup'!E:E,0)) +(($T31 / 15)  * _xlfn.XLOOKUP($F31,'Liquid Mix In Nutrition'!A:A,'Liquid Mix In Nutrition'!E:E,0)) +(($U31 / 15)  * _xlfn.XLOOKUP($G31,'Liquid Mix In Nutrition'!A:A,'Liquid Mix In Nutrition'!E:E,0))+(($V31 / MAX(1, _xlfn.XLOOKUP($H31,'Solid Mix In Nutrition'!A:A,'Solid Mix In Nutrition'!I:I,1)))  * _xlfn.XLOOKUP($H31,'Solid Mix In Nutrition'!A:A,'Solid Mix In Nutrition'!E:E,0))+(($W31 / MAX(1, _xlfn.XLOOKUP($I31,'Solid Mix In Nutrition'!A:A,'Solid Mix In Nutrition'!I:I,1)))  * _xlfn.XLOOKUP($I31,'Solid Mix In Nutrition'!A:A,'Solid Mix In Nutrition'!G:G,0))+(($X31 / 100)  * _xlfn.XLOOKUP($J31,'Sweetener Mix In Nutrition'!A:A,'Sweetener Mix In Nutrition'!E:E,0))+(($Y31 / 100)  * _xlfn.XLOOKUP($K31,'Sweetener Mix In Nutrition'!A:A,'Sweetener Mix In Nutrition'!E:E,0))</f>
        <v>71.373000000000005</v>
      </c>
      <c r="AD31" s="36">
        <f>(($R31 / 240) * _xlfn.XLOOKUP($D31,'Milk Types Nutrition Per Cup'!A:A,'Milk Types Nutrition Per Cup'!E:E,0)) +(($S31 / 240)  * _xlfn.XLOOKUP($E31,'Milk Types Nutrition Per Cup'!A:A,'Milk Types Nutrition Per Cup'!E:E,0)) +(($T31 / 15)  * _xlfn.XLOOKUP($F31,'Liquid Mix In Nutrition'!A:A,'Liquid Mix In Nutrition'!E:E,0)) +(($U31 / 15)  * _xlfn.XLOOKUP($G31,'Liquid Mix In Nutrition'!A:A,'Liquid Mix In Nutrition'!E:E,0))+(($X31 / 100)  * _xlfn.XLOOKUP($J31,'Sweetener Mix In Nutrition'!A:A,'Sweetener Mix In Nutrition'!E:E,0))+(($Y31 / 100)  * _xlfn.XLOOKUP($K31,'Sweetener Mix In Nutrition'!A:A,'Sweetener Mix In Nutrition'!E:E,0))</f>
        <v>71.373000000000005</v>
      </c>
      <c r="AE31" s="37">
        <f>(($R31 / 240) * _xlfn.XLOOKUP($D31,'Milk Types Nutrition Per Cup'!A:A,'Milk Types Nutrition Per Cup'!C:C,0)) +(($S31 / 240)  * _xlfn.XLOOKUP($E31,'Milk Types Nutrition Per Cup'!A:A,'Milk Types Nutrition Per Cup'!C:C,0)) +(($T31 / 15)  * _xlfn.XLOOKUP($F31,'Liquid Mix In Nutrition'!A:A,'Liquid Mix In Nutrition'!C:C,0))+(($U31 / 15)  * _xlfn.XLOOKUP($G31,'Liquid Mix In Nutrition'!A:A,'Liquid Mix In Nutrition'!C:C,0))+(($V31 / MAX(1, _xlfn.XLOOKUP($H31,'Solid Mix In Nutrition'!A:A,'Solid Mix In Nutrition'!I:I,1)))  * _xlfn.XLOOKUP($H31,'Solid Mix In Nutrition'!A:A,'Solid Mix In Nutrition'!C:C,0))+(($W31 / MAX(1, _xlfn.XLOOKUP($I31,'Solid Mix In Nutrition'!A:A,'Solid Mix In Nutrition'!I:I,1)))  * _xlfn.XLOOKUP($I31,'Solid Mix In Nutrition'!A:A,'Solid Mix In Nutrition'!C:C,0))+(($X31 / 100)  * _xlfn.XLOOKUP($J31,'Sweetener Mix In Nutrition'!A:A,'Sweetener Mix In Nutrition'!C:C,0))+(($Y31 / 100)  * _xlfn.XLOOKUP($K31,'Sweetener Mix In Nutrition'!A:A,'Sweetener Mix In Nutrition'!C:C,0))</f>
        <v>135.50749999999999</v>
      </c>
      <c r="AF31" s="38">
        <f>$AE31 / (_xlfn.XLOOKUP($L31,Specs!A:A,Specs!B:B,0))</f>
        <v>0.28648520084566592</v>
      </c>
      <c r="AG31" s="37">
        <f>60* ($AB31 / _xlfn.XLOOKUP($L31,Specs!A:A,Specs!B:B,0))</f>
        <v>189.70655391120508</v>
      </c>
      <c r="AH31" s="37">
        <f>60* (AC31 / _xlfn.XLOOKUP($L31,Specs!$A:$A,Specs!$B:$B,0))</f>
        <v>9.0536575052854129</v>
      </c>
      <c r="AI31" s="37">
        <f>60* (AE31 / _xlfn.XLOOKUP($L31,Specs!$A:$A,Specs!$B:$B,0))</f>
        <v>17.189112050739954</v>
      </c>
      <c r="AJ31" s="39">
        <v>2.5165493982545581</v>
      </c>
      <c r="AK31" s="46" t="s">
        <v>713</v>
      </c>
      <c r="AL31" s="47" t="s">
        <v>646</v>
      </c>
      <c r="AM31" s="40">
        <v>0</v>
      </c>
      <c r="AN31" s="48">
        <v>7</v>
      </c>
      <c r="AO31" s="40">
        <v>7</v>
      </c>
      <c r="AP31" s="30" t="s">
        <v>210</v>
      </c>
      <c r="AQ31" t="str">
        <f>_xlfn.XLOOKUP("What's Your Number?",[1]Sheet1!$1:$1,[1]Sheet1!31:31)</f>
        <v>5612914048</v>
      </c>
    </row>
    <row r="32" spans="1:43" ht="30" x14ac:dyDescent="0.25">
      <c r="A32" s="42" t="s">
        <v>714</v>
      </c>
      <c r="B32" s="76" t="s">
        <v>715</v>
      </c>
      <c r="C32" s="31" t="s">
        <v>508</v>
      </c>
      <c r="D32" s="31" t="s">
        <v>71</v>
      </c>
      <c r="E32" s="31" t="s">
        <v>177</v>
      </c>
      <c r="F32" s="31">
        <v>0</v>
      </c>
      <c r="G32" s="31">
        <v>0</v>
      </c>
      <c r="H32" s="31">
        <v>0</v>
      </c>
      <c r="I32" s="31">
        <v>0</v>
      </c>
      <c r="J32" s="31">
        <v>0</v>
      </c>
      <c r="K32" s="31">
        <v>0</v>
      </c>
      <c r="L32" s="77" t="s">
        <v>4</v>
      </c>
      <c r="M32" s="45">
        <v>0</v>
      </c>
      <c r="N32" s="45">
        <v>0</v>
      </c>
      <c r="O32" s="45">
        <v>0</v>
      </c>
      <c r="P32" s="45">
        <v>0</v>
      </c>
      <c r="Q32" s="45">
        <v>0</v>
      </c>
      <c r="R32" s="30">
        <f>(_xlfn.XLOOKUP($L32,Specs!A:A,Specs!B:B,0)-(IF(ISNUMBER(SEARCH("Dulce De Leche", $G32)), 0, $T32))-(IF(ISNUMBER(SEARCH("Dulce De Leche", $F32)), 0, $U32))-(($V32/MAX(1,_xlfn.XLOOKUP($H32,'Solid Mix In Nutrition'!A:A,'Solid Mix In Nutrition'!I:I,1)))*240)-(($W32/MAX(1,_xlfn.XLOOKUP($I32,'Solid Mix In Nutrition'!A:A,'Solid Mix In Nutrition'!I:I,1)))*240))*0.66</f>
        <v>312.18</v>
      </c>
      <c r="S32" s="30">
        <f>(_xlfn.XLOOKUP($L32,Specs!A:A,Specs!B:B,0)-(IF(ISNUMBER(SEARCH("Dulce De Leche", $G32)), 0, $T32))-(IF(ISNUMBER(SEARCH("Dulce De Leche", $F32)), 0, $U32))-(($V32/MAX(1,_xlfn.XLOOKUP($H32,'Solid Mix In Nutrition'!A:A,'Solid Mix In Nutrition'!I:I,1)))*240)-(($W32/MAX(1,_xlfn.XLOOKUP($I32,'Solid Mix In Nutrition'!A:A,'Solid Mix In Nutrition'!I:I,1)))*240))*0.33</f>
        <v>156.09</v>
      </c>
      <c r="T32" s="30">
        <f>_xlfn.XLOOKUP($M32,Specs!$D:$D,Specs!$E:$E,0)*15*_xlfn.XLOOKUP($L32,Specs!$A:$A,Specs!$C:$C,0)</f>
        <v>0</v>
      </c>
      <c r="U32" s="30">
        <f>_xlfn.XLOOKUP($N32,Specs!$D:$D,Specs!$E:$E,0)*15*_xlfn.XLOOKUP($L32,Specs!$A:$A,Specs!$C:$C,0)</f>
        <v>0</v>
      </c>
      <c r="V32" s="30">
        <f>( ((_xlfn.XLOOKUP($O32,Specs!$H:$H,Specs!$I:$I,0)*_xlfn.XLOOKUP($L32,Specs!$A:$A,Specs!$B:$B,0))/240) *_xlfn.XLOOKUP($H32,'Solid Mix In Nutrition'!A:A,'Solid Mix In Nutrition'!I:I,0)) *IF(AND(NOT($I32=0), COUNTA($I32)),0.5,1)</f>
        <v>0</v>
      </c>
      <c r="W32" s="30">
        <f>( ((_xlfn.XLOOKUP($O32,Specs!$H:$H,Specs!$I:$I,0)*_xlfn.XLOOKUP($L32,Specs!$A:$A,Specs!$B:$B,0))/240) *_xlfn.XLOOKUP($I32,'Solid Mix In Nutrition'!A:A,'Solid Mix In Nutrition'!I:I,0)) *IF(AND(NOT($I32=0), COUNTA($I32)),0.5,0)</f>
        <v>0</v>
      </c>
      <c r="X32" s="30">
        <f>_xlfn.XLOOKUP($P32,Specs!F:F,Specs!G:G,0)*_xlfn.XLOOKUP($J32,'Sweetener Mix In Nutrition'!A:A,'Sweetener Mix In Nutrition'!I:I,0)*_xlfn.XLOOKUP($L32,Specs!A:A,Specs!C:C,0)</f>
        <v>0</v>
      </c>
      <c r="Y32" s="30">
        <f>_xlfn.XLOOKUP($Q32,Specs!F:F,Specs!G:G,0)*_xlfn.XLOOKUP($K32,'Sweetener Mix In Nutrition'!A:A,'Sweetener Mix In Nutrition'!I:I,0)*_xlfn.XLOOKUP($L32,Specs!A:A,Specs!C:C,0)</f>
        <v>0</v>
      </c>
      <c r="Z32" s="34">
        <f t="shared" si="0"/>
        <v>0.56192399999999998</v>
      </c>
      <c r="AA32" s="35">
        <f t="shared" si="1"/>
        <v>0.25</v>
      </c>
      <c r="AB32" s="36">
        <f>(($R32 / 240) * _xlfn.XLOOKUP($D32,'Milk Types Nutrition Per Cup'!A:A,'Milk Types Nutrition Per Cup'!B:B,0)) +(($S32 / 240)  * _xlfn.XLOOKUP($E32,'Milk Types Nutrition Per Cup'!A:A,'Milk Types Nutrition Per Cup'!B:B,0)) +(($T32 / 15)  * _xlfn.XLOOKUP($F32,'Liquid Mix In Nutrition'!A:A,'Liquid Mix In Nutrition'!B:B,0))+(($U32 / 15)  * _xlfn.XLOOKUP($G32,'Liquid Mix In Nutrition'!A:A,'Liquid Mix In Nutrition'!B:B,0))+(($V32 /MAX(1, _xlfn.XLOOKUP($H32,'Solid Mix In Nutrition'!A:A,'Solid Mix In Nutrition'!I:I,1)))  * _xlfn.XLOOKUP($H32,'Solid Mix In Nutrition'!A:A,'Solid Mix In Nutrition'!B:B,0))+(($W32 / MAX(1, _xlfn.XLOOKUP($I32,'Solid Mix In Nutrition'!A:A,'Solid Mix In Nutrition'!I:I,1))))+(($X32 / 100)  * _xlfn.XLOOKUP($J32,'Sweetener Mix In Nutrition'!A:A,'Sweetener Mix In Nutrition'!B:B,0))+(($Y32 / 100)  * _xlfn.XLOOKUP($K32,'Sweetener Mix In Nutrition'!A:A,'Sweetener Mix In Nutrition'!B:B,0))</f>
        <v>1092.6300000000001</v>
      </c>
      <c r="AC32" s="36">
        <f>(($R32 / 240) * _xlfn.XLOOKUP($D32,'Milk Types Nutrition Per Cup'!A:A,'Milk Types Nutrition Per Cup'!E:E,0)) +(($S32 / 240)  * _xlfn.XLOOKUP($E32,'Milk Types Nutrition Per Cup'!A:A,'Milk Types Nutrition Per Cup'!E:E,0)) +(($T32 / 15)  * _xlfn.XLOOKUP($F32,'Liquid Mix In Nutrition'!A:A,'Liquid Mix In Nutrition'!E:E,0)) +(($U32 / 15)  * _xlfn.XLOOKUP($G32,'Liquid Mix In Nutrition'!A:A,'Liquid Mix In Nutrition'!E:E,0))+(($V32 / MAX(1, _xlfn.XLOOKUP($H32,'Solid Mix In Nutrition'!A:A,'Solid Mix In Nutrition'!I:I,1)))  * _xlfn.XLOOKUP($H32,'Solid Mix In Nutrition'!A:A,'Solid Mix In Nutrition'!E:E,0))+(($W32 / MAX(1, _xlfn.XLOOKUP($I32,'Solid Mix In Nutrition'!A:A,'Solid Mix In Nutrition'!I:I,1)))  * _xlfn.XLOOKUP($I32,'Solid Mix In Nutrition'!A:A,'Solid Mix In Nutrition'!G:G,0))+(($X32 / 100)  * _xlfn.XLOOKUP($J32,'Sweetener Mix In Nutrition'!A:A,'Sweetener Mix In Nutrition'!E:E,0))+(($Y32 / 100)  * _xlfn.XLOOKUP($K32,'Sweetener Mix In Nutrition'!A:A,'Sweetener Mix In Nutrition'!E:E,0))</f>
        <v>0</v>
      </c>
      <c r="AD32" s="36">
        <f>(($R32 / 240) * _xlfn.XLOOKUP($D32,'Milk Types Nutrition Per Cup'!A:A,'Milk Types Nutrition Per Cup'!E:E,0)) +(($S32 / 240)  * _xlfn.XLOOKUP($E32,'Milk Types Nutrition Per Cup'!A:A,'Milk Types Nutrition Per Cup'!E:E,0)) +(($T32 / 15)  * _xlfn.XLOOKUP($F32,'Liquid Mix In Nutrition'!A:A,'Liquid Mix In Nutrition'!E:E,0)) +(($U32 / 15)  * _xlfn.XLOOKUP($G32,'Liquid Mix In Nutrition'!A:A,'Liquid Mix In Nutrition'!E:E,0))+(($X32 / 100)  * _xlfn.XLOOKUP($J32,'Sweetener Mix In Nutrition'!A:A,'Sweetener Mix In Nutrition'!E:E,0))+(($Y32 / 100)  * _xlfn.XLOOKUP($K32,'Sweetener Mix In Nutrition'!A:A,'Sweetener Mix In Nutrition'!E:E,0))</f>
        <v>0</v>
      </c>
      <c r="AE32" s="37">
        <f>(($R32 / 240) * _xlfn.XLOOKUP($D32,'Milk Types Nutrition Per Cup'!A:A,'Milk Types Nutrition Per Cup'!C:C,0)) +(($S32 / 240)  * _xlfn.XLOOKUP($E32,'Milk Types Nutrition Per Cup'!A:A,'Milk Types Nutrition Per Cup'!C:C,0)) +(($T32 / 15)  * _xlfn.XLOOKUP($F32,'Liquid Mix In Nutrition'!A:A,'Liquid Mix In Nutrition'!C:C,0))+(($U32 / 15)  * _xlfn.XLOOKUP($G32,'Liquid Mix In Nutrition'!A:A,'Liquid Mix In Nutrition'!C:C,0))+(($V32 / MAX(1, _xlfn.XLOOKUP($H32,'Solid Mix In Nutrition'!A:A,'Solid Mix In Nutrition'!I:I,1)))  * _xlfn.XLOOKUP($H32,'Solid Mix In Nutrition'!A:A,'Solid Mix In Nutrition'!C:C,0))+(($W32 / MAX(1, _xlfn.XLOOKUP($I32,'Solid Mix In Nutrition'!A:A,'Solid Mix In Nutrition'!I:I,1)))  * _xlfn.XLOOKUP($I32,'Solid Mix In Nutrition'!A:A,'Solid Mix In Nutrition'!C:C,0))+(($X32 / 100)  * _xlfn.XLOOKUP($J32,'Sweetener Mix In Nutrition'!A:A,'Sweetener Mix In Nutrition'!C:C,0))+(($Y32 / 100)  * _xlfn.XLOOKUP($K32,'Sweetener Mix In Nutrition'!A:A,'Sweetener Mix In Nutrition'!C:C,0))</f>
        <v>109.26300000000001</v>
      </c>
      <c r="AF32" s="38">
        <f>$AE32 / (_xlfn.XLOOKUP($L32,Specs!A:A,Specs!B:B,0))</f>
        <v>0.23100000000000001</v>
      </c>
      <c r="AG32" s="37">
        <f>60* ($AB32 / _xlfn.XLOOKUP($L32,Specs!A:A,Specs!B:B,0))</f>
        <v>138.6</v>
      </c>
      <c r="AH32" s="37">
        <f>60* (AC32 / _xlfn.XLOOKUP($L32,Specs!$A:$A,Specs!$B:$B,0))</f>
        <v>0</v>
      </c>
      <c r="AI32" s="37">
        <f>60* (AE32 / _xlfn.XLOOKUP($L32,Specs!$A:$A,Specs!$B:$B,0))</f>
        <v>13.860000000000001</v>
      </c>
      <c r="AJ32" s="39">
        <v>3.6209301480000002</v>
      </c>
      <c r="AK32" s="46" t="s">
        <v>716</v>
      </c>
      <c r="AL32" s="47">
        <v>8</v>
      </c>
      <c r="AM32" s="40">
        <v>2</v>
      </c>
      <c r="AN32" s="48">
        <v>11</v>
      </c>
      <c r="AO32" s="40">
        <v>9</v>
      </c>
      <c r="AP32" s="30" t="s">
        <v>210</v>
      </c>
      <c r="AQ32" t="str">
        <f>_xlfn.XLOOKUP("What's Your Number?",[1]Sheet1!$1:$1,[1]Sheet1!32:32)</f>
        <v>(754) 281-7323</v>
      </c>
    </row>
    <row r="33" spans="1:43" x14ac:dyDescent="0.25">
      <c r="A33" s="42" t="s">
        <v>717</v>
      </c>
      <c r="B33" s="76" t="s">
        <v>718</v>
      </c>
      <c r="C33" s="31" t="s">
        <v>719</v>
      </c>
      <c r="D33" s="31">
        <v>0</v>
      </c>
      <c r="E33" s="31">
        <v>0</v>
      </c>
      <c r="F33" s="31">
        <v>0</v>
      </c>
      <c r="G33" s="31">
        <v>0</v>
      </c>
      <c r="H33" s="31">
        <v>0</v>
      </c>
      <c r="I33" s="31">
        <v>0</v>
      </c>
      <c r="J33" s="31">
        <v>0</v>
      </c>
      <c r="K33" s="31">
        <v>0</v>
      </c>
      <c r="L33" s="77" t="s">
        <v>4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R33" s="30">
        <f>(_xlfn.XLOOKUP($L33,Specs!A:A,Specs!B:B,0)-(IF(ISNUMBER(SEARCH("Dulce De Leche", $G33)), 0, $T33))-(IF(ISNUMBER(SEARCH("Dulce De Leche", $F33)), 0, $U33))-(($V33/MAX(1,_xlfn.XLOOKUP($H33,'Solid Mix In Nutrition'!A:A,'Solid Mix In Nutrition'!I:I,1)))*240)-(($W33/MAX(1,_xlfn.XLOOKUP($I33,'Solid Mix In Nutrition'!A:A,'Solid Mix In Nutrition'!I:I,1)))*240))*0.66</f>
        <v>312.18</v>
      </c>
      <c r="S33" s="30">
        <f>(_xlfn.XLOOKUP($L33,Specs!A:A,Specs!B:B,0)-(IF(ISNUMBER(SEARCH("Dulce De Leche", $G33)), 0, $T33))-(IF(ISNUMBER(SEARCH("Dulce De Leche", $F33)), 0, $U33))-(($V33/MAX(1,_xlfn.XLOOKUP($H33,'Solid Mix In Nutrition'!A:A,'Solid Mix In Nutrition'!I:I,1)))*240)-(($W33/MAX(1,_xlfn.XLOOKUP($I33,'Solid Mix In Nutrition'!A:A,'Solid Mix In Nutrition'!I:I,1)))*240))*0.33</f>
        <v>156.09</v>
      </c>
      <c r="T33" s="30">
        <f>_xlfn.XLOOKUP($M33,Specs!$D:$D,Specs!$E:$E,0)*15*_xlfn.XLOOKUP($L33,Specs!$A:$A,Specs!$C:$C,0)</f>
        <v>0</v>
      </c>
      <c r="U33" s="30">
        <f>_xlfn.XLOOKUP($N33,Specs!$D:$D,Specs!$E:$E,0)*15*_xlfn.XLOOKUP($L33,Specs!$A:$A,Specs!$C:$C,0)</f>
        <v>0</v>
      </c>
      <c r="V33" s="30">
        <f>( ((_xlfn.XLOOKUP($O33,Specs!$H:$H,Specs!$I:$I,0)*_xlfn.XLOOKUP($L33,Specs!$A:$A,Specs!$B:$B,0))/240) *_xlfn.XLOOKUP($H33,'Solid Mix In Nutrition'!A:A,'Solid Mix In Nutrition'!I:I,0)) *IF(AND(NOT($I33=0), COUNTA($I33)),0.5,1)</f>
        <v>0</v>
      </c>
      <c r="W33" s="30">
        <f>( ((_xlfn.XLOOKUP($O33,Specs!$H:$H,Specs!$I:$I,0)*_xlfn.XLOOKUP($L33,Specs!$A:$A,Specs!$B:$B,0))/240) *_xlfn.XLOOKUP($I33,'Solid Mix In Nutrition'!A:A,'Solid Mix In Nutrition'!I:I,0)) *IF(AND(NOT($I33=0), COUNTA($I33)),0.5,0)</f>
        <v>0</v>
      </c>
      <c r="X33" s="30">
        <f>_xlfn.XLOOKUP($P33,Specs!F:F,Specs!G:G,0)*_xlfn.XLOOKUP($J33,'Sweetener Mix In Nutrition'!A:A,'Sweetener Mix In Nutrition'!I:I,0)*_xlfn.XLOOKUP($L33,Specs!A:A,Specs!C:C,0)</f>
        <v>0</v>
      </c>
      <c r="Y33" s="30">
        <f>_xlfn.XLOOKUP($Q33,Specs!F:F,Specs!G:G,0)*_xlfn.XLOOKUP($K33,'Sweetener Mix In Nutrition'!A:A,'Sweetener Mix In Nutrition'!I:I,0)*_xlfn.XLOOKUP($L33,Specs!A:A,Specs!C:C,0)</f>
        <v>0</v>
      </c>
      <c r="Z33" s="34">
        <f t="shared" si="0"/>
        <v>0.56192399999999998</v>
      </c>
      <c r="AA33" s="35">
        <f t="shared" si="1"/>
        <v>0.25</v>
      </c>
      <c r="AB33" s="36">
        <f>(($R33 / 240) * _xlfn.XLOOKUP($D33,'Milk Types Nutrition Per Cup'!A:A,'Milk Types Nutrition Per Cup'!B:B,0)) +(($S33 / 240)  * _xlfn.XLOOKUP($E33,'Milk Types Nutrition Per Cup'!A:A,'Milk Types Nutrition Per Cup'!B:B,0)) +(($T33 / 15)  * _xlfn.XLOOKUP($F33,'Liquid Mix In Nutrition'!A:A,'Liquid Mix In Nutrition'!B:B,0))+(($U33 / 15)  * _xlfn.XLOOKUP($G33,'Liquid Mix In Nutrition'!A:A,'Liquid Mix In Nutrition'!B:B,0))+(($V33 /MAX(1, _xlfn.XLOOKUP($H33,'Solid Mix In Nutrition'!A:A,'Solid Mix In Nutrition'!I:I,1)))  * _xlfn.XLOOKUP($H33,'Solid Mix In Nutrition'!A:A,'Solid Mix In Nutrition'!B:B,0))+(($W33 / MAX(1, _xlfn.XLOOKUP($I33,'Solid Mix In Nutrition'!A:A,'Solid Mix In Nutrition'!I:I,1))))+(($X33 / 100)  * _xlfn.XLOOKUP($J33,'Sweetener Mix In Nutrition'!A:A,'Sweetener Mix In Nutrition'!B:B,0))+(($Y33 / 100)  * _xlfn.XLOOKUP($K33,'Sweetener Mix In Nutrition'!A:A,'Sweetener Mix In Nutrition'!B:B,0))</f>
        <v>0</v>
      </c>
      <c r="AC33" s="36">
        <f>(($R33 / 240) * _xlfn.XLOOKUP($D33,'Milk Types Nutrition Per Cup'!A:A,'Milk Types Nutrition Per Cup'!E:E,0)) +(($S33 / 240)  * _xlfn.XLOOKUP($E33,'Milk Types Nutrition Per Cup'!A:A,'Milk Types Nutrition Per Cup'!E:E,0)) +(($T33 / 15)  * _xlfn.XLOOKUP($F33,'Liquid Mix In Nutrition'!A:A,'Liquid Mix In Nutrition'!E:E,0)) +(($U33 / 15)  * _xlfn.XLOOKUP($G33,'Liquid Mix In Nutrition'!A:A,'Liquid Mix In Nutrition'!E:E,0))+(($V33 / MAX(1, _xlfn.XLOOKUP($H33,'Solid Mix In Nutrition'!A:A,'Solid Mix In Nutrition'!I:I,1)))  * _xlfn.XLOOKUP($H33,'Solid Mix In Nutrition'!A:A,'Solid Mix In Nutrition'!E:E,0))+(($W33 / MAX(1, _xlfn.XLOOKUP($I33,'Solid Mix In Nutrition'!A:A,'Solid Mix In Nutrition'!I:I,1)))  * _xlfn.XLOOKUP($I33,'Solid Mix In Nutrition'!A:A,'Solid Mix In Nutrition'!G:G,0))+(($X33 / 100)  * _xlfn.XLOOKUP($J33,'Sweetener Mix In Nutrition'!A:A,'Sweetener Mix In Nutrition'!E:E,0))+(($Y33 / 100)  * _xlfn.XLOOKUP($K33,'Sweetener Mix In Nutrition'!A:A,'Sweetener Mix In Nutrition'!E:E,0))</f>
        <v>0</v>
      </c>
      <c r="AD33" s="36">
        <f>(($R33 / 240) * _xlfn.XLOOKUP($D33,'Milk Types Nutrition Per Cup'!A:A,'Milk Types Nutrition Per Cup'!E:E,0)) +(($S33 / 240)  * _xlfn.XLOOKUP($E33,'Milk Types Nutrition Per Cup'!A:A,'Milk Types Nutrition Per Cup'!E:E,0)) +(($T33 / 15)  * _xlfn.XLOOKUP($F33,'Liquid Mix In Nutrition'!A:A,'Liquid Mix In Nutrition'!E:E,0)) +(($U33 / 15)  * _xlfn.XLOOKUP($G33,'Liquid Mix In Nutrition'!A:A,'Liquid Mix In Nutrition'!E:E,0))+(($X33 / 100)  * _xlfn.XLOOKUP($J33,'Sweetener Mix In Nutrition'!A:A,'Sweetener Mix In Nutrition'!E:E,0))+(($Y33 / 100)  * _xlfn.XLOOKUP($K33,'Sweetener Mix In Nutrition'!A:A,'Sweetener Mix In Nutrition'!E:E,0))</f>
        <v>0</v>
      </c>
      <c r="AE33" s="37">
        <f>(($R33 / 240) * _xlfn.XLOOKUP($D33,'Milk Types Nutrition Per Cup'!A:A,'Milk Types Nutrition Per Cup'!C:C,0)) +(($S33 / 240)  * _xlfn.XLOOKUP($E33,'Milk Types Nutrition Per Cup'!A:A,'Milk Types Nutrition Per Cup'!C:C,0)) +(($T33 / 15)  * _xlfn.XLOOKUP($F33,'Liquid Mix In Nutrition'!A:A,'Liquid Mix In Nutrition'!C:C,0))+(($U33 / 15)  * _xlfn.XLOOKUP($G33,'Liquid Mix In Nutrition'!A:A,'Liquid Mix In Nutrition'!C:C,0))+(($V33 / MAX(1, _xlfn.XLOOKUP($H33,'Solid Mix In Nutrition'!A:A,'Solid Mix In Nutrition'!I:I,1)))  * _xlfn.XLOOKUP($H33,'Solid Mix In Nutrition'!A:A,'Solid Mix In Nutrition'!C:C,0))+(($W33 / MAX(1, _xlfn.XLOOKUP($I33,'Solid Mix In Nutrition'!A:A,'Solid Mix In Nutrition'!I:I,1)))  * _xlfn.XLOOKUP($I33,'Solid Mix In Nutrition'!A:A,'Solid Mix In Nutrition'!C:C,0))+(($X33 / 100)  * _xlfn.XLOOKUP($J33,'Sweetener Mix In Nutrition'!A:A,'Sweetener Mix In Nutrition'!C:C,0))+(($Y33 / 100)  * _xlfn.XLOOKUP($K33,'Sweetener Mix In Nutrition'!A:A,'Sweetener Mix In Nutrition'!C:C,0))</f>
        <v>0</v>
      </c>
      <c r="AF33" s="38">
        <f>$AE33 / (_xlfn.XLOOKUP($L33,Specs!A:A,Specs!B:B,0))</f>
        <v>0</v>
      </c>
      <c r="AG33" s="37">
        <f>60* ($AB33 / _xlfn.XLOOKUP($L33,Specs!A:A,Specs!B:B,0))</f>
        <v>0</v>
      </c>
      <c r="AH33" s="37">
        <f>60* (AC33 / _xlfn.XLOOKUP($L33,Specs!$A:$A,Specs!$B:$B,0))</f>
        <v>0</v>
      </c>
      <c r="AI33" s="37">
        <f>60* (AE33 / _xlfn.XLOOKUP($L33,Specs!$A:$A,Specs!$B:$B,0))</f>
        <v>0</v>
      </c>
      <c r="AJ33" s="39">
        <v>0</v>
      </c>
      <c r="AK33" s="46" t="s">
        <v>720</v>
      </c>
      <c r="AL33" s="47">
        <v>8</v>
      </c>
      <c r="AM33" s="40">
        <v>2</v>
      </c>
      <c r="AN33" s="48">
        <v>4</v>
      </c>
      <c r="AO33" s="40">
        <v>2</v>
      </c>
      <c r="AP33" s="30" t="s">
        <v>210</v>
      </c>
      <c r="AQ33" t="str">
        <f>_xlfn.XLOOKUP("What's Your Number?",[1]Sheet1!$1:$1,[1]Sheet1!33:33)</f>
        <v>954-830-6368</v>
      </c>
    </row>
    <row r="34" spans="1:43" x14ac:dyDescent="0.25">
      <c r="A34" s="42" t="s">
        <v>721</v>
      </c>
      <c r="B34" s="76" t="s">
        <v>722</v>
      </c>
      <c r="C34" s="31" t="s">
        <v>723</v>
      </c>
      <c r="D34" s="31">
        <v>0</v>
      </c>
      <c r="E34" s="31">
        <v>0</v>
      </c>
      <c r="F34" s="31">
        <v>0</v>
      </c>
      <c r="G34" s="31">
        <v>0</v>
      </c>
      <c r="H34" s="31">
        <v>0</v>
      </c>
      <c r="I34" s="31">
        <v>0</v>
      </c>
      <c r="J34" s="31">
        <v>0</v>
      </c>
      <c r="K34" s="31">
        <v>0</v>
      </c>
      <c r="L34" s="77" t="s">
        <v>43</v>
      </c>
      <c r="M34" s="45">
        <v>0</v>
      </c>
      <c r="N34" s="45">
        <v>0</v>
      </c>
      <c r="O34" s="45">
        <v>0</v>
      </c>
      <c r="P34" s="45">
        <v>0</v>
      </c>
      <c r="Q34" s="45">
        <v>0</v>
      </c>
      <c r="R34" s="30">
        <f>(_xlfn.XLOOKUP($L34,Specs!A:A,Specs!B:B,0)-(IF(ISNUMBER(SEARCH("Dulce De Leche", $G34)), 0, $T34))-(IF(ISNUMBER(SEARCH("Dulce De Leche", $F34)), 0, $U34))-(($V34/MAX(1,_xlfn.XLOOKUP($H34,'Solid Mix In Nutrition'!A:A,'Solid Mix In Nutrition'!I:I,1)))*240)-(($W34/MAX(1,_xlfn.XLOOKUP($I34,'Solid Mix In Nutrition'!A:A,'Solid Mix In Nutrition'!I:I,1)))*240))*0.66</f>
        <v>624.36</v>
      </c>
      <c r="S34" s="30">
        <f>(_xlfn.XLOOKUP($L34,Specs!A:A,Specs!B:B,0)-(IF(ISNUMBER(SEARCH("Dulce De Leche", $G34)), 0, $T34))-(IF(ISNUMBER(SEARCH("Dulce De Leche", $F34)), 0, $U34))-(($V34/MAX(1,_xlfn.XLOOKUP($H34,'Solid Mix In Nutrition'!A:A,'Solid Mix In Nutrition'!I:I,1)))*240)-(($W34/MAX(1,_xlfn.XLOOKUP($I34,'Solid Mix In Nutrition'!A:A,'Solid Mix In Nutrition'!I:I,1)))*240))*0.33</f>
        <v>312.18</v>
      </c>
      <c r="T34" s="30">
        <f>_xlfn.XLOOKUP($M34,Specs!$D:$D,Specs!$E:$E,0)*15*_xlfn.XLOOKUP($L34,Specs!$A:$A,Specs!$C:$C,0)</f>
        <v>0</v>
      </c>
      <c r="U34" s="30">
        <f>_xlfn.XLOOKUP($N34,Specs!$D:$D,Specs!$E:$E,0)*15*_xlfn.XLOOKUP($L34,Specs!$A:$A,Specs!$C:$C,0)</f>
        <v>0</v>
      </c>
      <c r="V34" s="30">
        <f>( ((_xlfn.XLOOKUP($O34,Specs!$H:$H,Specs!$I:$I,0)*_xlfn.XLOOKUP($L34,Specs!$A:$A,Specs!$B:$B,0))/240) *_xlfn.XLOOKUP($H34,'Solid Mix In Nutrition'!A:A,'Solid Mix In Nutrition'!I:I,0)) *IF(AND(NOT($I34=0), COUNTA($I34)),0.5,1)</f>
        <v>0</v>
      </c>
      <c r="W34" s="30">
        <f>( ((_xlfn.XLOOKUP($O34,Specs!$H:$H,Specs!$I:$I,0)*_xlfn.XLOOKUP($L34,Specs!$A:$A,Specs!$B:$B,0))/240) *_xlfn.XLOOKUP($I34,'Solid Mix In Nutrition'!A:A,'Solid Mix In Nutrition'!I:I,0)) *IF(AND(NOT($I34=0), COUNTA($I34)),0.5,0)</f>
        <v>0</v>
      </c>
      <c r="X34" s="30">
        <f>_xlfn.XLOOKUP($P34,Specs!F:F,Specs!G:G,0)*_xlfn.XLOOKUP($J34,'Sweetener Mix In Nutrition'!A:A,'Sweetener Mix In Nutrition'!I:I,0)*_xlfn.XLOOKUP($L34,Specs!A:A,Specs!C:C,0)</f>
        <v>0</v>
      </c>
      <c r="Y34" s="30">
        <f>_xlfn.XLOOKUP($Q34,Specs!F:F,Specs!G:G,0)*_xlfn.XLOOKUP($K34,'Sweetener Mix In Nutrition'!A:A,'Sweetener Mix In Nutrition'!I:I,0)*_xlfn.XLOOKUP($L34,Specs!A:A,Specs!C:C,0)</f>
        <v>0</v>
      </c>
      <c r="Z34" s="34">
        <f t="shared" si="0"/>
        <v>1.123848</v>
      </c>
      <c r="AA34" s="35">
        <f t="shared" si="1"/>
        <v>0.25</v>
      </c>
      <c r="AB34" s="36">
        <f>(($R34 / 240) * _xlfn.XLOOKUP($D34,'Milk Types Nutrition Per Cup'!A:A,'Milk Types Nutrition Per Cup'!B:B,0)) +(($S34 / 240)  * _xlfn.XLOOKUP($E34,'Milk Types Nutrition Per Cup'!A:A,'Milk Types Nutrition Per Cup'!B:B,0)) +(($T34 / 15)  * _xlfn.XLOOKUP($F34,'Liquid Mix In Nutrition'!A:A,'Liquid Mix In Nutrition'!B:B,0))+(($U34 / 15)  * _xlfn.XLOOKUP($G34,'Liquid Mix In Nutrition'!A:A,'Liquid Mix In Nutrition'!B:B,0))+(($V34 /MAX(1, _xlfn.XLOOKUP($H34,'Solid Mix In Nutrition'!A:A,'Solid Mix In Nutrition'!I:I,1)))  * _xlfn.XLOOKUP($H34,'Solid Mix In Nutrition'!A:A,'Solid Mix In Nutrition'!B:B,0))+(($W34 / MAX(1, _xlfn.XLOOKUP($I34,'Solid Mix In Nutrition'!A:A,'Solid Mix In Nutrition'!I:I,1))))+(($X34 / 100)  * _xlfn.XLOOKUP($J34,'Sweetener Mix In Nutrition'!A:A,'Sweetener Mix In Nutrition'!B:B,0))+(($Y34 / 100)  * _xlfn.XLOOKUP($K34,'Sweetener Mix In Nutrition'!A:A,'Sweetener Mix In Nutrition'!B:B,0))</f>
        <v>0</v>
      </c>
      <c r="AC34" s="36">
        <f>(($R34 / 240) * _xlfn.XLOOKUP($D34,'Milk Types Nutrition Per Cup'!A:A,'Milk Types Nutrition Per Cup'!E:E,0)) +(($S34 / 240)  * _xlfn.XLOOKUP($E34,'Milk Types Nutrition Per Cup'!A:A,'Milk Types Nutrition Per Cup'!E:E,0)) +(($T34 / 15)  * _xlfn.XLOOKUP($F34,'Liquid Mix In Nutrition'!A:A,'Liquid Mix In Nutrition'!E:E,0)) +(($U34 / 15)  * _xlfn.XLOOKUP($G34,'Liquid Mix In Nutrition'!A:A,'Liquid Mix In Nutrition'!E:E,0))+(($V34 / MAX(1, _xlfn.XLOOKUP($H34,'Solid Mix In Nutrition'!A:A,'Solid Mix In Nutrition'!I:I,1)))  * _xlfn.XLOOKUP($H34,'Solid Mix In Nutrition'!A:A,'Solid Mix In Nutrition'!E:E,0))+(($W34 / MAX(1, _xlfn.XLOOKUP($I34,'Solid Mix In Nutrition'!A:A,'Solid Mix In Nutrition'!I:I,1)))  * _xlfn.XLOOKUP($I34,'Solid Mix In Nutrition'!A:A,'Solid Mix In Nutrition'!G:G,0))+(($X34 / 100)  * _xlfn.XLOOKUP($J34,'Sweetener Mix In Nutrition'!A:A,'Sweetener Mix In Nutrition'!E:E,0))+(($Y34 / 100)  * _xlfn.XLOOKUP($K34,'Sweetener Mix In Nutrition'!A:A,'Sweetener Mix In Nutrition'!E:E,0))</f>
        <v>0</v>
      </c>
      <c r="AD34" s="36">
        <f>(($R34 / 240) * _xlfn.XLOOKUP($D34,'Milk Types Nutrition Per Cup'!A:A,'Milk Types Nutrition Per Cup'!E:E,0)) +(($S34 / 240)  * _xlfn.XLOOKUP($E34,'Milk Types Nutrition Per Cup'!A:A,'Milk Types Nutrition Per Cup'!E:E,0)) +(($T34 / 15)  * _xlfn.XLOOKUP($F34,'Liquid Mix In Nutrition'!A:A,'Liquid Mix In Nutrition'!E:E,0)) +(($U34 / 15)  * _xlfn.XLOOKUP($G34,'Liquid Mix In Nutrition'!A:A,'Liquid Mix In Nutrition'!E:E,0))+(($X34 / 100)  * _xlfn.XLOOKUP($J34,'Sweetener Mix In Nutrition'!A:A,'Sweetener Mix In Nutrition'!E:E,0))+(($Y34 / 100)  * _xlfn.XLOOKUP($K34,'Sweetener Mix In Nutrition'!A:A,'Sweetener Mix In Nutrition'!E:E,0))</f>
        <v>0</v>
      </c>
      <c r="AE34" s="37">
        <f>(($R34 / 240) * _xlfn.XLOOKUP($D34,'Milk Types Nutrition Per Cup'!A:A,'Milk Types Nutrition Per Cup'!C:C,0)) +(($S34 / 240)  * _xlfn.XLOOKUP($E34,'Milk Types Nutrition Per Cup'!A:A,'Milk Types Nutrition Per Cup'!C:C,0)) +(($T34 / 15)  * _xlfn.XLOOKUP($F34,'Liquid Mix In Nutrition'!A:A,'Liquid Mix In Nutrition'!C:C,0))+(($U34 / 15)  * _xlfn.XLOOKUP($G34,'Liquid Mix In Nutrition'!A:A,'Liquid Mix In Nutrition'!C:C,0))+(($V34 / MAX(1, _xlfn.XLOOKUP($H34,'Solid Mix In Nutrition'!A:A,'Solid Mix In Nutrition'!I:I,1)))  * _xlfn.XLOOKUP($H34,'Solid Mix In Nutrition'!A:A,'Solid Mix In Nutrition'!C:C,0))+(($W34 / MAX(1, _xlfn.XLOOKUP($I34,'Solid Mix In Nutrition'!A:A,'Solid Mix In Nutrition'!I:I,1)))  * _xlfn.XLOOKUP($I34,'Solid Mix In Nutrition'!A:A,'Solid Mix In Nutrition'!C:C,0))+(($X34 / 100)  * _xlfn.XLOOKUP($J34,'Sweetener Mix In Nutrition'!A:A,'Sweetener Mix In Nutrition'!C:C,0))+(($Y34 / 100)  * _xlfn.XLOOKUP($K34,'Sweetener Mix In Nutrition'!A:A,'Sweetener Mix In Nutrition'!C:C,0))</f>
        <v>0</v>
      </c>
      <c r="AF34" s="38">
        <f>$AE34 / (_xlfn.XLOOKUP($L34,Specs!A:A,Specs!B:B,0))</f>
        <v>0</v>
      </c>
      <c r="AG34" s="37">
        <f>60* ($AB34 / _xlfn.XLOOKUP($L34,Specs!A:A,Specs!B:B,0))</f>
        <v>0</v>
      </c>
      <c r="AH34" s="37">
        <f>60* (AC34 / _xlfn.XLOOKUP($L34,Specs!$A:$A,Specs!$B:$B,0))</f>
        <v>0</v>
      </c>
      <c r="AI34" s="37">
        <f>60* (AE34 / _xlfn.XLOOKUP($L34,Specs!$A:$A,Specs!$B:$B,0))</f>
        <v>0</v>
      </c>
      <c r="AJ34" s="39">
        <v>0</v>
      </c>
      <c r="AK34" s="46" t="s">
        <v>724</v>
      </c>
      <c r="AL34" s="47">
        <v>29.45</v>
      </c>
      <c r="AM34" s="40">
        <v>7</v>
      </c>
      <c r="AN34" s="48">
        <v>8</v>
      </c>
      <c r="AO34" s="40">
        <v>1</v>
      </c>
      <c r="AP34" s="30" t="s">
        <v>210</v>
      </c>
      <c r="AQ34" t="str">
        <f>_xlfn.XLOOKUP("What's Your Number?",[1]Sheet1!$1:$1,[1]Sheet1!34:34)</f>
        <v>7723213613</v>
      </c>
    </row>
    <row r="35" spans="1:43" ht="30" x14ac:dyDescent="0.25">
      <c r="A35" s="42" t="s">
        <v>725</v>
      </c>
      <c r="B35" s="76" t="s">
        <v>618</v>
      </c>
      <c r="C35" s="31" t="s">
        <v>726</v>
      </c>
      <c r="D35" s="31" t="s">
        <v>62</v>
      </c>
      <c r="E35" s="31" t="s">
        <v>65</v>
      </c>
      <c r="F35" s="31" t="s">
        <v>0</v>
      </c>
      <c r="G35" s="31" t="s">
        <v>449</v>
      </c>
      <c r="H35" s="31" t="s">
        <v>727</v>
      </c>
      <c r="I35" s="31">
        <v>0</v>
      </c>
      <c r="J35" s="31" t="s">
        <v>510</v>
      </c>
      <c r="K35" s="31">
        <v>0</v>
      </c>
      <c r="L35" s="77" t="s">
        <v>43</v>
      </c>
      <c r="M35" s="45" t="s">
        <v>450</v>
      </c>
      <c r="N35" s="45" t="s">
        <v>6</v>
      </c>
      <c r="O35" s="45" t="s">
        <v>156</v>
      </c>
      <c r="P35" s="45" t="s">
        <v>159</v>
      </c>
      <c r="Q35" s="45">
        <v>0</v>
      </c>
      <c r="R35" s="30">
        <f>(_xlfn.XLOOKUP($L35,Specs!A:A,Specs!B:B,0)-(IF(ISNUMBER(SEARCH("Dulce De Leche", $G35)), 0, $T35))-(IF(ISNUMBER(SEARCH("Dulce De Leche", $F35)), 0, $U35))-(($V35/MAX(1,_xlfn.XLOOKUP($H35,'Solid Mix In Nutrition'!A:A,'Solid Mix In Nutrition'!I:I,1)))*240)-(($W35/MAX(1,_xlfn.XLOOKUP($I35,'Solid Mix In Nutrition'!A:A,'Solid Mix In Nutrition'!I:I,1)))*240))*0.66</f>
        <v>614.46</v>
      </c>
      <c r="S35" s="30">
        <f>(_xlfn.XLOOKUP($L35,Specs!A:A,Specs!B:B,0)-(IF(ISNUMBER(SEARCH("Dulce De Leche", $G35)), 0, $T35))-(IF(ISNUMBER(SEARCH("Dulce De Leche", $F35)), 0, $U35))-(($V35/MAX(1,_xlfn.XLOOKUP($H35,'Solid Mix In Nutrition'!A:A,'Solid Mix In Nutrition'!I:I,1)))*240)-(($W35/MAX(1,_xlfn.XLOOKUP($I35,'Solid Mix In Nutrition'!A:A,'Solid Mix In Nutrition'!I:I,1)))*240))*0.33</f>
        <v>307.23</v>
      </c>
      <c r="T35" s="30">
        <f>_xlfn.XLOOKUP($M35,Specs!$D:$D,Specs!$E:$E,0)*15*_xlfn.XLOOKUP($L35,Specs!$A:$A,Specs!$C:$C,0)</f>
        <v>15</v>
      </c>
      <c r="U35" s="30">
        <f>_xlfn.XLOOKUP($N35,Specs!$D:$D,Specs!$E:$E,0)*15*_xlfn.XLOOKUP($L35,Specs!$A:$A,Specs!$C:$C,0)</f>
        <v>0</v>
      </c>
      <c r="V35" s="30">
        <f>( ((_xlfn.XLOOKUP($O35,Specs!$H:$H,Specs!$I:$I,0)*_xlfn.XLOOKUP($L35,Specs!$A:$A,Specs!$B:$B,0))/240) *_xlfn.XLOOKUP($H35,'Solid Mix In Nutrition'!A:A,'Solid Mix In Nutrition'!I:I,0)) *IF(AND(NOT($I35=0), COUNTA($I35)),0.5,1)</f>
        <v>0</v>
      </c>
      <c r="W35" s="30">
        <f>( ((_xlfn.XLOOKUP($O35,Specs!$H:$H,Specs!$I:$I,0)*_xlfn.XLOOKUP($L35,Specs!$A:$A,Specs!$B:$B,0))/240) *_xlfn.XLOOKUP($I35,'Solid Mix In Nutrition'!A:A,'Solid Mix In Nutrition'!I:I,0)) *IF(AND(NOT($I35=0), COUNTA($I35)),0.5,0)</f>
        <v>0</v>
      </c>
      <c r="X35" s="30">
        <f>_xlfn.XLOOKUP($P35,Specs!F:F,Specs!G:G,0)*_xlfn.XLOOKUP($J35,'Sweetener Mix In Nutrition'!A:A,'Sweetener Mix In Nutrition'!I:I,0)*_xlfn.XLOOKUP($L35,Specs!A:A,Specs!C:C,0)</f>
        <v>0</v>
      </c>
      <c r="Y35" s="30">
        <f>_xlfn.XLOOKUP($Q35,Specs!F:F,Specs!G:G,0)*_xlfn.XLOOKUP($K35,'Sweetener Mix In Nutrition'!A:A,'Sweetener Mix In Nutrition'!I:I,0)*_xlfn.XLOOKUP($L35,Specs!A:A,Specs!C:C,0)</f>
        <v>0</v>
      </c>
      <c r="Z35" s="34">
        <f t="shared" si="0"/>
        <v>1.124028</v>
      </c>
      <c r="AA35" s="35">
        <f t="shared" si="1"/>
        <v>0.25</v>
      </c>
      <c r="AB35" s="36">
        <f>(($R35 / 240) * _xlfn.XLOOKUP($D35,'Milk Types Nutrition Per Cup'!A:A,'Milk Types Nutrition Per Cup'!B:B,0)) +(($S35 / 240)  * _xlfn.XLOOKUP($E35,'Milk Types Nutrition Per Cup'!A:A,'Milk Types Nutrition Per Cup'!B:B,0)) +(($T35 / 15)  * _xlfn.XLOOKUP($F35,'Liquid Mix In Nutrition'!A:A,'Liquid Mix In Nutrition'!B:B,0))+(($U35 / 15)  * _xlfn.XLOOKUP($G35,'Liquid Mix In Nutrition'!A:A,'Liquid Mix In Nutrition'!B:B,0))+(($V35 /MAX(1, _xlfn.XLOOKUP($H35,'Solid Mix In Nutrition'!A:A,'Solid Mix In Nutrition'!I:I,1)))  * _xlfn.XLOOKUP($H35,'Solid Mix In Nutrition'!A:A,'Solid Mix In Nutrition'!B:B,0))+(($W35 / MAX(1, _xlfn.XLOOKUP($I35,'Solid Mix In Nutrition'!A:A,'Solid Mix In Nutrition'!I:I,1))))+(($X35 / 100)  * _xlfn.XLOOKUP($J35,'Sweetener Mix In Nutrition'!A:A,'Sweetener Mix In Nutrition'!B:B,0))+(($Y35 / 100)  * _xlfn.XLOOKUP($K35,'Sweetener Mix In Nutrition'!A:A,'Sweetener Mix In Nutrition'!B:B,0))</f>
        <v>2502.84</v>
      </c>
      <c r="AC35" s="36">
        <f>(($R35 / 240) * _xlfn.XLOOKUP($D35,'Milk Types Nutrition Per Cup'!A:A,'Milk Types Nutrition Per Cup'!E:E,0)) +(($S35 / 240)  * _xlfn.XLOOKUP($E35,'Milk Types Nutrition Per Cup'!A:A,'Milk Types Nutrition Per Cup'!E:E,0)) +(($T35 / 15)  * _xlfn.XLOOKUP($F35,'Liquid Mix In Nutrition'!A:A,'Liquid Mix In Nutrition'!E:E,0)) +(($U35 / 15)  * _xlfn.XLOOKUP($G35,'Liquid Mix In Nutrition'!A:A,'Liquid Mix In Nutrition'!E:E,0))+(($V35 / MAX(1, _xlfn.XLOOKUP($H35,'Solid Mix In Nutrition'!A:A,'Solid Mix In Nutrition'!I:I,1)))  * _xlfn.XLOOKUP($H35,'Solid Mix In Nutrition'!A:A,'Solid Mix In Nutrition'!E:E,0))+(($W35 / MAX(1, _xlfn.XLOOKUP($I35,'Solid Mix In Nutrition'!A:A,'Solid Mix In Nutrition'!I:I,1)))  * _xlfn.XLOOKUP($I35,'Solid Mix In Nutrition'!A:A,'Solid Mix In Nutrition'!G:G,0))+(($X35 / 100)  * _xlfn.XLOOKUP($J35,'Sweetener Mix In Nutrition'!A:A,'Sweetener Mix In Nutrition'!E:E,0))+(($Y35 / 100)  * _xlfn.XLOOKUP($K35,'Sweetener Mix In Nutrition'!A:A,'Sweetener Mix In Nutrition'!E:E,0))</f>
        <v>19.241</v>
      </c>
      <c r="AD35" s="36">
        <f>(($R35 / 240) * _xlfn.XLOOKUP($D35,'Milk Types Nutrition Per Cup'!A:A,'Milk Types Nutrition Per Cup'!E:E,0)) +(($S35 / 240)  * _xlfn.XLOOKUP($E35,'Milk Types Nutrition Per Cup'!A:A,'Milk Types Nutrition Per Cup'!E:E,0)) +(($T35 / 15)  * _xlfn.XLOOKUP($F35,'Liquid Mix In Nutrition'!A:A,'Liquid Mix In Nutrition'!E:E,0)) +(($U35 / 15)  * _xlfn.XLOOKUP($G35,'Liquid Mix In Nutrition'!A:A,'Liquid Mix In Nutrition'!E:E,0))+(($X35 / 100)  * _xlfn.XLOOKUP($J35,'Sweetener Mix In Nutrition'!A:A,'Sweetener Mix In Nutrition'!E:E,0))+(($Y35 / 100)  * _xlfn.XLOOKUP($K35,'Sweetener Mix In Nutrition'!A:A,'Sweetener Mix In Nutrition'!E:E,0))</f>
        <v>19.241</v>
      </c>
      <c r="AE35" s="37">
        <f>(($R35 / 240) * _xlfn.XLOOKUP($D35,'Milk Types Nutrition Per Cup'!A:A,'Milk Types Nutrition Per Cup'!C:C,0)) +(($S35 / 240)  * _xlfn.XLOOKUP($E35,'Milk Types Nutrition Per Cup'!A:A,'Milk Types Nutrition Per Cup'!C:C,0)) +(($T35 / 15)  * _xlfn.XLOOKUP($F35,'Liquid Mix In Nutrition'!A:A,'Liquid Mix In Nutrition'!C:C,0))+(($U35 / 15)  * _xlfn.XLOOKUP($G35,'Liquid Mix In Nutrition'!A:A,'Liquid Mix In Nutrition'!C:C,0))+(($V35 / MAX(1, _xlfn.XLOOKUP($H35,'Solid Mix In Nutrition'!A:A,'Solid Mix In Nutrition'!I:I,1)))  * _xlfn.XLOOKUP($H35,'Solid Mix In Nutrition'!A:A,'Solid Mix In Nutrition'!C:C,0))+(($W35 / MAX(1, _xlfn.XLOOKUP($I35,'Solid Mix In Nutrition'!A:A,'Solid Mix In Nutrition'!I:I,1)))  * _xlfn.XLOOKUP($I35,'Solid Mix In Nutrition'!A:A,'Solid Mix In Nutrition'!C:C,0))+(($X35 / 100)  * _xlfn.XLOOKUP($J35,'Sweetener Mix In Nutrition'!A:A,'Sweetener Mix In Nutrition'!C:C,0))+(($Y35 / 100)  * _xlfn.XLOOKUP($K35,'Sweetener Mix In Nutrition'!A:A,'Sweetener Mix In Nutrition'!C:C,0))</f>
        <v>281.62750000000005</v>
      </c>
      <c r="AF35" s="38">
        <f>$AE35 / (_xlfn.XLOOKUP($L35,Specs!A:A,Specs!B:B,0))</f>
        <v>0.29770348837209309</v>
      </c>
      <c r="AG35" s="37">
        <f>60* ($AB35 / _xlfn.XLOOKUP($L35,Specs!A:A,Specs!B:B,0))</f>
        <v>158.74249471458776</v>
      </c>
      <c r="AH35" s="37">
        <f>60* (AC35 / _xlfn.XLOOKUP($L35,Specs!$A:$A,Specs!$B:$B,0))</f>
        <v>1.2203594080338267</v>
      </c>
      <c r="AI35" s="37">
        <f>60* (AE35 / _xlfn.XLOOKUP($L35,Specs!$A:$A,Specs!$B:$B,0))</f>
        <v>17.862209302325585</v>
      </c>
      <c r="AJ35" s="39">
        <v>4.3254125467059987</v>
      </c>
      <c r="AK35" s="46" t="s">
        <v>728</v>
      </c>
      <c r="AL35" s="47">
        <v>24.25</v>
      </c>
      <c r="AM35" s="40">
        <v>6</v>
      </c>
      <c r="AN35" s="48">
        <v>16</v>
      </c>
      <c r="AO35" s="40">
        <v>10</v>
      </c>
      <c r="AP35" s="30" t="s">
        <v>210</v>
      </c>
      <c r="AQ35" t="str">
        <f>_xlfn.XLOOKUP("What's Your Number?",[1]Sheet1!$1:$1,[1]Sheet1!35:35)</f>
        <v xml:space="preserve">561-398-0142 </v>
      </c>
    </row>
    <row r="36" spans="1:43" ht="30" x14ac:dyDescent="0.25">
      <c r="A36" s="42" t="s">
        <v>729</v>
      </c>
      <c r="B36" s="76" t="s">
        <v>715</v>
      </c>
      <c r="C36" s="31" t="s">
        <v>508</v>
      </c>
      <c r="D36" s="31" t="s">
        <v>71</v>
      </c>
      <c r="E36" s="31" t="s">
        <v>177</v>
      </c>
      <c r="F36" s="31">
        <v>0</v>
      </c>
      <c r="G36" s="31">
        <v>0</v>
      </c>
      <c r="H36" s="31">
        <v>0</v>
      </c>
      <c r="I36" s="31">
        <v>0</v>
      </c>
      <c r="J36" s="31">
        <v>0</v>
      </c>
      <c r="K36" s="31">
        <v>0</v>
      </c>
      <c r="L36" s="77" t="s">
        <v>43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30">
        <f>(_xlfn.XLOOKUP($L36,Specs!A:A,Specs!B:B,0)-(IF(ISNUMBER(SEARCH("Dulce De Leche", $G36)), 0, $T36))-(IF(ISNUMBER(SEARCH("Dulce De Leche", $F36)), 0, $U36))-(($V36/MAX(1,_xlfn.XLOOKUP($H36,'Solid Mix In Nutrition'!A:A,'Solid Mix In Nutrition'!I:I,1)))*240)-(($W36/MAX(1,_xlfn.XLOOKUP($I36,'Solid Mix In Nutrition'!A:A,'Solid Mix In Nutrition'!I:I,1)))*240))*0.66</f>
        <v>624.36</v>
      </c>
      <c r="S36" s="30">
        <f>(_xlfn.XLOOKUP($L36,Specs!A:A,Specs!B:B,0)-(IF(ISNUMBER(SEARCH("Dulce De Leche", $G36)), 0, $T36))-(IF(ISNUMBER(SEARCH("Dulce De Leche", $F36)), 0, $U36))-(($V36/MAX(1,_xlfn.XLOOKUP($H36,'Solid Mix In Nutrition'!A:A,'Solid Mix In Nutrition'!I:I,1)))*240)-(($W36/MAX(1,_xlfn.XLOOKUP($I36,'Solid Mix In Nutrition'!A:A,'Solid Mix In Nutrition'!I:I,1)))*240))*0.33</f>
        <v>312.18</v>
      </c>
      <c r="T36" s="30">
        <f>_xlfn.XLOOKUP($M36,Specs!$D:$D,Specs!$E:$E,0)*15*_xlfn.XLOOKUP($L36,Specs!$A:$A,Specs!$C:$C,0)</f>
        <v>0</v>
      </c>
      <c r="U36" s="30">
        <f>_xlfn.XLOOKUP($N36,Specs!$D:$D,Specs!$E:$E,0)*15*_xlfn.XLOOKUP($L36,Specs!$A:$A,Specs!$C:$C,0)</f>
        <v>0</v>
      </c>
      <c r="V36" s="30">
        <f>( ((_xlfn.XLOOKUP($O36,Specs!$H:$H,Specs!$I:$I,0)*_xlfn.XLOOKUP($L36,Specs!$A:$A,Specs!$B:$B,0))/240) *_xlfn.XLOOKUP($H36,'Solid Mix In Nutrition'!A:A,'Solid Mix In Nutrition'!I:I,0)) *IF(AND(NOT($I36=0), COUNTA($I36)),0.5,1)</f>
        <v>0</v>
      </c>
      <c r="W36" s="30">
        <f>( ((_xlfn.XLOOKUP($O36,Specs!$H:$H,Specs!$I:$I,0)*_xlfn.XLOOKUP($L36,Specs!$A:$A,Specs!$B:$B,0))/240) *_xlfn.XLOOKUP($I36,'Solid Mix In Nutrition'!A:A,'Solid Mix In Nutrition'!I:I,0)) *IF(AND(NOT($I36=0), COUNTA($I36)),0.5,0)</f>
        <v>0</v>
      </c>
      <c r="X36" s="30">
        <f>_xlfn.XLOOKUP($P36,Specs!F:F,Specs!G:G,0)*_xlfn.XLOOKUP($J36,'Sweetener Mix In Nutrition'!A:A,'Sweetener Mix In Nutrition'!I:I,0)*_xlfn.XLOOKUP($L36,Specs!A:A,Specs!C:C,0)</f>
        <v>0</v>
      </c>
      <c r="Y36" s="30">
        <f>_xlfn.XLOOKUP($Q36,Specs!F:F,Specs!G:G,0)*_xlfn.XLOOKUP($K36,'Sweetener Mix In Nutrition'!A:A,'Sweetener Mix In Nutrition'!I:I,0)*_xlfn.XLOOKUP($L36,Specs!A:A,Specs!C:C,0)</f>
        <v>0</v>
      </c>
      <c r="Z36" s="34">
        <f t="shared" si="0"/>
        <v>1.123848</v>
      </c>
      <c r="AA36" s="35">
        <f t="shared" si="1"/>
        <v>0.25</v>
      </c>
      <c r="AB36" s="36">
        <f>(($R36 / 240) * _xlfn.XLOOKUP($D36,'Milk Types Nutrition Per Cup'!A:A,'Milk Types Nutrition Per Cup'!B:B,0)) +(($S36 / 240)  * _xlfn.XLOOKUP($E36,'Milk Types Nutrition Per Cup'!A:A,'Milk Types Nutrition Per Cup'!B:B,0)) +(($T36 / 15)  * _xlfn.XLOOKUP($F36,'Liquid Mix In Nutrition'!A:A,'Liquid Mix In Nutrition'!B:B,0))+(($U36 / 15)  * _xlfn.XLOOKUP($G36,'Liquid Mix In Nutrition'!A:A,'Liquid Mix In Nutrition'!B:B,0))+(($V36 /MAX(1, _xlfn.XLOOKUP($H36,'Solid Mix In Nutrition'!A:A,'Solid Mix In Nutrition'!I:I,1)))  * _xlfn.XLOOKUP($H36,'Solid Mix In Nutrition'!A:A,'Solid Mix In Nutrition'!B:B,0))+(($W36 / MAX(1, _xlfn.XLOOKUP($I36,'Solid Mix In Nutrition'!A:A,'Solid Mix In Nutrition'!I:I,1))))+(($X36 / 100)  * _xlfn.XLOOKUP($J36,'Sweetener Mix In Nutrition'!A:A,'Sweetener Mix In Nutrition'!B:B,0))+(($Y36 / 100)  * _xlfn.XLOOKUP($K36,'Sweetener Mix In Nutrition'!A:A,'Sweetener Mix In Nutrition'!B:B,0))</f>
        <v>2185.2600000000002</v>
      </c>
      <c r="AC36" s="36">
        <f>(($R36 / 240) * _xlfn.XLOOKUP($D36,'Milk Types Nutrition Per Cup'!A:A,'Milk Types Nutrition Per Cup'!E:E,0)) +(($S36 / 240)  * _xlfn.XLOOKUP($E36,'Milk Types Nutrition Per Cup'!A:A,'Milk Types Nutrition Per Cup'!E:E,0)) +(($T36 / 15)  * _xlfn.XLOOKUP($F36,'Liquid Mix In Nutrition'!A:A,'Liquid Mix In Nutrition'!E:E,0)) +(($U36 / 15)  * _xlfn.XLOOKUP($G36,'Liquid Mix In Nutrition'!A:A,'Liquid Mix In Nutrition'!E:E,0))+(($V36 / MAX(1, _xlfn.XLOOKUP($H36,'Solid Mix In Nutrition'!A:A,'Solid Mix In Nutrition'!I:I,1)))  * _xlfn.XLOOKUP($H36,'Solid Mix In Nutrition'!A:A,'Solid Mix In Nutrition'!E:E,0))+(($W36 / MAX(1, _xlfn.XLOOKUP($I36,'Solid Mix In Nutrition'!A:A,'Solid Mix In Nutrition'!I:I,1)))  * _xlfn.XLOOKUP($I36,'Solid Mix In Nutrition'!A:A,'Solid Mix In Nutrition'!G:G,0))+(($X36 / 100)  * _xlfn.XLOOKUP($J36,'Sweetener Mix In Nutrition'!A:A,'Sweetener Mix In Nutrition'!E:E,0))+(($Y36 / 100)  * _xlfn.XLOOKUP($K36,'Sweetener Mix In Nutrition'!A:A,'Sweetener Mix In Nutrition'!E:E,0))</f>
        <v>0</v>
      </c>
      <c r="AD36" s="36">
        <f>(($R36 / 240) * _xlfn.XLOOKUP($D36,'Milk Types Nutrition Per Cup'!A:A,'Milk Types Nutrition Per Cup'!E:E,0)) +(($S36 / 240)  * _xlfn.XLOOKUP($E36,'Milk Types Nutrition Per Cup'!A:A,'Milk Types Nutrition Per Cup'!E:E,0)) +(($T36 / 15)  * _xlfn.XLOOKUP($F36,'Liquid Mix In Nutrition'!A:A,'Liquid Mix In Nutrition'!E:E,0)) +(($U36 / 15)  * _xlfn.XLOOKUP($G36,'Liquid Mix In Nutrition'!A:A,'Liquid Mix In Nutrition'!E:E,0))+(($X36 / 100)  * _xlfn.XLOOKUP($J36,'Sweetener Mix In Nutrition'!A:A,'Sweetener Mix In Nutrition'!E:E,0))+(($Y36 / 100)  * _xlfn.XLOOKUP($K36,'Sweetener Mix In Nutrition'!A:A,'Sweetener Mix In Nutrition'!E:E,0))</f>
        <v>0</v>
      </c>
      <c r="AE36" s="37">
        <f>(($R36 / 240) * _xlfn.XLOOKUP($D36,'Milk Types Nutrition Per Cup'!A:A,'Milk Types Nutrition Per Cup'!C:C,0)) +(($S36 / 240)  * _xlfn.XLOOKUP($E36,'Milk Types Nutrition Per Cup'!A:A,'Milk Types Nutrition Per Cup'!C:C,0)) +(($T36 / 15)  * _xlfn.XLOOKUP($F36,'Liquid Mix In Nutrition'!A:A,'Liquid Mix In Nutrition'!C:C,0))+(($U36 / 15)  * _xlfn.XLOOKUP($G36,'Liquid Mix In Nutrition'!A:A,'Liquid Mix In Nutrition'!C:C,0))+(($V36 / MAX(1, _xlfn.XLOOKUP($H36,'Solid Mix In Nutrition'!A:A,'Solid Mix In Nutrition'!I:I,1)))  * _xlfn.XLOOKUP($H36,'Solid Mix In Nutrition'!A:A,'Solid Mix In Nutrition'!C:C,0))+(($W36 / MAX(1, _xlfn.XLOOKUP($I36,'Solid Mix In Nutrition'!A:A,'Solid Mix In Nutrition'!I:I,1)))  * _xlfn.XLOOKUP($I36,'Solid Mix In Nutrition'!A:A,'Solid Mix In Nutrition'!C:C,0))+(($X36 / 100)  * _xlfn.XLOOKUP($J36,'Sweetener Mix In Nutrition'!A:A,'Sweetener Mix In Nutrition'!C:C,0))+(($Y36 / 100)  * _xlfn.XLOOKUP($K36,'Sweetener Mix In Nutrition'!A:A,'Sweetener Mix In Nutrition'!C:C,0))</f>
        <v>218.52600000000001</v>
      </c>
      <c r="AF36" s="38">
        <f>$AE36 / (_xlfn.XLOOKUP($L36,Specs!A:A,Specs!B:B,0))</f>
        <v>0.23100000000000001</v>
      </c>
      <c r="AG36" s="37">
        <f>60* ($AB36 / _xlfn.XLOOKUP($L36,Specs!A:A,Specs!B:B,0))</f>
        <v>138.6</v>
      </c>
      <c r="AH36" s="37">
        <f>60* (AC36 / _xlfn.XLOOKUP($L36,Specs!$A:$A,Specs!$B:$B,0))</f>
        <v>0</v>
      </c>
      <c r="AI36" s="37">
        <f>60* (AE36 / _xlfn.XLOOKUP($L36,Specs!$A:$A,Specs!$B:$B,0))</f>
        <v>13.860000000000001</v>
      </c>
      <c r="AJ36" s="39">
        <v>7.2418602960000005</v>
      </c>
      <c r="AK36" s="46" t="s">
        <v>716</v>
      </c>
      <c r="AL36" s="47">
        <v>14.725</v>
      </c>
      <c r="AM36" s="40">
        <v>4</v>
      </c>
      <c r="AN36" s="48">
        <v>20</v>
      </c>
      <c r="AO36" s="40">
        <v>16</v>
      </c>
      <c r="AP36" s="30" t="s">
        <v>210</v>
      </c>
      <c r="AQ36" t="str">
        <f>_xlfn.XLOOKUP("What's Your Number?",[1]Sheet1!$1:$1,[1]Sheet1!36:36)</f>
        <v>(754) 281-7323</v>
      </c>
    </row>
    <row r="37" spans="1:43" ht="30" x14ac:dyDescent="0.25">
      <c r="A37" s="42" t="s">
        <v>730</v>
      </c>
      <c r="B37" s="76" t="s">
        <v>715</v>
      </c>
      <c r="C37" s="31" t="s">
        <v>508</v>
      </c>
      <c r="D37" s="31" t="s">
        <v>71</v>
      </c>
      <c r="E37" s="31" t="s">
        <v>177</v>
      </c>
      <c r="F37" s="31">
        <v>0</v>
      </c>
      <c r="G37" s="31">
        <v>0</v>
      </c>
      <c r="H37" s="31">
        <v>0</v>
      </c>
      <c r="I37" s="31">
        <v>0</v>
      </c>
      <c r="J37" s="31">
        <v>0</v>
      </c>
      <c r="K37" s="31">
        <v>0</v>
      </c>
      <c r="L37" s="77" t="s">
        <v>4</v>
      </c>
      <c r="M37" s="45">
        <v>0</v>
      </c>
      <c r="N37" s="45">
        <v>0</v>
      </c>
      <c r="O37" s="45">
        <v>0</v>
      </c>
      <c r="P37" s="45">
        <v>0</v>
      </c>
      <c r="Q37" s="45">
        <v>0</v>
      </c>
      <c r="R37" s="30">
        <f>(_xlfn.XLOOKUP($L37,Specs!A:A,Specs!B:B,0)-(IF(ISNUMBER(SEARCH("Dulce De Leche", $G37)), 0, $T37))-(IF(ISNUMBER(SEARCH("Dulce De Leche", $F37)), 0, $U37))-(($V37/MAX(1,_xlfn.XLOOKUP($H37,'Solid Mix In Nutrition'!A:A,'Solid Mix In Nutrition'!I:I,1)))*240)-(($W37/MAX(1,_xlfn.XLOOKUP($I37,'Solid Mix In Nutrition'!A:A,'Solid Mix In Nutrition'!I:I,1)))*240))*0.66</f>
        <v>312.18</v>
      </c>
      <c r="S37" s="30">
        <f>(_xlfn.XLOOKUP($L37,Specs!A:A,Specs!B:B,0)-(IF(ISNUMBER(SEARCH("Dulce De Leche", $G37)), 0, $T37))-(IF(ISNUMBER(SEARCH("Dulce De Leche", $F37)), 0, $U37))-(($V37/MAX(1,_xlfn.XLOOKUP($H37,'Solid Mix In Nutrition'!A:A,'Solid Mix In Nutrition'!I:I,1)))*240)-(($W37/MAX(1,_xlfn.XLOOKUP($I37,'Solid Mix In Nutrition'!A:A,'Solid Mix In Nutrition'!I:I,1)))*240))*0.33</f>
        <v>156.09</v>
      </c>
      <c r="T37" s="30">
        <f>_xlfn.XLOOKUP($M37,Specs!$D:$D,Specs!$E:$E,0)*15*_xlfn.XLOOKUP($L37,Specs!$A:$A,Specs!$C:$C,0)</f>
        <v>0</v>
      </c>
      <c r="U37" s="30">
        <f>_xlfn.XLOOKUP($N37,Specs!$D:$D,Specs!$E:$E,0)*15*_xlfn.XLOOKUP($L37,Specs!$A:$A,Specs!$C:$C,0)</f>
        <v>0</v>
      </c>
      <c r="V37" s="30">
        <f>( ((_xlfn.XLOOKUP($O37,Specs!$H:$H,Specs!$I:$I,0)*_xlfn.XLOOKUP($L37,Specs!$A:$A,Specs!$B:$B,0))/240) *_xlfn.XLOOKUP($H37,'Solid Mix In Nutrition'!A:A,'Solid Mix In Nutrition'!I:I,0)) *IF(AND(NOT($I37=0), COUNTA($I37)),0.5,1)</f>
        <v>0</v>
      </c>
      <c r="W37" s="30">
        <f>( ((_xlfn.XLOOKUP($O37,Specs!$H:$H,Specs!$I:$I,0)*_xlfn.XLOOKUP($L37,Specs!$A:$A,Specs!$B:$B,0))/240) *_xlfn.XLOOKUP($I37,'Solid Mix In Nutrition'!A:A,'Solid Mix In Nutrition'!I:I,0)) *IF(AND(NOT($I37=0), COUNTA($I37)),0.5,0)</f>
        <v>0</v>
      </c>
      <c r="X37" s="30">
        <f>_xlfn.XLOOKUP($P37,Specs!F:F,Specs!G:G,0)*_xlfn.XLOOKUP($J37,'Sweetener Mix In Nutrition'!A:A,'Sweetener Mix In Nutrition'!I:I,0)*_xlfn.XLOOKUP($L37,Specs!A:A,Specs!C:C,0)</f>
        <v>0</v>
      </c>
      <c r="Y37" s="30">
        <f>_xlfn.XLOOKUP($Q37,Specs!F:F,Specs!G:G,0)*_xlfn.XLOOKUP($K37,'Sweetener Mix In Nutrition'!A:A,'Sweetener Mix In Nutrition'!I:I,0)*_xlfn.XLOOKUP($L37,Specs!A:A,Specs!C:C,0)</f>
        <v>0</v>
      </c>
      <c r="Z37" s="34">
        <f t="shared" si="0"/>
        <v>0.56192399999999998</v>
      </c>
      <c r="AA37" s="35">
        <f t="shared" si="1"/>
        <v>0.25</v>
      </c>
      <c r="AB37" s="36">
        <f>(($R37 / 240) * _xlfn.XLOOKUP($D37,'Milk Types Nutrition Per Cup'!A:A,'Milk Types Nutrition Per Cup'!B:B,0)) +(($S37 / 240)  * _xlfn.XLOOKUP($E37,'Milk Types Nutrition Per Cup'!A:A,'Milk Types Nutrition Per Cup'!B:B,0)) +(($T37 / 15)  * _xlfn.XLOOKUP($F37,'Liquid Mix In Nutrition'!A:A,'Liquid Mix In Nutrition'!B:B,0))+(($U37 / 15)  * _xlfn.XLOOKUP($G37,'Liquid Mix In Nutrition'!A:A,'Liquid Mix In Nutrition'!B:B,0))+(($V37 /MAX(1, _xlfn.XLOOKUP($H37,'Solid Mix In Nutrition'!A:A,'Solid Mix In Nutrition'!I:I,1)))  * _xlfn.XLOOKUP($H37,'Solid Mix In Nutrition'!A:A,'Solid Mix In Nutrition'!B:B,0))+(($W37 / MAX(1, _xlfn.XLOOKUP($I37,'Solid Mix In Nutrition'!A:A,'Solid Mix In Nutrition'!I:I,1))))+(($X37 / 100)  * _xlfn.XLOOKUP($J37,'Sweetener Mix In Nutrition'!A:A,'Sweetener Mix In Nutrition'!B:B,0))+(($Y37 / 100)  * _xlfn.XLOOKUP($K37,'Sweetener Mix In Nutrition'!A:A,'Sweetener Mix In Nutrition'!B:B,0))</f>
        <v>1092.6300000000001</v>
      </c>
      <c r="AC37" s="36">
        <f>(($R37 / 240) * _xlfn.XLOOKUP($D37,'Milk Types Nutrition Per Cup'!A:A,'Milk Types Nutrition Per Cup'!E:E,0)) +(($S37 / 240)  * _xlfn.XLOOKUP($E37,'Milk Types Nutrition Per Cup'!A:A,'Milk Types Nutrition Per Cup'!E:E,0)) +(($T37 / 15)  * _xlfn.XLOOKUP($F37,'Liquid Mix In Nutrition'!A:A,'Liquid Mix In Nutrition'!E:E,0)) +(($U37 / 15)  * _xlfn.XLOOKUP($G37,'Liquid Mix In Nutrition'!A:A,'Liquid Mix In Nutrition'!E:E,0))+(($V37 / MAX(1, _xlfn.XLOOKUP($H37,'Solid Mix In Nutrition'!A:A,'Solid Mix In Nutrition'!I:I,1)))  * _xlfn.XLOOKUP($H37,'Solid Mix In Nutrition'!A:A,'Solid Mix In Nutrition'!E:E,0))+(($W37 / MAX(1, _xlfn.XLOOKUP($I37,'Solid Mix In Nutrition'!A:A,'Solid Mix In Nutrition'!I:I,1)))  * _xlfn.XLOOKUP($I37,'Solid Mix In Nutrition'!A:A,'Solid Mix In Nutrition'!G:G,0))+(($X37 / 100)  * _xlfn.XLOOKUP($J37,'Sweetener Mix In Nutrition'!A:A,'Sweetener Mix In Nutrition'!E:E,0))+(($Y37 / 100)  * _xlfn.XLOOKUP($K37,'Sweetener Mix In Nutrition'!A:A,'Sweetener Mix In Nutrition'!E:E,0))</f>
        <v>0</v>
      </c>
      <c r="AD37" s="36">
        <f>(($R37 / 240) * _xlfn.XLOOKUP($D37,'Milk Types Nutrition Per Cup'!A:A,'Milk Types Nutrition Per Cup'!E:E,0)) +(($S37 / 240)  * _xlfn.XLOOKUP($E37,'Milk Types Nutrition Per Cup'!A:A,'Milk Types Nutrition Per Cup'!E:E,0)) +(($T37 / 15)  * _xlfn.XLOOKUP($F37,'Liquid Mix In Nutrition'!A:A,'Liquid Mix In Nutrition'!E:E,0)) +(($U37 / 15)  * _xlfn.XLOOKUP($G37,'Liquid Mix In Nutrition'!A:A,'Liquid Mix In Nutrition'!E:E,0))+(($X37 / 100)  * _xlfn.XLOOKUP($J37,'Sweetener Mix In Nutrition'!A:A,'Sweetener Mix In Nutrition'!E:E,0))+(($Y37 / 100)  * _xlfn.XLOOKUP($K37,'Sweetener Mix In Nutrition'!A:A,'Sweetener Mix In Nutrition'!E:E,0))</f>
        <v>0</v>
      </c>
      <c r="AE37" s="37">
        <f>(($R37 / 240) * _xlfn.XLOOKUP($D37,'Milk Types Nutrition Per Cup'!A:A,'Milk Types Nutrition Per Cup'!C:C,0)) +(($S37 / 240)  * _xlfn.XLOOKUP($E37,'Milk Types Nutrition Per Cup'!A:A,'Milk Types Nutrition Per Cup'!C:C,0)) +(($T37 / 15)  * _xlfn.XLOOKUP($F37,'Liquid Mix In Nutrition'!A:A,'Liquid Mix In Nutrition'!C:C,0))+(($U37 / 15)  * _xlfn.XLOOKUP($G37,'Liquid Mix In Nutrition'!A:A,'Liquid Mix In Nutrition'!C:C,0))+(($V37 / MAX(1, _xlfn.XLOOKUP($H37,'Solid Mix In Nutrition'!A:A,'Solid Mix In Nutrition'!I:I,1)))  * _xlfn.XLOOKUP($H37,'Solid Mix In Nutrition'!A:A,'Solid Mix In Nutrition'!C:C,0))+(($W37 / MAX(1, _xlfn.XLOOKUP($I37,'Solid Mix In Nutrition'!A:A,'Solid Mix In Nutrition'!I:I,1)))  * _xlfn.XLOOKUP($I37,'Solid Mix In Nutrition'!A:A,'Solid Mix In Nutrition'!C:C,0))+(($X37 / 100)  * _xlfn.XLOOKUP($J37,'Sweetener Mix In Nutrition'!A:A,'Sweetener Mix In Nutrition'!C:C,0))+(($Y37 / 100)  * _xlfn.XLOOKUP($K37,'Sweetener Mix In Nutrition'!A:A,'Sweetener Mix In Nutrition'!C:C,0))</f>
        <v>109.26300000000001</v>
      </c>
      <c r="AF37" s="38">
        <f>$AE37 / (_xlfn.XLOOKUP($L37,Specs!A:A,Specs!B:B,0))</f>
        <v>0.23100000000000001</v>
      </c>
      <c r="AG37" s="37">
        <f>60* ($AB37 / _xlfn.XLOOKUP($L37,Specs!A:A,Specs!B:B,0))</f>
        <v>138.6</v>
      </c>
      <c r="AH37" s="37">
        <f>60* (AC37 / _xlfn.XLOOKUP($L37,Specs!$A:$A,Specs!$B:$B,0))</f>
        <v>0</v>
      </c>
      <c r="AI37" s="37">
        <f>60* (AE37 / _xlfn.XLOOKUP($L37,Specs!$A:$A,Specs!$B:$B,0))</f>
        <v>13.860000000000001</v>
      </c>
      <c r="AJ37" s="39">
        <v>3.6209301480000002</v>
      </c>
      <c r="AK37" s="46" t="s">
        <v>716</v>
      </c>
      <c r="AL37" s="47">
        <v>14.725</v>
      </c>
      <c r="AM37" s="40">
        <v>4</v>
      </c>
      <c r="AN37" s="48">
        <v>13</v>
      </c>
      <c r="AO37" s="40">
        <v>9</v>
      </c>
      <c r="AP37" s="30" t="s">
        <v>210</v>
      </c>
      <c r="AQ37" t="str">
        <f>_xlfn.XLOOKUP("What's Your Number?",[1]Sheet1!$1:$1,[1]Sheet1!37:37)</f>
        <v>(754) 281-7323</v>
      </c>
    </row>
    <row r="38" spans="1:43" ht="30" x14ac:dyDescent="0.25">
      <c r="A38" s="42" t="s">
        <v>731</v>
      </c>
      <c r="B38" s="76" t="s">
        <v>619</v>
      </c>
      <c r="C38" s="31" t="s">
        <v>708</v>
      </c>
      <c r="D38" s="31" t="s">
        <v>62</v>
      </c>
      <c r="E38" s="31" t="s">
        <v>65</v>
      </c>
      <c r="F38" s="31" t="s">
        <v>522</v>
      </c>
      <c r="G38" s="31" t="s">
        <v>83</v>
      </c>
      <c r="H38" s="31" t="s">
        <v>266</v>
      </c>
      <c r="I38" s="31" t="s">
        <v>104</v>
      </c>
      <c r="J38" s="31" t="s">
        <v>1</v>
      </c>
      <c r="K38" s="31">
        <v>0</v>
      </c>
      <c r="L38" s="77" t="s">
        <v>43</v>
      </c>
      <c r="M38" s="45" t="s">
        <v>451</v>
      </c>
      <c r="N38" s="45" t="s">
        <v>6</v>
      </c>
      <c r="O38" s="45" t="s">
        <v>206</v>
      </c>
      <c r="P38" s="45" t="s">
        <v>159</v>
      </c>
      <c r="Q38" s="45">
        <v>0</v>
      </c>
      <c r="R38" s="30">
        <f>(_xlfn.XLOOKUP($L38,Specs!A:A,Specs!B:B,0)-(IF(ISNUMBER(SEARCH("Dulce De Leche", $G38)), 0, $T38))-(IF(ISNUMBER(SEARCH("Dulce De Leche", $F38)), 0, $U38))-(($V38/MAX(1,_xlfn.XLOOKUP($H38,'Solid Mix In Nutrition'!A:A,'Solid Mix In Nutrition'!I:I,1)))*240)-(($W38/MAX(1,_xlfn.XLOOKUP($I38,'Solid Mix In Nutrition'!A:A,'Solid Mix In Nutrition'!I:I,1)))*240))*0.66</f>
        <v>405.83400000000006</v>
      </c>
      <c r="S38" s="30">
        <f>(_xlfn.XLOOKUP($L38,Specs!A:A,Specs!B:B,0)-(IF(ISNUMBER(SEARCH("Dulce De Leche", $G38)), 0, $T38))-(IF(ISNUMBER(SEARCH("Dulce De Leche", $F38)), 0, $U38))-(($V38/MAX(1,_xlfn.XLOOKUP($H38,'Solid Mix In Nutrition'!A:A,'Solid Mix In Nutrition'!I:I,1)))*240)-(($W38/MAX(1,_xlfn.XLOOKUP($I38,'Solid Mix In Nutrition'!A:A,'Solid Mix In Nutrition'!I:I,1)))*240))*0.33</f>
        <v>202.91700000000003</v>
      </c>
      <c r="T38" s="30">
        <f>_xlfn.XLOOKUP($M38,Specs!$D:$D,Specs!$E:$E,0)*15*_xlfn.XLOOKUP($L38,Specs!$A:$A,Specs!$C:$C,0)</f>
        <v>120</v>
      </c>
      <c r="U38" s="30">
        <f>_xlfn.XLOOKUP($N38,Specs!$D:$D,Specs!$E:$E,0)*15*_xlfn.XLOOKUP($L38,Specs!$A:$A,Specs!$C:$C,0)</f>
        <v>0</v>
      </c>
      <c r="V38" s="30">
        <f>( ((_xlfn.XLOOKUP($O38,Specs!$H:$H,Specs!$I:$I,0)*_xlfn.XLOOKUP($L38,Specs!$A:$A,Specs!$B:$B,0))/240) *_xlfn.XLOOKUP($H38,'Solid Mix In Nutrition'!A:A,'Solid Mix In Nutrition'!I:I,0)) *IF(AND(NOT($I38=0), COUNTA($I38)),0.5,1)</f>
        <v>220.73333333333329</v>
      </c>
      <c r="W38" s="30">
        <f>( ((_xlfn.XLOOKUP($O38,Specs!$H:$H,Specs!$I:$I,0)*_xlfn.XLOOKUP($L38,Specs!$A:$A,Specs!$B:$B,0))/240) *_xlfn.XLOOKUP($I38,'Solid Mix In Nutrition'!A:A,'Solid Mix In Nutrition'!I:I,0)) *IF(AND(NOT($I38=0), COUNTA($I38)),0.5,0)</f>
        <v>165.54999999999998</v>
      </c>
      <c r="X38" s="30">
        <f>_xlfn.XLOOKUP($P38,Specs!F:F,Specs!G:G,0)*_xlfn.XLOOKUP($J38,'Sweetener Mix In Nutrition'!A:A,'Sweetener Mix In Nutrition'!I:I,0)*_xlfn.XLOOKUP($L38,Specs!A:A,Specs!C:C,0)</f>
        <v>0</v>
      </c>
      <c r="Y38" s="30">
        <f>_xlfn.XLOOKUP($Q38,Specs!F:F,Specs!G:G,0)*_xlfn.XLOOKUP($K38,'Sweetener Mix In Nutrition'!A:A,'Sweetener Mix In Nutrition'!I:I,0)*_xlfn.XLOOKUP($L38,Specs!A:A,Specs!C:C,0)</f>
        <v>0</v>
      </c>
      <c r="Z38" s="34">
        <f t="shared" si="0"/>
        <v>0.87450119999999998</v>
      </c>
      <c r="AA38" s="35">
        <f t="shared" si="1"/>
        <v>0.25</v>
      </c>
      <c r="AB38" s="36">
        <f>(($R38 / 240) * _xlfn.XLOOKUP($D38,'Milk Types Nutrition Per Cup'!A:A,'Milk Types Nutrition Per Cup'!B:B,0)) +(($S38 / 240)  * _xlfn.XLOOKUP($E38,'Milk Types Nutrition Per Cup'!A:A,'Milk Types Nutrition Per Cup'!B:B,0)) +(($T38 / 15)  * _xlfn.XLOOKUP($F38,'Liquid Mix In Nutrition'!A:A,'Liquid Mix In Nutrition'!B:B,0))+(($U38 / 15)  * _xlfn.XLOOKUP($G38,'Liquid Mix In Nutrition'!A:A,'Liquid Mix In Nutrition'!B:B,0))+(($V38 /MAX(1, _xlfn.XLOOKUP($H38,'Solid Mix In Nutrition'!A:A,'Solid Mix In Nutrition'!I:I,1)))  * _xlfn.XLOOKUP($H38,'Solid Mix In Nutrition'!A:A,'Solid Mix In Nutrition'!B:B,0))+(($W38 / MAX(1, _xlfn.XLOOKUP($I38,'Solid Mix In Nutrition'!A:A,'Solid Mix In Nutrition'!I:I,1))))+(($X38 / 100)  * _xlfn.XLOOKUP($J38,'Sweetener Mix In Nutrition'!A:A,'Sweetener Mix In Nutrition'!B:B,0))+(($Y38 / 100)  * _xlfn.XLOOKUP($K38,'Sweetener Mix In Nutrition'!A:A,'Sweetener Mix In Nutrition'!B:B,0))</f>
        <v>2543.3078934729065</v>
      </c>
      <c r="AC38" s="36">
        <f>(($R38 / 240) * _xlfn.XLOOKUP($D38,'Milk Types Nutrition Per Cup'!A:A,'Milk Types Nutrition Per Cup'!E:E,0)) +(($S38 / 240)  * _xlfn.XLOOKUP($E38,'Milk Types Nutrition Per Cup'!A:A,'Milk Types Nutrition Per Cup'!E:E,0)) +(($T38 / 15)  * _xlfn.XLOOKUP($F38,'Liquid Mix In Nutrition'!A:A,'Liquid Mix In Nutrition'!E:E,0)) +(($U38 / 15)  * _xlfn.XLOOKUP($G38,'Liquid Mix In Nutrition'!A:A,'Liquid Mix In Nutrition'!E:E,0))+(($V38 / MAX(1, _xlfn.XLOOKUP($H38,'Solid Mix In Nutrition'!A:A,'Solid Mix In Nutrition'!I:I,1)))  * _xlfn.XLOOKUP($H38,'Solid Mix In Nutrition'!A:A,'Solid Mix In Nutrition'!E:E,0))+(($W38 / MAX(1, _xlfn.XLOOKUP($I38,'Solid Mix In Nutrition'!A:A,'Solid Mix In Nutrition'!I:I,1)))  * _xlfn.XLOOKUP($I38,'Solid Mix In Nutrition'!A:A,'Solid Mix In Nutrition'!G:G,0))+(($X38 / 100)  * _xlfn.XLOOKUP($J38,'Sweetener Mix In Nutrition'!A:A,'Sweetener Mix In Nutrition'!E:E,0))+(($Y38 / 100)  * _xlfn.XLOOKUP($K38,'Sweetener Mix In Nutrition'!A:A,'Sweetener Mix In Nutrition'!E:E,0))</f>
        <v>72.113000011904759</v>
      </c>
      <c r="AD38" s="36">
        <f>(($R38 / 240) * _xlfn.XLOOKUP($D38,'Milk Types Nutrition Per Cup'!A:A,'Milk Types Nutrition Per Cup'!E:E,0)) +(($S38 / 240)  * _xlfn.XLOOKUP($E38,'Milk Types Nutrition Per Cup'!A:A,'Milk Types Nutrition Per Cup'!E:E,0)) +(($T38 / 15)  * _xlfn.XLOOKUP($F38,'Liquid Mix In Nutrition'!A:A,'Liquid Mix In Nutrition'!E:E,0)) +(($U38 / 15)  * _xlfn.XLOOKUP($G38,'Liquid Mix In Nutrition'!A:A,'Liquid Mix In Nutrition'!E:E,0))+(($X38 / 100)  * _xlfn.XLOOKUP($J38,'Sweetener Mix In Nutrition'!A:A,'Sweetener Mix In Nutrition'!E:E,0))+(($Y38 / 100)  * _xlfn.XLOOKUP($K38,'Sweetener Mix In Nutrition'!A:A,'Sweetener Mix In Nutrition'!E:E,0))</f>
        <v>6.7639000000000014</v>
      </c>
      <c r="AE38" s="37">
        <f>(($R38 / 240) * _xlfn.XLOOKUP($D38,'Milk Types Nutrition Per Cup'!A:A,'Milk Types Nutrition Per Cup'!C:C,0)) +(($S38 / 240)  * _xlfn.XLOOKUP($E38,'Milk Types Nutrition Per Cup'!A:A,'Milk Types Nutrition Per Cup'!C:C,0)) +(($T38 / 15)  * _xlfn.XLOOKUP($F38,'Liquid Mix In Nutrition'!A:A,'Liquid Mix In Nutrition'!C:C,0))+(($U38 / 15)  * _xlfn.XLOOKUP($G38,'Liquid Mix In Nutrition'!A:A,'Liquid Mix In Nutrition'!C:C,0))+(($V38 / MAX(1, _xlfn.XLOOKUP($H38,'Solid Mix In Nutrition'!A:A,'Solid Mix In Nutrition'!I:I,1)))  * _xlfn.XLOOKUP($H38,'Solid Mix In Nutrition'!A:A,'Solid Mix In Nutrition'!C:C,0))+(($W38 / MAX(1, _xlfn.XLOOKUP($I38,'Solid Mix In Nutrition'!A:A,'Solid Mix In Nutrition'!I:I,1)))  * _xlfn.XLOOKUP($I38,'Solid Mix In Nutrition'!A:A,'Solid Mix In Nutrition'!C:C,0))+(($X38 / 100)  * _xlfn.XLOOKUP($J38,'Sweetener Mix In Nutrition'!A:A,'Sweetener Mix In Nutrition'!C:C,0))+(($Y38 / 100)  * _xlfn.XLOOKUP($K38,'Sweetener Mix In Nutrition'!A:A,'Sweetener Mix In Nutrition'!C:C,0))</f>
        <v>262.96722372742204</v>
      </c>
      <c r="AF38" s="38">
        <f>$AE38 / (_xlfn.XLOOKUP($L38,Specs!A:A,Specs!B:B,0))</f>
        <v>0.27797803776683089</v>
      </c>
      <c r="AG38" s="37">
        <f>60* ($AB38 / _xlfn.XLOOKUP($L38,Specs!A:A,Specs!B:B,0))</f>
        <v>161.30916871921181</v>
      </c>
      <c r="AH38" s="37">
        <f>60* (AC38 / _xlfn.XLOOKUP($L38,Specs!$A:$A,Specs!$B:$B,0))</f>
        <v>4.5737632142857141</v>
      </c>
      <c r="AI38" s="37">
        <f>60* (AE38 / _xlfn.XLOOKUP($L38,Specs!$A:$A,Specs!$B:$B,0))</f>
        <v>16.678682266009854</v>
      </c>
      <c r="AJ38" s="39">
        <v>4.224508112534842</v>
      </c>
      <c r="AK38" s="46" t="s">
        <v>732</v>
      </c>
      <c r="AL38" s="47">
        <v>0</v>
      </c>
      <c r="AM38" s="40">
        <v>0</v>
      </c>
      <c r="AN38" s="48">
        <v>9</v>
      </c>
      <c r="AO38" s="40">
        <v>9</v>
      </c>
      <c r="AP38" s="30" t="s">
        <v>500</v>
      </c>
      <c r="AQ38" t="str">
        <f>_xlfn.XLOOKUP("What's Your Number?",[1]Sheet1!$1:$1,[1]Sheet1!38:38)</f>
        <v>5612914048</v>
      </c>
    </row>
    <row r="39" spans="1:43" x14ac:dyDescent="0.25">
      <c r="A39" s="42" t="s">
        <v>733</v>
      </c>
      <c r="B39" s="76" t="s">
        <v>734</v>
      </c>
      <c r="C39" s="31" t="s">
        <v>358</v>
      </c>
      <c r="D39" s="31" t="s">
        <v>71</v>
      </c>
      <c r="E39" s="31" t="s">
        <v>177</v>
      </c>
      <c r="F39" s="31" t="s">
        <v>0</v>
      </c>
      <c r="G39" s="31">
        <v>0</v>
      </c>
      <c r="H39" s="31">
        <v>0</v>
      </c>
      <c r="I39" s="31">
        <v>0</v>
      </c>
      <c r="J39" s="31" t="s">
        <v>510</v>
      </c>
      <c r="K39" s="31">
        <v>0</v>
      </c>
      <c r="L39" s="77" t="s">
        <v>4</v>
      </c>
      <c r="M39" s="45" t="s">
        <v>46</v>
      </c>
      <c r="N39" s="45" t="s">
        <v>44</v>
      </c>
      <c r="O39" s="45">
        <v>0</v>
      </c>
      <c r="P39" s="45" t="s">
        <v>173</v>
      </c>
      <c r="Q39" s="45">
        <v>0</v>
      </c>
      <c r="R39" s="30">
        <f>(_xlfn.XLOOKUP($L39,Specs!A:A,Specs!B:B,0)-(IF(ISNUMBER(SEARCH("Dulce De Leche", $G39)), 0, $T39))-(IF(ISNUMBER(SEARCH("Dulce De Leche", $F39)), 0, $U39))-(($V39/MAX(1,_xlfn.XLOOKUP($H39,'Solid Mix In Nutrition'!A:A,'Solid Mix In Nutrition'!I:I,1)))*240)-(($W39/MAX(1,_xlfn.XLOOKUP($I39,'Solid Mix In Nutrition'!A:A,'Solid Mix In Nutrition'!I:I,1)))*240))*0.66</f>
        <v>302.28000000000003</v>
      </c>
      <c r="S39" s="30">
        <f>(_xlfn.XLOOKUP($L39,Specs!A:A,Specs!B:B,0)-(IF(ISNUMBER(SEARCH("Dulce De Leche", $G39)), 0, $T39))-(IF(ISNUMBER(SEARCH("Dulce De Leche", $F39)), 0, $U39))-(($V39/MAX(1,_xlfn.XLOOKUP($H39,'Solid Mix In Nutrition'!A:A,'Solid Mix In Nutrition'!I:I,1)))*240)-(($W39/MAX(1,_xlfn.XLOOKUP($I39,'Solid Mix In Nutrition'!A:A,'Solid Mix In Nutrition'!I:I,1)))*240))*0.33</f>
        <v>151.14000000000001</v>
      </c>
      <c r="T39" s="30">
        <f>_xlfn.XLOOKUP($M39,Specs!$D:$D,Specs!$E:$E,0)*15*_xlfn.XLOOKUP($L39,Specs!$A:$A,Specs!$C:$C,0)</f>
        <v>15</v>
      </c>
      <c r="U39" s="30">
        <f>_xlfn.XLOOKUP($N39,Specs!$D:$D,Specs!$E:$E,0)*15*_xlfn.XLOOKUP($L39,Specs!$A:$A,Specs!$C:$C,0)</f>
        <v>0</v>
      </c>
      <c r="V39" s="30">
        <f>( ((_xlfn.XLOOKUP($O39,Specs!$H:$H,Specs!$I:$I,0)*_xlfn.XLOOKUP($L39,Specs!$A:$A,Specs!$B:$B,0))/240) *_xlfn.XLOOKUP($H39,'Solid Mix In Nutrition'!A:A,'Solid Mix In Nutrition'!I:I,0)) *IF(AND(NOT($I39=0), COUNTA($I39)),0.5,1)</f>
        <v>0</v>
      </c>
      <c r="W39" s="30">
        <f>( ((_xlfn.XLOOKUP($O39,Specs!$H:$H,Specs!$I:$I,0)*_xlfn.XLOOKUP($L39,Specs!$A:$A,Specs!$B:$B,0))/240) *_xlfn.XLOOKUP($I39,'Solid Mix In Nutrition'!A:A,'Solid Mix In Nutrition'!I:I,0)) *IF(AND(NOT($I39=0), COUNTA($I39)),0.5,0)</f>
        <v>0</v>
      </c>
      <c r="X39" s="30">
        <f>_xlfn.XLOOKUP($P39,Specs!F:F,Specs!G:G,0)*_xlfn.XLOOKUP($J39,'Sweetener Mix In Nutrition'!A:A,'Sweetener Mix In Nutrition'!I:I,0)*_xlfn.XLOOKUP($L39,Specs!A:A,Specs!C:C,0)</f>
        <v>8.75</v>
      </c>
      <c r="Y39" s="30">
        <f>_xlfn.XLOOKUP($Q39,Specs!F:F,Specs!G:G,0)*_xlfn.XLOOKUP($K39,'Sweetener Mix In Nutrition'!A:A,'Sweetener Mix In Nutrition'!I:I,0)*_xlfn.XLOOKUP($L39,Specs!A:A,Specs!C:C,0)</f>
        <v>0</v>
      </c>
      <c r="Z39" s="34">
        <f t="shared" si="0"/>
        <v>0.572604</v>
      </c>
      <c r="AA39" s="35">
        <f t="shared" si="1"/>
        <v>0.25</v>
      </c>
      <c r="AB39" s="36">
        <f>(($R39 / 240) * _xlfn.XLOOKUP($D39,'Milk Types Nutrition Per Cup'!A:A,'Milk Types Nutrition Per Cup'!B:B,0)) +(($S39 / 240)  * _xlfn.XLOOKUP($E39,'Milk Types Nutrition Per Cup'!A:A,'Milk Types Nutrition Per Cup'!B:B,0)) +(($T39 / 15)  * _xlfn.XLOOKUP($F39,'Liquid Mix In Nutrition'!A:A,'Liquid Mix In Nutrition'!B:B,0))+(($U39 / 15)  * _xlfn.XLOOKUP($G39,'Liquid Mix In Nutrition'!A:A,'Liquid Mix In Nutrition'!B:B,0))+(($V39 /MAX(1, _xlfn.XLOOKUP($H39,'Solid Mix In Nutrition'!A:A,'Solid Mix In Nutrition'!I:I,1)))  * _xlfn.XLOOKUP($H39,'Solid Mix In Nutrition'!A:A,'Solid Mix In Nutrition'!B:B,0))+(($W39 / MAX(1, _xlfn.XLOOKUP($I39,'Solid Mix In Nutrition'!A:A,'Solid Mix In Nutrition'!I:I,1))))+(($X39 / 100)  * _xlfn.XLOOKUP($J39,'Sweetener Mix In Nutrition'!A:A,'Sweetener Mix In Nutrition'!B:B,0))+(($Y39 / 100)  * _xlfn.XLOOKUP($K39,'Sweetener Mix In Nutrition'!A:A,'Sweetener Mix In Nutrition'!B:B,0))</f>
        <v>1102.98</v>
      </c>
      <c r="AC39" s="36">
        <f>(($R39 / 240) * _xlfn.XLOOKUP($D39,'Milk Types Nutrition Per Cup'!A:A,'Milk Types Nutrition Per Cup'!E:E,0)) +(($S39 / 240)  * _xlfn.XLOOKUP($E39,'Milk Types Nutrition Per Cup'!A:A,'Milk Types Nutrition Per Cup'!E:E,0)) +(($T39 / 15)  * _xlfn.XLOOKUP($F39,'Liquid Mix In Nutrition'!A:A,'Liquid Mix In Nutrition'!E:E,0)) +(($U39 / 15)  * _xlfn.XLOOKUP($G39,'Liquid Mix In Nutrition'!A:A,'Liquid Mix In Nutrition'!E:E,0))+(($V39 / MAX(1, _xlfn.XLOOKUP($H39,'Solid Mix In Nutrition'!A:A,'Solid Mix In Nutrition'!I:I,1)))  * _xlfn.XLOOKUP($H39,'Solid Mix In Nutrition'!A:A,'Solid Mix In Nutrition'!E:E,0))+(($W39 / MAX(1, _xlfn.XLOOKUP($I39,'Solid Mix In Nutrition'!A:A,'Solid Mix In Nutrition'!I:I,1)))  * _xlfn.XLOOKUP($I39,'Solid Mix In Nutrition'!A:A,'Solid Mix In Nutrition'!G:G,0))+(($X39 / 100)  * _xlfn.XLOOKUP($J39,'Sweetener Mix In Nutrition'!A:A,'Sweetener Mix In Nutrition'!E:E,0))+(($Y39 / 100)  * _xlfn.XLOOKUP($K39,'Sweetener Mix In Nutrition'!A:A,'Sweetener Mix In Nutrition'!E:E,0))</f>
        <v>9</v>
      </c>
      <c r="AD39" s="36">
        <f>(($R39 / 240) * _xlfn.XLOOKUP($D39,'Milk Types Nutrition Per Cup'!A:A,'Milk Types Nutrition Per Cup'!E:E,0)) +(($S39 / 240)  * _xlfn.XLOOKUP($E39,'Milk Types Nutrition Per Cup'!A:A,'Milk Types Nutrition Per Cup'!E:E,0)) +(($T39 / 15)  * _xlfn.XLOOKUP($F39,'Liquid Mix In Nutrition'!A:A,'Liquid Mix In Nutrition'!E:E,0)) +(($U39 / 15)  * _xlfn.XLOOKUP($G39,'Liquid Mix In Nutrition'!A:A,'Liquid Mix In Nutrition'!E:E,0))+(($X39 / 100)  * _xlfn.XLOOKUP($J39,'Sweetener Mix In Nutrition'!A:A,'Sweetener Mix In Nutrition'!E:E,0))+(($Y39 / 100)  * _xlfn.XLOOKUP($K39,'Sweetener Mix In Nutrition'!A:A,'Sweetener Mix In Nutrition'!E:E,0))</f>
        <v>9</v>
      </c>
      <c r="AE39" s="37">
        <f>(($R39 / 240) * _xlfn.XLOOKUP($D39,'Milk Types Nutrition Per Cup'!A:A,'Milk Types Nutrition Per Cup'!C:C,0)) +(($S39 / 240)  * _xlfn.XLOOKUP($E39,'Milk Types Nutrition Per Cup'!A:A,'Milk Types Nutrition Per Cup'!C:C,0)) +(($T39 / 15)  * _xlfn.XLOOKUP($F39,'Liquid Mix In Nutrition'!A:A,'Liquid Mix In Nutrition'!C:C,0))+(($U39 / 15)  * _xlfn.XLOOKUP($G39,'Liquid Mix In Nutrition'!A:A,'Liquid Mix In Nutrition'!C:C,0))+(($V39 / MAX(1, _xlfn.XLOOKUP($H39,'Solid Mix In Nutrition'!A:A,'Solid Mix In Nutrition'!I:I,1)))  * _xlfn.XLOOKUP($H39,'Solid Mix In Nutrition'!A:A,'Solid Mix In Nutrition'!C:C,0))+(($W39 / MAX(1, _xlfn.XLOOKUP($I39,'Solid Mix In Nutrition'!A:A,'Solid Mix In Nutrition'!I:I,1)))  * _xlfn.XLOOKUP($I39,'Solid Mix In Nutrition'!A:A,'Solid Mix In Nutrition'!C:C,0))+(($X39 / 100)  * _xlfn.XLOOKUP($J39,'Sweetener Mix In Nutrition'!A:A,'Sweetener Mix In Nutrition'!C:C,0))+(($Y39 / 100)  * _xlfn.XLOOKUP($K39,'Sweetener Mix In Nutrition'!A:A,'Sweetener Mix In Nutrition'!C:C,0))</f>
        <v>105.798</v>
      </c>
      <c r="AF39" s="38">
        <f>$AE39 / (_xlfn.XLOOKUP($L39,Specs!A:A,Specs!B:B,0))</f>
        <v>0.22367441860465118</v>
      </c>
      <c r="AG39" s="37">
        <f>60* ($AB39 / _xlfn.XLOOKUP($L39,Specs!A:A,Specs!B:B,0))</f>
        <v>139.91289640591967</v>
      </c>
      <c r="AH39" s="37">
        <f>60* (AC39 / _xlfn.XLOOKUP($L39,Specs!$A:$A,Specs!$B:$B,0))</f>
        <v>1.1416490486257929</v>
      </c>
      <c r="AI39" s="37">
        <f>60* (AE39 / _xlfn.XLOOKUP($L39,Specs!$A:$A,Specs!$B:$B,0))</f>
        <v>13.42046511627907</v>
      </c>
      <c r="AJ39" s="39">
        <v>4.2616144250225361</v>
      </c>
      <c r="AK39" s="46">
        <v>0</v>
      </c>
      <c r="AL39" s="47">
        <v>0</v>
      </c>
      <c r="AM39" s="40">
        <v>0</v>
      </c>
      <c r="AN39" s="48">
        <v>10</v>
      </c>
      <c r="AO39" s="40">
        <v>10</v>
      </c>
      <c r="AP39" s="30" t="s">
        <v>500</v>
      </c>
      <c r="AQ39" t="str">
        <f>_xlfn.XLOOKUP("What's Your Number?",[1]Sheet1!$1:$1,[1]Sheet1!39:39)</f>
        <v>954-483-8278</v>
      </c>
    </row>
    <row r="40" spans="1:43" x14ac:dyDescent="0.25">
      <c r="A40" s="42" t="s">
        <v>735</v>
      </c>
      <c r="B40" s="76" t="s">
        <v>734</v>
      </c>
      <c r="C40" s="31" t="s">
        <v>252</v>
      </c>
      <c r="D40" s="31">
        <v>0</v>
      </c>
      <c r="E40" s="31">
        <v>0</v>
      </c>
      <c r="F40" s="31">
        <v>0</v>
      </c>
      <c r="G40" s="31">
        <v>0</v>
      </c>
      <c r="H40" s="31">
        <v>0</v>
      </c>
      <c r="I40" s="31">
        <v>0</v>
      </c>
      <c r="J40" s="31">
        <v>0</v>
      </c>
      <c r="K40" s="31">
        <v>0</v>
      </c>
      <c r="L40" s="77" t="s">
        <v>4</v>
      </c>
      <c r="M40" s="45">
        <v>0</v>
      </c>
      <c r="N40" s="45">
        <v>0</v>
      </c>
      <c r="O40" s="45">
        <v>0</v>
      </c>
      <c r="P40" s="45">
        <v>0</v>
      </c>
      <c r="Q40" s="45">
        <v>0</v>
      </c>
      <c r="R40" s="30">
        <f>(_xlfn.XLOOKUP($L40,Specs!A:A,Specs!B:B,0)-(IF(ISNUMBER(SEARCH("Dulce De Leche", $G40)), 0, $T40))-(IF(ISNUMBER(SEARCH("Dulce De Leche", $F40)), 0, $U40))-(($V40/MAX(1,_xlfn.XLOOKUP($H40,'Solid Mix In Nutrition'!A:A,'Solid Mix In Nutrition'!I:I,1)))*240)-(($W40/MAX(1,_xlfn.XLOOKUP($I40,'Solid Mix In Nutrition'!A:A,'Solid Mix In Nutrition'!I:I,1)))*240))*0.66</f>
        <v>312.18</v>
      </c>
      <c r="S40" s="30">
        <f>(_xlfn.XLOOKUP($L40,Specs!A:A,Specs!B:B,0)-(IF(ISNUMBER(SEARCH("Dulce De Leche", $G40)), 0, $T40))-(IF(ISNUMBER(SEARCH("Dulce De Leche", $F40)), 0, $U40))-(($V40/MAX(1,_xlfn.XLOOKUP($H40,'Solid Mix In Nutrition'!A:A,'Solid Mix In Nutrition'!I:I,1)))*240)-(($W40/MAX(1,_xlfn.XLOOKUP($I40,'Solid Mix In Nutrition'!A:A,'Solid Mix In Nutrition'!I:I,1)))*240))*0.33</f>
        <v>156.09</v>
      </c>
      <c r="T40" s="30">
        <f>_xlfn.XLOOKUP($M40,Specs!$D:$D,Specs!$E:$E,0)*15*_xlfn.XLOOKUP($L40,Specs!$A:$A,Specs!$C:$C,0)</f>
        <v>0</v>
      </c>
      <c r="U40" s="30">
        <f>_xlfn.XLOOKUP($N40,Specs!$D:$D,Specs!$E:$E,0)*15*_xlfn.XLOOKUP($L40,Specs!$A:$A,Specs!$C:$C,0)</f>
        <v>0</v>
      </c>
      <c r="V40" s="30">
        <f>( ((_xlfn.XLOOKUP($O40,Specs!$H:$H,Specs!$I:$I,0)*_xlfn.XLOOKUP($L40,Specs!$A:$A,Specs!$B:$B,0))/240) *_xlfn.XLOOKUP($H40,'Solid Mix In Nutrition'!A:A,'Solid Mix In Nutrition'!I:I,0)) *IF(AND(NOT($I40=0), COUNTA($I40)),0.5,1)</f>
        <v>0</v>
      </c>
      <c r="W40" s="30">
        <f>( ((_xlfn.XLOOKUP($O40,Specs!$H:$H,Specs!$I:$I,0)*_xlfn.XLOOKUP($L40,Specs!$A:$A,Specs!$B:$B,0))/240) *_xlfn.XLOOKUP($I40,'Solid Mix In Nutrition'!A:A,'Solid Mix In Nutrition'!I:I,0)) *IF(AND(NOT($I40=0), COUNTA($I40)),0.5,0)</f>
        <v>0</v>
      </c>
      <c r="X40" s="30">
        <f>_xlfn.XLOOKUP($P40,Specs!F:F,Specs!G:G,0)*_xlfn.XLOOKUP($J40,'Sweetener Mix In Nutrition'!A:A,'Sweetener Mix In Nutrition'!I:I,0)*_xlfn.XLOOKUP($L40,Specs!A:A,Specs!C:C,0)</f>
        <v>0</v>
      </c>
      <c r="Y40" s="30">
        <f>_xlfn.XLOOKUP($Q40,Specs!F:F,Specs!G:G,0)*_xlfn.XLOOKUP($K40,'Sweetener Mix In Nutrition'!A:A,'Sweetener Mix In Nutrition'!I:I,0)*_xlfn.XLOOKUP($L40,Specs!A:A,Specs!C:C,0)</f>
        <v>0</v>
      </c>
      <c r="Z40" s="34">
        <f t="shared" si="0"/>
        <v>0.56192399999999998</v>
      </c>
      <c r="AA40" s="35">
        <f t="shared" si="1"/>
        <v>0.25</v>
      </c>
      <c r="AB40" s="36">
        <f>(($R40 / 240) * _xlfn.XLOOKUP($D40,'Milk Types Nutrition Per Cup'!A:A,'Milk Types Nutrition Per Cup'!B:B,0)) +(($S40 / 240)  * _xlfn.XLOOKUP($E40,'Milk Types Nutrition Per Cup'!A:A,'Milk Types Nutrition Per Cup'!B:B,0)) +(($T40 / 15)  * _xlfn.XLOOKUP($F40,'Liquid Mix In Nutrition'!A:A,'Liquid Mix In Nutrition'!B:B,0))+(($U40 / 15)  * _xlfn.XLOOKUP($G40,'Liquid Mix In Nutrition'!A:A,'Liquid Mix In Nutrition'!B:B,0))+(($V40 /MAX(1, _xlfn.XLOOKUP($H40,'Solid Mix In Nutrition'!A:A,'Solid Mix In Nutrition'!I:I,1)))  * _xlfn.XLOOKUP($H40,'Solid Mix In Nutrition'!A:A,'Solid Mix In Nutrition'!B:B,0))+(($W40 / MAX(1, _xlfn.XLOOKUP($I40,'Solid Mix In Nutrition'!A:A,'Solid Mix In Nutrition'!I:I,1))))+(($X40 / 100)  * _xlfn.XLOOKUP($J40,'Sweetener Mix In Nutrition'!A:A,'Sweetener Mix In Nutrition'!B:B,0))+(($Y40 / 100)  * _xlfn.XLOOKUP($K40,'Sweetener Mix In Nutrition'!A:A,'Sweetener Mix In Nutrition'!B:B,0))</f>
        <v>0</v>
      </c>
      <c r="AC40" s="36">
        <f>(($R40 / 240) * _xlfn.XLOOKUP($D40,'Milk Types Nutrition Per Cup'!A:A,'Milk Types Nutrition Per Cup'!E:E,0)) +(($S40 / 240)  * _xlfn.XLOOKUP($E40,'Milk Types Nutrition Per Cup'!A:A,'Milk Types Nutrition Per Cup'!E:E,0)) +(($T40 / 15)  * _xlfn.XLOOKUP($F40,'Liquid Mix In Nutrition'!A:A,'Liquid Mix In Nutrition'!E:E,0)) +(($U40 / 15)  * _xlfn.XLOOKUP($G40,'Liquid Mix In Nutrition'!A:A,'Liquid Mix In Nutrition'!E:E,0))+(($V40 / MAX(1, _xlfn.XLOOKUP($H40,'Solid Mix In Nutrition'!A:A,'Solid Mix In Nutrition'!I:I,1)))  * _xlfn.XLOOKUP($H40,'Solid Mix In Nutrition'!A:A,'Solid Mix In Nutrition'!E:E,0))+(($W40 / MAX(1, _xlfn.XLOOKUP($I40,'Solid Mix In Nutrition'!A:A,'Solid Mix In Nutrition'!I:I,1)))  * _xlfn.XLOOKUP($I40,'Solid Mix In Nutrition'!A:A,'Solid Mix In Nutrition'!G:G,0))+(($X40 / 100)  * _xlfn.XLOOKUP($J40,'Sweetener Mix In Nutrition'!A:A,'Sweetener Mix In Nutrition'!E:E,0))+(($Y40 / 100)  * _xlfn.XLOOKUP($K40,'Sweetener Mix In Nutrition'!A:A,'Sweetener Mix In Nutrition'!E:E,0))</f>
        <v>0</v>
      </c>
      <c r="AD40" s="36">
        <f>(($R40 / 240) * _xlfn.XLOOKUP($D40,'Milk Types Nutrition Per Cup'!A:A,'Milk Types Nutrition Per Cup'!E:E,0)) +(($S40 / 240)  * _xlfn.XLOOKUP($E40,'Milk Types Nutrition Per Cup'!A:A,'Milk Types Nutrition Per Cup'!E:E,0)) +(($T40 / 15)  * _xlfn.XLOOKUP($F40,'Liquid Mix In Nutrition'!A:A,'Liquid Mix In Nutrition'!E:E,0)) +(($U40 / 15)  * _xlfn.XLOOKUP($G40,'Liquid Mix In Nutrition'!A:A,'Liquid Mix In Nutrition'!E:E,0))+(($X40 / 100)  * _xlfn.XLOOKUP($J40,'Sweetener Mix In Nutrition'!A:A,'Sweetener Mix In Nutrition'!E:E,0))+(($Y40 / 100)  * _xlfn.XLOOKUP($K40,'Sweetener Mix In Nutrition'!A:A,'Sweetener Mix In Nutrition'!E:E,0))</f>
        <v>0</v>
      </c>
      <c r="AE40" s="37">
        <f>(($R40 / 240) * _xlfn.XLOOKUP($D40,'Milk Types Nutrition Per Cup'!A:A,'Milk Types Nutrition Per Cup'!C:C,0)) +(($S40 / 240)  * _xlfn.XLOOKUP($E40,'Milk Types Nutrition Per Cup'!A:A,'Milk Types Nutrition Per Cup'!C:C,0)) +(($T40 / 15)  * _xlfn.XLOOKUP($F40,'Liquid Mix In Nutrition'!A:A,'Liquid Mix In Nutrition'!C:C,0))+(($U40 / 15)  * _xlfn.XLOOKUP($G40,'Liquid Mix In Nutrition'!A:A,'Liquid Mix In Nutrition'!C:C,0))+(($V40 / MAX(1, _xlfn.XLOOKUP($H40,'Solid Mix In Nutrition'!A:A,'Solid Mix In Nutrition'!I:I,1)))  * _xlfn.XLOOKUP($H40,'Solid Mix In Nutrition'!A:A,'Solid Mix In Nutrition'!C:C,0))+(($W40 / MAX(1, _xlfn.XLOOKUP($I40,'Solid Mix In Nutrition'!A:A,'Solid Mix In Nutrition'!I:I,1)))  * _xlfn.XLOOKUP($I40,'Solid Mix In Nutrition'!A:A,'Solid Mix In Nutrition'!C:C,0))+(($X40 / 100)  * _xlfn.XLOOKUP($J40,'Sweetener Mix In Nutrition'!A:A,'Sweetener Mix In Nutrition'!C:C,0))+(($Y40 / 100)  * _xlfn.XLOOKUP($K40,'Sweetener Mix In Nutrition'!A:A,'Sweetener Mix In Nutrition'!C:C,0))</f>
        <v>0</v>
      </c>
      <c r="AF40" s="38">
        <f>$AE40 / (_xlfn.XLOOKUP($L40,Specs!A:A,Specs!B:B,0))</f>
        <v>0</v>
      </c>
      <c r="AG40" s="37">
        <f>60* ($AB40 / _xlfn.XLOOKUP($L40,Specs!A:A,Specs!B:B,0))</f>
        <v>0</v>
      </c>
      <c r="AH40" s="37">
        <f>60* (AC40 / _xlfn.XLOOKUP($L40,Specs!$A:$A,Specs!$B:$B,0))</f>
        <v>0</v>
      </c>
      <c r="AI40" s="37">
        <f>60* (AE40 / _xlfn.XLOOKUP($L40,Specs!$A:$A,Specs!$B:$B,0))</f>
        <v>0</v>
      </c>
      <c r="AJ40" s="39">
        <v>0</v>
      </c>
      <c r="AK40" s="46">
        <v>0</v>
      </c>
      <c r="AL40" s="47">
        <v>0</v>
      </c>
      <c r="AM40" s="40">
        <v>0</v>
      </c>
      <c r="AN40" s="48">
        <v>2</v>
      </c>
      <c r="AO40" s="40">
        <v>2</v>
      </c>
      <c r="AP40" s="30" t="s">
        <v>500</v>
      </c>
      <c r="AQ40" t="str">
        <f>_xlfn.XLOOKUP("What's Your Number?",[1]Sheet1!$1:$1,[1]Sheet1!40:40)</f>
        <v>954-483-8278</v>
      </c>
    </row>
    <row r="41" spans="1:43" x14ac:dyDescent="0.25">
      <c r="A41" s="44" t="s">
        <v>736</v>
      </c>
      <c r="B41" s="76" t="s">
        <v>656</v>
      </c>
      <c r="C41" s="31" t="s">
        <v>737</v>
      </c>
      <c r="D41" s="31" t="s">
        <v>66</v>
      </c>
      <c r="E41" s="31" t="s">
        <v>283</v>
      </c>
      <c r="F41" s="31" t="s">
        <v>0</v>
      </c>
      <c r="G41" s="31" t="s">
        <v>96</v>
      </c>
      <c r="H41" s="31">
        <v>0</v>
      </c>
      <c r="I41" s="31">
        <v>0</v>
      </c>
      <c r="J41" s="31" t="s">
        <v>2</v>
      </c>
      <c r="K41" s="31" t="s">
        <v>510</v>
      </c>
      <c r="L41" s="77" t="s">
        <v>4</v>
      </c>
      <c r="M41" s="45" t="s">
        <v>450</v>
      </c>
      <c r="N41" s="45" t="s">
        <v>46</v>
      </c>
      <c r="O41" s="45">
        <v>0</v>
      </c>
      <c r="P41" s="45" t="s">
        <v>159</v>
      </c>
      <c r="Q41" s="45" t="s">
        <v>158</v>
      </c>
      <c r="R41" s="30">
        <f>(_xlfn.XLOOKUP($L41,Specs!A:A,Specs!B:B,0)-(IF(ISNUMBER(SEARCH("Dulce De Leche", $G41)), 0, $T41))-(IF(ISNUMBER(SEARCH("Dulce De Leche", $F41)), 0, $U41))-(($V41/MAX(1,_xlfn.XLOOKUP($H41,'Solid Mix In Nutrition'!A:A,'Solid Mix In Nutrition'!I:I,1)))*240)-(($W41/MAX(1,_xlfn.XLOOKUP($I41,'Solid Mix In Nutrition'!A:A,'Solid Mix In Nutrition'!I:I,1)))*240))*0.66</f>
        <v>297.33000000000004</v>
      </c>
      <c r="S41" s="30">
        <f>(_xlfn.XLOOKUP($L41,Specs!A:A,Specs!B:B,0)-(IF(ISNUMBER(SEARCH("Dulce De Leche", $G41)), 0, $T41))-(IF(ISNUMBER(SEARCH("Dulce De Leche", $F41)), 0, $U41))-(($V41/MAX(1,_xlfn.XLOOKUP($H41,'Solid Mix In Nutrition'!A:A,'Solid Mix In Nutrition'!I:I,1)))*240)-(($W41/MAX(1,_xlfn.XLOOKUP($I41,'Solid Mix In Nutrition'!A:A,'Solid Mix In Nutrition'!I:I,1)))*240))*0.33</f>
        <v>148.66500000000002</v>
      </c>
      <c r="T41" s="30">
        <f>_xlfn.XLOOKUP($M41,Specs!$D:$D,Specs!$E:$E,0)*15*_xlfn.XLOOKUP($L41,Specs!$A:$A,Specs!$C:$C,0)</f>
        <v>7.5</v>
      </c>
      <c r="U41" s="30">
        <f>_xlfn.XLOOKUP($N41,Specs!$D:$D,Specs!$E:$E,0)*15*_xlfn.XLOOKUP($L41,Specs!$A:$A,Specs!$C:$C,0)</f>
        <v>15</v>
      </c>
      <c r="V41" s="30">
        <f>( ((_xlfn.XLOOKUP($O41,Specs!$H:$H,Specs!$I:$I,0)*_xlfn.XLOOKUP($L41,Specs!$A:$A,Specs!$B:$B,0))/240) *_xlfn.XLOOKUP($H41,'Solid Mix In Nutrition'!A:A,'Solid Mix In Nutrition'!I:I,0)) *IF(AND(NOT($I41=0), COUNTA($I41)),0.5,1)</f>
        <v>0</v>
      </c>
      <c r="W41" s="30">
        <f>( ((_xlfn.XLOOKUP($O41,Specs!$H:$H,Specs!$I:$I,0)*_xlfn.XLOOKUP($L41,Specs!$A:$A,Specs!$B:$B,0))/240) *_xlfn.XLOOKUP($I41,'Solid Mix In Nutrition'!A:A,'Solid Mix In Nutrition'!I:I,0)) *IF(AND(NOT($I41=0), COUNTA($I41)),0.5,0)</f>
        <v>0</v>
      </c>
      <c r="X41" s="30">
        <f>_xlfn.XLOOKUP($P41,Specs!F:F,Specs!G:G,0)*_xlfn.XLOOKUP($J41,'Sweetener Mix In Nutrition'!A:A,'Sweetener Mix In Nutrition'!I:I,0)*_xlfn.XLOOKUP($L41,Specs!A:A,Specs!C:C,0)</f>
        <v>0</v>
      </c>
      <c r="Y41" s="30">
        <f>_xlfn.XLOOKUP($Q41,Specs!F:F,Specs!G:G,0)*_xlfn.XLOOKUP($K41,'Sweetener Mix In Nutrition'!A:A,'Sweetener Mix In Nutrition'!I:I,0)*_xlfn.XLOOKUP($L41,Specs!A:A,Specs!C:C,0)</f>
        <v>4.375</v>
      </c>
      <c r="Z41" s="34">
        <f t="shared" si="0"/>
        <v>1.6483320000000001</v>
      </c>
      <c r="AA41" s="35">
        <f t="shared" si="1"/>
        <v>0.5</v>
      </c>
      <c r="AB41" s="36">
        <f>(($R41 / 240) * _xlfn.XLOOKUP($D41,'Milk Types Nutrition Per Cup'!A:A,'Milk Types Nutrition Per Cup'!B:B,0)) +(($S41 / 240)  * _xlfn.XLOOKUP($E41,'Milk Types Nutrition Per Cup'!A:A,'Milk Types Nutrition Per Cup'!B:B,0)) +(($T41 / 15)  * _xlfn.XLOOKUP($F41,'Liquid Mix In Nutrition'!A:A,'Liquid Mix In Nutrition'!B:B,0))+(($U41 / 15)  * _xlfn.XLOOKUP($G41,'Liquid Mix In Nutrition'!A:A,'Liquid Mix In Nutrition'!B:B,0))+(($V41 /MAX(1, _xlfn.XLOOKUP($H41,'Solid Mix In Nutrition'!A:A,'Solid Mix In Nutrition'!I:I,1)))  * _xlfn.XLOOKUP($H41,'Solid Mix In Nutrition'!A:A,'Solid Mix In Nutrition'!B:B,0))+(($W41 / MAX(1, _xlfn.XLOOKUP($I41,'Solid Mix In Nutrition'!A:A,'Solid Mix In Nutrition'!I:I,1))))+(($X41 / 100)  * _xlfn.XLOOKUP($J41,'Sweetener Mix In Nutrition'!A:A,'Sweetener Mix In Nutrition'!B:B,0))+(($Y41 / 100)  * _xlfn.XLOOKUP($K41,'Sweetener Mix In Nutrition'!A:A,'Sweetener Mix In Nutrition'!B:B,0))</f>
        <v>399.60750000000007</v>
      </c>
      <c r="AC41" s="36">
        <f>(($R41 / 240) * _xlfn.XLOOKUP($D41,'Milk Types Nutrition Per Cup'!A:A,'Milk Types Nutrition Per Cup'!E:E,0)) +(($S41 / 240)  * _xlfn.XLOOKUP($E41,'Milk Types Nutrition Per Cup'!A:A,'Milk Types Nutrition Per Cup'!E:E,0)) +(($T41 / 15)  * _xlfn.XLOOKUP($F41,'Liquid Mix In Nutrition'!A:A,'Liquid Mix In Nutrition'!E:E,0)) +(($U41 / 15)  * _xlfn.XLOOKUP($G41,'Liquid Mix In Nutrition'!A:A,'Liquid Mix In Nutrition'!E:E,0))+(($V41 / MAX(1, _xlfn.XLOOKUP($H41,'Solid Mix In Nutrition'!A:A,'Solid Mix In Nutrition'!I:I,1)))  * _xlfn.XLOOKUP($H41,'Solid Mix In Nutrition'!A:A,'Solid Mix In Nutrition'!E:E,0))+(($W41 / MAX(1, _xlfn.XLOOKUP($I41,'Solid Mix In Nutrition'!A:A,'Solid Mix In Nutrition'!I:I,1)))  * _xlfn.XLOOKUP($I41,'Solid Mix In Nutrition'!A:A,'Solid Mix In Nutrition'!G:G,0))+(($X41 / 100)  * _xlfn.XLOOKUP($J41,'Sweetener Mix In Nutrition'!A:A,'Sweetener Mix In Nutrition'!E:E,0))+(($Y41 / 100)  * _xlfn.XLOOKUP($K41,'Sweetener Mix In Nutrition'!A:A,'Sweetener Mix In Nutrition'!E:E,0))</f>
        <v>39.288500000000006</v>
      </c>
      <c r="AD41" s="36">
        <f>(($R41 / 240) * _xlfn.XLOOKUP($D41,'Milk Types Nutrition Per Cup'!A:A,'Milk Types Nutrition Per Cup'!E:E,0)) +(($S41 / 240)  * _xlfn.XLOOKUP($E41,'Milk Types Nutrition Per Cup'!A:A,'Milk Types Nutrition Per Cup'!E:E,0)) +(($T41 / 15)  * _xlfn.XLOOKUP($F41,'Liquid Mix In Nutrition'!A:A,'Liquid Mix In Nutrition'!E:E,0)) +(($U41 / 15)  * _xlfn.XLOOKUP($G41,'Liquid Mix In Nutrition'!A:A,'Liquid Mix In Nutrition'!E:E,0))+(($X41 / 100)  * _xlfn.XLOOKUP($J41,'Sweetener Mix In Nutrition'!A:A,'Sweetener Mix In Nutrition'!E:E,0))+(($Y41 / 100)  * _xlfn.XLOOKUP($K41,'Sweetener Mix In Nutrition'!A:A,'Sweetener Mix In Nutrition'!E:E,0))</f>
        <v>39.288500000000006</v>
      </c>
      <c r="AE41" s="37">
        <f>(($R41 / 240) * _xlfn.XLOOKUP($D41,'Milk Types Nutrition Per Cup'!A:A,'Milk Types Nutrition Per Cup'!C:C,0)) +(($S41 / 240)  * _xlfn.XLOOKUP($E41,'Milk Types Nutrition Per Cup'!A:A,'Milk Types Nutrition Per Cup'!C:C,0)) +(($T41 / 15)  * _xlfn.XLOOKUP($F41,'Liquid Mix In Nutrition'!A:A,'Liquid Mix In Nutrition'!C:C,0))+(($U41 / 15)  * _xlfn.XLOOKUP($G41,'Liquid Mix In Nutrition'!A:A,'Liquid Mix In Nutrition'!C:C,0))+(($V41 / MAX(1, _xlfn.XLOOKUP($H41,'Solid Mix In Nutrition'!A:A,'Solid Mix In Nutrition'!I:I,1)))  * _xlfn.XLOOKUP($H41,'Solid Mix In Nutrition'!A:A,'Solid Mix In Nutrition'!C:C,0))+(($W41 / MAX(1, _xlfn.XLOOKUP($I41,'Solid Mix In Nutrition'!A:A,'Solid Mix In Nutrition'!I:I,1)))  * _xlfn.XLOOKUP($I41,'Solid Mix In Nutrition'!A:A,'Solid Mix In Nutrition'!C:C,0))+(($X41 / 100)  * _xlfn.XLOOKUP($J41,'Sweetener Mix In Nutrition'!A:A,'Sweetener Mix In Nutrition'!C:C,0))+(($Y41 / 100)  * _xlfn.XLOOKUP($K41,'Sweetener Mix In Nutrition'!A:A,'Sweetener Mix In Nutrition'!C:C,0))</f>
        <v>4.51</v>
      </c>
      <c r="AF41" s="38">
        <f>$AE41 / (_xlfn.XLOOKUP($L41,Specs!A:A,Specs!B:B,0))</f>
        <v>9.5348837209302314E-3</v>
      </c>
      <c r="AG41" s="37">
        <f>60* ($AB41 / _xlfn.XLOOKUP($L41,Specs!A:A,Specs!B:B,0))</f>
        <v>50.690169133192398</v>
      </c>
      <c r="AH41" s="37">
        <f>60* (AC41 / _xlfn.XLOOKUP($L41,Specs!$A:$A,Specs!$B:$B,0))</f>
        <v>4.9837420718816077</v>
      </c>
      <c r="AI41" s="37">
        <f>60* (AE41 / _xlfn.XLOOKUP($L41,Specs!$A:$A,Specs!$B:$B,0))</f>
        <v>0.5720930232558139</v>
      </c>
      <c r="AJ41" s="39">
        <v>2.2333833029798007</v>
      </c>
      <c r="AK41" s="46">
        <v>0</v>
      </c>
      <c r="AL41" s="47">
        <v>1</v>
      </c>
      <c r="AM41" s="40">
        <v>1</v>
      </c>
      <c r="AN41" s="48">
        <v>7</v>
      </c>
      <c r="AO41" s="40">
        <v>6</v>
      </c>
      <c r="AP41" s="30" t="s">
        <v>500</v>
      </c>
      <c r="AQ41" t="str">
        <f>_xlfn.XLOOKUP("What's Your Number?",[1]Sheet1!$1:$1,[1]Sheet1!41:41)</f>
        <v>954-483-8278</v>
      </c>
    </row>
    <row r="42" spans="1:43" ht="30" x14ac:dyDescent="0.25">
      <c r="A42" s="42" t="s">
        <v>738</v>
      </c>
      <c r="B42" s="76" t="s">
        <v>715</v>
      </c>
      <c r="C42" s="31" t="s">
        <v>508</v>
      </c>
      <c r="D42" s="31" t="s">
        <v>71</v>
      </c>
      <c r="E42" s="31" t="s">
        <v>177</v>
      </c>
      <c r="F42" s="31">
        <v>0</v>
      </c>
      <c r="G42" s="31"/>
      <c r="H42" s="31">
        <v>0</v>
      </c>
      <c r="I42" s="31">
        <v>0</v>
      </c>
      <c r="J42" s="31">
        <v>0</v>
      </c>
      <c r="K42" s="31">
        <v>0</v>
      </c>
      <c r="L42" s="77" t="s">
        <v>43</v>
      </c>
      <c r="M42" s="45">
        <v>0</v>
      </c>
      <c r="N42" s="45"/>
      <c r="O42" s="45">
        <v>0</v>
      </c>
      <c r="P42" s="45">
        <v>0</v>
      </c>
      <c r="Q42" s="45">
        <v>0</v>
      </c>
      <c r="R42" s="30">
        <f>(_xlfn.XLOOKUP($L42,Specs!A:A,Specs!B:B,0)-(IF(ISNUMBER(SEARCH("Dulce De Leche", $G42)), 0, $T42))-(IF(ISNUMBER(SEARCH("Dulce De Leche", $F42)), 0, $U42))-(($V42/MAX(1,_xlfn.XLOOKUP($H42,'Solid Mix In Nutrition'!A:A,'Solid Mix In Nutrition'!I:I,1)))*240)-(($W42/MAX(1,_xlfn.XLOOKUP($I42,'Solid Mix In Nutrition'!A:A,'Solid Mix In Nutrition'!I:I,1)))*240))*0.66</f>
        <v>624.36</v>
      </c>
      <c r="S42" s="30">
        <f>(_xlfn.XLOOKUP($L42,Specs!A:A,Specs!B:B,0)-(IF(ISNUMBER(SEARCH("Dulce De Leche", $G42)), 0, $T42))-(IF(ISNUMBER(SEARCH("Dulce De Leche", $F42)), 0, $U42))-(($V42/MAX(1,_xlfn.XLOOKUP($H42,'Solid Mix In Nutrition'!A:A,'Solid Mix In Nutrition'!I:I,1)))*240)-(($W42/MAX(1,_xlfn.XLOOKUP($I42,'Solid Mix In Nutrition'!A:A,'Solid Mix In Nutrition'!I:I,1)))*240))*0.33</f>
        <v>312.18</v>
      </c>
      <c r="T42" s="30">
        <f>_xlfn.XLOOKUP($M42,Specs!$D:$D,Specs!$E:$E,0)*15*_xlfn.XLOOKUP($L42,Specs!$A:$A,Specs!$C:$C,0)</f>
        <v>0</v>
      </c>
      <c r="U42" s="30">
        <f>_xlfn.XLOOKUP($N42,Specs!$D:$D,Specs!$E:$E,0)*15*_xlfn.XLOOKUP($L42,Specs!$A:$A,Specs!$C:$C,0)</f>
        <v>0</v>
      </c>
      <c r="V42" s="30">
        <f>( ((_xlfn.XLOOKUP($O42,Specs!$H:$H,Specs!$I:$I,0)*_xlfn.XLOOKUP($L42,Specs!$A:$A,Specs!$B:$B,0))/240) *_xlfn.XLOOKUP($H42,'Solid Mix In Nutrition'!A:A,'Solid Mix In Nutrition'!I:I,0)) *IF(AND(NOT($I42=0), COUNTA($I42)),0.5,1)</f>
        <v>0</v>
      </c>
      <c r="W42" s="30">
        <f>( ((_xlfn.XLOOKUP($O42,Specs!$H:$H,Specs!$I:$I,0)*_xlfn.XLOOKUP($L42,Specs!$A:$A,Specs!$B:$B,0))/240) *_xlfn.XLOOKUP($I42,'Solid Mix In Nutrition'!A:A,'Solid Mix In Nutrition'!I:I,0)) *IF(AND(NOT($I42=0), COUNTA($I42)),0.5,0)</f>
        <v>0</v>
      </c>
      <c r="X42" s="30">
        <f>_xlfn.XLOOKUP($P42,Specs!F:F,Specs!G:G,0)*_xlfn.XLOOKUP($J42,'Sweetener Mix In Nutrition'!A:A,'Sweetener Mix In Nutrition'!I:I,0)*_xlfn.XLOOKUP($L42,Specs!A:A,Specs!C:C,0)</f>
        <v>0</v>
      </c>
      <c r="Y42" s="30">
        <f>_xlfn.XLOOKUP($Q42,Specs!F:F,Specs!G:G,0)*_xlfn.XLOOKUP($K42,'Sweetener Mix In Nutrition'!A:A,'Sweetener Mix In Nutrition'!I:I,0)*_xlfn.XLOOKUP($L42,Specs!A:A,Specs!C:C,0)</f>
        <v>0</v>
      </c>
      <c r="Z42" s="34">
        <f t="shared" si="0"/>
        <v>1.123848</v>
      </c>
      <c r="AA42" s="35">
        <f t="shared" si="1"/>
        <v>0.25</v>
      </c>
      <c r="AB42" s="36">
        <f>(($R42 / 240) * _xlfn.XLOOKUP($D42,'Milk Types Nutrition Per Cup'!A:A,'Milk Types Nutrition Per Cup'!B:B,0)) +(($S42 / 240)  * _xlfn.XLOOKUP($E42,'Milk Types Nutrition Per Cup'!A:A,'Milk Types Nutrition Per Cup'!B:B,0)) +(($T42 / 15)  * _xlfn.XLOOKUP($F42,'Liquid Mix In Nutrition'!A:A,'Liquid Mix In Nutrition'!B:B,0))+(($U42 / 15)  * _xlfn.XLOOKUP($G42,'Liquid Mix In Nutrition'!A:A,'Liquid Mix In Nutrition'!B:B,0))+(($V42 /MAX(1, _xlfn.XLOOKUP($H42,'Solid Mix In Nutrition'!A:A,'Solid Mix In Nutrition'!I:I,1)))  * _xlfn.XLOOKUP($H42,'Solid Mix In Nutrition'!A:A,'Solid Mix In Nutrition'!B:B,0))+(($W42 / MAX(1, _xlfn.XLOOKUP($I42,'Solid Mix In Nutrition'!A:A,'Solid Mix In Nutrition'!I:I,1))))+(($X42 / 100)  * _xlfn.XLOOKUP($J42,'Sweetener Mix In Nutrition'!A:A,'Sweetener Mix In Nutrition'!B:B,0))+(($Y42 / 100)  * _xlfn.XLOOKUP($K42,'Sweetener Mix In Nutrition'!A:A,'Sweetener Mix In Nutrition'!B:B,0))</f>
        <v>2185.2600000000002</v>
      </c>
      <c r="AC42" s="36">
        <f>(($R42 / 240) * _xlfn.XLOOKUP($D42,'Milk Types Nutrition Per Cup'!A:A,'Milk Types Nutrition Per Cup'!E:E,0)) +(($S42 / 240)  * _xlfn.XLOOKUP($E42,'Milk Types Nutrition Per Cup'!A:A,'Milk Types Nutrition Per Cup'!E:E,0)) +(($T42 / 15)  * _xlfn.XLOOKUP($F42,'Liquid Mix In Nutrition'!A:A,'Liquid Mix In Nutrition'!E:E,0)) +(($U42 / 15)  * _xlfn.XLOOKUP($G42,'Liquid Mix In Nutrition'!A:A,'Liquid Mix In Nutrition'!E:E,0))+(($V42 / MAX(1, _xlfn.XLOOKUP($H42,'Solid Mix In Nutrition'!A:A,'Solid Mix In Nutrition'!I:I,1)))  * _xlfn.XLOOKUP($H42,'Solid Mix In Nutrition'!A:A,'Solid Mix In Nutrition'!E:E,0))+(($W42 / MAX(1, _xlfn.XLOOKUP($I42,'Solid Mix In Nutrition'!A:A,'Solid Mix In Nutrition'!I:I,1)))  * _xlfn.XLOOKUP($I42,'Solid Mix In Nutrition'!A:A,'Solid Mix In Nutrition'!G:G,0))+(($X42 / 100)  * _xlfn.XLOOKUP($J42,'Sweetener Mix In Nutrition'!A:A,'Sweetener Mix In Nutrition'!E:E,0))+(($Y42 / 100)  * _xlfn.XLOOKUP($K42,'Sweetener Mix In Nutrition'!A:A,'Sweetener Mix In Nutrition'!E:E,0))</f>
        <v>0</v>
      </c>
      <c r="AD42" s="36">
        <f>(($R42 / 240) * _xlfn.XLOOKUP($D42,'Milk Types Nutrition Per Cup'!A:A,'Milk Types Nutrition Per Cup'!E:E,0)) +(($S42 / 240)  * _xlfn.XLOOKUP($E42,'Milk Types Nutrition Per Cup'!A:A,'Milk Types Nutrition Per Cup'!E:E,0)) +(($T42 / 15)  * _xlfn.XLOOKUP($F42,'Liquid Mix In Nutrition'!A:A,'Liquid Mix In Nutrition'!E:E,0)) +(($U42 / 15)  * _xlfn.XLOOKUP($G42,'Liquid Mix In Nutrition'!A:A,'Liquid Mix In Nutrition'!E:E,0))+(($X42 / 100)  * _xlfn.XLOOKUP($J42,'Sweetener Mix In Nutrition'!A:A,'Sweetener Mix In Nutrition'!E:E,0))+(($Y42 / 100)  * _xlfn.XLOOKUP($K42,'Sweetener Mix In Nutrition'!A:A,'Sweetener Mix In Nutrition'!E:E,0))</f>
        <v>0</v>
      </c>
      <c r="AE42" s="37">
        <f>(($R42 / 240) * _xlfn.XLOOKUP($D42,'Milk Types Nutrition Per Cup'!A:A,'Milk Types Nutrition Per Cup'!C:C,0)) +(($S42 / 240)  * _xlfn.XLOOKUP($E42,'Milk Types Nutrition Per Cup'!A:A,'Milk Types Nutrition Per Cup'!C:C,0)) +(($T42 / 15)  * _xlfn.XLOOKUP($F42,'Liquid Mix In Nutrition'!A:A,'Liquid Mix In Nutrition'!C:C,0))+(($U42 / 15)  * _xlfn.XLOOKUP($G42,'Liquid Mix In Nutrition'!A:A,'Liquid Mix In Nutrition'!C:C,0))+(($V42 / MAX(1, _xlfn.XLOOKUP($H42,'Solid Mix In Nutrition'!A:A,'Solid Mix In Nutrition'!I:I,1)))  * _xlfn.XLOOKUP($H42,'Solid Mix In Nutrition'!A:A,'Solid Mix In Nutrition'!C:C,0))+(($W42 / MAX(1, _xlfn.XLOOKUP($I42,'Solid Mix In Nutrition'!A:A,'Solid Mix In Nutrition'!I:I,1)))  * _xlfn.XLOOKUP($I42,'Solid Mix In Nutrition'!A:A,'Solid Mix In Nutrition'!C:C,0))+(($X42 / 100)  * _xlfn.XLOOKUP($J42,'Sweetener Mix In Nutrition'!A:A,'Sweetener Mix In Nutrition'!C:C,0))+(($Y42 / 100)  * _xlfn.XLOOKUP($K42,'Sweetener Mix In Nutrition'!A:A,'Sweetener Mix In Nutrition'!C:C,0))</f>
        <v>218.52600000000001</v>
      </c>
      <c r="AF42" s="38">
        <f>$AE42 / (_xlfn.XLOOKUP($L42,Specs!A:A,Specs!B:B,0))</f>
        <v>0.23100000000000001</v>
      </c>
      <c r="AG42" s="37">
        <f>60* ($AB42 / _xlfn.XLOOKUP($L42,Specs!A:A,Specs!B:B,0))</f>
        <v>138.6</v>
      </c>
      <c r="AH42" s="37">
        <f>60* (AC42 / _xlfn.XLOOKUP($L42,Specs!$A:$A,Specs!$B:$B,0))</f>
        <v>0</v>
      </c>
      <c r="AI42" s="37">
        <f>60* (AE42 / _xlfn.XLOOKUP($L42,Specs!$A:$A,Specs!$B:$B,0))</f>
        <v>13.860000000000001</v>
      </c>
      <c r="AJ42" s="39">
        <v>7.2418602960000005</v>
      </c>
      <c r="AK42" s="46" t="s">
        <v>716</v>
      </c>
      <c r="AL42" s="47">
        <v>14.725</v>
      </c>
      <c r="AM42" s="40">
        <v>4</v>
      </c>
      <c r="AN42" s="48">
        <v>20</v>
      </c>
      <c r="AO42" s="40">
        <v>16</v>
      </c>
      <c r="AP42" s="30" t="s">
        <v>210</v>
      </c>
      <c r="AQ42" t="str">
        <f>_xlfn.XLOOKUP("What's Your Number?",[1]Sheet1!$1:$1,[1]Sheet1!42:42)</f>
        <v>7542817324</v>
      </c>
    </row>
    <row r="43" spans="1:43" ht="30" x14ac:dyDescent="0.25">
      <c r="A43" s="42" t="s">
        <v>739</v>
      </c>
      <c r="B43" s="76" t="s">
        <v>715</v>
      </c>
      <c r="C43" s="31" t="s">
        <v>508</v>
      </c>
      <c r="D43" s="31" t="s">
        <v>71</v>
      </c>
      <c r="E43" s="31" t="s">
        <v>177</v>
      </c>
      <c r="F43" s="31">
        <v>0</v>
      </c>
      <c r="G43" s="31" t="s">
        <v>522</v>
      </c>
      <c r="H43" s="31">
        <v>0</v>
      </c>
      <c r="I43" s="31">
        <v>0</v>
      </c>
      <c r="J43" s="31">
        <v>0</v>
      </c>
      <c r="K43" s="31">
        <v>0</v>
      </c>
      <c r="L43" s="77" t="s">
        <v>4</v>
      </c>
      <c r="M43" s="45">
        <v>0</v>
      </c>
      <c r="N43" s="45" t="s">
        <v>451</v>
      </c>
      <c r="O43" s="45">
        <v>0</v>
      </c>
      <c r="P43" s="45">
        <v>0</v>
      </c>
      <c r="Q43" s="45">
        <v>0</v>
      </c>
      <c r="R43" s="30">
        <f>(_xlfn.XLOOKUP($L43,Specs!A:A,Specs!B:B,0)-(IF(ISNUMBER(SEARCH("Dulce De Leche", $G43)), 0, $T43))-(IF(ISNUMBER(SEARCH("Dulce De Leche", $F43)), 0, $U43))-(($V43/MAX(1,_xlfn.XLOOKUP($H43,'Solid Mix In Nutrition'!A:A,'Solid Mix In Nutrition'!I:I,1)))*240)-(($W43/MAX(1,_xlfn.XLOOKUP($I43,'Solid Mix In Nutrition'!A:A,'Solid Mix In Nutrition'!I:I,1)))*240))*0.66</f>
        <v>272.58000000000004</v>
      </c>
      <c r="S43" s="30">
        <f>(_xlfn.XLOOKUP($L43,Specs!A:A,Specs!B:B,0)-(IF(ISNUMBER(SEARCH("Dulce De Leche", $G43)), 0, $T43))-(IF(ISNUMBER(SEARCH("Dulce De Leche", $F43)), 0, $U43))-(($V43/MAX(1,_xlfn.XLOOKUP($H43,'Solid Mix In Nutrition'!A:A,'Solid Mix In Nutrition'!I:I,1)))*240)-(($W43/MAX(1,_xlfn.XLOOKUP($I43,'Solid Mix In Nutrition'!A:A,'Solid Mix In Nutrition'!I:I,1)))*240))*0.33</f>
        <v>136.29000000000002</v>
      </c>
      <c r="T43" s="30">
        <f>_xlfn.XLOOKUP($M43,Specs!$D:$D,Specs!$E:$E,0)*15*_xlfn.XLOOKUP($L43,Specs!$A:$A,Specs!$C:$C,0)</f>
        <v>0</v>
      </c>
      <c r="U43" s="30">
        <f>_xlfn.XLOOKUP($N43,Specs!$D:$D,Specs!$E:$E,0)*15*_xlfn.XLOOKUP($L43,Specs!$A:$A,Specs!$C:$C,0)</f>
        <v>60</v>
      </c>
      <c r="V43" s="30">
        <f>( ((_xlfn.XLOOKUP($O43,Specs!$H:$H,Specs!$I:$I,0)*_xlfn.XLOOKUP($L43,Specs!$A:$A,Specs!$B:$B,0))/240) *_xlfn.XLOOKUP($H43,'Solid Mix In Nutrition'!A:A,'Solid Mix In Nutrition'!I:I,0)) *IF(AND(NOT($I43=0), COUNTA($I43)),0.5,1)</f>
        <v>0</v>
      </c>
      <c r="W43" s="30">
        <f>( ((_xlfn.XLOOKUP($O43,Specs!$H:$H,Specs!$I:$I,0)*_xlfn.XLOOKUP($L43,Specs!$A:$A,Specs!$B:$B,0))/240) *_xlfn.XLOOKUP($I43,'Solid Mix In Nutrition'!A:A,'Solid Mix In Nutrition'!I:I,0)) *IF(AND(NOT($I43=0), COUNTA($I43)),0.5,0)</f>
        <v>0</v>
      </c>
      <c r="X43" s="30">
        <f>_xlfn.XLOOKUP($P43,Specs!F:F,Specs!G:G,0)*_xlfn.XLOOKUP($J43,'Sweetener Mix In Nutrition'!A:A,'Sweetener Mix In Nutrition'!I:I,0)*_xlfn.XLOOKUP($L43,Specs!A:A,Specs!C:C,0)</f>
        <v>0</v>
      </c>
      <c r="Y43" s="30">
        <f>_xlfn.XLOOKUP($Q43,Specs!F:F,Specs!G:G,0)*_xlfn.XLOOKUP($K43,'Sweetener Mix In Nutrition'!A:A,'Sweetener Mix In Nutrition'!I:I,0)*_xlfn.XLOOKUP($L43,Specs!A:A,Specs!C:C,0)</f>
        <v>0</v>
      </c>
      <c r="Z43" s="34">
        <f t="shared" si="0"/>
        <v>0.49064400000000002</v>
      </c>
      <c r="AA43" s="35">
        <f t="shared" si="1"/>
        <v>0.25</v>
      </c>
      <c r="AB43" s="36">
        <f>(($R43 / 240) * _xlfn.XLOOKUP($D43,'Milk Types Nutrition Per Cup'!A:A,'Milk Types Nutrition Per Cup'!B:B,0)) +(($S43 / 240)  * _xlfn.XLOOKUP($E43,'Milk Types Nutrition Per Cup'!A:A,'Milk Types Nutrition Per Cup'!B:B,0)) +(($T43 / 15)  * _xlfn.XLOOKUP($F43,'Liquid Mix In Nutrition'!A:A,'Liquid Mix In Nutrition'!B:B,0))+(($U43 / 15)  * _xlfn.XLOOKUP($G43,'Liquid Mix In Nutrition'!A:A,'Liquid Mix In Nutrition'!B:B,0))+(($V43 /MAX(1, _xlfn.XLOOKUP($H43,'Solid Mix In Nutrition'!A:A,'Solid Mix In Nutrition'!I:I,1)))  * _xlfn.XLOOKUP($H43,'Solid Mix In Nutrition'!A:A,'Solid Mix In Nutrition'!B:B,0))+(($W43 / MAX(1, _xlfn.XLOOKUP($I43,'Solid Mix In Nutrition'!A:A,'Solid Mix In Nutrition'!I:I,1))))+(($X43 / 100)  * _xlfn.XLOOKUP($J43,'Sweetener Mix In Nutrition'!A:A,'Sweetener Mix In Nutrition'!B:B,0))+(($Y43 / 100)  * _xlfn.XLOOKUP($K43,'Sweetener Mix In Nutrition'!A:A,'Sweetener Mix In Nutrition'!B:B,0))</f>
        <v>954.0300000000002</v>
      </c>
      <c r="AC43" s="36">
        <f>(($R43 / 240) * _xlfn.XLOOKUP($D43,'Milk Types Nutrition Per Cup'!A:A,'Milk Types Nutrition Per Cup'!E:E,0)) +(($S43 / 240)  * _xlfn.XLOOKUP($E43,'Milk Types Nutrition Per Cup'!A:A,'Milk Types Nutrition Per Cup'!E:E,0)) +(($T43 / 15)  * _xlfn.XLOOKUP($F43,'Liquid Mix In Nutrition'!A:A,'Liquid Mix In Nutrition'!E:E,0)) +(($U43 / 15)  * _xlfn.XLOOKUP($G43,'Liquid Mix In Nutrition'!A:A,'Liquid Mix In Nutrition'!E:E,0))+(($V43 / MAX(1, _xlfn.XLOOKUP($H43,'Solid Mix In Nutrition'!A:A,'Solid Mix In Nutrition'!I:I,1)))  * _xlfn.XLOOKUP($H43,'Solid Mix In Nutrition'!A:A,'Solid Mix In Nutrition'!E:E,0))+(($W43 / MAX(1, _xlfn.XLOOKUP($I43,'Solid Mix In Nutrition'!A:A,'Solid Mix In Nutrition'!I:I,1)))  * _xlfn.XLOOKUP($I43,'Solid Mix In Nutrition'!A:A,'Solid Mix In Nutrition'!G:G,0))+(($X43 / 100)  * _xlfn.XLOOKUP($J43,'Sweetener Mix In Nutrition'!A:A,'Sweetener Mix In Nutrition'!E:E,0))+(($Y43 / 100)  * _xlfn.XLOOKUP($K43,'Sweetener Mix In Nutrition'!A:A,'Sweetener Mix In Nutrition'!E:E,0))</f>
        <v>0</v>
      </c>
      <c r="AD43" s="36">
        <f>(($R43 / 240) * _xlfn.XLOOKUP($D43,'Milk Types Nutrition Per Cup'!A:A,'Milk Types Nutrition Per Cup'!E:E,0)) +(($S43 / 240)  * _xlfn.XLOOKUP($E43,'Milk Types Nutrition Per Cup'!A:A,'Milk Types Nutrition Per Cup'!E:E,0)) +(($T43 / 15)  * _xlfn.XLOOKUP($F43,'Liquid Mix In Nutrition'!A:A,'Liquid Mix In Nutrition'!E:E,0)) +(($U43 / 15)  * _xlfn.XLOOKUP($G43,'Liquid Mix In Nutrition'!A:A,'Liquid Mix In Nutrition'!E:E,0))+(($X43 / 100)  * _xlfn.XLOOKUP($J43,'Sweetener Mix In Nutrition'!A:A,'Sweetener Mix In Nutrition'!E:E,0))+(($Y43 / 100)  * _xlfn.XLOOKUP($K43,'Sweetener Mix In Nutrition'!A:A,'Sweetener Mix In Nutrition'!E:E,0))</f>
        <v>0</v>
      </c>
      <c r="AE43" s="37">
        <f>(($R43 / 240) * _xlfn.XLOOKUP($D43,'Milk Types Nutrition Per Cup'!A:A,'Milk Types Nutrition Per Cup'!C:C,0)) +(($S43 / 240)  * _xlfn.XLOOKUP($E43,'Milk Types Nutrition Per Cup'!A:A,'Milk Types Nutrition Per Cup'!C:C,0)) +(($T43 / 15)  * _xlfn.XLOOKUP($F43,'Liquid Mix In Nutrition'!A:A,'Liquid Mix In Nutrition'!C:C,0))+(($U43 / 15)  * _xlfn.XLOOKUP($G43,'Liquid Mix In Nutrition'!A:A,'Liquid Mix In Nutrition'!C:C,0))+(($V43 / MAX(1, _xlfn.XLOOKUP($H43,'Solid Mix In Nutrition'!A:A,'Solid Mix In Nutrition'!I:I,1)))  * _xlfn.XLOOKUP($H43,'Solid Mix In Nutrition'!A:A,'Solid Mix In Nutrition'!C:C,0))+(($W43 / MAX(1, _xlfn.XLOOKUP($I43,'Solid Mix In Nutrition'!A:A,'Solid Mix In Nutrition'!I:I,1)))  * _xlfn.XLOOKUP($I43,'Solid Mix In Nutrition'!A:A,'Solid Mix In Nutrition'!C:C,0))+(($X43 / 100)  * _xlfn.XLOOKUP($J43,'Sweetener Mix In Nutrition'!A:A,'Sweetener Mix In Nutrition'!C:C,0))+(($Y43 / 100)  * _xlfn.XLOOKUP($K43,'Sweetener Mix In Nutrition'!A:A,'Sweetener Mix In Nutrition'!C:C,0))</f>
        <v>95.40300000000002</v>
      </c>
      <c r="AF43" s="38">
        <f>$AE43 / (_xlfn.XLOOKUP($L43,Specs!A:A,Specs!B:B,0))</f>
        <v>0.2016976744186047</v>
      </c>
      <c r="AG43" s="37">
        <f>60* ($AB43 / _xlfn.XLOOKUP($L43,Specs!A:A,Specs!B:B,0))</f>
        <v>121.01860465116283</v>
      </c>
      <c r="AH43" s="37">
        <f>60* (AC43 / _xlfn.XLOOKUP($L43,Specs!$A:$A,Specs!$B:$B,0))</f>
        <v>0</v>
      </c>
      <c r="AI43" s="37">
        <f>60* (AE43 / _xlfn.XLOOKUP($L43,Specs!$A:$A,Specs!$B:$B,0))</f>
        <v>12.101860465116282</v>
      </c>
      <c r="AJ43" s="39">
        <v>3.1616155414883726</v>
      </c>
      <c r="AK43" s="46" t="s">
        <v>716</v>
      </c>
      <c r="AL43" s="47">
        <v>14.725</v>
      </c>
      <c r="AM43" s="40">
        <v>4</v>
      </c>
      <c r="AN43" s="48">
        <v>12</v>
      </c>
      <c r="AO43" s="40">
        <v>8</v>
      </c>
      <c r="AP43" s="30" t="s">
        <v>210</v>
      </c>
      <c r="AQ43" t="str">
        <f>_xlfn.XLOOKUP("What's Your Number?",[1]Sheet1!$1:$1,[1]Sheet1!43:43)</f>
        <v>7542817323</v>
      </c>
    </row>
    <row r="44" spans="1:43" ht="45" x14ac:dyDescent="0.25">
      <c r="A44" s="42" t="s">
        <v>740</v>
      </c>
      <c r="B44" s="76" t="s">
        <v>619</v>
      </c>
      <c r="C44" s="31" t="s">
        <v>708</v>
      </c>
      <c r="D44" s="31" t="s">
        <v>62</v>
      </c>
      <c r="E44" s="31" t="s">
        <v>65</v>
      </c>
      <c r="F44" s="31" t="s">
        <v>522</v>
      </c>
      <c r="G44" s="31" t="s">
        <v>83</v>
      </c>
      <c r="H44" s="31" t="s">
        <v>266</v>
      </c>
      <c r="I44" s="31" t="s">
        <v>104</v>
      </c>
      <c r="J44" s="31" t="s">
        <v>1</v>
      </c>
      <c r="K44" s="31">
        <v>0</v>
      </c>
      <c r="L44" s="77" t="s">
        <v>340</v>
      </c>
      <c r="M44" s="45" t="s">
        <v>451</v>
      </c>
      <c r="N44" s="45" t="s">
        <v>451</v>
      </c>
      <c r="O44" s="45" t="s">
        <v>206</v>
      </c>
      <c r="P44" s="45" t="s">
        <v>448</v>
      </c>
      <c r="Q44" s="45">
        <v>0</v>
      </c>
      <c r="R44" s="30">
        <f>(_xlfn.XLOOKUP($L44,Specs!A:A,Specs!B:B,0)-(IF(ISNUMBER(SEARCH("Dulce De Leche", $G44)), 0, $T44))-(IF(ISNUMBER(SEARCH("Dulce De Leche", $F44)), 0, $U44))-(($V44/MAX(1,_xlfn.XLOOKUP($H44,'Solid Mix In Nutrition'!A:A,'Solid Mix In Nutrition'!I:I,1)))*240)-(($W44/MAX(1,_xlfn.XLOOKUP($I44,'Solid Mix In Nutrition'!A:A,'Solid Mix In Nutrition'!I:I,1)))*240))*0.66</f>
        <v>610.79700000000003</v>
      </c>
      <c r="S44" s="30">
        <f>(_xlfn.XLOOKUP($L44,Specs!A:A,Specs!B:B,0)-(IF(ISNUMBER(SEARCH("Dulce De Leche", $G44)), 0, $T44))-(IF(ISNUMBER(SEARCH("Dulce De Leche", $F44)), 0, $U44))-(($V44/MAX(1,_xlfn.XLOOKUP($H44,'Solid Mix In Nutrition'!A:A,'Solid Mix In Nutrition'!I:I,1)))*240)-(($W44/MAX(1,_xlfn.XLOOKUP($I44,'Solid Mix In Nutrition'!A:A,'Solid Mix In Nutrition'!I:I,1)))*240))*0.33</f>
        <v>305.39850000000001</v>
      </c>
      <c r="T44" s="30">
        <f>_xlfn.XLOOKUP($M44,Specs!$D:$D,Specs!$E:$E,0)*15*_xlfn.XLOOKUP($L44,Specs!$A:$A,Specs!$C:$C,0)</f>
        <v>240</v>
      </c>
      <c r="U44" s="30">
        <f>_xlfn.XLOOKUP($N44,Specs!$D:$D,Specs!$E:$E,0)*15*_xlfn.XLOOKUP($L44,Specs!$A:$A,Specs!$C:$C,0)</f>
        <v>240</v>
      </c>
      <c r="V44" s="30">
        <f>( ((_xlfn.XLOOKUP($O44,Specs!$H:$H,Specs!$I:$I,0)*_xlfn.XLOOKUP($L44,Specs!$A:$A,Specs!$B:$B,0))/240) *_xlfn.XLOOKUP($H44,'Solid Mix In Nutrition'!A:A,'Solid Mix In Nutrition'!I:I,0)) *IF(AND(NOT($I44=0), COUNTA($I44)),0.5,1)</f>
        <v>418.36666666666667</v>
      </c>
      <c r="W44" s="30">
        <f>( ((_xlfn.XLOOKUP($O44,Specs!$H:$H,Specs!$I:$I,0)*_xlfn.XLOOKUP($L44,Specs!$A:$A,Specs!$B:$B,0))/240) *_xlfn.XLOOKUP($I44,'Solid Mix In Nutrition'!A:A,'Solid Mix In Nutrition'!I:I,0)) *IF(AND(NOT($I44=0), COUNTA($I44)),0.5,0)</f>
        <v>313.77499999999998</v>
      </c>
      <c r="X44" s="30">
        <f>_xlfn.XLOOKUP($P44,Specs!F:F,Specs!G:G,0)*_xlfn.XLOOKUP($J44,'Sweetener Mix In Nutrition'!A:A,'Sweetener Mix In Nutrition'!I:I,0)*_xlfn.XLOOKUP($L44,Specs!A:A,Specs!C:C,0)</f>
        <v>50</v>
      </c>
      <c r="Y44" s="30">
        <f>_xlfn.XLOOKUP($Q44,Specs!F:F,Specs!G:G,0)*_xlfn.XLOOKUP($K44,'Sweetener Mix In Nutrition'!A:A,'Sweetener Mix In Nutrition'!I:I,0)*_xlfn.XLOOKUP($L44,Specs!A:A,Specs!C:C,0)</f>
        <v>0</v>
      </c>
      <c r="Z44" s="34">
        <f t="shared" si="0"/>
        <v>1.4474346</v>
      </c>
      <c r="AA44" s="35">
        <f t="shared" si="1"/>
        <v>0.5</v>
      </c>
      <c r="AB44" s="36">
        <f>(($R44 / 240) * _xlfn.XLOOKUP($D44,'Milk Types Nutrition Per Cup'!A:A,'Milk Types Nutrition Per Cup'!B:B,0)) +(($S44 / 240)  * _xlfn.XLOOKUP($E44,'Milk Types Nutrition Per Cup'!A:A,'Milk Types Nutrition Per Cup'!B:B,0)) +(($T44 / 15)  * _xlfn.XLOOKUP($F44,'Liquid Mix In Nutrition'!A:A,'Liquid Mix In Nutrition'!B:B,0))+(($U44 / 15)  * _xlfn.XLOOKUP($G44,'Liquid Mix In Nutrition'!A:A,'Liquid Mix In Nutrition'!B:B,0))+(($V44 /MAX(1, _xlfn.XLOOKUP($H44,'Solid Mix In Nutrition'!A:A,'Solid Mix In Nutrition'!I:I,1)))  * _xlfn.XLOOKUP($H44,'Solid Mix In Nutrition'!A:A,'Solid Mix In Nutrition'!B:B,0))+(($W44 / MAX(1, _xlfn.XLOOKUP($I44,'Solid Mix In Nutrition'!A:A,'Solid Mix In Nutrition'!I:I,1))))+(($X44 / 100)  * _xlfn.XLOOKUP($J44,'Sweetener Mix In Nutrition'!A:A,'Sweetener Mix In Nutrition'!B:B,0))+(($Y44 / 100)  * _xlfn.XLOOKUP($K44,'Sweetener Mix In Nutrition'!A:A,'Sweetener Mix In Nutrition'!B:B,0))</f>
        <v>5260.3556585591132</v>
      </c>
      <c r="AC44" s="36">
        <f>(($R44 / 240) * _xlfn.XLOOKUP($D44,'Milk Types Nutrition Per Cup'!A:A,'Milk Types Nutrition Per Cup'!E:E,0)) +(($S44 / 240)  * _xlfn.XLOOKUP($E44,'Milk Types Nutrition Per Cup'!A:A,'Milk Types Nutrition Per Cup'!E:E,0)) +(($T44 / 15)  * _xlfn.XLOOKUP($F44,'Liquid Mix In Nutrition'!A:A,'Liquid Mix In Nutrition'!E:E,0)) +(($U44 / 15)  * _xlfn.XLOOKUP($G44,'Liquid Mix In Nutrition'!A:A,'Liquid Mix In Nutrition'!E:E,0))+(($V44 / MAX(1, _xlfn.XLOOKUP($H44,'Solid Mix In Nutrition'!A:A,'Solid Mix In Nutrition'!I:I,1)))  * _xlfn.XLOOKUP($H44,'Solid Mix In Nutrition'!A:A,'Solid Mix In Nutrition'!E:E,0))+(($W44 / MAX(1, _xlfn.XLOOKUP($I44,'Solid Mix In Nutrition'!A:A,'Solid Mix In Nutrition'!I:I,1)))  * _xlfn.XLOOKUP($I44,'Solid Mix In Nutrition'!A:A,'Solid Mix In Nutrition'!G:G,0))+(($X44 / 100)  * _xlfn.XLOOKUP($J44,'Sweetener Mix In Nutrition'!A:A,'Sweetener Mix In Nutrition'!E:E,0))+(($Y44 / 100)  * _xlfn.XLOOKUP($K44,'Sweetener Mix In Nutrition'!A:A,'Sweetener Mix In Nutrition'!E:E,0))</f>
        <v>280.03929072023811</v>
      </c>
      <c r="AD44" s="36">
        <f>(($R44 / 240) * _xlfn.XLOOKUP($D44,'Milk Types Nutrition Per Cup'!A:A,'Milk Types Nutrition Per Cup'!E:E,0)) +(($S44 / 240)  * _xlfn.XLOOKUP($E44,'Milk Types Nutrition Per Cup'!A:A,'Milk Types Nutrition Per Cup'!E:E,0)) +(($T44 / 15)  * _xlfn.XLOOKUP($F44,'Liquid Mix In Nutrition'!A:A,'Liquid Mix In Nutrition'!E:E,0)) +(($U44 / 15)  * _xlfn.XLOOKUP($G44,'Liquid Mix In Nutrition'!A:A,'Liquid Mix In Nutrition'!E:E,0))+(($X44 / 100)  * _xlfn.XLOOKUP($J44,'Sweetener Mix In Nutrition'!A:A,'Sweetener Mix In Nutrition'!E:E,0))+(($Y44 / 100)  * _xlfn.XLOOKUP($K44,'Sweetener Mix In Nutrition'!A:A,'Sweetener Mix In Nutrition'!E:E,0))</f>
        <v>156.17995000000002</v>
      </c>
      <c r="AE44" s="37">
        <f>(($R44 / 240) * _xlfn.XLOOKUP($D44,'Milk Types Nutrition Per Cup'!A:A,'Milk Types Nutrition Per Cup'!C:C,0)) +(($S44 / 240)  * _xlfn.XLOOKUP($E44,'Milk Types Nutrition Per Cup'!A:A,'Milk Types Nutrition Per Cup'!C:C,0)) +(($T44 / 15)  * _xlfn.XLOOKUP($F44,'Liquid Mix In Nutrition'!A:A,'Liquid Mix In Nutrition'!C:C,0))+(($U44 / 15)  * _xlfn.XLOOKUP($G44,'Liquid Mix In Nutrition'!A:A,'Liquid Mix In Nutrition'!C:C,0))+(($V44 / MAX(1, _xlfn.XLOOKUP($H44,'Solid Mix In Nutrition'!A:A,'Solid Mix In Nutrition'!I:I,1)))  * _xlfn.XLOOKUP($H44,'Solid Mix In Nutrition'!A:A,'Solid Mix In Nutrition'!C:C,0))+(($W44 / MAX(1, _xlfn.XLOOKUP($I44,'Solid Mix In Nutrition'!A:A,'Solid Mix In Nutrition'!I:I,1)))  * _xlfn.XLOOKUP($I44,'Solid Mix In Nutrition'!A:A,'Solid Mix In Nutrition'!C:C,0))+(($X44 / 100)  * _xlfn.XLOOKUP($J44,'Sweetener Mix In Nutrition'!A:A,'Sweetener Mix In Nutrition'!C:C,0))+(($Y44 / 100)  * _xlfn.XLOOKUP($K44,'Sweetener Mix In Nutrition'!A:A,'Sweetener Mix In Nutrition'!C:C,0))</f>
        <v>437.81462171592773</v>
      </c>
      <c r="AF44" s="38">
        <f>$AE44 / (_xlfn.XLOOKUP($L44,Specs!A:A,Specs!B:B,0))</f>
        <v>0.24417993403007682</v>
      </c>
      <c r="AG44" s="37">
        <f>60* ($AB44 / _xlfn.XLOOKUP($L44,Specs!A:A,Specs!B:B,0))</f>
        <v>176.02974875267529</v>
      </c>
      <c r="AH44" s="37">
        <f>60* (AC44 / _xlfn.XLOOKUP($L44,Specs!$A:$A,Specs!$B:$B,0))</f>
        <v>9.3710861367620115</v>
      </c>
      <c r="AI44" s="37">
        <f>60* (AE44 / _xlfn.XLOOKUP($L44,Specs!$A:$A,Specs!$B:$B,0))</f>
        <v>14.650796041804609</v>
      </c>
      <c r="AJ44" s="39">
        <v>7.9155151313178393</v>
      </c>
      <c r="AK44" s="46" t="s">
        <v>741</v>
      </c>
      <c r="AL44" s="47">
        <v>48.5</v>
      </c>
      <c r="AM44" s="40">
        <v>12</v>
      </c>
      <c r="AN44" s="48">
        <v>31</v>
      </c>
      <c r="AO44" s="40">
        <v>19</v>
      </c>
      <c r="AP44" s="30" t="s">
        <v>210</v>
      </c>
      <c r="AQ44" t="str">
        <f>_xlfn.XLOOKUP("What's Your Number?",[1]Sheet1!$1:$1,[1]Sheet1!44:44)</f>
        <v>954-483-8278</v>
      </c>
    </row>
    <row r="45" spans="1:43" x14ac:dyDescent="0.25">
      <c r="A45" s="42" t="s">
        <v>742</v>
      </c>
      <c r="B45" s="76" t="s">
        <v>718</v>
      </c>
      <c r="C45" s="31" t="s">
        <v>508</v>
      </c>
      <c r="D45" s="31">
        <v>0</v>
      </c>
      <c r="E45" s="31">
        <v>0</v>
      </c>
      <c r="F45" s="31">
        <v>0</v>
      </c>
      <c r="G45" s="31" t="s">
        <v>522</v>
      </c>
      <c r="H45" s="31">
        <v>0</v>
      </c>
      <c r="I45" s="31" t="s">
        <v>267</v>
      </c>
      <c r="J45" s="31">
        <v>0</v>
      </c>
      <c r="K45" s="31">
        <v>0</v>
      </c>
      <c r="L45" s="77" t="s">
        <v>43</v>
      </c>
      <c r="M45" s="45">
        <v>0</v>
      </c>
      <c r="N45" s="45" t="s">
        <v>451</v>
      </c>
      <c r="O45" s="45">
        <v>0</v>
      </c>
      <c r="P45" s="45" t="s">
        <v>173</v>
      </c>
      <c r="Q45" s="45">
        <v>0</v>
      </c>
      <c r="R45" s="30">
        <f>(_xlfn.XLOOKUP($L45,Specs!A:A,Specs!B:B,0)-(IF(ISNUMBER(SEARCH("Dulce De Leche", $G45)), 0, $T45))-(IF(ISNUMBER(SEARCH("Dulce De Leche", $F45)), 0, $U45))-(($V45/MAX(1,_xlfn.XLOOKUP($H45,'Solid Mix In Nutrition'!A:A,'Solid Mix In Nutrition'!I:I,1)))*240)-(($W45/MAX(1,_xlfn.XLOOKUP($I45,'Solid Mix In Nutrition'!A:A,'Solid Mix In Nutrition'!I:I,1)))*240))*0.66</f>
        <v>545.16000000000008</v>
      </c>
      <c r="S45" s="30">
        <f>(_xlfn.XLOOKUP($L45,Specs!A:A,Specs!B:B,0)-(IF(ISNUMBER(SEARCH("Dulce De Leche", $G45)), 0, $T45))-(IF(ISNUMBER(SEARCH("Dulce De Leche", $F45)), 0, $U45))-(($V45/MAX(1,_xlfn.XLOOKUP($H45,'Solid Mix In Nutrition'!A:A,'Solid Mix In Nutrition'!I:I,1)))*240)-(($W45/MAX(1,_xlfn.XLOOKUP($I45,'Solid Mix In Nutrition'!A:A,'Solid Mix In Nutrition'!I:I,1)))*240))*0.33</f>
        <v>272.58000000000004</v>
      </c>
      <c r="T45" s="30">
        <f>_xlfn.XLOOKUP($M45,Specs!$D:$D,Specs!$E:$E,0)*15*_xlfn.XLOOKUP($L45,Specs!$A:$A,Specs!$C:$C,0)</f>
        <v>0</v>
      </c>
      <c r="U45" s="30">
        <f>_xlfn.XLOOKUP($N45,Specs!$D:$D,Specs!$E:$E,0)*15*_xlfn.XLOOKUP($L45,Specs!$A:$A,Specs!$C:$C,0)</f>
        <v>120</v>
      </c>
      <c r="V45" s="30">
        <f>( ((_xlfn.XLOOKUP($O45,Specs!$H:$H,Specs!$I:$I,0)*_xlfn.XLOOKUP($L45,Specs!$A:$A,Specs!$B:$B,0))/240) *_xlfn.XLOOKUP($H45,'Solid Mix In Nutrition'!A:A,'Solid Mix In Nutrition'!I:I,0)) *IF(AND(NOT($I45=0), COUNTA($I45)),0.5,1)</f>
        <v>0</v>
      </c>
      <c r="W45" s="30">
        <f>( ((_xlfn.XLOOKUP($O45,Specs!$H:$H,Specs!$I:$I,0)*_xlfn.XLOOKUP($L45,Specs!$A:$A,Specs!$B:$B,0))/240) *_xlfn.XLOOKUP($I45,'Solid Mix In Nutrition'!A:A,'Solid Mix In Nutrition'!I:I,0)) *IF(AND(NOT($I45=0), COUNTA($I45)),0.5,0)</f>
        <v>0</v>
      </c>
      <c r="X45" s="30">
        <f>_xlfn.XLOOKUP($P45,Specs!F:F,Specs!G:G,0)*_xlfn.XLOOKUP($J45,'Sweetener Mix In Nutrition'!A:A,'Sweetener Mix In Nutrition'!I:I,0)*_xlfn.XLOOKUP($L45,Specs!A:A,Specs!C:C,0)</f>
        <v>0</v>
      </c>
      <c r="Y45" s="30">
        <f>_xlfn.XLOOKUP($Q45,Specs!F:F,Specs!G:G,0)*_xlfn.XLOOKUP($K45,'Sweetener Mix In Nutrition'!A:A,'Sweetener Mix In Nutrition'!I:I,0)*_xlfn.XLOOKUP($L45,Specs!A:A,Specs!C:C,0)</f>
        <v>0</v>
      </c>
      <c r="Z45" s="34">
        <f t="shared" si="0"/>
        <v>0.98128800000000005</v>
      </c>
      <c r="AA45" s="35">
        <f t="shared" si="1"/>
        <v>0.25</v>
      </c>
      <c r="AB45" s="36">
        <f>(($R45 / 240) * _xlfn.XLOOKUP($D45,'Milk Types Nutrition Per Cup'!A:A,'Milk Types Nutrition Per Cup'!B:B,0)) +(($S45 / 240)  * _xlfn.XLOOKUP($E45,'Milk Types Nutrition Per Cup'!A:A,'Milk Types Nutrition Per Cup'!B:B,0)) +(($T45 / 15)  * _xlfn.XLOOKUP($F45,'Liquid Mix In Nutrition'!A:A,'Liquid Mix In Nutrition'!B:B,0))+(($U45 / 15)  * _xlfn.XLOOKUP($G45,'Liquid Mix In Nutrition'!A:A,'Liquid Mix In Nutrition'!B:B,0))+(($V45 /MAX(1, _xlfn.XLOOKUP($H45,'Solid Mix In Nutrition'!A:A,'Solid Mix In Nutrition'!I:I,1)))  * _xlfn.XLOOKUP($H45,'Solid Mix In Nutrition'!A:A,'Solid Mix In Nutrition'!B:B,0))+(($W45 / MAX(1, _xlfn.XLOOKUP($I45,'Solid Mix In Nutrition'!A:A,'Solid Mix In Nutrition'!I:I,1))))+(($X45 / 100)  * _xlfn.XLOOKUP($J45,'Sweetener Mix In Nutrition'!A:A,'Sweetener Mix In Nutrition'!B:B,0))+(($Y45 / 100)  * _xlfn.XLOOKUP($K45,'Sweetener Mix In Nutrition'!A:A,'Sweetener Mix In Nutrition'!B:B,0))</f>
        <v>0</v>
      </c>
      <c r="AC45" s="36">
        <f>(($R45 / 240) * _xlfn.XLOOKUP($D45,'Milk Types Nutrition Per Cup'!A:A,'Milk Types Nutrition Per Cup'!E:E,0)) +(($S45 / 240)  * _xlfn.XLOOKUP($E45,'Milk Types Nutrition Per Cup'!A:A,'Milk Types Nutrition Per Cup'!E:E,0)) +(($T45 / 15)  * _xlfn.XLOOKUP($F45,'Liquid Mix In Nutrition'!A:A,'Liquid Mix In Nutrition'!E:E,0)) +(($U45 / 15)  * _xlfn.XLOOKUP($G45,'Liquid Mix In Nutrition'!A:A,'Liquid Mix In Nutrition'!E:E,0))+(($V45 / MAX(1, _xlfn.XLOOKUP($H45,'Solid Mix In Nutrition'!A:A,'Solid Mix In Nutrition'!I:I,1)))  * _xlfn.XLOOKUP($H45,'Solid Mix In Nutrition'!A:A,'Solid Mix In Nutrition'!E:E,0))+(($W45 / MAX(1, _xlfn.XLOOKUP($I45,'Solid Mix In Nutrition'!A:A,'Solid Mix In Nutrition'!I:I,1)))  * _xlfn.XLOOKUP($I45,'Solid Mix In Nutrition'!A:A,'Solid Mix In Nutrition'!G:G,0))+(($X45 / 100)  * _xlfn.XLOOKUP($J45,'Sweetener Mix In Nutrition'!A:A,'Sweetener Mix In Nutrition'!E:E,0))+(($Y45 / 100)  * _xlfn.XLOOKUP($K45,'Sweetener Mix In Nutrition'!A:A,'Sweetener Mix In Nutrition'!E:E,0))</f>
        <v>0</v>
      </c>
      <c r="AD45" s="36">
        <f>(($R45 / 240) * _xlfn.XLOOKUP($D45,'Milk Types Nutrition Per Cup'!A:A,'Milk Types Nutrition Per Cup'!E:E,0)) +(($S45 / 240)  * _xlfn.XLOOKUP($E45,'Milk Types Nutrition Per Cup'!A:A,'Milk Types Nutrition Per Cup'!E:E,0)) +(($T45 / 15)  * _xlfn.XLOOKUP($F45,'Liquid Mix In Nutrition'!A:A,'Liquid Mix In Nutrition'!E:E,0)) +(($U45 / 15)  * _xlfn.XLOOKUP($G45,'Liquid Mix In Nutrition'!A:A,'Liquid Mix In Nutrition'!E:E,0))+(($X45 / 100)  * _xlfn.XLOOKUP($J45,'Sweetener Mix In Nutrition'!A:A,'Sweetener Mix In Nutrition'!E:E,0))+(($Y45 / 100)  * _xlfn.XLOOKUP($K45,'Sweetener Mix In Nutrition'!A:A,'Sweetener Mix In Nutrition'!E:E,0))</f>
        <v>0</v>
      </c>
      <c r="AE45" s="37">
        <f>(($R45 / 240) * _xlfn.XLOOKUP($D45,'Milk Types Nutrition Per Cup'!A:A,'Milk Types Nutrition Per Cup'!C:C,0)) +(($S45 / 240)  * _xlfn.XLOOKUP($E45,'Milk Types Nutrition Per Cup'!A:A,'Milk Types Nutrition Per Cup'!C:C,0)) +(($T45 / 15)  * _xlfn.XLOOKUP($F45,'Liquid Mix In Nutrition'!A:A,'Liquid Mix In Nutrition'!C:C,0))+(($U45 / 15)  * _xlfn.XLOOKUP($G45,'Liquid Mix In Nutrition'!A:A,'Liquid Mix In Nutrition'!C:C,0))+(($V45 / MAX(1, _xlfn.XLOOKUP($H45,'Solid Mix In Nutrition'!A:A,'Solid Mix In Nutrition'!I:I,1)))  * _xlfn.XLOOKUP($H45,'Solid Mix In Nutrition'!A:A,'Solid Mix In Nutrition'!C:C,0))+(($W45 / MAX(1, _xlfn.XLOOKUP($I45,'Solid Mix In Nutrition'!A:A,'Solid Mix In Nutrition'!I:I,1)))  * _xlfn.XLOOKUP($I45,'Solid Mix In Nutrition'!A:A,'Solid Mix In Nutrition'!C:C,0))+(($X45 / 100)  * _xlfn.XLOOKUP($J45,'Sweetener Mix In Nutrition'!A:A,'Sweetener Mix In Nutrition'!C:C,0))+(($Y45 / 100)  * _xlfn.XLOOKUP($K45,'Sweetener Mix In Nutrition'!A:A,'Sweetener Mix In Nutrition'!C:C,0))</f>
        <v>0</v>
      </c>
      <c r="AF45" s="38">
        <f>$AE45 / (_xlfn.XLOOKUP($L45,Specs!A:A,Specs!B:B,0))</f>
        <v>0</v>
      </c>
      <c r="AG45" s="37">
        <f>60* ($AB45 / _xlfn.XLOOKUP($L45,Specs!A:A,Specs!B:B,0))</f>
        <v>0</v>
      </c>
      <c r="AH45" s="37">
        <f>60* (AC45 / _xlfn.XLOOKUP($L45,Specs!$A:$A,Specs!$B:$B,0))</f>
        <v>0</v>
      </c>
      <c r="AI45" s="37">
        <f>60* (AE45 / _xlfn.XLOOKUP($L45,Specs!$A:$A,Specs!$B:$B,0))</f>
        <v>0</v>
      </c>
      <c r="AJ45" s="39">
        <v>0</v>
      </c>
      <c r="AK45" s="46">
        <v>0</v>
      </c>
      <c r="AL45" s="47"/>
      <c r="AM45" s="40">
        <v>0</v>
      </c>
      <c r="AN45" s="48">
        <v>1</v>
      </c>
      <c r="AO45" s="40">
        <v>1</v>
      </c>
      <c r="AP45" s="30" t="s">
        <v>210</v>
      </c>
      <c r="AQ45" t="str">
        <f>_xlfn.XLOOKUP("What's Your Number?",[1]Sheet1!$1:$1,[1]Sheet1!45:45)</f>
        <v>954-830-6368</v>
      </c>
    </row>
    <row r="46" spans="1:43" x14ac:dyDescent="0.25">
      <c r="A46" s="42" t="s">
        <v>743</v>
      </c>
      <c r="B46" s="76" t="s">
        <v>744</v>
      </c>
      <c r="C46" s="31" t="s">
        <v>543</v>
      </c>
      <c r="D46" s="31" t="s">
        <v>62</v>
      </c>
      <c r="E46" s="31" t="s">
        <v>65</v>
      </c>
      <c r="F46" s="31" t="s">
        <v>0</v>
      </c>
      <c r="G46" s="31" t="s">
        <v>486</v>
      </c>
      <c r="H46" s="31" t="s">
        <v>406</v>
      </c>
      <c r="I46" s="31">
        <v>0</v>
      </c>
      <c r="J46" s="31" t="s">
        <v>2</v>
      </c>
      <c r="K46" s="31">
        <v>0</v>
      </c>
      <c r="L46" s="77" t="s">
        <v>4</v>
      </c>
      <c r="M46" s="45" t="s">
        <v>450</v>
      </c>
      <c r="N46" s="45" t="s">
        <v>451</v>
      </c>
      <c r="O46" s="45" t="s">
        <v>156</v>
      </c>
      <c r="P46" s="45" t="s">
        <v>448</v>
      </c>
      <c r="Q46" s="45">
        <v>0</v>
      </c>
      <c r="R46" s="30">
        <f>(_xlfn.XLOOKUP($L46,Specs!A:A,Specs!B:B,0)-(IF(ISNUMBER(SEARCH("Dulce De Leche", $G46)), 0, $T46))-(IF(ISNUMBER(SEARCH("Dulce De Leche", $F46)), 0, $U46))-(($V46/MAX(1,_xlfn.XLOOKUP($H46,'Solid Mix In Nutrition'!A:A,'Solid Mix In Nutrition'!I:I,1)))*240)-(($W46/MAX(1,_xlfn.XLOOKUP($I46,'Solid Mix In Nutrition'!A:A,'Solid Mix In Nutrition'!I:I,1)))*240))*0.66</f>
        <v>189.58500000000001</v>
      </c>
      <c r="S46" s="30">
        <f>(_xlfn.XLOOKUP($L46,Specs!A:A,Specs!B:B,0)-(IF(ISNUMBER(SEARCH("Dulce De Leche", $G46)), 0, $T46))-(IF(ISNUMBER(SEARCH("Dulce De Leche", $F46)), 0, $U46))-(($V46/MAX(1,_xlfn.XLOOKUP($H46,'Solid Mix In Nutrition'!A:A,'Solid Mix In Nutrition'!I:I,1)))*240)-(($W46/MAX(1,_xlfn.XLOOKUP($I46,'Solid Mix In Nutrition'!A:A,'Solid Mix In Nutrition'!I:I,1)))*240))*0.33</f>
        <v>94.792500000000004</v>
      </c>
      <c r="T46" s="30">
        <f>_xlfn.XLOOKUP($M46,Specs!$D:$D,Specs!$E:$E,0)*15*_xlfn.XLOOKUP($L46,Specs!$A:$A,Specs!$C:$C,0)</f>
        <v>7.5</v>
      </c>
      <c r="U46" s="30">
        <f>_xlfn.XLOOKUP($N46,Specs!$D:$D,Specs!$E:$E,0)*15*_xlfn.XLOOKUP($L46,Specs!$A:$A,Specs!$C:$C,0)</f>
        <v>60</v>
      </c>
      <c r="V46" s="30">
        <f>( ((_xlfn.XLOOKUP($O46,Specs!$H:$H,Specs!$I:$I,0)*_xlfn.XLOOKUP($L46,Specs!$A:$A,Specs!$B:$B,0))/240) *_xlfn.XLOOKUP($H46,'Solid Mix In Nutrition'!A:A,'Solid Mix In Nutrition'!I:I,0)) *IF(AND(NOT($I46=0), COUNTA($I46)),0.5,1)</f>
        <v>39.416666666666671</v>
      </c>
      <c r="W46" s="30">
        <f>( ((_xlfn.XLOOKUP($O46,Specs!$H:$H,Specs!$I:$I,0)*_xlfn.XLOOKUP($L46,Specs!$A:$A,Specs!$B:$B,0))/240) *_xlfn.XLOOKUP($I46,'Solid Mix In Nutrition'!A:A,'Solid Mix In Nutrition'!I:I,0)) *IF(AND(NOT($I46=0), COUNTA($I46)),0.5,0)</f>
        <v>0</v>
      </c>
      <c r="X46" s="30">
        <f>_xlfn.XLOOKUP($P46,Specs!F:F,Specs!G:G,0)*_xlfn.XLOOKUP($J46,'Sweetener Mix In Nutrition'!A:A,'Sweetener Mix In Nutrition'!I:I,0)*_xlfn.XLOOKUP($L46,Specs!A:A,Specs!C:C,0)</f>
        <v>12.5</v>
      </c>
      <c r="Y46" s="30">
        <f>_xlfn.XLOOKUP($Q46,Specs!F:F,Specs!G:G,0)*_xlfn.XLOOKUP($K46,'Sweetener Mix In Nutrition'!A:A,'Sweetener Mix In Nutrition'!I:I,0)*_xlfn.XLOOKUP($L46,Specs!A:A,Specs!C:C,0)</f>
        <v>0</v>
      </c>
      <c r="Z46" s="34">
        <f t="shared" si="0"/>
        <v>0.36525299999999994</v>
      </c>
      <c r="AA46" s="35">
        <f t="shared" si="1"/>
        <v>0.25</v>
      </c>
      <c r="AB46" s="36">
        <f>(($R46 / 240) * _xlfn.XLOOKUP($D46,'Milk Types Nutrition Per Cup'!A:A,'Milk Types Nutrition Per Cup'!B:B,0)) +(($S46 / 240)  * _xlfn.XLOOKUP($E46,'Milk Types Nutrition Per Cup'!A:A,'Milk Types Nutrition Per Cup'!B:B,0)) +(($T46 / 15)  * _xlfn.XLOOKUP($F46,'Liquid Mix In Nutrition'!A:A,'Liquid Mix In Nutrition'!B:B,0))+(($U46 / 15)  * _xlfn.XLOOKUP($G46,'Liquid Mix In Nutrition'!A:A,'Liquid Mix In Nutrition'!B:B,0))+(($V46 /MAX(1, _xlfn.XLOOKUP($H46,'Solid Mix In Nutrition'!A:A,'Solid Mix In Nutrition'!I:I,1)))  * _xlfn.XLOOKUP($H46,'Solid Mix In Nutrition'!A:A,'Solid Mix In Nutrition'!B:B,0))+(($W46 / MAX(1, _xlfn.XLOOKUP($I46,'Solid Mix In Nutrition'!A:A,'Solid Mix In Nutrition'!I:I,1))))+(($X46 / 100)  * _xlfn.XLOOKUP($J46,'Sweetener Mix In Nutrition'!A:A,'Sweetener Mix In Nutrition'!B:B,0))+(($Y46 / 100)  * _xlfn.XLOOKUP($K46,'Sweetener Mix In Nutrition'!A:A,'Sweetener Mix In Nutrition'!B:B,0))</f>
        <v>1465.8295833333334</v>
      </c>
      <c r="AC46" s="36">
        <f>(($R46 / 240) * _xlfn.XLOOKUP($D46,'Milk Types Nutrition Per Cup'!A:A,'Milk Types Nutrition Per Cup'!E:E,0)) +(($S46 / 240)  * _xlfn.XLOOKUP($E46,'Milk Types Nutrition Per Cup'!A:A,'Milk Types Nutrition Per Cup'!E:E,0)) +(($T46 / 15)  * _xlfn.XLOOKUP($F46,'Liquid Mix In Nutrition'!A:A,'Liquid Mix In Nutrition'!E:E,0)) +(($U46 / 15)  * _xlfn.XLOOKUP($G46,'Liquid Mix In Nutrition'!A:A,'Liquid Mix In Nutrition'!E:E,0))+(($V46 / MAX(1, _xlfn.XLOOKUP($H46,'Solid Mix In Nutrition'!A:A,'Solid Mix In Nutrition'!I:I,1)))  * _xlfn.XLOOKUP($H46,'Solid Mix In Nutrition'!A:A,'Solid Mix In Nutrition'!E:E,0))+(($W46 / MAX(1, _xlfn.XLOOKUP($I46,'Solid Mix In Nutrition'!A:A,'Solid Mix In Nutrition'!I:I,1)))  * _xlfn.XLOOKUP($I46,'Solid Mix In Nutrition'!A:A,'Solid Mix In Nutrition'!G:G,0))+(($X46 / 100)  * _xlfn.XLOOKUP($J46,'Sweetener Mix In Nutrition'!A:A,'Sweetener Mix In Nutrition'!E:E,0))+(($Y46 / 100)  * _xlfn.XLOOKUP($K46,'Sweetener Mix In Nutrition'!A:A,'Sweetener Mix In Nutrition'!E:E,0))</f>
        <v>93.802458333333334</v>
      </c>
      <c r="AD46" s="36">
        <f>(($R46 / 240) * _xlfn.XLOOKUP($D46,'Milk Types Nutrition Per Cup'!A:A,'Milk Types Nutrition Per Cup'!E:E,0)) +(($S46 / 240)  * _xlfn.XLOOKUP($E46,'Milk Types Nutrition Per Cup'!A:A,'Milk Types Nutrition Per Cup'!E:E,0)) +(($T46 / 15)  * _xlfn.XLOOKUP($F46,'Liquid Mix In Nutrition'!A:A,'Liquid Mix In Nutrition'!E:E,0)) +(($U46 / 15)  * _xlfn.XLOOKUP($G46,'Liquid Mix In Nutrition'!A:A,'Liquid Mix In Nutrition'!E:E,0))+(($X46 / 100)  * _xlfn.XLOOKUP($J46,'Sweetener Mix In Nutrition'!A:A,'Sweetener Mix In Nutrition'!E:E,0))+(($Y46 / 100)  * _xlfn.XLOOKUP($K46,'Sweetener Mix In Nutrition'!A:A,'Sweetener Mix In Nutrition'!E:E,0))</f>
        <v>69.659750000000003</v>
      </c>
      <c r="AE46" s="37">
        <f>(($R46 / 240) * _xlfn.XLOOKUP($D46,'Milk Types Nutrition Per Cup'!A:A,'Milk Types Nutrition Per Cup'!C:C,0)) +(($S46 / 240)  * _xlfn.XLOOKUP($E46,'Milk Types Nutrition Per Cup'!A:A,'Milk Types Nutrition Per Cup'!C:C,0)) +(($T46 / 15)  * _xlfn.XLOOKUP($F46,'Liquid Mix In Nutrition'!A:A,'Liquid Mix In Nutrition'!C:C,0))+(($U46 / 15)  * _xlfn.XLOOKUP($G46,'Liquid Mix In Nutrition'!A:A,'Liquid Mix In Nutrition'!C:C,0))+(($V46 / MAX(1, _xlfn.XLOOKUP($H46,'Solid Mix In Nutrition'!A:A,'Solid Mix In Nutrition'!I:I,1)))  * _xlfn.XLOOKUP($H46,'Solid Mix In Nutrition'!A:A,'Solid Mix In Nutrition'!C:C,0))+(($W46 / MAX(1, _xlfn.XLOOKUP($I46,'Solid Mix In Nutrition'!A:A,'Solid Mix In Nutrition'!I:I,1)))  * _xlfn.XLOOKUP($I46,'Solid Mix In Nutrition'!A:A,'Solid Mix In Nutrition'!C:C,0))+(($X46 / 100)  * _xlfn.XLOOKUP($J46,'Sweetener Mix In Nutrition'!A:A,'Sweetener Mix In Nutrition'!C:C,0))+(($Y46 / 100)  * _xlfn.XLOOKUP($K46,'Sweetener Mix In Nutrition'!A:A,'Sweetener Mix In Nutrition'!C:C,0))</f>
        <v>98.964479166666663</v>
      </c>
      <c r="AF46" s="38">
        <f>$AE46 / (_xlfn.XLOOKUP($L46,Specs!A:A,Specs!B:B,0))</f>
        <v>0.20922722868217053</v>
      </c>
      <c r="AG46" s="37">
        <f>60* ($AB46 / _xlfn.XLOOKUP($L46,Specs!A:A,Specs!B:B,0))</f>
        <v>185.94032769556028</v>
      </c>
      <c r="AH46" s="37">
        <f>60* (AC46 / _xlfn.XLOOKUP($L46,Specs!$A:$A,Specs!$B:$B,0))</f>
        <v>11.898831923890064</v>
      </c>
      <c r="AI46" s="37">
        <f>60* (AE46 / _xlfn.XLOOKUP($L46,Specs!$A:$A,Specs!$B:$B,0))</f>
        <v>12.553633720930232</v>
      </c>
      <c r="AJ46" s="39">
        <v>3.2782507898275992</v>
      </c>
      <c r="AK46" s="46">
        <v>0</v>
      </c>
      <c r="AL46" s="47">
        <v>24.25</v>
      </c>
      <c r="AM46" s="40">
        <v>6</v>
      </c>
      <c r="AN46" s="48">
        <v>14</v>
      </c>
      <c r="AO46" s="40">
        <v>8</v>
      </c>
      <c r="AP46" s="30" t="s">
        <v>210</v>
      </c>
      <c r="AQ46" t="str">
        <f>_xlfn.XLOOKUP("What's Your Number?",[1]Sheet1!$1:$1,[1]Sheet1!46:46)</f>
        <v>954-830-6368</v>
      </c>
    </row>
    <row r="47" spans="1:43" ht="30" x14ac:dyDescent="0.25">
      <c r="A47" s="42" t="s">
        <v>642</v>
      </c>
      <c r="B47" s="76" t="s">
        <v>734</v>
      </c>
      <c r="C47" s="31" t="s">
        <v>643</v>
      </c>
      <c r="D47" s="31" t="s">
        <v>62</v>
      </c>
      <c r="E47" s="31" t="s">
        <v>65</v>
      </c>
      <c r="F47" s="31" t="s">
        <v>544</v>
      </c>
      <c r="G47" s="31">
        <v>0</v>
      </c>
      <c r="H47" s="31">
        <v>0</v>
      </c>
      <c r="I47" s="31">
        <v>0</v>
      </c>
      <c r="J47" s="31" t="s">
        <v>1</v>
      </c>
      <c r="K47" s="31">
        <v>0</v>
      </c>
      <c r="L47" s="77" t="s">
        <v>4</v>
      </c>
      <c r="M47" s="45" t="s">
        <v>175</v>
      </c>
      <c r="N47" s="45" t="s">
        <v>44</v>
      </c>
      <c r="O47" s="45">
        <v>0</v>
      </c>
      <c r="P47" s="45" t="s">
        <v>173</v>
      </c>
      <c r="Q47" s="45">
        <v>0</v>
      </c>
      <c r="R47" s="30">
        <f>(_xlfn.XLOOKUP($L47,Specs!A:A,Specs!B:B,0)-(IF(ISNUMBER(SEARCH("Dulce De Leche", $G47)), 0, $T47))-(IF(ISNUMBER(SEARCH("Dulce De Leche", $F47)), 0, $U47))-(($V47/MAX(1,_xlfn.XLOOKUP($H47,'Solid Mix In Nutrition'!A:A,'Solid Mix In Nutrition'!I:I,1)))*240)-(($W47/MAX(1,_xlfn.XLOOKUP($I47,'Solid Mix In Nutrition'!A:A,'Solid Mix In Nutrition'!I:I,1)))*240))*0.66</f>
        <v>310.9425</v>
      </c>
      <c r="S47" s="30">
        <f>(_xlfn.XLOOKUP($L47,Specs!A:A,Specs!B:B,0)-(IF(ISNUMBER(SEARCH("Dulce De Leche", $G47)), 0, $T47))-(IF(ISNUMBER(SEARCH("Dulce De Leche", $F47)), 0, $U47))-(($V47/MAX(1,_xlfn.XLOOKUP($H47,'Solid Mix In Nutrition'!A:A,'Solid Mix In Nutrition'!I:I,1)))*240)-(($W47/MAX(1,_xlfn.XLOOKUP($I47,'Solid Mix In Nutrition'!A:A,'Solid Mix In Nutrition'!I:I,1)))*240))*0.33</f>
        <v>155.47125</v>
      </c>
      <c r="T47" s="30">
        <f>_xlfn.XLOOKUP($M47,Specs!$D:$D,Specs!$E:$E,0)*15*_xlfn.XLOOKUP($L47,Specs!$A:$A,Specs!$C:$C,0)</f>
        <v>1.875</v>
      </c>
      <c r="U47" s="30">
        <f>_xlfn.XLOOKUP($N47,Specs!$D:$D,Specs!$E:$E,0)*15*_xlfn.XLOOKUP($L47,Specs!$A:$A,Specs!$C:$C,0)</f>
        <v>0</v>
      </c>
      <c r="V47" s="30">
        <f>( ((_xlfn.XLOOKUP($O47,Specs!$H:$H,Specs!$I:$I,0)*_xlfn.XLOOKUP($L47,Specs!$A:$A,Specs!$B:$B,0))/240) *_xlfn.XLOOKUP($H47,'Solid Mix In Nutrition'!A:A,'Solid Mix In Nutrition'!I:I,0)) *IF(AND(NOT($I47=0), COUNTA($I47)),0.5,1)</f>
        <v>0</v>
      </c>
      <c r="W47" s="30">
        <f>( ((_xlfn.XLOOKUP($O47,Specs!$H:$H,Specs!$I:$I,0)*_xlfn.XLOOKUP($L47,Specs!$A:$A,Specs!$B:$B,0))/240) *_xlfn.XLOOKUP($I47,'Solid Mix In Nutrition'!A:A,'Solid Mix In Nutrition'!I:I,0)) *IF(AND(NOT($I47=0), COUNTA($I47)),0.5,0)</f>
        <v>0</v>
      </c>
      <c r="X47" s="30">
        <f>_xlfn.XLOOKUP($P47,Specs!F:F,Specs!G:G,0)*_xlfn.XLOOKUP($J47,'Sweetener Mix In Nutrition'!A:A,'Sweetener Mix In Nutrition'!I:I,0)*_xlfn.XLOOKUP($L47,Specs!A:A,Specs!C:C,0)</f>
        <v>50</v>
      </c>
      <c r="Y47" s="30">
        <f>_xlfn.XLOOKUP($Q47,Specs!F:F,Specs!G:G,0)*_xlfn.XLOOKUP($K47,'Sweetener Mix In Nutrition'!A:A,'Sweetener Mix In Nutrition'!I:I,0)*_xlfn.XLOOKUP($L47,Specs!A:A,Specs!C:C,0)</f>
        <v>0</v>
      </c>
      <c r="Z47" s="34">
        <f t="shared" si="0"/>
        <v>0.62194649999999985</v>
      </c>
      <c r="AA47" s="35">
        <f t="shared" si="1"/>
        <v>0.25</v>
      </c>
      <c r="AB47" s="36">
        <f>(($R47 / 240) * _xlfn.XLOOKUP($D47,'Milk Types Nutrition Per Cup'!A:A,'Milk Types Nutrition Per Cup'!B:B,0)) +(($S47 / 240)  * _xlfn.XLOOKUP($E47,'Milk Types Nutrition Per Cup'!A:A,'Milk Types Nutrition Per Cup'!B:B,0)) +(($T47 / 15)  * _xlfn.XLOOKUP($F47,'Liquid Mix In Nutrition'!A:A,'Liquid Mix In Nutrition'!B:B,0))+(($U47 / 15)  * _xlfn.XLOOKUP($G47,'Liquid Mix In Nutrition'!A:A,'Liquid Mix In Nutrition'!B:B,0))+(($V47 /MAX(1, _xlfn.XLOOKUP($H47,'Solid Mix In Nutrition'!A:A,'Solid Mix In Nutrition'!I:I,1)))  * _xlfn.XLOOKUP($H47,'Solid Mix In Nutrition'!A:A,'Solid Mix In Nutrition'!B:B,0))+(($W47 / MAX(1, _xlfn.XLOOKUP($I47,'Solid Mix In Nutrition'!A:A,'Solid Mix In Nutrition'!I:I,1))))+(($X47 / 100)  * _xlfn.XLOOKUP($J47,'Sweetener Mix In Nutrition'!A:A,'Sweetener Mix In Nutrition'!B:B,0))+(($Y47 / 100)  * _xlfn.XLOOKUP($K47,'Sweetener Mix In Nutrition'!A:A,'Sweetener Mix In Nutrition'!B:B,0))</f>
        <v>1437.27</v>
      </c>
      <c r="AC47" s="36">
        <f>(($R47 / 240) * _xlfn.XLOOKUP($D47,'Milk Types Nutrition Per Cup'!A:A,'Milk Types Nutrition Per Cup'!E:E,0)) +(($S47 / 240)  * _xlfn.XLOOKUP($E47,'Milk Types Nutrition Per Cup'!A:A,'Milk Types Nutrition Per Cup'!E:E,0)) +(($T47 / 15)  * _xlfn.XLOOKUP($F47,'Liquid Mix In Nutrition'!A:A,'Liquid Mix In Nutrition'!E:E,0)) +(($U47 / 15)  * _xlfn.XLOOKUP($G47,'Liquid Mix In Nutrition'!A:A,'Liquid Mix In Nutrition'!E:E,0))+(($V47 / MAX(1, _xlfn.XLOOKUP($H47,'Solid Mix In Nutrition'!A:A,'Solid Mix In Nutrition'!I:I,1)))  * _xlfn.XLOOKUP($H47,'Solid Mix In Nutrition'!A:A,'Solid Mix In Nutrition'!E:E,0))+(($W47 / MAX(1, _xlfn.XLOOKUP($I47,'Solid Mix In Nutrition'!A:A,'Solid Mix In Nutrition'!I:I,1)))  * _xlfn.XLOOKUP($I47,'Solid Mix In Nutrition'!A:A,'Solid Mix In Nutrition'!G:G,0))+(($X47 / 100)  * _xlfn.XLOOKUP($J47,'Sweetener Mix In Nutrition'!A:A,'Sweetener Mix In Nutrition'!E:E,0))+(($Y47 / 100)  * _xlfn.XLOOKUP($K47,'Sweetener Mix In Nutrition'!A:A,'Sweetener Mix In Nutrition'!E:E,0))</f>
        <v>55.182375</v>
      </c>
      <c r="AD47" s="36">
        <f>(($R47 / 240) * _xlfn.XLOOKUP($D47,'Milk Types Nutrition Per Cup'!A:A,'Milk Types Nutrition Per Cup'!E:E,0)) +(($S47 / 240)  * _xlfn.XLOOKUP($E47,'Milk Types Nutrition Per Cup'!A:A,'Milk Types Nutrition Per Cup'!E:E,0)) +(($T47 / 15)  * _xlfn.XLOOKUP($F47,'Liquid Mix In Nutrition'!A:A,'Liquid Mix In Nutrition'!E:E,0)) +(($U47 / 15)  * _xlfn.XLOOKUP($G47,'Liquid Mix In Nutrition'!A:A,'Liquid Mix In Nutrition'!E:E,0))+(($X47 / 100)  * _xlfn.XLOOKUP($J47,'Sweetener Mix In Nutrition'!A:A,'Sweetener Mix In Nutrition'!E:E,0))+(($Y47 / 100)  * _xlfn.XLOOKUP($K47,'Sweetener Mix In Nutrition'!A:A,'Sweetener Mix In Nutrition'!E:E,0))</f>
        <v>55.182375</v>
      </c>
      <c r="AE47" s="37">
        <f>(($R47 / 240) * _xlfn.XLOOKUP($D47,'Milk Types Nutrition Per Cup'!A:A,'Milk Types Nutrition Per Cup'!C:C,0)) +(($S47 / 240)  * _xlfn.XLOOKUP($E47,'Milk Types Nutrition Per Cup'!A:A,'Milk Types Nutrition Per Cup'!C:C,0)) +(($T47 / 15)  * _xlfn.XLOOKUP($F47,'Liquid Mix In Nutrition'!A:A,'Liquid Mix In Nutrition'!C:C,0))+(($U47 / 15)  * _xlfn.XLOOKUP($G47,'Liquid Mix In Nutrition'!A:A,'Liquid Mix In Nutrition'!C:C,0))+(($V47 / MAX(1, _xlfn.XLOOKUP($H47,'Solid Mix In Nutrition'!A:A,'Solid Mix In Nutrition'!I:I,1)))  * _xlfn.XLOOKUP($H47,'Solid Mix In Nutrition'!A:A,'Solid Mix In Nutrition'!C:C,0))+(($W47 / MAX(1, _xlfn.XLOOKUP($I47,'Solid Mix In Nutrition'!A:A,'Solid Mix In Nutrition'!I:I,1)))  * _xlfn.XLOOKUP($I47,'Solid Mix In Nutrition'!A:A,'Solid Mix In Nutrition'!C:C,0))+(($X47 / 100)  * _xlfn.XLOOKUP($J47,'Sweetener Mix In Nutrition'!A:A,'Sweetener Mix In Nutrition'!C:C,0))+(($Y47 / 100)  * _xlfn.XLOOKUP($K47,'Sweetener Mix In Nutrition'!A:A,'Sweetener Mix In Nutrition'!C:C,0))</f>
        <v>142.51531249999999</v>
      </c>
      <c r="AF47" s="38">
        <f>$AE47 / (_xlfn.XLOOKUP($L47,Specs!A:A,Specs!B:B,0))</f>
        <v>0.30130087209302325</v>
      </c>
      <c r="AG47" s="37">
        <f>60* ($AB47 / _xlfn.XLOOKUP($L47,Specs!A:A,Specs!B:B,0))</f>
        <v>182.31754756871035</v>
      </c>
      <c r="AH47" s="37">
        <f>60* (AC47 / _xlfn.XLOOKUP($L47,Specs!$A:$A,Specs!$B:$B,0))</f>
        <v>6.99987843551797</v>
      </c>
      <c r="AI47" s="37">
        <f>60* (AE47 / _xlfn.XLOOKUP($L47,Specs!$A:$A,Specs!$B:$B,0))</f>
        <v>18.078052325581396</v>
      </c>
      <c r="AJ47" s="39">
        <v>4.1063035217269555</v>
      </c>
      <c r="AK47" s="46" t="s">
        <v>756</v>
      </c>
      <c r="AL47" s="47">
        <v>17</v>
      </c>
      <c r="AM47" s="40">
        <v>4</v>
      </c>
      <c r="AN47" s="48">
        <v>14</v>
      </c>
      <c r="AO47" s="40">
        <v>10</v>
      </c>
      <c r="AP47" s="30" t="s">
        <v>210</v>
      </c>
      <c r="AQ47" t="str">
        <f>_xlfn.XLOOKUP("What's Your Number?",[1]Sheet1!$1:$1,[1]Sheet1!47:47)</f>
        <v>954-483-8278</v>
      </c>
    </row>
    <row r="48" spans="1:43" x14ac:dyDescent="0.25">
      <c r="A48" s="116" t="s">
        <v>745</v>
      </c>
      <c r="B48" s="76" t="s">
        <v>656</v>
      </c>
      <c r="C48" s="31" t="s">
        <v>746</v>
      </c>
      <c r="D48" s="31" t="s">
        <v>71</v>
      </c>
      <c r="E48" s="31" t="s">
        <v>177</v>
      </c>
      <c r="F48" s="31" t="s">
        <v>0</v>
      </c>
      <c r="G48" s="31">
        <v>0</v>
      </c>
      <c r="H48" s="31">
        <v>0</v>
      </c>
      <c r="I48" s="31">
        <v>0</v>
      </c>
      <c r="J48" s="31" t="s">
        <v>510</v>
      </c>
      <c r="K48" s="31">
        <v>0</v>
      </c>
      <c r="L48" s="77" t="s">
        <v>4</v>
      </c>
      <c r="M48" s="45" t="s">
        <v>46</v>
      </c>
      <c r="N48" s="45" t="s">
        <v>44</v>
      </c>
      <c r="O48" s="45">
        <v>0</v>
      </c>
      <c r="P48" s="45" t="s">
        <v>173</v>
      </c>
      <c r="Q48" s="45">
        <v>0</v>
      </c>
      <c r="R48" s="30">
        <f>(_xlfn.XLOOKUP($L48,Specs!A:A,Specs!B:B,0)-(IF(ISNUMBER(SEARCH("Dulce De Leche", $G48)), 0, $T48))-(IF(ISNUMBER(SEARCH("Dulce De Leche", $F48)), 0, $U48))-(($V48/MAX(1,_xlfn.XLOOKUP($H48,'Solid Mix In Nutrition'!A:A,'Solid Mix In Nutrition'!I:I,1)))*240)-(($W48/MAX(1,_xlfn.XLOOKUP($I48,'Solid Mix In Nutrition'!A:A,'Solid Mix In Nutrition'!I:I,1)))*240))*0.66</f>
        <v>302.28000000000003</v>
      </c>
      <c r="S48" s="30">
        <f>(_xlfn.XLOOKUP($L48,Specs!A:A,Specs!B:B,0)-(IF(ISNUMBER(SEARCH("Dulce De Leche", $G48)), 0, $T48))-(IF(ISNUMBER(SEARCH("Dulce De Leche", $F48)), 0, $U48))-(($V48/MAX(1,_xlfn.XLOOKUP($H48,'Solid Mix In Nutrition'!A:A,'Solid Mix In Nutrition'!I:I,1)))*240)-(($W48/MAX(1,_xlfn.XLOOKUP($I48,'Solid Mix In Nutrition'!A:A,'Solid Mix In Nutrition'!I:I,1)))*240))*0.33</f>
        <v>151.14000000000001</v>
      </c>
      <c r="T48" s="30">
        <f>_xlfn.XLOOKUP($M48,Specs!$D:$D,Specs!$E:$E,0)*15*_xlfn.XLOOKUP($L48,Specs!$A:$A,Specs!$C:$C,0)</f>
        <v>15</v>
      </c>
      <c r="U48" s="30">
        <f>_xlfn.XLOOKUP($N48,Specs!$D:$D,Specs!$E:$E,0)*15*_xlfn.XLOOKUP($L48,Specs!$A:$A,Specs!$C:$C,0)</f>
        <v>0</v>
      </c>
      <c r="V48" s="30">
        <f>( ((_xlfn.XLOOKUP($O48,Specs!$H:$H,Specs!$I:$I,0)*_xlfn.XLOOKUP($L48,Specs!$A:$A,Specs!$B:$B,0))/240) *_xlfn.XLOOKUP($H48,'Solid Mix In Nutrition'!A:A,'Solid Mix In Nutrition'!I:I,0)) *IF(AND(NOT($I48=0), COUNTA($I48)),0.5,1)</f>
        <v>0</v>
      </c>
      <c r="W48" s="30">
        <f>( ((_xlfn.XLOOKUP($O48,Specs!$H:$H,Specs!$I:$I,0)*_xlfn.XLOOKUP($L48,Specs!$A:$A,Specs!$B:$B,0))/240) *_xlfn.XLOOKUP($I48,'Solid Mix In Nutrition'!A:A,'Solid Mix In Nutrition'!I:I,0)) *IF(AND(NOT($I48=0), COUNTA($I48)),0.5,0)</f>
        <v>0</v>
      </c>
      <c r="X48" s="30">
        <f>_xlfn.XLOOKUP($P48,Specs!F:F,Specs!G:G,0)*_xlfn.XLOOKUP($J48,'Sweetener Mix In Nutrition'!A:A,'Sweetener Mix In Nutrition'!I:I,0)*_xlfn.XLOOKUP($L48,Specs!A:A,Specs!C:C,0)</f>
        <v>8.75</v>
      </c>
      <c r="Y48" s="30">
        <f>_xlfn.XLOOKUP($Q48,Specs!F:F,Specs!G:G,0)*_xlfn.XLOOKUP($K48,'Sweetener Mix In Nutrition'!A:A,'Sweetener Mix In Nutrition'!I:I,0)*_xlfn.XLOOKUP($L48,Specs!A:A,Specs!C:C,0)</f>
        <v>0</v>
      </c>
      <c r="Z48" s="34">
        <f t="shared" si="0"/>
        <v>0.572604</v>
      </c>
      <c r="AA48" s="35">
        <f t="shared" si="1"/>
        <v>0.25</v>
      </c>
      <c r="AB48" s="36">
        <f>(($R48 / 240) * _xlfn.XLOOKUP($D48,'Milk Types Nutrition Per Cup'!A:A,'Milk Types Nutrition Per Cup'!B:B,0)) +(($S48 / 240)  * _xlfn.XLOOKUP($E48,'Milk Types Nutrition Per Cup'!A:A,'Milk Types Nutrition Per Cup'!B:B,0)) +(($T48 / 15)  * _xlfn.XLOOKUP($F48,'Liquid Mix In Nutrition'!A:A,'Liquid Mix In Nutrition'!B:B,0))+(($U48 / 15)  * _xlfn.XLOOKUP($G48,'Liquid Mix In Nutrition'!A:A,'Liquid Mix In Nutrition'!B:B,0))+(($V48 /MAX(1, _xlfn.XLOOKUP($H48,'Solid Mix In Nutrition'!A:A,'Solid Mix In Nutrition'!I:I,1)))  * _xlfn.XLOOKUP($H48,'Solid Mix In Nutrition'!A:A,'Solid Mix In Nutrition'!B:B,0))+(($W48 / MAX(1, _xlfn.XLOOKUP($I48,'Solid Mix In Nutrition'!A:A,'Solid Mix In Nutrition'!I:I,1))))+(($X48 / 100)  * _xlfn.XLOOKUP($J48,'Sweetener Mix In Nutrition'!A:A,'Sweetener Mix In Nutrition'!B:B,0))+(($Y48 / 100)  * _xlfn.XLOOKUP($K48,'Sweetener Mix In Nutrition'!A:A,'Sweetener Mix In Nutrition'!B:B,0))</f>
        <v>1102.98</v>
      </c>
      <c r="AC48" s="36">
        <f>(($R48 / 240) * _xlfn.XLOOKUP($D48,'Milk Types Nutrition Per Cup'!A:A,'Milk Types Nutrition Per Cup'!E:E,0)) +(($S48 / 240)  * _xlfn.XLOOKUP($E48,'Milk Types Nutrition Per Cup'!A:A,'Milk Types Nutrition Per Cup'!E:E,0)) +(($T48 / 15)  * _xlfn.XLOOKUP($F48,'Liquid Mix In Nutrition'!A:A,'Liquid Mix In Nutrition'!E:E,0)) +(($U48 / 15)  * _xlfn.XLOOKUP($G48,'Liquid Mix In Nutrition'!A:A,'Liquid Mix In Nutrition'!E:E,0))+(($V48 / MAX(1, _xlfn.XLOOKUP($H48,'Solid Mix In Nutrition'!A:A,'Solid Mix In Nutrition'!I:I,1)))  * _xlfn.XLOOKUP($H48,'Solid Mix In Nutrition'!A:A,'Solid Mix In Nutrition'!E:E,0))+(($W48 / MAX(1, _xlfn.XLOOKUP($I48,'Solid Mix In Nutrition'!A:A,'Solid Mix In Nutrition'!I:I,1)))  * _xlfn.XLOOKUP($I48,'Solid Mix In Nutrition'!A:A,'Solid Mix In Nutrition'!G:G,0))+(($X48 / 100)  * _xlfn.XLOOKUP($J48,'Sweetener Mix In Nutrition'!A:A,'Sweetener Mix In Nutrition'!E:E,0))+(($Y48 / 100)  * _xlfn.XLOOKUP($K48,'Sweetener Mix In Nutrition'!A:A,'Sweetener Mix In Nutrition'!E:E,0))</f>
        <v>9</v>
      </c>
      <c r="AD48" s="36">
        <f>(($R48 / 240) * _xlfn.XLOOKUP($D48,'Milk Types Nutrition Per Cup'!A:A,'Milk Types Nutrition Per Cup'!E:E,0)) +(($S48 / 240)  * _xlfn.XLOOKUP($E48,'Milk Types Nutrition Per Cup'!A:A,'Milk Types Nutrition Per Cup'!E:E,0)) +(($T48 / 15)  * _xlfn.XLOOKUP($F48,'Liquid Mix In Nutrition'!A:A,'Liquid Mix In Nutrition'!E:E,0)) +(($U48 / 15)  * _xlfn.XLOOKUP($G48,'Liquid Mix In Nutrition'!A:A,'Liquid Mix In Nutrition'!E:E,0))+(($X48 / 100)  * _xlfn.XLOOKUP($J48,'Sweetener Mix In Nutrition'!A:A,'Sweetener Mix In Nutrition'!E:E,0))+(($Y48 / 100)  * _xlfn.XLOOKUP($K48,'Sweetener Mix In Nutrition'!A:A,'Sweetener Mix In Nutrition'!E:E,0))</f>
        <v>9</v>
      </c>
      <c r="AE48" s="37">
        <f>(($R48 / 240) * _xlfn.XLOOKUP($D48,'Milk Types Nutrition Per Cup'!A:A,'Milk Types Nutrition Per Cup'!C:C,0)) +(($S48 / 240)  * _xlfn.XLOOKUP($E48,'Milk Types Nutrition Per Cup'!A:A,'Milk Types Nutrition Per Cup'!C:C,0)) +(($T48 / 15)  * _xlfn.XLOOKUP($F48,'Liquid Mix In Nutrition'!A:A,'Liquid Mix In Nutrition'!C:C,0))+(($U48 / 15)  * _xlfn.XLOOKUP($G48,'Liquid Mix In Nutrition'!A:A,'Liquid Mix In Nutrition'!C:C,0))+(($V48 / MAX(1, _xlfn.XLOOKUP($H48,'Solid Mix In Nutrition'!A:A,'Solid Mix In Nutrition'!I:I,1)))  * _xlfn.XLOOKUP($H48,'Solid Mix In Nutrition'!A:A,'Solid Mix In Nutrition'!C:C,0))+(($W48 / MAX(1, _xlfn.XLOOKUP($I48,'Solid Mix In Nutrition'!A:A,'Solid Mix In Nutrition'!I:I,1)))  * _xlfn.XLOOKUP($I48,'Solid Mix In Nutrition'!A:A,'Solid Mix In Nutrition'!C:C,0))+(($X48 / 100)  * _xlfn.XLOOKUP($J48,'Sweetener Mix In Nutrition'!A:A,'Sweetener Mix In Nutrition'!C:C,0))+(($Y48 / 100)  * _xlfn.XLOOKUP($K48,'Sweetener Mix In Nutrition'!A:A,'Sweetener Mix In Nutrition'!C:C,0))</f>
        <v>105.798</v>
      </c>
      <c r="AF48" s="38">
        <f>$AE48 / (_xlfn.XLOOKUP($L48,Specs!A:A,Specs!B:B,0))</f>
        <v>0.22367441860465118</v>
      </c>
      <c r="AG48" s="37">
        <f>60* ($AB48 / _xlfn.XLOOKUP($L48,Specs!A:A,Specs!B:B,0))</f>
        <v>139.91289640591967</v>
      </c>
      <c r="AH48" s="37">
        <f>60* (AC48 / _xlfn.XLOOKUP($L48,Specs!$A:$A,Specs!$B:$B,0))</f>
        <v>1.1416490486257929</v>
      </c>
      <c r="AI48" s="37">
        <f>60* (AE48 / _xlfn.XLOOKUP($L48,Specs!$A:$A,Specs!$B:$B,0))</f>
        <v>13.42046511627907</v>
      </c>
      <c r="AJ48" s="39">
        <v>4.2616144250225361</v>
      </c>
      <c r="AK48" s="46">
        <v>0</v>
      </c>
      <c r="AL48" s="47">
        <v>0</v>
      </c>
      <c r="AM48" s="40">
        <v>0</v>
      </c>
      <c r="AN48" s="48">
        <v>10</v>
      </c>
      <c r="AO48" s="40">
        <v>10</v>
      </c>
      <c r="AP48" s="30" t="s">
        <v>210</v>
      </c>
      <c r="AQ48" t="str">
        <f>_xlfn.XLOOKUP("What's Your Number?",[1]Sheet1!$1:$1,[1]Sheet1!48:48)</f>
        <v>954-483-8278</v>
      </c>
    </row>
    <row r="49" spans="1:44" x14ac:dyDescent="0.25">
      <c r="A49" s="42" t="s">
        <v>747</v>
      </c>
      <c r="B49" s="76" t="s">
        <v>748</v>
      </c>
      <c r="C49" s="31" t="s">
        <v>749</v>
      </c>
      <c r="D49" s="31" t="s">
        <v>62</v>
      </c>
      <c r="E49" s="31" t="s">
        <v>65</v>
      </c>
      <c r="F49" s="31" t="s">
        <v>83</v>
      </c>
      <c r="G49" s="31" t="s">
        <v>5</v>
      </c>
      <c r="H49" s="31" t="s">
        <v>249</v>
      </c>
      <c r="I49" s="31" t="s">
        <v>267</v>
      </c>
      <c r="J49" s="31" t="s">
        <v>136</v>
      </c>
      <c r="K49" s="31"/>
      <c r="L49" s="77" t="s">
        <v>4</v>
      </c>
      <c r="M49" s="45" t="s">
        <v>10</v>
      </c>
      <c r="N49" s="45" t="s">
        <v>451</v>
      </c>
      <c r="O49" s="45" t="s">
        <v>156</v>
      </c>
      <c r="P49" s="45" t="s">
        <v>448</v>
      </c>
      <c r="Q49" s="45">
        <v>0</v>
      </c>
      <c r="R49" s="30">
        <f>(_xlfn.XLOOKUP($L49,Specs!A:A,Specs!B:B,0)-(IF(ISNUMBER(SEARCH("Dulce De Leche", $G49)), 0, $T49))-(IF(ISNUMBER(SEARCH("Dulce De Leche", $F49)), 0, $U49))-(($V49/MAX(1,_xlfn.XLOOKUP($H49,'Solid Mix In Nutrition'!A:A,'Solid Mix In Nutrition'!I:I,1)))*240)-(($W49/MAX(1,_xlfn.XLOOKUP($I49,'Solid Mix In Nutrition'!A:A,'Solid Mix In Nutrition'!I:I,1)))*240))*0.66</f>
        <v>214.33500000000001</v>
      </c>
      <c r="S49" s="30">
        <f>(_xlfn.XLOOKUP($L49,Specs!A:A,Specs!B:B,0)-(IF(ISNUMBER(SEARCH("Dulce De Leche", $G49)), 0, $T49))-(IF(ISNUMBER(SEARCH("Dulce De Leche", $F49)), 0, $U49))-(($V49/MAX(1,_xlfn.XLOOKUP($H49,'Solid Mix In Nutrition'!A:A,'Solid Mix In Nutrition'!I:I,1)))*240)-(($W49/MAX(1,_xlfn.XLOOKUP($I49,'Solid Mix In Nutrition'!A:A,'Solid Mix In Nutrition'!I:I,1)))*240))*0.33</f>
        <v>107.1675</v>
      </c>
      <c r="T49" s="30">
        <f>_xlfn.XLOOKUP($M49,Specs!$D:$D,Specs!$E:$E,0)*15*_xlfn.XLOOKUP($L49,Specs!$A:$A,Specs!$C:$C,0)</f>
        <v>30</v>
      </c>
      <c r="U49" s="30">
        <f>_xlfn.XLOOKUP($N49,Specs!$D:$D,Specs!$E:$E,0)*15*_xlfn.XLOOKUP($L49,Specs!$A:$A,Specs!$C:$C,0)</f>
        <v>60</v>
      </c>
      <c r="V49" s="30">
        <f>( ((_xlfn.XLOOKUP($O49,Specs!$H:$H,Specs!$I:$I,0)*_xlfn.XLOOKUP($L49,Specs!$A:$A,Specs!$B:$B,0))/240) *_xlfn.XLOOKUP($H49,'Solid Mix In Nutrition'!A:A,'Solid Mix In Nutrition'!I:I,0)) *IF(AND(NOT($I49=0), COUNTA($I49)),0.5,1)</f>
        <v>59.125</v>
      </c>
      <c r="W49" s="30">
        <f>( ((_xlfn.XLOOKUP($O49,Specs!$H:$H,Specs!$I:$I,0)*_xlfn.XLOOKUP($L49,Specs!$A:$A,Specs!$B:$B,0))/240) *_xlfn.XLOOKUP($I49,'Solid Mix In Nutrition'!A:A,'Solid Mix In Nutrition'!I:I,0)) *IF(AND(NOT($I49=0), COUNTA($I49)),0.5,0)</f>
        <v>9.8541666666666679</v>
      </c>
      <c r="X49" s="30">
        <f>_xlfn.XLOOKUP($P49,Specs!F:F,Specs!G:G,0)*_xlfn.XLOOKUP($J49,'Sweetener Mix In Nutrition'!A:A,'Sweetener Mix In Nutrition'!I:I,0)*_xlfn.XLOOKUP($L49,Specs!A:A,Specs!C:C,0)</f>
        <v>12.5</v>
      </c>
      <c r="Y49" s="30">
        <f>_xlfn.XLOOKUP($Q49,Specs!F:F,Specs!G:G,0)*_xlfn.XLOOKUP($K49,'Sweetener Mix In Nutrition'!A:A,'Sweetener Mix In Nutrition'!I:I,0)*_xlfn.XLOOKUP($L49,Specs!A:A,Specs!C:C,0)</f>
        <v>0</v>
      </c>
      <c r="Z49" s="34">
        <f t="shared" si="0"/>
        <v>0.43680299999999994</v>
      </c>
      <c r="AA49" s="35">
        <f t="shared" si="1"/>
        <v>0.25</v>
      </c>
      <c r="AB49" s="36">
        <f>(($R49 / 240) * _xlfn.XLOOKUP($D49,'Milk Types Nutrition Per Cup'!A:A,'Milk Types Nutrition Per Cup'!B:B,0)) +(($S49 / 240)  * _xlfn.XLOOKUP($E49,'Milk Types Nutrition Per Cup'!A:A,'Milk Types Nutrition Per Cup'!B:B,0)) +(($T49 / 15)  * _xlfn.XLOOKUP($F49,'Liquid Mix In Nutrition'!A:A,'Liquid Mix In Nutrition'!B:B,0))+(($U49 / 15)  * _xlfn.XLOOKUP($G49,'Liquid Mix In Nutrition'!A:A,'Liquid Mix In Nutrition'!B:B,0))+(($V49 /MAX(1, _xlfn.XLOOKUP($H49,'Solid Mix In Nutrition'!A:A,'Solid Mix In Nutrition'!I:I,1)))  * _xlfn.XLOOKUP($H49,'Solid Mix In Nutrition'!A:A,'Solid Mix In Nutrition'!B:B,0))+(($W49 / MAX(1, _xlfn.XLOOKUP($I49,'Solid Mix In Nutrition'!A:A,'Solid Mix In Nutrition'!I:I,1))))+(($X49 / 100)  * _xlfn.XLOOKUP($J49,'Sweetener Mix In Nutrition'!A:A,'Sweetener Mix In Nutrition'!B:B,0))+(($Y49 / 100)  * _xlfn.XLOOKUP($K49,'Sweetener Mix In Nutrition'!A:A,'Sweetener Mix In Nutrition'!B:B,0))</f>
        <v>1636.3453982359497</v>
      </c>
      <c r="AC49" s="36">
        <f>(($R49 / 240) * _xlfn.XLOOKUP($D49,'Milk Types Nutrition Per Cup'!A:A,'Milk Types Nutrition Per Cup'!E:E,0)) +(($S49 / 240)  * _xlfn.XLOOKUP($E49,'Milk Types Nutrition Per Cup'!A:A,'Milk Types Nutrition Per Cup'!E:E,0)) +(($T49 / 15)  * _xlfn.XLOOKUP($F49,'Liquid Mix In Nutrition'!A:A,'Liquid Mix In Nutrition'!E:E,0)) +(($U49 / 15)  * _xlfn.XLOOKUP($G49,'Liquid Mix In Nutrition'!A:A,'Liquid Mix In Nutrition'!E:E,0))+(($V49 / MAX(1, _xlfn.XLOOKUP($H49,'Solid Mix In Nutrition'!A:A,'Solid Mix In Nutrition'!I:I,1)))  * _xlfn.XLOOKUP($H49,'Solid Mix In Nutrition'!A:A,'Solid Mix In Nutrition'!E:E,0))+(($W49 / MAX(1, _xlfn.XLOOKUP($I49,'Solid Mix In Nutrition'!A:A,'Solid Mix In Nutrition'!I:I,1)))  * _xlfn.XLOOKUP($I49,'Solid Mix In Nutrition'!A:A,'Solid Mix In Nutrition'!G:G,0))+(($X49 / 100)  * _xlfn.XLOOKUP($J49,'Sweetener Mix In Nutrition'!A:A,'Sweetener Mix In Nutrition'!E:E,0))+(($Y49 / 100)  * _xlfn.XLOOKUP($K49,'Sweetener Mix In Nutrition'!A:A,'Sweetener Mix In Nutrition'!E:E,0))</f>
        <v>64.392012356174163</v>
      </c>
      <c r="AD49" s="36">
        <f>(($R49 / 240) * _xlfn.XLOOKUP($D49,'Milk Types Nutrition Per Cup'!A:A,'Milk Types Nutrition Per Cup'!E:E,0)) +(($S49 / 240)  * _xlfn.XLOOKUP($E49,'Milk Types Nutrition Per Cup'!A:A,'Milk Types Nutrition Per Cup'!E:E,0)) +(($T49 / 15)  * _xlfn.XLOOKUP($F49,'Liquid Mix In Nutrition'!A:A,'Liquid Mix In Nutrition'!E:E,0)) +(($U49 / 15)  * _xlfn.XLOOKUP($G49,'Liquid Mix In Nutrition'!A:A,'Liquid Mix In Nutrition'!E:E,0))+(($X49 / 100)  * _xlfn.XLOOKUP($J49,'Sweetener Mix In Nutrition'!A:A,'Sweetener Mix In Nutrition'!E:E,0))+(($Y49 / 100)  * _xlfn.XLOOKUP($K49,'Sweetener Mix In Nutrition'!A:A,'Sweetener Mix In Nutrition'!E:E,0))</f>
        <v>46.947249999999997</v>
      </c>
      <c r="AE49" s="37">
        <f>(($R49 / 240) * _xlfn.XLOOKUP($D49,'Milk Types Nutrition Per Cup'!A:A,'Milk Types Nutrition Per Cup'!C:C,0)) +(($S49 / 240)  * _xlfn.XLOOKUP($E49,'Milk Types Nutrition Per Cup'!A:A,'Milk Types Nutrition Per Cup'!C:C,0)) +(($T49 / 15)  * _xlfn.XLOOKUP($F49,'Liquid Mix In Nutrition'!A:A,'Liquid Mix In Nutrition'!C:C,0))+(($U49 / 15)  * _xlfn.XLOOKUP($G49,'Liquid Mix In Nutrition'!A:A,'Liquid Mix In Nutrition'!C:C,0))+(($V49 / MAX(1, _xlfn.XLOOKUP($H49,'Solid Mix In Nutrition'!A:A,'Solid Mix In Nutrition'!I:I,1)))  * _xlfn.XLOOKUP($H49,'Solid Mix In Nutrition'!A:A,'Solid Mix In Nutrition'!C:C,0))+(($W49 / MAX(1, _xlfn.XLOOKUP($I49,'Solid Mix In Nutrition'!A:A,'Solid Mix In Nutrition'!I:I,1)))  * _xlfn.XLOOKUP($I49,'Solid Mix In Nutrition'!A:A,'Solid Mix In Nutrition'!C:C,0))+(($X49 / 100)  * _xlfn.XLOOKUP($J49,'Sweetener Mix In Nutrition'!A:A,'Sweetener Mix In Nutrition'!C:C,0))+(($Y49 / 100)  * _xlfn.XLOOKUP($K49,'Sweetener Mix In Nutrition'!A:A,'Sweetener Mix In Nutrition'!C:C,0))</f>
        <v>133.72780352444639</v>
      </c>
      <c r="AF49" s="38">
        <f>$AE49 / (_xlfn.XLOOKUP($L49,Specs!A:A,Specs!B:B,0))</f>
        <v>0.28272262901574291</v>
      </c>
      <c r="AG49" s="37">
        <f>60* ($AB49 / _xlfn.XLOOKUP($L49,Specs!A:A,Specs!B:B,0))</f>
        <v>207.57024079102956</v>
      </c>
      <c r="AH49" s="37">
        <f>60* (AC49 / _xlfn.XLOOKUP($L49,Specs!$A:$A,Specs!$B:$B,0))</f>
        <v>8.1681199606140584</v>
      </c>
      <c r="AI49" s="37">
        <f>60* (AE49 / _xlfn.XLOOKUP($L49,Specs!$A:$A,Specs!$B:$B,0))</f>
        <v>16.963357740944573</v>
      </c>
      <c r="AJ49" s="39">
        <v>3.002949072837036</v>
      </c>
      <c r="AK49" s="46">
        <v>0</v>
      </c>
      <c r="AL49" s="47">
        <v>3.7</v>
      </c>
      <c r="AM49" s="40">
        <v>1</v>
      </c>
      <c r="AN49" s="48">
        <v>9</v>
      </c>
      <c r="AO49" s="40">
        <v>8</v>
      </c>
      <c r="AP49" s="30" t="s">
        <v>210</v>
      </c>
      <c r="AQ49" t="str">
        <f>_xlfn.XLOOKUP("What's Your Number?",[1]Sheet1!$1:$1,[1]Sheet1!49:49)</f>
        <v>7867882139</v>
      </c>
    </row>
    <row r="50" spans="1:44" x14ac:dyDescent="0.25">
      <c r="A50" s="42" t="s">
        <v>750</v>
      </c>
      <c r="B50" s="76" t="s">
        <v>618</v>
      </c>
      <c r="C50" s="31" t="s">
        <v>751</v>
      </c>
      <c r="D50" s="31">
        <v>0</v>
      </c>
      <c r="E50" s="31">
        <v>0</v>
      </c>
      <c r="F50" s="31">
        <v>0</v>
      </c>
      <c r="G50" s="31">
        <v>0</v>
      </c>
      <c r="H50" s="31">
        <v>0</v>
      </c>
      <c r="I50" s="31">
        <v>0</v>
      </c>
      <c r="J50" s="31">
        <v>0</v>
      </c>
      <c r="K50" s="31"/>
      <c r="L50" s="77" t="s">
        <v>4</v>
      </c>
      <c r="M50" s="45">
        <v>0</v>
      </c>
      <c r="N50" s="45" t="s">
        <v>451</v>
      </c>
      <c r="O50" s="45">
        <v>0</v>
      </c>
      <c r="P50" s="45" t="s">
        <v>448</v>
      </c>
      <c r="Q50" s="45">
        <v>0</v>
      </c>
      <c r="R50" s="30">
        <f>(_xlfn.XLOOKUP($L50,Specs!A:A,Specs!B:B,0)-(IF(ISNUMBER(SEARCH("Dulce De Leche", $G50)), 0, $T50))-(IF(ISNUMBER(SEARCH("Dulce De Leche", $F50)), 0, $U50))-(($V50/MAX(1,_xlfn.XLOOKUP($H50,'Solid Mix In Nutrition'!A:A,'Solid Mix In Nutrition'!I:I,1)))*240)-(($W50/MAX(1,_xlfn.XLOOKUP($I50,'Solid Mix In Nutrition'!A:A,'Solid Mix In Nutrition'!I:I,1)))*240))*0.66</f>
        <v>272.58000000000004</v>
      </c>
      <c r="S50" s="30">
        <f>(_xlfn.XLOOKUP($L50,Specs!A:A,Specs!B:B,0)-(IF(ISNUMBER(SEARCH("Dulce De Leche", $G50)), 0, $T50))-(IF(ISNUMBER(SEARCH("Dulce De Leche", $F50)), 0, $U50))-(($V50/MAX(1,_xlfn.XLOOKUP($H50,'Solid Mix In Nutrition'!A:A,'Solid Mix In Nutrition'!I:I,1)))*240)-(($W50/MAX(1,_xlfn.XLOOKUP($I50,'Solid Mix In Nutrition'!A:A,'Solid Mix In Nutrition'!I:I,1)))*240))*0.33</f>
        <v>136.29000000000002</v>
      </c>
      <c r="T50" s="30">
        <f>_xlfn.XLOOKUP($M50,Specs!$D:$D,Specs!$E:$E,0)*15*_xlfn.XLOOKUP($L50,Specs!$A:$A,Specs!$C:$C,0)</f>
        <v>0</v>
      </c>
      <c r="U50" s="30">
        <f>_xlfn.XLOOKUP($N50,Specs!$D:$D,Specs!$E:$E,0)*15*_xlfn.XLOOKUP($L50,Specs!$A:$A,Specs!$C:$C,0)</f>
        <v>60</v>
      </c>
      <c r="V50" s="30">
        <f>( ((_xlfn.XLOOKUP($O50,Specs!$H:$H,Specs!$I:$I,0)*_xlfn.XLOOKUP($L50,Specs!$A:$A,Specs!$B:$B,0))/240) *_xlfn.XLOOKUP($H50,'Solid Mix In Nutrition'!A:A,'Solid Mix In Nutrition'!I:I,0)) *IF(AND(NOT($I50=0), COUNTA($I50)),0.5,1)</f>
        <v>0</v>
      </c>
      <c r="W50" s="30">
        <f>( ((_xlfn.XLOOKUP($O50,Specs!$H:$H,Specs!$I:$I,0)*_xlfn.XLOOKUP($L50,Specs!$A:$A,Specs!$B:$B,0))/240) *_xlfn.XLOOKUP($I50,'Solid Mix In Nutrition'!A:A,'Solid Mix In Nutrition'!I:I,0)) *IF(AND(NOT($I50=0), COUNTA($I50)),0.5,0)</f>
        <v>0</v>
      </c>
      <c r="X50" s="30">
        <f>_xlfn.XLOOKUP($P50,Specs!F:F,Specs!G:G,0)*_xlfn.XLOOKUP($J50,'Sweetener Mix In Nutrition'!A:A,'Sweetener Mix In Nutrition'!I:I,0)*_xlfn.XLOOKUP($L50,Specs!A:A,Specs!C:C,0)</f>
        <v>0</v>
      </c>
      <c r="Y50" s="30">
        <f>_xlfn.XLOOKUP($Q50,Specs!F:F,Specs!G:G,0)*_xlfn.XLOOKUP($K50,'Sweetener Mix In Nutrition'!A:A,'Sweetener Mix In Nutrition'!I:I,0)*_xlfn.XLOOKUP($L50,Specs!A:A,Specs!C:C,0)</f>
        <v>0</v>
      </c>
      <c r="Z50" s="34">
        <f t="shared" si="0"/>
        <v>0.49064400000000002</v>
      </c>
      <c r="AA50" s="35">
        <f t="shared" si="1"/>
        <v>0.25</v>
      </c>
      <c r="AB50" s="36">
        <f>(($R50 / 240) * _xlfn.XLOOKUP($D50,'Milk Types Nutrition Per Cup'!A:A,'Milk Types Nutrition Per Cup'!B:B,0)) +(($S50 / 240)  * _xlfn.XLOOKUP($E50,'Milk Types Nutrition Per Cup'!A:A,'Milk Types Nutrition Per Cup'!B:B,0)) +(($T50 / 15)  * _xlfn.XLOOKUP($F50,'Liquid Mix In Nutrition'!A:A,'Liquid Mix In Nutrition'!B:B,0))+(($U50 / 15)  * _xlfn.XLOOKUP($G50,'Liquid Mix In Nutrition'!A:A,'Liquid Mix In Nutrition'!B:B,0))+(($V50 /MAX(1, _xlfn.XLOOKUP($H50,'Solid Mix In Nutrition'!A:A,'Solid Mix In Nutrition'!I:I,1)))  * _xlfn.XLOOKUP($H50,'Solid Mix In Nutrition'!A:A,'Solid Mix In Nutrition'!B:B,0))+(($W50 / MAX(1, _xlfn.XLOOKUP($I50,'Solid Mix In Nutrition'!A:A,'Solid Mix In Nutrition'!I:I,1))))+(($X50 / 100)  * _xlfn.XLOOKUP($J50,'Sweetener Mix In Nutrition'!A:A,'Sweetener Mix In Nutrition'!B:B,0))+(($Y50 / 100)  * _xlfn.XLOOKUP($K50,'Sweetener Mix In Nutrition'!A:A,'Sweetener Mix In Nutrition'!B:B,0))</f>
        <v>0</v>
      </c>
      <c r="AC50" s="36">
        <f>(($R50 / 240) * _xlfn.XLOOKUP($D50,'Milk Types Nutrition Per Cup'!A:A,'Milk Types Nutrition Per Cup'!E:E,0)) +(($S50 / 240)  * _xlfn.XLOOKUP($E50,'Milk Types Nutrition Per Cup'!A:A,'Milk Types Nutrition Per Cup'!E:E,0)) +(($T50 / 15)  * _xlfn.XLOOKUP($F50,'Liquid Mix In Nutrition'!A:A,'Liquid Mix In Nutrition'!E:E,0)) +(($U50 / 15)  * _xlfn.XLOOKUP($G50,'Liquid Mix In Nutrition'!A:A,'Liquid Mix In Nutrition'!E:E,0))+(($V50 / MAX(1, _xlfn.XLOOKUP($H50,'Solid Mix In Nutrition'!A:A,'Solid Mix In Nutrition'!I:I,1)))  * _xlfn.XLOOKUP($H50,'Solid Mix In Nutrition'!A:A,'Solid Mix In Nutrition'!E:E,0))+(($W50 / MAX(1, _xlfn.XLOOKUP($I50,'Solid Mix In Nutrition'!A:A,'Solid Mix In Nutrition'!I:I,1)))  * _xlfn.XLOOKUP($I50,'Solid Mix In Nutrition'!A:A,'Solid Mix In Nutrition'!G:G,0))+(($X50 / 100)  * _xlfn.XLOOKUP($J50,'Sweetener Mix In Nutrition'!A:A,'Sweetener Mix In Nutrition'!E:E,0))+(($Y50 / 100)  * _xlfn.XLOOKUP($K50,'Sweetener Mix In Nutrition'!A:A,'Sweetener Mix In Nutrition'!E:E,0))</f>
        <v>0</v>
      </c>
      <c r="AD50" s="36">
        <f>(($R50 / 240) * _xlfn.XLOOKUP($D50,'Milk Types Nutrition Per Cup'!A:A,'Milk Types Nutrition Per Cup'!E:E,0)) +(($S50 / 240)  * _xlfn.XLOOKUP($E50,'Milk Types Nutrition Per Cup'!A:A,'Milk Types Nutrition Per Cup'!E:E,0)) +(($T50 / 15)  * _xlfn.XLOOKUP($F50,'Liquid Mix In Nutrition'!A:A,'Liquid Mix In Nutrition'!E:E,0)) +(($U50 / 15)  * _xlfn.XLOOKUP($G50,'Liquid Mix In Nutrition'!A:A,'Liquid Mix In Nutrition'!E:E,0))+(($X50 / 100)  * _xlfn.XLOOKUP($J50,'Sweetener Mix In Nutrition'!A:A,'Sweetener Mix In Nutrition'!E:E,0))+(($Y50 / 100)  * _xlfn.XLOOKUP($K50,'Sweetener Mix In Nutrition'!A:A,'Sweetener Mix In Nutrition'!E:E,0))</f>
        <v>0</v>
      </c>
      <c r="AE50" s="37">
        <f>(($R50 / 240) * _xlfn.XLOOKUP($D50,'Milk Types Nutrition Per Cup'!A:A,'Milk Types Nutrition Per Cup'!C:C,0)) +(($S50 / 240)  * _xlfn.XLOOKUP($E50,'Milk Types Nutrition Per Cup'!A:A,'Milk Types Nutrition Per Cup'!C:C,0)) +(($T50 / 15)  * _xlfn.XLOOKUP($F50,'Liquid Mix In Nutrition'!A:A,'Liquid Mix In Nutrition'!C:C,0))+(($U50 / 15)  * _xlfn.XLOOKUP($G50,'Liquid Mix In Nutrition'!A:A,'Liquid Mix In Nutrition'!C:C,0))+(($V50 / MAX(1, _xlfn.XLOOKUP($H50,'Solid Mix In Nutrition'!A:A,'Solid Mix In Nutrition'!I:I,1)))  * _xlfn.XLOOKUP($H50,'Solid Mix In Nutrition'!A:A,'Solid Mix In Nutrition'!C:C,0))+(($W50 / MAX(1, _xlfn.XLOOKUP($I50,'Solid Mix In Nutrition'!A:A,'Solid Mix In Nutrition'!I:I,1)))  * _xlfn.XLOOKUP($I50,'Solid Mix In Nutrition'!A:A,'Solid Mix In Nutrition'!C:C,0))+(($X50 / 100)  * _xlfn.XLOOKUP($J50,'Sweetener Mix In Nutrition'!A:A,'Sweetener Mix In Nutrition'!C:C,0))+(($Y50 / 100)  * _xlfn.XLOOKUP($K50,'Sweetener Mix In Nutrition'!A:A,'Sweetener Mix In Nutrition'!C:C,0))</f>
        <v>0</v>
      </c>
      <c r="AF50" s="38">
        <f>$AE50 / (_xlfn.XLOOKUP($L50,Specs!A:A,Specs!B:B,0))</f>
        <v>0</v>
      </c>
      <c r="AG50" s="37">
        <f>60* ($AB50 / _xlfn.XLOOKUP($L50,Specs!A:A,Specs!B:B,0))</f>
        <v>0</v>
      </c>
      <c r="AH50" s="37">
        <f>60* (AC50 / _xlfn.XLOOKUP($L50,Specs!$A:$A,Specs!$B:$B,0))</f>
        <v>0</v>
      </c>
      <c r="AI50" s="37">
        <f>60* (AE50 / _xlfn.XLOOKUP($L50,Specs!$A:$A,Specs!$B:$B,0))</f>
        <v>0</v>
      </c>
      <c r="AJ50" s="39">
        <v>0</v>
      </c>
      <c r="AK50" s="46">
        <v>0</v>
      </c>
      <c r="AL50" s="47">
        <v>3.7</v>
      </c>
      <c r="AM50" s="40">
        <v>1</v>
      </c>
      <c r="AN50" s="48">
        <v>3</v>
      </c>
      <c r="AO50" s="40">
        <v>2</v>
      </c>
      <c r="AP50" s="30" t="s">
        <v>210</v>
      </c>
      <c r="AQ50" t="str">
        <f>_xlfn.XLOOKUP("What's Your Number?",[1]Sheet1!$1:$1,[1]Sheet1!50:50)</f>
        <v xml:space="preserve">561-398-0142 </v>
      </c>
    </row>
    <row r="51" spans="1:44" x14ac:dyDescent="0.25">
      <c r="A51" s="42" t="s">
        <v>752</v>
      </c>
      <c r="B51" s="76" t="s">
        <v>619</v>
      </c>
      <c r="C51" s="31" t="s">
        <v>753</v>
      </c>
      <c r="D51" s="31" t="s">
        <v>62</v>
      </c>
      <c r="E51" s="31" t="s">
        <v>65</v>
      </c>
      <c r="F51" s="31" t="s">
        <v>83</v>
      </c>
      <c r="G51" s="31" t="s">
        <v>522</v>
      </c>
      <c r="H51" s="31" t="s">
        <v>266</v>
      </c>
      <c r="I51" s="31" t="s">
        <v>104</v>
      </c>
      <c r="J51" s="31" t="s">
        <v>1</v>
      </c>
      <c r="K51" s="31"/>
      <c r="L51" s="77" t="s">
        <v>340</v>
      </c>
      <c r="M51" s="45" t="s">
        <v>451</v>
      </c>
      <c r="N51" s="45" t="s">
        <v>10</v>
      </c>
      <c r="O51" s="45" t="s">
        <v>206</v>
      </c>
      <c r="P51" s="45" t="s">
        <v>448</v>
      </c>
      <c r="Q51" s="45">
        <v>0</v>
      </c>
      <c r="R51" s="30">
        <f>(_xlfn.XLOOKUP($L51,Specs!A:A,Specs!B:B,0)-(IF(ISNUMBER(SEARCH("Dulce De Leche", $G51)), 0, $T51))-(IF(ISNUMBER(SEARCH("Dulce De Leche", $F51)), 0, $U51))-(($V51/MAX(1,_xlfn.XLOOKUP($H51,'Solid Mix In Nutrition'!A:A,'Solid Mix In Nutrition'!I:I,1)))*240)-(($W51/MAX(1,_xlfn.XLOOKUP($I51,'Solid Mix In Nutrition'!A:A,'Solid Mix In Nutrition'!I:I,1)))*240))*0.66</f>
        <v>610.79700000000003</v>
      </c>
      <c r="S51" s="30">
        <f>(_xlfn.XLOOKUP($L51,Specs!A:A,Specs!B:B,0)-(IF(ISNUMBER(SEARCH("Dulce De Leche", $G51)), 0, $T51))-(IF(ISNUMBER(SEARCH("Dulce De Leche", $F51)), 0, $U51))-(($V51/MAX(1,_xlfn.XLOOKUP($H51,'Solid Mix In Nutrition'!A:A,'Solid Mix In Nutrition'!I:I,1)))*240)-(($W51/MAX(1,_xlfn.XLOOKUP($I51,'Solid Mix In Nutrition'!A:A,'Solid Mix In Nutrition'!I:I,1)))*240))*0.33</f>
        <v>305.39850000000001</v>
      </c>
      <c r="T51" s="30">
        <f>_xlfn.XLOOKUP($M51,Specs!$D:$D,Specs!$E:$E,0)*15*_xlfn.XLOOKUP($L51,Specs!$A:$A,Specs!$C:$C,0)</f>
        <v>240</v>
      </c>
      <c r="U51" s="30">
        <f>_xlfn.XLOOKUP($N51,Specs!$D:$D,Specs!$E:$E,0)*15*_xlfn.XLOOKUP($L51,Specs!$A:$A,Specs!$C:$C,0)</f>
        <v>120</v>
      </c>
      <c r="V51" s="30">
        <f>( ((_xlfn.XLOOKUP($O51,Specs!$H:$H,Specs!$I:$I,0)*_xlfn.XLOOKUP($L51,Specs!$A:$A,Specs!$B:$B,0))/240) *_xlfn.XLOOKUP($H51,'Solid Mix In Nutrition'!A:A,'Solid Mix In Nutrition'!I:I,0)) *IF(AND(NOT($I51=0), COUNTA($I51)),0.5,1)</f>
        <v>418.36666666666667</v>
      </c>
      <c r="W51" s="30">
        <f>( ((_xlfn.XLOOKUP($O51,Specs!$H:$H,Specs!$I:$I,0)*_xlfn.XLOOKUP($L51,Specs!$A:$A,Specs!$B:$B,0))/240) *_xlfn.XLOOKUP($I51,'Solid Mix In Nutrition'!A:A,'Solid Mix In Nutrition'!I:I,0)) *IF(AND(NOT($I51=0), COUNTA($I51)),0.5,0)</f>
        <v>313.77499999999998</v>
      </c>
      <c r="X51" s="30">
        <f>_xlfn.XLOOKUP($P51,Specs!F:F,Specs!G:G,0)*_xlfn.XLOOKUP($J51,'Sweetener Mix In Nutrition'!A:A,'Sweetener Mix In Nutrition'!I:I,0)*_xlfn.XLOOKUP($L51,Specs!A:A,Specs!C:C,0)</f>
        <v>50</v>
      </c>
      <c r="Y51" s="30">
        <f>_xlfn.XLOOKUP($Q51,Specs!F:F,Specs!G:G,0)*_xlfn.XLOOKUP($K51,'Sweetener Mix In Nutrition'!A:A,'Sweetener Mix In Nutrition'!I:I,0)*_xlfn.XLOOKUP($L51,Specs!A:A,Specs!C:C,0)</f>
        <v>0</v>
      </c>
      <c r="Z51" s="34">
        <f t="shared" si="0"/>
        <v>1.4474346</v>
      </c>
      <c r="AA51" s="35">
        <f t="shared" si="1"/>
        <v>0.5</v>
      </c>
      <c r="AB51" s="36">
        <f>(($R51 / 240) * _xlfn.XLOOKUP($D51,'Milk Types Nutrition Per Cup'!A:A,'Milk Types Nutrition Per Cup'!B:B,0)) +(($S51 / 240)  * _xlfn.XLOOKUP($E51,'Milk Types Nutrition Per Cup'!A:A,'Milk Types Nutrition Per Cup'!B:B,0)) +(($T51 / 15)  * _xlfn.XLOOKUP($F51,'Liquid Mix In Nutrition'!A:A,'Liquid Mix In Nutrition'!B:B,0))+(($U51 / 15)  * _xlfn.XLOOKUP($G51,'Liquid Mix In Nutrition'!A:A,'Liquid Mix In Nutrition'!B:B,0))+(($V51 /MAX(1, _xlfn.XLOOKUP($H51,'Solid Mix In Nutrition'!A:A,'Solid Mix In Nutrition'!I:I,1)))  * _xlfn.XLOOKUP($H51,'Solid Mix In Nutrition'!A:A,'Solid Mix In Nutrition'!B:B,0))+(($W51 / MAX(1, _xlfn.XLOOKUP($I51,'Solid Mix In Nutrition'!A:A,'Solid Mix In Nutrition'!I:I,1))))+(($X51 / 100)  * _xlfn.XLOOKUP($J51,'Sweetener Mix In Nutrition'!A:A,'Sweetener Mix In Nutrition'!B:B,0))+(($Y51 / 100)  * _xlfn.XLOOKUP($K51,'Sweetener Mix In Nutrition'!A:A,'Sweetener Mix In Nutrition'!B:B,0))</f>
        <v>5260.3556585591132</v>
      </c>
      <c r="AC51" s="36">
        <f>(($R51 / 240) * _xlfn.XLOOKUP($D51,'Milk Types Nutrition Per Cup'!A:A,'Milk Types Nutrition Per Cup'!E:E,0)) +(($S51 / 240)  * _xlfn.XLOOKUP($E51,'Milk Types Nutrition Per Cup'!A:A,'Milk Types Nutrition Per Cup'!E:E,0)) +(($T51 / 15)  * _xlfn.XLOOKUP($F51,'Liquid Mix In Nutrition'!A:A,'Liquid Mix In Nutrition'!E:E,0)) +(($U51 / 15)  * _xlfn.XLOOKUP($G51,'Liquid Mix In Nutrition'!A:A,'Liquid Mix In Nutrition'!E:E,0))+(($V51 / MAX(1, _xlfn.XLOOKUP($H51,'Solid Mix In Nutrition'!A:A,'Solid Mix In Nutrition'!I:I,1)))  * _xlfn.XLOOKUP($H51,'Solid Mix In Nutrition'!A:A,'Solid Mix In Nutrition'!E:E,0))+(($W51 / MAX(1, _xlfn.XLOOKUP($I51,'Solid Mix In Nutrition'!A:A,'Solid Mix In Nutrition'!I:I,1)))  * _xlfn.XLOOKUP($I51,'Solid Mix In Nutrition'!A:A,'Solid Mix In Nutrition'!G:G,0))+(($X51 / 100)  * _xlfn.XLOOKUP($J51,'Sweetener Mix In Nutrition'!A:A,'Sweetener Mix In Nutrition'!E:E,0))+(($Y51 / 100)  * _xlfn.XLOOKUP($K51,'Sweetener Mix In Nutrition'!A:A,'Sweetener Mix In Nutrition'!E:E,0))</f>
        <v>280.03929072023811</v>
      </c>
      <c r="AD51" s="36">
        <f>(($R51 / 240) * _xlfn.XLOOKUP($D51,'Milk Types Nutrition Per Cup'!A:A,'Milk Types Nutrition Per Cup'!E:E,0)) +(($S51 / 240)  * _xlfn.XLOOKUP($E51,'Milk Types Nutrition Per Cup'!A:A,'Milk Types Nutrition Per Cup'!E:E,0)) +(($T51 / 15)  * _xlfn.XLOOKUP($F51,'Liquid Mix In Nutrition'!A:A,'Liquid Mix In Nutrition'!E:E,0)) +(($U51 / 15)  * _xlfn.XLOOKUP($G51,'Liquid Mix In Nutrition'!A:A,'Liquid Mix In Nutrition'!E:E,0))+(($X51 / 100)  * _xlfn.XLOOKUP($J51,'Sweetener Mix In Nutrition'!A:A,'Sweetener Mix In Nutrition'!E:E,0))+(($Y51 / 100)  * _xlfn.XLOOKUP($K51,'Sweetener Mix In Nutrition'!A:A,'Sweetener Mix In Nutrition'!E:E,0))</f>
        <v>156.17995000000002</v>
      </c>
      <c r="AE51" s="37">
        <f>(($R51 / 240) * _xlfn.XLOOKUP($D51,'Milk Types Nutrition Per Cup'!A:A,'Milk Types Nutrition Per Cup'!C:C,0)) +(($S51 / 240)  * _xlfn.XLOOKUP($E51,'Milk Types Nutrition Per Cup'!A:A,'Milk Types Nutrition Per Cup'!C:C,0)) +(($T51 / 15)  * _xlfn.XLOOKUP($F51,'Liquid Mix In Nutrition'!A:A,'Liquid Mix In Nutrition'!C:C,0))+(($U51 / 15)  * _xlfn.XLOOKUP($G51,'Liquid Mix In Nutrition'!A:A,'Liquid Mix In Nutrition'!C:C,0))+(($V51 / MAX(1, _xlfn.XLOOKUP($H51,'Solid Mix In Nutrition'!A:A,'Solid Mix In Nutrition'!I:I,1)))  * _xlfn.XLOOKUP($H51,'Solid Mix In Nutrition'!A:A,'Solid Mix In Nutrition'!C:C,0))+(($W51 / MAX(1, _xlfn.XLOOKUP($I51,'Solid Mix In Nutrition'!A:A,'Solid Mix In Nutrition'!I:I,1)))  * _xlfn.XLOOKUP($I51,'Solid Mix In Nutrition'!A:A,'Solid Mix In Nutrition'!C:C,0))+(($X51 / 100)  * _xlfn.XLOOKUP($J51,'Sweetener Mix In Nutrition'!A:A,'Sweetener Mix In Nutrition'!C:C,0))+(($Y51 / 100)  * _xlfn.XLOOKUP($K51,'Sweetener Mix In Nutrition'!A:A,'Sweetener Mix In Nutrition'!C:C,0))</f>
        <v>437.81462171592773</v>
      </c>
      <c r="AF51" s="38">
        <f>$AE51 / (_xlfn.XLOOKUP($L51,Specs!A:A,Specs!B:B,0))</f>
        <v>0.24417993403007682</v>
      </c>
      <c r="AG51" s="37">
        <f>60* ($AB51 / _xlfn.XLOOKUP($L51,Specs!A:A,Specs!B:B,0))</f>
        <v>176.02974875267529</v>
      </c>
      <c r="AH51" s="37">
        <f>60* (AC51 / _xlfn.XLOOKUP($L51,Specs!$A:$A,Specs!$B:$B,0))</f>
        <v>9.3710861367620115</v>
      </c>
      <c r="AI51" s="37">
        <f>60* (AE51 / _xlfn.XLOOKUP($L51,Specs!$A:$A,Specs!$B:$B,0))</f>
        <v>14.650796041804609</v>
      </c>
      <c r="AJ51" s="39">
        <v>7.9155151313178393</v>
      </c>
      <c r="AK51" s="46">
        <v>0</v>
      </c>
      <c r="AL51" s="47">
        <v>48.5</v>
      </c>
      <c r="AM51" s="40">
        <v>12</v>
      </c>
      <c r="AN51" s="48">
        <v>31</v>
      </c>
      <c r="AO51" s="40">
        <v>19</v>
      </c>
      <c r="AP51" s="30" t="s">
        <v>210</v>
      </c>
      <c r="AQ51" t="str">
        <f>_xlfn.XLOOKUP("What's Your Number?",[1]Sheet1!$1:$1,[1]Sheet1!51:51)</f>
        <v>954-483-8278</v>
      </c>
    </row>
    <row r="52" spans="1:44" x14ac:dyDescent="0.25">
      <c r="A52" s="42" t="s">
        <v>754</v>
      </c>
      <c r="B52" s="76" t="s">
        <v>618</v>
      </c>
      <c r="C52" s="31" t="s">
        <v>616</v>
      </c>
      <c r="D52" s="31" t="s">
        <v>65</v>
      </c>
      <c r="E52" s="31" t="s">
        <v>75</v>
      </c>
      <c r="F52" s="31" t="s">
        <v>0</v>
      </c>
      <c r="G52" s="31" t="s">
        <v>407</v>
      </c>
      <c r="H52" s="31" t="s">
        <v>406</v>
      </c>
      <c r="I52" s="31">
        <v>0</v>
      </c>
      <c r="J52" s="31">
        <v>0</v>
      </c>
      <c r="K52" s="31"/>
      <c r="L52" s="77" t="s">
        <v>4</v>
      </c>
      <c r="M52" s="45" t="s">
        <v>157</v>
      </c>
      <c r="N52" s="45" t="s">
        <v>451</v>
      </c>
      <c r="O52" s="45" t="s">
        <v>154</v>
      </c>
      <c r="P52" s="45" t="s">
        <v>44</v>
      </c>
      <c r="Q52" s="45">
        <v>0</v>
      </c>
      <c r="R52" s="30">
        <f>(_xlfn.XLOOKUP($L52,Specs!A:A,Specs!B:B,0)-(IF(ISNUMBER(SEARCH("Dulce De Leche", $G52)), 0, $T52))-(IF(ISNUMBER(SEARCH("Dulce De Leche", $F52)), 0, $U52))-(($V52/MAX(1,_xlfn.XLOOKUP($H52,'Solid Mix In Nutrition'!A:A,'Solid Mix In Nutrition'!I:I,1)))*240)-(($W52/MAX(1,_xlfn.XLOOKUP($I52,'Solid Mix In Nutrition'!A:A,'Solid Mix In Nutrition'!I:I,1)))*240))*0.66</f>
        <v>220.80300000000003</v>
      </c>
      <c r="S52" s="30">
        <f>(_xlfn.XLOOKUP($L52,Specs!A:A,Specs!B:B,0)-(IF(ISNUMBER(SEARCH("Dulce De Leche", $G52)), 0, $T52))-(IF(ISNUMBER(SEARCH("Dulce De Leche", $F52)), 0, $U52))-(($V52/MAX(1,_xlfn.XLOOKUP($H52,'Solid Mix In Nutrition'!A:A,'Solid Mix In Nutrition'!I:I,1)))*240)-(($W52/MAX(1,_xlfn.XLOOKUP($I52,'Solid Mix In Nutrition'!A:A,'Solid Mix In Nutrition'!I:I,1)))*240))*0.33</f>
        <v>110.40150000000001</v>
      </c>
      <c r="T52" s="30">
        <f>_xlfn.XLOOKUP($M52,Specs!$D:$D,Specs!$E:$E,0)*15*_xlfn.XLOOKUP($L52,Specs!$A:$A,Specs!$C:$C,0)</f>
        <v>7.5</v>
      </c>
      <c r="U52" s="30">
        <f>_xlfn.XLOOKUP($N52,Specs!$D:$D,Specs!$E:$E,0)*15*_xlfn.XLOOKUP($L52,Specs!$A:$A,Specs!$C:$C,0)</f>
        <v>60</v>
      </c>
      <c r="V52" s="30">
        <f>( ((_xlfn.XLOOKUP($O52,Specs!$H:$H,Specs!$I:$I,0)*_xlfn.XLOOKUP($L52,Specs!$A:$A,Specs!$B:$B,0))/240) *_xlfn.XLOOKUP($H52,'Solid Mix In Nutrition'!A:A,'Solid Mix In Nutrition'!I:I,0)) *IF(AND(NOT($I52=0), COUNTA($I52)),0.5,1)</f>
        <v>23.650000000000002</v>
      </c>
      <c r="W52" s="30">
        <f>( ((_xlfn.XLOOKUP($O52,Specs!$H:$H,Specs!$I:$I,0)*_xlfn.XLOOKUP($L52,Specs!$A:$A,Specs!$B:$B,0))/240) *_xlfn.XLOOKUP($I52,'Solid Mix In Nutrition'!A:A,'Solid Mix In Nutrition'!I:I,0)) *IF(AND(NOT($I52=0), COUNTA($I52)),0.5,0)</f>
        <v>0</v>
      </c>
      <c r="X52" s="30">
        <f>_xlfn.XLOOKUP($P52,Specs!F:F,Specs!G:G,0)*_xlfn.XLOOKUP($J52,'Sweetener Mix In Nutrition'!A:A,'Sweetener Mix In Nutrition'!I:I,0)*_xlfn.XLOOKUP($L52,Specs!A:A,Specs!C:C,0)</f>
        <v>0</v>
      </c>
      <c r="Y52" s="30">
        <f>_xlfn.XLOOKUP($Q52,Specs!F:F,Specs!G:G,0)*_xlfn.XLOOKUP($K52,'Sweetener Mix In Nutrition'!A:A,'Sweetener Mix In Nutrition'!I:I,0)*_xlfn.XLOOKUP($L52,Specs!A:A,Specs!C:C,0)</f>
        <v>0</v>
      </c>
      <c r="Z52" s="34">
        <f t="shared" si="0"/>
        <v>0.40644540000000001</v>
      </c>
      <c r="AA52" s="35">
        <f t="shared" si="1"/>
        <v>0.25</v>
      </c>
      <c r="AB52" s="36">
        <f>(($R52 / 240) * _xlfn.XLOOKUP($D52,'Milk Types Nutrition Per Cup'!A:A,'Milk Types Nutrition Per Cup'!B:B,0)) +(($S52 / 240)  * _xlfn.XLOOKUP($E52,'Milk Types Nutrition Per Cup'!A:A,'Milk Types Nutrition Per Cup'!B:B,0)) +(($T52 / 15)  * _xlfn.XLOOKUP($F52,'Liquid Mix In Nutrition'!A:A,'Liquid Mix In Nutrition'!B:B,0))+(($U52 / 15)  * _xlfn.XLOOKUP($G52,'Liquid Mix In Nutrition'!A:A,'Liquid Mix In Nutrition'!B:B,0))+(($V52 /MAX(1, _xlfn.XLOOKUP($H52,'Solid Mix In Nutrition'!A:A,'Solid Mix In Nutrition'!I:I,1)))  * _xlfn.XLOOKUP($H52,'Solid Mix In Nutrition'!A:A,'Solid Mix In Nutrition'!B:B,0))+(($W52 / MAX(1, _xlfn.XLOOKUP($I52,'Solid Mix In Nutrition'!A:A,'Solid Mix In Nutrition'!I:I,1))))+(($X52 / 100)  * _xlfn.XLOOKUP($J52,'Sweetener Mix In Nutrition'!A:A,'Sweetener Mix In Nutrition'!B:B,0))+(($Y52 / 100)  * _xlfn.XLOOKUP($K52,'Sweetener Mix In Nutrition'!A:A,'Sweetener Mix In Nutrition'!B:B,0))</f>
        <v>585.92275000000006</v>
      </c>
      <c r="AC52" s="36">
        <f>(($R52 / 240) * _xlfn.XLOOKUP($D52,'Milk Types Nutrition Per Cup'!A:A,'Milk Types Nutrition Per Cup'!E:E,0)) +(($S52 / 240)  * _xlfn.XLOOKUP($E52,'Milk Types Nutrition Per Cup'!A:A,'Milk Types Nutrition Per Cup'!E:E,0)) +(($T52 / 15)  * _xlfn.XLOOKUP($F52,'Liquid Mix In Nutrition'!A:A,'Liquid Mix In Nutrition'!E:E,0)) +(($U52 / 15)  * _xlfn.XLOOKUP($G52,'Liquid Mix In Nutrition'!A:A,'Liquid Mix In Nutrition'!E:E,0))+(($V52 / MAX(1, _xlfn.XLOOKUP($H52,'Solid Mix In Nutrition'!A:A,'Solid Mix In Nutrition'!I:I,1)))  * _xlfn.XLOOKUP($H52,'Solid Mix In Nutrition'!A:A,'Solid Mix In Nutrition'!E:E,0))+(($W52 / MAX(1, _xlfn.XLOOKUP($I52,'Solid Mix In Nutrition'!A:A,'Solid Mix In Nutrition'!I:I,1)))  * _xlfn.XLOOKUP($I52,'Solid Mix In Nutrition'!A:A,'Solid Mix In Nutrition'!G:G,0))+(($X52 / 100)  * _xlfn.XLOOKUP($J52,'Sweetener Mix In Nutrition'!A:A,'Sweetener Mix In Nutrition'!E:E,0))+(($Y52 / 100)  * _xlfn.XLOOKUP($K52,'Sweetener Mix In Nutrition'!A:A,'Sweetener Mix In Nutrition'!E:E,0))</f>
        <v>26.345725000000002</v>
      </c>
      <c r="AD52" s="36">
        <f>(($R52 / 240) * _xlfn.XLOOKUP($D52,'Milk Types Nutrition Per Cup'!A:A,'Milk Types Nutrition Per Cup'!E:E,0)) +(($S52 / 240)  * _xlfn.XLOOKUP($E52,'Milk Types Nutrition Per Cup'!A:A,'Milk Types Nutrition Per Cup'!E:E,0)) +(($T52 / 15)  * _xlfn.XLOOKUP($F52,'Liquid Mix In Nutrition'!A:A,'Liquid Mix In Nutrition'!E:E,0)) +(($U52 / 15)  * _xlfn.XLOOKUP($G52,'Liquid Mix In Nutrition'!A:A,'Liquid Mix In Nutrition'!E:E,0))+(($X52 / 100)  * _xlfn.XLOOKUP($J52,'Sweetener Mix In Nutrition'!A:A,'Sweetener Mix In Nutrition'!E:E,0))+(($Y52 / 100)  * _xlfn.XLOOKUP($K52,'Sweetener Mix In Nutrition'!A:A,'Sweetener Mix In Nutrition'!E:E,0))</f>
        <v>11.860100000000001</v>
      </c>
      <c r="AE52" s="37">
        <f>(($R52 / 240) * _xlfn.XLOOKUP($D52,'Milk Types Nutrition Per Cup'!A:A,'Milk Types Nutrition Per Cup'!C:C,0)) +(($S52 / 240)  * _xlfn.XLOOKUP($E52,'Milk Types Nutrition Per Cup'!A:A,'Milk Types Nutrition Per Cup'!C:C,0)) +(($T52 / 15)  * _xlfn.XLOOKUP($F52,'Liquid Mix In Nutrition'!A:A,'Liquid Mix In Nutrition'!C:C,0))+(($U52 / 15)  * _xlfn.XLOOKUP($G52,'Liquid Mix In Nutrition'!A:A,'Liquid Mix In Nutrition'!C:C,0))+(($V52 / MAX(1, _xlfn.XLOOKUP($H52,'Solid Mix In Nutrition'!A:A,'Solid Mix In Nutrition'!I:I,1)))  * _xlfn.XLOOKUP($H52,'Solid Mix In Nutrition'!A:A,'Solid Mix In Nutrition'!C:C,0))+(($W52 / MAX(1, _xlfn.XLOOKUP($I52,'Solid Mix In Nutrition'!A:A,'Solid Mix In Nutrition'!I:I,1)))  * _xlfn.XLOOKUP($I52,'Solid Mix In Nutrition'!A:A,'Solid Mix In Nutrition'!C:C,0))+(($X52 / 100)  * _xlfn.XLOOKUP($J52,'Sweetener Mix In Nutrition'!A:A,'Sweetener Mix In Nutrition'!C:C,0))+(($Y52 / 100)  * _xlfn.XLOOKUP($K52,'Sweetener Mix In Nutrition'!A:A,'Sweetener Mix In Nutrition'!C:C,0))</f>
        <v>33.003162500000002</v>
      </c>
      <c r="AF52" s="38">
        <f>$AE52 / (_xlfn.XLOOKUP($L52,Specs!A:A,Specs!B:B,0))</f>
        <v>6.9774127906976749E-2</v>
      </c>
      <c r="AG52" s="37">
        <f>60* ($AB52 / _xlfn.XLOOKUP($L52,Specs!A:A,Specs!B:B,0))</f>
        <v>74.324238900634256</v>
      </c>
      <c r="AH52" s="37">
        <f>60* (AC52 / _xlfn.XLOOKUP($L52,Specs!$A:$A,Specs!$B:$B,0))</f>
        <v>3.3419524312896409</v>
      </c>
      <c r="AI52" s="37">
        <f>60* (AE52 / _xlfn.XLOOKUP($L52,Specs!$A:$A,Specs!$B:$B,0))</f>
        <v>4.1864476744186048</v>
      </c>
      <c r="AJ52" s="39">
        <v>1.7333522561455266</v>
      </c>
      <c r="AK52" s="46">
        <v>0</v>
      </c>
      <c r="AL52" s="47"/>
      <c r="AM52" s="40">
        <v>0</v>
      </c>
      <c r="AN52" s="48">
        <v>5</v>
      </c>
      <c r="AO52" s="40">
        <v>5</v>
      </c>
      <c r="AP52" s="30" t="s">
        <v>210</v>
      </c>
      <c r="AQ52" t="str">
        <f>_xlfn.XLOOKUP("What's Your Number?",[1]Sheet1!$1:$1,[1]Sheet1!52:52)</f>
        <v>954-483-8278</v>
      </c>
    </row>
    <row r="53" spans="1:44" x14ac:dyDescent="0.25">
      <c r="A53" s="42" t="s">
        <v>755</v>
      </c>
      <c r="B53" s="76" t="s">
        <v>618</v>
      </c>
      <c r="C53" s="31" t="s">
        <v>617</v>
      </c>
      <c r="D53" s="31" t="s">
        <v>62</v>
      </c>
      <c r="E53" s="31" t="s">
        <v>65</v>
      </c>
      <c r="F53" s="31" t="s">
        <v>0</v>
      </c>
      <c r="G53" s="31" t="s">
        <v>5</v>
      </c>
      <c r="H53" s="31" t="s">
        <v>249</v>
      </c>
      <c r="I53" s="31" t="s">
        <v>234</v>
      </c>
      <c r="J53" s="31" t="s">
        <v>1</v>
      </c>
      <c r="K53" s="31"/>
      <c r="L53" s="77" t="s">
        <v>4</v>
      </c>
      <c r="M53" s="45" t="s">
        <v>157</v>
      </c>
      <c r="N53" s="45" t="s">
        <v>451</v>
      </c>
      <c r="O53" s="45" t="s">
        <v>156</v>
      </c>
      <c r="P53" s="45" t="s">
        <v>448</v>
      </c>
      <c r="Q53" s="45">
        <v>0</v>
      </c>
      <c r="R53" s="30">
        <f>(_xlfn.XLOOKUP($L53,Specs!A:A,Specs!B:B,0)-(IF(ISNUMBER(SEARCH("Dulce De Leche", $G53)), 0, $T53))-(IF(ISNUMBER(SEARCH("Dulce De Leche", $F53)), 0, $U53))-(($V53/MAX(1,_xlfn.XLOOKUP($H53,'Solid Mix In Nutrition'!A:A,'Solid Mix In Nutrition'!I:I,1)))*240)-(($W53/MAX(1,_xlfn.XLOOKUP($I53,'Solid Mix In Nutrition'!A:A,'Solid Mix In Nutrition'!I:I,1)))*240))*0.66</f>
        <v>189.58500000000001</v>
      </c>
      <c r="S53" s="30">
        <f>(_xlfn.XLOOKUP($L53,Specs!A:A,Specs!B:B,0)-(IF(ISNUMBER(SEARCH("Dulce De Leche", $G53)), 0, $T53))-(IF(ISNUMBER(SEARCH("Dulce De Leche", $F53)), 0, $U53))-(($V53/MAX(1,_xlfn.XLOOKUP($H53,'Solid Mix In Nutrition'!A:A,'Solid Mix In Nutrition'!I:I,1)))*240)-(($W53/MAX(1,_xlfn.XLOOKUP($I53,'Solid Mix In Nutrition'!A:A,'Solid Mix In Nutrition'!I:I,1)))*240))*0.33</f>
        <v>94.792500000000004</v>
      </c>
      <c r="T53" s="30">
        <f>_xlfn.XLOOKUP($M53,Specs!$D:$D,Specs!$E:$E,0)*15*_xlfn.XLOOKUP($L53,Specs!$A:$A,Specs!$C:$C,0)</f>
        <v>7.5</v>
      </c>
      <c r="U53" s="30">
        <f>_xlfn.XLOOKUP($N53,Specs!$D:$D,Specs!$E:$E,0)*15*_xlfn.XLOOKUP($L53,Specs!$A:$A,Specs!$C:$C,0)</f>
        <v>60</v>
      </c>
      <c r="V53" s="30">
        <f>( ((_xlfn.XLOOKUP($O53,Specs!$H:$H,Specs!$I:$I,0)*_xlfn.XLOOKUP($L53,Specs!$A:$A,Specs!$B:$B,0))/240) *_xlfn.XLOOKUP($H53,'Solid Mix In Nutrition'!A:A,'Solid Mix In Nutrition'!I:I,0)) *IF(AND(NOT($I53=0), COUNTA($I53)),0.5,1)</f>
        <v>59.125</v>
      </c>
      <c r="W53" s="30">
        <f>( ((_xlfn.XLOOKUP($O53,Specs!$H:$H,Specs!$I:$I,0)*_xlfn.XLOOKUP($L53,Specs!$A:$A,Specs!$B:$B,0))/240) *_xlfn.XLOOKUP($I53,'Solid Mix In Nutrition'!A:A,'Solid Mix In Nutrition'!I:I,0)) *IF(AND(NOT($I53=0), COUNTA($I53)),0.5,0)</f>
        <v>25.8671875</v>
      </c>
      <c r="X53" s="30">
        <f>_xlfn.XLOOKUP($P53,Specs!F:F,Specs!G:G,0)*_xlfn.XLOOKUP($J53,'Sweetener Mix In Nutrition'!A:A,'Sweetener Mix In Nutrition'!I:I,0)*_xlfn.XLOOKUP($L53,Specs!A:A,Specs!C:C,0)</f>
        <v>12.5</v>
      </c>
      <c r="Y53" s="30">
        <f>_xlfn.XLOOKUP($Q53,Specs!F:F,Specs!G:G,0)*_xlfn.XLOOKUP($K53,'Sweetener Mix In Nutrition'!A:A,'Sweetener Mix In Nutrition'!I:I,0)*_xlfn.XLOOKUP($L53,Specs!A:A,Specs!C:C,0)</f>
        <v>0</v>
      </c>
      <c r="Z53" s="34">
        <f t="shared" si="0"/>
        <v>0.36525299999999994</v>
      </c>
      <c r="AA53" s="35">
        <f t="shared" si="1"/>
        <v>0.25</v>
      </c>
      <c r="AB53" s="36">
        <f>(($R53 / 240) * _xlfn.XLOOKUP($D53,'Milk Types Nutrition Per Cup'!A:A,'Milk Types Nutrition Per Cup'!B:B,0)) +(($S53 / 240)  * _xlfn.XLOOKUP($E53,'Milk Types Nutrition Per Cup'!A:A,'Milk Types Nutrition Per Cup'!B:B,0)) +(($T53 / 15)  * _xlfn.XLOOKUP($F53,'Liquid Mix In Nutrition'!A:A,'Liquid Mix In Nutrition'!B:B,0))+(($U53 / 15)  * _xlfn.XLOOKUP($G53,'Liquid Mix In Nutrition'!A:A,'Liquid Mix In Nutrition'!B:B,0))+(($V53 /MAX(1, _xlfn.XLOOKUP($H53,'Solid Mix In Nutrition'!A:A,'Solid Mix In Nutrition'!I:I,1)))  * _xlfn.XLOOKUP($H53,'Solid Mix In Nutrition'!A:A,'Solid Mix In Nutrition'!B:B,0))+(($W53 / MAX(1, _xlfn.XLOOKUP($I53,'Solid Mix In Nutrition'!A:A,'Solid Mix In Nutrition'!I:I,1))))+(($X53 / 100)  * _xlfn.XLOOKUP($J53,'Sweetener Mix In Nutrition'!A:A,'Sweetener Mix In Nutrition'!B:B,0))+(($Y53 / 100)  * _xlfn.XLOOKUP($K53,'Sweetener Mix In Nutrition'!A:A,'Sweetener Mix In Nutrition'!B:B,0))</f>
        <v>1451.3453982359497</v>
      </c>
      <c r="AC53" s="36">
        <f>(($R53 / 240) * _xlfn.XLOOKUP($D53,'Milk Types Nutrition Per Cup'!A:A,'Milk Types Nutrition Per Cup'!E:E,0)) +(($S53 / 240)  * _xlfn.XLOOKUP($E53,'Milk Types Nutrition Per Cup'!A:A,'Milk Types Nutrition Per Cup'!E:E,0)) +(($T53 / 15)  * _xlfn.XLOOKUP($F53,'Liquid Mix In Nutrition'!A:A,'Liquid Mix In Nutrition'!E:E,0)) +(($U53 / 15)  * _xlfn.XLOOKUP($G53,'Liquid Mix In Nutrition'!A:A,'Liquid Mix In Nutrition'!E:E,0))+(($V53 / MAX(1, _xlfn.XLOOKUP($H53,'Solid Mix In Nutrition'!A:A,'Solid Mix In Nutrition'!I:I,1)))  * _xlfn.XLOOKUP($H53,'Solid Mix In Nutrition'!A:A,'Solid Mix In Nutrition'!E:E,0))+(($W53 / MAX(1, _xlfn.XLOOKUP($I53,'Solid Mix In Nutrition'!A:A,'Solid Mix In Nutrition'!I:I,1)))  * _xlfn.XLOOKUP($I53,'Solid Mix In Nutrition'!A:A,'Solid Mix In Nutrition'!G:G,0))+(($X53 / 100)  * _xlfn.XLOOKUP($J53,'Sweetener Mix In Nutrition'!A:A,'Sweetener Mix In Nutrition'!E:E,0))+(($Y53 / 100)  * _xlfn.XLOOKUP($K53,'Sweetener Mix In Nutrition'!A:A,'Sweetener Mix In Nutrition'!E:E,0))</f>
        <v>60.339510012424171</v>
      </c>
      <c r="AD53" s="36">
        <f>(($R53 / 240) * _xlfn.XLOOKUP($D53,'Milk Types Nutrition Per Cup'!A:A,'Milk Types Nutrition Per Cup'!E:E,0)) +(($S53 / 240)  * _xlfn.XLOOKUP($E53,'Milk Types Nutrition Per Cup'!A:A,'Milk Types Nutrition Per Cup'!E:E,0)) +(($T53 / 15)  * _xlfn.XLOOKUP($F53,'Liquid Mix In Nutrition'!A:A,'Liquid Mix In Nutrition'!E:E,0)) +(($U53 / 15)  * _xlfn.XLOOKUP($G53,'Liquid Mix In Nutrition'!A:A,'Liquid Mix In Nutrition'!E:E,0))+(($X53 / 100)  * _xlfn.XLOOKUP($J53,'Sweetener Mix In Nutrition'!A:A,'Sweetener Mix In Nutrition'!E:E,0))+(($Y53 / 100)  * _xlfn.XLOOKUP($K53,'Sweetener Mix In Nutrition'!A:A,'Sweetener Mix In Nutrition'!E:E,0))</f>
        <v>42.159750000000003</v>
      </c>
      <c r="AE53" s="37">
        <f>(($R53 / 240) * _xlfn.XLOOKUP($D53,'Milk Types Nutrition Per Cup'!A:A,'Milk Types Nutrition Per Cup'!C:C,0)) +(($S53 / 240)  * _xlfn.XLOOKUP($E53,'Milk Types Nutrition Per Cup'!A:A,'Milk Types Nutrition Per Cup'!C:C,0)) +(($T53 / 15)  * _xlfn.XLOOKUP($F53,'Liquid Mix In Nutrition'!A:A,'Liquid Mix In Nutrition'!C:C,0))+(($U53 / 15)  * _xlfn.XLOOKUP($G53,'Liquid Mix In Nutrition'!A:A,'Liquid Mix In Nutrition'!C:C,0))+(($V53 / MAX(1, _xlfn.XLOOKUP($H53,'Solid Mix In Nutrition'!A:A,'Solid Mix In Nutrition'!I:I,1)))  * _xlfn.XLOOKUP($H53,'Solid Mix In Nutrition'!A:A,'Solid Mix In Nutrition'!C:C,0))+(($W53 / MAX(1, _xlfn.XLOOKUP($I53,'Solid Mix In Nutrition'!A:A,'Solid Mix In Nutrition'!I:I,1)))  * _xlfn.XLOOKUP($I53,'Solid Mix In Nutrition'!A:A,'Solid Mix In Nutrition'!C:C,0))+(($X53 / 100)  * _xlfn.XLOOKUP($J53,'Sweetener Mix In Nutrition'!A:A,'Sweetener Mix In Nutrition'!C:C,0))+(($Y53 / 100)  * _xlfn.XLOOKUP($K53,'Sweetener Mix In Nutrition'!A:A,'Sweetener Mix In Nutrition'!C:C,0))</f>
        <v>127.12785740375674</v>
      </c>
      <c r="AF53" s="38">
        <f>$AE53 / (_xlfn.XLOOKUP($L53,Specs!A:A,Specs!B:B,0))</f>
        <v>0.2687692545533969</v>
      </c>
      <c r="AG53" s="37">
        <f>60* ($AB53 / _xlfn.XLOOKUP($L53,Specs!A:A,Specs!B:B,0))</f>
        <v>184.10301034705495</v>
      </c>
      <c r="AH53" s="37">
        <f>60* (AC53 / _xlfn.XLOOKUP($L53,Specs!$A:$A,Specs!$B:$B,0))</f>
        <v>7.6540604666922842</v>
      </c>
      <c r="AI53" s="37">
        <f>60* (AE53 / _xlfn.XLOOKUP($L53,Specs!$A:$A,Specs!$B:$B,0))</f>
        <v>16.126155273203814</v>
      </c>
      <c r="AJ53" s="39">
        <v>2.7879861566975896</v>
      </c>
      <c r="AK53" s="46">
        <v>0</v>
      </c>
      <c r="AL53" s="47"/>
      <c r="AM53" s="40">
        <v>0</v>
      </c>
      <c r="AN53" s="48">
        <v>7</v>
      </c>
      <c r="AO53" s="40">
        <v>7</v>
      </c>
      <c r="AP53" s="30" t="s">
        <v>210</v>
      </c>
      <c r="AQ53" t="str">
        <f>_xlfn.XLOOKUP("What's Your Number?",[1]Sheet1!$1:$1,[1]Sheet1!53:53)</f>
        <v>954-483-8278</v>
      </c>
    </row>
    <row r="54" spans="1:44" x14ac:dyDescent="0.25">
      <c r="A54" s="42" t="str">
        <f>_xlfn.CONCAT(_xlfn.XLOOKUP("What's Your Name?",[1]Sheet1!$1:$1,[1]Sheet1!54:54)," | ",TEXT(_xlfn.XLOOKUP("Completion time",[1]Sheet1!$1:$1,[1]Sheet1!54:54),"dddd, mmm dd, yyyy hh:mm AM/PM"))</f>
        <v>Joany | Thursday, Oct 24, 2024 07:16 PM</v>
      </c>
      <c r="B54" s="76" t="str">
        <f>_xlfn.XLOOKUP("What's Your Email Address?",[1]Sheet1!$1:$1,[1]Sheet1!54:54)</f>
        <v>Joanymaxinau83@gmail.com</v>
      </c>
      <c r="C54" s="31" t="str">
        <f>IF(ISBLANK(_xlfn.XLOOKUP("Which Flavor? (Pint Price | Quart Price | Half Gallon Price) (NOTE: Prices may fluctuate based on market conditions)",[1]Sheet1!$1:$1,[1]Sheet1!54:54)),_xlfn.XLOOKUP("Name Your Ice Cream!",[1]Sheet1!$1:$1,[1]Sheet1!54:54),IF(ISNUMBER(FIND("(", _xlfn.XLOOKUP("Which Flavor? (Pint Price | Quart Price | Half Gallon Price) (NOTE: Prices may fluctuate based on market conditions)",[1]Sheet1!$1:$1,[1]Sheet1!54:54))), LEFT(_xlfn.XLOOKUP("Which Flavor? (Pint Price | Quart Price | Half Gallon Price) (NOTE: Prices may fluctuate based on market conditions)",[1]Sheet1!$1:$1,[1]Sheet1!54:54), FIND("(", _xlfn.XLOOKUP("Which Flavor? (Pint Price | Quart Price | Half Gallon Price) (NOTE: Prices may fluctuate based on market conditions)",[1]Sheet1!$1:$1,[1]Sheet1!54:54)) - 1), _xlfn.XLOOKUP("Which Flavor? (Pint Price | Quart Price | Half Gallon Price) (NOTE: Prices may fluctuate based on market conditions)",[1]Sheet1!$1:$1,[1]Sheet1!54:54)))</f>
        <v xml:space="preserve">Maple Cinnamon </v>
      </c>
      <c r="D54" s="31">
        <f>IF(COUNTIF('Premade Flavors'!$A:$A, $C54) &gt; 0,IF(ISBLANK(_xlfn.XLOOKUP("What Ice Cream Base Do You Want To Change It To?",[1]Sheet1!$1:$1,[1]Sheet1!54:54)),_xlfn.XLOOKUP($C54,'Premade Flavors'!$A:$A,'Premade Flavors'!B:B),_xlfn.XLOOKUP("What Ice Cream Base Do You Want To Change It To?",[1]Sheet1!$1:$1,[1]Sheet1!54:54)),_xlfn.XLOOKUP(_xlfn.XLOOKUP("What Kind Of Ice Cream Base Do You Want? ",[1]Sheet1!$1:$1,[1]Sheet1!54:54),'Milk Types Nutrition Per Cup'!O:O,'Milk Types Nutrition Per Cup'!P:P,""))</f>
        <v>0</v>
      </c>
      <c r="E54" s="31">
        <f>IF(COUNTIF('Premade Flavors'!$A:$A, $C54) &gt; 0,IF(ISBLANK(_xlfn.XLOOKUP("What Ice Cream Base Do You Want To Change It To?",[1]Sheet1!$1:$1,[1]Sheet1!54:54)),_xlfn.XLOOKUP($C54,'Premade Flavors'!$A:$A,'Premade Flavors'!C:C),_xlfn.XLOOKUP("What Ice Cream Base Do You Want To Change It To?",[1]Sheet1!$1:$1,[1]Sheet1!54:54)),_xlfn.XLOOKUP(_xlfn.XLOOKUP("What Kind Of Ice Cream Base Do You Want? ",[1]Sheet1!$1:$1,[1]Sheet1!54:54),'Milk Types Nutrition Per Cup'!$O:$O,'Milk Types Nutrition Per Cup'!$Q:$Q,""))</f>
        <v>0</v>
      </c>
      <c r="F54" s="31">
        <f>IF(COUNTIF('Premade Flavors'!$A:$A, $C54) &gt; 0,_xlfn.XLOOKUP($C54,'Premade Flavors'!$A:$A,'Premade Flavors'!E:E),_xlfn.XLOOKUP("What's The First Flavor You Want? ",[1]Sheet1!$1:$1,[1]Sheet1!54:54))</f>
        <v>0</v>
      </c>
      <c r="G54" s="31">
        <f>IF(COUNTIF('Premade Flavors'!$A:$A, $C54) &gt; 0,_xlfn.XLOOKUP($C54,'Premade Flavors'!$A:$A,'Premade Flavors'!F:F),_xlfn.XLOOKUP("What's the Second Flavor You Want?",[1]Sheet1!$1:$1,[1]Sheet1!54:54))</f>
        <v>0</v>
      </c>
      <c r="H54" s="31">
        <f>IF(COUNTIF('Premade Flavors'!$A:$A, $C54) &gt; 0,_xlfn.XLOOKUP($C54,'Premade Flavors'!$A:$A,'Premade Flavors'!G:G),_xlfn.XLOOKUP("What's The First Mix In That You Want? ",[1]Sheet1!$1:$1,[1]Sheet1!54:54))</f>
        <v>0</v>
      </c>
      <c r="I54" s="31">
        <f>IF(COUNTIF('Premade Flavors'!$A:$A, $C54) &gt; 0,_xlfn.XLOOKUP($C54,'Premade Flavors'!$A:$A,'Premade Flavors'!H:H),IF([2]Sheet1!W54= 0,,[2]Sheet1!W54))</f>
        <v>0</v>
      </c>
      <c r="J54" s="31">
        <f>IF(COUNTIF('Premade Flavors'!$A:$A,$C54)&gt;0,IF(_xlfn.XLOOKUP("Should It Use Sugar or A Non-Sugar Sweetner?",[1]Sheet1!$1:$1,[1]Sheet1!54:54)="Sugar",_xlfn.XLOOKUP($C54,'Premade Flavors'!$A:$A,'Premade Flavors'!I:I),"Stevia"),_xlfn.XLOOKUP("What Sweetner Do You Want?",[1]Sheet1!$1:$1,[1]Sheet1!54:54))</f>
        <v>0</v>
      </c>
      <c r="K54" s="31"/>
      <c r="L54" s="77" t="str">
        <f>_xlfn.XLOOKUP("How Much Ice Cream Do You Want?",[1]Sheet1!$1:$1,[1]Sheet1!54:54)</f>
        <v>Pint</v>
      </c>
      <c r="M54" s="45">
        <f>IF(COUNTIF('Premade Flavors'!$A:$A, $C54) &gt; 0,_xlfn.XLOOKUP($C54,'Premade Flavors'!$A:$A,'Premade Flavors'!M:M),_xlfn.XLOOKUP("How Strong Do You Want The First Flavor?",[1]Sheet1!$1:$1,[1]Sheet1!54:54))</f>
        <v>0</v>
      </c>
      <c r="N54" s="45">
        <f>IF(COUNTIF('Premade Flavors'!$A:$A, $C54) &gt; 0,_xlfn.XLOOKUP($C54,'Premade Flavors'!$A:$A,'Premade Flavors'!N:N),_xlfn.XLOOKUP("How Strong Do You Want The Second Flavor?",[1]Sheet1!$1:$1,[1]Sheet1!54:54))</f>
        <v>0</v>
      </c>
      <c r="O54" s="45">
        <f>IF(COUNTIF('Premade Flavors'!$A:$A, $C54) &gt; 0,_xlfn.XLOOKUP($C54,'Premade Flavors'!$A:$A,'Premade Flavors'!O:O),_xlfn.XLOOKUP("How Dense Should the Mix Ins Be?",[1]Sheet1!$1:$1,[1]Sheet1!54:54))</f>
        <v>0</v>
      </c>
      <c r="P54" s="45">
        <f>IF(COUNTIF('Premade Flavors'!$A:$A, $C54) &gt; 0,_xlfn.XLOOKUP($C54,'Premade Flavors'!$A:$A,'Premade Flavors'!P:P),_xlfn.XLOOKUP("How Much Of The First Sweetner? ",[1]Sheet1!$1:$1,[1]Sheet1!54:54))</f>
        <v>0</v>
      </c>
      <c r="Q54" s="45">
        <f>IF(COUNTIF('Premade Flavors'!$A:$A, $C54) &gt; 0,_xlfn.XLOOKUP($C54,'Premade Flavors'!$A:$A,'Premade Flavors'!Q:Q),[2]Sheet1!S54)</f>
        <v>0</v>
      </c>
      <c r="R54" s="30">
        <f>(_xlfn.XLOOKUP($L54,Specs!A:A,Specs!B:B,0)-(IF(ISNUMBER(SEARCH("Dulce De Leche", $G54)), 0, $T54))-(IF(ISNUMBER(SEARCH("Dulce De Leche", $F54)), 0, $U54))-(($V54/MAX(1,_xlfn.XLOOKUP($H54,'Solid Mix In Nutrition'!A:A,'Solid Mix In Nutrition'!I:I,1)))*240)-(($W54/MAX(1,_xlfn.XLOOKUP($I54,'Solid Mix In Nutrition'!A:A,'Solid Mix In Nutrition'!I:I,1)))*240))*0.66</f>
        <v>312.18</v>
      </c>
      <c r="S54" s="30">
        <f>(_xlfn.XLOOKUP($L54,Specs!A:A,Specs!B:B,0)-(IF(ISNUMBER(SEARCH("Dulce De Leche", $G54)), 0, $T54))-(IF(ISNUMBER(SEARCH("Dulce De Leche", $F54)), 0, $U54))-(($V54/MAX(1,_xlfn.XLOOKUP($H54,'Solid Mix In Nutrition'!A:A,'Solid Mix In Nutrition'!I:I,1)))*240)-(($W54/MAX(1,_xlfn.XLOOKUP($I54,'Solid Mix In Nutrition'!A:A,'Solid Mix In Nutrition'!I:I,1)))*240))*0.33</f>
        <v>156.09</v>
      </c>
      <c r="T54" s="30">
        <f>_xlfn.XLOOKUP($M54,Specs!$D:$D,Specs!$E:$E,0)*15*_xlfn.XLOOKUP($L54,Specs!$A:$A,Specs!$C:$C,0)</f>
        <v>0</v>
      </c>
      <c r="U54" s="30">
        <f>_xlfn.XLOOKUP($N54,Specs!$D:$D,Specs!$E:$E,0)*15*_xlfn.XLOOKUP($L54,Specs!$A:$A,Specs!$C:$C,0)</f>
        <v>0</v>
      </c>
      <c r="V54" s="30">
        <f>( ((_xlfn.XLOOKUP($O54,Specs!$H:$H,Specs!$I:$I,0)*_xlfn.XLOOKUP($L54,Specs!$A:$A,Specs!$B:$B,0))/240) *_xlfn.XLOOKUP($H54,'Solid Mix In Nutrition'!A:A,'Solid Mix In Nutrition'!I:I,0)) *IF(AND(NOT($I54=0), COUNTA($I54)),0.5,1)</f>
        <v>0</v>
      </c>
      <c r="W54" s="30">
        <f>( ((_xlfn.XLOOKUP($O54,Specs!$H:$H,Specs!$I:$I,0)*_xlfn.XLOOKUP($L54,Specs!$A:$A,Specs!$B:$B,0))/240) *_xlfn.XLOOKUP($I54,'Solid Mix In Nutrition'!A:A,'Solid Mix In Nutrition'!I:I,0)) *IF(AND(NOT($I54=0), COUNTA($I54)),0.5,0)</f>
        <v>0</v>
      </c>
      <c r="X54" s="30">
        <f>_xlfn.XLOOKUP($P54,Specs!F:F,Specs!G:G,0)*_xlfn.XLOOKUP($J54,'Sweetener Mix In Nutrition'!A:A,'Sweetener Mix In Nutrition'!I:I,0)*_xlfn.XLOOKUP($L54,Specs!A:A,Specs!C:C,0)</f>
        <v>0</v>
      </c>
      <c r="Y54" s="30">
        <f>_xlfn.XLOOKUP($Q54,Specs!F:F,Specs!G:G,0)*_xlfn.XLOOKUP($K54,'Sweetener Mix In Nutrition'!A:A,'Sweetener Mix In Nutrition'!I:I,0)*_xlfn.XLOOKUP($L54,Specs!A:A,Specs!C:C,0)</f>
        <v>0</v>
      </c>
      <c r="Z54" s="34">
        <f t="shared" ref="Z54:Z101" si="2">($R54+$S54+$T54+$X54+$Y54)*IF(ISNUMBER(SEARCH("Fat Free",$D54)),0.0036,0.0012)</f>
        <v>0.56192399999999998</v>
      </c>
      <c r="AA54" s="35">
        <f t="shared" ref="AA54:AA101" si="3">CEILING(CONVERT(($R54+$S54+$T54+$X54+$Y54)*IF(ISNUMBER(SEARCH("Fat Free",$D54)),0.0036,0.0012),"ml","tsp"),0.25)</f>
        <v>0.25</v>
      </c>
      <c r="AB54" s="36">
        <f>(($R54 / 240) * _xlfn.XLOOKUP($D54,'Milk Types Nutrition Per Cup'!A:A,'Milk Types Nutrition Per Cup'!B:B,0)) +(($S54 / 240)  * _xlfn.XLOOKUP($E54,'Milk Types Nutrition Per Cup'!A:A,'Milk Types Nutrition Per Cup'!B:B,0)) +(($T54 / 15)  * _xlfn.XLOOKUP($F54,'Liquid Mix In Nutrition'!A:A,'Liquid Mix In Nutrition'!B:B,0))+(($U54 / 15)  * _xlfn.XLOOKUP($G54,'Liquid Mix In Nutrition'!A:A,'Liquid Mix In Nutrition'!B:B,0))+(($V54 /MAX(1, _xlfn.XLOOKUP($H54,'Solid Mix In Nutrition'!A:A,'Solid Mix In Nutrition'!I:I,1)))  * _xlfn.XLOOKUP($H54,'Solid Mix In Nutrition'!A:A,'Solid Mix In Nutrition'!B:B,0))+(($W54 / MAX(1, _xlfn.XLOOKUP($I54,'Solid Mix In Nutrition'!A:A,'Solid Mix In Nutrition'!I:I,1))))+(($X54 / 100)  * _xlfn.XLOOKUP($J54,'Sweetener Mix In Nutrition'!A:A,'Sweetener Mix In Nutrition'!B:B,0))+(($Y54 / 100)  * _xlfn.XLOOKUP($K54,'Sweetener Mix In Nutrition'!A:A,'Sweetener Mix In Nutrition'!B:B,0))</f>
        <v>0</v>
      </c>
      <c r="AC54" s="36">
        <f>(($R54 / 240) * _xlfn.XLOOKUP($D54,'Milk Types Nutrition Per Cup'!A:A,'Milk Types Nutrition Per Cup'!E:E,0)) +(($S54 / 240)  * _xlfn.XLOOKUP($E54,'Milk Types Nutrition Per Cup'!A:A,'Milk Types Nutrition Per Cup'!E:E,0)) +(($T54 / 15)  * _xlfn.XLOOKUP($F54,'Liquid Mix In Nutrition'!A:A,'Liquid Mix In Nutrition'!E:E,0)) +(($U54 / 15)  * _xlfn.XLOOKUP($G54,'Liquid Mix In Nutrition'!A:A,'Liquid Mix In Nutrition'!E:E,0))+(($V54 / MAX(1, _xlfn.XLOOKUP($H54,'Solid Mix In Nutrition'!A:A,'Solid Mix In Nutrition'!I:I,1)))  * _xlfn.XLOOKUP($H54,'Solid Mix In Nutrition'!A:A,'Solid Mix In Nutrition'!E:E,0))+(($W54 / MAX(1, _xlfn.XLOOKUP($I54,'Solid Mix In Nutrition'!A:A,'Solid Mix In Nutrition'!I:I,1)))  * _xlfn.XLOOKUP($I54,'Solid Mix In Nutrition'!A:A,'Solid Mix In Nutrition'!G:G,0))+(($X54 / 100)  * _xlfn.XLOOKUP($J54,'Sweetener Mix In Nutrition'!A:A,'Sweetener Mix In Nutrition'!E:E,0))+(($Y54 / 100)  * _xlfn.XLOOKUP($K54,'Sweetener Mix In Nutrition'!A:A,'Sweetener Mix In Nutrition'!E:E,0))</f>
        <v>0</v>
      </c>
      <c r="AD54" s="36">
        <f>(($R54 / 240) * _xlfn.XLOOKUP($D54,'Milk Types Nutrition Per Cup'!A:A,'Milk Types Nutrition Per Cup'!E:E,0)) +(($S54 / 240)  * _xlfn.XLOOKUP($E54,'Milk Types Nutrition Per Cup'!A:A,'Milk Types Nutrition Per Cup'!E:E,0)) +(($T54 / 15)  * _xlfn.XLOOKUP($F54,'Liquid Mix In Nutrition'!A:A,'Liquid Mix In Nutrition'!E:E,0)) +(($U54 / 15)  * _xlfn.XLOOKUP($G54,'Liquid Mix In Nutrition'!A:A,'Liquid Mix In Nutrition'!E:E,0))+(($X54 / 100)  * _xlfn.XLOOKUP($J54,'Sweetener Mix In Nutrition'!A:A,'Sweetener Mix In Nutrition'!E:E,0))+(($Y54 / 100)  * _xlfn.XLOOKUP($K54,'Sweetener Mix In Nutrition'!A:A,'Sweetener Mix In Nutrition'!E:E,0))</f>
        <v>0</v>
      </c>
      <c r="AE54" s="37">
        <f>(($R54 / 240) * _xlfn.XLOOKUP($D54,'Milk Types Nutrition Per Cup'!A:A,'Milk Types Nutrition Per Cup'!C:C,0)) +(($S54 / 240)  * _xlfn.XLOOKUP($E54,'Milk Types Nutrition Per Cup'!A:A,'Milk Types Nutrition Per Cup'!C:C,0)) +(($T54 / 15)  * _xlfn.XLOOKUP($F54,'Liquid Mix In Nutrition'!A:A,'Liquid Mix In Nutrition'!C:C,0))+(($U54 / 15)  * _xlfn.XLOOKUP($G54,'Liquid Mix In Nutrition'!A:A,'Liquid Mix In Nutrition'!C:C,0))+(($V54 / MAX(1, _xlfn.XLOOKUP($H54,'Solid Mix In Nutrition'!A:A,'Solid Mix In Nutrition'!I:I,1)))  * _xlfn.XLOOKUP($H54,'Solid Mix In Nutrition'!A:A,'Solid Mix In Nutrition'!C:C,0))+(($W54 / MAX(1, _xlfn.XLOOKUP($I54,'Solid Mix In Nutrition'!A:A,'Solid Mix In Nutrition'!I:I,1)))  * _xlfn.XLOOKUP($I54,'Solid Mix In Nutrition'!A:A,'Solid Mix In Nutrition'!C:C,0))+(($X54 / 100)  * _xlfn.XLOOKUP($J54,'Sweetener Mix In Nutrition'!A:A,'Sweetener Mix In Nutrition'!C:C,0))+(($Y54 / 100)  * _xlfn.XLOOKUP($K54,'Sweetener Mix In Nutrition'!A:A,'Sweetener Mix In Nutrition'!C:C,0))</f>
        <v>0</v>
      </c>
      <c r="AF54" s="38">
        <f>$AE54 / (_xlfn.XLOOKUP($L54,Specs!A:A,Specs!B:B,0))</f>
        <v>0</v>
      </c>
      <c r="AG54" s="37">
        <f>60* ($AB54 / _xlfn.XLOOKUP($L54,Specs!A:A,Specs!B:B,0))</f>
        <v>0</v>
      </c>
      <c r="AH54" s="37">
        <f>60* (AC54 / _xlfn.XLOOKUP($L54,Specs!$A:$A,Specs!$B:$B,0))</f>
        <v>0</v>
      </c>
      <c r="AI54" s="37">
        <f>60* (AE54 / _xlfn.XLOOKUP($L54,Specs!$A:$A,Specs!$B:$B,0))</f>
        <v>0</v>
      </c>
      <c r="AJ54" s="39">
        <f>(($R54 / 240) * _xlfn.XLOOKUP($D54,'Milk Types Nutrition Per Cup'!A:A,'Milk Types Nutrition Per Cup'!F:F,0)) +(($S54 / 240)  * _xlfn.XLOOKUP($E54,'Milk Types Nutrition Per Cup'!A:A,'Milk Types Nutrition Per Cup'!F:F,0)) +(($T54 / 15)  * _xlfn.XLOOKUP($F54,'Liquid Mix In Nutrition'!A:A,'Liquid Mix In Nutrition'!F:F,0))+(($U54 / 15)  * _xlfn.XLOOKUP($G54,'Liquid Mix In Nutrition'!A:A,'Liquid Mix In Nutrition'!F:F,0))+(($V54 / MAX(1, _xlfn.XLOOKUP($H54,'Solid Mix In Nutrition'!A:A,'Solid Mix In Nutrition'!I:I,1)))  * _xlfn.XLOOKUP($H54,'Solid Mix In Nutrition'!A:A,'Solid Mix In Nutrition'!F:F,0))+(($W54 / MAX(1, _xlfn.XLOOKUP($I54,'Solid Mix In Nutrition'!A:A,'Solid Mix In Nutrition'!I:I,1)))  * _xlfn.XLOOKUP($I54,'Solid Mix In Nutrition'!A:A,'Solid Mix In Nutrition'!F:F,0))+(($X54 / 100)  * _xlfn.XLOOKUP($J54,'Sweetener Mix In Nutrition'!A:A,'Sweetener Mix In Nutrition'!F:F,0))+(($Y54 / 100)  * _xlfn.XLOOKUP($K54,'Sweetener Mix In Nutrition'!A:A,'Sweetener Mix In Nutrition'!F:F,0))</f>
        <v>0</v>
      </c>
      <c r="AK54" s="46" t="s">
        <v>638</v>
      </c>
      <c r="AL54" s="47">
        <v>20</v>
      </c>
      <c r="AM54" s="40">
        <f>IF(ISERROR(((AL54/Specs!$L$3)*Specs!$L$2)*2),0,ROUNDUP((((AL54/Specs!$L$3)*Specs!$L$2)*2),0))</f>
        <v>6</v>
      </c>
      <c r="AN54" s="48">
        <f>ROUNDUP(((AJ54+Specs!$R$2+Specs!$S$2+_xlfn.XLOOKUP($L54,Specs!A:A,Specs!V:V,0))*Specs!$N$2)+AM54,0)</f>
        <v>8</v>
      </c>
      <c r="AO54" s="40">
        <v>8</v>
      </c>
      <c r="AP54" s="30" t="s">
        <v>210</v>
      </c>
      <c r="AQ54" t="str">
        <f>_xlfn.XLOOKUP("What's Your Number?",[1]Sheet1!$1:$1,[1]Sheet1!54:54)</f>
        <v>954-830-6368</v>
      </c>
    </row>
    <row r="55" spans="1:44" x14ac:dyDescent="0.25">
      <c r="A55" s="42" t="str">
        <f>_xlfn.CONCAT(_xlfn.XLOOKUP("What's Your Name?",[1]Sheet1!$1:$1,[1]Sheet1!55:55)," | ",TEXT(_xlfn.XLOOKUP("Completion time",[1]Sheet1!$1:$1,[1]Sheet1!55:55),"dddd, mmm dd, yyyy hh:mm AM/PM"))</f>
        <v>Joany | Thursday, Oct 24, 2024 07:18 PM</v>
      </c>
      <c r="B55" s="76" t="str">
        <f>_xlfn.XLOOKUP("What's Your Email Address?",[1]Sheet1!$1:$1,[1]Sheet1!55:55)</f>
        <v>Joanymaxinau83@gmail.com</v>
      </c>
      <c r="C55" s="31" t="str">
        <f>IF(ISBLANK(_xlfn.XLOOKUP("Which Flavor? (Pint Price | Quart Price | Half Gallon Price) (NOTE: Prices may fluctuate based on market conditions)",[1]Sheet1!$1:$1,[1]Sheet1!55:55)),_xlfn.XLOOKUP("Name Your Ice Cream!",[1]Sheet1!$1:$1,[1]Sheet1!55:55),IF(ISNUMBER(FIND("(", _xlfn.XLOOKUP("Which Flavor? (Pint Price | Quart Price | Half Gallon Price) (NOTE: Prices may fluctuate based on market conditions)",[1]Sheet1!$1:$1,[1]Sheet1!55:55))), LEFT(_xlfn.XLOOKUP("Which Flavor? (Pint Price | Quart Price | Half Gallon Price) (NOTE: Prices may fluctuate based on market conditions)",[1]Sheet1!$1:$1,[1]Sheet1!55:55), FIND("(", _xlfn.XLOOKUP("Which Flavor? (Pint Price | Quart Price | Half Gallon Price) (NOTE: Prices may fluctuate based on market conditions)",[1]Sheet1!$1:$1,[1]Sheet1!55:55)) - 1), _xlfn.XLOOKUP("Which Flavor? (Pint Price | Quart Price | Half Gallon Price) (NOTE: Prices may fluctuate based on market conditions)",[1]Sheet1!$1:$1,[1]Sheet1!55:55)))</f>
        <v xml:space="preserve">Cookies and Cream </v>
      </c>
      <c r="D55" s="31">
        <f>IF(COUNTIF('Premade Flavors'!$A:$A, $C55) &gt; 0,IF(ISBLANK(_xlfn.XLOOKUP("What Ice Cream Base Do You Want To Change It To?",[1]Sheet1!$1:$1,[1]Sheet1!55:55)),_xlfn.XLOOKUP($C55,'Premade Flavors'!$A:$A,'Premade Flavors'!B:B),_xlfn.XLOOKUP("What Ice Cream Base Do You Want To Change It To?",[1]Sheet1!$1:$1,[1]Sheet1!55:55)),_xlfn.XLOOKUP(_xlfn.XLOOKUP("What Kind Of Ice Cream Base Do You Want? ",[1]Sheet1!$1:$1,[1]Sheet1!55:55),'Milk Types Nutrition Per Cup'!O:O,'Milk Types Nutrition Per Cup'!P:P,""))</f>
        <v>0</v>
      </c>
      <c r="E55" s="31">
        <f>IF(COUNTIF('Premade Flavors'!$A:$A, $C55) &gt; 0,IF(ISBLANK(_xlfn.XLOOKUP("What Ice Cream Base Do You Want To Change It To?",[1]Sheet1!$1:$1,[1]Sheet1!55:55)),_xlfn.XLOOKUP($C55,'Premade Flavors'!$A:$A,'Premade Flavors'!C:C),_xlfn.XLOOKUP("What Ice Cream Base Do You Want To Change It To?",[1]Sheet1!$1:$1,[1]Sheet1!55:55)),_xlfn.XLOOKUP(_xlfn.XLOOKUP("What Kind Of Ice Cream Base Do You Want? ",[1]Sheet1!$1:$1,[1]Sheet1!55:55),'Milk Types Nutrition Per Cup'!$O:$O,'Milk Types Nutrition Per Cup'!$Q:$Q,""))</f>
        <v>0</v>
      </c>
      <c r="F55" s="31">
        <f>IF(COUNTIF('Premade Flavors'!$A:$A, $C55) &gt; 0,_xlfn.XLOOKUP($C55,'Premade Flavors'!$A:$A,'Premade Flavors'!E:E),_xlfn.XLOOKUP("What's The First Flavor You Want? ",[1]Sheet1!$1:$1,[1]Sheet1!55:55))</f>
        <v>0</v>
      </c>
      <c r="G55" s="31" t="s">
        <v>522</v>
      </c>
      <c r="H55" s="31">
        <f>IF(COUNTIF('Premade Flavors'!$A:$A, $C55) &gt; 0,_xlfn.XLOOKUP($C55,'Premade Flavors'!$A:$A,'Premade Flavors'!G:G),_xlfn.XLOOKUP("What's The First Mix In That You Want? ",[1]Sheet1!$1:$1,[1]Sheet1!55:55))</f>
        <v>0</v>
      </c>
      <c r="I55" s="31" t="s">
        <v>267</v>
      </c>
      <c r="J55" s="31">
        <f>IF(COUNTIF('Premade Flavors'!$A:$A,$C55)&gt;0,IF(_xlfn.XLOOKUP("Should It Use Sugar or A Non-Sugar Sweetner?",[1]Sheet1!$1:$1,[1]Sheet1!55:55)="Sugar",_xlfn.XLOOKUP($C55,'Premade Flavors'!$A:$A,'Premade Flavors'!I:I),"Stevia"),_xlfn.XLOOKUP("What Sweetner Do You Want?",[1]Sheet1!$1:$1,[1]Sheet1!55:55))</f>
        <v>0</v>
      </c>
      <c r="K55" s="31"/>
      <c r="L55" s="77" t="str">
        <f>_xlfn.XLOOKUP("How Much Ice Cream Do You Want?",[1]Sheet1!$1:$1,[1]Sheet1!55:55)</f>
        <v>Quart</v>
      </c>
      <c r="M55" s="45">
        <f>IF(COUNTIF('Premade Flavors'!$A:$A, $C55) &gt; 0,_xlfn.XLOOKUP($C55,'Premade Flavors'!$A:$A,'Premade Flavors'!M:M),_xlfn.XLOOKUP("How Strong Do You Want The First Flavor?",[1]Sheet1!$1:$1,[1]Sheet1!55:55))</f>
        <v>0</v>
      </c>
      <c r="N55" s="45" t="s">
        <v>451</v>
      </c>
      <c r="O55" s="45">
        <f>IF(COUNTIF('Premade Flavors'!$A:$A, $C55) &gt; 0,_xlfn.XLOOKUP($C55,'Premade Flavors'!$A:$A,'Premade Flavors'!O:O),_xlfn.XLOOKUP("How Dense Should the Mix Ins Be?",[1]Sheet1!$1:$1,[1]Sheet1!55:55))</f>
        <v>0</v>
      </c>
      <c r="P55" s="45">
        <f>IF(COUNTIF('Premade Flavors'!$A:$A, $C55) &gt; 0,_xlfn.XLOOKUP($C55,'Premade Flavors'!$A:$A,'Premade Flavors'!P:P),_xlfn.XLOOKUP("How Much Of The First Sweetner? ",[1]Sheet1!$1:$1,[1]Sheet1!55:55))</f>
        <v>0</v>
      </c>
      <c r="Q55" s="45">
        <f>IF(COUNTIF('Premade Flavors'!$A:$A, $C55) &gt; 0,_xlfn.XLOOKUP($C55,'Premade Flavors'!$A:$A,'Premade Flavors'!Q:Q),[2]Sheet1!S55)</f>
        <v>0</v>
      </c>
      <c r="R55" s="30">
        <f>(_xlfn.XLOOKUP($L55,Specs!A:A,Specs!B:B,0)-(IF(ISNUMBER(SEARCH("Dulce De Leche", $G55)), 0, $T55))-(IF(ISNUMBER(SEARCH("Dulce De Leche", $F55)), 0, $U55))-(($V55/MAX(1,_xlfn.XLOOKUP($H55,'Solid Mix In Nutrition'!A:A,'Solid Mix In Nutrition'!I:I,1)))*240)-(($W55/MAX(1,_xlfn.XLOOKUP($I55,'Solid Mix In Nutrition'!A:A,'Solid Mix In Nutrition'!I:I,1)))*240))*0.66</f>
        <v>545.16000000000008</v>
      </c>
      <c r="S55" s="30">
        <f>(_xlfn.XLOOKUP($L55,Specs!A:A,Specs!B:B,0)-(IF(ISNUMBER(SEARCH("Dulce De Leche", $G55)), 0, $T55))-(IF(ISNUMBER(SEARCH("Dulce De Leche", $F55)), 0, $U55))-(($V55/MAX(1,_xlfn.XLOOKUP($H55,'Solid Mix In Nutrition'!A:A,'Solid Mix In Nutrition'!I:I,1)))*240)-(($W55/MAX(1,_xlfn.XLOOKUP($I55,'Solid Mix In Nutrition'!A:A,'Solid Mix In Nutrition'!I:I,1)))*240))*0.33</f>
        <v>272.58000000000004</v>
      </c>
      <c r="T55" s="30">
        <f>_xlfn.XLOOKUP($M55,Specs!$D:$D,Specs!$E:$E,0)*15*_xlfn.XLOOKUP($L55,Specs!$A:$A,Specs!$C:$C,0)</f>
        <v>0</v>
      </c>
      <c r="U55" s="30">
        <f>_xlfn.XLOOKUP($N55,Specs!$D:$D,Specs!$E:$E,0)*15*_xlfn.XLOOKUP($L55,Specs!$A:$A,Specs!$C:$C,0)</f>
        <v>120</v>
      </c>
      <c r="V55" s="30">
        <f>( ((_xlfn.XLOOKUP($O55,Specs!$H:$H,Specs!$I:$I,0)*_xlfn.XLOOKUP($L55,Specs!$A:$A,Specs!$B:$B,0))/240) *_xlfn.XLOOKUP($H55,'Solid Mix In Nutrition'!A:A,'Solid Mix In Nutrition'!I:I,0)) *IF(AND(NOT($I55=0), COUNTA($I55)),0.5,1)</f>
        <v>0</v>
      </c>
      <c r="W55" s="30">
        <f>( ((_xlfn.XLOOKUP($O55,Specs!$H:$H,Specs!$I:$I,0)*_xlfn.XLOOKUP($L55,Specs!$A:$A,Specs!$B:$B,0))/240) *_xlfn.XLOOKUP($I55,'Solid Mix In Nutrition'!A:A,'Solid Mix In Nutrition'!I:I,0)) *IF(AND(NOT($I55=0), COUNTA($I55)),0.5,0)</f>
        <v>0</v>
      </c>
      <c r="X55" s="30">
        <f>_xlfn.XLOOKUP($P55,Specs!F:F,Specs!G:G,0)*_xlfn.XLOOKUP($J55,'Sweetener Mix In Nutrition'!A:A,'Sweetener Mix In Nutrition'!I:I,0)*_xlfn.XLOOKUP($L55,Specs!A:A,Specs!C:C,0)</f>
        <v>0</v>
      </c>
      <c r="Y55" s="30">
        <f>_xlfn.XLOOKUP($Q55,Specs!F:F,Specs!G:G,0)*_xlfn.XLOOKUP($K55,'Sweetener Mix In Nutrition'!A:A,'Sweetener Mix In Nutrition'!I:I,0)*_xlfn.XLOOKUP($L55,Specs!A:A,Specs!C:C,0)</f>
        <v>0</v>
      </c>
      <c r="Z55" s="34">
        <f t="shared" si="2"/>
        <v>0.98128800000000005</v>
      </c>
      <c r="AA55" s="35">
        <f t="shared" si="3"/>
        <v>0.25</v>
      </c>
      <c r="AB55" s="36">
        <f>(($R55 / 240) * _xlfn.XLOOKUP($D55,'Milk Types Nutrition Per Cup'!A:A,'Milk Types Nutrition Per Cup'!B:B,0)) +(($S55 / 240)  * _xlfn.XLOOKUP($E55,'Milk Types Nutrition Per Cup'!A:A,'Milk Types Nutrition Per Cup'!B:B,0)) +(($T55 / 15)  * _xlfn.XLOOKUP($F55,'Liquid Mix In Nutrition'!A:A,'Liquid Mix In Nutrition'!B:B,0))+(($U55 / 15)  * _xlfn.XLOOKUP($G55,'Liquid Mix In Nutrition'!A:A,'Liquid Mix In Nutrition'!B:B,0))+(($V55 /MAX(1, _xlfn.XLOOKUP($H55,'Solid Mix In Nutrition'!A:A,'Solid Mix In Nutrition'!I:I,1)))  * _xlfn.XLOOKUP($H55,'Solid Mix In Nutrition'!A:A,'Solid Mix In Nutrition'!B:B,0))+(($W55 / MAX(1, _xlfn.XLOOKUP($I55,'Solid Mix In Nutrition'!A:A,'Solid Mix In Nutrition'!I:I,1))))+(($X55 / 100)  * _xlfn.XLOOKUP($J55,'Sweetener Mix In Nutrition'!A:A,'Sweetener Mix In Nutrition'!B:B,0))+(($Y55 / 100)  * _xlfn.XLOOKUP($K55,'Sweetener Mix In Nutrition'!A:A,'Sweetener Mix In Nutrition'!B:B,0))</f>
        <v>0</v>
      </c>
      <c r="AC55" s="36">
        <f>(($R55 / 240) * _xlfn.XLOOKUP($D55,'Milk Types Nutrition Per Cup'!A:A,'Milk Types Nutrition Per Cup'!E:E,0)) +(($S55 / 240)  * _xlfn.XLOOKUP($E55,'Milk Types Nutrition Per Cup'!A:A,'Milk Types Nutrition Per Cup'!E:E,0)) +(($T55 / 15)  * _xlfn.XLOOKUP($F55,'Liquid Mix In Nutrition'!A:A,'Liquid Mix In Nutrition'!E:E,0)) +(($U55 / 15)  * _xlfn.XLOOKUP($G55,'Liquid Mix In Nutrition'!A:A,'Liquid Mix In Nutrition'!E:E,0))+(($V55 / MAX(1, _xlfn.XLOOKUP($H55,'Solid Mix In Nutrition'!A:A,'Solid Mix In Nutrition'!I:I,1)))  * _xlfn.XLOOKUP($H55,'Solid Mix In Nutrition'!A:A,'Solid Mix In Nutrition'!E:E,0))+(($W55 / MAX(1, _xlfn.XLOOKUP($I55,'Solid Mix In Nutrition'!A:A,'Solid Mix In Nutrition'!I:I,1)))  * _xlfn.XLOOKUP($I55,'Solid Mix In Nutrition'!A:A,'Solid Mix In Nutrition'!G:G,0))+(($X55 / 100)  * _xlfn.XLOOKUP($J55,'Sweetener Mix In Nutrition'!A:A,'Sweetener Mix In Nutrition'!E:E,0))+(($Y55 / 100)  * _xlfn.XLOOKUP($K55,'Sweetener Mix In Nutrition'!A:A,'Sweetener Mix In Nutrition'!E:E,0))</f>
        <v>0</v>
      </c>
      <c r="AD55" s="36">
        <f>(($R55 / 240) * _xlfn.XLOOKUP($D55,'Milk Types Nutrition Per Cup'!A:A,'Milk Types Nutrition Per Cup'!E:E,0)) +(($S55 / 240)  * _xlfn.XLOOKUP($E55,'Milk Types Nutrition Per Cup'!A:A,'Milk Types Nutrition Per Cup'!E:E,0)) +(($T55 / 15)  * _xlfn.XLOOKUP($F55,'Liquid Mix In Nutrition'!A:A,'Liquid Mix In Nutrition'!E:E,0)) +(($U55 / 15)  * _xlfn.XLOOKUP($G55,'Liquid Mix In Nutrition'!A:A,'Liquid Mix In Nutrition'!E:E,0))+(($X55 / 100)  * _xlfn.XLOOKUP($J55,'Sweetener Mix In Nutrition'!A:A,'Sweetener Mix In Nutrition'!E:E,0))+(($Y55 / 100)  * _xlfn.XLOOKUP($K55,'Sweetener Mix In Nutrition'!A:A,'Sweetener Mix In Nutrition'!E:E,0))</f>
        <v>0</v>
      </c>
      <c r="AE55" s="37">
        <f>(($R55 / 240) * _xlfn.XLOOKUP($D55,'Milk Types Nutrition Per Cup'!A:A,'Milk Types Nutrition Per Cup'!C:C,0)) +(($S55 / 240)  * _xlfn.XLOOKUP($E55,'Milk Types Nutrition Per Cup'!A:A,'Milk Types Nutrition Per Cup'!C:C,0)) +(($T55 / 15)  * _xlfn.XLOOKUP($F55,'Liquid Mix In Nutrition'!A:A,'Liquid Mix In Nutrition'!C:C,0))+(($U55 / 15)  * _xlfn.XLOOKUP($G55,'Liquid Mix In Nutrition'!A:A,'Liquid Mix In Nutrition'!C:C,0))+(($V55 / MAX(1, _xlfn.XLOOKUP($H55,'Solid Mix In Nutrition'!A:A,'Solid Mix In Nutrition'!I:I,1)))  * _xlfn.XLOOKUP($H55,'Solid Mix In Nutrition'!A:A,'Solid Mix In Nutrition'!C:C,0))+(($W55 / MAX(1, _xlfn.XLOOKUP($I55,'Solid Mix In Nutrition'!A:A,'Solid Mix In Nutrition'!I:I,1)))  * _xlfn.XLOOKUP($I55,'Solid Mix In Nutrition'!A:A,'Solid Mix In Nutrition'!C:C,0))+(($X55 / 100)  * _xlfn.XLOOKUP($J55,'Sweetener Mix In Nutrition'!A:A,'Sweetener Mix In Nutrition'!C:C,0))+(($Y55 / 100)  * _xlfn.XLOOKUP($K55,'Sweetener Mix In Nutrition'!A:A,'Sweetener Mix In Nutrition'!C:C,0))</f>
        <v>0</v>
      </c>
      <c r="AF55" s="38">
        <f>$AE55 / (_xlfn.XLOOKUP($L55,Specs!A:A,Specs!B:B,0))</f>
        <v>0</v>
      </c>
      <c r="AG55" s="37">
        <f>60* ($AB55 / _xlfn.XLOOKUP($L55,Specs!A:A,Specs!B:B,0))</f>
        <v>0</v>
      </c>
      <c r="AH55" s="37">
        <f>60* (AC55 / _xlfn.XLOOKUP($L55,Specs!$A:$A,Specs!$B:$B,0))</f>
        <v>0</v>
      </c>
      <c r="AI55" s="37">
        <f>60* (AE55 / _xlfn.XLOOKUP($L55,Specs!$A:$A,Specs!$B:$B,0))</f>
        <v>0</v>
      </c>
      <c r="AJ55" s="39">
        <f>(($R55 / 240) * _xlfn.XLOOKUP($D55,'Milk Types Nutrition Per Cup'!A:A,'Milk Types Nutrition Per Cup'!F:F,0)) +(($S55 / 240)  * _xlfn.XLOOKUP($E55,'Milk Types Nutrition Per Cup'!A:A,'Milk Types Nutrition Per Cup'!F:F,0)) +(($T55 / 15)  * _xlfn.XLOOKUP($F55,'Liquid Mix In Nutrition'!A:A,'Liquid Mix In Nutrition'!F:F,0))+(($U55 / 15)  * _xlfn.XLOOKUP($G55,'Liquid Mix In Nutrition'!A:A,'Liquid Mix In Nutrition'!F:F,0))+(($V55 / MAX(1, _xlfn.XLOOKUP($H55,'Solid Mix In Nutrition'!A:A,'Solid Mix In Nutrition'!I:I,1)))  * _xlfn.XLOOKUP($H55,'Solid Mix In Nutrition'!A:A,'Solid Mix In Nutrition'!F:F,0))+(($W55 / MAX(1, _xlfn.XLOOKUP($I55,'Solid Mix In Nutrition'!A:A,'Solid Mix In Nutrition'!I:I,1)))  * _xlfn.XLOOKUP($I55,'Solid Mix In Nutrition'!A:A,'Solid Mix In Nutrition'!F:F,0))+(($X55 / 100)  * _xlfn.XLOOKUP($J55,'Sweetener Mix In Nutrition'!A:A,'Sweetener Mix In Nutrition'!F:F,0))+(($Y55 / 100)  * _xlfn.XLOOKUP($K55,'Sweetener Mix In Nutrition'!A:A,'Sweetener Mix In Nutrition'!F:F,0))</f>
        <v>0</v>
      </c>
      <c r="AK55" s="46" t="s">
        <v>638</v>
      </c>
      <c r="AL55" s="47"/>
      <c r="AM55" s="40">
        <f>IF(ISERROR(((AL55/Specs!$L$3)*Specs!$L$2)*2),0,ROUNDUP((((AL55/Specs!$L$3)*Specs!$L$2)*2),0))</f>
        <v>0</v>
      </c>
      <c r="AN55" s="48">
        <f>ROUNDUP(((AJ55+Specs!$R$2+Specs!$S$2+_xlfn.XLOOKUP($L55,Specs!A:A,Specs!V:V,0))*Specs!$N$2)+AM55,0)</f>
        <v>3</v>
      </c>
      <c r="AO55" s="40">
        <v>8</v>
      </c>
      <c r="AP55" s="30" t="s">
        <v>210</v>
      </c>
      <c r="AQ55" t="str">
        <f>_xlfn.XLOOKUP("What's Your Number?",[1]Sheet1!$1:$1,[1]Sheet1!55:55)</f>
        <v>954-830-6368</v>
      </c>
    </row>
    <row r="56" spans="1:44" x14ac:dyDescent="0.25">
      <c r="A56" s="42" t="str">
        <f>_xlfn.CONCAT(_xlfn.XLOOKUP("What's Your Name?",[1]Sheet1!$1:$1,[1]Sheet1!56:56)," | ",TEXT(_xlfn.XLOOKUP("Completion time",[1]Sheet1!$1:$1,[1]Sheet1!56:56),"dddd, mmm dd, yyyy hh:mm AM/PM"))</f>
        <v>Rosy  | Tuesday, Oct 29, 2024 07:36 AM</v>
      </c>
      <c r="B56" s="76" t="str">
        <f>_xlfn.XLOOKUP("What's Your Email Address?",[1]Sheet1!$1:$1,[1]Sheet1!56:56)</f>
        <v>micbro14@gmail.com</v>
      </c>
      <c r="C56" s="31" t="str">
        <f>IF(ISBLANK(_xlfn.XLOOKUP("Which Flavor? (Pint Price | Quart Price | Half Gallon Price) (NOTE: Prices may fluctuate based on market conditions)",[1]Sheet1!$1:$1,[1]Sheet1!56:56)),_xlfn.XLOOKUP("Name Your Ice Cream!",[1]Sheet1!$1:$1,[1]Sheet1!56:56),IF(ISNUMBER(FIND("(", _xlfn.XLOOKUP("Which Flavor? (Pint Price | Quart Price | Half Gallon Price) (NOTE: Prices may fluctuate based on market conditions)",[1]Sheet1!$1:$1,[1]Sheet1!56:56))), LEFT(_xlfn.XLOOKUP("Which Flavor? (Pint Price | Quart Price | Half Gallon Price) (NOTE: Prices may fluctuate based on market conditions)",[1]Sheet1!$1:$1,[1]Sheet1!56:56), FIND("(", _xlfn.XLOOKUP("Which Flavor? (Pint Price | Quart Price | Half Gallon Price) (NOTE: Prices may fluctuate based on market conditions)",[1]Sheet1!$1:$1,[1]Sheet1!56:56)) - 1), _xlfn.XLOOKUP("Which Flavor? (Pint Price | Quart Price | Half Gallon Price) (NOTE: Prices may fluctuate based on market conditions)",[1]Sheet1!$1:$1,[1]Sheet1!56:56)))</f>
        <v>Coffee Gelato</v>
      </c>
      <c r="D56" s="31" t="str">
        <f>IF(COUNTIF('Premade Flavors'!$A:$A, $C56) &gt; 0,IF(ISBLANK(_xlfn.XLOOKUP("What Ice Cream Base Do You Want To Change It To?",[1]Sheet1!$1:$1,[1]Sheet1!56:56)),_xlfn.XLOOKUP($C56,'Premade Flavors'!$A:$A,'Premade Flavors'!B:B),_xlfn.XLOOKUP("What Ice Cream Base Do You Want To Change It To?",[1]Sheet1!$1:$1,[1]Sheet1!56:56)),_xlfn.XLOOKUP(_xlfn.XLOOKUP("What Kind Of Ice Cream Base Do You Want? ",[1]Sheet1!$1:$1,[1]Sheet1!56:56),'Milk Types Nutrition Per Cup'!O:O,'Milk Types Nutrition Per Cup'!P:P,""))</f>
        <v>Heavy Cream</v>
      </c>
      <c r="E56" s="31" t="str">
        <f>IF(COUNTIF('Premade Flavors'!$A:$A, $C56) &gt; 0,IF(ISBLANK(_xlfn.XLOOKUP("What Ice Cream Base Do You Want To Change It To?",[1]Sheet1!$1:$1,[1]Sheet1!56:56)),_xlfn.XLOOKUP($C56,'Premade Flavors'!$A:$A,'Premade Flavors'!C:C),_xlfn.XLOOKUP("What Ice Cream Base Do You Want To Change It To?",[1]Sheet1!$1:$1,[1]Sheet1!56:56)),_xlfn.XLOOKUP(_xlfn.XLOOKUP("What Kind Of Ice Cream Base Do You Want? ",[1]Sheet1!$1:$1,[1]Sheet1!56:56),'Milk Types Nutrition Per Cup'!$O:$O,'Milk Types Nutrition Per Cup'!$Q:$Q,""))</f>
        <v>Half and Half</v>
      </c>
      <c r="F56" s="31" t="str">
        <f>IF(COUNTIF('Premade Flavors'!$A:$A, $C56) &gt; 0,_xlfn.XLOOKUP($C56,'Premade Flavors'!$A:$A,'Premade Flavors'!E:E),_xlfn.XLOOKUP("What's The First Flavor You Want? ",[1]Sheet1!$1:$1,[1]Sheet1!56:56))</f>
        <v>Instant Coffee (Jamaican Moutain Peak)</v>
      </c>
      <c r="G56" s="31" t="s">
        <v>96</v>
      </c>
      <c r="H56" s="31">
        <f>IF(COUNTIF('Premade Flavors'!$A:$A, $C56) &gt; 0,_xlfn.XLOOKUP($C56,'Premade Flavors'!$A:$A,'Premade Flavors'!G:G),_xlfn.XLOOKUP("What's The First Mix In That You Want? ",[1]Sheet1!$1:$1,[1]Sheet1!56:56))</f>
        <v>0</v>
      </c>
      <c r="I56" s="31">
        <f>IF(COUNTIF('Premade Flavors'!$A:$A, $C56) &gt; 0,_xlfn.XLOOKUP($C56,'Premade Flavors'!$A:$A,'Premade Flavors'!H:H),IF([2]Sheet1!W56= 0,,[2]Sheet1!W56))</f>
        <v>0</v>
      </c>
      <c r="J56" s="31" t="str">
        <f>IF(COUNTIF('Premade Flavors'!$A:$A,$C56)&gt;0,IF(_xlfn.XLOOKUP("Should It Use Sugar or A Non-Sugar Sweetner?",[1]Sheet1!$1:$1,[1]Sheet1!56:56)="Sugar",_xlfn.XLOOKUP($C56,'Premade Flavors'!$A:$A,'Premade Flavors'!I:I),"Stevia"),_xlfn.XLOOKUP("What Sweetner Do You Want?",[1]Sheet1!$1:$1,[1]Sheet1!56:56))</f>
        <v>Sugar</v>
      </c>
      <c r="K56" s="31"/>
      <c r="L56" s="77" t="str">
        <f>_xlfn.XLOOKUP("How Much Ice Cream Do You Want?",[1]Sheet1!$1:$1,[1]Sheet1!56:56)</f>
        <v>Pint</v>
      </c>
      <c r="M56" s="45" t="str">
        <f>IF(COUNTIF('Premade Flavors'!$A:$A, $C56) &gt; 0,_xlfn.XLOOKUP($C56,'Premade Flavors'!$A:$A,'Premade Flavors'!M:M),_xlfn.XLOOKUP("How Strong Do You Want The First Flavor?",[1]Sheet1!$1:$1,[1]Sheet1!56:56))</f>
        <v>Light (For pastes and extracts)</v>
      </c>
      <c r="N56" s="45" t="s">
        <v>452</v>
      </c>
      <c r="O56" s="45">
        <f>IF(COUNTIF('Premade Flavors'!$A:$A, $C56) &gt; 0,_xlfn.XLOOKUP($C56,'Premade Flavors'!$A:$A,'Premade Flavors'!O:O),_xlfn.XLOOKUP("How Dense Should the Mix Ins Be?",[1]Sheet1!$1:$1,[1]Sheet1!56:56))</f>
        <v>0</v>
      </c>
      <c r="P56" s="45" t="str">
        <f>IF(COUNTIF('Premade Flavors'!$A:$A, $C56) &gt; 0,_xlfn.XLOOKUP($C56,'Premade Flavors'!$A:$A,'Premade Flavors'!P:P),_xlfn.XLOOKUP("How Much Of The First Sweetner? ",[1]Sheet1!$1:$1,[1]Sheet1!56:56))</f>
        <v>1:1 Sweet</v>
      </c>
      <c r="Q56" s="45">
        <f>IF(COUNTIF('Premade Flavors'!$A:$A, $C56) &gt; 0,_xlfn.XLOOKUP($C56,'Premade Flavors'!$A:$A,'Premade Flavors'!Q:Q),[2]Sheet1!S56)</f>
        <v>0</v>
      </c>
      <c r="R56" s="30">
        <f>(_xlfn.XLOOKUP($L56,Specs!A:A,Specs!B:B,0)-(IF(ISNUMBER(SEARCH("Dulce De Leche", $G56)), 0, $T56))-(IF(ISNUMBER(SEARCH("Dulce De Leche", $F56)), 0, $U56))-(($V56/MAX(1,_xlfn.XLOOKUP($H56,'Solid Mix In Nutrition'!A:A,'Solid Mix In Nutrition'!I:I,1)))*240)-(($W56/MAX(1,_xlfn.XLOOKUP($I56,'Solid Mix In Nutrition'!A:A,'Solid Mix In Nutrition'!I:I,1)))*240))*0.66</f>
        <v>277.53000000000003</v>
      </c>
      <c r="S56" s="30">
        <f>(_xlfn.XLOOKUP($L56,Specs!A:A,Specs!B:B,0)-(IF(ISNUMBER(SEARCH("Dulce De Leche", $G56)), 0, $T56))-(IF(ISNUMBER(SEARCH("Dulce De Leche", $F56)), 0, $U56))-(($V56/MAX(1,_xlfn.XLOOKUP($H56,'Solid Mix In Nutrition'!A:A,'Solid Mix In Nutrition'!I:I,1)))*240)-(($W56/MAX(1,_xlfn.XLOOKUP($I56,'Solid Mix In Nutrition'!A:A,'Solid Mix In Nutrition'!I:I,1)))*240))*0.33</f>
        <v>138.76500000000001</v>
      </c>
      <c r="T56" s="30">
        <f>_xlfn.XLOOKUP($M56,Specs!$D:$D,Specs!$E:$E,0)*15*_xlfn.XLOOKUP($L56,Specs!$A:$A,Specs!$C:$C,0)</f>
        <v>7.5</v>
      </c>
      <c r="U56" s="30">
        <f>_xlfn.XLOOKUP($N56,Specs!$D:$D,Specs!$E:$E,0)*15*_xlfn.XLOOKUP($L56,Specs!$A:$A,Specs!$C:$C,0)</f>
        <v>45</v>
      </c>
      <c r="V56" s="30">
        <f>( ((_xlfn.XLOOKUP($O56,Specs!$H:$H,Specs!$I:$I,0)*_xlfn.XLOOKUP($L56,Specs!$A:$A,Specs!$B:$B,0))/240) *_xlfn.XLOOKUP($H56,'Solid Mix In Nutrition'!A:A,'Solid Mix In Nutrition'!I:I,0)) *IF(AND(NOT($I56=0), COUNTA($I56)),0.5,1)</f>
        <v>0</v>
      </c>
      <c r="W56" s="30">
        <f>( ((_xlfn.XLOOKUP($O56,Specs!$H:$H,Specs!$I:$I,0)*_xlfn.XLOOKUP($L56,Specs!$A:$A,Specs!$B:$B,0))/240) *_xlfn.XLOOKUP($I56,'Solid Mix In Nutrition'!A:A,'Solid Mix In Nutrition'!I:I,0)) *IF(AND(NOT($I56=0), COUNTA($I56)),0.5,0)</f>
        <v>0</v>
      </c>
      <c r="X56" s="30">
        <f>_xlfn.XLOOKUP($P56,Specs!F:F,Specs!G:G,0)*_xlfn.XLOOKUP($J56,'Sweetener Mix In Nutrition'!A:A,'Sweetener Mix In Nutrition'!I:I,0)*_xlfn.XLOOKUP($L56,Specs!A:A,Specs!C:C,0)</f>
        <v>50</v>
      </c>
      <c r="Y56" s="30">
        <f>_xlfn.XLOOKUP($Q56,Specs!F:F,Specs!G:G,0)*_xlfn.XLOOKUP($K56,'Sweetener Mix In Nutrition'!A:A,'Sweetener Mix In Nutrition'!I:I,0)*_xlfn.XLOOKUP($L56,Specs!A:A,Specs!C:C,0)</f>
        <v>0</v>
      </c>
      <c r="Z56" s="34">
        <f t="shared" si="2"/>
        <v>0.568554</v>
      </c>
      <c r="AA56" s="35">
        <f t="shared" si="3"/>
        <v>0.25</v>
      </c>
      <c r="AB56" s="36">
        <f>(($R56 / 240) * _xlfn.XLOOKUP($D56,'Milk Types Nutrition Per Cup'!A:A,'Milk Types Nutrition Per Cup'!B:B,0)) +(($S56 / 240)  * _xlfn.XLOOKUP($E56,'Milk Types Nutrition Per Cup'!A:A,'Milk Types Nutrition Per Cup'!B:B,0)) +(($T56 / 15)  * _xlfn.XLOOKUP($F56,'Liquid Mix In Nutrition'!A:A,'Liquid Mix In Nutrition'!B:B,0))+(($U56 / 15)  * _xlfn.XLOOKUP($G56,'Liquid Mix In Nutrition'!A:A,'Liquid Mix In Nutrition'!B:B,0))+(($V56 /MAX(1, _xlfn.XLOOKUP($H56,'Solid Mix In Nutrition'!A:A,'Solid Mix In Nutrition'!I:I,1)))  * _xlfn.XLOOKUP($H56,'Solid Mix In Nutrition'!A:A,'Solid Mix In Nutrition'!B:B,0))+(($W56 / MAX(1, _xlfn.XLOOKUP($I56,'Solid Mix In Nutrition'!A:A,'Solid Mix In Nutrition'!I:I,1))))+(($X56 / 100)  * _xlfn.XLOOKUP($J56,'Sweetener Mix In Nutrition'!A:A,'Sweetener Mix In Nutrition'!B:B,0))+(($Y56 / 100)  * _xlfn.XLOOKUP($K56,'Sweetener Mix In Nutrition'!A:A,'Sweetener Mix In Nutrition'!B:B,0))</f>
        <v>1468.7700000000002</v>
      </c>
      <c r="AC56" s="36">
        <f>(($R56 / 240) * _xlfn.XLOOKUP($D56,'Milk Types Nutrition Per Cup'!A:A,'Milk Types Nutrition Per Cup'!E:E,0)) +(($S56 / 240)  * _xlfn.XLOOKUP($E56,'Milk Types Nutrition Per Cup'!A:A,'Milk Types Nutrition Per Cup'!E:E,0)) +(($T56 / 15)  * _xlfn.XLOOKUP($F56,'Liquid Mix In Nutrition'!A:A,'Liquid Mix In Nutrition'!E:E,0)) +(($U56 / 15)  * _xlfn.XLOOKUP($G56,'Liquid Mix In Nutrition'!A:A,'Liquid Mix In Nutrition'!E:E,0))+(($V56 / MAX(1, _xlfn.XLOOKUP($H56,'Solid Mix In Nutrition'!A:A,'Solid Mix In Nutrition'!I:I,1)))  * _xlfn.XLOOKUP($H56,'Solid Mix In Nutrition'!A:A,'Solid Mix In Nutrition'!E:E,0))+(($W56 / MAX(1, _xlfn.XLOOKUP($I56,'Solid Mix In Nutrition'!A:A,'Solid Mix In Nutrition'!I:I,1)))  * _xlfn.XLOOKUP($I56,'Solid Mix In Nutrition'!A:A,'Solid Mix In Nutrition'!G:G,0))+(($X56 / 100)  * _xlfn.XLOOKUP($J56,'Sweetener Mix In Nutrition'!A:A,'Sweetener Mix In Nutrition'!E:E,0))+(($Y56 / 100)  * _xlfn.XLOOKUP($K56,'Sweetener Mix In Nutrition'!A:A,'Sweetener Mix In Nutrition'!E:E,0))</f>
        <v>54.9255</v>
      </c>
      <c r="AD56" s="36">
        <f>(($R56 / 240) * _xlfn.XLOOKUP($D56,'Milk Types Nutrition Per Cup'!A:A,'Milk Types Nutrition Per Cup'!E:E,0)) +(($S56 / 240)  * _xlfn.XLOOKUP($E56,'Milk Types Nutrition Per Cup'!A:A,'Milk Types Nutrition Per Cup'!E:E,0)) +(($T56 / 15)  * _xlfn.XLOOKUP($F56,'Liquid Mix In Nutrition'!A:A,'Liquid Mix In Nutrition'!E:E,0)) +(($U56 / 15)  * _xlfn.XLOOKUP($G56,'Liquid Mix In Nutrition'!A:A,'Liquid Mix In Nutrition'!E:E,0))+(($X56 / 100)  * _xlfn.XLOOKUP($J56,'Sweetener Mix In Nutrition'!A:A,'Sweetener Mix In Nutrition'!E:E,0))+(($Y56 / 100)  * _xlfn.XLOOKUP($K56,'Sweetener Mix In Nutrition'!A:A,'Sweetener Mix In Nutrition'!E:E,0))</f>
        <v>54.9255</v>
      </c>
      <c r="AE56" s="37">
        <f>(($R56 / 240) * _xlfn.XLOOKUP($D56,'Milk Types Nutrition Per Cup'!A:A,'Milk Types Nutrition Per Cup'!C:C,0)) +(($S56 / 240)  * _xlfn.XLOOKUP($E56,'Milk Types Nutrition Per Cup'!A:A,'Milk Types Nutrition Per Cup'!C:C,0)) +(($T56 / 15)  * _xlfn.XLOOKUP($F56,'Liquid Mix In Nutrition'!A:A,'Liquid Mix In Nutrition'!C:C,0))+(($U56 / 15)  * _xlfn.XLOOKUP($G56,'Liquid Mix In Nutrition'!A:A,'Liquid Mix In Nutrition'!C:C,0))+(($V56 / MAX(1, _xlfn.XLOOKUP($H56,'Solid Mix In Nutrition'!A:A,'Solid Mix In Nutrition'!I:I,1)))  * _xlfn.XLOOKUP($H56,'Solid Mix In Nutrition'!A:A,'Solid Mix In Nutrition'!C:C,0))+(($W56 / MAX(1, _xlfn.XLOOKUP($I56,'Solid Mix In Nutrition'!A:A,'Solid Mix In Nutrition'!I:I,1)))  * _xlfn.XLOOKUP($I56,'Solid Mix In Nutrition'!A:A,'Solid Mix In Nutrition'!C:C,0))+(($X56 / 100)  * _xlfn.XLOOKUP($J56,'Sweetener Mix In Nutrition'!A:A,'Sweetener Mix In Nutrition'!C:C,0))+(($Y56 / 100)  * _xlfn.XLOOKUP($K56,'Sweetener Mix In Nutrition'!A:A,'Sweetener Mix In Nutrition'!C:C,0))</f>
        <v>140.73125000000002</v>
      </c>
      <c r="AF56" s="38">
        <f>$AE56 / (_xlfn.XLOOKUP($L56,Specs!A:A,Specs!B:B,0))</f>
        <v>0.29752906976744192</v>
      </c>
      <c r="AG56" s="37">
        <f>60* ($AB56 / _xlfn.XLOOKUP($L56,Specs!A:A,Specs!B:B,0))</f>
        <v>186.31331923890065</v>
      </c>
      <c r="AH56" s="37">
        <f>60* (AC56 / _xlfn.XLOOKUP($L56,Specs!$A:$A,Specs!$B:$B,0))</f>
        <v>6.9672938689217752</v>
      </c>
      <c r="AI56" s="37">
        <f>60* (AE56 / _xlfn.XLOOKUP($L56,Specs!$A:$A,Specs!$B:$B,0))</f>
        <v>17.851744186046517</v>
      </c>
      <c r="AJ56" s="39">
        <f>(($R56 / 240) * _xlfn.XLOOKUP($D56,'Milk Types Nutrition Per Cup'!A:A,'Milk Types Nutrition Per Cup'!F:F,0)) +(($S56 / 240)  * _xlfn.XLOOKUP($E56,'Milk Types Nutrition Per Cup'!A:A,'Milk Types Nutrition Per Cup'!F:F,0)) +(($T56 / 15)  * _xlfn.XLOOKUP($F56,'Liquid Mix In Nutrition'!A:A,'Liquid Mix In Nutrition'!F:F,0))+(($U56 / 15)  * _xlfn.XLOOKUP($G56,'Liquid Mix In Nutrition'!A:A,'Liquid Mix In Nutrition'!F:F,0))+(($V56 / MAX(1, _xlfn.XLOOKUP($H56,'Solid Mix In Nutrition'!A:A,'Solid Mix In Nutrition'!I:I,1)))  * _xlfn.XLOOKUP($H56,'Solid Mix In Nutrition'!A:A,'Solid Mix In Nutrition'!F:F,0))+(($W56 / MAX(1, _xlfn.XLOOKUP($I56,'Solid Mix In Nutrition'!A:A,'Solid Mix In Nutrition'!I:I,1)))  * _xlfn.XLOOKUP($I56,'Solid Mix In Nutrition'!A:A,'Solid Mix In Nutrition'!F:F,0))+(($X56 / 100)  * _xlfn.XLOOKUP($J56,'Sweetener Mix In Nutrition'!A:A,'Sweetener Mix In Nutrition'!F:F,0))+(($Y56 / 100)  * _xlfn.XLOOKUP($K56,'Sweetener Mix In Nutrition'!A:A,'Sweetener Mix In Nutrition'!F:F,0))</f>
        <v>3.3204614317798664</v>
      </c>
      <c r="AK56" s="46">
        <f>[2]Sheet1!AG56</f>
        <v>0</v>
      </c>
      <c r="AL56" s="47"/>
      <c r="AM56" s="40">
        <f>IF(ISERROR(((AL56/Specs!$L$3)*Specs!$L$2)*2),0,ROUNDUP((((AL56/Specs!$L$3)*Specs!$L$2)*2),0))</f>
        <v>0</v>
      </c>
      <c r="AN56" s="48">
        <f>ROUNDUP(((AJ56+Specs!$R$2+Specs!$S$2+_xlfn.XLOOKUP($L56,Specs!A:A,Specs!V:V,0))*Specs!$N$2)+AM56,0)</f>
        <v>8</v>
      </c>
      <c r="AO56" s="40">
        <f>ROUNDUP(((AJ56+Specs!$R$2+Specs!$S$2+_xlfn.XLOOKUP($L56,Specs!A:A,Specs!V:V,0))*Specs!$N$2),0)</f>
        <v>8</v>
      </c>
      <c r="AP56" s="30" t="s">
        <v>210</v>
      </c>
      <c r="AQ56" t="str">
        <f>_xlfn.XLOOKUP("What's Your Number?",[1]Sheet1!$1:$1,[1]Sheet1!56:56)</f>
        <v>954-483-8278</v>
      </c>
    </row>
    <row r="57" spans="1:44" x14ac:dyDescent="0.25">
      <c r="A57" s="42" t="str">
        <f>_xlfn.CONCAT(_xlfn.XLOOKUP("What's Your Name?",[1]Sheet1!$1:$1,[1]Sheet1!57:57)," | ",TEXT(_xlfn.XLOOKUP("Completion time",[1]Sheet1!$1:$1,[1]Sheet1!57:57),"dddd, mmm dd, yyyy hh:mm AM/PM"))</f>
        <v>John Maxwell  | Tuesday, Oct 29, 2024 07:37 AM</v>
      </c>
      <c r="B57" s="76" t="str">
        <f>_xlfn.XLOOKUP("What's Your Email Address?",[1]Sheet1!$1:$1,[1]Sheet1!57:57)</f>
        <v>micbro14@gmail.com</v>
      </c>
      <c r="C57" s="31" t="str">
        <f>IF(ISBLANK(_xlfn.XLOOKUP("Which Flavor? (Pint Price | Quart Price | Half Gallon Price) (NOTE: Prices may fluctuate based on market conditions)",[1]Sheet1!$1:$1,[1]Sheet1!57:57)),_xlfn.XLOOKUP("Name Your Ice Cream!",[1]Sheet1!$1:$1,[1]Sheet1!57:57),IF(ISNUMBER(FIND("(", _xlfn.XLOOKUP("Which Flavor? (Pint Price | Quart Price | Half Gallon Price) (NOTE: Prices may fluctuate based on market conditions)",[1]Sheet1!$1:$1,[1]Sheet1!57:57))), LEFT(_xlfn.XLOOKUP("Which Flavor? (Pint Price | Quart Price | Half Gallon Price) (NOTE: Prices may fluctuate based on market conditions)",[1]Sheet1!$1:$1,[1]Sheet1!57:57), FIND("(", _xlfn.XLOOKUP("Which Flavor? (Pint Price | Quart Price | Half Gallon Price) (NOTE: Prices may fluctuate based on market conditions)",[1]Sheet1!$1:$1,[1]Sheet1!57:57)) - 1), _xlfn.XLOOKUP("Which Flavor? (Pint Price | Quart Price | Half Gallon Price) (NOTE: Prices may fluctuate based on market conditions)",[1]Sheet1!$1:$1,[1]Sheet1!57:57)))</f>
        <v xml:space="preserve">Choco-Chip Cookie Butter Blast </v>
      </c>
      <c r="D57" s="31">
        <f>IF(COUNTIF('Premade Flavors'!$A:$A, $C57) &gt; 0,IF(ISBLANK(_xlfn.XLOOKUP("What Ice Cream Base Do You Want To Change It To?",[1]Sheet1!$1:$1,[1]Sheet1!57:57)),_xlfn.XLOOKUP($C57,'Premade Flavors'!$A:$A,'Premade Flavors'!B:B),_xlfn.XLOOKUP("What Ice Cream Base Do You Want To Change It To?",[1]Sheet1!$1:$1,[1]Sheet1!57:57)),_xlfn.XLOOKUP(_xlfn.XLOOKUP("What Kind Of Ice Cream Base Do You Want? ",[1]Sheet1!$1:$1,[1]Sheet1!57:57),'Milk Types Nutrition Per Cup'!O:O,'Milk Types Nutrition Per Cup'!P:P,""))</f>
        <v>0</v>
      </c>
      <c r="E57" s="31">
        <f>IF(COUNTIF('Premade Flavors'!$A:$A, $C57) &gt; 0,IF(ISBLANK(_xlfn.XLOOKUP("What Ice Cream Base Do You Want To Change It To?",[1]Sheet1!$1:$1,[1]Sheet1!57:57)),_xlfn.XLOOKUP($C57,'Premade Flavors'!$A:$A,'Premade Flavors'!C:C),_xlfn.XLOOKUP("What Ice Cream Base Do You Want To Change It To?",[1]Sheet1!$1:$1,[1]Sheet1!57:57)),_xlfn.XLOOKUP(_xlfn.XLOOKUP("What Kind Of Ice Cream Base Do You Want? ",[1]Sheet1!$1:$1,[1]Sheet1!57:57),'Milk Types Nutrition Per Cup'!$O:$O,'Milk Types Nutrition Per Cup'!$Q:$Q,""))</f>
        <v>0</v>
      </c>
      <c r="F57" s="31">
        <f>IF(COUNTIF('Premade Flavors'!$A:$A, $C57) &gt; 0,_xlfn.XLOOKUP($C57,'Premade Flavors'!$A:$A,'Premade Flavors'!E:E),_xlfn.XLOOKUP("What's The First Flavor You Want? ",[1]Sheet1!$1:$1,[1]Sheet1!57:57))</f>
        <v>0</v>
      </c>
      <c r="G57" s="31">
        <f>IF(COUNTIF('Premade Flavors'!$A:$A, $C57) &gt; 0,_xlfn.XLOOKUP($C57,'Premade Flavors'!$A:$A,'Premade Flavors'!F:F),_xlfn.XLOOKUP("What's the Second Flavor You Want?",[1]Sheet1!$1:$1,[1]Sheet1!57:57))</f>
        <v>0</v>
      </c>
      <c r="H57" s="31">
        <f>IF(COUNTIF('Premade Flavors'!$A:$A, $C57) &gt; 0,_xlfn.XLOOKUP($C57,'Premade Flavors'!$A:$A,'Premade Flavors'!G:G),_xlfn.XLOOKUP("What's The First Mix In That You Want? ",[1]Sheet1!$1:$1,[1]Sheet1!57:57))</f>
        <v>0</v>
      </c>
      <c r="I57" s="31">
        <f>IF(COUNTIF('Premade Flavors'!$A:$A, $C57) &gt; 0,_xlfn.XLOOKUP($C57,'Premade Flavors'!$A:$A,'Premade Flavors'!H:H),_xlfn.XLOOKUP("What's The Second Mix In That You Want? ",[1]Sheet1!$1:$1,[1]Sheet1!57:57))</f>
        <v>0</v>
      </c>
      <c r="J57" s="31">
        <f>IF(COUNTIF('Premade Flavors'!$A:$A,$C57)&gt;0,IF(_xlfn.XLOOKUP("Should It Use Sugar or A Non-Sugar Sweetner?",[1]Sheet1!$1:$1,[1]Sheet1!57:57)="Sugar",_xlfn.XLOOKUP($C57,'Premade Flavors'!$A:$A,'Premade Flavors'!I:I),"Stevia"),_xlfn.XLOOKUP("What Sweetner Do You Want?",[1]Sheet1!$1:$1,[1]Sheet1!57:57))</f>
        <v>0</v>
      </c>
      <c r="K57" s="31"/>
      <c r="L57" s="77" t="str">
        <f>_xlfn.XLOOKUP("How Much Ice Cream Do You Want?",[1]Sheet1!$1:$1,[1]Sheet1!57:57)</f>
        <v>Pint</v>
      </c>
      <c r="M57" s="45">
        <f>IF(COUNTIF('Premade Flavors'!$A:$A, $C57) &gt; 0,_xlfn.XLOOKUP($C57,'Premade Flavors'!$A:$A,'Premade Flavors'!M:M),_xlfn.XLOOKUP("How Strong Do You Want The First Flavor?",[1]Sheet1!$1:$1,[1]Sheet1!57:57))</f>
        <v>0</v>
      </c>
      <c r="N57" s="45">
        <f>IF(COUNTIF('Premade Flavors'!$A:$A, $C57) &gt; 0,_xlfn.XLOOKUP($C57,'Premade Flavors'!$A:$A,'Premade Flavors'!N:N),_xlfn.XLOOKUP("How Strong Do You Want The Second Flavor?",[1]Sheet1!$1:$1,[1]Sheet1!57:57))</f>
        <v>0</v>
      </c>
      <c r="O57" s="45">
        <f>IF(COUNTIF('Premade Flavors'!$A:$A, $C57) &gt; 0,_xlfn.XLOOKUP($C57,'Premade Flavors'!$A:$A,'Premade Flavors'!O:O),_xlfn.XLOOKUP("How Dense Should the Mix Ins Be?",[1]Sheet1!$1:$1,[1]Sheet1!57:57))</f>
        <v>0</v>
      </c>
      <c r="P57" s="45">
        <f>IF(COUNTIF('Premade Flavors'!$A:$A, $C57) &gt; 0,_xlfn.XLOOKUP($C57,'Premade Flavors'!$A:$A,'Premade Flavors'!P:P),_xlfn.XLOOKUP("How Much Of The First Sweetner? ",[1]Sheet1!$1:$1,[1]Sheet1!57:57))</f>
        <v>0</v>
      </c>
      <c r="Q57" s="45">
        <f>IF(COUNTIF('Premade Flavors'!$A:$A, $C57) &gt; 0,_xlfn.XLOOKUP($C57,'Premade Flavors'!$A:$A,'Premade Flavors'!Q:Q),[2]Sheet1!S57)</f>
        <v>0</v>
      </c>
      <c r="R57" s="30">
        <f>(_xlfn.XLOOKUP($L57,Specs!A:A,Specs!B:B,0)-(IF(_xlfn.XLOOKUP($F57,'Liquid Mix In Nutrition'!A:A,'Liquid Mix In Nutrition'!J:J,0)="Yes",0,$T57))-(IF(_xlfn.XLOOKUP($G57,'Liquid Mix In Nutrition'!A:A,'Liquid Mix In Nutrition'!J:J,0)="Yes",0,$U57))-(($V57/MAX(1,_xlfn.XLOOKUP($H57,'Solid Mix In Nutrition'!A:A,'Solid Mix In Nutrition'!I:I,1)))*240)-(($W57/MAX(1,_xlfn.XLOOKUP($I57,'Solid Mix In Nutrition'!A:A,'Solid Mix In Nutrition'!I:I,1)))*240))*0.66</f>
        <v>312.18</v>
      </c>
      <c r="S57" s="30">
        <f>(_xlfn.XLOOKUP($L57,Specs!A:A,Specs!B:B,0)-(IF(_xlfn.XLOOKUP($F57,'Liquid Mix In Nutrition'!A:A,'Liquid Mix In Nutrition'!J:J,0)="Yes",0,$T57))-(IF(_xlfn.XLOOKUP($G57,'Liquid Mix In Nutrition'!A:A,'Liquid Mix In Nutrition'!J:J,0)="Yes",0,$U57))-(($V57/MAX(1,_xlfn.XLOOKUP($H57,'Solid Mix In Nutrition'!A:A,'Solid Mix In Nutrition'!I:I,1)))*240)-(($W57/MAX(1,_xlfn.XLOOKUP($I57,'Solid Mix In Nutrition'!A:A,'Solid Mix In Nutrition'!I:I,1)))*240))*0.33</f>
        <v>156.09</v>
      </c>
      <c r="T57" s="30">
        <f>_xlfn.XLOOKUP($M57,Specs!$D:$D,Specs!$E:$E,0)*15*_xlfn.XLOOKUP($L57,Specs!$A:$A,Specs!$C:$C,0)</f>
        <v>0</v>
      </c>
      <c r="U57" s="30">
        <f>_xlfn.XLOOKUP($N57,Specs!$D:$D,Specs!$E:$E,0)*15*_xlfn.XLOOKUP($L57,Specs!$A:$A,Specs!$C:$C,0)</f>
        <v>0</v>
      </c>
      <c r="V57" s="30">
        <f>( ((_xlfn.XLOOKUP($O57,Specs!$H:$H,Specs!$I:$I,0)*_xlfn.XLOOKUP($L57,Specs!$A:$A,Specs!$B:$B,0))/240) *_xlfn.XLOOKUP($H57,'Solid Mix In Nutrition'!A:A,'Solid Mix In Nutrition'!I:I,0)) *IF(AND(NOT($I57=0), COUNTA($I57)),0.5,1)</f>
        <v>0</v>
      </c>
      <c r="W57" s="30">
        <f>( ((_xlfn.XLOOKUP($O57,Specs!$H:$H,Specs!$I:$I,0)*_xlfn.XLOOKUP($L57,Specs!$A:$A,Specs!$B:$B,0))/240) *_xlfn.XLOOKUP($I57,'Solid Mix In Nutrition'!A:A,'Solid Mix In Nutrition'!I:I,0)) *IF(AND(NOT($I57=0), COUNTA($I57)),0.5,0)</f>
        <v>0</v>
      </c>
      <c r="X57" s="30">
        <f>_xlfn.XLOOKUP($P57,Specs!F:F,Specs!G:G,0)*_xlfn.XLOOKUP($J57,'Sweetener Mix In Nutrition'!A:A,'Sweetener Mix In Nutrition'!I:I,0)*_xlfn.XLOOKUP($L57,Specs!A:A,Specs!C:C,0)</f>
        <v>0</v>
      </c>
      <c r="Y57" s="30">
        <f>_xlfn.XLOOKUP($Q57,Specs!F:F,Specs!G:G,0)*_xlfn.XLOOKUP($K57,'Sweetener Mix In Nutrition'!A:A,'Sweetener Mix In Nutrition'!I:I,0)*_xlfn.XLOOKUP($L57,Specs!A:A,Specs!C:C,0)</f>
        <v>0</v>
      </c>
      <c r="Z57" s="34">
        <f t="shared" si="2"/>
        <v>0.56192399999999998</v>
      </c>
      <c r="AA57" s="35">
        <f t="shared" si="3"/>
        <v>0.25</v>
      </c>
      <c r="AB57" s="36">
        <f>(($R57 / 240) * _xlfn.XLOOKUP($D57,'Milk Types Nutrition Per Cup'!A:A,'Milk Types Nutrition Per Cup'!B:B,0)) +(($S57 / 240)  * _xlfn.XLOOKUP($E57,'Milk Types Nutrition Per Cup'!A:A,'Milk Types Nutrition Per Cup'!B:B,0)) +(($T57 / 15)  * _xlfn.XLOOKUP($F57,'Liquid Mix In Nutrition'!A:A,'Liquid Mix In Nutrition'!B:B,0))+(($U57 / 15)  * _xlfn.XLOOKUP($G57,'Liquid Mix In Nutrition'!A:A,'Liquid Mix In Nutrition'!B:B,0))+(($V57 /MAX(1, _xlfn.XLOOKUP($H57,'Solid Mix In Nutrition'!A:A,'Solid Mix In Nutrition'!I:I,1)))  * _xlfn.XLOOKUP($H57,'Solid Mix In Nutrition'!A:A,'Solid Mix In Nutrition'!B:B,0))+(($W57 / MAX(1, _xlfn.XLOOKUP($I57,'Solid Mix In Nutrition'!A:A,'Solid Mix In Nutrition'!I:I,1))))+(($X57 / 100)  * _xlfn.XLOOKUP($J57,'Sweetener Mix In Nutrition'!A:A,'Sweetener Mix In Nutrition'!B:B,0))+(($Y57 / 100)  * _xlfn.XLOOKUP($K57,'Sweetener Mix In Nutrition'!A:A,'Sweetener Mix In Nutrition'!B:B,0))</f>
        <v>0</v>
      </c>
      <c r="AC57" s="36">
        <f>(($R57 / 240) * _xlfn.XLOOKUP($D57,'Milk Types Nutrition Per Cup'!A:A,'Milk Types Nutrition Per Cup'!E:E,0)) +(($S57 / 240)  * _xlfn.XLOOKUP($E57,'Milk Types Nutrition Per Cup'!A:A,'Milk Types Nutrition Per Cup'!E:E,0)) +(($T57 / 15)  * _xlfn.XLOOKUP($F57,'Liquid Mix In Nutrition'!A:A,'Liquid Mix In Nutrition'!E:E,0)) +(($U57 / 15)  * _xlfn.XLOOKUP($G57,'Liquid Mix In Nutrition'!A:A,'Liquid Mix In Nutrition'!E:E,0))+(($V57 / MAX(1, _xlfn.XLOOKUP($H57,'Solid Mix In Nutrition'!A:A,'Solid Mix In Nutrition'!I:I,1)))  * _xlfn.XLOOKUP($H57,'Solid Mix In Nutrition'!A:A,'Solid Mix In Nutrition'!E:E,0))+(($W57 / MAX(1, _xlfn.XLOOKUP($I57,'Solid Mix In Nutrition'!A:A,'Solid Mix In Nutrition'!I:I,1)))  * _xlfn.XLOOKUP($I57,'Solid Mix In Nutrition'!A:A,'Solid Mix In Nutrition'!G:G,0))+(($X57 / 100)  * _xlfn.XLOOKUP($J57,'Sweetener Mix In Nutrition'!A:A,'Sweetener Mix In Nutrition'!E:E,0))+(($Y57 / 100)  * _xlfn.XLOOKUP($K57,'Sweetener Mix In Nutrition'!A:A,'Sweetener Mix In Nutrition'!E:E,0))</f>
        <v>0</v>
      </c>
      <c r="AD57" s="36">
        <f>(($R57 / 240) * _xlfn.XLOOKUP($D57,'Milk Types Nutrition Per Cup'!A:A,'Milk Types Nutrition Per Cup'!E:E,0)) +(($S57 / 240)  * _xlfn.XLOOKUP($E57,'Milk Types Nutrition Per Cup'!A:A,'Milk Types Nutrition Per Cup'!E:E,0)) +(($T57 / 15)  * _xlfn.XLOOKUP($F57,'Liquid Mix In Nutrition'!A:A,'Liquid Mix In Nutrition'!E:E,0)) +(($U57 / 15)  * _xlfn.XLOOKUP($G57,'Liquid Mix In Nutrition'!A:A,'Liquid Mix In Nutrition'!E:E,0))+(($X57 / 100)  * _xlfn.XLOOKUP($J57,'Sweetener Mix In Nutrition'!A:A,'Sweetener Mix In Nutrition'!E:E,0))+(($Y57 / 100)  * _xlfn.XLOOKUP($K57,'Sweetener Mix In Nutrition'!A:A,'Sweetener Mix In Nutrition'!E:E,0))</f>
        <v>0</v>
      </c>
      <c r="AE57" s="37">
        <f>(($R57 / 240) * _xlfn.XLOOKUP($D57,'Milk Types Nutrition Per Cup'!A:A,'Milk Types Nutrition Per Cup'!C:C,0)) +(($S57 / 240)  * _xlfn.XLOOKUP($E57,'Milk Types Nutrition Per Cup'!A:A,'Milk Types Nutrition Per Cup'!C:C,0)) +(($T57 / 15)  * _xlfn.XLOOKUP($F57,'Liquid Mix In Nutrition'!A:A,'Liquid Mix In Nutrition'!C:C,0))+(($U57 / 15)  * _xlfn.XLOOKUP($G57,'Liquid Mix In Nutrition'!A:A,'Liquid Mix In Nutrition'!C:C,0))+(($V57 / MAX(1, _xlfn.XLOOKUP($H57,'Solid Mix In Nutrition'!A:A,'Solid Mix In Nutrition'!I:I,1)))  * _xlfn.XLOOKUP($H57,'Solid Mix In Nutrition'!A:A,'Solid Mix In Nutrition'!C:C,0))+(($W57 / MAX(1, _xlfn.XLOOKUP($I57,'Solid Mix In Nutrition'!A:A,'Solid Mix In Nutrition'!I:I,1)))  * _xlfn.XLOOKUP($I57,'Solid Mix In Nutrition'!A:A,'Solid Mix In Nutrition'!C:C,0))+(($X57 / 100)  * _xlfn.XLOOKUP($J57,'Sweetener Mix In Nutrition'!A:A,'Sweetener Mix In Nutrition'!C:C,0))+(($Y57 / 100)  * _xlfn.XLOOKUP($K57,'Sweetener Mix In Nutrition'!A:A,'Sweetener Mix In Nutrition'!C:C,0))</f>
        <v>0</v>
      </c>
      <c r="AF57" s="38">
        <f>$AE57 / (_xlfn.XLOOKUP($L57,Specs!A:A,Specs!B:B,0))</f>
        <v>0</v>
      </c>
      <c r="AG57" s="37">
        <f>60* ($AB57 / _xlfn.XLOOKUP($L57,Specs!A:A,Specs!B:B,0))</f>
        <v>0</v>
      </c>
      <c r="AH57" s="37">
        <f>60* (AC57 / _xlfn.XLOOKUP($L57,Specs!$A:$A,Specs!$B:$B,0))</f>
        <v>0</v>
      </c>
      <c r="AI57" s="37">
        <f>60* (AE57 / _xlfn.XLOOKUP($L57,Specs!$A:$A,Specs!$B:$B,0))</f>
        <v>0</v>
      </c>
      <c r="AJ57" s="39">
        <f>(($R57 / 240) * _xlfn.XLOOKUP($D57,'Milk Types Nutrition Per Cup'!A:A,'Milk Types Nutrition Per Cup'!F:F,0)) +(($S57 / 240)  * _xlfn.XLOOKUP($E57,'Milk Types Nutrition Per Cup'!A:A,'Milk Types Nutrition Per Cup'!F:F,0)) +(($T57 / 15)  * _xlfn.XLOOKUP($F57,'Liquid Mix In Nutrition'!A:A,'Liquid Mix In Nutrition'!F:F,0))+(($U57 / 15)  * _xlfn.XLOOKUP($G57,'Liquid Mix In Nutrition'!A:A,'Liquid Mix In Nutrition'!F:F,0))+(($V57 / MAX(1, _xlfn.XLOOKUP($H57,'Solid Mix In Nutrition'!A:A,'Solid Mix In Nutrition'!I:I,1)))  * _xlfn.XLOOKUP($H57,'Solid Mix In Nutrition'!A:A,'Solid Mix In Nutrition'!F:F,0))+(($W57 / MAX(1, _xlfn.XLOOKUP($I57,'Solid Mix In Nutrition'!A:A,'Solid Mix In Nutrition'!I:I,1)))  * _xlfn.XLOOKUP($I57,'Solid Mix In Nutrition'!A:A,'Solid Mix In Nutrition'!F:F,0))+(($X57 / 100)  * _xlfn.XLOOKUP($J57,'Sweetener Mix In Nutrition'!A:A,'Sweetener Mix In Nutrition'!F:F,0))+(($Y57 / 100)  * _xlfn.XLOOKUP($K57,'Sweetener Mix In Nutrition'!A:A,'Sweetener Mix In Nutrition'!F:F,0))</f>
        <v>0</v>
      </c>
      <c r="AK57" s="46">
        <f>[2]Sheet1!AG57</f>
        <v>0</v>
      </c>
      <c r="AL57" s="47"/>
      <c r="AM57" s="40">
        <f>IF(ISERROR(((AL57/Specs!$L$3)*Specs!$L$2)*2),0,ROUNDUP((((AL57/Specs!$L$3)*Specs!$L$2)*2),0))</f>
        <v>0</v>
      </c>
      <c r="AN57" s="48">
        <f>ROUNDUP(((AJ57+Specs!$R$2+Specs!$S$2+_xlfn.XLOOKUP($L57,Specs!A:A,Specs!V:V,0))*Specs!$N$2)+AM57,0)</f>
        <v>2</v>
      </c>
      <c r="AO57" s="40">
        <f>ROUNDUP(((AJ57+Specs!$R$2+Specs!$S$2+_xlfn.XLOOKUP($L57,Specs!A:A,Specs!V:V,0))*Specs!$N$2),0)</f>
        <v>2</v>
      </c>
      <c r="AP57" s="30" t="s">
        <v>773</v>
      </c>
      <c r="AQ57" t="str">
        <f>_xlfn.XLOOKUP("What's Your Number?",[1]Sheet1!$1:$1,[1]Sheet1!57:57)</f>
        <v>954-483-8278</v>
      </c>
    </row>
    <row r="58" spans="1:44" x14ac:dyDescent="0.25">
      <c r="A58" s="42" t="str">
        <f>_xlfn.CONCAT(_xlfn.XLOOKUP("What's Your Name?",[1]Sheet1!$1:$1,[1]Sheet1!58:58)," | ",TEXT(_xlfn.XLOOKUP("Completion time",[1]Sheet1!$1:$1,[1]Sheet1!58:58),"dddd, mmm dd, yyyy hh:mm AM/PM"))</f>
        <v>John Maxwell  | Tuesday, Oct 29, 2024 07:37 AM</v>
      </c>
      <c r="B58" s="76" t="str">
        <f>_xlfn.XLOOKUP("What's Your Email Address?",[1]Sheet1!$1:$1,[1]Sheet1!58:58)</f>
        <v>micbro14@gmail.com</v>
      </c>
      <c r="C58" s="31" t="str">
        <f>IF(ISBLANK(_xlfn.XLOOKUP("Which Flavor? (Pint Price | Quart Price | Half Gallon Price) (NOTE: Prices may fluctuate based on market conditions)",[1]Sheet1!$1:$1,[1]Sheet1!58:58)),_xlfn.XLOOKUP("Name Your Ice Cream!",[1]Sheet1!$1:$1,[1]Sheet1!58:58),IF(ISNUMBER(FIND("(", _xlfn.XLOOKUP("Which Flavor? (Pint Price | Quart Price | Half Gallon Price) (NOTE: Prices may fluctuate based on market conditions)",[1]Sheet1!$1:$1,[1]Sheet1!58:58))), LEFT(_xlfn.XLOOKUP("Which Flavor? (Pint Price | Quart Price | Half Gallon Price) (NOTE: Prices may fluctuate based on market conditions)",[1]Sheet1!$1:$1,[1]Sheet1!58:58), FIND("(", _xlfn.XLOOKUP("Which Flavor? (Pint Price | Quart Price | Half Gallon Price) (NOTE: Prices may fluctuate based on market conditions)",[1]Sheet1!$1:$1,[1]Sheet1!58:58)) - 1), _xlfn.XLOOKUP("Which Flavor? (Pint Price | Quart Price | Half Gallon Price) (NOTE: Prices may fluctuate based on market conditions)",[1]Sheet1!$1:$1,[1]Sheet1!58:58)))</f>
        <v xml:space="preserve">Choco-Chip Cookie Butter Blast </v>
      </c>
      <c r="D58" s="31">
        <f>IF(COUNTIF('Premade Flavors'!$A:$A, $C58) &gt; 0,IF(ISBLANK(_xlfn.XLOOKUP("What Ice Cream Base Do You Want To Change It To?",[1]Sheet1!$1:$1,[1]Sheet1!58:58)),_xlfn.XLOOKUP($C58,'Premade Flavors'!$A:$A,'Premade Flavors'!B:B),_xlfn.XLOOKUP("What Ice Cream Base Do You Want To Change It To?",[1]Sheet1!$1:$1,[1]Sheet1!58:58)),_xlfn.XLOOKUP(_xlfn.XLOOKUP("What Kind Of Ice Cream Base Do You Want? ",[1]Sheet1!$1:$1,[1]Sheet1!58:58),'Milk Types Nutrition Per Cup'!O:O,'Milk Types Nutrition Per Cup'!P:P,""))</f>
        <v>0</v>
      </c>
      <c r="E58" s="31">
        <f>IF(COUNTIF('Premade Flavors'!$A:$A, $C58) &gt; 0,IF(ISBLANK(_xlfn.XLOOKUP("What Ice Cream Base Do You Want To Change It To?",[1]Sheet1!$1:$1,[1]Sheet1!58:58)),_xlfn.XLOOKUP($C58,'Premade Flavors'!$A:$A,'Premade Flavors'!C:C),_xlfn.XLOOKUP("What Ice Cream Base Do You Want To Change It To?",[1]Sheet1!$1:$1,[1]Sheet1!58:58)),_xlfn.XLOOKUP(_xlfn.XLOOKUP("What Kind Of Ice Cream Base Do You Want? ",[1]Sheet1!$1:$1,[1]Sheet1!58:58),'Milk Types Nutrition Per Cup'!$O:$O,'Milk Types Nutrition Per Cup'!$Q:$Q,""))</f>
        <v>0</v>
      </c>
      <c r="F58" s="31">
        <f>IF(COUNTIF('Premade Flavors'!$A:$A, $C58) &gt; 0,_xlfn.XLOOKUP($C58,'Premade Flavors'!$A:$A,'Premade Flavors'!E:E),_xlfn.XLOOKUP("What's The First Flavor You Want? ",[1]Sheet1!$1:$1,[1]Sheet1!58:58))</f>
        <v>0</v>
      </c>
      <c r="G58" s="31">
        <f>IF(COUNTIF('Premade Flavors'!$A:$A, $C58) &gt; 0,_xlfn.XLOOKUP($C58,'Premade Flavors'!$A:$A,'Premade Flavors'!F:F),_xlfn.XLOOKUP("What's the Second Flavor You Want?",[1]Sheet1!$1:$1,[1]Sheet1!58:58))</f>
        <v>0</v>
      </c>
      <c r="H58" s="31">
        <f>IF(COUNTIF('Premade Flavors'!$A:$A, $C58) &gt; 0,_xlfn.XLOOKUP($C58,'Premade Flavors'!$A:$A,'Premade Flavors'!G:G),_xlfn.XLOOKUP("What's The First Mix In That You Want? ",[1]Sheet1!$1:$1,[1]Sheet1!58:58))</f>
        <v>0</v>
      </c>
      <c r="I58" s="31">
        <f>IF(COUNTIF('Premade Flavors'!$A:$A, $C58) &gt; 0,_xlfn.XLOOKUP($C58,'Premade Flavors'!$A:$A,'Premade Flavors'!H:H),_xlfn.XLOOKUP("What's The Second Mix In That You Want? ",[1]Sheet1!$1:$1,[1]Sheet1!58:58))</f>
        <v>0</v>
      </c>
      <c r="J58" s="31">
        <f>IF(COUNTIF('Premade Flavors'!$A:$A,$C58)&gt;0,IF(_xlfn.XLOOKUP("Should It Use Sugar or A Non-Sugar Sweetner?",[1]Sheet1!$1:$1,[1]Sheet1!58:58)="Sugar",_xlfn.XLOOKUP($C58,'Premade Flavors'!$A:$A,'Premade Flavors'!I:I),"Stevia"),_xlfn.XLOOKUP("What Sweetner Do You Want?",[1]Sheet1!$1:$1,[1]Sheet1!58:58))</f>
        <v>0</v>
      </c>
      <c r="K58" s="31"/>
      <c r="L58" s="77" t="str">
        <f>_xlfn.XLOOKUP("How Much Ice Cream Do You Want?",[1]Sheet1!$1:$1,[1]Sheet1!58:58)</f>
        <v>Pint</v>
      </c>
      <c r="M58" s="45">
        <f>IF(COUNTIF('Premade Flavors'!$A:$A, $C58) &gt; 0,_xlfn.XLOOKUP($C58,'Premade Flavors'!$A:$A,'Premade Flavors'!M:M),_xlfn.XLOOKUP("How Strong Do You Want The First Flavor?",[1]Sheet1!$1:$1,[1]Sheet1!58:58))</f>
        <v>0</v>
      </c>
      <c r="N58" s="45">
        <f>IF(COUNTIF('Premade Flavors'!$A:$A, $C58) &gt; 0,_xlfn.XLOOKUP($C58,'Premade Flavors'!$A:$A,'Premade Flavors'!N:N),_xlfn.XLOOKUP("How Strong Do You Want The Second Flavor?",[1]Sheet1!$1:$1,[1]Sheet1!58:58))</f>
        <v>0</v>
      </c>
      <c r="O58" s="45">
        <f>IF(COUNTIF('Premade Flavors'!$A:$A, $C58) &gt; 0,_xlfn.XLOOKUP($C58,'Premade Flavors'!$A:$A,'Premade Flavors'!O:O),_xlfn.XLOOKUP("How Dense Should the Mix Ins Be?",[1]Sheet1!$1:$1,[1]Sheet1!58:58))</f>
        <v>0</v>
      </c>
      <c r="P58" s="45">
        <f>IF(COUNTIF('Premade Flavors'!$A:$A, $C58) &gt; 0,_xlfn.XLOOKUP($C58,'Premade Flavors'!$A:$A,'Premade Flavors'!P:P),_xlfn.XLOOKUP("How Much Of The First Sweetner? ",[1]Sheet1!$1:$1,[1]Sheet1!58:58))</f>
        <v>0</v>
      </c>
      <c r="Q58" s="45">
        <f>IF(COUNTIF('Premade Flavors'!$A:$A, $C58) &gt; 0,_xlfn.XLOOKUP($C58,'Premade Flavors'!$A:$A,'Premade Flavors'!Q:Q),[2]Sheet1!S58)</f>
        <v>0</v>
      </c>
      <c r="R58" s="30">
        <f>(_xlfn.XLOOKUP($L58,Specs!A:A,Specs!B:B,0)-(IF(_xlfn.XLOOKUP($F58,'Liquid Mix In Nutrition'!A:A,'Liquid Mix In Nutrition'!J:J,0)="Yes",0,$T58))-(IF(_xlfn.XLOOKUP($G58,'Liquid Mix In Nutrition'!A:A,'Liquid Mix In Nutrition'!J:J,0)="Yes",0,$U58))-(($V58/MAX(1,_xlfn.XLOOKUP($H58,'Solid Mix In Nutrition'!A:A,'Solid Mix In Nutrition'!I:I,1)))*240)-(($W58/MAX(1,_xlfn.XLOOKUP($I58,'Solid Mix In Nutrition'!A:A,'Solid Mix In Nutrition'!I:I,1)))*240))*0.66</f>
        <v>312.18</v>
      </c>
      <c r="S58" s="30">
        <f>(_xlfn.XLOOKUP($L58,Specs!A:A,Specs!B:B,0)-(IF(_xlfn.XLOOKUP($F58,'Liquid Mix In Nutrition'!A:A,'Liquid Mix In Nutrition'!J:J,0)="Yes",0,$T58))-(IF(_xlfn.XLOOKUP($G58,'Liquid Mix In Nutrition'!A:A,'Liquid Mix In Nutrition'!J:J,0)="Yes",0,$U58))-(($V58/MAX(1,_xlfn.XLOOKUP($H58,'Solid Mix In Nutrition'!A:A,'Solid Mix In Nutrition'!I:I,1)))*240)-(($W58/MAX(1,_xlfn.XLOOKUP($I58,'Solid Mix In Nutrition'!A:A,'Solid Mix In Nutrition'!I:I,1)))*240))*0.33</f>
        <v>156.09</v>
      </c>
      <c r="T58" s="30">
        <f>_xlfn.XLOOKUP($M58,Specs!$D:$D,Specs!$E:$E,0)*15*_xlfn.XLOOKUP($L58,Specs!$A:$A,Specs!$C:$C,0)</f>
        <v>0</v>
      </c>
      <c r="U58" s="30">
        <f>_xlfn.XLOOKUP($N58,Specs!$D:$D,Specs!$E:$E,0)*15*_xlfn.XLOOKUP($L58,Specs!$A:$A,Specs!$C:$C,0)</f>
        <v>0</v>
      </c>
      <c r="V58" s="30">
        <f>( ((_xlfn.XLOOKUP($O58,Specs!$H:$H,Specs!$I:$I,0)*_xlfn.XLOOKUP($L58,Specs!$A:$A,Specs!$B:$B,0))/240) *_xlfn.XLOOKUP($H58,'Solid Mix In Nutrition'!A:A,'Solid Mix In Nutrition'!I:I,0)) *IF(AND(NOT($I58=0), COUNTA($I58)),0.5,1)</f>
        <v>0</v>
      </c>
      <c r="W58" s="30">
        <f>( ((_xlfn.XLOOKUP($O58,Specs!$H:$H,Specs!$I:$I,0)*_xlfn.XLOOKUP($L58,Specs!$A:$A,Specs!$B:$B,0))/240) *_xlfn.XLOOKUP($I58,'Solid Mix In Nutrition'!A:A,'Solid Mix In Nutrition'!I:I,0)) *IF(AND(NOT($I58=0), COUNTA($I58)),0.5,0)</f>
        <v>0</v>
      </c>
      <c r="X58" s="30">
        <f>_xlfn.XLOOKUP($P58,Specs!F:F,Specs!G:G,0)*_xlfn.XLOOKUP($J58,'Sweetener Mix In Nutrition'!A:A,'Sweetener Mix In Nutrition'!I:I,0)*_xlfn.XLOOKUP($L58,Specs!A:A,Specs!C:C,0)</f>
        <v>0</v>
      </c>
      <c r="Y58" s="30">
        <f>_xlfn.XLOOKUP($Q58,Specs!F:F,Specs!G:G,0)*_xlfn.XLOOKUP($K58,'Sweetener Mix In Nutrition'!A:A,'Sweetener Mix In Nutrition'!I:I,0)*_xlfn.XLOOKUP($L58,Specs!A:A,Specs!C:C,0)</f>
        <v>0</v>
      </c>
      <c r="Z58" s="34">
        <f t="shared" si="2"/>
        <v>0.56192399999999998</v>
      </c>
      <c r="AA58" s="35">
        <f t="shared" si="3"/>
        <v>0.25</v>
      </c>
      <c r="AB58" s="36">
        <f>(($R58 / 240) * _xlfn.XLOOKUP($D58,'Milk Types Nutrition Per Cup'!A:A,'Milk Types Nutrition Per Cup'!B:B,0)) +(($S58 / 240)  * _xlfn.XLOOKUP($E58,'Milk Types Nutrition Per Cup'!A:A,'Milk Types Nutrition Per Cup'!B:B,0)) +(($T58 / 15)  * _xlfn.XLOOKUP($F58,'Liquid Mix In Nutrition'!A:A,'Liquid Mix In Nutrition'!B:B,0))+(($U58 / 15)  * _xlfn.XLOOKUP($G58,'Liquid Mix In Nutrition'!A:A,'Liquid Mix In Nutrition'!B:B,0))+(($V58 /MAX(1, _xlfn.XLOOKUP($H58,'Solid Mix In Nutrition'!A:A,'Solid Mix In Nutrition'!I:I,1)))  * _xlfn.XLOOKUP($H58,'Solid Mix In Nutrition'!A:A,'Solid Mix In Nutrition'!B:B,0))+(($W58 / MAX(1, _xlfn.XLOOKUP($I58,'Solid Mix In Nutrition'!A:A,'Solid Mix In Nutrition'!I:I,1))))+(($X58 / 100)  * _xlfn.XLOOKUP($J58,'Sweetener Mix In Nutrition'!A:A,'Sweetener Mix In Nutrition'!B:B,0))+(($Y58 / 100)  * _xlfn.XLOOKUP($K58,'Sweetener Mix In Nutrition'!A:A,'Sweetener Mix In Nutrition'!B:B,0))</f>
        <v>0</v>
      </c>
      <c r="AC58" s="36">
        <f>(($R58 / 240) * _xlfn.XLOOKUP($D58,'Milk Types Nutrition Per Cup'!A:A,'Milk Types Nutrition Per Cup'!E:E,0)) +(($S58 / 240)  * _xlfn.XLOOKUP($E58,'Milk Types Nutrition Per Cup'!A:A,'Milk Types Nutrition Per Cup'!E:E,0)) +(($T58 / 15)  * _xlfn.XLOOKUP($F58,'Liquid Mix In Nutrition'!A:A,'Liquid Mix In Nutrition'!E:E,0)) +(($U58 / 15)  * _xlfn.XLOOKUP($G58,'Liquid Mix In Nutrition'!A:A,'Liquid Mix In Nutrition'!E:E,0))+(($V58 / MAX(1, _xlfn.XLOOKUP($H58,'Solid Mix In Nutrition'!A:A,'Solid Mix In Nutrition'!I:I,1)))  * _xlfn.XLOOKUP($H58,'Solid Mix In Nutrition'!A:A,'Solid Mix In Nutrition'!E:E,0))+(($W58 / MAX(1, _xlfn.XLOOKUP($I58,'Solid Mix In Nutrition'!A:A,'Solid Mix In Nutrition'!I:I,1)))  * _xlfn.XLOOKUP($I58,'Solid Mix In Nutrition'!A:A,'Solid Mix In Nutrition'!G:G,0))+(($X58 / 100)  * _xlfn.XLOOKUP($J58,'Sweetener Mix In Nutrition'!A:A,'Sweetener Mix In Nutrition'!E:E,0))+(($Y58 / 100)  * _xlfn.XLOOKUP($K58,'Sweetener Mix In Nutrition'!A:A,'Sweetener Mix In Nutrition'!E:E,0))</f>
        <v>0</v>
      </c>
      <c r="AD58" s="36">
        <f>(($R58 / 240) * _xlfn.XLOOKUP($D58,'Milk Types Nutrition Per Cup'!A:A,'Milk Types Nutrition Per Cup'!E:E,0)) +(($S58 / 240)  * _xlfn.XLOOKUP($E58,'Milk Types Nutrition Per Cup'!A:A,'Milk Types Nutrition Per Cup'!E:E,0)) +(($T58 / 15)  * _xlfn.XLOOKUP($F58,'Liquid Mix In Nutrition'!A:A,'Liquid Mix In Nutrition'!E:E,0)) +(($U58 / 15)  * _xlfn.XLOOKUP($G58,'Liquid Mix In Nutrition'!A:A,'Liquid Mix In Nutrition'!E:E,0))+(($X58 / 100)  * _xlfn.XLOOKUP($J58,'Sweetener Mix In Nutrition'!A:A,'Sweetener Mix In Nutrition'!E:E,0))+(($Y58 / 100)  * _xlfn.XLOOKUP($K58,'Sweetener Mix In Nutrition'!A:A,'Sweetener Mix In Nutrition'!E:E,0))</f>
        <v>0</v>
      </c>
      <c r="AE58" s="37">
        <f>(($R58 / 240) * _xlfn.XLOOKUP($D58,'Milk Types Nutrition Per Cup'!A:A,'Milk Types Nutrition Per Cup'!C:C,0)) +(($S58 / 240)  * _xlfn.XLOOKUP($E58,'Milk Types Nutrition Per Cup'!A:A,'Milk Types Nutrition Per Cup'!C:C,0)) +(($T58 / 15)  * _xlfn.XLOOKUP($F58,'Liquid Mix In Nutrition'!A:A,'Liquid Mix In Nutrition'!C:C,0))+(($U58 / 15)  * _xlfn.XLOOKUP($G58,'Liquid Mix In Nutrition'!A:A,'Liquid Mix In Nutrition'!C:C,0))+(($V58 / MAX(1, _xlfn.XLOOKUP($H58,'Solid Mix In Nutrition'!A:A,'Solid Mix In Nutrition'!I:I,1)))  * _xlfn.XLOOKUP($H58,'Solid Mix In Nutrition'!A:A,'Solid Mix In Nutrition'!C:C,0))+(($W58 / MAX(1, _xlfn.XLOOKUP($I58,'Solid Mix In Nutrition'!A:A,'Solid Mix In Nutrition'!I:I,1)))  * _xlfn.XLOOKUP($I58,'Solid Mix In Nutrition'!A:A,'Solid Mix In Nutrition'!C:C,0))+(($X58 / 100)  * _xlfn.XLOOKUP($J58,'Sweetener Mix In Nutrition'!A:A,'Sweetener Mix In Nutrition'!C:C,0))+(($Y58 / 100)  * _xlfn.XLOOKUP($K58,'Sweetener Mix In Nutrition'!A:A,'Sweetener Mix In Nutrition'!C:C,0))</f>
        <v>0</v>
      </c>
      <c r="AF58" s="38">
        <f>$AE58 / (_xlfn.XLOOKUP($L58,Specs!A:A,Specs!B:B,0))</f>
        <v>0</v>
      </c>
      <c r="AG58" s="37">
        <f>60* ($AB58 / _xlfn.XLOOKUP($L58,Specs!A:A,Specs!B:B,0))</f>
        <v>0</v>
      </c>
      <c r="AH58" s="37">
        <f>60* (AC58 / _xlfn.XLOOKUP($L58,Specs!$A:$A,Specs!$B:$B,0))</f>
        <v>0</v>
      </c>
      <c r="AI58" s="37">
        <f>60* (AE58 / _xlfn.XLOOKUP($L58,Specs!$A:$A,Specs!$B:$B,0))</f>
        <v>0</v>
      </c>
      <c r="AJ58" s="39">
        <f>(($R58 / 240) * _xlfn.XLOOKUP($D58,'Milk Types Nutrition Per Cup'!A:A,'Milk Types Nutrition Per Cup'!F:F,0)) +(($S58 / 240)  * _xlfn.XLOOKUP($E58,'Milk Types Nutrition Per Cup'!A:A,'Milk Types Nutrition Per Cup'!F:F,0)) +(($T58 / 15)  * _xlfn.XLOOKUP($F58,'Liquid Mix In Nutrition'!A:A,'Liquid Mix In Nutrition'!F:F,0))+(($U58 / 15)  * _xlfn.XLOOKUP($G58,'Liquid Mix In Nutrition'!A:A,'Liquid Mix In Nutrition'!F:F,0))+(($V58 / MAX(1, _xlfn.XLOOKUP($H58,'Solid Mix In Nutrition'!A:A,'Solid Mix In Nutrition'!I:I,1)))  * _xlfn.XLOOKUP($H58,'Solid Mix In Nutrition'!A:A,'Solid Mix In Nutrition'!F:F,0))+(($W58 / MAX(1, _xlfn.XLOOKUP($I58,'Solid Mix In Nutrition'!A:A,'Solid Mix In Nutrition'!I:I,1)))  * _xlfn.XLOOKUP($I58,'Solid Mix In Nutrition'!A:A,'Solid Mix In Nutrition'!F:F,0))+(($X58 / 100)  * _xlfn.XLOOKUP($J58,'Sweetener Mix In Nutrition'!A:A,'Sweetener Mix In Nutrition'!F:F,0))+(($Y58 / 100)  * _xlfn.XLOOKUP($K58,'Sweetener Mix In Nutrition'!A:A,'Sweetener Mix In Nutrition'!F:F,0))</f>
        <v>0</v>
      </c>
      <c r="AK58" s="46">
        <f>[2]Sheet1!AG58</f>
        <v>0</v>
      </c>
      <c r="AL58" s="47"/>
      <c r="AM58" s="40">
        <f>IF(ISERROR(((AL58/Specs!$L$3)*Specs!$L$2)*2),0,ROUNDUP((((AL58/Specs!$L$3)*Specs!$L$2)*2),0))</f>
        <v>0</v>
      </c>
      <c r="AN58" s="48">
        <f>ROUNDUP(((AJ58+Specs!$R$2+Specs!$S$2+_xlfn.XLOOKUP($L58,Specs!A:A,Specs!V:V,0))*Specs!$N$2)+AM58,0)</f>
        <v>2</v>
      </c>
      <c r="AO58" s="40">
        <f>ROUNDUP(((AJ58+Specs!$R$2+Specs!$S$2+_xlfn.XLOOKUP($L58,Specs!A:A,Specs!V:V,0))*Specs!$N$2),0)</f>
        <v>2</v>
      </c>
      <c r="AP58" s="30" t="s">
        <v>210</v>
      </c>
      <c r="AQ58" t="str">
        <f>_xlfn.XLOOKUP("What's Your Number?",[1]Sheet1!$1:$1,[1]Sheet1!58:58)</f>
        <v>954-483-8278</v>
      </c>
    </row>
    <row r="59" spans="1:44" x14ac:dyDescent="0.25">
      <c r="A59" s="42" t="str">
        <f>_xlfn.CONCAT(_xlfn.XLOOKUP("What's Your Name?",[1]Sheet1!$1:$1,[1]Sheet1!59:59)," | ",TEXT(_xlfn.XLOOKUP("Completion time",[1]Sheet1!$1:$1,[1]Sheet1!59:59),"dddd, mmm dd, yyyy hh:mm AM/PM"))</f>
        <v>Alina  | Tuesday, Oct 29, 2024 02:16 PM</v>
      </c>
      <c r="B59" s="76" t="str">
        <f>_xlfn.XLOOKUP("What's Your Email Address?",[1]Sheet1!$1:$1,[1]Sheet1!59:59)</f>
        <v>alinameghan@gmail.com</v>
      </c>
      <c r="C59" s="31" t="s">
        <v>757</v>
      </c>
      <c r="D59" s="31" t="str">
        <f>IF(COUNTIF('Premade Flavors'!$A:$A, $C59) &gt; 0,IF(ISBLANK(_xlfn.XLOOKUP("What Ice Cream Base Do You Want To Change It To?",[1]Sheet1!$1:$1,[1]Sheet1!59:59)),_xlfn.XLOOKUP($C59,'Premade Flavors'!$A:$A,'Premade Flavors'!B:B),_xlfn.XLOOKUP("What Ice Cream Base Do You Want To Change It To?",[1]Sheet1!$1:$1,[1]Sheet1!59:59)),_xlfn.XLOOKUP(_xlfn.XLOOKUP("What Kind Of Ice Cream Base Do You Want? ",[1]Sheet1!$1:$1,[1]Sheet1!59:59),'Milk Types Nutrition Per Cup'!O:O,'Milk Types Nutrition Per Cup'!P:P,""))</f>
        <v>Heavy Cream</v>
      </c>
      <c r="E59" s="31" t="str">
        <f>IF(COUNTIF('Premade Flavors'!$A:$A, $C59) &gt; 0,IF(ISBLANK(_xlfn.XLOOKUP("What Ice Cream Base Do You Want To Change It To?",[1]Sheet1!$1:$1,[1]Sheet1!59:59)),_xlfn.XLOOKUP($C59,'Premade Flavors'!$A:$A,'Premade Flavors'!C:C),_xlfn.XLOOKUP("What Ice Cream Base Do You Want To Change It To?",[1]Sheet1!$1:$1,[1]Sheet1!59:59)),_xlfn.XLOOKUP(_xlfn.XLOOKUP("What Kind Of Ice Cream Base Do You Want? ",[1]Sheet1!$1:$1,[1]Sheet1!59:59),'Milk Types Nutrition Per Cup'!$O:$O,'Milk Types Nutrition Per Cup'!$Q:$Q,""))</f>
        <v>Half and Half</v>
      </c>
      <c r="F59" s="31" t="str">
        <f>IF(COUNTIF('Premade Flavors'!$A:$A, $C59) &gt; 0,_xlfn.XLOOKUP($C59,'Premade Flavors'!$A:$A,'Premade Flavors'!E:E),_xlfn.XLOOKUP("What's The First Flavor You Want? ",[1]Sheet1!$1:$1,[1]Sheet1!59:59))</f>
        <v>Chocolate - Dutch Proccessde Black Cocoa</v>
      </c>
      <c r="G59" s="31">
        <f>IF(COUNTIF('Premade Flavors'!$A:$A, $C59) &gt; 0,_xlfn.XLOOKUP($C59,'Premade Flavors'!$A:$A,'Premade Flavors'!F:F),_xlfn.XLOOKUP("What's the Second Flavor You Want?",[1]Sheet1!$1:$1,[1]Sheet1!59:59))</f>
        <v>0</v>
      </c>
      <c r="H59" s="31" t="str">
        <f>IF(COUNTIF('Premade Flavors'!$A:$A, $C59) &gt; 0,_xlfn.XLOOKUP($C59,'Premade Flavors'!$A:$A,'Premade Flavors'!G:G),_xlfn.XLOOKUP("What's The First Mix In That You Want? ",[1]Sheet1!$1:$1,[1]Sheet1!59:59))</f>
        <v>Almonds (Dry Roasted)</v>
      </c>
      <c r="I59" s="31" t="str">
        <f>IF(COUNTIF('Premade Flavors'!$A:$A, $C59) &gt; 0,_xlfn.XLOOKUP($C59,'Premade Flavors'!$A:$A,'Premade Flavors'!H:H),_xlfn.XLOOKUP("What's The Second Mix In That You Want? ",[1]Sheet1!$1:$1,[1]Sheet1!59:59))</f>
        <v xml:space="preserve">Mini Marshmallows </v>
      </c>
      <c r="J59" s="31" t="str">
        <f>IF(COUNTIF('Premade Flavors'!$A:$A,$C59)&gt;0,IF(_xlfn.XLOOKUP("Should It Use Sugar or A Non-Sugar Sweetner?",[1]Sheet1!$1:$1,[1]Sheet1!59:59)="Sugar",_xlfn.XLOOKUP($C59,'Premade Flavors'!$A:$A,'Premade Flavors'!I:I),"Stevia"),_xlfn.XLOOKUP("What Sweetner Do You Want?",[1]Sheet1!$1:$1,[1]Sheet1!59:59))</f>
        <v>Sugar</v>
      </c>
      <c r="K59" s="31"/>
      <c r="L59" s="77" t="str">
        <f>_xlfn.XLOOKUP("How Much Ice Cream Do You Want?",[1]Sheet1!$1:$1,[1]Sheet1!59:59)</f>
        <v>Quart</v>
      </c>
      <c r="M59" s="45" t="str">
        <f>IF(COUNTIF('Premade Flavors'!$A:$A, $C59) &gt; 0,_xlfn.XLOOKUP($C59,'Premade Flavors'!$A:$A,'Premade Flavors'!M:M),_xlfn.XLOOKUP("How Strong Do You Want The First Flavor?",[1]Sheet1!$1:$1,[1]Sheet1!59:59))</f>
        <v>Light (For pastes and extracts)</v>
      </c>
      <c r="N59" s="45">
        <f>IF(COUNTIF('Premade Flavors'!$A:$A, $C59) &gt; 0,_xlfn.XLOOKUP($C59,'Premade Flavors'!$A:$A,'Premade Flavors'!N:N),_xlfn.XLOOKUP("How Strong Do You Want The Second Flavor?",[1]Sheet1!$1:$1,[1]Sheet1!59:59))</f>
        <v>0</v>
      </c>
      <c r="O59" s="45" t="str">
        <f>IF(COUNTIF('Premade Flavors'!$A:$A, $C59) &gt; 0,_xlfn.XLOOKUP($C59,'Premade Flavors'!$A:$A,'Premade Flavors'!O:O),_xlfn.XLOOKUP("How Dense Should the Mix Ins Be?",[1]Sheet1!$1:$1,[1]Sheet1!59:59))</f>
        <v>Normal (25%)</v>
      </c>
      <c r="P59" s="45" t="str">
        <f>IF(COUNTIF('Premade Flavors'!$A:$A, $C59) &gt; 0,_xlfn.XLOOKUP($C59,'Premade Flavors'!$A:$A,'Premade Flavors'!P:P),_xlfn.XLOOKUP("How Much Of The First Sweetner? ",[1]Sheet1!$1:$1,[1]Sheet1!59:59))</f>
        <v>1:1 Sweet</v>
      </c>
      <c r="Q59" s="45">
        <f>IF(COUNTIF('Premade Flavors'!$A:$A, $C59) &gt; 0,_xlfn.XLOOKUP($C59,'Premade Flavors'!$A:$A,'Premade Flavors'!Q:Q),[2]Sheet1!S59)</f>
        <v>0</v>
      </c>
      <c r="R59" s="30">
        <f>(_xlfn.XLOOKUP($L59,Specs!A:A,Specs!B:B,0)-(IF(_xlfn.XLOOKUP($F59,'Liquid Mix In Nutrition'!A:A,'Liquid Mix In Nutrition'!J:J,0)="Yes",0,$T59))-(IF(_xlfn.XLOOKUP($G59,'Liquid Mix In Nutrition'!A:A,'Liquid Mix In Nutrition'!J:J,0)="Yes",0,$U59))-(($V59/MAX(1,_xlfn.XLOOKUP($H59,'Solid Mix In Nutrition'!A:A,'Solid Mix In Nutrition'!I:I,1)))*240)-(($W59/MAX(1,_xlfn.XLOOKUP($I59,'Solid Mix In Nutrition'!A:A,'Solid Mix In Nutrition'!I:I,1)))*240))*0.66</f>
        <v>458.37</v>
      </c>
      <c r="S59" s="30">
        <f>(_xlfn.XLOOKUP($L59,Specs!A:A,Specs!B:B,0)-(IF(_xlfn.XLOOKUP($F59,'Liquid Mix In Nutrition'!A:A,'Liquid Mix In Nutrition'!J:J,0)="Yes",0,$T59))-(IF(_xlfn.XLOOKUP($G59,'Liquid Mix In Nutrition'!A:A,'Liquid Mix In Nutrition'!J:J,0)="Yes",0,$U59))-(($V59/MAX(1,_xlfn.XLOOKUP($H59,'Solid Mix In Nutrition'!A:A,'Solid Mix In Nutrition'!I:I,1)))*240)-(($W59/MAX(1,_xlfn.XLOOKUP($I59,'Solid Mix In Nutrition'!A:A,'Solid Mix In Nutrition'!I:I,1)))*240))*0.33</f>
        <v>229.185</v>
      </c>
      <c r="T59" s="30">
        <f>_xlfn.XLOOKUP($M59,Specs!$D:$D,Specs!$E:$E,0)*15*_xlfn.XLOOKUP($L59,Specs!$A:$A,Specs!$C:$C,0)</f>
        <v>15</v>
      </c>
      <c r="U59" s="30">
        <f>_xlfn.XLOOKUP($N59,Specs!$D:$D,Specs!$E:$E,0)*15*_xlfn.XLOOKUP($L59,Specs!$A:$A,Specs!$C:$C,0)</f>
        <v>0</v>
      </c>
      <c r="V59" s="30">
        <f>( ((_xlfn.XLOOKUP($O59,Specs!$H:$H,Specs!$I:$I,0)*_xlfn.XLOOKUP($L59,Specs!$A:$A,Specs!$B:$B,0))/240) *_xlfn.XLOOKUP($H59,'Solid Mix In Nutrition'!A:A,'Solid Mix In Nutrition'!I:I,0)) *IF(AND(NOT($I59=0), COUNTA($I59)),0.5,1)</f>
        <v>67.993750000000006</v>
      </c>
      <c r="W59" s="30">
        <f>( ((_xlfn.XLOOKUP($O59,Specs!$H:$H,Specs!$I:$I,0)*_xlfn.XLOOKUP($L59,Specs!$A:$A,Specs!$B:$B,0))/240) *_xlfn.XLOOKUP($I59,'Solid Mix In Nutrition'!A:A,'Solid Mix In Nutrition'!I:I,0)) *IF(AND(NOT($I59=0), COUNTA($I59)),0.5,0)</f>
        <v>19.708333333333336</v>
      </c>
      <c r="X59" s="30">
        <f>_xlfn.XLOOKUP($P59,Specs!F:F,Specs!G:G,0)*_xlfn.XLOOKUP($J59,'Sweetener Mix In Nutrition'!A:A,'Sweetener Mix In Nutrition'!I:I,0)*_xlfn.XLOOKUP($L59,Specs!A:A,Specs!C:C,0)</f>
        <v>100</v>
      </c>
      <c r="Y59" s="30">
        <f>_xlfn.XLOOKUP($Q59,Specs!F:F,Specs!G:G,0)*_xlfn.XLOOKUP($K59,'Sweetener Mix In Nutrition'!A:A,'Sweetener Mix In Nutrition'!I:I,0)*_xlfn.XLOOKUP($L59,Specs!A:A,Specs!C:C,0)</f>
        <v>0</v>
      </c>
      <c r="Z59" s="34">
        <f t="shared" si="2"/>
        <v>0.96306599999999998</v>
      </c>
      <c r="AA59" s="35">
        <f t="shared" si="3"/>
        <v>0.25</v>
      </c>
      <c r="AB59" s="36">
        <f>(($R59 / 240) * _xlfn.XLOOKUP($D59,'Milk Types Nutrition Per Cup'!A:A,'Milk Types Nutrition Per Cup'!B:B,0)) +(($S59 / 240)  * _xlfn.XLOOKUP($E59,'Milk Types Nutrition Per Cup'!A:A,'Milk Types Nutrition Per Cup'!B:B,0)) +(($T59 / 15)  * _xlfn.XLOOKUP($F59,'Liquid Mix In Nutrition'!A:A,'Liquid Mix In Nutrition'!B:B,0))+(($U59 / 15)  * _xlfn.XLOOKUP($G59,'Liquid Mix In Nutrition'!A:A,'Liquid Mix In Nutrition'!B:B,0))+(($V59 /MAX(1, _xlfn.XLOOKUP($H59,'Solid Mix In Nutrition'!A:A,'Solid Mix In Nutrition'!I:I,1)))  * _xlfn.XLOOKUP($H59,'Solid Mix In Nutrition'!A:A,'Solid Mix In Nutrition'!B:B,0))+(($W59 / MAX(1, _xlfn.XLOOKUP($I59,'Solid Mix In Nutrition'!A:A,'Solid Mix In Nutrition'!I:I,1))))+(($X59 / 100)  * _xlfn.XLOOKUP($J59,'Sweetener Mix In Nutrition'!A:A,'Sweetener Mix In Nutrition'!B:B,0))+(($Y59 / 100)  * _xlfn.XLOOKUP($K59,'Sweetener Mix In Nutrition'!A:A,'Sweetener Mix In Nutrition'!B:B,0))</f>
        <v>2641.6512797619048</v>
      </c>
      <c r="AC59" s="36">
        <f>(($R59 / 240) * _xlfn.XLOOKUP($D59,'Milk Types Nutrition Per Cup'!A:A,'Milk Types Nutrition Per Cup'!E:E,0)) +(($S59 / 240)  * _xlfn.XLOOKUP($E59,'Milk Types Nutrition Per Cup'!A:A,'Milk Types Nutrition Per Cup'!E:E,0)) +(($T59 / 15)  * _xlfn.XLOOKUP($F59,'Liquid Mix In Nutrition'!A:A,'Liquid Mix In Nutrition'!E:E,0)) +(($U59 / 15)  * _xlfn.XLOOKUP($G59,'Liquid Mix In Nutrition'!A:A,'Liquid Mix In Nutrition'!E:E,0))+(($V59 / MAX(1, _xlfn.XLOOKUP($H59,'Solid Mix In Nutrition'!A:A,'Solid Mix In Nutrition'!I:I,1)))  * _xlfn.XLOOKUP($H59,'Solid Mix In Nutrition'!A:A,'Solid Mix In Nutrition'!E:E,0))+(($W59 / MAX(1, _xlfn.XLOOKUP($I59,'Solid Mix In Nutrition'!A:A,'Solid Mix In Nutrition'!I:I,1)))  * _xlfn.XLOOKUP($I59,'Solid Mix In Nutrition'!A:A,'Solid Mix In Nutrition'!G:G,0))+(($X59 / 100)  * _xlfn.XLOOKUP($J59,'Sweetener Mix In Nutrition'!A:A,'Sweetener Mix In Nutrition'!E:E,0))+(($Y59 / 100)  * _xlfn.XLOOKUP($K59,'Sweetener Mix In Nutrition'!A:A,'Sweetener Mix In Nutrition'!E:E,0))</f>
        <v>112.99703444940477</v>
      </c>
      <c r="AD59" s="36">
        <f>(($R59 / 240) * _xlfn.XLOOKUP($D59,'Milk Types Nutrition Per Cup'!A:A,'Milk Types Nutrition Per Cup'!E:E,0)) +(($S59 / 240)  * _xlfn.XLOOKUP($E59,'Milk Types Nutrition Per Cup'!A:A,'Milk Types Nutrition Per Cup'!E:E,0)) +(($T59 / 15)  * _xlfn.XLOOKUP($F59,'Liquid Mix In Nutrition'!A:A,'Liquid Mix In Nutrition'!E:E,0)) +(($U59 / 15)  * _xlfn.XLOOKUP($G59,'Liquid Mix In Nutrition'!A:A,'Liquid Mix In Nutrition'!E:E,0))+(($X59 / 100)  * _xlfn.XLOOKUP($J59,'Sweetener Mix In Nutrition'!A:A,'Sweetener Mix In Nutrition'!E:E,0))+(($Y59 / 100)  * _xlfn.XLOOKUP($K59,'Sweetener Mix In Nutrition'!A:A,'Sweetener Mix In Nutrition'!E:E,0))</f>
        <v>107.6395</v>
      </c>
      <c r="AE59" s="37">
        <f>(($R59 / 240) * _xlfn.XLOOKUP($D59,'Milk Types Nutrition Per Cup'!A:A,'Milk Types Nutrition Per Cup'!C:C,0)) +(($S59 / 240)  * _xlfn.XLOOKUP($E59,'Milk Types Nutrition Per Cup'!A:A,'Milk Types Nutrition Per Cup'!C:C,0)) +(($T59 / 15)  * _xlfn.XLOOKUP($F59,'Liquid Mix In Nutrition'!A:A,'Liquid Mix In Nutrition'!C:C,0))+(($U59 / 15)  * _xlfn.XLOOKUP($G59,'Liquid Mix In Nutrition'!A:A,'Liquid Mix In Nutrition'!C:C,0))+(($V59 / MAX(1, _xlfn.XLOOKUP($H59,'Solid Mix In Nutrition'!A:A,'Solid Mix In Nutrition'!I:I,1)))  * _xlfn.XLOOKUP($H59,'Solid Mix In Nutrition'!A:A,'Solid Mix In Nutrition'!C:C,0))+(($W59 / MAX(1, _xlfn.XLOOKUP($I59,'Solid Mix In Nutrition'!A:A,'Solid Mix In Nutrition'!I:I,1)))  * _xlfn.XLOOKUP($I59,'Solid Mix In Nutrition'!A:A,'Solid Mix In Nutrition'!C:C,0))+(($X59 / 100)  * _xlfn.XLOOKUP($J59,'Sweetener Mix In Nutrition'!A:A,'Sweetener Mix In Nutrition'!C:C,0))+(($Y59 / 100)  * _xlfn.XLOOKUP($K59,'Sweetener Mix In Nutrition'!A:A,'Sweetener Mix In Nutrition'!C:C,0))</f>
        <v>246.22598214285716</v>
      </c>
      <c r="AF59" s="38">
        <f>$AE59 / (_xlfn.XLOOKUP($L59,Specs!A:A,Specs!B:B,0))</f>
        <v>0.2602811650558744</v>
      </c>
      <c r="AG59" s="37">
        <f>60* ($AB59 / _xlfn.XLOOKUP($L59,Specs!A:A,Specs!B:B,0))</f>
        <v>167.54659279673814</v>
      </c>
      <c r="AH59" s="37">
        <f>60* (AC59 / _xlfn.XLOOKUP($L59,Specs!$A:$A,Specs!$B:$B,0))</f>
        <v>7.1668309375943826</v>
      </c>
      <c r="AI59" s="37">
        <f>60* (AE59 / _xlfn.XLOOKUP($L59,Specs!$A:$A,Specs!$B:$B,0))</f>
        <v>15.616869903352464</v>
      </c>
      <c r="AJ59" s="39">
        <f>(($R59 / 240) * _xlfn.XLOOKUP($D59,'Milk Types Nutrition Per Cup'!A:A,'Milk Types Nutrition Per Cup'!F:F,0)) +(($S59 / 240)  * _xlfn.XLOOKUP($E59,'Milk Types Nutrition Per Cup'!A:A,'Milk Types Nutrition Per Cup'!F:F,0)) +(($T59 / 15)  * _xlfn.XLOOKUP($F59,'Liquid Mix In Nutrition'!A:A,'Liquid Mix In Nutrition'!F:F,0))+(($U59 / 15)  * _xlfn.XLOOKUP($G59,'Liquid Mix In Nutrition'!A:A,'Liquid Mix In Nutrition'!F:F,0))+(($V59 / MAX(1, _xlfn.XLOOKUP($H59,'Solid Mix In Nutrition'!A:A,'Solid Mix In Nutrition'!I:I,1)))  * _xlfn.XLOOKUP($H59,'Solid Mix In Nutrition'!A:A,'Solid Mix In Nutrition'!F:F,0))+(($W59 / MAX(1, _xlfn.XLOOKUP($I59,'Solid Mix In Nutrition'!A:A,'Solid Mix In Nutrition'!I:I,1)))  * _xlfn.XLOOKUP($I59,'Solid Mix In Nutrition'!A:A,'Solid Mix In Nutrition'!F:F,0))+(($X59 / 100)  * _xlfn.XLOOKUP($J59,'Sweetener Mix In Nutrition'!A:A,'Sweetener Mix In Nutrition'!F:F,0))+(($Y59 / 100)  * _xlfn.XLOOKUP($K59,'Sweetener Mix In Nutrition'!A:A,'Sweetener Mix In Nutrition'!F:F,0))</f>
        <v>5.0049502643003247</v>
      </c>
      <c r="AK59" s="46">
        <f>[2]Sheet1!AG59</f>
        <v>0</v>
      </c>
      <c r="AL59" s="47">
        <f>48.5/4</f>
        <v>12.125</v>
      </c>
      <c r="AM59" s="40">
        <f>IF(ISERROR(((AL59/Specs!$L$3)*Specs!$L$2)*2),0,ROUNDUP((((AL59/Specs!$L$3)*Specs!$L$2)*2),0))</f>
        <v>4</v>
      </c>
      <c r="AN59" s="48">
        <f>ROUNDUP(((AJ59+Specs!$R$2+Specs!$S$2+_xlfn.XLOOKUP($L59,Specs!A:A,Specs!V:V,0))*Specs!$N$2)+AM59,0)</f>
        <v>17</v>
      </c>
      <c r="AO59" s="40">
        <f>ROUNDUP(((AJ59+Specs!$R$2+Specs!$S$2+_xlfn.XLOOKUP($L59,Specs!A:A,Specs!V:V,0))*Specs!$N$2),0)</f>
        <v>13</v>
      </c>
      <c r="AP59" s="30" t="s">
        <v>210</v>
      </c>
      <c r="AQ59" t="str">
        <f>_xlfn.XLOOKUP("What's Your Number?",[1]Sheet1!$1:$1,[1]Sheet1!59:59)</f>
        <v>8134807284</v>
      </c>
    </row>
    <row r="60" spans="1:44" x14ac:dyDescent="0.25">
      <c r="A60" s="42" t="str">
        <f>_xlfn.CONCAT(_xlfn.XLOOKUP("What's Your Name?",[1]Sheet1!$1:$1,[1]Sheet1!60:60)," | ",TEXT(_xlfn.XLOOKUP("Completion time",[1]Sheet1!$1:$1,[1]Sheet1!60:60),"dddd, mmm dd, yyyy hh:mm AM/PM"))</f>
        <v>Mary Claire | Tuesday, Oct 29, 2024 02:21 PM</v>
      </c>
      <c r="B60" s="76" t="str">
        <f>_xlfn.XLOOKUP("What's Your Email Address?",[1]Sheet1!$1:$1,[1]Sheet1!60:60)</f>
        <v>Mcf0920@gmail.com</v>
      </c>
      <c r="C60" s="31" t="str">
        <f>IF(ISBLANK(_xlfn.XLOOKUP("Which Flavor? (Pint Price | Quart Price | Half Gallon Price) (NOTE: Prices may fluctuate based on market conditions)",[1]Sheet1!$1:$1,[1]Sheet1!60:60)),_xlfn.XLOOKUP("Name Your Ice Cream!",[1]Sheet1!$1:$1,[1]Sheet1!60:60),IF(ISNUMBER(FIND("(", _xlfn.XLOOKUP("Which Flavor? (Pint Price | Quart Price | Half Gallon Price) (NOTE: Prices may fluctuate based on market conditions)",[1]Sheet1!$1:$1,[1]Sheet1!60:60))), LEFT(_xlfn.XLOOKUP("Which Flavor? (Pint Price | Quart Price | Half Gallon Price) (NOTE: Prices may fluctuate based on market conditions)",[1]Sheet1!$1:$1,[1]Sheet1!60:60), FIND("(", _xlfn.XLOOKUP("Which Flavor? (Pint Price | Quart Price | Half Gallon Price) (NOTE: Prices may fluctuate based on market conditions)",[1]Sheet1!$1:$1,[1]Sheet1!60:60)) - 1), _xlfn.XLOOKUP("Which Flavor? (Pint Price | Quart Price | Half Gallon Price) (NOTE: Prices may fluctuate based on market conditions)",[1]Sheet1!$1:$1,[1]Sheet1!60:60)))</f>
        <v>Timmothy</v>
      </c>
      <c r="D60" s="31" t="str">
        <f>IF(COUNTIF('Premade Flavors'!$A:$A, $C60) &gt; 0,IF(ISBLANK(_xlfn.XLOOKUP("What Ice Cream Base Do You Want To Change It To?",[1]Sheet1!$1:$1,[1]Sheet1!60:60)),_xlfn.XLOOKUP($C60,'Premade Flavors'!$A:$A,'Premade Flavors'!B:B),_xlfn.XLOOKUP("What Ice Cream Base Do You Want To Change It To?",[1]Sheet1!$1:$1,[1]Sheet1!60:60)),_xlfn.XLOOKUP(_xlfn.XLOOKUP("What Kind Of Ice Cream Base Do You Want? ",[1]Sheet1!$1:$1,[1]Sheet1!60:60),'Milk Types Nutrition Per Cup'!O:O,'Milk Types Nutrition Per Cup'!P:P,""))</f>
        <v>Heavy Cream</v>
      </c>
      <c r="E60" s="31" t="str">
        <f>IF(COUNTIF('Premade Flavors'!$A:$A, $C60) &gt; 0,IF(ISBLANK(_xlfn.XLOOKUP("What Ice Cream Base Do You Want To Change It To?",[1]Sheet1!$1:$1,[1]Sheet1!60:60)),_xlfn.XLOOKUP($C60,'Premade Flavors'!$A:$A,'Premade Flavors'!C:C),_xlfn.XLOOKUP("What Ice Cream Base Do You Want To Change It To?",[1]Sheet1!$1:$1,[1]Sheet1!60:60)),_xlfn.XLOOKUP(_xlfn.XLOOKUP("What Kind Of Ice Cream Base Do You Want? ",[1]Sheet1!$1:$1,[1]Sheet1!60:60),'Milk Types Nutrition Per Cup'!$O:$O,'Milk Types Nutrition Per Cup'!$Q:$Q,""))</f>
        <v>Half and Half</v>
      </c>
      <c r="F60" s="31" t="str">
        <f>IF(COUNTIF('Premade Flavors'!$A:$A, $C60) &gt; 0,_xlfn.XLOOKUP($C60,'Premade Flavors'!$A:$A,'Premade Flavors'!E:E),_xlfn.XLOOKUP("What's The First Flavor You Want? ",[1]Sheet1!$1:$1,[1]Sheet1!60:60))</f>
        <v>Instant Coffee (Jamaican Moutain Peak)</v>
      </c>
      <c r="G60" s="31">
        <f>IF(COUNTIF('Premade Flavors'!$A:$A, $C60) &gt; 0,_xlfn.XLOOKUP($C60,'Premade Flavors'!$A:$A,'Premade Flavors'!F:F),_xlfn.XLOOKUP("What's the Second Flavor You Want?",[1]Sheet1!$1:$1,[1]Sheet1!60:60))</f>
        <v>0</v>
      </c>
      <c r="H60" s="31" t="str">
        <f>IF(COUNTIF('Premade Flavors'!$A:$A, $C60) &gt; 0,_xlfn.XLOOKUP($C60,'Premade Flavors'!$A:$A,'Premade Flavors'!G:G),_xlfn.XLOOKUP("What's The First Mix In That You Want? ",[1]Sheet1!$1:$1,[1]Sheet1!60:60))</f>
        <v>Brownies</v>
      </c>
      <c r="I60" s="31" t="str">
        <f>IF(COUNTIF('Premade Flavors'!$A:$A, $C60) &gt; 0,_xlfn.XLOOKUP($C60,'Premade Flavors'!$A:$A,'Premade Flavors'!H:H),_xlfn.XLOOKUP("What's The Second Mix In That You Want? ",[1]Sheet1!$1:$1,[1]Sheet1!60:60))</f>
        <v>Homemade Chocolate Chip Cookes (Dough or Baked)</v>
      </c>
      <c r="J60" s="31" t="str">
        <f>IF(COUNTIF('Premade Flavors'!$A:$A,$C60)&gt;0,IF(_xlfn.XLOOKUP("Should It Use Sugar or A Non-Sugar Sweetner?",[1]Sheet1!$1:$1,[1]Sheet1!60:60)="Sugar",_xlfn.XLOOKUP($C60,'Premade Flavors'!$A:$A,'Premade Flavors'!I:I),"Stevia"),_xlfn.XLOOKUP("What Sweetner Do You Want?",[1]Sheet1!$1:$1,[1]Sheet1!60:60))</f>
        <v>Sugar</v>
      </c>
      <c r="K60" s="31"/>
      <c r="L60" s="77" t="str">
        <f>_xlfn.XLOOKUP("How Much Ice Cream Do You Want?",[1]Sheet1!$1:$1,[1]Sheet1!60:60)</f>
        <v>Quart</v>
      </c>
      <c r="M60" s="45" t="s">
        <v>450</v>
      </c>
      <c r="N60" s="45">
        <f>IF(COUNTIF('Premade Flavors'!$A:$A, $C60) &gt; 0,_xlfn.XLOOKUP($C60,'Premade Flavors'!$A:$A,'Premade Flavors'!N:N),_xlfn.XLOOKUP("How Strong Do You Want The Second Flavor?",[1]Sheet1!$1:$1,[1]Sheet1!60:60))</f>
        <v>0</v>
      </c>
      <c r="O60" s="45" t="str">
        <f>IF(COUNTIF('Premade Flavors'!$A:$A, $C60) &gt; 0,_xlfn.XLOOKUP($C60,'Premade Flavors'!$A:$A,'Premade Flavors'!O:O),_xlfn.XLOOKUP("How Dense Should the Mix Ins Be?",[1]Sheet1!$1:$1,[1]Sheet1!60:60))</f>
        <v>Heavy (35%)</v>
      </c>
      <c r="P60" s="45" t="str">
        <f>IF(COUNTIF('Premade Flavors'!$A:$A, $C60) &gt; 0,_xlfn.XLOOKUP($C60,'Premade Flavors'!$A:$A,'Premade Flavors'!P:P),_xlfn.XLOOKUP("How Much Of The First Sweetner? ",[1]Sheet1!$1:$1,[1]Sheet1!60:60))</f>
        <v>1:1 Sweet</v>
      </c>
      <c r="Q60" s="45">
        <f>IF(COUNTIF('Premade Flavors'!$A:$A, $C60) &gt; 0,_xlfn.XLOOKUP($C60,'Premade Flavors'!$A:$A,'Premade Flavors'!Q:Q),[2]Sheet1!S60)</f>
        <v>0</v>
      </c>
      <c r="R60" s="30">
        <f>(_xlfn.XLOOKUP($L60,Specs!A:A,Specs!B:B,0)-(IF(_xlfn.XLOOKUP($F60,'Liquid Mix In Nutrition'!A:A,'Liquid Mix In Nutrition'!J:J,0)="Yes",0,$T60))-(IF(_xlfn.XLOOKUP($G60,'Liquid Mix In Nutrition'!A:A,'Liquid Mix In Nutrition'!J:J,0)="Yes",0,$U60))-(($V60/MAX(1,_xlfn.XLOOKUP($H60,'Solid Mix In Nutrition'!A:A,'Solid Mix In Nutrition'!I:I,1)))*240)-(($W60/MAX(1,_xlfn.XLOOKUP($I60,'Solid Mix In Nutrition'!A:A,'Solid Mix In Nutrition'!I:I,1)))*240))*0.66</f>
        <v>395.93400000000008</v>
      </c>
      <c r="S60" s="30">
        <f>(_xlfn.XLOOKUP($L60,Specs!A:A,Specs!B:B,0)-(IF(_xlfn.XLOOKUP($F60,'Liquid Mix In Nutrition'!A:A,'Liquid Mix In Nutrition'!J:J,0)="Yes",0,$T60))-(IF(_xlfn.XLOOKUP($G60,'Liquid Mix In Nutrition'!A:A,'Liquid Mix In Nutrition'!J:J,0)="Yes",0,$U60))-(($V60/MAX(1,_xlfn.XLOOKUP($H60,'Solid Mix In Nutrition'!A:A,'Solid Mix In Nutrition'!I:I,1)))*240)-(($W60/MAX(1,_xlfn.XLOOKUP($I60,'Solid Mix In Nutrition'!A:A,'Solid Mix In Nutrition'!I:I,1)))*240))*0.33</f>
        <v>197.96700000000004</v>
      </c>
      <c r="T60" s="30">
        <f>_xlfn.XLOOKUP($M60,Specs!$D:$D,Specs!$E:$E,0)*15*_xlfn.XLOOKUP($L60,Specs!$A:$A,Specs!$C:$C,0)</f>
        <v>15</v>
      </c>
      <c r="U60" s="30">
        <f>_xlfn.XLOOKUP($N60,Specs!$D:$D,Specs!$E:$E,0)*15*_xlfn.XLOOKUP($L60,Specs!$A:$A,Specs!$C:$C,0)</f>
        <v>0</v>
      </c>
      <c r="V60" s="30">
        <f>( ((_xlfn.XLOOKUP($O60,Specs!$H:$H,Specs!$I:$I,0)*_xlfn.XLOOKUP($L60,Specs!$A:$A,Specs!$B:$B,0))/240) *_xlfn.XLOOKUP($H60,'Solid Mix In Nutrition'!A:A,'Solid Mix In Nutrition'!I:I,0)) *IF(AND(NOT($I60=0), COUNTA($I60)),0.5,1)</f>
        <v>165.54999999999998</v>
      </c>
      <c r="W60" s="30">
        <f>( ((_xlfn.XLOOKUP($O60,Specs!$H:$H,Specs!$I:$I,0)*_xlfn.XLOOKUP($L60,Specs!$A:$A,Specs!$B:$B,0))/240) *_xlfn.XLOOKUP($I60,'Solid Mix In Nutrition'!A:A,'Solid Mix In Nutrition'!I:I,0)) *IF(AND(NOT($I60=0), COUNTA($I60)),0.5,0)</f>
        <v>165.54999999999998</v>
      </c>
      <c r="X60" s="30">
        <f>_xlfn.XLOOKUP($P60,Specs!F:F,Specs!G:G,0)*_xlfn.XLOOKUP($J60,'Sweetener Mix In Nutrition'!A:A,'Sweetener Mix In Nutrition'!I:I,0)*_xlfn.XLOOKUP($L60,Specs!A:A,Specs!C:C,0)</f>
        <v>100</v>
      </c>
      <c r="Y60" s="30">
        <f>_xlfn.XLOOKUP($Q60,Specs!F:F,Specs!G:G,0)*_xlfn.XLOOKUP($K60,'Sweetener Mix In Nutrition'!A:A,'Sweetener Mix In Nutrition'!I:I,0)*_xlfn.XLOOKUP($L60,Specs!A:A,Specs!C:C,0)</f>
        <v>0</v>
      </c>
      <c r="Z60" s="34">
        <f t="shared" si="2"/>
        <v>0.85068120000000003</v>
      </c>
      <c r="AA60" s="35">
        <f t="shared" si="3"/>
        <v>0.25</v>
      </c>
      <c r="AB60" s="36">
        <f>(($R60 / 240) * _xlfn.XLOOKUP($D60,'Milk Types Nutrition Per Cup'!A:A,'Milk Types Nutrition Per Cup'!B:B,0)) +(($S60 / 240)  * _xlfn.XLOOKUP($E60,'Milk Types Nutrition Per Cup'!A:A,'Milk Types Nutrition Per Cup'!B:B,0)) +(($T60 / 15)  * _xlfn.XLOOKUP($F60,'Liquid Mix In Nutrition'!A:A,'Liquid Mix In Nutrition'!B:B,0))+(($U60 / 15)  * _xlfn.XLOOKUP($G60,'Liquid Mix In Nutrition'!A:A,'Liquid Mix In Nutrition'!B:B,0))+(($V60 /MAX(1, _xlfn.XLOOKUP($H60,'Solid Mix In Nutrition'!A:A,'Solid Mix In Nutrition'!I:I,1)))  * _xlfn.XLOOKUP($H60,'Solid Mix In Nutrition'!A:A,'Solid Mix In Nutrition'!B:B,0))+(($W60 / MAX(1, _xlfn.XLOOKUP($I60,'Solid Mix In Nutrition'!A:A,'Solid Mix In Nutrition'!I:I,1))))+(($X60 / 100)  * _xlfn.XLOOKUP($J60,'Sweetener Mix In Nutrition'!A:A,'Sweetener Mix In Nutrition'!B:B,0))+(($Y60 / 100)  * _xlfn.XLOOKUP($K60,'Sweetener Mix In Nutrition'!A:A,'Sweetener Mix In Nutrition'!B:B,0))</f>
        <v>2976.8507916666667</v>
      </c>
      <c r="AC60" s="36">
        <f>(($R60 / 240) * _xlfn.XLOOKUP($D60,'Milk Types Nutrition Per Cup'!A:A,'Milk Types Nutrition Per Cup'!E:E,0)) +(($S60 / 240)  * _xlfn.XLOOKUP($E60,'Milk Types Nutrition Per Cup'!A:A,'Milk Types Nutrition Per Cup'!E:E,0)) +(($T60 / 15)  * _xlfn.XLOOKUP($F60,'Liquid Mix In Nutrition'!A:A,'Liquid Mix In Nutrition'!E:E,0)) +(($U60 / 15)  * _xlfn.XLOOKUP($G60,'Liquid Mix In Nutrition'!A:A,'Liquid Mix In Nutrition'!E:E,0))+(($V60 / MAX(1, _xlfn.XLOOKUP($H60,'Solid Mix In Nutrition'!A:A,'Solid Mix In Nutrition'!I:I,1)))  * _xlfn.XLOOKUP($H60,'Solid Mix In Nutrition'!A:A,'Solid Mix In Nutrition'!E:E,0))+(($W60 / MAX(1, _xlfn.XLOOKUP($I60,'Solid Mix In Nutrition'!A:A,'Solid Mix In Nutrition'!I:I,1)))  * _xlfn.XLOOKUP($I60,'Solid Mix In Nutrition'!A:A,'Solid Mix In Nutrition'!G:G,0))+(($X60 / 100)  * _xlfn.XLOOKUP($J60,'Sweetener Mix In Nutrition'!A:A,'Sweetener Mix In Nutrition'!E:E,0))+(($Y60 / 100)  * _xlfn.XLOOKUP($K60,'Sweetener Mix In Nutrition'!A:A,'Sweetener Mix In Nutrition'!E:E,0))</f>
        <v>210.15654731047596</v>
      </c>
      <c r="AD60" s="36">
        <f>(($R60 / 240) * _xlfn.XLOOKUP($D60,'Milk Types Nutrition Per Cup'!A:A,'Milk Types Nutrition Per Cup'!E:E,0)) +(($S60 / 240)  * _xlfn.XLOOKUP($E60,'Milk Types Nutrition Per Cup'!A:A,'Milk Types Nutrition Per Cup'!E:E,0)) +(($T60 / 15)  * _xlfn.XLOOKUP($F60,'Liquid Mix In Nutrition'!A:A,'Liquid Mix In Nutrition'!E:E,0)) +(($U60 / 15)  * _xlfn.XLOOKUP($G60,'Liquid Mix In Nutrition'!A:A,'Liquid Mix In Nutrition'!E:E,0))+(($X60 / 100)  * _xlfn.XLOOKUP($J60,'Sweetener Mix In Nutrition'!A:A,'Sweetener Mix In Nutrition'!E:E,0))+(($Y60 / 100)  * _xlfn.XLOOKUP($K60,'Sweetener Mix In Nutrition'!A:A,'Sweetener Mix In Nutrition'!E:E,0))</f>
        <v>106.5989</v>
      </c>
      <c r="AE60" s="37">
        <f>(($R60 / 240) * _xlfn.XLOOKUP($D60,'Milk Types Nutrition Per Cup'!A:A,'Milk Types Nutrition Per Cup'!C:C,0)) +(($S60 / 240)  * _xlfn.XLOOKUP($E60,'Milk Types Nutrition Per Cup'!A:A,'Milk Types Nutrition Per Cup'!C:C,0)) +(($T60 / 15)  * _xlfn.XLOOKUP($F60,'Liquid Mix In Nutrition'!A:A,'Liquid Mix In Nutrition'!C:C,0))+(($U60 / 15)  * _xlfn.XLOOKUP($G60,'Liquid Mix In Nutrition'!A:A,'Liquid Mix In Nutrition'!C:C,0))+(($V60 / MAX(1, _xlfn.XLOOKUP($H60,'Solid Mix In Nutrition'!A:A,'Solid Mix In Nutrition'!I:I,1)))  * _xlfn.XLOOKUP($H60,'Solid Mix In Nutrition'!A:A,'Solid Mix In Nutrition'!C:C,0))+(($W60 / MAX(1, _xlfn.XLOOKUP($I60,'Solid Mix In Nutrition'!A:A,'Solid Mix In Nutrition'!I:I,1)))  * _xlfn.XLOOKUP($I60,'Solid Mix In Nutrition'!A:A,'Solid Mix In Nutrition'!C:C,0))+(($X60 / 100)  * _xlfn.XLOOKUP($J60,'Sweetener Mix In Nutrition'!A:A,'Sweetener Mix In Nutrition'!C:C,0))+(($Y60 / 100)  * _xlfn.XLOOKUP($K60,'Sweetener Mix In Nutrition'!A:A,'Sweetener Mix In Nutrition'!C:C,0))</f>
        <v>262.34434986844991</v>
      </c>
      <c r="AF60" s="38">
        <f>$AE60 / (_xlfn.XLOOKUP($L60,Specs!A:A,Specs!B:B,0))</f>
        <v>0.27731960874043332</v>
      </c>
      <c r="AG60" s="37">
        <f>60* ($AB60 / _xlfn.XLOOKUP($L60,Specs!A:A,Specs!B:B,0))</f>
        <v>188.80660412262156</v>
      </c>
      <c r="AH60" s="37">
        <f>60* (AC60 / _xlfn.XLOOKUP($L60,Specs!$A:$A,Specs!$B:$B,0))</f>
        <v>13.329167905527017</v>
      </c>
      <c r="AI60" s="37">
        <f>60* (AE60 / _xlfn.XLOOKUP($L60,Specs!$A:$A,Specs!$B:$B,0))</f>
        <v>16.639176524425999</v>
      </c>
      <c r="AJ60" s="39">
        <f>(($R60 / 240) * _xlfn.XLOOKUP($D60,'Milk Types Nutrition Per Cup'!A:A,'Milk Types Nutrition Per Cup'!F:F,0)) +(($S60 / 240)  * _xlfn.XLOOKUP($E60,'Milk Types Nutrition Per Cup'!A:A,'Milk Types Nutrition Per Cup'!F:F,0)) +(($T60 / 15)  * _xlfn.XLOOKUP($F60,'Liquid Mix In Nutrition'!A:A,'Liquid Mix In Nutrition'!F:F,0))+(($U60 / 15)  * _xlfn.XLOOKUP($G60,'Liquid Mix In Nutrition'!A:A,'Liquid Mix In Nutrition'!F:F,0))+(($V60 / MAX(1, _xlfn.XLOOKUP($H60,'Solid Mix In Nutrition'!A:A,'Solid Mix In Nutrition'!I:I,1)))  * _xlfn.XLOOKUP($H60,'Solid Mix In Nutrition'!A:A,'Solid Mix In Nutrition'!F:F,0))+(($W60 / MAX(1, _xlfn.XLOOKUP($I60,'Solid Mix In Nutrition'!A:A,'Solid Mix In Nutrition'!I:I,1)))  * _xlfn.XLOOKUP($I60,'Solid Mix In Nutrition'!A:A,'Solid Mix In Nutrition'!F:F,0))+(($X60 / 100)  * _xlfn.XLOOKUP($J60,'Sweetener Mix In Nutrition'!A:A,'Sweetener Mix In Nutrition'!F:F,0))+(($Y60 / 100)  * _xlfn.XLOOKUP($K60,'Sweetener Mix In Nutrition'!A:A,'Sweetener Mix In Nutrition'!F:F,0))</f>
        <v>5.5163536043881365</v>
      </c>
      <c r="AK60" s="46">
        <f>[2]Sheet1!AG60</f>
        <v>0</v>
      </c>
      <c r="AL60" s="47">
        <v>12.1</v>
      </c>
      <c r="AM60" s="40">
        <f>IF(ISERROR(((AL60/Specs!$L$3)*Specs!$L$2)*2),0,ROUNDUP((((AL60/Specs!$L$3)*Specs!$L$2)*2),0))</f>
        <v>4</v>
      </c>
      <c r="AN60" s="48">
        <f>ROUNDUP(((AJ60+Specs!$R$2+Specs!$S$2+_xlfn.XLOOKUP($L60,Specs!A:A,Specs!V:V,0))*Specs!$N$2)+AM60,0)</f>
        <v>18</v>
      </c>
      <c r="AO60" s="40">
        <f>ROUNDUP(((AJ60+Specs!$R$2+Specs!$S$2+_xlfn.XLOOKUP($L60,Specs!A:A,Specs!V:V,0))*Specs!$N$2),0)</f>
        <v>14</v>
      </c>
      <c r="AP60" s="30" t="s">
        <v>210</v>
      </c>
      <c r="AQ60" t="str">
        <f>_xlfn.XLOOKUP("What's Your Number?",[1]Sheet1!$1:$1,[1]Sheet1!60:60)</f>
        <v>9108138323</v>
      </c>
    </row>
    <row r="61" spans="1:44" x14ac:dyDescent="0.25">
      <c r="A61" s="42" t="str">
        <f>_xlfn.CONCAT(_xlfn.XLOOKUP("What's Your Name?",[1]Sheet1!$1:$1,[1]Sheet1!61:61)," | ",TEXT(_xlfn.XLOOKUP("Completion time",[1]Sheet1!$1:$1,[1]Sheet1!61:61),"dddd, mmm dd, yyyy hh:mm AM/PM"))</f>
        <v>Tyler | Tuesday, Oct 29, 2024 02:26 PM</v>
      </c>
      <c r="B61" s="76" t="str">
        <f>_xlfn.XLOOKUP("What's Your Email Address?",[1]Sheet1!$1:$1,[1]Sheet1!61:61)</f>
        <v>tydonow25@gmail.com</v>
      </c>
      <c r="C61" s="31" t="str">
        <f>IF(ISBLANK(_xlfn.XLOOKUP("Which Flavor? (Pint Price | Quart Price | Half Gallon Price) (NOTE: Prices may fluctuate based on market conditions)",[1]Sheet1!$1:$1,[1]Sheet1!61:61)),_xlfn.XLOOKUP("Name Your Ice Cream!",[1]Sheet1!$1:$1,[1]Sheet1!61:61),IF(ISNUMBER(FIND("(", _xlfn.XLOOKUP("Which Flavor? (Pint Price | Quart Price | Half Gallon Price) (NOTE: Prices may fluctuate based on market conditions)",[1]Sheet1!$1:$1,[1]Sheet1!61:61))), LEFT(_xlfn.XLOOKUP("Which Flavor? (Pint Price | Quart Price | Half Gallon Price) (NOTE: Prices may fluctuate based on market conditions)",[1]Sheet1!$1:$1,[1]Sheet1!61:61), FIND("(", _xlfn.XLOOKUP("Which Flavor? (Pint Price | Quart Price | Half Gallon Price) (NOTE: Prices may fluctuate based on market conditions)",[1]Sheet1!$1:$1,[1]Sheet1!61:61)) - 1), _xlfn.XLOOKUP("Which Flavor? (Pint Price | Quart Price | Half Gallon Price) (NOTE: Prices may fluctuate based on market conditions)",[1]Sheet1!$1:$1,[1]Sheet1!61:61)))</f>
        <v>Cake Cake Cake</v>
      </c>
      <c r="D61" s="31" t="str">
        <f>IF(COUNTIF('Premade Flavors'!$A:$A, $C61) &gt; 0,IF(ISBLANK(_xlfn.XLOOKUP("What Ice Cream Base Do You Want To Change It To?",[1]Sheet1!$1:$1,[1]Sheet1!61:61)),_xlfn.XLOOKUP($C61,'Premade Flavors'!$A:$A,'Premade Flavors'!B:B),_xlfn.XLOOKUP("What Ice Cream Base Do You Want To Change It To?",[1]Sheet1!$1:$1,[1]Sheet1!61:61)),_xlfn.XLOOKUP(_xlfn.XLOOKUP("What Kind Of Ice Cream Base Do You Want? ",[1]Sheet1!$1:$1,[1]Sheet1!61:61),'Milk Types Nutrition Per Cup'!O:O,'Milk Types Nutrition Per Cup'!P:P,""))</f>
        <v>Heavy Cream</v>
      </c>
      <c r="E61" s="31" t="str">
        <f>IF(COUNTIF('Premade Flavors'!$A:$A, $C61) &gt; 0,IF(ISBLANK(_xlfn.XLOOKUP("What Ice Cream Base Do You Want To Change It To?",[1]Sheet1!$1:$1,[1]Sheet1!61:61)),_xlfn.XLOOKUP($C61,'Premade Flavors'!$A:$A,'Premade Flavors'!C:C),_xlfn.XLOOKUP("What Ice Cream Base Do You Want To Change It To?",[1]Sheet1!$1:$1,[1]Sheet1!61:61)),_xlfn.XLOOKUP(_xlfn.XLOOKUP("What Kind Of Ice Cream Base Do You Want? ",[1]Sheet1!$1:$1,[1]Sheet1!61:61),'Milk Types Nutrition Per Cup'!$O:$O,'Milk Types Nutrition Per Cup'!$Q:$Q,""))</f>
        <v>Half and Half</v>
      </c>
      <c r="F61" s="31" t="str">
        <f>IF(COUNTIF('Premade Flavors'!$A:$A, $C61) &gt; 0,_xlfn.XLOOKUP($C61,'Premade Flavors'!$A:$A,'Premade Flavors'!E:E),_xlfn.XLOOKUP("What's The First Flavor You Want? ",[1]Sheet1!$1:$1,[1]Sheet1!61:61))</f>
        <v>Cake Batter Extract</v>
      </c>
      <c r="G61" s="31" t="str">
        <f>IF(COUNTIF('Premade Flavors'!$A:$A, $C61) &gt; 0,_xlfn.XLOOKUP($C61,'Premade Flavors'!$A:$A,'Premade Flavors'!F:F),_xlfn.XLOOKUP("What's the Second Flavor You Want?",[1]Sheet1!$1:$1,[1]Sheet1!61:61))</f>
        <v>Nutella</v>
      </c>
      <c r="H61" s="31" t="s">
        <v>117</v>
      </c>
      <c r="I61" t="s">
        <v>422</v>
      </c>
      <c r="J61" s="31" t="str">
        <f>IF(COUNTIF('Premade Flavors'!$A:$A,$C61)&gt;0,IF(_xlfn.XLOOKUP("Should It Use Sugar or A Non-Sugar Sweetner?",[1]Sheet1!$1:$1,[1]Sheet1!61:61)="Sugar",_xlfn.XLOOKUP($C61,'Premade Flavors'!$A:$A,'Premade Flavors'!I:I),"Stevia"),_xlfn.XLOOKUP("What Sweetner Do You Want?",[1]Sheet1!$1:$1,[1]Sheet1!61:61))</f>
        <v>Sugar</v>
      </c>
      <c r="K61" s="31"/>
      <c r="L61" s="77" t="str">
        <f>_xlfn.XLOOKUP("How Much Ice Cream Do You Want?",[1]Sheet1!$1:$1,[1]Sheet1!61:61)</f>
        <v>Quart</v>
      </c>
      <c r="M61" s="45" t="str">
        <f>IF(COUNTIF('Premade Flavors'!$A:$A, $C61) &gt; 0,_xlfn.XLOOKUP($C61,'Premade Flavors'!$A:$A,'Premade Flavors'!M:M),_xlfn.XLOOKUP("How Strong Do You Want The First Flavor?",[1]Sheet1!$1:$1,[1]Sheet1!61:61))</f>
        <v>Light (For pastes and extracts)</v>
      </c>
      <c r="N61" s="45" t="s">
        <v>10</v>
      </c>
      <c r="O61" s="45" t="str">
        <f>IF(COUNTIF('Premade Flavors'!$A:$A, $C61) &gt; 0,_xlfn.XLOOKUP($C61,'Premade Flavors'!$A:$A,'Premade Flavors'!O:O),_xlfn.XLOOKUP("How Dense Should the Mix Ins Be?",[1]Sheet1!$1:$1,[1]Sheet1!61:61))</f>
        <v>Normal (25%)</v>
      </c>
      <c r="P61" s="45" t="str">
        <f>IF(COUNTIF('Premade Flavors'!$A:$A, $C61) &gt; 0,_xlfn.XLOOKUP($C61,'Premade Flavors'!$A:$A,'Premade Flavors'!P:P),_xlfn.XLOOKUP("How Much Of The First Sweetner? ",[1]Sheet1!$1:$1,[1]Sheet1!61:61))</f>
        <v>1:1 Sweet</v>
      </c>
      <c r="Q61" s="45">
        <f>IF(COUNTIF('Premade Flavors'!$A:$A, $C61) &gt; 0,_xlfn.XLOOKUP($C61,'Premade Flavors'!$A:$A,'Premade Flavors'!Q:Q),[2]Sheet1!S61)</f>
        <v>0</v>
      </c>
      <c r="R61" s="30">
        <f>(_xlfn.XLOOKUP($L61,Specs!A:A,Specs!B:B,0)-(IF(_xlfn.XLOOKUP($F61,'Liquid Mix In Nutrition'!A:A,'Liquid Mix In Nutrition'!J:J,0)="Yes",0,$T61))-(IF(_xlfn.XLOOKUP($G61,'Liquid Mix In Nutrition'!A:A,'Liquid Mix In Nutrition'!J:J,0)="Yes",0,$U61))-(($V61/MAX(1,_xlfn.XLOOKUP($H61,'Solid Mix In Nutrition'!A:A,'Solid Mix In Nutrition'!I:I,1)))*240)-(($W61/MAX(1,_xlfn.XLOOKUP($I61,'Solid Mix In Nutrition'!A:A,'Solid Mix In Nutrition'!I:I,1)))*240))*0.66</f>
        <v>418.77000000000004</v>
      </c>
      <c r="S61" s="30">
        <f>(_xlfn.XLOOKUP($L61,Specs!A:A,Specs!B:B,0)-(IF(_xlfn.XLOOKUP($F61,'Liquid Mix In Nutrition'!A:A,'Liquid Mix In Nutrition'!J:J,0)="Yes",0,$T61))-(IF(_xlfn.XLOOKUP($G61,'Liquid Mix In Nutrition'!A:A,'Liquid Mix In Nutrition'!J:J,0)="Yes",0,$U61))-(($V61/MAX(1,_xlfn.XLOOKUP($H61,'Solid Mix In Nutrition'!A:A,'Solid Mix In Nutrition'!I:I,1)))*240)-(($W61/MAX(1,_xlfn.XLOOKUP($I61,'Solid Mix In Nutrition'!A:A,'Solid Mix In Nutrition'!I:I,1)))*240))*0.33</f>
        <v>209.38500000000002</v>
      </c>
      <c r="T61" s="30">
        <f>_xlfn.XLOOKUP($M61,Specs!$D:$D,Specs!$E:$E,0)*15*_xlfn.XLOOKUP($L61,Specs!$A:$A,Specs!$C:$C,0)</f>
        <v>15</v>
      </c>
      <c r="U61" s="30">
        <f>_xlfn.XLOOKUP($N61,Specs!$D:$D,Specs!$E:$E,0)*15*_xlfn.XLOOKUP($L61,Specs!$A:$A,Specs!$C:$C,0)</f>
        <v>60</v>
      </c>
      <c r="V61" s="30">
        <f>( ((_xlfn.XLOOKUP($O61,Specs!$H:$H,Specs!$I:$I,0)*_xlfn.XLOOKUP($L61,Specs!$A:$A,Specs!$B:$B,0))/240) *_xlfn.XLOOKUP($H61,'Solid Mix In Nutrition'!A:A,'Solid Mix In Nutrition'!I:I,0)) *IF(AND(NOT($I61=0), COUNTA($I61)),0.5,1)</f>
        <v>94.600000000000009</v>
      </c>
      <c r="W61" s="30">
        <f>( ((_xlfn.XLOOKUP($O61,Specs!$H:$H,Specs!$I:$I,0)*_xlfn.XLOOKUP($L61,Specs!$A:$A,Specs!$B:$B,0))/240) *_xlfn.XLOOKUP($I61,'Solid Mix In Nutrition'!A:A,'Solid Mix In Nutrition'!I:I,0)) *IF(AND(NOT($I61=0), COUNTA($I61)),0.5,0)</f>
        <v>74.39895833333334</v>
      </c>
      <c r="X61" s="30">
        <f>_xlfn.XLOOKUP($P61,Specs!F:F,Specs!G:G,0)*_xlfn.XLOOKUP($J61,'Sweetener Mix In Nutrition'!A:A,'Sweetener Mix In Nutrition'!I:I,0)*_xlfn.XLOOKUP($L61,Specs!A:A,Specs!C:C,0)</f>
        <v>100</v>
      </c>
      <c r="Y61" s="30">
        <f>_xlfn.XLOOKUP($Q61,Specs!F:F,Specs!G:G,0)*_xlfn.XLOOKUP($K61,'Sweetener Mix In Nutrition'!A:A,'Sweetener Mix In Nutrition'!I:I,0)*_xlfn.XLOOKUP($L61,Specs!A:A,Specs!C:C,0)</f>
        <v>0</v>
      </c>
      <c r="Z61" s="34">
        <f t="shared" si="2"/>
        <v>0.89178600000000008</v>
      </c>
      <c r="AA61" s="35">
        <f t="shared" si="3"/>
        <v>0.25</v>
      </c>
      <c r="AB61" s="36">
        <f>(($R61 / 240) * _xlfn.XLOOKUP($D61,'Milk Types Nutrition Per Cup'!A:A,'Milk Types Nutrition Per Cup'!B:B,0)) +(($S61 / 240)  * _xlfn.XLOOKUP($E61,'Milk Types Nutrition Per Cup'!A:A,'Milk Types Nutrition Per Cup'!B:B,0)) +(($T61 / 15)  * _xlfn.XLOOKUP($F61,'Liquid Mix In Nutrition'!A:A,'Liquid Mix In Nutrition'!B:B,0))+(($U61 / 15)  * _xlfn.XLOOKUP($G61,'Liquid Mix In Nutrition'!A:A,'Liquid Mix In Nutrition'!B:B,0))+(($V61 /MAX(1, _xlfn.XLOOKUP($H61,'Solid Mix In Nutrition'!A:A,'Solid Mix In Nutrition'!I:I,1)))  * _xlfn.XLOOKUP($H61,'Solid Mix In Nutrition'!A:A,'Solid Mix In Nutrition'!B:B,0))+(($W61 / MAX(1, _xlfn.XLOOKUP($I61,'Solid Mix In Nutrition'!A:A,'Solid Mix In Nutrition'!I:I,1))))+(($X61 / 100)  * _xlfn.XLOOKUP($J61,'Sweetener Mix In Nutrition'!A:A,'Sweetener Mix In Nutrition'!B:B,0))+(($Y61 / 100)  * _xlfn.XLOOKUP($K61,'Sweetener Mix In Nutrition'!A:A,'Sweetener Mix In Nutrition'!B:B,0))</f>
        <v>2883.2227083333332</v>
      </c>
      <c r="AC61" s="36">
        <f>(($R61 / 240) * _xlfn.XLOOKUP($D61,'Milk Types Nutrition Per Cup'!A:A,'Milk Types Nutrition Per Cup'!E:E,0)) +(($S61 / 240)  * _xlfn.XLOOKUP($E61,'Milk Types Nutrition Per Cup'!A:A,'Milk Types Nutrition Per Cup'!E:E,0)) +(($T61 / 15)  * _xlfn.XLOOKUP($F61,'Liquid Mix In Nutrition'!A:A,'Liquid Mix In Nutrition'!E:E,0)) +(($U61 / 15)  * _xlfn.XLOOKUP($G61,'Liquid Mix In Nutrition'!A:A,'Liquid Mix In Nutrition'!E:E,0))+(($V61 / MAX(1, _xlfn.XLOOKUP($H61,'Solid Mix In Nutrition'!A:A,'Solid Mix In Nutrition'!I:I,1)))  * _xlfn.XLOOKUP($H61,'Solid Mix In Nutrition'!A:A,'Solid Mix In Nutrition'!E:E,0))+(($W61 / MAX(1, _xlfn.XLOOKUP($I61,'Solid Mix In Nutrition'!A:A,'Solid Mix In Nutrition'!I:I,1)))  * _xlfn.XLOOKUP($I61,'Solid Mix In Nutrition'!A:A,'Solid Mix In Nutrition'!G:G,0))+(($X61 / 100)  * _xlfn.XLOOKUP($J61,'Sweetener Mix In Nutrition'!A:A,'Sweetener Mix In Nutrition'!E:E,0))+(($Y61 / 100)  * _xlfn.XLOOKUP($K61,'Sweetener Mix In Nutrition'!A:A,'Sweetener Mix In Nutrition'!E:E,0))</f>
        <v>194.40863166666668</v>
      </c>
      <c r="AD61" s="36">
        <f>(($R61 / 240) * _xlfn.XLOOKUP($D61,'Milk Types Nutrition Per Cup'!A:A,'Milk Types Nutrition Per Cup'!E:E,0)) +(($S61 / 240)  * _xlfn.XLOOKUP($E61,'Milk Types Nutrition Per Cup'!A:A,'Milk Types Nutrition Per Cup'!E:E,0)) +(($T61 / 15)  * _xlfn.XLOOKUP($F61,'Liquid Mix In Nutrition'!A:A,'Liquid Mix In Nutrition'!E:E,0)) +(($U61 / 15)  * _xlfn.XLOOKUP($G61,'Liquid Mix In Nutrition'!A:A,'Liquid Mix In Nutrition'!E:E,0))+(($X61 / 100)  * _xlfn.XLOOKUP($J61,'Sweetener Mix In Nutrition'!A:A,'Sweetener Mix In Nutrition'!E:E,0))+(($Y61 / 100)  * _xlfn.XLOOKUP($K61,'Sweetener Mix In Nutrition'!A:A,'Sweetener Mix In Nutrition'!E:E,0))</f>
        <v>143.77949999999998</v>
      </c>
      <c r="AE61" s="37">
        <f>(($R61 / 240) * _xlfn.XLOOKUP($D61,'Milk Types Nutrition Per Cup'!A:A,'Milk Types Nutrition Per Cup'!C:C,0)) +(($S61 / 240)  * _xlfn.XLOOKUP($E61,'Milk Types Nutrition Per Cup'!A:A,'Milk Types Nutrition Per Cup'!C:C,0)) +(($T61 / 15)  * _xlfn.XLOOKUP($F61,'Liquid Mix In Nutrition'!A:A,'Liquid Mix In Nutrition'!C:C,0))+(($U61 / 15)  * _xlfn.XLOOKUP($G61,'Liquid Mix In Nutrition'!A:A,'Liquid Mix In Nutrition'!C:C,0))+(($V61 / MAX(1, _xlfn.XLOOKUP($H61,'Solid Mix In Nutrition'!A:A,'Solid Mix In Nutrition'!I:I,1)))  * _xlfn.XLOOKUP($H61,'Solid Mix In Nutrition'!A:A,'Solid Mix In Nutrition'!C:C,0))+(($W61 / MAX(1, _xlfn.XLOOKUP($I61,'Solid Mix In Nutrition'!A:A,'Solid Mix In Nutrition'!I:I,1)))  * _xlfn.XLOOKUP($I61,'Solid Mix In Nutrition'!A:A,'Solid Mix In Nutrition'!C:C,0))+(($X61 / 100)  * _xlfn.XLOOKUP($J61,'Sweetener Mix In Nutrition'!A:A,'Sweetener Mix In Nutrition'!C:C,0))+(($Y61 / 100)  * _xlfn.XLOOKUP($K61,'Sweetener Mix In Nutrition'!A:A,'Sweetener Mix In Nutrition'!C:C,0))</f>
        <v>255.13770833333336</v>
      </c>
      <c r="AF61" s="38">
        <f>$AE61 / (_xlfn.XLOOKUP($L61,Specs!A:A,Specs!B:B,0))</f>
        <v>0.26970159443269914</v>
      </c>
      <c r="AG61" s="37">
        <f>60* ($AB61 / _xlfn.XLOOKUP($L61,Specs!A:A,Specs!B:B,0))</f>
        <v>182.8682478858351</v>
      </c>
      <c r="AH61" s="37">
        <f>60* (AC61 / _xlfn.XLOOKUP($L61,Specs!$A:$A,Specs!$B:$B,0))</f>
        <v>12.330357188160676</v>
      </c>
      <c r="AI61" s="37">
        <f>60* (AE61 / _xlfn.XLOOKUP($L61,Specs!$A:$A,Specs!$B:$B,0))</f>
        <v>16.182095665961949</v>
      </c>
      <c r="AJ61" s="39">
        <f>(($R61 / 240) * _xlfn.XLOOKUP($D61,'Milk Types Nutrition Per Cup'!A:A,'Milk Types Nutrition Per Cup'!F:F,0)) +(($S61 / 240)  * _xlfn.XLOOKUP($E61,'Milk Types Nutrition Per Cup'!A:A,'Milk Types Nutrition Per Cup'!F:F,0)) +(($T61 / 15)  * _xlfn.XLOOKUP($F61,'Liquid Mix In Nutrition'!A:A,'Liquid Mix In Nutrition'!F:F,0))+(($U61 / 15)  * _xlfn.XLOOKUP($G61,'Liquid Mix In Nutrition'!A:A,'Liquid Mix In Nutrition'!F:F,0))+(($V61 / MAX(1, _xlfn.XLOOKUP($H61,'Solid Mix In Nutrition'!A:A,'Solid Mix In Nutrition'!I:I,1)))  * _xlfn.XLOOKUP($H61,'Solid Mix In Nutrition'!A:A,'Solid Mix In Nutrition'!F:F,0))+(($W61 / MAX(1, _xlfn.XLOOKUP($I61,'Solid Mix In Nutrition'!A:A,'Solid Mix In Nutrition'!I:I,1)))  * _xlfn.XLOOKUP($I61,'Solid Mix In Nutrition'!A:A,'Solid Mix In Nutrition'!F:F,0))+(($X61 / 100)  * _xlfn.XLOOKUP($J61,'Sweetener Mix In Nutrition'!A:A,'Sweetener Mix In Nutrition'!F:F,0))+(($Y61 / 100)  * _xlfn.XLOOKUP($K61,'Sweetener Mix In Nutrition'!A:A,'Sweetener Mix In Nutrition'!F:F,0))</f>
        <v>6.6739883513382825</v>
      </c>
      <c r="AK61" s="46">
        <f>[2]Sheet1!AG61</f>
        <v>0</v>
      </c>
      <c r="AL61" s="47">
        <v>12.1</v>
      </c>
      <c r="AM61" s="40">
        <f>IF(ISERROR(((AL61/Specs!$L$3)*Specs!$L$2)*2),0,ROUNDUP((((AL61/Specs!$L$3)*Specs!$L$2)*2),0))</f>
        <v>4</v>
      </c>
      <c r="AN61" s="48">
        <f>ROUNDUP(((AJ61+Specs!$R$2+Specs!$S$2+_xlfn.XLOOKUP($L61,Specs!A:A,Specs!V:V,0))*Specs!$N$2)+AM61,0)</f>
        <v>20</v>
      </c>
      <c r="AO61" s="40">
        <f>ROUNDUP(((AJ61+Specs!$R$2+Specs!$S$2+_xlfn.XLOOKUP($L61,Specs!A:A,Specs!V:V,0))*Specs!$N$2),0)</f>
        <v>16</v>
      </c>
      <c r="AP61" s="30" t="s">
        <v>210</v>
      </c>
      <c r="AQ61" t="str">
        <f>_xlfn.XLOOKUP("What's Your Number?",[1]Sheet1!$1:$1,[1]Sheet1!61:61)</f>
        <v>7723703396</v>
      </c>
    </row>
    <row r="62" spans="1:44" x14ac:dyDescent="0.25">
      <c r="A62" s="42" t="str">
        <f>_xlfn.CONCAT(_xlfn.XLOOKUP("What's Your Name?",[1]Sheet1!$1:$1,[1]Sheet1!62:62)," | ",TEXT(_xlfn.XLOOKUP("Completion time",[1]Sheet1!$1:$1,[1]Sheet1!62:62),"dddd, mmm dd, yyyy hh:mm AM/PM"))</f>
        <v>Qadir | Tuesday, Oct 29, 2024 02:27 PM</v>
      </c>
      <c r="B62" s="76" t="str">
        <f>_xlfn.XLOOKUP("What's Your Email Address?",[1]Sheet1!$1:$1,[1]Sheet1!62:62)</f>
        <v>qadirhameed811@gmail.com</v>
      </c>
      <c r="C62" s="31" t="str">
        <f>IF(ISBLANK(_xlfn.XLOOKUP("Which Flavor? (Pint Price | Quart Price | Half Gallon Price) (NOTE: Prices may fluctuate based on market conditions)",[1]Sheet1!$1:$1,[1]Sheet1!62:62)),_xlfn.XLOOKUP("Name Your Ice Cream!",[1]Sheet1!$1:$1,[1]Sheet1!62:62),IF(ISNUMBER(FIND("(", _xlfn.XLOOKUP("Which Flavor? (Pint Price | Quart Price | Half Gallon Price) (NOTE: Prices may fluctuate based on market conditions)",[1]Sheet1!$1:$1,[1]Sheet1!62:62))), LEFT(_xlfn.XLOOKUP("Which Flavor? (Pint Price | Quart Price | Half Gallon Price) (NOTE: Prices may fluctuate based on market conditions)",[1]Sheet1!$1:$1,[1]Sheet1!62:62), FIND("(", _xlfn.XLOOKUP("Which Flavor? (Pint Price | Quart Price | Half Gallon Price) (NOTE: Prices may fluctuate based on market conditions)",[1]Sheet1!$1:$1,[1]Sheet1!62:62)) - 1), _xlfn.XLOOKUP("Which Flavor? (Pint Price | Quart Price | Half Gallon Price) (NOTE: Prices may fluctuate based on market conditions)",[1]Sheet1!$1:$1,[1]Sheet1!62:62)))</f>
        <v xml:space="preserve">Get Lost </v>
      </c>
      <c r="D62" s="31" t="str">
        <f>IF(COUNTIF('Premade Flavors'!$A:$A, $C62) &gt; 0,IF(ISBLANK(_xlfn.XLOOKUP("What Ice Cream Base Do You Want To Change It To?",[1]Sheet1!$1:$1,[1]Sheet1!62:62)),_xlfn.XLOOKUP($C62,'Premade Flavors'!$A:$A,'Premade Flavors'!B:B),_xlfn.XLOOKUP("What Ice Cream Base Do You Want To Change It To?",[1]Sheet1!$1:$1,[1]Sheet1!62:62)),_xlfn.XLOOKUP(_xlfn.XLOOKUP("What Kind Of Ice Cream Base Do You Want? ",[1]Sheet1!$1:$1,[1]Sheet1!62:62),'Milk Types Nutrition Per Cup'!O:O,'Milk Types Nutrition Per Cup'!P:P,""))</f>
        <v>Heavy Cream</v>
      </c>
      <c r="E62" s="31" t="str">
        <f>IF(COUNTIF('Premade Flavors'!$A:$A, $C62) &gt; 0,IF(ISBLANK(_xlfn.XLOOKUP("What Ice Cream Base Do You Want To Change It To?",[1]Sheet1!$1:$1,[1]Sheet1!62:62)),_xlfn.XLOOKUP($C62,'Premade Flavors'!$A:$A,'Premade Flavors'!C:C),_xlfn.XLOOKUP("What Ice Cream Base Do You Want To Change It To?",[1]Sheet1!$1:$1,[1]Sheet1!62:62)),_xlfn.XLOOKUP(_xlfn.XLOOKUP("What Kind Of Ice Cream Base Do You Want? ",[1]Sheet1!$1:$1,[1]Sheet1!62:62),'Milk Types Nutrition Per Cup'!$O:$O,'Milk Types Nutrition Per Cup'!$Q:$Q,""))</f>
        <v>2% Milk</v>
      </c>
      <c r="F62" s="31" t="str">
        <f>IF(COUNTIF('Premade Flavors'!$A:$A, $C62) &gt; 0,_xlfn.XLOOKUP($C62,'Premade Flavors'!$A:$A,'Premade Flavors'!E:E),_xlfn.XLOOKUP("What's The First Flavor You Want? ",[1]Sheet1!$1:$1,[1]Sheet1!62:62))</f>
        <v>Thin Mints Seasoning Blend</v>
      </c>
      <c r="G62" s="31">
        <f>IF(COUNTIF('Premade Flavors'!$A:$A, $C62) &gt; 0,_xlfn.XLOOKUP($C62,'Premade Flavors'!$A:$A,'Premade Flavors'!F:F),_xlfn.XLOOKUP("What's the Second Flavor You Want?",[1]Sheet1!$1:$1,[1]Sheet1!62:62))</f>
        <v>0</v>
      </c>
      <c r="H62" s="31" t="str">
        <f>IF(COUNTIF('Premade Flavors'!$A:$A, $C62) &gt; 0,_xlfn.XLOOKUP($C62,'Premade Flavors'!$A:$A,'Premade Flavors'!G:G),_xlfn.XLOOKUP("What's The First Mix In That You Want? ",[1]Sheet1!$1:$1,[1]Sheet1!62:62))</f>
        <v>Reeses Minis Unwrapped</v>
      </c>
      <c r="I62" s="31" t="str">
        <f>IF(COUNTIF('Premade Flavors'!$A:$A, $C62) &gt; 0,_xlfn.XLOOKUP($C62,'Premade Flavors'!$A:$A,'Premade Flavors'!H:H),_xlfn.XLOOKUP("What's The Second Mix In That You Want? ",[1]Sheet1!$1:$1,[1]Sheet1!62:62))</f>
        <v>Homemade Chocolate Chip Cookes (Dough or Baked)</v>
      </c>
      <c r="J62" s="31" t="str">
        <f>IF(COUNTIF('Premade Flavors'!$A:$A,$C62)&gt;0,IF(_xlfn.XLOOKUP("Should It Use Sugar or A Non-Sugar Sweetner?",[1]Sheet1!$1:$1,[1]Sheet1!62:62)="Sugar",_xlfn.XLOOKUP($C62,'Premade Flavors'!$A:$A,'Premade Flavors'!I:I),"Stevia"),_xlfn.XLOOKUP("What Sweetner Do You Want?",[1]Sheet1!$1:$1,[1]Sheet1!62:62))</f>
        <v>Sugar</v>
      </c>
      <c r="K62" s="31"/>
      <c r="L62" s="77" t="str">
        <f>_xlfn.XLOOKUP("How Much Ice Cream Do You Want?",[1]Sheet1!$1:$1,[1]Sheet1!62:62)</f>
        <v>Quart</v>
      </c>
      <c r="M62" s="45" t="s">
        <v>450</v>
      </c>
      <c r="N62" s="45">
        <f>IF(COUNTIF('Premade Flavors'!$A:$A, $C62) &gt; 0,_xlfn.XLOOKUP($C62,'Premade Flavors'!$A:$A,'Premade Flavors'!N:N),_xlfn.XLOOKUP("How Strong Do You Want The Second Flavor?",[1]Sheet1!$1:$1,[1]Sheet1!62:62))</f>
        <v>0</v>
      </c>
      <c r="O62" s="45" t="str">
        <f>IF(COUNTIF('Premade Flavors'!$A:$A, $C62) &gt; 0,_xlfn.XLOOKUP($C62,'Premade Flavors'!$A:$A,'Premade Flavors'!O:O),_xlfn.XLOOKUP("How Dense Should the Mix Ins Be?",[1]Sheet1!$1:$1,[1]Sheet1!62:62))</f>
        <v>Normal (25%)</v>
      </c>
      <c r="P62" s="45" t="str">
        <f>IF(COUNTIF('Premade Flavors'!$A:$A, $C62) &gt; 0,_xlfn.XLOOKUP($C62,'Premade Flavors'!$A:$A,'Premade Flavors'!P:P),_xlfn.XLOOKUP("How Much Of The First Sweetner? ",[1]Sheet1!$1:$1,[1]Sheet1!62:62))</f>
        <v>1:1 Sweet</v>
      </c>
      <c r="Q62" s="45">
        <f>IF(COUNTIF('Premade Flavors'!$A:$A, $C62) &gt; 0,_xlfn.XLOOKUP($C62,'Premade Flavors'!$A:$A,'Premade Flavors'!Q:Q),[2]Sheet1!S62)</f>
        <v>0</v>
      </c>
      <c r="R62" s="30">
        <f>(_xlfn.XLOOKUP($L62,Specs!A:A,Specs!B:B,0)-(IF(_xlfn.XLOOKUP($F62,'Liquid Mix In Nutrition'!A:A,'Liquid Mix In Nutrition'!J:J,0)="Yes",0,$T62))-(IF(_xlfn.XLOOKUP($G62,'Liquid Mix In Nutrition'!A:A,'Liquid Mix In Nutrition'!J:J,0)="Yes",0,$U62))-(($V62/MAX(1,_xlfn.XLOOKUP($H62,'Solid Mix In Nutrition'!A:A,'Solid Mix In Nutrition'!I:I,1)))*240)-(($W62/MAX(1,_xlfn.XLOOKUP($I62,'Solid Mix In Nutrition'!A:A,'Solid Mix In Nutrition'!I:I,1)))*240))*0.66</f>
        <v>458.37</v>
      </c>
      <c r="S62" s="30">
        <f>(_xlfn.XLOOKUP($L62,Specs!A:A,Specs!B:B,0)-(IF(_xlfn.XLOOKUP($F62,'Liquid Mix In Nutrition'!A:A,'Liquid Mix In Nutrition'!J:J,0)="Yes",0,$T62))-(IF(_xlfn.XLOOKUP($G62,'Liquid Mix In Nutrition'!A:A,'Liquid Mix In Nutrition'!J:J,0)="Yes",0,$U62))-(($V62/MAX(1,_xlfn.XLOOKUP($H62,'Solid Mix In Nutrition'!A:A,'Solid Mix In Nutrition'!I:I,1)))*240)-(($W62/MAX(1,_xlfn.XLOOKUP($I62,'Solid Mix In Nutrition'!A:A,'Solid Mix In Nutrition'!I:I,1)))*240))*0.33</f>
        <v>229.185</v>
      </c>
      <c r="T62" s="30">
        <f>_xlfn.XLOOKUP($M62,Specs!$D:$D,Specs!$E:$E,0)*15*_xlfn.XLOOKUP($L62,Specs!$A:$A,Specs!$C:$C,0)</f>
        <v>15</v>
      </c>
      <c r="U62" s="30">
        <f>_xlfn.XLOOKUP($N62,Specs!$D:$D,Specs!$E:$E,0)*15*_xlfn.XLOOKUP($L62,Specs!$A:$A,Specs!$C:$C,0)</f>
        <v>0</v>
      </c>
      <c r="V62" s="30">
        <f>( ((_xlfn.XLOOKUP($O62,Specs!$H:$H,Specs!$I:$I,0)*_xlfn.XLOOKUP($L62,Specs!$A:$A,Specs!$B:$B,0))/240) *_xlfn.XLOOKUP($H62,'Solid Mix In Nutrition'!A:A,'Solid Mix In Nutrition'!I:I,0)) *IF(AND(NOT($I62=0), COUNTA($I62)),0.5,1)</f>
        <v>64.052083333333343</v>
      </c>
      <c r="W62" s="30">
        <f>( ((_xlfn.XLOOKUP($O62,Specs!$H:$H,Specs!$I:$I,0)*_xlfn.XLOOKUP($L62,Specs!$A:$A,Specs!$B:$B,0))/240) *_xlfn.XLOOKUP($I62,'Solid Mix In Nutrition'!A:A,'Solid Mix In Nutrition'!I:I,0)) *IF(AND(NOT($I62=0), COUNTA($I62)),0.5,0)</f>
        <v>118.25</v>
      </c>
      <c r="X62" s="30">
        <f>_xlfn.XLOOKUP($P62,Specs!F:F,Specs!G:G,0)*_xlfn.XLOOKUP($J62,'Sweetener Mix In Nutrition'!A:A,'Sweetener Mix In Nutrition'!I:I,0)*_xlfn.XLOOKUP($L62,Specs!A:A,Specs!C:C,0)</f>
        <v>100</v>
      </c>
      <c r="Y62" s="30">
        <f>_xlfn.XLOOKUP($Q62,Specs!F:F,Specs!G:G,0)*_xlfn.XLOOKUP($K62,'Sweetener Mix In Nutrition'!A:A,'Sweetener Mix In Nutrition'!I:I,0)*_xlfn.XLOOKUP($L62,Specs!A:A,Specs!C:C,0)</f>
        <v>0</v>
      </c>
      <c r="Z62" s="34">
        <f t="shared" si="2"/>
        <v>0.96306599999999998</v>
      </c>
      <c r="AA62" s="35">
        <f t="shared" si="3"/>
        <v>0.25</v>
      </c>
      <c r="AB62" s="36">
        <f>(($R62 / 240) * _xlfn.XLOOKUP($D62,'Milk Types Nutrition Per Cup'!A:A,'Milk Types Nutrition Per Cup'!B:B,0)) +(($S62 / 240)  * _xlfn.XLOOKUP($E62,'Milk Types Nutrition Per Cup'!A:A,'Milk Types Nutrition Per Cup'!B:B,0)) +(($T62 / 15)  * _xlfn.XLOOKUP($F62,'Liquid Mix In Nutrition'!A:A,'Liquid Mix In Nutrition'!B:B,0))+(($U62 / 15)  * _xlfn.XLOOKUP($G62,'Liquid Mix In Nutrition'!A:A,'Liquid Mix In Nutrition'!B:B,0))+(($V62 /MAX(1, _xlfn.XLOOKUP($H62,'Solid Mix In Nutrition'!A:A,'Solid Mix In Nutrition'!I:I,1)))  * _xlfn.XLOOKUP($H62,'Solid Mix In Nutrition'!A:A,'Solid Mix In Nutrition'!B:B,0))+(($W62 / MAX(1, _xlfn.XLOOKUP($I62,'Solid Mix In Nutrition'!A:A,'Solid Mix In Nutrition'!I:I,1))))+(($X62 / 100)  * _xlfn.XLOOKUP($J62,'Sweetener Mix In Nutrition'!A:A,'Sweetener Mix In Nutrition'!B:B,0))+(($Y62 / 100)  * _xlfn.XLOOKUP($K62,'Sweetener Mix In Nutrition'!A:A,'Sweetener Mix In Nutrition'!B:B,0))</f>
        <v>2434.0596484375001</v>
      </c>
      <c r="AC62" s="36">
        <f>(($R62 / 240) * _xlfn.XLOOKUP($D62,'Milk Types Nutrition Per Cup'!A:A,'Milk Types Nutrition Per Cup'!E:E,0)) +(($S62 / 240)  * _xlfn.XLOOKUP($E62,'Milk Types Nutrition Per Cup'!A:A,'Milk Types Nutrition Per Cup'!E:E,0)) +(($T62 / 15)  * _xlfn.XLOOKUP($F62,'Liquid Mix In Nutrition'!A:A,'Liquid Mix In Nutrition'!E:E,0)) +(($U62 / 15)  * _xlfn.XLOOKUP($G62,'Liquid Mix In Nutrition'!A:A,'Liquid Mix In Nutrition'!E:E,0))+(($V62 / MAX(1, _xlfn.XLOOKUP($H62,'Solid Mix In Nutrition'!A:A,'Solid Mix In Nutrition'!I:I,1)))  * _xlfn.XLOOKUP($H62,'Solid Mix In Nutrition'!A:A,'Solid Mix In Nutrition'!E:E,0))+(($W62 / MAX(1, _xlfn.XLOOKUP($I62,'Solid Mix In Nutrition'!A:A,'Solid Mix In Nutrition'!I:I,1)))  * _xlfn.XLOOKUP($I62,'Solid Mix In Nutrition'!A:A,'Solid Mix In Nutrition'!G:G,0))+(($X62 / 100)  * _xlfn.XLOOKUP($J62,'Sweetener Mix In Nutrition'!A:A,'Sweetener Mix In Nutrition'!E:E,0))+(($Y62 / 100)  * _xlfn.XLOOKUP($K62,'Sweetener Mix In Nutrition'!A:A,'Sweetener Mix In Nutrition'!E:E,0))</f>
        <v>160.91365209676854</v>
      </c>
      <c r="AD62" s="36">
        <f>(($R62 / 240) * _xlfn.XLOOKUP($D62,'Milk Types Nutrition Per Cup'!A:A,'Milk Types Nutrition Per Cup'!E:E,0)) +(($S62 / 240)  * _xlfn.XLOOKUP($E62,'Milk Types Nutrition Per Cup'!A:A,'Milk Types Nutrition Per Cup'!E:E,0)) +(($T62 / 15)  * _xlfn.XLOOKUP($F62,'Liquid Mix In Nutrition'!A:A,'Liquid Mix In Nutrition'!E:E,0)) +(($U62 / 15)  * _xlfn.XLOOKUP($G62,'Liquid Mix In Nutrition'!A:A,'Liquid Mix In Nutrition'!E:E,0))+(($X62 / 100)  * _xlfn.XLOOKUP($J62,'Sweetener Mix In Nutrition'!A:A,'Sweetener Mix In Nutrition'!E:E,0))+(($Y62 / 100)  * _xlfn.XLOOKUP($K62,'Sweetener Mix In Nutrition'!A:A,'Sweetener Mix In Nutrition'!E:E,0))</f>
        <v>122.70925</v>
      </c>
      <c r="AE62" s="37">
        <f>(($R62 / 240) * _xlfn.XLOOKUP($D62,'Milk Types Nutrition Per Cup'!A:A,'Milk Types Nutrition Per Cup'!C:C,0)) +(($S62 / 240)  * _xlfn.XLOOKUP($E62,'Milk Types Nutrition Per Cup'!A:A,'Milk Types Nutrition Per Cup'!C:C,0)) +(($T62 / 15)  * _xlfn.XLOOKUP($F62,'Liquid Mix In Nutrition'!A:A,'Liquid Mix In Nutrition'!C:C,0))+(($U62 / 15)  * _xlfn.XLOOKUP($G62,'Liquid Mix In Nutrition'!A:A,'Liquid Mix In Nutrition'!C:C,0))+(($V62 / MAX(1, _xlfn.XLOOKUP($H62,'Solid Mix In Nutrition'!A:A,'Solid Mix In Nutrition'!I:I,1)))  * _xlfn.XLOOKUP($H62,'Solid Mix In Nutrition'!A:A,'Solid Mix In Nutrition'!C:C,0))+(($W62 / MAX(1, _xlfn.XLOOKUP($I62,'Solid Mix In Nutrition'!A:A,'Solid Mix In Nutrition'!I:I,1)))  * _xlfn.XLOOKUP($I62,'Solid Mix In Nutrition'!A:A,'Solid Mix In Nutrition'!C:C,0))+(($X62 / 100)  * _xlfn.XLOOKUP($J62,'Sweetener Mix In Nutrition'!A:A,'Sweetener Mix In Nutrition'!C:C,0))+(($Y62 / 100)  * _xlfn.XLOOKUP($K62,'Sweetener Mix In Nutrition'!A:A,'Sweetener Mix In Nutrition'!C:C,0))</f>
        <v>230.11919298639279</v>
      </c>
      <c r="AF62" s="38">
        <f>$AE62 / (_xlfn.XLOOKUP($L62,Specs!A:A,Specs!B:B,0))</f>
        <v>0.24325496087356532</v>
      </c>
      <c r="AG62" s="37">
        <f>60* ($AB62 / _xlfn.XLOOKUP($L62,Specs!A:A,Specs!B:B,0))</f>
        <v>154.38010455206131</v>
      </c>
      <c r="AH62" s="37">
        <f>60* (AC62 / _xlfn.XLOOKUP($L62,Specs!$A:$A,Specs!$B:$B,0))</f>
        <v>10.205939879287644</v>
      </c>
      <c r="AI62" s="37">
        <f>60* (AE62 / _xlfn.XLOOKUP($L62,Specs!$A:$A,Specs!$B:$B,0))</f>
        <v>14.595297652413919</v>
      </c>
      <c r="AJ62" s="39">
        <f>(($R62 / 240) * _xlfn.XLOOKUP($D62,'Milk Types Nutrition Per Cup'!A:A,'Milk Types Nutrition Per Cup'!F:F,0)) +(($S62 / 240)  * _xlfn.XLOOKUP($E62,'Milk Types Nutrition Per Cup'!A:A,'Milk Types Nutrition Per Cup'!F:F,0)) +(($T62 / 15)  * _xlfn.XLOOKUP($F62,'Liquid Mix In Nutrition'!A:A,'Liquid Mix In Nutrition'!F:F,0))+(($U62 / 15)  * _xlfn.XLOOKUP($G62,'Liquid Mix In Nutrition'!A:A,'Liquid Mix In Nutrition'!F:F,0))+(($V62 / MAX(1, _xlfn.XLOOKUP($H62,'Solid Mix In Nutrition'!A:A,'Solid Mix In Nutrition'!I:I,1)))  * _xlfn.XLOOKUP($H62,'Solid Mix In Nutrition'!A:A,'Solid Mix In Nutrition'!F:F,0))+(($W62 / MAX(1, _xlfn.XLOOKUP($I62,'Solid Mix In Nutrition'!A:A,'Solid Mix In Nutrition'!I:I,1)))  * _xlfn.XLOOKUP($I62,'Solid Mix In Nutrition'!A:A,'Solid Mix In Nutrition'!F:F,0))+(($X62 / 100)  * _xlfn.XLOOKUP($J62,'Sweetener Mix In Nutrition'!A:A,'Sweetener Mix In Nutrition'!F:F,0))+(($Y62 / 100)  * _xlfn.XLOOKUP($K62,'Sweetener Mix In Nutrition'!A:A,'Sweetener Mix In Nutrition'!F:F,0))</f>
        <v>5.7983281723771931</v>
      </c>
      <c r="AK62" s="46">
        <f>[2]Sheet1!AG62</f>
        <v>0</v>
      </c>
      <c r="AL62" s="47">
        <v>12.1</v>
      </c>
      <c r="AM62" s="40">
        <f>IF(ISERROR(((AL62/Specs!$L$3)*Specs!$L$2)*2),0,ROUNDUP((((AL62/Specs!$L$3)*Specs!$L$2)*2),0))</f>
        <v>4</v>
      </c>
      <c r="AN62" s="48">
        <f>ROUNDUP(((AJ62+Specs!$R$2+Specs!$S$2+_xlfn.XLOOKUP($L62,Specs!A:A,Specs!V:V,0))*Specs!$N$2)+AM62,0)</f>
        <v>18</v>
      </c>
      <c r="AO62" s="40">
        <f>ROUNDUP(((AJ62+Specs!$R$2+Specs!$S$2+_xlfn.XLOOKUP($L62,Specs!A:A,Specs!V:V,0))*Specs!$N$2),0)</f>
        <v>14</v>
      </c>
      <c r="AP62" s="30" t="s">
        <v>210</v>
      </c>
      <c r="AQ62" t="str">
        <f>_xlfn.XLOOKUP("What's Your Number?",[1]Sheet1!$1:$1,[1]Sheet1!62:62)</f>
        <v>954-203-8661</v>
      </c>
    </row>
    <row r="63" spans="1:44" x14ac:dyDescent="0.25">
      <c r="A63" s="42" t="str">
        <f>_xlfn.CONCAT(_xlfn.XLOOKUP("What's Your Name?",[1]Sheet1!$1:$1,[1]Sheet1!63:63)," | ",TEXT(_xlfn.XLOOKUP("Completion time",[1]Sheet1!$1:$1,[1]Sheet1!63:63),"dddd, mmm dd, yyyy hh:mm AM/PM"))</f>
        <v>Moe Saleh | Tuesday, Nov 05, 2024 03:38 PM</v>
      </c>
      <c r="B63" s="76" t="str">
        <f>_xlfn.XLOOKUP("What's Your Email Address?",[1]Sheet1!$1:$1,[1]Sheet1!63:63)</f>
        <v>Muhammadsaleh10@gmail.com</v>
      </c>
      <c r="C63" s="31" t="s">
        <v>515</v>
      </c>
      <c r="D63" s="31" t="str">
        <f>IF(COUNTIF('Premade Flavors'!$A:$A, $C63) &gt; 0,IF(ISBLANK(_xlfn.XLOOKUP("What Ice Cream Base Do You Want To Change It To?",[1]Sheet1!$1:$1,[1]Sheet1!63:63)),_xlfn.XLOOKUP($C63,'Premade Flavors'!$A:$A,'Premade Flavors'!B:B),_xlfn.XLOOKUP("What Ice Cream Base Do You Want To Change It To?",[1]Sheet1!$1:$1,[1]Sheet1!63:63)),_xlfn.XLOOKUP(_xlfn.XLOOKUP("What Kind Of Ice Cream Base Do You Want? ",[1]Sheet1!$1:$1,[1]Sheet1!63:63),'Milk Types Nutrition Per Cup'!O:O,'Milk Types Nutrition Per Cup'!P:P,""))</f>
        <v>Heavy Cream</v>
      </c>
      <c r="E63" s="31" t="str">
        <f>IF(COUNTIF('Premade Flavors'!$A:$A, $C63) &gt; 0,IF(ISBLANK(_xlfn.XLOOKUP("What Ice Cream Base Do You Want To Change It To?",[1]Sheet1!$1:$1,[1]Sheet1!63:63)),_xlfn.XLOOKUP($C63,'Premade Flavors'!$A:$A,'Premade Flavors'!C:C),_xlfn.XLOOKUP("What Ice Cream Base Do You Want To Change It To?",[1]Sheet1!$1:$1,[1]Sheet1!63:63)),_xlfn.XLOOKUP(_xlfn.XLOOKUP("What Kind Of Ice Cream Base Do You Want? ",[1]Sheet1!$1:$1,[1]Sheet1!63:63),'Milk Types Nutrition Per Cup'!$O:$O,'Milk Types Nutrition Per Cup'!$Q:$Q,""))</f>
        <v>Half and Half</v>
      </c>
      <c r="F63" s="31" t="str">
        <f>IF(COUNTIF('Premade Flavors'!$A:$A, $C63) &gt; 0,_xlfn.XLOOKUP($C63,'Premade Flavors'!$A:$A,'Premade Flavors'!E:E),_xlfn.XLOOKUP("What's The First Flavor You Want? ",[1]Sheet1!$1:$1,[1]Sheet1!63:63))</f>
        <v>Jamaican Mixed Spices</v>
      </c>
      <c r="G63" s="31" t="str">
        <f>IF(COUNTIF('Premade Flavors'!$A:$A, $C63) &gt; 0,_xlfn.XLOOKUP($C63,'Premade Flavors'!$A:$A,'Premade Flavors'!F:F),_xlfn.XLOOKUP("What's the Second Flavor You Want?",[1]Sheet1!$1:$1,[1]Sheet1!63:63))</f>
        <v>Bourbon Vanilla Bean Paste</v>
      </c>
      <c r="H63" s="31" t="str">
        <f>IF(COUNTIF('Premade Flavors'!$A:$A, $C63) &gt; 0,_xlfn.XLOOKUP($C63,'Premade Flavors'!$A:$A,'Premade Flavors'!G:G),_xlfn.XLOOKUP("What's The First Mix In That You Want? ",[1]Sheet1!$1:$1,[1]Sheet1!63:63))</f>
        <v>Toto</v>
      </c>
      <c r="I63" s="31">
        <f>IF(COUNTIF('Premade Flavors'!$A:$A, $C63) &gt; 0,_xlfn.XLOOKUP($C63,'Premade Flavors'!$A:$A,'Premade Flavors'!H:H),_xlfn.XLOOKUP("What's The Second Mix In That You Want? ",[1]Sheet1!$1:$1,[1]Sheet1!63:63))</f>
        <v>0</v>
      </c>
      <c r="J63" s="31" t="str">
        <f>IF(COUNTIF('Premade Flavors'!$A:$A,$C63)&gt;0,IF(_xlfn.XLOOKUP("Should It Use Sugar or A Non-Sugar Sweetner?",[1]Sheet1!$1:$1,[1]Sheet1!63:63)="Sugar",_xlfn.XLOOKUP($C63,'Premade Flavors'!$A:$A,'Premade Flavors'!I:I),"Stevia"),_xlfn.XLOOKUP("What Sweetner Do You Want?",[1]Sheet1!$1:$1,[1]Sheet1!63:63))</f>
        <v>Sugar</v>
      </c>
      <c r="K63" s="31"/>
      <c r="L63" s="77" t="str">
        <f>_xlfn.XLOOKUP("How Much Ice Cream Do You Want?",[1]Sheet1!$1:$1,[1]Sheet1!63:63)</f>
        <v>Quart</v>
      </c>
      <c r="M63" s="45" t="str">
        <f>IF(COUNTIF('Premade Flavors'!$A:$A, $C63) &gt; 0,_xlfn.XLOOKUP($C63,'Premade Flavors'!$A:$A,'Premade Flavors'!M:M),_xlfn.XLOOKUP("How Strong Do You Want The First Flavor?",[1]Sheet1!$1:$1,[1]Sheet1!63:63))</f>
        <v>Light (For pastes and extracts)</v>
      </c>
      <c r="N63" s="45" t="str">
        <f>IF(COUNTIF('Premade Flavors'!$A:$A, $C63) &gt; 0,_xlfn.XLOOKUP($C63,'Premade Flavors'!$A:$A,'Premade Flavors'!N:N),_xlfn.XLOOKUP("How Strong Do You Want The Second Flavor?",[1]Sheet1!$1:$1,[1]Sheet1!63:63))</f>
        <v>Ultra Light (For strong extracts)</v>
      </c>
      <c r="O63" s="45" t="str">
        <f>IF(COUNTIF('Premade Flavors'!$A:$A, $C63) &gt; 0,_xlfn.XLOOKUP($C63,'Premade Flavors'!$A:$A,'Premade Flavors'!O:O),_xlfn.XLOOKUP("How Dense Should the Mix Ins Be?",[1]Sheet1!$1:$1,[1]Sheet1!63:63))</f>
        <v>Normal (25%)</v>
      </c>
      <c r="P63" s="45" t="str">
        <f>IF(COUNTIF('Premade Flavors'!$A:$A, $C63) &gt; 0,_xlfn.XLOOKUP($C63,'Premade Flavors'!$A:$A,'Premade Flavors'!P:P),_xlfn.XLOOKUP("How Much Of The First Sweetner? ",[1]Sheet1!$1:$1,[1]Sheet1!63:63))</f>
        <v>1:1 Sweet</v>
      </c>
      <c r="Q63" s="45">
        <f>IF(COUNTIF('Premade Flavors'!$A:$A, $C63) &gt; 0,_xlfn.XLOOKUP($C63,'Premade Flavors'!$A:$A,'Premade Flavors'!Q:Q),[2]Sheet1!S63)</f>
        <v>0</v>
      </c>
      <c r="R63" s="30">
        <f>(_xlfn.XLOOKUP($L63,Specs!A:A,Specs!B:B,0)-(IF(_xlfn.XLOOKUP($F63,'Liquid Mix In Nutrition'!A:A,'Liquid Mix In Nutrition'!J:J,0)="Yes",0,$T63))-(IF(_xlfn.XLOOKUP($G63,'Liquid Mix In Nutrition'!A:A,'Liquid Mix In Nutrition'!J:J,0)="Yes",0,$U63))-(($V63/MAX(1,_xlfn.XLOOKUP($H63,'Solid Mix In Nutrition'!A:A,'Solid Mix In Nutrition'!I:I,1)))*240)-(($W63/MAX(1,_xlfn.XLOOKUP($I63,'Solid Mix In Nutrition'!A:A,'Solid Mix In Nutrition'!I:I,1)))*240))*0.66</f>
        <v>455.89500000000004</v>
      </c>
      <c r="S63" s="30">
        <f>(_xlfn.XLOOKUP($L63,Specs!A:A,Specs!B:B,0)-(IF(_xlfn.XLOOKUP($F63,'Liquid Mix In Nutrition'!A:A,'Liquid Mix In Nutrition'!J:J,0)="Yes",0,$T63))-(IF(_xlfn.XLOOKUP($G63,'Liquid Mix In Nutrition'!A:A,'Liquid Mix In Nutrition'!J:J,0)="Yes",0,$U63))-(($V63/MAX(1,_xlfn.XLOOKUP($H63,'Solid Mix In Nutrition'!A:A,'Solid Mix In Nutrition'!I:I,1)))*240)-(($W63/MAX(1,_xlfn.XLOOKUP($I63,'Solid Mix In Nutrition'!A:A,'Solid Mix In Nutrition'!I:I,1)))*240))*0.33</f>
        <v>227.94750000000002</v>
      </c>
      <c r="T63" s="30">
        <f>_xlfn.XLOOKUP($M63,Specs!$D:$D,Specs!$E:$E,0)*15*_xlfn.XLOOKUP($L63,Specs!$A:$A,Specs!$C:$C,0)</f>
        <v>15</v>
      </c>
      <c r="U63" s="30">
        <f>_xlfn.XLOOKUP($N63,Specs!$D:$D,Specs!$E:$E,0)*15*_xlfn.XLOOKUP($L63,Specs!$A:$A,Specs!$C:$C,0)</f>
        <v>3.75</v>
      </c>
      <c r="V63" s="30">
        <f>( ((_xlfn.XLOOKUP($O63,Specs!$H:$H,Specs!$I:$I,0)*_xlfn.XLOOKUP($L63,Specs!$A:$A,Specs!$B:$B,0))/240) *_xlfn.XLOOKUP($H63,'Solid Mix In Nutrition'!A:A,'Solid Mix In Nutrition'!I:I,0)) *IF(AND(NOT($I63=0), COUNTA($I63)),0.5,1)</f>
        <v>83.760416666666671</v>
      </c>
      <c r="W63" s="30">
        <f>( ((_xlfn.XLOOKUP($O63,Specs!$H:$H,Specs!$I:$I,0)*_xlfn.XLOOKUP($L63,Specs!$A:$A,Specs!$B:$B,0))/240) *_xlfn.XLOOKUP($I63,'Solid Mix In Nutrition'!A:A,'Solid Mix In Nutrition'!I:I,0)) *IF(AND(NOT($I63=0), COUNTA($I63)),0.5,0)</f>
        <v>0</v>
      </c>
      <c r="X63" s="30">
        <f>_xlfn.XLOOKUP($P63,Specs!F:F,Specs!G:G,0)*_xlfn.XLOOKUP($J63,'Sweetener Mix In Nutrition'!A:A,'Sweetener Mix In Nutrition'!I:I,0)*_xlfn.XLOOKUP($L63,Specs!A:A,Specs!C:C,0)</f>
        <v>100</v>
      </c>
      <c r="Y63" s="30">
        <f>_xlfn.XLOOKUP($Q63,Specs!F:F,Specs!G:G,0)*_xlfn.XLOOKUP($K63,'Sweetener Mix In Nutrition'!A:A,'Sweetener Mix In Nutrition'!I:I,0)*_xlfn.XLOOKUP($L63,Specs!A:A,Specs!C:C,0)</f>
        <v>0</v>
      </c>
      <c r="Z63" s="34">
        <f t="shared" si="2"/>
        <v>0.95861099999999999</v>
      </c>
      <c r="AA63" s="35">
        <f t="shared" si="3"/>
        <v>0.25</v>
      </c>
      <c r="AB63" s="36">
        <f>(($R63 / 240) * _xlfn.XLOOKUP($D63,'Milk Types Nutrition Per Cup'!A:A,'Milk Types Nutrition Per Cup'!B:B,0)) +(($S63 / 240)  * _xlfn.XLOOKUP($E63,'Milk Types Nutrition Per Cup'!A:A,'Milk Types Nutrition Per Cup'!B:B,0)) +(($T63 / 15)  * _xlfn.XLOOKUP($F63,'Liquid Mix In Nutrition'!A:A,'Liquid Mix In Nutrition'!B:B,0))+(($U63 / 15)  * _xlfn.XLOOKUP($G63,'Liquid Mix In Nutrition'!A:A,'Liquid Mix In Nutrition'!B:B,0))+(($V63 /MAX(1, _xlfn.XLOOKUP($H63,'Solid Mix In Nutrition'!A:A,'Solid Mix In Nutrition'!I:I,1)))  * _xlfn.XLOOKUP($H63,'Solid Mix In Nutrition'!A:A,'Solid Mix In Nutrition'!B:B,0))+(($W63 / MAX(1, _xlfn.XLOOKUP($I63,'Solid Mix In Nutrition'!A:A,'Solid Mix In Nutrition'!I:I,1))))+(($X63 / 100)  * _xlfn.XLOOKUP($J63,'Sweetener Mix In Nutrition'!A:A,'Sweetener Mix In Nutrition'!B:B,0))+(($Y63 / 100)  * _xlfn.XLOOKUP($K63,'Sweetener Mix In Nutrition'!A:A,'Sweetener Mix In Nutrition'!B:B,0))</f>
        <v>2540.1195833333336</v>
      </c>
      <c r="AC63" s="36">
        <f>(($R63 / 240) * _xlfn.XLOOKUP($D63,'Milk Types Nutrition Per Cup'!A:A,'Milk Types Nutrition Per Cup'!E:E,0)) +(($S63 / 240)  * _xlfn.XLOOKUP($E63,'Milk Types Nutrition Per Cup'!A:A,'Milk Types Nutrition Per Cup'!E:E,0)) +(($T63 / 15)  * _xlfn.XLOOKUP($F63,'Liquid Mix In Nutrition'!A:A,'Liquid Mix In Nutrition'!E:E,0)) +(($U63 / 15)  * _xlfn.XLOOKUP($G63,'Liquid Mix In Nutrition'!A:A,'Liquid Mix In Nutrition'!E:E,0))+(($V63 / MAX(1, _xlfn.XLOOKUP($H63,'Solid Mix In Nutrition'!A:A,'Solid Mix In Nutrition'!I:I,1)))  * _xlfn.XLOOKUP($H63,'Solid Mix In Nutrition'!A:A,'Solid Mix In Nutrition'!E:E,0))+(($W63 / MAX(1, _xlfn.XLOOKUP($I63,'Solid Mix In Nutrition'!A:A,'Solid Mix In Nutrition'!I:I,1)))  * _xlfn.XLOOKUP($I63,'Solid Mix In Nutrition'!A:A,'Solid Mix In Nutrition'!G:G,0))+(($X63 / 100)  * _xlfn.XLOOKUP($J63,'Sweetener Mix In Nutrition'!A:A,'Sweetener Mix In Nutrition'!E:E,0))+(($Y63 / 100)  * _xlfn.XLOOKUP($K63,'Sweetener Mix In Nutrition'!A:A,'Sweetener Mix In Nutrition'!E:E,0))</f>
        <v>134.48366666666666</v>
      </c>
      <c r="AD63" s="36">
        <f>(($R63 / 240) * _xlfn.XLOOKUP($D63,'Milk Types Nutrition Per Cup'!A:A,'Milk Types Nutrition Per Cup'!E:E,0)) +(($S63 / 240)  * _xlfn.XLOOKUP($E63,'Milk Types Nutrition Per Cup'!A:A,'Milk Types Nutrition Per Cup'!E:E,0)) +(($T63 / 15)  * _xlfn.XLOOKUP($F63,'Liquid Mix In Nutrition'!A:A,'Liquid Mix In Nutrition'!E:E,0)) +(($U63 / 15)  * _xlfn.XLOOKUP($G63,'Liquid Mix In Nutrition'!A:A,'Liquid Mix In Nutrition'!E:E,0))+(($X63 / 100)  * _xlfn.XLOOKUP($J63,'Sweetener Mix In Nutrition'!A:A,'Sweetener Mix In Nutrition'!E:E,0))+(($Y63 / 100)  * _xlfn.XLOOKUP($K63,'Sweetener Mix In Nutrition'!A:A,'Sweetener Mix In Nutrition'!E:E,0))</f>
        <v>109.84825000000001</v>
      </c>
      <c r="AE63" s="37">
        <f>(($R63 / 240) * _xlfn.XLOOKUP($D63,'Milk Types Nutrition Per Cup'!A:A,'Milk Types Nutrition Per Cup'!C:C,0)) +(($S63 / 240)  * _xlfn.XLOOKUP($E63,'Milk Types Nutrition Per Cup'!A:A,'Milk Types Nutrition Per Cup'!C:C,0)) +(($T63 / 15)  * _xlfn.XLOOKUP($F63,'Liquid Mix In Nutrition'!A:A,'Liquid Mix In Nutrition'!C:C,0))+(($U63 / 15)  * _xlfn.XLOOKUP($G63,'Liquid Mix In Nutrition'!A:A,'Liquid Mix In Nutrition'!C:C,0))+(($V63 / MAX(1, _xlfn.XLOOKUP($H63,'Solid Mix In Nutrition'!A:A,'Solid Mix In Nutrition'!I:I,1)))  * _xlfn.XLOOKUP($H63,'Solid Mix In Nutrition'!A:A,'Solid Mix In Nutrition'!C:C,0))+(($W63 / MAX(1, _xlfn.XLOOKUP($I63,'Solid Mix In Nutrition'!A:A,'Solid Mix In Nutrition'!I:I,1)))  * _xlfn.XLOOKUP($I63,'Solid Mix In Nutrition'!A:A,'Solid Mix In Nutrition'!C:C,0))+(($X63 / 100)  * _xlfn.XLOOKUP($J63,'Sweetener Mix In Nutrition'!A:A,'Sweetener Mix In Nutrition'!C:C,0))+(($Y63 / 100)  * _xlfn.XLOOKUP($K63,'Sweetener Mix In Nutrition'!A:A,'Sweetener Mix In Nutrition'!C:C,0))</f>
        <v>219.79145833333337</v>
      </c>
      <c r="AF63" s="38">
        <f>$AE63 / (_xlfn.XLOOKUP($L63,Specs!A:A,Specs!B:B,0))</f>
        <v>0.23233769379844965</v>
      </c>
      <c r="AG63" s="37">
        <f>60* ($AB63 / _xlfn.XLOOKUP($L63,Specs!A:A,Specs!B:B,0))</f>
        <v>161.10695031712476</v>
      </c>
      <c r="AH63" s="37">
        <f>60* (AC63 / _xlfn.XLOOKUP($L63,Specs!$A:$A,Specs!$B:$B,0))</f>
        <v>8.5296194503171243</v>
      </c>
      <c r="AI63" s="37">
        <f>60* (AE63 / _xlfn.XLOOKUP($L63,Specs!$A:$A,Specs!$B:$B,0))</f>
        <v>13.940261627906979</v>
      </c>
      <c r="AJ63" s="39">
        <f>(($R63 / 240) * _xlfn.XLOOKUP($D63,'Milk Types Nutrition Per Cup'!A:A,'Milk Types Nutrition Per Cup'!F:F,0)) +(($S63 / 240)  * _xlfn.XLOOKUP($E63,'Milk Types Nutrition Per Cup'!A:A,'Milk Types Nutrition Per Cup'!F:F,0)) +(($T63 / 15)  * _xlfn.XLOOKUP($F63,'Liquid Mix In Nutrition'!A:A,'Liquid Mix In Nutrition'!F:F,0))+(($U63 / 15)  * _xlfn.XLOOKUP($G63,'Liquid Mix In Nutrition'!A:A,'Liquid Mix In Nutrition'!F:F,0))+(($V63 / MAX(1, _xlfn.XLOOKUP($H63,'Solid Mix In Nutrition'!A:A,'Solid Mix In Nutrition'!I:I,1)))  * _xlfn.XLOOKUP($H63,'Solid Mix In Nutrition'!A:A,'Solid Mix In Nutrition'!F:F,0))+(($W63 / MAX(1, _xlfn.XLOOKUP($I63,'Solid Mix In Nutrition'!A:A,'Solid Mix In Nutrition'!I:I,1)))  * _xlfn.XLOOKUP($I63,'Solid Mix In Nutrition'!A:A,'Solid Mix In Nutrition'!F:F,0))+(($X63 / 100)  * _xlfn.XLOOKUP($J63,'Sweetener Mix In Nutrition'!A:A,'Sweetener Mix In Nutrition'!F:F,0))+(($Y63 / 100)  * _xlfn.XLOOKUP($K63,'Sweetener Mix In Nutrition'!A:A,'Sweetener Mix In Nutrition'!F:F,0))</f>
        <v>4.2667248320543099</v>
      </c>
      <c r="AK63" s="46">
        <f>[2]Sheet1!AG63</f>
        <v>0</v>
      </c>
      <c r="AL63" s="47">
        <f>31.3/2</f>
        <v>15.65</v>
      </c>
      <c r="AM63" s="40">
        <f>IF(ISERROR(((AL63/Specs!$L$3)*Specs!$L$2)*2),0,ROUNDUP((((AL63/Specs!$L$3)*Specs!$L$2)*2),0))</f>
        <v>5</v>
      </c>
      <c r="AN63" s="48">
        <f>ROUNDUP(((AJ63+Specs!$R$2+Specs!$S$2+_xlfn.XLOOKUP($L63,Specs!A:A,Specs!V:V,0))*Specs!$N$2)+AM63,0)</f>
        <v>16</v>
      </c>
      <c r="AO63" s="40">
        <f>ROUNDUP(((AJ63+Specs!$R$2+Specs!$S$2+_xlfn.XLOOKUP($L63,Specs!A:A,Specs!V:V,0))*Specs!$N$2),0)</f>
        <v>11</v>
      </c>
      <c r="AP63" s="30" t="s">
        <v>500</v>
      </c>
      <c r="AQ63" t="str">
        <f>_xlfn.XLOOKUP("What's Your Number?",[1]Sheet1!$1:$1,[1]Sheet1!63:63)</f>
        <v>Tommy Truong</v>
      </c>
      <c r="AR63" t="s">
        <v>793</v>
      </c>
    </row>
    <row r="64" spans="1:44" x14ac:dyDescent="0.25">
      <c r="A64" s="42" t="str">
        <f>_xlfn.CONCAT(_xlfn.XLOOKUP("What's Your Name?",[1]Sheet1!$1:$1,[1]Sheet1!64:64)," | ",TEXT(_xlfn.XLOOKUP("Completion time",[1]Sheet1!$1:$1,[1]Sheet1!64:64),"dddd, mmm dd, yyyy hh:mm AM/PM"))</f>
        <v>caitlin | Tuesday, Nov 05, 2024 03:39 PM</v>
      </c>
      <c r="B64" s="76" t="str">
        <f>_xlfn.XLOOKUP("What's Your Email Address?",[1]Sheet1!$1:$1,[1]Sheet1!64:64)</f>
        <v>cattparkinson@icloud.com</v>
      </c>
      <c r="C64" s="31" t="str">
        <f>IF(ISBLANK(_xlfn.XLOOKUP("Which Flavor? (Pint Price | Quart Price | Half Gallon Price) (NOTE: Prices may fluctuate based on market conditions)",[1]Sheet1!$1:$1,[1]Sheet1!64:64)),_xlfn.XLOOKUP("Name Your Ice Cream!",[1]Sheet1!$1:$1,[1]Sheet1!64:64),IF(ISNUMBER(FIND("(", _xlfn.XLOOKUP("Which Flavor? (Pint Price | Quart Price | Half Gallon Price) (NOTE: Prices may fluctuate based on market conditions)",[1]Sheet1!$1:$1,[1]Sheet1!64:64))), LEFT(_xlfn.XLOOKUP("Which Flavor? (Pint Price | Quart Price | Half Gallon Price) (NOTE: Prices may fluctuate based on market conditions)",[1]Sheet1!$1:$1,[1]Sheet1!64:64), FIND("(", _xlfn.XLOOKUP("Which Flavor? (Pint Price | Quart Price | Half Gallon Price) (NOTE: Prices may fluctuate based on market conditions)",[1]Sheet1!$1:$1,[1]Sheet1!64:64)) - 1), _xlfn.XLOOKUP("Which Flavor? (Pint Price | Quart Price | Half Gallon Price) (NOTE: Prices may fluctuate based on market conditions)",[1]Sheet1!$1:$1,[1]Sheet1!64:64)))</f>
        <v xml:space="preserve">Huckleberry Cheesecake </v>
      </c>
      <c r="D64" s="31">
        <f>IF(COUNTIF('Premade Flavors'!$A:$A, $C64) &gt; 0,IF(ISBLANK(_xlfn.XLOOKUP("What Ice Cream Base Do You Want To Change It To?",[1]Sheet1!$1:$1,[1]Sheet1!64:64)),_xlfn.XLOOKUP($C64,'Premade Flavors'!$A:$A,'Premade Flavors'!B:B),_xlfn.XLOOKUP("What Ice Cream Base Do You Want To Change It To?",[1]Sheet1!$1:$1,[1]Sheet1!64:64)),_xlfn.XLOOKUP(_xlfn.XLOOKUP("What Kind Of Ice Cream Base Do You Want? ",[1]Sheet1!$1:$1,[1]Sheet1!64:64),'Milk Types Nutrition Per Cup'!O:O,'Milk Types Nutrition Per Cup'!P:P,""))</f>
        <v>0</v>
      </c>
      <c r="E64" s="31">
        <f>IF(COUNTIF('Premade Flavors'!$A:$A, $C64) &gt; 0,IF(ISBLANK(_xlfn.XLOOKUP("What Ice Cream Base Do You Want To Change It To?",[1]Sheet1!$1:$1,[1]Sheet1!64:64)),_xlfn.XLOOKUP($C64,'Premade Flavors'!$A:$A,'Premade Flavors'!C:C),_xlfn.XLOOKUP("What Ice Cream Base Do You Want To Change It To?",[1]Sheet1!$1:$1,[1]Sheet1!64:64)),_xlfn.XLOOKUP(_xlfn.XLOOKUP("What Kind Of Ice Cream Base Do You Want? ",[1]Sheet1!$1:$1,[1]Sheet1!64:64),'Milk Types Nutrition Per Cup'!$O:$O,'Milk Types Nutrition Per Cup'!$Q:$Q,""))</f>
        <v>0</v>
      </c>
      <c r="F64" s="31">
        <f>IF(COUNTIF('Premade Flavors'!$A:$A, $C64) &gt; 0,_xlfn.XLOOKUP($C64,'Premade Flavors'!$A:$A,'Premade Flavors'!E:E),_xlfn.XLOOKUP("What's The First Flavor You Want? ",[1]Sheet1!$1:$1,[1]Sheet1!64:64))</f>
        <v>0</v>
      </c>
      <c r="G64" s="31">
        <f>IF(COUNTIF('Premade Flavors'!$A:$A, $C64) &gt; 0,_xlfn.XLOOKUP($C64,'Premade Flavors'!$A:$A,'Premade Flavors'!F:F),_xlfn.XLOOKUP("What's the Second Flavor You Want?",[1]Sheet1!$1:$1,[1]Sheet1!64:64))</f>
        <v>0</v>
      </c>
      <c r="H64" s="31">
        <f>IF(COUNTIF('Premade Flavors'!$A:$A, $C64) &gt; 0,_xlfn.XLOOKUP($C64,'Premade Flavors'!$A:$A,'Premade Flavors'!G:G),_xlfn.XLOOKUP("What's The First Mix In That You Want? ",[1]Sheet1!$1:$1,[1]Sheet1!64:64))</f>
        <v>0</v>
      </c>
      <c r="I64" s="31">
        <f>IF(COUNTIF('Premade Flavors'!$A:$A, $C64) &gt; 0,_xlfn.XLOOKUP($C64,'Premade Flavors'!$A:$A,'Premade Flavors'!H:H),_xlfn.XLOOKUP("What's The Second Mix In That You Want? ",[1]Sheet1!$1:$1,[1]Sheet1!64:64))</f>
        <v>0</v>
      </c>
      <c r="J64" s="31">
        <f>IF(COUNTIF('Premade Flavors'!$A:$A,$C64)&gt;0,IF(_xlfn.XLOOKUP("Should It Use Sugar or A Non-Sugar Sweetner?",[1]Sheet1!$1:$1,[1]Sheet1!64:64)="Sugar",_xlfn.XLOOKUP($C64,'Premade Flavors'!$A:$A,'Premade Flavors'!I:I),"Stevia"),_xlfn.XLOOKUP("What Sweetner Do You Want?",[1]Sheet1!$1:$1,[1]Sheet1!64:64))</f>
        <v>0</v>
      </c>
      <c r="K64" s="31"/>
      <c r="L64" s="77" t="str">
        <f>_xlfn.XLOOKUP("How Much Ice Cream Do You Want?",[1]Sheet1!$1:$1,[1]Sheet1!64:64)</f>
        <v>Pint</v>
      </c>
      <c r="M64" s="45">
        <f>IF(COUNTIF('Premade Flavors'!$A:$A, $C64) &gt; 0,_xlfn.XLOOKUP($C64,'Premade Flavors'!$A:$A,'Premade Flavors'!M:M),_xlfn.XLOOKUP("How Strong Do You Want The First Flavor?",[1]Sheet1!$1:$1,[1]Sheet1!64:64))</f>
        <v>0</v>
      </c>
      <c r="N64" s="45">
        <f>IF(COUNTIF('Premade Flavors'!$A:$A, $C64) &gt; 0,_xlfn.XLOOKUP($C64,'Premade Flavors'!$A:$A,'Premade Flavors'!N:N),_xlfn.XLOOKUP("How Strong Do You Want The Second Flavor?",[1]Sheet1!$1:$1,[1]Sheet1!64:64))</f>
        <v>0</v>
      </c>
      <c r="O64" s="45">
        <f>IF(COUNTIF('Premade Flavors'!$A:$A, $C64) &gt; 0,_xlfn.XLOOKUP($C64,'Premade Flavors'!$A:$A,'Premade Flavors'!O:O),_xlfn.XLOOKUP("How Dense Should the Mix Ins Be?",[1]Sheet1!$1:$1,[1]Sheet1!64:64))</f>
        <v>0</v>
      </c>
      <c r="P64" s="45">
        <f>IF(COUNTIF('Premade Flavors'!$A:$A, $C64) &gt; 0,_xlfn.XLOOKUP($C64,'Premade Flavors'!$A:$A,'Premade Flavors'!P:P),_xlfn.XLOOKUP("How Much Of The First Sweetner? ",[1]Sheet1!$1:$1,[1]Sheet1!64:64))</f>
        <v>0</v>
      </c>
      <c r="Q64" s="45">
        <f>IF(COUNTIF('Premade Flavors'!$A:$A, $C64) &gt; 0,_xlfn.XLOOKUP($C64,'Premade Flavors'!$A:$A,'Premade Flavors'!Q:Q),[2]Sheet1!S64)</f>
        <v>0</v>
      </c>
      <c r="R64" s="30">
        <f>(_xlfn.XLOOKUP($L64,Specs!A:A,Specs!B:B,0)-(IF(_xlfn.XLOOKUP($F64,'Liquid Mix In Nutrition'!A:A,'Liquid Mix In Nutrition'!J:J,0)="Yes",0,$T64))-(IF(_xlfn.XLOOKUP($G64,'Liquid Mix In Nutrition'!A:A,'Liquid Mix In Nutrition'!J:J,0)="Yes",0,$U64))-(($V64/MAX(1,_xlfn.XLOOKUP($H64,'Solid Mix In Nutrition'!A:A,'Solid Mix In Nutrition'!I:I,1)))*240)-(($W64/MAX(1,_xlfn.XLOOKUP($I64,'Solid Mix In Nutrition'!A:A,'Solid Mix In Nutrition'!I:I,1)))*240))*0.66</f>
        <v>312.18</v>
      </c>
      <c r="S64" s="30">
        <f>(_xlfn.XLOOKUP($L64,Specs!A:A,Specs!B:B,0)-(IF(_xlfn.XLOOKUP($F64,'Liquid Mix In Nutrition'!A:A,'Liquid Mix In Nutrition'!J:J,0)="Yes",0,$T64))-(IF(_xlfn.XLOOKUP($G64,'Liquid Mix In Nutrition'!A:A,'Liquid Mix In Nutrition'!J:J,0)="Yes",0,$U64))-(($V64/MAX(1,_xlfn.XLOOKUP($H64,'Solid Mix In Nutrition'!A:A,'Solid Mix In Nutrition'!I:I,1)))*240)-(($W64/MAX(1,_xlfn.XLOOKUP($I64,'Solid Mix In Nutrition'!A:A,'Solid Mix In Nutrition'!I:I,1)))*240))*0.33</f>
        <v>156.09</v>
      </c>
      <c r="T64" s="30">
        <f>_xlfn.XLOOKUP($M64,Specs!$D:$D,Specs!$E:$E,0)*15*_xlfn.XLOOKUP($L64,Specs!$A:$A,Specs!$C:$C,0)</f>
        <v>0</v>
      </c>
      <c r="U64" s="30">
        <f>_xlfn.XLOOKUP($N64,Specs!$D:$D,Specs!$E:$E,0)*15*_xlfn.XLOOKUP($L64,Specs!$A:$A,Specs!$C:$C,0)</f>
        <v>0</v>
      </c>
      <c r="V64" s="30">
        <f>( ((_xlfn.XLOOKUP($O64,Specs!$H:$H,Specs!$I:$I,0)*_xlfn.XLOOKUP($L64,Specs!$A:$A,Specs!$B:$B,0))/240) *_xlfn.XLOOKUP($H64,'Solid Mix In Nutrition'!A:A,'Solid Mix In Nutrition'!I:I,0)) *IF(AND(NOT($I64=0), COUNTA($I64)),0.5,1)</f>
        <v>0</v>
      </c>
      <c r="W64" s="30">
        <f>( ((_xlfn.XLOOKUP($O64,Specs!$H:$H,Specs!$I:$I,0)*_xlfn.XLOOKUP($L64,Specs!$A:$A,Specs!$B:$B,0))/240) *_xlfn.XLOOKUP($I64,'Solid Mix In Nutrition'!A:A,'Solid Mix In Nutrition'!I:I,0)) *IF(AND(NOT($I64=0), COUNTA($I64)),0.5,0)</f>
        <v>0</v>
      </c>
      <c r="X64" s="30">
        <f>_xlfn.XLOOKUP($P64,Specs!F:F,Specs!G:G,0)*_xlfn.XLOOKUP($J64,'Sweetener Mix In Nutrition'!A:A,'Sweetener Mix In Nutrition'!I:I,0)*_xlfn.XLOOKUP($L64,Specs!A:A,Specs!C:C,0)</f>
        <v>0</v>
      </c>
      <c r="Y64" s="30">
        <f>_xlfn.XLOOKUP($Q64,Specs!F:F,Specs!G:G,0)*_xlfn.XLOOKUP($K64,'Sweetener Mix In Nutrition'!A:A,'Sweetener Mix In Nutrition'!I:I,0)*_xlfn.XLOOKUP($L64,Specs!A:A,Specs!C:C,0)</f>
        <v>0</v>
      </c>
      <c r="Z64" s="34">
        <f t="shared" si="2"/>
        <v>0.56192399999999998</v>
      </c>
      <c r="AA64" s="35">
        <f t="shared" si="3"/>
        <v>0.25</v>
      </c>
      <c r="AB64" s="36">
        <f>(($R64 / 240) * _xlfn.XLOOKUP($D64,'Milk Types Nutrition Per Cup'!A:A,'Milk Types Nutrition Per Cup'!B:B,0)) +(($S64 / 240)  * _xlfn.XLOOKUP($E64,'Milk Types Nutrition Per Cup'!A:A,'Milk Types Nutrition Per Cup'!B:B,0)) +(($T64 / 15)  * _xlfn.XLOOKUP($F64,'Liquid Mix In Nutrition'!A:A,'Liquid Mix In Nutrition'!B:B,0))+(($U64 / 15)  * _xlfn.XLOOKUP($G64,'Liquid Mix In Nutrition'!A:A,'Liquid Mix In Nutrition'!B:B,0))+(($V64 /MAX(1, _xlfn.XLOOKUP($H64,'Solid Mix In Nutrition'!A:A,'Solid Mix In Nutrition'!I:I,1)))  * _xlfn.XLOOKUP($H64,'Solid Mix In Nutrition'!A:A,'Solid Mix In Nutrition'!B:B,0))+(($W64 / MAX(1, _xlfn.XLOOKUP($I64,'Solid Mix In Nutrition'!A:A,'Solid Mix In Nutrition'!I:I,1))))+(($X64 / 100)  * _xlfn.XLOOKUP($J64,'Sweetener Mix In Nutrition'!A:A,'Sweetener Mix In Nutrition'!B:B,0))+(($Y64 / 100)  * _xlfn.XLOOKUP($K64,'Sweetener Mix In Nutrition'!A:A,'Sweetener Mix In Nutrition'!B:B,0))</f>
        <v>0</v>
      </c>
      <c r="AC64" s="36">
        <f>(($R64 / 240) * _xlfn.XLOOKUP($D64,'Milk Types Nutrition Per Cup'!A:A,'Milk Types Nutrition Per Cup'!E:E,0)) +(($S64 / 240)  * _xlfn.XLOOKUP($E64,'Milk Types Nutrition Per Cup'!A:A,'Milk Types Nutrition Per Cup'!E:E,0)) +(($T64 / 15)  * _xlfn.XLOOKUP($F64,'Liquid Mix In Nutrition'!A:A,'Liquid Mix In Nutrition'!E:E,0)) +(($U64 / 15)  * _xlfn.XLOOKUP($G64,'Liquid Mix In Nutrition'!A:A,'Liquid Mix In Nutrition'!E:E,0))+(($V64 / MAX(1, _xlfn.XLOOKUP($H64,'Solid Mix In Nutrition'!A:A,'Solid Mix In Nutrition'!I:I,1)))  * _xlfn.XLOOKUP($H64,'Solid Mix In Nutrition'!A:A,'Solid Mix In Nutrition'!E:E,0))+(($W64 / MAX(1, _xlfn.XLOOKUP($I64,'Solid Mix In Nutrition'!A:A,'Solid Mix In Nutrition'!I:I,1)))  * _xlfn.XLOOKUP($I64,'Solid Mix In Nutrition'!A:A,'Solid Mix In Nutrition'!G:G,0))+(($X64 / 100)  * _xlfn.XLOOKUP($J64,'Sweetener Mix In Nutrition'!A:A,'Sweetener Mix In Nutrition'!E:E,0))+(($Y64 / 100)  * _xlfn.XLOOKUP($K64,'Sweetener Mix In Nutrition'!A:A,'Sweetener Mix In Nutrition'!E:E,0))</f>
        <v>0</v>
      </c>
      <c r="AD64" s="36">
        <f>(($R64 / 240) * _xlfn.XLOOKUP($D64,'Milk Types Nutrition Per Cup'!A:A,'Milk Types Nutrition Per Cup'!E:E,0)) +(($S64 / 240)  * _xlfn.XLOOKUP($E64,'Milk Types Nutrition Per Cup'!A:A,'Milk Types Nutrition Per Cup'!E:E,0)) +(($T64 / 15)  * _xlfn.XLOOKUP($F64,'Liquid Mix In Nutrition'!A:A,'Liquid Mix In Nutrition'!E:E,0)) +(($U64 / 15)  * _xlfn.XLOOKUP($G64,'Liquid Mix In Nutrition'!A:A,'Liquid Mix In Nutrition'!E:E,0))+(($X64 / 100)  * _xlfn.XLOOKUP($J64,'Sweetener Mix In Nutrition'!A:A,'Sweetener Mix In Nutrition'!E:E,0))+(($Y64 / 100)  * _xlfn.XLOOKUP($K64,'Sweetener Mix In Nutrition'!A:A,'Sweetener Mix In Nutrition'!E:E,0))</f>
        <v>0</v>
      </c>
      <c r="AE64" s="37">
        <f>(($R64 / 240) * _xlfn.XLOOKUP($D64,'Milk Types Nutrition Per Cup'!A:A,'Milk Types Nutrition Per Cup'!C:C,0)) +(($S64 / 240)  * _xlfn.XLOOKUP($E64,'Milk Types Nutrition Per Cup'!A:A,'Milk Types Nutrition Per Cup'!C:C,0)) +(($T64 / 15)  * _xlfn.XLOOKUP($F64,'Liquid Mix In Nutrition'!A:A,'Liquid Mix In Nutrition'!C:C,0))+(($U64 / 15)  * _xlfn.XLOOKUP($G64,'Liquid Mix In Nutrition'!A:A,'Liquid Mix In Nutrition'!C:C,0))+(($V64 / MAX(1, _xlfn.XLOOKUP($H64,'Solid Mix In Nutrition'!A:A,'Solid Mix In Nutrition'!I:I,1)))  * _xlfn.XLOOKUP($H64,'Solid Mix In Nutrition'!A:A,'Solid Mix In Nutrition'!C:C,0))+(($W64 / MAX(1, _xlfn.XLOOKUP($I64,'Solid Mix In Nutrition'!A:A,'Solid Mix In Nutrition'!I:I,1)))  * _xlfn.XLOOKUP($I64,'Solid Mix In Nutrition'!A:A,'Solid Mix In Nutrition'!C:C,0))+(($X64 / 100)  * _xlfn.XLOOKUP($J64,'Sweetener Mix In Nutrition'!A:A,'Sweetener Mix In Nutrition'!C:C,0))+(($Y64 / 100)  * _xlfn.XLOOKUP($K64,'Sweetener Mix In Nutrition'!A:A,'Sweetener Mix In Nutrition'!C:C,0))</f>
        <v>0</v>
      </c>
      <c r="AF64" s="38">
        <f>$AE64 / (_xlfn.XLOOKUP($L64,Specs!A:A,Specs!B:B,0))</f>
        <v>0</v>
      </c>
      <c r="AG64" s="37">
        <f>60* ($AB64 / _xlfn.XLOOKUP($L64,Specs!A:A,Specs!B:B,0))</f>
        <v>0</v>
      </c>
      <c r="AH64" s="37">
        <f>60* (AC64 / _xlfn.XLOOKUP($L64,Specs!$A:$A,Specs!$B:$B,0))</f>
        <v>0</v>
      </c>
      <c r="AI64" s="37">
        <f>60* (AE64 / _xlfn.XLOOKUP($L64,Specs!$A:$A,Specs!$B:$B,0))</f>
        <v>0</v>
      </c>
      <c r="AJ64" s="39">
        <f>(($R64 / 240) * _xlfn.XLOOKUP($D64,'Milk Types Nutrition Per Cup'!A:A,'Milk Types Nutrition Per Cup'!F:F,0)) +(($S64 / 240)  * _xlfn.XLOOKUP($E64,'Milk Types Nutrition Per Cup'!A:A,'Milk Types Nutrition Per Cup'!F:F,0)) +(($T64 / 15)  * _xlfn.XLOOKUP($F64,'Liquid Mix In Nutrition'!A:A,'Liquid Mix In Nutrition'!F:F,0))+(($U64 / 15)  * _xlfn.XLOOKUP($G64,'Liquid Mix In Nutrition'!A:A,'Liquid Mix In Nutrition'!F:F,0))+(($V64 / MAX(1, _xlfn.XLOOKUP($H64,'Solid Mix In Nutrition'!A:A,'Solid Mix In Nutrition'!I:I,1)))  * _xlfn.XLOOKUP($H64,'Solid Mix In Nutrition'!A:A,'Solid Mix In Nutrition'!F:F,0))+(($W64 / MAX(1, _xlfn.XLOOKUP($I64,'Solid Mix In Nutrition'!A:A,'Solid Mix In Nutrition'!I:I,1)))  * _xlfn.XLOOKUP($I64,'Solid Mix In Nutrition'!A:A,'Solid Mix In Nutrition'!F:F,0))+(($X64 / 100)  * _xlfn.XLOOKUP($J64,'Sweetener Mix In Nutrition'!A:A,'Sweetener Mix In Nutrition'!F:F,0))+(($Y64 / 100)  * _xlfn.XLOOKUP($K64,'Sweetener Mix In Nutrition'!A:A,'Sweetener Mix In Nutrition'!F:F,0))</f>
        <v>0</v>
      </c>
      <c r="AK64" s="46">
        <f>[2]Sheet1!AG64</f>
        <v>0</v>
      </c>
      <c r="AL64" s="47">
        <f>31.3/2</f>
        <v>15.65</v>
      </c>
      <c r="AM64" s="40">
        <f>IF(ISERROR(((AL64/Specs!$L$3)*Specs!$L$2)*2),0,ROUNDUP((((AL64/Specs!$L$3)*Specs!$L$2)*2),0))</f>
        <v>5</v>
      </c>
      <c r="AN64" s="48">
        <f>ROUNDUP(((AJ64+Specs!$R$2+Specs!$S$2+_xlfn.XLOOKUP($L64,Specs!A:A,Specs!V:V,0))*Specs!$N$2)+AM64,0)</f>
        <v>7</v>
      </c>
      <c r="AO64" s="40">
        <f>ROUNDUP(((AJ64+Specs!$R$2+Specs!$S$2+_xlfn.XLOOKUP($L64,Specs!A:A,Specs!V:V,0))*Specs!$N$2),0)</f>
        <v>2</v>
      </c>
      <c r="AP64" s="30" t="s">
        <v>210</v>
      </c>
      <c r="AQ64" t="str">
        <f>_xlfn.XLOOKUP("What's Your Number?",[1]Sheet1!$1:$1,[1]Sheet1!64:64)</f>
        <v>4077563525</v>
      </c>
    </row>
    <row r="65" spans="1:43" ht="30" x14ac:dyDescent="0.25">
      <c r="A65" s="42" t="str">
        <f>_xlfn.CONCAT(_xlfn.XLOOKUP("What's Your Name?",[1]Sheet1!$1:$1,[1]Sheet1!65:65)," | ",TEXT(_xlfn.XLOOKUP("Completion time",[1]Sheet1!$1:$1,[1]Sheet1!65:65),"dddd, mmm dd, yyyy hh:mm AM/PM"))</f>
        <v>Santiago Alzate | Friday, Nov 08, 2024 04:12 PM</v>
      </c>
      <c r="B65" s="76" t="str">
        <f>_xlfn.XLOOKUP("What's Your Email Address?",[1]Sheet1!$1:$1,[1]Sheet1!65:65)</f>
        <v>santiagoalzatehurtado@gmail.com</v>
      </c>
      <c r="C65" s="31" t="str">
        <f>IF(ISBLANK(_xlfn.XLOOKUP("Which Flavor? (Pint Price | Quart Price | Half Gallon Price) (NOTE: Prices may fluctuate based on market conditions)",[1]Sheet1!$1:$1,[1]Sheet1!65:65)),_xlfn.XLOOKUP("Name Your Ice Cream!",[1]Sheet1!$1:$1,[1]Sheet1!65:65),IF(ISNUMBER(FIND("(", _xlfn.XLOOKUP("Which Flavor? (Pint Price | Quart Price | Half Gallon Price) (NOTE: Prices may fluctuate based on market conditions)",[1]Sheet1!$1:$1,[1]Sheet1!65:65))), LEFT(_xlfn.XLOOKUP("Which Flavor? (Pint Price | Quart Price | Half Gallon Price) (NOTE: Prices may fluctuate based on market conditions)",[1]Sheet1!$1:$1,[1]Sheet1!65:65), FIND("(", _xlfn.XLOOKUP("Which Flavor? (Pint Price | Quart Price | Half Gallon Price) (NOTE: Prices may fluctuate based on market conditions)",[1]Sheet1!$1:$1,[1]Sheet1!65:65)) - 1), _xlfn.XLOOKUP("Which Flavor? (Pint Price | Quart Price | Half Gallon Price) (NOTE: Prices may fluctuate based on market conditions)",[1]Sheet1!$1:$1,[1]Sheet1!65:65)))</f>
        <v xml:space="preserve">Strawberry </v>
      </c>
      <c r="D65" s="31">
        <f>IF(COUNTIF('Premade Flavors'!$A:$A, $C65) &gt; 0,IF(ISBLANK(_xlfn.XLOOKUP("What Ice Cream Base Do You Want To Change It To?",[1]Sheet1!$1:$1,[1]Sheet1!65:65)),_xlfn.XLOOKUP($C65,'Premade Flavors'!$A:$A,'Premade Flavors'!B:B),_xlfn.XLOOKUP("What Ice Cream Base Do You Want To Change It To?",[1]Sheet1!$1:$1,[1]Sheet1!65:65)),_xlfn.XLOOKUP(_xlfn.XLOOKUP("What Kind Of Ice Cream Base Do You Want? ",[1]Sheet1!$1:$1,[1]Sheet1!65:65),'Milk Types Nutrition Per Cup'!O:O,'Milk Types Nutrition Per Cup'!P:P,""))</f>
        <v>0</v>
      </c>
      <c r="E65" s="31">
        <f>IF(COUNTIF('Premade Flavors'!$A:$A, $C65) &gt; 0,IF(ISBLANK(_xlfn.XLOOKUP("What Ice Cream Base Do You Want To Change It To?",[1]Sheet1!$1:$1,[1]Sheet1!65:65)),_xlfn.XLOOKUP($C65,'Premade Flavors'!$A:$A,'Premade Flavors'!C:C),_xlfn.XLOOKUP("What Ice Cream Base Do You Want To Change It To?",[1]Sheet1!$1:$1,[1]Sheet1!65:65)),_xlfn.XLOOKUP(_xlfn.XLOOKUP("What Kind Of Ice Cream Base Do You Want? ",[1]Sheet1!$1:$1,[1]Sheet1!65:65),'Milk Types Nutrition Per Cup'!$O:$O,'Milk Types Nutrition Per Cup'!$Q:$Q,""))</f>
        <v>0</v>
      </c>
      <c r="F65" s="31">
        <f>IF(COUNTIF('Premade Flavors'!$A:$A, $C65) &gt; 0,_xlfn.XLOOKUP($C65,'Premade Flavors'!$A:$A,'Premade Flavors'!E:E),_xlfn.XLOOKUP("What's The First Flavor You Want? ",[1]Sheet1!$1:$1,[1]Sheet1!65:65))</f>
        <v>0</v>
      </c>
      <c r="G65" s="31">
        <f>IF(COUNTIF('Premade Flavors'!$A:$A, $C65) &gt; 0,_xlfn.XLOOKUP($C65,'Premade Flavors'!$A:$A,'Premade Flavors'!F:F),_xlfn.XLOOKUP("What's the Second Flavor You Want?",[1]Sheet1!$1:$1,[1]Sheet1!65:65))</f>
        <v>0</v>
      </c>
      <c r="H65" s="31">
        <f>IF(COUNTIF('Premade Flavors'!$A:$A, $C65) &gt; 0,_xlfn.XLOOKUP($C65,'Premade Flavors'!$A:$A,'Premade Flavors'!G:G),_xlfn.XLOOKUP("What's The First Mix In That You Want? ",[1]Sheet1!$1:$1,[1]Sheet1!65:65))</f>
        <v>0</v>
      </c>
      <c r="I65" s="31">
        <f>IF(COUNTIF('Premade Flavors'!$A:$A, $C65) &gt; 0,_xlfn.XLOOKUP($C65,'Premade Flavors'!$A:$A,'Premade Flavors'!H:H),_xlfn.XLOOKUP("What's The Second Mix In That You Want? ",[1]Sheet1!$1:$1,[1]Sheet1!65:65))</f>
        <v>0</v>
      </c>
      <c r="J65" s="31">
        <f>IF(COUNTIF('Premade Flavors'!$A:$A,$C65)&gt;0,IF(_xlfn.XLOOKUP("Should It Use Sugar or A Non-Sugar Sweetner?",[1]Sheet1!$1:$1,[1]Sheet1!65:65)="Sugar",_xlfn.XLOOKUP($C65,'Premade Flavors'!$A:$A,'Premade Flavors'!I:I),"Stevia"),_xlfn.XLOOKUP("What Sweetner Do You Want?",[1]Sheet1!$1:$1,[1]Sheet1!65:65))</f>
        <v>0</v>
      </c>
      <c r="K65" s="31"/>
      <c r="L65" s="77" t="str">
        <f>_xlfn.XLOOKUP("How Much Ice Cream Do You Want?",[1]Sheet1!$1:$1,[1]Sheet1!65:65)</f>
        <v>Quart</v>
      </c>
      <c r="M65" s="45">
        <f>IF(COUNTIF('Premade Flavors'!$A:$A, $C65) &gt; 0,_xlfn.XLOOKUP($C65,'Premade Flavors'!$A:$A,'Premade Flavors'!M:M),_xlfn.XLOOKUP("How Strong Do You Want The First Flavor?",[1]Sheet1!$1:$1,[1]Sheet1!65:65))</f>
        <v>0</v>
      </c>
      <c r="N65" s="45">
        <f>IF(COUNTIF('Premade Flavors'!$A:$A, $C65) &gt; 0,_xlfn.XLOOKUP($C65,'Premade Flavors'!$A:$A,'Premade Flavors'!N:N),_xlfn.XLOOKUP("How Strong Do You Want The Second Flavor?",[1]Sheet1!$1:$1,[1]Sheet1!65:65))</f>
        <v>0</v>
      </c>
      <c r="O65" s="45">
        <f>IF(COUNTIF('Premade Flavors'!$A:$A, $C65) &gt; 0,_xlfn.XLOOKUP($C65,'Premade Flavors'!$A:$A,'Premade Flavors'!O:O),_xlfn.XLOOKUP("How Dense Should the Mix Ins Be?",[1]Sheet1!$1:$1,[1]Sheet1!65:65))</f>
        <v>0</v>
      </c>
      <c r="P65" s="45">
        <f>IF(COUNTIF('Premade Flavors'!$A:$A, $C65) &gt; 0,_xlfn.XLOOKUP($C65,'Premade Flavors'!$A:$A,'Premade Flavors'!P:P),_xlfn.XLOOKUP("How Much Of The First Sweetner? ",[1]Sheet1!$1:$1,[1]Sheet1!65:65))</f>
        <v>0</v>
      </c>
      <c r="Q65" s="45">
        <f>IF(COUNTIF('Premade Flavors'!$A:$A, $C65) &gt; 0,_xlfn.XLOOKUP($C65,'Premade Flavors'!$A:$A,'Premade Flavors'!Q:Q),[2]Sheet1!S65)</f>
        <v>0</v>
      </c>
      <c r="R65" s="30">
        <f>(_xlfn.XLOOKUP($L65,Specs!A:A,Specs!B:B,0)-(IF(_xlfn.XLOOKUP($F65,'Liquid Mix In Nutrition'!A:A,'Liquid Mix In Nutrition'!J:J,0)="Yes",0,$T65))-(IF(_xlfn.XLOOKUP($G65,'Liquid Mix In Nutrition'!A:A,'Liquid Mix In Nutrition'!J:J,0)="Yes",0,$U65))-(($V65/MAX(1,_xlfn.XLOOKUP($H65,'Solid Mix In Nutrition'!A:A,'Solid Mix In Nutrition'!I:I,1)))*240)-(($W65/MAX(1,_xlfn.XLOOKUP($I65,'Solid Mix In Nutrition'!A:A,'Solid Mix In Nutrition'!I:I,1)))*240))*0.66</f>
        <v>624.36</v>
      </c>
      <c r="S65" s="30">
        <f>(_xlfn.XLOOKUP($L65,Specs!A:A,Specs!B:B,0)-(IF(_xlfn.XLOOKUP($F65,'Liquid Mix In Nutrition'!A:A,'Liquid Mix In Nutrition'!J:J,0)="Yes",0,$T65))-(IF(_xlfn.XLOOKUP($G65,'Liquid Mix In Nutrition'!A:A,'Liquid Mix In Nutrition'!J:J,0)="Yes",0,$U65))-(($V65/MAX(1,_xlfn.XLOOKUP($H65,'Solid Mix In Nutrition'!A:A,'Solid Mix In Nutrition'!I:I,1)))*240)-(($W65/MAX(1,_xlfn.XLOOKUP($I65,'Solid Mix In Nutrition'!A:A,'Solid Mix In Nutrition'!I:I,1)))*240))*0.33</f>
        <v>312.18</v>
      </c>
      <c r="T65" s="30">
        <f>_xlfn.XLOOKUP($M65,Specs!$D:$D,Specs!$E:$E,0)*15*_xlfn.XLOOKUP($L65,Specs!$A:$A,Specs!$C:$C,0)</f>
        <v>0</v>
      </c>
      <c r="U65" s="30">
        <f>_xlfn.XLOOKUP($N65,Specs!$D:$D,Specs!$E:$E,0)*15*_xlfn.XLOOKUP($L65,Specs!$A:$A,Specs!$C:$C,0)</f>
        <v>0</v>
      </c>
      <c r="V65" s="30">
        <f>( ((_xlfn.XLOOKUP($O65,Specs!$H:$H,Specs!$I:$I,0)*_xlfn.XLOOKUP($L65,Specs!$A:$A,Specs!$B:$B,0))/240) *_xlfn.XLOOKUP($H65,'Solid Mix In Nutrition'!A:A,'Solid Mix In Nutrition'!I:I,0)) *IF(AND(NOT($I65=0), COUNTA($I65)),0.5,1)</f>
        <v>0</v>
      </c>
      <c r="W65" s="30">
        <f>( ((_xlfn.XLOOKUP($O65,Specs!$H:$H,Specs!$I:$I,0)*_xlfn.XLOOKUP($L65,Specs!$A:$A,Specs!$B:$B,0))/240) *_xlfn.XLOOKUP($I65,'Solid Mix In Nutrition'!A:A,'Solid Mix In Nutrition'!I:I,0)) *IF(AND(NOT($I65=0), COUNTA($I65)),0.5,0)</f>
        <v>0</v>
      </c>
      <c r="X65" s="30">
        <f>_xlfn.XLOOKUP($P65,Specs!F:F,Specs!G:G,0)*_xlfn.XLOOKUP($J65,'Sweetener Mix In Nutrition'!A:A,'Sweetener Mix In Nutrition'!I:I,0)*_xlfn.XLOOKUP($L65,Specs!A:A,Specs!C:C,0)</f>
        <v>0</v>
      </c>
      <c r="Y65" s="30">
        <f>_xlfn.XLOOKUP($Q65,Specs!F:F,Specs!G:G,0)*_xlfn.XLOOKUP($K65,'Sweetener Mix In Nutrition'!A:A,'Sweetener Mix In Nutrition'!I:I,0)*_xlfn.XLOOKUP($L65,Specs!A:A,Specs!C:C,0)</f>
        <v>0</v>
      </c>
      <c r="Z65" s="34">
        <f t="shared" si="2"/>
        <v>1.123848</v>
      </c>
      <c r="AA65" s="35">
        <f t="shared" si="3"/>
        <v>0.25</v>
      </c>
      <c r="AB65" s="36">
        <f>(($R65 / 240) * _xlfn.XLOOKUP($D65,'Milk Types Nutrition Per Cup'!A:A,'Milk Types Nutrition Per Cup'!B:B,0)) +(($S65 / 240)  * _xlfn.XLOOKUP($E65,'Milk Types Nutrition Per Cup'!A:A,'Milk Types Nutrition Per Cup'!B:B,0)) +(($T65 / 15)  * _xlfn.XLOOKUP($F65,'Liquid Mix In Nutrition'!A:A,'Liquid Mix In Nutrition'!B:B,0))+(($U65 / 15)  * _xlfn.XLOOKUP($G65,'Liquid Mix In Nutrition'!A:A,'Liquid Mix In Nutrition'!B:B,0))+(($V65 /MAX(1, _xlfn.XLOOKUP($H65,'Solid Mix In Nutrition'!A:A,'Solid Mix In Nutrition'!I:I,1)))  * _xlfn.XLOOKUP($H65,'Solid Mix In Nutrition'!A:A,'Solid Mix In Nutrition'!B:B,0))+(($W65 / MAX(1, _xlfn.XLOOKUP($I65,'Solid Mix In Nutrition'!A:A,'Solid Mix In Nutrition'!I:I,1))))+(($X65 / 100)  * _xlfn.XLOOKUP($J65,'Sweetener Mix In Nutrition'!A:A,'Sweetener Mix In Nutrition'!B:B,0))+(($Y65 / 100)  * _xlfn.XLOOKUP($K65,'Sweetener Mix In Nutrition'!A:A,'Sweetener Mix In Nutrition'!B:B,0))</f>
        <v>0</v>
      </c>
      <c r="AC65" s="36">
        <f>(($R65 / 240) * _xlfn.XLOOKUP($D65,'Milk Types Nutrition Per Cup'!A:A,'Milk Types Nutrition Per Cup'!E:E,0)) +(($S65 / 240)  * _xlfn.XLOOKUP($E65,'Milk Types Nutrition Per Cup'!A:A,'Milk Types Nutrition Per Cup'!E:E,0)) +(($T65 / 15)  * _xlfn.XLOOKUP($F65,'Liquid Mix In Nutrition'!A:A,'Liquid Mix In Nutrition'!E:E,0)) +(($U65 / 15)  * _xlfn.XLOOKUP($G65,'Liquid Mix In Nutrition'!A:A,'Liquid Mix In Nutrition'!E:E,0))+(($V65 / MAX(1, _xlfn.XLOOKUP($H65,'Solid Mix In Nutrition'!A:A,'Solid Mix In Nutrition'!I:I,1)))  * _xlfn.XLOOKUP($H65,'Solid Mix In Nutrition'!A:A,'Solid Mix In Nutrition'!E:E,0))+(($W65 / MAX(1, _xlfn.XLOOKUP($I65,'Solid Mix In Nutrition'!A:A,'Solid Mix In Nutrition'!I:I,1)))  * _xlfn.XLOOKUP($I65,'Solid Mix In Nutrition'!A:A,'Solid Mix In Nutrition'!G:G,0))+(($X65 / 100)  * _xlfn.XLOOKUP($J65,'Sweetener Mix In Nutrition'!A:A,'Sweetener Mix In Nutrition'!E:E,0))+(($Y65 / 100)  * _xlfn.XLOOKUP($K65,'Sweetener Mix In Nutrition'!A:A,'Sweetener Mix In Nutrition'!E:E,0))</f>
        <v>0</v>
      </c>
      <c r="AD65" s="36">
        <f>(($R65 / 240) * _xlfn.XLOOKUP($D65,'Milk Types Nutrition Per Cup'!A:A,'Milk Types Nutrition Per Cup'!E:E,0)) +(($S65 / 240)  * _xlfn.XLOOKUP($E65,'Milk Types Nutrition Per Cup'!A:A,'Milk Types Nutrition Per Cup'!E:E,0)) +(($T65 / 15)  * _xlfn.XLOOKUP($F65,'Liquid Mix In Nutrition'!A:A,'Liquid Mix In Nutrition'!E:E,0)) +(($U65 / 15)  * _xlfn.XLOOKUP($G65,'Liquid Mix In Nutrition'!A:A,'Liquid Mix In Nutrition'!E:E,0))+(($X65 / 100)  * _xlfn.XLOOKUP($J65,'Sweetener Mix In Nutrition'!A:A,'Sweetener Mix In Nutrition'!E:E,0))+(($Y65 / 100)  * _xlfn.XLOOKUP($K65,'Sweetener Mix In Nutrition'!A:A,'Sweetener Mix In Nutrition'!E:E,0))</f>
        <v>0</v>
      </c>
      <c r="AE65" s="37">
        <f>(($R65 / 240) * _xlfn.XLOOKUP($D65,'Milk Types Nutrition Per Cup'!A:A,'Milk Types Nutrition Per Cup'!C:C,0)) +(($S65 / 240)  * _xlfn.XLOOKUP($E65,'Milk Types Nutrition Per Cup'!A:A,'Milk Types Nutrition Per Cup'!C:C,0)) +(($T65 / 15)  * _xlfn.XLOOKUP($F65,'Liquid Mix In Nutrition'!A:A,'Liquid Mix In Nutrition'!C:C,0))+(($U65 / 15)  * _xlfn.XLOOKUP($G65,'Liquid Mix In Nutrition'!A:A,'Liquid Mix In Nutrition'!C:C,0))+(($V65 / MAX(1, _xlfn.XLOOKUP($H65,'Solid Mix In Nutrition'!A:A,'Solid Mix In Nutrition'!I:I,1)))  * _xlfn.XLOOKUP($H65,'Solid Mix In Nutrition'!A:A,'Solid Mix In Nutrition'!C:C,0))+(($W65 / MAX(1, _xlfn.XLOOKUP($I65,'Solid Mix In Nutrition'!A:A,'Solid Mix In Nutrition'!I:I,1)))  * _xlfn.XLOOKUP($I65,'Solid Mix In Nutrition'!A:A,'Solid Mix In Nutrition'!C:C,0))+(($X65 / 100)  * _xlfn.XLOOKUP($J65,'Sweetener Mix In Nutrition'!A:A,'Sweetener Mix In Nutrition'!C:C,0))+(($Y65 / 100)  * _xlfn.XLOOKUP($K65,'Sweetener Mix In Nutrition'!A:A,'Sweetener Mix In Nutrition'!C:C,0))</f>
        <v>0</v>
      </c>
      <c r="AF65" s="38">
        <f>$AE65 / (_xlfn.XLOOKUP($L65,Specs!A:A,Specs!B:B,0))</f>
        <v>0</v>
      </c>
      <c r="AG65" s="37">
        <f>60* ($AB65 / _xlfn.XLOOKUP($L65,Specs!A:A,Specs!B:B,0))</f>
        <v>0</v>
      </c>
      <c r="AH65" s="37">
        <f>60* (AC65 / _xlfn.XLOOKUP($L65,Specs!$A:$A,Specs!$B:$B,0))</f>
        <v>0</v>
      </c>
      <c r="AI65" s="37">
        <f>60* (AE65 / _xlfn.XLOOKUP($L65,Specs!$A:$A,Specs!$B:$B,0))</f>
        <v>0</v>
      </c>
      <c r="AJ65" s="39">
        <f>(($R65 / 240) * _xlfn.XLOOKUP($D65,'Milk Types Nutrition Per Cup'!A:A,'Milk Types Nutrition Per Cup'!F:F,0)) +(($S65 / 240)  * _xlfn.XLOOKUP($E65,'Milk Types Nutrition Per Cup'!A:A,'Milk Types Nutrition Per Cup'!F:F,0)) +(($T65 / 15)  * _xlfn.XLOOKUP($F65,'Liquid Mix In Nutrition'!A:A,'Liquid Mix In Nutrition'!F:F,0))+(($U65 / 15)  * _xlfn.XLOOKUP($G65,'Liquid Mix In Nutrition'!A:A,'Liquid Mix In Nutrition'!F:F,0))+(($V65 / MAX(1, _xlfn.XLOOKUP($H65,'Solid Mix In Nutrition'!A:A,'Solid Mix In Nutrition'!I:I,1)))  * _xlfn.XLOOKUP($H65,'Solid Mix In Nutrition'!A:A,'Solid Mix In Nutrition'!F:F,0))+(($W65 / MAX(1, _xlfn.XLOOKUP($I65,'Solid Mix In Nutrition'!A:A,'Solid Mix In Nutrition'!I:I,1)))  * _xlfn.XLOOKUP($I65,'Solid Mix In Nutrition'!A:A,'Solid Mix In Nutrition'!F:F,0))+(($X65 / 100)  * _xlfn.XLOOKUP($J65,'Sweetener Mix In Nutrition'!A:A,'Sweetener Mix In Nutrition'!F:F,0))+(($Y65 / 100)  * _xlfn.XLOOKUP($K65,'Sweetener Mix In Nutrition'!A:A,'Sweetener Mix In Nutrition'!F:F,0))</f>
        <v>0</v>
      </c>
      <c r="AK65" s="46">
        <f>[2]Sheet1!AG65</f>
        <v>0</v>
      </c>
      <c r="AL65" s="47"/>
      <c r="AM65" s="40">
        <f>IF(ISERROR(((AL65/Specs!$L$3)*Specs!$L$2)*2),0,ROUNDUP((((AL65/Specs!$L$3)*Specs!$L$2)*2),0))</f>
        <v>0</v>
      </c>
      <c r="AN65" s="48">
        <f>ROUNDUP(((AJ65+Specs!$R$2+Specs!$S$2+_xlfn.XLOOKUP($L65,Specs!A:A,Specs!V:V,0))*Specs!$N$2)+AM65,0)</f>
        <v>3</v>
      </c>
      <c r="AO65" s="40">
        <f>ROUNDUP(((AJ65+Specs!$R$2+Specs!$S$2+_xlfn.XLOOKUP($L65,Specs!A:A,Specs!V:V,0))*Specs!$N$2),0)</f>
        <v>3</v>
      </c>
      <c r="AP65" s="30" t="s">
        <v>210</v>
      </c>
      <c r="AQ65" t="str">
        <f>_xlfn.XLOOKUP("What's Your Number?",[1]Sheet1!$1:$1,[1]Sheet1!65:65)</f>
        <v>9542491226</v>
      </c>
    </row>
    <row r="66" spans="1:43" x14ac:dyDescent="0.25">
      <c r="A66" s="42" t="str">
        <f>_xlfn.CONCAT(_xlfn.XLOOKUP("What's Your Name?",[1]Sheet1!$1:$1,[1]Sheet1!66:66)," | ",TEXT(_xlfn.XLOOKUP("Completion time",[1]Sheet1!$1:$1,[1]Sheet1!66:66),"dddd, mmm dd, yyyy hh:mm AM/PM"))</f>
        <v>Francisco L. | Sunday, Nov 10, 2024 07:19 PM</v>
      </c>
      <c r="B66" s="76" t="str">
        <f>_xlfn.XLOOKUP("What's Your Email Address?",[1]Sheet1!$1:$1,[1]Sheet1!66:66)</f>
        <v>flimongi1122@gmail.com</v>
      </c>
      <c r="C66" s="31" t="str">
        <f>IF(ISBLANK(_xlfn.XLOOKUP("Which Flavor? (Pint Price | Quart Price | Half Gallon Price) (NOTE: Prices may fluctuate based on market conditions)",[1]Sheet1!$1:$1,[1]Sheet1!66:66)),_xlfn.XLOOKUP("Name Your Ice Cream!",[1]Sheet1!$1:$1,[1]Sheet1!66:66),IF(ISNUMBER(FIND("(", _xlfn.XLOOKUP("Which Flavor? (Pint Price | Quart Price | Half Gallon Price) (NOTE: Prices may fluctuate based on market conditions)",[1]Sheet1!$1:$1,[1]Sheet1!66:66))), LEFT(_xlfn.XLOOKUP("Which Flavor? (Pint Price | Quart Price | Half Gallon Price) (NOTE: Prices may fluctuate based on market conditions)",[1]Sheet1!$1:$1,[1]Sheet1!66:66), FIND("(", _xlfn.XLOOKUP("Which Flavor? (Pint Price | Quart Price | Half Gallon Price) (NOTE: Prices may fluctuate based on market conditions)",[1]Sheet1!$1:$1,[1]Sheet1!66:66)) - 1), _xlfn.XLOOKUP("Which Flavor? (Pint Price | Quart Price | Half Gallon Price) (NOTE: Prices may fluctuate based on market conditions)",[1]Sheet1!$1:$1,[1]Sheet1!66:66)))</f>
        <v xml:space="preserve">Maple Cinnamon </v>
      </c>
      <c r="D66" s="31">
        <f>IF(COUNTIF('Premade Flavors'!$A:$A, $C66) &gt; 0,IF(ISBLANK(_xlfn.XLOOKUP("What Ice Cream Base Do You Want To Change It To?",[1]Sheet1!$1:$1,[1]Sheet1!66:66)),_xlfn.XLOOKUP($C66,'Premade Flavors'!$A:$A,'Premade Flavors'!B:B),_xlfn.XLOOKUP("What Ice Cream Base Do You Want To Change It To?",[1]Sheet1!$1:$1,[1]Sheet1!66:66)),_xlfn.XLOOKUP(_xlfn.XLOOKUP("What Kind Of Ice Cream Base Do You Want? ",[1]Sheet1!$1:$1,[1]Sheet1!66:66),'Milk Types Nutrition Per Cup'!O:O,'Milk Types Nutrition Per Cup'!P:P,""))</f>
        <v>0</v>
      </c>
      <c r="E66" s="31">
        <f>IF(COUNTIF('Premade Flavors'!$A:$A, $C66) &gt; 0,IF(ISBLANK(_xlfn.XLOOKUP("What Ice Cream Base Do You Want To Change It To?",[1]Sheet1!$1:$1,[1]Sheet1!66:66)),_xlfn.XLOOKUP($C66,'Premade Flavors'!$A:$A,'Premade Flavors'!C:C),_xlfn.XLOOKUP("What Ice Cream Base Do You Want To Change It To?",[1]Sheet1!$1:$1,[1]Sheet1!66:66)),_xlfn.XLOOKUP(_xlfn.XLOOKUP("What Kind Of Ice Cream Base Do You Want? ",[1]Sheet1!$1:$1,[1]Sheet1!66:66),'Milk Types Nutrition Per Cup'!$O:$O,'Milk Types Nutrition Per Cup'!$Q:$Q,""))</f>
        <v>0</v>
      </c>
      <c r="F66" s="31">
        <f>IF(COUNTIF('Premade Flavors'!$A:$A, $C66) &gt; 0,_xlfn.XLOOKUP($C66,'Premade Flavors'!$A:$A,'Premade Flavors'!E:E),_xlfn.XLOOKUP("What's The First Flavor You Want? ",[1]Sheet1!$1:$1,[1]Sheet1!66:66))</f>
        <v>0</v>
      </c>
      <c r="G66" s="31">
        <f>IF(COUNTIF('Premade Flavors'!$A:$A, $C66) &gt; 0,_xlfn.XLOOKUP($C66,'Premade Flavors'!$A:$A,'Premade Flavors'!F:F),_xlfn.XLOOKUP("What's the Second Flavor You Want?",[1]Sheet1!$1:$1,[1]Sheet1!66:66))</f>
        <v>0</v>
      </c>
      <c r="H66" s="31">
        <f>IF(COUNTIF('Premade Flavors'!$A:$A, $C66) &gt; 0,_xlfn.XLOOKUP($C66,'Premade Flavors'!$A:$A,'Premade Flavors'!G:G),_xlfn.XLOOKUP("What's The First Mix In That You Want? ",[1]Sheet1!$1:$1,[1]Sheet1!66:66))</f>
        <v>0</v>
      </c>
      <c r="I66" s="31">
        <f>IF(COUNTIF('Premade Flavors'!$A:$A, $C66) &gt; 0,_xlfn.XLOOKUP($C66,'Premade Flavors'!$A:$A,'Premade Flavors'!H:H),_xlfn.XLOOKUP("What's The Second Mix In That You Want? ",[1]Sheet1!$1:$1,[1]Sheet1!66:66))</f>
        <v>0</v>
      </c>
      <c r="J66" s="31">
        <f>IF(COUNTIF('Premade Flavors'!$A:$A,$C66)&gt;0,IF(_xlfn.XLOOKUP("Should It Use Sugar or A Non-Sugar Sweetner?",[1]Sheet1!$1:$1,[1]Sheet1!66:66)="Sugar",_xlfn.XLOOKUP($C66,'Premade Flavors'!$A:$A,'Premade Flavors'!I:I),"Stevia"),_xlfn.XLOOKUP("What Sweetner Do You Want?",[1]Sheet1!$1:$1,[1]Sheet1!66:66))</f>
        <v>0</v>
      </c>
      <c r="K66" s="31"/>
      <c r="L66" s="77" t="str">
        <f>_xlfn.XLOOKUP("How Much Ice Cream Do You Want?",[1]Sheet1!$1:$1,[1]Sheet1!66:66)</f>
        <v>Quart</v>
      </c>
      <c r="M66" s="45">
        <f>IF(COUNTIF('Premade Flavors'!$A:$A, $C66) &gt; 0,_xlfn.XLOOKUP($C66,'Premade Flavors'!$A:$A,'Premade Flavors'!M:M),_xlfn.XLOOKUP("How Strong Do You Want The First Flavor?",[1]Sheet1!$1:$1,[1]Sheet1!66:66))</f>
        <v>0</v>
      </c>
      <c r="N66" s="45">
        <f>IF(COUNTIF('Premade Flavors'!$A:$A, $C66) &gt; 0,_xlfn.XLOOKUP($C66,'Premade Flavors'!$A:$A,'Premade Flavors'!N:N),_xlfn.XLOOKUP("How Strong Do You Want The Second Flavor?",[1]Sheet1!$1:$1,[1]Sheet1!66:66))</f>
        <v>0</v>
      </c>
      <c r="O66" s="45">
        <f>IF(COUNTIF('Premade Flavors'!$A:$A, $C66) &gt; 0,_xlfn.XLOOKUP($C66,'Premade Flavors'!$A:$A,'Premade Flavors'!O:O),_xlfn.XLOOKUP("How Dense Should the Mix Ins Be?",[1]Sheet1!$1:$1,[1]Sheet1!66:66))</f>
        <v>0</v>
      </c>
      <c r="P66" s="45">
        <f>IF(COUNTIF('Premade Flavors'!$A:$A, $C66) &gt; 0,_xlfn.XLOOKUP($C66,'Premade Flavors'!$A:$A,'Premade Flavors'!P:P),_xlfn.XLOOKUP("How Much Of The First Sweetner? ",[1]Sheet1!$1:$1,[1]Sheet1!66:66))</f>
        <v>0</v>
      </c>
      <c r="Q66" s="45">
        <f>IF(COUNTIF('Premade Flavors'!$A:$A, $C66) &gt; 0,_xlfn.XLOOKUP($C66,'Premade Flavors'!$A:$A,'Premade Flavors'!Q:Q),[2]Sheet1!S66)</f>
        <v>0</v>
      </c>
      <c r="R66" s="30">
        <f>(_xlfn.XLOOKUP($L66,Specs!A:A,Specs!B:B,0)-(IF(_xlfn.XLOOKUP($F66,'Liquid Mix In Nutrition'!A:A,'Liquid Mix In Nutrition'!J:J,0)="Yes",0,$T66))-(IF(_xlfn.XLOOKUP($G66,'Liquid Mix In Nutrition'!A:A,'Liquid Mix In Nutrition'!J:J,0)="Yes",0,$U66))-(($V66/MAX(1,_xlfn.XLOOKUP($H66,'Solid Mix In Nutrition'!A:A,'Solid Mix In Nutrition'!I:I,1)))*240)-(($W66/MAX(1,_xlfn.XLOOKUP($I66,'Solid Mix In Nutrition'!A:A,'Solid Mix In Nutrition'!I:I,1)))*240))*0.66</f>
        <v>624.36</v>
      </c>
      <c r="S66" s="30">
        <f>(_xlfn.XLOOKUP($L66,Specs!A:A,Specs!B:B,0)-(IF(_xlfn.XLOOKUP($F66,'Liquid Mix In Nutrition'!A:A,'Liquid Mix In Nutrition'!J:J,0)="Yes",0,$T66))-(IF(_xlfn.XLOOKUP($G66,'Liquid Mix In Nutrition'!A:A,'Liquid Mix In Nutrition'!J:J,0)="Yes",0,$U66))-(($V66/MAX(1,_xlfn.XLOOKUP($H66,'Solid Mix In Nutrition'!A:A,'Solid Mix In Nutrition'!I:I,1)))*240)-(($W66/MAX(1,_xlfn.XLOOKUP($I66,'Solid Mix In Nutrition'!A:A,'Solid Mix In Nutrition'!I:I,1)))*240))*0.33</f>
        <v>312.18</v>
      </c>
      <c r="T66" s="30">
        <f>_xlfn.XLOOKUP($M66,Specs!$D:$D,Specs!$E:$E,0)*15*_xlfn.XLOOKUP($L66,Specs!$A:$A,Specs!$C:$C,0)</f>
        <v>0</v>
      </c>
      <c r="U66" s="30">
        <f>_xlfn.XLOOKUP($N66,Specs!$D:$D,Specs!$E:$E,0)*15*_xlfn.XLOOKUP($L66,Specs!$A:$A,Specs!$C:$C,0)</f>
        <v>0</v>
      </c>
      <c r="V66" s="30">
        <f>( ((_xlfn.XLOOKUP($O66,Specs!$H:$H,Specs!$I:$I,0)*_xlfn.XLOOKUP($L66,Specs!$A:$A,Specs!$B:$B,0))/240) *_xlfn.XLOOKUP($H66,'Solid Mix In Nutrition'!A:A,'Solid Mix In Nutrition'!I:I,0)) *IF(AND(NOT($I66=0), COUNTA($I66)),0.5,1)</f>
        <v>0</v>
      </c>
      <c r="W66" s="30">
        <f>( ((_xlfn.XLOOKUP($O66,Specs!$H:$H,Specs!$I:$I,0)*_xlfn.XLOOKUP($L66,Specs!$A:$A,Specs!$B:$B,0))/240) *_xlfn.XLOOKUP($I66,'Solid Mix In Nutrition'!A:A,'Solid Mix In Nutrition'!I:I,0)) *IF(AND(NOT($I66=0), COUNTA($I66)),0.5,0)</f>
        <v>0</v>
      </c>
      <c r="X66" s="30">
        <f>_xlfn.XLOOKUP($P66,Specs!F:F,Specs!G:G,0)*_xlfn.XLOOKUP($J66,'Sweetener Mix In Nutrition'!A:A,'Sweetener Mix In Nutrition'!I:I,0)*_xlfn.XLOOKUP($L66,Specs!A:A,Specs!C:C,0)</f>
        <v>0</v>
      </c>
      <c r="Y66" s="30">
        <f>_xlfn.XLOOKUP($Q66,Specs!F:F,Specs!G:G,0)*_xlfn.XLOOKUP($K66,'Sweetener Mix In Nutrition'!A:A,'Sweetener Mix In Nutrition'!I:I,0)*_xlfn.XLOOKUP($L66,Specs!A:A,Specs!C:C,0)</f>
        <v>0</v>
      </c>
      <c r="Z66" s="34">
        <f t="shared" si="2"/>
        <v>1.123848</v>
      </c>
      <c r="AA66" s="35">
        <f t="shared" si="3"/>
        <v>0.25</v>
      </c>
      <c r="AB66" s="36">
        <f>(($R66 / 240) * _xlfn.XLOOKUP($D66,'Milk Types Nutrition Per Cup'!A:A,'Milk Types Nutrition Per Cup'!B:B,0)) +(($S66 / 240)  * _xlfn.XLOOKUP($E66,'Milk Types Nutrition Per Cup'!A:A,'Milk Types Nutrition Per Cup'!B:B,0)) +(($T66 / 15)  * _xlfn.XLOOKUP($F66,'Liquid Mix In Nutrition'!A:A,'Liquid Mix In Nutrition'!B:B,0))+(($U66 / 15)  * _xlfn.XLOOKUP($G66,'Liquid Mix In Nutrition'!A:A,'Liquid Mix In Nutrition'!B:B,0))+(($V66 /MAX(1, _xlfn.XLOOKUP($H66,'Solid Mix In Nutrition'!A:A,'Solid Mix In Nutrition'!I:I,1)))  * _xlfn.XLOOKUP($H66,'Solid Mix In Nutrition'!A:A,'Solid Mix In Nutrition'!B:B,0))+(($W66 / MAX(1, _xlfn.XLOOKUP($I66,'Solid Mix In Nutrition'!A:A,'Solid Mix In Nutrition'!I:I,1))))+(($X66 / 100)  * _xlfn.XLOOKUP($J66,'Sweetener Mix In Nutrition'!A:A,'Sweetener Mix In Nutrition'!B:B,0))+(($Y66 / 100)  * _xlfn.XLOOKUP($K66,'Sweetener Mix In Nutrition'!A:A,'Sweetener Mix In Nutrition'!B:B,0))</f>
        <v>0</v>
      </c>
      <c r="AC66" s="36">
        <f>(($R66 / 240) * _xlfn.XLOOKUP($D66,'Milk Types Nutrition Per Cup'!A:A,'Milk Types Nutrition Per Cup'!E:E,0)) +(($S66 / 240)  * _xlfn.XLOOKUP($E66,'Milk Types Nutrition Per Cup'!A:A,'Milk Types Nutrition Per Cup'!E:E,0)) +(($T66 / 15)  * _xlfn.XLOOKUP($F66,'Liquid Mix In Nutrition'!A:A,'Liquid Mix In Nutrition'!E:E,0)) +(($U66 / 15)  * _xlfn.XLOOKUP($G66,'Liquid Mix In Nutrition'!A:A,'Liquid Mix In Nutrition'!E:E,0))+(($V66 / MAX(1, _xlfn.XLOOKUP($H66,'Solid Mix In Nutrition'!A:A,'Solid Mix In Nutrition'!I:I,1)))  * _xlfn.XLOOKUP($H66,'Solid Mix In Nutrition'!A:A,'Solid Mix In Nutrition'!E:E,0))+(($W66 / MAX(1, _xlfn.XLOOKUP($I66,'Solid Mix In Nutrition'!A:A,'Solid Mix In Nutrition'!I:I,1)))  * _xlfn.XLOOKUP($I66,'Solid Mix In Nutrition'!A:A,'Solid Mix In Nutrition'!G:G,0))+(($X66 / 100)  * _xlfn.XLOOKUP($J66,'Sweetener Mix In Nutrition'!A:A,'Sweetener Mix In Nutrition'!E:E,0))+(($Y66 / 100)  * _xlfn.XLOOKUP($K66,'Sweetener Mix In Nutrition'!A:A,'Sweetener Mix In Nutrition'!E:E,0))</f>
        <v>0</v>
      </c>
      <c r="AD66" s="36">
        <f>(($R66 / 240) * _xlfn.XLOOKUP($D66,'Milk Types Nutrition Per Cup'!A:A,'Milk Types Nutrition Per Cup'!E:E,0)) +(($S66 / 240)  * _xlfn.XLOOKUP($E66,'Milk Types Nutrition Per Cup'!A:A,'Milk Types Nutrition Per Cup'!E:E,0)) +(($T66 / 15)  * _xlfn.XLOOKUP($F66,'Liquid Mix In Nutrition'!A:A,'Liquid Mix In Nutrition'!E:E,0)) +(($U66 / 15)  * _xlfn.XLOOKUP($G66,'Liquid Mix In Nutrition'!A:A,'Liquid Mix In Nutrition'!E:E,0))+(($X66 / 100)  * _xlfn.XLOOKUP($J66,'Sweetener Mix In Nutrition'!A:A,'Sweetener Mix In Nutrition'!E:E,0))+(($Y66 / 100)  * _xlfn.XLOOKUP($K66,'Sweetener Mix In Nutrition'!A:A,'Sweetener Mix In Nutrition'!E:E,0))</f>
        <v>0</v>
      </c>
      <c r="AE66" s="37">
        <f>(($R66 / 240) * _xlfn.XLOOKUP($D66,'Milk Types Nutrition Per Cup'!A:A,'Milk Types Nutrition Per Cup'!C:C,0)) +(($S66 / 240)  * _xlfn.XLOOKUP($E66,'Milk Types Nutrition Per Cup'!A:A,'Milk Types Nutrition Per Cup'!C:C,0)) +(($T66 / 15)  * _xlfn.XLOOKUP($F66,'Liquid Mix In Nutrition'!A:A,'Liquid Mix In Nutrition'!C:C,0))+(($U66 / 15)  * _xlfn.XLOOKUP($G66,'Liquid Mix In Nutrition'!A:A,'Liquid Mix In Nutrition'!C:C,0))+(($V66 / MAX(1, _xlfn.XLOOKUP($H66,'Solid Mix In Nutrition'!A:A,'Solid Mix In Nutrition'!I:I,1)))  * _xlfn.XLOOKUP($H66,'Solid Mix In Nutrition'!A:A,'Solid Mix In Nutrition'!C:C,0))+(($W66 / MAX(1, _xlfn.XLOOKUP($I66,'Solid Mix In Nutrition'!A:A,'Solid Mix In Nutrition'!I:I,1)))  * _xlfn.XLOOKUP($I66,'Solid Mix In Nutrition'!A:A,'Solid Mix In Nutrition'!C:C,0))+(($X66 / 100)  * _xlfn.XLOOKUP($J66,'Sweetener Mix In Nutrition'!A:A,'Sweetener Mix In Nutrition'!C:C,0))+(($Y66 / 100)  * _xlfn.XLOOKUP($K66,'Sweetener Mix In Nutrition'!A:A,'Sweetener Mix In Nutrition'!C:C,0))</f>
        <v>0</v>
      </c>
      <c r="AF66" s="38">
        <f>$AE66 / (_xlfn.XLOOKUP($L66,Specs!A:A,Specs!B:B,0))</f>
        <v>0</v>
      </c>
      <c r="AG66" s="37">
        <f>60* ($AB66 / _xlfn.XLOOKUP($L66,Specs!A:A,Specs!B:B,0))</f>
        <v>0</v>
      </c>
      <c r="AH66" s="37">
        <f>60* (AC66 / _xlfn.XLOOKUP($L66,Specs!$A:$A,Specs!$B:$B,0))</f>
        <v>0</v>
      </c>
      <c r="AI66" s="37">
        <f>60* (AE66 / _xlfn.XLOOKUP($L66,Specs!$A:$A,Specs!$B:$B,0))</f>
        <v>0</v>
      </c>
      <c r="AJ66" s="39">
        <f>(($R66 / 240) * _xlfn.XLOOKUP($D66,'Milk Types Nutrition Per Cup'!A:A,'Milk Types Nutrition Per Cup'!F:F,0)) +(($S66 / 240)  * _xlfn.XLOOKUP($E66,'Milk Types Nutrition Per Cup'!A:A,'Milk Types Nutrition Per Cup'!F:F,0)) +(($T66 / 15)  * _xlfn.XLOOKUP($F66,'Liquid Mix In Nutrition'!A:A,'Liquid Mix In Nutrition'!F:F,0))+(($U66 / 15)  * _xlfn.XLOOKUP($G66,'Liquid Mix In Nutrition'!A:A,'Liquid Mix In Nutrition'!F:F,0))+(($V66 / MAX(1, _xlfn.XLOOKUP($H66,'Solid Mix In Nutrition'!A:A,'Solid Mix In Nutrition'!I:I,1)))  * _xlfn.XLOOKUP($H66,'Solid Mix In Nutrition'!A:A,'Solid Mix In Nutrition'!F:F,0))+(($W66 / MAX(1, _xlfn.XLOOKUP($I66,'Solid Mix In Nutrition'!A:A,'Solid Mix In Nutrition'!I:I,1)))  * _xlfn.XLOOKUP($I66,'Solid Mix In Nutrition'!A:A,'Solid Mix In Nutrition'!F:F,0))+(($X66 / 100)  * _xlfn.XLOOKUP($J66,'Sweetener Mix In Nutrition'!A:A,'Sweetener Mix In Nutrition'!F:F,0))+(($Y66 / 100)  * _xlfn.XLOOKUP($K66,'Sweetener Mix In Nutrition'!A:A,'Sweetener Mix In Nutrition'!F:F,0))</f>
        <v>0</v>
      </c>
      <c r="AK66" s="46" t="s">
        <v>665</v>
      </c>
      <c r="AL66" s="47">
        <v>14</v>
      </c>
      <c r="AM66" s="40">
        <f>IF(ISERROR(((AL66/Specs!$L$3)*Specs!$L$2)*2),0,ROUNDUP((((AL66/Specs!$L$3)*Specs!$L$2)*2),0))</f>
        <v>4</v>
      </c>
      <c r="AN66" s="48">
        <f>ROUNDUP(((AJ66+Specs!$R$2+Specs!$S$2+_xlfn.XLOOKUP($L66,Specs!A:A,Specs!V:V,0))*Specs!$N$2)+AM66,0)</f>
        <v>7</v>
      </c>
      <c r="AO66" s="40">
        <f>ROUNDUP(((AJ66+Specs!$R$2+Specs!$S$2+_xlfn.XLOOKUP($L66,Specs!A:A,Specs!V:V,0))*Specs!$N$2),0)</f>
        <v>3</v>
      </c>
      <c r="AP66" s="30" t="s">
        <v>210</v>
      </c>
    </row>
    <row r="67" spans="1:43" x14ac:dyDescent="0.25">
      <c r="A67" s="42" t="str">
        <f>_xlfn.CONCAT(_xlfn.XLOOKUP("What's Your Name?",[1]Sheet1!$1:$1,[1]Sheet1!67:67)," | ",TEXT(_xlfn.XLOOKUP("Completion time",[1]Sheet1!$1:$1,[1]Sheet1!67:67),"dddd, mmm dd, yyyy hh:mm AM/PM"))</f>
        <v>Christian Pham | Sunday, Nov 10, 2024 07:54 PM</v>
      </c>
      <c r="B67" s="76" t="str">
        <f>_xlfn.XLOOKUP("What's Your Email Address?",[1]Sheet1!$1:$1,[1]Sheet1!67:67)</f>
        <v>tuan.christian@gmail.com</v>
      </c>
      <c r="C67" s="31" t="str">
        <f>IF(ISBLANK(_xlfn.XLOOKUP("Which Flavor? (Pint Price | Quart Price | Half Gallon Price) (NOTE: Prices may fluctuate based on market conditions)",[1]Sheet1!$1:$1,[1]Sheet1!67:67)),_xlfn.XLOOKUP("Name Your Ice Cream!",[1]Sheet1!$1:$1,[1]Sheet1!67:67),IF(ISNUMBER(FIND("(", _xlfn.XLOOKUP("Which Flavor? (Pint Price | Quart Price | Half Gallon Price) (NOTE: Prices may fluctuate based on market conditions)",[1]Sheet1!$1:$1,[1]Sheet1!67:67))), LEFT(_xlfn.XLOOKUP("Which Flavor? (Pint Price | Quart Price | Half Gallon Price) (NOTE: Prices may fluctuate based on market conditions)",[1]Sheet1!$1:$1,[1]Sheet1!67:67), FIND("(", _xlfn.XLOOKUP("Which Flavor? (Pint Price | Quart Price | Half Gallon Price) (NOTE: Prices may fluctuate based on market conditions)",[1]Sheet1!$1:$1,[1]Sheet1!67:67)) - 1), _xlfn.XLOOKUP("Which Flavor? (Pint Price | Quart Price | Half Gallon Price) (NOTE: Prices may fluctuate based on market conditions)",[1]Sheet1!$1:$1,[1]Sheet1!67:67)))</f>
        <v>Micah's Jeremiah's Strawberry Special</v>
      </c>
      <c r="D67" s="31" t="str">
        <f>IF(COUNTIF('Premade Flavors'!$A:$A, $C67) &gt; 0,IF(ISBLANK(_xlfn.XLOOKUP("What Ice Cream Base Do You Want To Change It To?",[1]Sheet1!$1:$1,[1]Sheet1!67:67)),_xlfn.XLOOKUP($C67,'Premade Flavors'!$A:$A,'Premade Flavors'!B:B),_xlfn.XLOOKUP("What Ice Cream Base Do You Want To Change It To?",[1]Sheet1!$1:$1,[1]Sheet1!67:67)),_xlfn.XLOOKUP(_xlfn.XLOOKUP("What Kind Of Ice Cream Base Do You Want? ",[1]Sheet1!$1:$1,[1]Sheet1!67:67),'Milk Types Nutrition Per Cup'!O:O,'Milk Types Nutrition Per Cup'!P:P,""))</f>
        <v>Heavy Cream</v>
      </c>
      <c r="E67" s="31" t="str">
        <f>IF(COUNTIF('Premade Flavors'!$A:$A, $C67) &gt; 0,IF(ISBLANK(_xlfn.XLOOKUP("What Ice Cream Base Do You Want To Change It To?",[1]Sheet1!$1:$1,[1]Sheet1!67:67)),_xlfn.XLOOKUP($C67,'Premade Flavors'!$A:$A,'Premade Flavors'!C:C),_xlfn.XLOOKUP("What Ice Cream Base Do You Want To Change It To?",[1]Sheet1!$1:$1,[1]Sheet1!67:67)),_xlfn.XLOOKUP(_xlfn.XLOOKUP("What Kind Of Ice Cream Base Do You Want? ",[1]Sheet1!$1:$1,[1]Sheet1!67:67),'Milk Types Nutrition Per Cup'!$O:$O,'Milk Types Nutrition Per Cup'!$Q:$Q,""))</f>
        <v>Half and Half</v>
      </c>
      <c r="F67" s="31" t="s">
        <v>102</v>
      </c>
      <c r="G67" s="31" t="str">
        <f>IF(COUNTIF('Premade Flavors'!$A:$A, $C67) &gt; 0,_xlfn.XLOOKUP($C67,'Premade Flavors'!$A:$A,'Premade Flavors'!F:F),_xlfn.XLOOKUP("What's the Second Flavor You Want?",[1]Sheet1!$1:$1,[1]Sheet1!67:67))</f>
        <v>Strawberry Sorbet</v>
      </c>
      <c r="H67" s="31" t="str">
        <f>IF(COUNTIF('Premade Flavors'!$A:$A, $C67) &gt; 0,_xlfn.XLOOKUP($C67,'Premade Flavors'!$A:$A,'Premade Flavors'!G:G),_xlfn.XLOOKUP("What's The First Mix In That You Want? ",[1]Sheet1!$1:$1,[1]Sheet1!67:67))</f>
        <v>Strawberries</v>
      </c>
      <c r="I67" s="31">
        <f>IF(COUNTIF('Premade Flavors'!$A:$A, $C67) &gt; 0,_xlfn.XLOOKUP($C67,'Premade Flavors'!$A:$A,'Premade Flavors'!H:H),_xlfn.XLOOKUP("What's The Second Mix In That You Want? ",[1]Sheet1!$1:$1,[1]Sheet1!67:67))</f>
        <v>0</v>
      </c>
      <c r="J67" s="31" t="str">
        <f>IF(COUNTIF('Premade Flavors'!$A:$A,$C67)&gt;0,IF(_xlfn.XLOOKUP("Should It Use Sugar or A Non-Sugar Sweetner?",[1]Sheet1!$1:$1,[1]Sheet1!67:67)="Sugar",_xlfn.XLOOKUP($C67,'Premade Flavors'!$A:$A,'Premade Flavors'!I:I),"Stevia"),_xlfn.XLOOKUP("What Sweetner Do You Want?",[1]Sheet1!$1:$1,[1]Sheet1!67:67))</f>
        <v>Sugar</v>
      </c>
      <c r="K67" s="31"/>
      <c r="L67" s="77" t="s">
        <v>4</v>
      </c>
      <c r="M67" s="45" t="s">
        <v>48</v>
      </c>
      <c r="N67" s="45" t="s">
        <v>48</v>
      </c>
      <c r="O67" s="45" t="str">
        <f>IF(COUNTIF('Premade Flavors'!$A:$A, $C67) &gt; 0,_xlfn.XLOOKUP($C67,'Premade Flavors'!$A:$A,'Premade Flavors'!O:O),_xlfn.XLOOKUP("How Dense Should the Mix Ins Be?",[1]Sheet1!$1:$1,[1]Sheet1!67:67))</f>
        <v>Normal (25%)</v>
      </c>
      <c r="P67" s="45" t="s">
        <v>769</v>
      </c>
      <c r="Q67" s="45">
        <f>IF(COUNTIF('Premade Flavors'!$A:$A, $C67) &gt; 0,_xlfn.XLOOKUP($C67,'Premade Flavors'!$A:$A,'Premade Flavors'!Q:Q),[2]Sheet1!S67)</f>
        <v>0</v>
      </c>
      <c r="R67" s="30">
        <f>(_xlfn.XLOOKUP($L67,Specs!A:A,Specs!B:B,0)-(IF(_xlfn.XLOOKUP($F67,'Liquid Mix In Nutrition'!A:A,'Liquid Mix In Nutrition'!J:J,0)="Yes",0,$T67))-(IF(_xlfn.XLOOKUP($G67,'Liquid Mix In Nutrition'!A:A,'Liquid Mix In Nutrition'!J:J,0)="Yes",0,$U67))-(($V67/MAX(1,_xlfn.XLOOKUP($H67,'Solid Mix In Nutrition'!A:A,'Solid Mix In Nutrition'!I:I,1)))*240)-(($W67/MAX(1,_xlfn.XLOOKUP($I67,'Solid Mix In Nutrition'!A:A,'Solid Mix In Nutrition'!I:I,1)))*240))*0.66</f>
        <v>115.33500000000001</v>
      </c>
      <c r="S67" s="30">
        <f>(_xlfn.XLOOKUP($L67,Specs!A:A,Specs!B:B,0)-(IF(_xlfn.XLOOKUP($F67,'Liquid Mix In Nutrition'!A:A,'Liquid Mix In Nutrition'!J:J,0)="Yes",0,$T67))-(IF(_xlfn.XLOOKUP($G67,'Liquid Mix In Nutrition'!A:A,'Liquid Mix In Nutrition'!J:J,0)="Yes",0,$U67))-(($V67/MAX(1,_xlfn.XLOOKUP($H67,'Solid Mix In Nutrition'!A:A,'Solid Mix In Nutrition'!I:I,1)))*240)-(($W67/MAX(1,_xlfn.XLOOKUP($I67,'Solid Mix In Nutrition'!A:A,'Solid Mix In Nutrition'!I:I,1)))*240))*0.33</f>
        <v>57.667500000000004</v>
      </c>
      <c r="T67" s="30">
        <f>_xlfn.XLOOKUP($M67,Specs!$D:$D,Specs!$E:$E,0)*15*_xlfn.XLOOKUP($L67,Specs!$A:$A,Specs!$C:$C,0)</f>
        <v>90</v>
      </c>
      <c r="U67" s="30">
        <f>_xlfn.XLOOKUP($N67,Specs!$D:$D,Specs!$E:$E,0)*15*_xlfn.XLOOKUP($L67,Specs!$A:$A,Specs!$C:$C,0)</f>
        <v>90</v>
      </c>
      <c r="V67" s="30">
        <f>( ((_xlfn.XLOOKUP($O67,Specs!$H:$H,Specs!$I:$I,0)*_xlfn.XLOOKUP($L67,Specs!$A:$A,Specs!$B:$B,0))/240) *_xlfn.XLOOKUP($H67,'Solid Mix In Nutrition'!A:A,'Solid Mix In Nutrition'!I:I,0)) *IF(AND(NOT($I67=0), COUNTA($I67)),0.5,1)</f>
        <v>81.78958333333334</v>
      </c>
      <c r="W67" s="30">
        <f>( ((_xlfn.XLOOKUP($O67,Specs!$H:$H,Specs!$I:$I,0)*_xlfn.XLOOKUP($L67,Specs!$A:$A,Specs!$B:$B,0))/240) *_xlfn.XLOOKUP($I67,'Solid Mix In Nutrition'!A:A,'Solid Mix In Nutrition'!I:I,0)) *IF(AND(NOT($I67=0), COUNTA($I67)),0.5,0)</f>
        <v>0</v>
      </c>
      <c r="X67" s="30">
        <f>_xlfn.XLOOKUP($P67,Specs!F:F,Specs!G:G,0)*_xlfn.XLOOKUP($J67,'Sweetener Mix In Nutrition'!A:A,'Sweetener Mix In Nutrition'!I:I,0)*_xlfn.XLOOKUP($L67,Specs!A:A,Specs!C:C,0)</f>
        <v>37.5</v>
      </c>
      <c r="Y67" s="30">
        <f>_xlfn.XLOOKUP($Q67,Specs!F:F,Specs!G:G,0)*_xlfn.XLOOKUP($K67,'Sweetener Mix In Nutrition'!A:A,'Sweetener Mix In Nutrition'!I:I,0)*_xlfn.XLOOKUP($L67,Specs!A:A,Specs!C:C,0)</f>
        <v>0</v>
      </c>
      <c r="Z67" s="34">
        <f t="shared" si="2"/>
        <v>0.36060299999999995</v>
      </c>
      <c r="AA67" s="35">
        <f t="shared" si="3"/>
        <v>0.25</v>
      </c>
      <c r="AB67" s="36">
        <f>(($R67 / 240) * _xlfn.XLOOKUP($D67,'Milk Types Nutrition Per Cup'!A:A,'Milk Types Nutrition Per Cup'!B:B,0)) +(($S67 / 240)  * _xlfn.XLOOKUP($E67,'Milk Types Nutrition Per Cup'!A:A,'Milk Types Nutrition Per Cup'!B:B,0)) +(($T67 / 15)  * _xlfn.XLOOKUP($F67,'Liquid Mix In Nutrition'!A:A,'Liquid Mix In Nutrition'!B:B,0))+(($U67 / 15)  * _xlfn.XLOOKUP($G67,'Liquid Mix In Nutrition'!A:A,'Liquid Mix In Nutrition'!B:B,0))+(($V67 /MAX(1, _xlfn.XLOOKUP($H67,'Solid Mix In Nutrition'!A:A,'Solid Mix In Nutrition'!I:I,1)))  * _xlfn.XLOOKUP($H67,'Solid Mix In Nutrition'!A:A,'Solid Mix In Nutrition'!B:B,0))+(($W67 / MAX(1, _xlfn.XLOOKUP($I67,'Solid Mix In Nutrition'!A:A,'Solid Mix In Nutrition'!I:I,1))))+(($X67 / 100)  * _xlfn.XLOOKUP($J67,'Sweetener Mix In Nutrition'!A:A,'Sweetener Mix In Nutrition'!B:B,0))+(($Y67 / 100)  * _xlfn.XLOOKUP($K67,'Sweetener Mix In Nutrition'!A:A,'Sweetener Mix In Nutrition'!B:B,0))</f>
        <v>738.61942129629642</v>
      </c>
      <c r="AC67" s="36">
        <f>(($R67 / 240) * _xlfn.XLOOKUP($D67,'Milk Types Nutrition Per Cup'!A:A,'Milk Types Nutrition Per Cup'!E:E,0)) +(($S67 / 240)  * _xlfn.XLOOKUP($E67,'Milk Types Nutrition Per Cup'!A:A,'Milk Types Nutrition Per Cup'!E:E,0)) +(($T67 / 15)  * _xlfn.XLOOKUP($F67,'Liquid Mix In Nutrition'!A:A,'Liquid Mix In Nutrition'!E:E,0)) +(($U67 / 15)  * _xlfn.XLOOKUP($G67,'Liquid Mix In Nutrition'!A:A,'Liquid Mix In Nutrition'!E:E,0))+(($V67 / MAX(1, _xlfn.XLOOKUP($H67,'Solid Mix In Nutrition'!A:A,'Solid Mix In Nutrition'!I:I,1)))  * _xlfn.XLOOKUP($H67,'Solid Mix In Nutrition'!A:A,'Solid Mix In Nutrition'!E:E,0))+(($W67 / MAX(1, _xlfn.XLOOKUP($I67,'Solid Mix In Nutrition'!A:A,'Solid Mix In Nutrition'!I:I,1)))  * _xlfn.XLOOKUP($I67,'Solid Mix In Nutrition'!A:A,'Solid Mix In Nutrition'!G:G,0))+(($X67 / 100)  * _xlfn.XLOOKUP($J67,'Sweetener Mix In Nutrition'!A:A,'Sweetener Mix In Nutrition'!E:E,0))+(($Y67 / 100)  * _xlfn.XLOOKUP($K67,'Sweetener Mix In Nutrition'!A:A,'Sweetener Mix In Nutrition'!E:E,0))</f>
        <v>66.55313252314815</v>
      </c>
      <c r="AD67" s="36">
        <f>(($R67 / 240) * _xlfn.XLOOKUP($D67,'Milk Types Nutrition Per Cup'!A:A,'Milk Types Nutrition Per Cup'!E:E,0)) +(($S67 / 240)  * _xlfn.XLOOKUP($E67,'Milk Types Nutrition Per Cup'!A:A,'Milk Types Nutrition Per Cup'!E:E,0)) +(($T67 / 15)  * _xlfn.XLOOKUP($F67,'Liquid Mix In Nutrition'!A:A,'Liquid Mix In Nutrition'!E:E,0)) +(($U67 / 15)  * _xlfn.XLOOKUP($G67,'Liquid Mix In Nutrition'!A:A,'Liquid Mix In Nutrition'!E:E,0))+(($X67 / 100)  * _xlfn.XLOOKUP($J67,'Sweetener Mix In Nutrition'!A:A,'Sweetener Mix In Nutrition'!E:E,0))+(($Y67 / 100)  * _xlfn.XLOOKUP($K67,'Sweetener Mix In Nutrition'!A:A,'Sweetener Mix In Nutrition'!E:E,0))</f>
        <v>62.577249999999999</v>
      </c>
      <c r="AE67" s="37">
        <f>(($R67 / 240) * _xlfn.XLOOKUP($D67,'Milk Types Nutrition Per Cup'!A:A,'Milk Types Nutrition Per Cup'!C:C,0)) +(($S67 / 240)  * _xlfn.XLOOKUP($E67,'Milk Types Nutrition Per Cup'!A:A,'Milk Types Nutrition Per Cup'!C:C,0)) +(($T67 / 15)  * _xlfn.XLOOKUP($F67,'Liquid Mix In Nutrition'!A:A,'Liquid Mix In Nutrition'!C:C,0))+(($U67 / 15)  * _xlfn.XLOOKUP($G67,'Liquid Mix In Nutrition'!A:A,'Liquid Mix In Nutrition'!C:C,0))+(($V67 / MAX(1, _xlfn.XLOOKUP($H67,'Solid Mix In Nutrition'!A:A,'Solid Mix In Nutrition'!I:I,1)))  * _xlfn.XLOOKUP($H67,'Solid Mix In Nutrition'!A:A,'Solid Mix In Nutrition'!C:C,0))+(($W67 / MAX(1, _xlfn.XLOOKUP($I67,'Solid Mix In Nutrition'!A:A,'Solid Mix In Nutrition'!I:I,1)))  * _xlfn.XLOOKUP($I67,'Solid Mix In Nutrition'!A:A,'Solid Mix In Nutrition'!C:C,0))+(($X67 / 100)  * _xlfn.XLOOKUP($J67,'Sweetener Mix In Nutrition'!A:A,'Sweetener Mix In Nutrition'!C:C,0))+(($Y67 / 100)  * _xlfn.XLOOKUP($K67,'Sweetener Mix In Nutrition'!A:A,'Sweetener Mix In Nutrition'!C:C,0))</f>
        <v>53.339068287037051</v>
      </c>
      <c r="AF67" s="38">
        <f>$AE67 / (_xlfn.XLOOKUP($L67,Specs!A:A,Specs!B:B,0))</f>
        <v>0.11276758623052231</v>
      </c>
      <c r="AG67" s="37">
        <f>60* ($AB67 / _xlfn.XLOOKUP($L67,Specs!A:A,Specs!B:B,0))</f>
        <v>93.693795513272264</v>
      </c>
      <c r="AH67" s="37">
        <f>60* (AC67 / _xlfn.XLOOKUP($L67,Specs!$A:$A,Specs!$B:$B,0))</f>
        <v>8.4422578253464877</v>
      </c>
      <c r="AI67" s="37">
        <f>60* (AE67 / _xlfn.XLOOKUP($L67,Specs!$A:$A,Specs!$B:$B,0))</f>
        <v>6.7660551738313384</v>
      </c>
      <c r="AJ67" s="39">
        <f>(($R67 / 240) * _xlfn.XLOOKUP($D67,'Milk Types Nutrition Per Cup'!A:A,'Milk Types Nutrition Per Cup'!F:F,0)) +(($S67 / 240)  * _xlfn.XLOOKUP($E67,'Milk Types Nutrition Per Cup'!A:A,'Milk Types Nutrition Per Cup'!F:F,0)) +(($T67 / 15)  * _xlfn.XLOOKUP($F67,'Liquid Mix In Nutrition'!A:A,'Liquid Mix In Nutrition'!F:F,0))+(($U67 / 15)  * _xlfn.XLOOKUP($G67,'Liquid Mix In Nutrition'!A:A,'Liquid Mix In Nutrition'!F:F,0))+(($V67 / MAX(1, _xlfn.XLOOKUP($H67,'Solid Mix In Nutrition'!A:A,'Solid Mix In Nutrition'!I:I,1)))  * _xlfn.XLOOKUP($H67,'Solid Mix In Nutrition'!A:A,'Solid Mix In Nutrition'!F:F,0))+(($W67 / MAX(1, _xlfn.XLOOKUP($I67,'Solid Mix In Nutrition'!A:A,'Solid Mix In Nutrition'!I:I,1)))  * _xlfn.XLOOKUP($I67,'Solid Mix In Nutrition'!A:A,'Solid Mix In Nutrition'!F:F,0))+(($X67 / 100)  * _xlfn.XLOOKUP($J67,'Sweetener Mix In Nutrition'!A:A,'Sweetener Mix In Nutrition'!F:F,0))+(($Y67 / 100)  * _xlfn.XLOOKUP($K67,'Sweetener Mix In Nutrition'!A:A,'Sweetener Mix In Nutrition'!F:F,0))</f>
        <v>1.8175679195159216</v>
      </c>
      <c r="AK67" s="46" t="s">
        <v>665</v>
      </c>
      <c r="AL67" s="47">
        <v>14</v>
      </c>
      <c r="AM67" s="40">
        <f>IF(ISERROR(((AL67/Specs!$L$3)*Specs!$L$2)*2),0,ROUNDUP((((AL67/Specs!$L$3)*Specs!$L$2)*2),0))</f>
        <v>4</v>
      </c>
      <c r="AN67" s="48">
        <f>ROUNDUP(((AJ67+Specs!$R$2+Specs!$S$2+_xlfn.XLOOKUP($L67,Specs!A:A,Specs!V:V,0))*Specs!$N$2)+AM67,0)</f>
        <v>9</v>
      </c>
      <c r="AO67" s="40">
        <f>ROUNDUP(((AJ67+Specs!$R$2+Specs!$S$2+_xlfn.XLOOKUP($L67,Specs!A:A,Specs!V:V,0))*Specs!$N$2),0)</f>
        <v>5</v>
      </c>
      <c r="AP67" s="30" t="s">
        <v>210</v>
      </c>
    </row>
    <row r="68" spans="1:43" x14ac:dyDescent="0.25">
      <c r="A68" s="42" t="str">
        <f>_xlfn.CONCAT(_xlfn.XLOOKUP("What's Your Name?",[1]Sheet1!$1:$1,[1]Sheet1!68:68)," | ",TEXT(_xlfn.XLOOKUP("Completion time",[1]Sheet1!$1:$1,[1]Sheet1!68:68),"dddd, mmm dd, yyyy hh:mm AM/PM"))</f>
        <v>Logan Fontirroche | Tuesday, Nov 12, 2024 03:17 PM</v>
      </c>
      <c r="B68" s="76" t="str">
        <f>_xlfn.XLOOKUP("What's Your Email Address?",[1]Sheet1!$1:$1,[1]Sheet1!68:68)</f>
        <v>Fontirrochel@gmail.com</v>
      </c>
      <c r="C68" s="31" t="str">
        <f>IF(ISBLANK(_xlfn.XLOOKUP("Which Flavor? (Pint Price | Quart Price | Half Gallon Price) (NOTE: Prices may fluctuate based on market conditions)",[1]Sheet1!$1:$1,[1]Sheet1!68:68)),_xlfn.XLOOKUP("Name Your Ice Cream!",[1]Sheet1!$1:$1,[1]Sheet1!68:68),IF(ISNUMBER(FIND("(", _xlfn.XLOOKUP("Which Flavor? (Pint Price | Quart Price | Half Gallon Price) (NOTE: Prices may fluctuate based on market conditions)",[1]Sheet1!$1:$1,[1]Sheet1!68:68))), LEFT(_xlfn.XLOOKUP("Which Flavor? (Pint Price | Quart Price | Half Gallon Price) (NOTE: Prices may fluctuate based on market conditions)",[1]Sheet1!$1:$1,[1]Sheet1!68:68), FIND("(", _xlfn.XLOOKUP("Which Flavor? (Pint Price | Quart Price | Half Gallon Price) (NOTE: Prices may fluctuate based on market conditions)",[1]Sheet1!$1:$1,[1]Sheet1!68:68)) - 1), _xlfn.XLOOKUP("Which Flavor? (Pint Price | Quart Price | Half Gallon Price) (NOTE: Prices may fluctuate based on market conditions)",[1]Sheet1!$1:$1,[1]Sheet1!68:68)))</f>
        <v>Cheescake reeses</v>
      </c>
      <c r="D68" s="31" t="str">
        <f>IF(COUNTIF('Premade Flavors'!$A:$A, $C68) &gt; 0,IF(ISBLANK(_xlfn.XLOOKUP("What Ice Cream Base Do You Want To Change It To?",[1]Sheet1!$1:$1,[1]Sheet1!68:68)),_xlfn.XLOOKUP($C68,'Premade Flavors'!$A:$A,'Premade Flavors'!B:B),_xlfn.XLOOKUP("What Ice Cream Base Do You Want To Change It To?",[1]Sheet1!$1:$1,[1]Sheet1!68:68)),_xlfn.XLOOKUP(_xlfn.XLOOKUP("What Kind Of Ice Cream Base Do You Want? ",[1]Sheet1!$1:$1,[1]Sheet1!68:68),'Milk Types Nutrition Per Cup'!O:O,'Milk Types Nutrition Per Cup'!P:P,""))</f>
        <v>Half and Half</v>
      </c>
      <c r="E68" s="31" t="str">
        <f>IF(COUNTIF('Premade Flavors'!$A:$A, $C68) &gt; 0,IF(ISBLANK(_xlfn.XLOOKUP("What Ice Cream Base Do You Want To Change It To?",[1]Sheet1!$1:$1,[1]Sheet1!68:68)),_xlfn.XLOOKUP($C68,'Premade Flavors'!$A:$A,'Premade Flavors'!C:C),_xlfn.XLOOKUP("What Ice Cream Base Do You Want To Change It To?",[1]Sheet1!$1:$1,[1]Sheet1!68:68)),_xlfn.XLOOKUP(_xlfn.XLOOKUP("What Kind Of Ice Cream Base Do You Want? ",[1]Sheet1!$1:$1,[1]Sheet1!68:68),'Milk Types Nutrition Per Cup'!$O:$O,'Milk Types Nutrition Per Cup'!$Q:$Q,""))</f>
        <v>Cream Cheese</v>
      </c>
      <c r="F68" s="31" t="str">
        <f>IF(COUNTIF('Premade Flavors'!$A:$A, $C68) &gt; 0,_xlfn.XLOOKUP($C68,'Premade Flavors'!$A:$A,'Premade Flavors'!E:E),_xlfn.XLOOKUP("What's The First Flavor You Want? ",[1]Sheet1!$1:$1,[1]Sheet1!68:68))</f>
        <v>Cake Batter Extract</v>
      </c>
      <c r="G68" s="31" t="str">
        <f>IF(COUNTIF('Premade Flavors'!$A:$A, $C68) &gt; 0,_xlfn.XLOOKUP($C68,'Premade Flavors'!$A:$A,'Premade Flavors'!F:F),_xlfn.XLOOKUP("What's the Second Flavor You Want?",[1]Sheet1!$1:$1,[1]Sheet1!68:68))</f>
        <v>Nutella</v>
      </c>
      <c r="H68" s="31" t="str">
        <f>IF(COUNTIF('Premade Flavors'!$A:$A, $C68) &gt; 0,_xlfn.XLOOKUP($C68,'Premade Flavors'!$A:$A,'Premade Flavors'!G:G),_xlfn.XLOOKUP("What's The First Mix In That You Want? ",[1]Sheet1!$1:$1,[1]Sheet1!68:68))</f>
        <v>Reeses Minis Unwrapped</v>
      </c>
      <c r="I68" s="31" t="str">
        <f>IF(COUNTIF('Premade Flavors'!$A:$A, $C68) &gt; 0,_xlfn.XLOOKUP($C68,'Premade Flavors'!$A:$A,'Premade Flavors'!H:H),_xlfn.XLOOKUP("What's The Second Mix In That You Want? ",[1]Sheet1!$1:$1,[1]Sheet1!68:68))</f>
        <v>Homemade Chocolate Chip Cookes (Dough or Baked)</v>
      </c>
      <c r="J68" s="31" t="str">
        <f>IF(COUNTIF('Premade Flavors'!$A:$A,$C68)&gt;0,IF(_xlfn.XLOOKUP("Should It Use Sugar or A Non-Sugar Sweetner?",[1]Sheet1!$1:$1,[1]Sheet1!68:68)="Sugar",_xlfn.XLOOKUP($C68,'Premade Flavors'!$A:$A,'Premade Flavors'!I:I),"Stevia"),_xlfn.XLOOKUP("What Sweetner Do You Want?",[1]Sheet1!$1:$1,[1]Sheet1!68:68))</f>
        <v>Sugar</v>
      </c>
      <c r="K68" s="31"/>
      <c r="L68" s="77" t="str">
        <f>_xlfn.XLOOKUP("How Much Ice Cream Do You Want?",[1]Sheet1!$1:$1,[1]Sheet1!68:68)</f>
        <v>Half Gallon</v>
      </c>
      <c r="M68" s="45" t="str">
        <f>IF(COUNTIF('Premade Flavors'!$A:$A, $C68) &gt; 0,_xlfn.XLOOKUP($C68,'Premade Flavors'!$A:$A,'Premade Flavors'!M:M),_xlfn.XLOOKUP("How Strong Do You Want The First Flavor?",[1]Sheet1!$1:$1,[1]Sheet1!68:68))</f>
        <v>Light (For pastes and extracts)</v>
      </c>
      <c r="N68" s="45" t="str">
        <f>IF(COUNTIF('Premade Flavors'!$A:$A, $C68) &gt; 0,_xlfn.XLOOKUP($C68,'Premade Flavors'!$A:$A,'Premade Flavors'!N:N),_xlfn.XLOOKUP("How Strong Do You Want The Second Flavor?",[1]Sheet1!$1:$1,[1]Sheet1!68:68))</f>
        <v>Normal</v>
      </c>
      <c r="O68" s="45" t="str">
        <f>IF(COUNTIF('Premade Flavors'!$A:$A, $C68) &gt; 0,_xlfn.XLOOKUP($C68,'Premade Flavors'!$A:$A,'Premade Flavors'!O:O),_xlfn.XLOOKUP("How Dense Should the Mix Ins Be?",[1]Sheet1!$1:$1,[1]Sheet1!68:68))</f>
        <v>Light (15%)</v>
      </c>
      <c r="P68" s="45" t="str">
        <f>IF(COUNTIF('Premade Flavors'!$A:$A, $C68) &gt; 0,_xlfn.XLOOKUP($C68,'Premade Flavors'!$A:$A,'Premade Flavors'!P:P),_xlfn.XLOOKUP("How Much Of The First Sweetner? ",[1]Sheet1!$1:$1,[1]Sheet1!68:68))</f>
        <v>3/4 Sweet</v>
      </c>
      <c r="Q68" s="45">
        <f>IF(COUNTIF('Premade Flavors'!$A:$A, $C68) &gt; 0,_xlfn.XLOOKUP($C68,'Premade Flavors'!$A:$A,'Premade Flavors'!Q:Q),[2]Sheet1!S68)</f>
        <v>0</v>
      </c>
      <c r="R68" s="30">
        <f>(_xlfn.XLOOKUP($L68,Specs!A:A,Specs!B:B,0)-(IF(_xlfn.XLOOKUP($F68,'Liquid Mix In Nutrition'!A:A,'Liquid Mix In Nutrition'!J:J,0)="Yes",0,$T68))-(IF(_xlfn.XLOOKUP($G68,'Liquid Mix In Nutrition'!A:A,'Liquid Mix In Nutrition'!J:J,0)="Yes",0,$U68))-(($V68/MAX(1,_xlfn.XLOOKUP($H68,'Solid Mix In Nutrition'!A:A,'Solid Mix In Nutrition'!I:I,1)))*240)-(($W68/MAX(1,_xlfn.XLOOKUP($I68,'Solid Mix In Nutrition'!A:A,'Solid Mix In Nutrition'!I:I,1)))*240))*0.66</f>
        <v>906.87300000000016</v>
      </c>
      <c r="S68" s="30">
        <f>(_xlfn.XLOOKUP($L68,Specs!A:A,Specs!B:B,0)-(IF(_xlfn.XLOOKUP($F68,'Liquid Mix In Nutrition'!A:A,'Liquid Mix In Nutrition'!J:J,0)="Yes",0,$T68))-(IF(_xlfn.XLOOKUP($G68,'Liquid Mix In Nutrition'!A:A,'Liquid Mix In Nutrition'!J:J,0)="Yes",0,$U68))-(($V68/MAX(1,_xlfn.XLOOKUP($H68,'Solid Mix In Nutrition'!A:A,'Solid Mix In Nutrition'!I:I,1)))*240)-(($W68/MAX(1,_xlfn.XLOOKUP($I68,'Solid Mix In Nutrition'!A:A,'Solid Mix In Nutrition'!I:I,1)))*240))*0.33</f>
        <v>453.43650000000008</v>
      </c>
      <c r="T68" s="30">
        <f>_xlfn.XLOOKUP($M68,Specs!$D:$D,Specs!$E:$E,0)*15*_xlfn.XLOOKUP($L68,Specs!$A:$A,Specs!$C:$C,0)</f>
        <v>30</v>
      </c>
      <c r="U68" s="30">
        <f>_xlfn.XLOOKUP($N68,Specs!$D:$D,Specs!$E:$E,0)*15*_xlfn.XLOOKUP($L68,Specs!$A:$A,Specs!$C:$C,0)</f>
        <v>120</v>
      </c>
      <c r="V68" s="30">
        <f>( ((_xlfn.XLOOKUP($O68,Specs!$H:$H,Specs!$I:$I,0)*_xlfn.XLOOKUP($L68,Specs!$A:$A,Specs!$B:$B,0))/240) *_xlfn.XLOOKUP($H68,'Solid Mix In Nutrition'!A:A,'Solid Mix In Nutrition'!I:I,0)) *IF(AND(NOT($I68=0), COUNTA($I68)),0.5,1)</f>
        <v>72.840625000000003</v>
      </c>
      <c r="W68" s="30">
        <f>( ((_xlfn.XLOOKUP($O68,Specs!$H:$H,Specs!$I:$I,0)*_xlfn.XLOOKUP($L68,Specs!$A:$A,Specs!$B:$B,0))/240) *_xlfn.XLOOKUP($I68,'Solid Mix In Nutrition'!A:A,'Solid Mix In Nutrition'!I:I,0)) *IF(AND(NOT($I68=0), COUNTA($I68)),0.5,0)</f>
        <v>134.47499999999999</v>
      </c>
      <c r="X68" s="30">
        <f>_xlfn.XLOOKUP($P68,Specs!F:F,Specs!G:G,0)*_xlfn.XLOOKUP($J68,'Sweetener Mix In Nutrition'!A:A,'Sweetener Mix In Nutrition'!I:I,0)*_xlfn.XLOOKUP($L68,Specs!A:A,Specs!C:C,0)</f>
        <v>150</v>
      </c>
      <c r="Y68" s="30">
        <f>_xlfn.XLOOKUP($Q68,Specs!F:F,Specs!G:G,0)*_xlfn.XLOOKUP($K68,'Sweetener Mix In Nutrition'!A:A,'Sweetener Mix In Nutrition'!I:I,0)*_xlfn.XLOOKUP($L68,Specs!A:A,Specs!C:C,0)</f>
        <v>0</v>
      </c>
      <c r="Z68" s="34">
        <f t="shared" si="2"/>
        <v>1.8483714000000002</v>
      </c>
      <c r="AA68" s="35">
        <f t="shared" si="3"/>
        <v>0.5</v>
      </c>
      <c r="AB68" s="36">
        <f>(($R68 / 240) * _xlfn.XLOOKUP($D68,'Milk Types Nutrition Per Cup'!A:A,'Milk Types Nutrition Per Cup'!B:B,0)) +(($S68 / 240)  * _xlfn.XLOOKUP($E68,'Milk Types Nutrition Per Cup'!A:A,'Milk Types Nutrition Per Cup'!B:B,0)) +(($T68 / 15)  * _xlfn.XLOOKUP($F68,'Liquid Mix In Nutrition'!A:A,'Liquid Mix In Nutrition'!B:B,0))+(($U68 / 15)  * _xlfn.XLOOKUP($G68,'Liquid Mix In Nutrition'!A:A,'Liquid Mix In Nutrition'!B:B,0))+(($V68 /MAX(1, _xlfn.XLOOKUP($H68,'Solid Mix In Nutrition'!A:A,'Solid Mix In Nutrition'!I:I,1)))  * _xlfn.XLOOKUP($H68,'Solid Mix In Nutrition'!A:A,'Solid Mix In Nutrition'!B:B,0))+(($W68 / MAX(1, _xlfn.XLOOKUP($I68,'Solid Mix In Nutrition'!A:A,'Solid Mix In Nutrition'!I:I,1))))+(($X68 / 100)  * _xlfn.XLOOKUP($J68,'Sweetener Mix In Nutrition'!A:A,'Sweetener Mix In Nutrition'!B:B,0))+(($Y68 / 100)  * _xlfn.XLOOKUP($K68,'Sweetener Mix In Nutrition'!A:A,'Sweetener Mix In Nutrition'!B:B,0))</f>
        <v>4280.388327566965</v>
      </c>
      <c r="AC68" s="36">
        <f>(($R68 / 240) * _xlfn.XLOOKUP($D68,'Milk Types Nutrition Per Cup'!A:A,'Milk Types Nutrition Per Cup'!E:E,0)) +(($S68 / 240)  * _xlfn.XLOOKUP($E68,'Milk Types Nutrition Per Cup'!A:A,'Milk Types Nutrition Per Cup'!E:E,0)) +(($T68 / 15)  * _xlfn.XLOOKUP($F68,'Liquid Mix In Nutrition'!A:A,'Liquid Mix In Nutrition'!E:E,0)) +(($U68 / 15)  * _xlfn.XLOOKUP($G68,'Liquid Mix In Nutrition'!A:A,'Liquid Mix In Nutrition'!E:E,0))+(($V68 / MAX(1, _xlfn.XLOOKUP($H68,'Solid Mix In Nutrition'!A:A,'Solid Mix In Nutrition'!I:I,1)))  * _xlfn.XLOOKUP($H68,'Solid Mix In Nutrition'!A:A,'Solid Mix In Nutrition'!E:E,0))+(($W68 / MAX(1, _xlfn.XLOOKUP($I68,'Solid Mix In Nutrition'!A:A,'Solid Mix In Nutrition'!I:I,1)))  * _xlfn.XLOOKUP($I68,'Solid Mix In Nutrition'!A:A,'Solid Mix In Nutrition'!G:G,0))+(($X68 / 100)  * _xlfn.XLOOKUP($J68,'Sweetener Mix In Nutrition'!A:A,'Sweetener Mix In Nutrition'!E:E,0))+(($Y68 / 100)  * _xlfn.XLOOKUP($K68,'Sweetener Mix In Nutrition'!A:A,'Sweetener Mix In Nutrition'!E:E,0))</f>
        <v>313.46966216851786</v>
      </c>
      <c r="AD68" s="36">
        <f>(($R68 / 240) * _xlfn.XLOOKUP($D68,'Milk Types Nutrition Per Cup'!A:A,'Milk Types Nutrition Per Cup'!E:E,0)) +(($S68 / 240)  * _xlfn.XLOOKUP($E68,'Milk Types Nutrition Per Cup'!A:A,'Milk Types Nutrition Per Cup'!E:E,0)) +(($T68 / 15)  * _xlfn.XLOOKUP($F68,'Liquid Mix In Nutrition'!A:A,'Liquid Mix In Nutrition'!E:E,0)) +(($U68 / 15)  * _xlfn.XLOOKUP($G68,'Liquid Mix In Nutrition'!A:A,'Liquid Mix In Nutrition'!E:E,0))+(($X68 / 100)  * _xlfn.XLOOKUP($J68,'Sweetener Mix In Nutrition'!A:A,'Sweetener Mix In Nutrition'!E:E,0))+(($Y68 / 100)  * _xlfn.XLOOKUP($K68,'Sweetener Mix In Nutrition'!A:A,'Sweetener Mix In Nutrition'!E:E,0))</f>
        <v>270.0232607142857</v>
      </c>
      <c r="AE68" s="37">
        <f>(($R68 / 240) * _xlfn.XLOOKUP($D68,'Milk Types Nutrition Per Cup'!A:A,'Milk Types Nutrition Per Cup'!C:C,0)) +(($S68 / 240)  * _xlfn.XLOOKUP($E68,'Milk Types Nutrition Per Cup'!A:A,'Milk Types Nutrition Per Cup'!C:C,0)) +(($T68 / 15)  * _xlfn.XLOOKUP($F68,'Liquid Mix In Nutrition'!A:A,'Liquid Mix In Nutrition'!C:C,0))+(($U68 / 15)  * _xlfn.XLOOKUP($G68,'Liquid Mix In Nutrition'!A:A,'Liquid Mix In Nutrition'!C:C,0))+(($V68 / MAX(1, _xlfn.XLOOKUP($H68,'Solid Mix In Nutrition'!A:A,'Solid Mix In Nutrition'!I:I,1)))  * _xlfn.XLOOKUP($H68,'Solid Mix In Nutrition'!A:A,'Solid Mix In Nutrition'!C:C,0))+(($W68 / MAX(1, _xlfn.XLOOKUP($I68,'Solid Mix In Nutrition'!A:A,'Solid Mix In Nutrition'!I:I,1)))  * _xlfn.XLOOKUP($I68,'Solid Mix In Nutrition'!A:A,'Solid Mix In Nutrition'!C:C,0))+(($X68 / 100)  * _xlfn.XLOOKUP($J68,'Sweetener Mix In Nutrition'!A:A,'Sweetener Mix In Nutrition'!C:C,0))+(($Y68 / 100)  * _xlfn.XLOOKUP($K68,'Sweetener Mix In Nutrition'!A:A,'Sweetener Mix In Nutrition'!C:C,0))</f>
        <v>331.30811313286461</v>
      </c>
      <c r="AF68" s="38">
        <f>$AE68 / (_xlfn.XLOOKUP($L68,Specs!A:A,Specs!B:B,0))</f>
        <v>0.18477864647677891</v>
      </c>
      <c r="AG68" s="37">
        <f>60* ($AB68 / _xlfn.XLOOKUP($L68,Specs!A:A,Specs!B:B,0))</f>
        <v>143.23664230564299</v>
      </c>
      <c r="AH68" s="37">
        <f>60* (AC68 / _xlfn.XLOOKUP($L68,Specs!$A:$A,Specs!$B:$B,0))</f>
        <v>10.489782336927536</v>
      </c>
      <c r="AI68" s="37">
        <f>60* (AE68 / _xlfn.XLOOKUP($L68,Specs!$A:$A,Specs!$B:$B,0))</f>
        <v>11.086718788606735</v>
      </c>
      <c r="AJ68" s="39">
        <f>(($R68 / 240) * _xlfn.XLOOKUP($D68,'Milk Types Nutrition Per Cup'!A:A,'Milk Types Nutrition Per Cup'!F:F,0)) +(($S68 / 240)  * _xlfn.XLOOKUP($E68,'Milk Types Nutrition Per Cup'!A:A,'Milk Types Nutrition Per Cup'!F:F,0)) +(($T68 / 15)  * _xlfn.XLOOKUP($F68,'Liquid Mix In Nutrition'!A:A,'Liquid Mix In Nutrition'!F:F,0))+(($U68 / 15)  * _xlfn.XLOOKUP($G68,'Liquid Mix In Nutrition'!A:A,'Liquid Mix In Nutrition'!F:F,0))+(($V68 / MAX(1, _xlfn.XLOOKUP($H68,'Solid Mix In Nutrition'!A:A,'Solid Mix In Nutrition'!I:I,1)))  * _xlfn.XLOOKUP($H68,'Solid Mix In Nutrition'!A:A,'Solid Mix In Nutrition'!F:F,0))+(($W68 / MAX(1, _xlfn.XLOOKUP($I68,'Solid Mix In Nutrition'!A:A,'Solid Mix In Nutrition'!I:I,1)))  * _xlfn.XLOOKUP($I68,'Solid Mix In Nutrition'!A:A,'Solid Mix In Nutrition'!F:F,0))+(($X68 / 100)  * _xlfn.XLOOKUP($J68,'Sweetener Mix In Nutrition'!A:A,'Sweetener Mix In Nutrition'!F:F,0))+(($Y68 / 100)  * _xlfn.XLOOKUP($K68,'Sweetener Mix In Nutrition'!A:A,'Sweetener Mix In Nutrition'!F:F,0))</f>
        <v>13.078806405446366</v>
      </c>
      <c r="AK68" s="46">
        <f>[2]Sheet1!AG68</f>
        <v>0</v>
      </c>
      <c r="AL68" s="47"/>
      <c r="AM68" s="40">
        <f>IF(ISERROR(((AL68/Specs!$L$3)*Specs!$L$2)*2),0,ROUNDUP((((AL68/Specs!$L$3)*Specs!$L$2)*2),0))</f>
        <v>0</v>
      </c>
      <c r="AN68" s="48">
        <f>ROUNDUP(((AJ68+Specs!$R$2+Specs!$S$2+_xlfn.XLOOKUP($L68,Specs!A:A,Specs!V:V,0))*Specs!$N$2)+AM68,0)</f>
        <v>30</v>
      </c>
      <c r="AO68" s="40">
        <f>ROUNDUP(((AJ68+Specs!$R$2+Specs!$S$2+_xlfn.XLOOKUP($L68,Specs!A:A,Specs!V:V,0))*Specs!$N$2),0)</f>
        <v>30</v>
      </c>
      <c r="AP68" s="30" t="s">
        <v>210</v>
      </c>
    </row>
    <row r="69" spans="1:43" x14ac:dyDescent="0.25">
      <c r="A69" s="41" t="str">
        <f>_xlfn.CONCAT(_xlfn.XLOOKUP("What's Your Name?",[1]Sheet1!$1:$1,[1]Sheet1!69:69)," | ",TEXT(_xlfn.XLOOKUP("Completion time",[1]Sheet1!$1:$1,[1]Sheet1!69:69),"dddd, mmm dd, yyyy hh:mm AM/PM"))</f>
        <v>Janica | Wednesday, Nov 13, 2024 09:19 AM</v>
      </c>
      <c r="B69" s="76" t="str">
        <f>_xlfn.XLOOKUP("What's Your Email Address?",[1]Sheet1!$1:$1,[1]Sheet1!69:69)</f>
        <v>janicajack@yahoo.com</v>
      </c>
      <c r="C69" s="31" t="str">
        <f>IF(ISBLANK(_xlfn.XLOOKUP("Which Flavor? (Pint Price | Quart Price | Half Gallon Price) (NOTE: Prices may fluctuate based on market conditions)",[1]Sheet1!$1:$1,[1]Sheet1!69:69)),_xlfn.XLOOKUP("Name Your Ice Cream!",[1]Sheet1!$1:$1,[1]Sheet1!69:69),IF(ISNUMBER(FIND("(", _xlfn.XLOOKUP("Which Flavor? (Pint Price | Quart Price | Half Gallon Price) (NOTE: Prices may fluctuate based on market conditions)",[1]Sheet1!$1:$1,[1]Sheet1!69:69))), LEFT(_xlfn.XLOOKUP("Which Flavor? (Pint Price | Quart Price | Half Gallon Price) (NOTE: Prices may fluctuate based on market conditions)",[1]Sheet1!$1:$1,[1]Sheet1!69:69), FIND("(", _xlfn.XLOOKUP("Which Flavor? (Pint Price | Quart Price | Half Gallon Price) (NOTE: Prices may fluctuate based on market conditions)",[1]Sheet1!$1:$1,[1]Sheet1!69:69)) - 1), _xlfn.XLOOKUP("Which Flavor? (Pint Price | Quart Price | Half Gallon Price) (NOTE: Prices may fluctuate based on market conditions)",[1]Sheet1!$1:$1,[1]Sheet1!69:69)))</f>
        <v>Double caramel swirl</v>
      </c>
      <c r="D69" s="31" t="str">
        <f>IF(COUNTIF('Premade Flavors'!$A:$A, $C69) &gt; 0,IF(ISBLANK(_xlfn.XLOOKUP("What Ice Cream Base Do You Want To Change It To?",[1]Sheet1!$1:$1,[1]Sheet1!69:69)),_xlfn.XLOOKUP($C69,'Premade Flavors'!$A:$A,'Premade Flavors'!B:B),_xlfn.XLOOKUP("What Ice Cream Base Do You Want To Change It To?",[1]Sheet1!$1:$1,[1]Sheet1!69:69)),_xlfn.XLOOKUP(_xlfn.XLOOKUP("What Kind Of Ice Cream Base Do You Want? ",[1]Sheet1!$1:$1,[1]Sheet1!69:69),'Milk Types Nutrition Per Cup'!O:O,'Milk Types Nutrition Per Cup'!P:P,""))</f>
        <v>Heavy Cream</v>
      </c>
      <c r="E69" s="31" t="str">
        <f>IF(COUNTIF('Premade Flavors'!$A:$A, $C69) &gt; 0,IF(ISBLANK(_xlfn.XLOOKUP("What Ice Cream Base Do You Want To Change It To?",[1]Sheet1!$1:$1,[1]Sheet1!69:69)),_xlfn.XLOOKUP($C69,'Premade Flavors'!$A:$A,'Premade Flavors'!C:C),_xlfn.XLOOKUP("What Ice Cream Base Do You Want To Change It To?",[1]Sheet1!$1:$1,[1]Sheet1!69:69)),_xlfn.XLOOKUP(_xlfn.XLOOKUP("What Kind Of Ice Cream Base Do You Want? ",[1]Sheet1!$1:$1,[1]Sheet1!69:69),'Milk Types Nutrition Per Cup'!$O:$O,'Milk Types Nutrition Per Cup'!$Q:$Q,""))</f>
        <v>Half and Half</v>
      </c>
      <c r="F69" s="31" t="str">
        <f>IF(COUNTIF('Premade Flavors'!$A:$A, $C69) &gt; 0,_xlfn.XLOOKUP($C69,'Premade Flavors'!$A:$A,'Premade Flavors'!E:E),_xlfn.XLOOKUP("What's The First Flavor You Want? ",[1]Sheet1!$1:$1,[1]Sheet1!69:69))</f>
        <v>Dulce De Leche</v>
      </c>
      <c r="G69" s="31" t="str">
        <f>IF(COUNTIF('Premade Flavors'!$A:$A, $C69) &gt; 0,_xlfn.XLOOKUP($C69,'Premade Flavors'!$A:$A,'Premade Flavors'!F:F),_xlfn.XLOOKUP("What's the Second Flavor You Want?",[1]Sheet1!$1:$1,[1]Sheet1!69:69))</f>
        <v>Caramel</v>
      </c>
      <c r="H69" s="31">
        <f>IF(COUNTIF('Premade Flavors'!$A:$A, $C69) &gt; 0,_xlfn.XLOOKUP($C69,'Premade Flavors'!$A:$A,'Premade Flavors'!G:G),_xlfn.XLOOKUP("What's The First Mix In That You Want? ",[1]Sheet1!$1:$1,[1]Sheet1!69:69))</f>
        <v>0</v>
      </c>
      <c r="I69" s="31">
        <f>IF(COUNTIF('Premade Flavors'!$A:$A, $C69) &gt; 0,_xlfn.XLOOKUP($C69,'Premade Flavors'!$A:$A,'Premade Flavors'!H:H),_xlfn.XLOOKUP("What's The Second Mix In That You Want? ",[1]Sheet1!$1:$1,[1]Sheet1!69:69))</f>
        <v>0</v>
      </c>
      <c r="J69" s="31" t="str">
        <f>IF(COUNTIF('Premade Flavors'!$A:$A,$C69)&gt;0,IF(_xlfn.XLOOKUP("Should It Use Sugar or A Non-Sugar Sweetner?",[1]Sheet1!$1:$1,[1]Sheet1!69:69)="Sugar",_xlfn.XLOOKUP($C69,'Premade Flavors'!$A:$A,'Premade Flavors'!I:I),"Stevia"),_xlfn.XLOOKUP("What Sweetner Do You Want?",[1]Sheet1!$1:$1,[1]Sheet1!69:69))</f>
        <v>Sugar</v>
      </c>
      <c r="K69" s="31"/>
      <c r="L69" s="77" t="str">
        <f>_xlfn.XLOOKUP("How Much Ice Cream Do You Want?",[1]Sheet1!$1:$1,[1]Sheet1!69:69)</f>
        <v>Quart</v>
      </c>
      <c r="M69" s="45" t="s">
        <v>451</v>
      </c>
      <c r="N69" s="45" t="str">
        <f>IF(COUNTIF('Premade Flavors'!$A:$A, $C69) &gt; 0,_xlfn.XLOOKUP($C69,'Premade Flavors'!$A:$A,'Premade Flavors'!N:N),_xlfn.XLOOKUP("How Strong Do You Want The Second Flavor?",[1]Sheet1!$1:$1,[1]Sheet1!69:69))</f>
        <v>Normal</v>
      </c>
      <c r="O69" s="45">
        <f>IF(COUNTIF('Premade Flavors'!$A:$A, $C69) &gt; 0,_xlfn.XLOOKUP($C69,'Premade Flavors'!$A:$A,'Premade Flavors'!O:O),_xlfn.XLOOKUP("How Dense Should the Mix Ins Be?",[1]Sheet1!$1:$1,[1]Sheet1!69:69))</f>
        <v>0</v>
      </c>
      <c r="P69" s="45" t="s">
        <v>158</v>
      </c>
      <c r="Q69" s="45">
        <f>IF(COUNTIF('Premade Flavors'!$A:$A, $C69) &gt; 0,_xlfn.XLOOKUP($C69,'Premade Flavors'!$A:$A,'Premade Flavors'!Q:Q),[2]Sheet1!S69)</f>
        <v>0</v>
      </c>
      <c r="R69" s="30">
        <f>(_xlfn.XLOOKUP($L69,Specs!A:A,Specs!B:B,0)-(IF(_xlfn.XLOOKUP($F69,'Liquid Mix In Nutrition'!A:A,'Liquid Mix In Nutrition'!J:J,0)="Yes",0,$T69))-(IF(_xlfn.XLOOKUP($G69,'Liquid Mix In Nutrition'!A:A,'Liquid Mix In Nutrition'!J:J,0)="Yes",0,$U69))-(($V69/MAX(1,_xlfn.XLOOKUP($H69,'Solid Mix In Nutrition'!A:A,'Solid Mix In Nutrition'!I:I,1)))*240)-(($W69/MAX(1,_xlfn.XLOOKUP($I69,'Solid Mix In Nutrition'!A:A,'Solid Mix In Nutrition'!I:I,1)))*240))*0.66</f>
        <v>584.76</v>
      </c>
      <c r="S69" s="30">
        <f>(_xlfn.XLOOKUP($L69,Specs!A:A,Specs!B:B,0)-(IF(_xlfn.XLOOKUP($F69,'Liquid Mix In Nutrition'!A:A,'Liquid Mix In Nutrition'!J:J,0)="Yes",0,$T69))-(IF(_xlfn.XLOOKUP($G69,'Liquid Mix In Nutrition'!A:A,'Liquid Mix In Nutrition'!J:J,0)="Yes",0,$U69))-(($V69/MAX(1,_xlfn.XLOOKUP($H69,'Solid Mix In Nutrition'!A:A,'Solid Mix In Nutrition'!I:I,1)))*240)-(($W69/MAX(1,_xlfn.XLOOKUP($I69,'Solid Mix In Nutrition'!A:A,'Solid Mix In Nutrition'!I:I,1)))*240))*0.33</f>
        <v>292.38</v>
      </c>
      <c r="T69" s="30">
        <f>_xlfn.XLOOKUP($M69,Specs!$D:$D,Specs!$E:$E,0)*15*_xlfn.XLOOKUP($L69,Specs!$A:$A,Specs!$C:$C,0)</f>
        <v>120</v>
      </c>
      <c r="U69" s="30">
        <f>_xlfn.XLOOKUP($N69,Specs!$D:$D,Specs!$E:$E,0)*15*_xlfn.XLOOKUP($L69,Specs!$A:$A,Specs!$C:$C,0)</f>
        <v>60</v>
      </c>
      <c r="V69" s="30">
        <f>( ((_xlfn.XLOOKUP($O69,Specs!$H:$H,Specs!$I:$I,0)*_xlfn.XLOOKUP($L69,Specs!$A:$A,Specs!$B:$B,0))/240) *_xlfn.XLOOKUP($H69,'Solid Mix In Nutrition'!A:A,'Solid Mix In Nutrition'!I:I,0)) *IF(AND(NOT($I69=0), COUNTA($I69)),0.5,1)</f>
        <v>0</v>
      </c>
      <c r="W69" s="30">
        <f>( ((_xlfn.XLOOKUP($O69,Specs!$H:$H,Specs!$I:$I,0)*_xlfn.XLOOKUP($L69,Specs!$A:$A,Specs!$B:$B,0))/240) *_xlfn.XLOOKUP($I69,'Solid Mix In Nutrition'!A:A,'Solid Mix In Nutrition'!I:I,0)) *IF(AND(NOT($I69=0), COUNTA($I69)),0.5,0)</f>
        <v>0</v>
      </c>
      <c r="X69" s="30">
        <f>_xlfn.XLOOKUP($P69,Specs!F:F,Specs!G:G,0)*_xlfn.XLOOKUP($J69,'Sweetener Mix In Nutrition'!A:A,'Sweetener Mix In Nutrition'!I:I,0)*_xlfn.XLOOKUP($L69,Specs!A:A,Specs!C:C,0)</f>
        <v>50</v>
      </c>
      <c r="Y69" s="30">
        <f>_xlfn.XLOOKUP($Q69,Specs!F:F,Specs!G:G,0)*_xlfn.XLOOKUP($K69,'Sweetener Mix In Nutrition'!A:A,'Sweetener Mix In Nutrition'!I:I,0)*_xlfn.XLOOKUP($L69,Specs!A:A,Specs!C:C,0)</f>
        <v>0</v>
      </c>
      <c r="Z69" s="34">
        <f t="shared" si="2"/>
        <v>1.2565679999999997</v>
      </c>
      <c r="AA69" s="35">
        <f t="shared" si="3"/>
        <v>0.5</v>
      </c>
      <c r="AB69" s="36">
        <f>(($R69 / 240) * _xlfn.XLOOKUP($D69,'Milk Types Nutrition Per Cup'!A:A,'Milk Types Nutrition Per Cup'!B:B,0)) +(($S69 / 240)  * _xlfn.XLOOKUP($E69,'Milk Types Nutrition Per Cup'!A:A,'Milk Types Nutrition Per Cup'!B:B,0)) +(($T69 / 15)  * _xlfn.XLOOKUP($F69,'Liquid Mix In Nutrition'!A:A,'Liquid Mix In Nutrition'!B:B,0))+(($U69 / 15)  * _xlfn.XLOOKUP($G69,'Liquid Mix In Nutrition'!A:A,'Liquid Mix In Nutrition'!B:B,0))+(($V69 /MAX(1, _xlfn.XLOOKUP($H69,'Solid Mix In Nutrition'!A:A,'Solid Mix In Nutrition'!I:I,1)))  * _xlfn.XLOOKUP($H69,'Solid Mix In Nutrition'!A:A,'Solid Mix In Nutrition'!B:B,0))+(($W69 / MAX(1, _xlfn.XLOOKUP($I69,'Solid Mix In Nutrition'!A:A,'Solid Mix In Nutrition'!I:I,1))))+(($X69 / 100)  * _xlfn.XLOOKUP($J69,'Sweetener Mix In Nutrition'!A:A,'Sweetener Mix In Nutrition'!B:B,0))+(($Y69 / 100)  * _xlfn.XLOOKUP($K69,'Sweetener Mix In Nutrition'!A:A,'Sweetener Mix In Nutrition'!B:B,0))</f>
        <v>2972.54</v>
      </c>
      <c r="AC69" s="36">
        <f>(($R69 / 240) * _xlfn.XLOOKUP($D69,'Milk Types Nutrition Per Cup'!A:A,'Milk Types Nutrition Per Cup'!E:E,0)) +(($S69 / 240)  * _xlfn.XLOOKUP($E69,'Milk Types Nutrition Per Cup'!A:A,'Milk Types Nutrition Per Cup'!E:E,0)) +(($T69 / 15)  * _xlfn.XLOOKUP($F69,'Liquid Mix In Nutrition'!A:A,'Liquid Mix In Nutrition'!E:E,0)) +(($U69 / 15)  * _xlfn.XLOOKUP($G69,'Liquid Mix In Nutrition'!A:A,'Liquid Mix In Nutrition'!E:E,0))+(($V69 / MAX(1, _xlfn.XLOOKUP($H69,'Solid Mix In Nutrition'!A:A,'Solid Mix In Nutrition'!I:I,1)))  * _xlfn.XLOOKUP($H69,'Solid Mix In Nutrition'!A:A,'Solid Mix In Nutrition'!E:E,0))+(($W69 / MAX(1, _xlfn.XLOOKUP($I69,'Solid Mix In Nutrition'!A:A,'Solid Mix In Nutrition'!I:I,1)))  * _xlfn.XLOOKUP($I69,'Solid Mix In Nutrition'!A:A,'Solid Mix In Nutrition'!G:G,0))+(($X69 / 100)  * _xlfn.XLOOKUP($J69,'Sweetener Mix In Nutrition'!A:A,'Sweetener Mix In Nutrition'!E:E,0))+(($Y69 / 100)  * _xlfn.XLOOKUP($K69,'Sweetener Mix In Nutrition'!A:A,'Sweetener Mix In Nutrition'!E:E,0))</f>
        <v>107.74600000000001</v>
      </c>
      <c r="AD69" s="36">
        <f>(($R69 / 240) * _xlfn.XLOOKUP($D69,'Milk Types Nutrition Per Cup'!A:A,'Milk Types Nutrition Per Cup'!E:E,0)) +(($S69 / 240)  * _xlfn.XLOOKUP($E69,'Milk Types Nutrition Per Cup'!A:A,'Milk Types Nutrition Per Cup'!E:E,0)) +(($T69 / 15)  * _xlfn.XLOOKUP($F69,'Liquid Mix In Nutrition'!A:A,'Liquid Mix In Nutrition'!E:E,0)) +(($U69 / 15)  * _xlfn.XLOOKUP($G69,'Liquid Mix In Nutrition'!A:A,'Liquid Mix In Nutrition'!E:E,0))+(($X69 / 100)  * _xlfn.XLOOKUP($J69,'Sweetener Mix In Nutrition'!A:A,'Sweetener Mix In Nutrition'!E:E,0))+(($Y69 / 100)  * _xlfn.XLOOKUP($K69,'Sweetener Mix In Nutrition'!A:A,'Sweetener Mix In Nutrition'!E:E,0))</f>
        <v>107.74600000000001</v>
      </c>
      <c r="AE69" s="37">
        <f>(($R69 / 240) * _xlfn.XLOOKUP($D69,'Milk Types Nutrition Per Cup'!A:A,'Milk Types Nutrition Per Cup'!C:C,0)) +(($S69 / 240)  * _xlfn.XLOOKUP($E69,'Milk Types Nutrition Per Cup'!A:A,'Milk Types Nutrition Per Cup'!C:C,0)) +(($T69 / 15)  * _xlfn.XLOOKUP($F69,'Liquid Mix In Nutrition'!A:A,'Liquid Mix In Nutrition'!C:C,0))+(($U69 / 15)  * _xlfn.XLOOKUP($G69,'Liquid Mix In Nutrition'!A:A,'Liquid Mix In Nutrition'!C:C,0))+(($V69 / MAX(1, _xlfn.XLOOKUP($H69,'Solid Mix In Nutrition'!A:A,'Solid Mix In Nutrition'!I:I,1)))  * _xlfn.XLOOKUP($H69,'Solid Mix In Nutrition'!A:A,'Solid Mix In Nutrition'!C:C,0))+(($W69 / MAX(1, _xlfn.XLOOKUP($I69,'Solid Mix In Nutrition'!A:A,'Solid Mix In Nutrition'!I:I,1)))  * _xlfn.XLOOKUP($I69,'Solid Mix In Nutrition'!A:A,'Solid Mix In Nutrition'!C:C,0))+(($X69 / 100)  * _xlfn.XLOOKUP($J69,'Sweetener Mix In Nutrition'!A:A,'Sweetener Mix In Nutrition'!C:C,0))+(($Y69 / 100)  * _xlfn.XLOOKUP($K69,'Sweetener Mix In Nutrition'!A:A,'Sweetener Mix In Nutrition'!C:C,0))</f>
        <v>274.01499999999999</v>
      </c>
      <c r="AF69" s="38">
        <f>$AE69 / (_xlfn.XLOOKUP($L69,Specs!A:A,Specs!B:B,0))</f>
        <v>0.28965644820295983</v>
      </c>
      <c r="AG69" s="37">
        <f>60* ($AB69 / _xlfn.XLOOKUP($L69,Specs!A:A,Specs!B:B,0))</f>
        <v>188.53319238900636</v>
      </c>
      <c r="AH69" s="37">
        <f>60* (AC69 / _xlfn.XLOOKUP($L69,Specs!$A:$A,Specs!$B:$B,0))</f>
        <v>6.8337843551797048</v>
      </c>
      <c r="AI69" s="37">
        <f>60* (AE69 / _xlfn.XLOOKUP($L69,Specs!$A:$A,Specs!$B:$B,0))</f>
        <v>17.379386892177589</v>
      </c>
      <c r="AJ69" s="39">
        <f>(($R69 / 240) * _xlfn.XLOOKUP($D69,'Milk Types Nutrition Per Cup'!A:A,'Milk Types Nutrition Per Cup'!F:F,0)) +(($S69 / 240)  * _xlfn.XLOOKUP($E69,'Milk Types Nutrition Per Cup'!A:A,'Milk Types Nutrition Per Cup'!F:F,0)) +(($T69 / 15)  * _xlfn.XLOOKUP($F69,'Liquid Mix In Nutrition'!A:A,'Liquid Mix In Nutrition'!F:F,0))+(($U69 / 15)  * _xlfn.XLOOKUP($G69,'Liquid Mix In Nutrition'!A:A,'Liquid Mix In Nutrition'!F:F,0))+(($V69 / MAX(1, _xlfn.XLOOKUP($H69,'Solid Mix In Nutrition'!A:A,'Solid Mix In Nutrition'!I:I,1)))  * _xlfn.XLOOKUP($H69,'Solid Mix In Nutrition'!A:A,'Solid Mix In Nutrition'!F:F,0))+(($W69 / MAX(1, _xlfn.XLOOKUP($I69,'Solid Mix In Nutrition'!A:A,'Solid Mix In Nutrition'!I:I,1)))  * _xlfn.XLOOKUP($I69,'Solid Mix In Nutrition'!A:A,'Solid Mix In Nutrition'!F:F,0))+(($X69 / 100)  * _xlfn.XLOOKUP($J69,'Sweetener Mix In Nutrition'!A:A,'Sweetener Mix In Nutrition'!F:F,0))+(($Y69 / 100)  * _xlfn.XLOOKUP($K69,'Sweetener Mix In Nutrition'!A:A,'Sweetener Mix In Nutrition'!F:F,0))</f>
        <v>4.9581072518856875</v>
      </c>
      <c r="AK69" s="46">
        <f>[2]Sheet1!AG69</f>
        <v>0</v>
      </c>
      <c r="AL69" s="47"/>
      <c r="AM69" s="40">
        <f>IF(ISERROR(((AL69/Specs!$L$3)*Specs!$L$2)*2),0,ROUNDUP((((AL69/Specs!$L$3)*Specs!$L$2)*2),0))</f>
        <v>0</v>
      </c>
      <c r="AN69" s="48">
        <f>ROUNDUP(((AJ69+Specs!$R$2+Specs!$S$2+_xlfn.XLOOKUP($L69,Specs!A:A,Specs!V:V,0))*Specs!$N$2)+AM69,0)</f>
        <v>12</v>
      </c>
      <c r="AO69" s="40">
        <f>ROUNDUP(((AJ69+Specs!$R$2+Specs!$S$2+_xlfn.XLOOKUP($L69,Specs!A:A,Specs!V:V,0))*Specs!$N$2),0)</f>
        <v>12</v>
      </c>
      <c r="AP69" s="30" t="s">
        <v>210</v>
      </c>
    </row>
    <row r="70" spans="1:43" x14ac:dyDescent="0.25">
      <c r="A70" s="41" t="str">
        <f>_xlfn.CONCAT(_xlfn.XLOOKUP("What's Your Name?",[1]Sheet1!$1:$1,[1]Sheet1!70:70)," | ",TEXT(_xlfn.XLOOKUP("Completion time",[1]Sheet1!$1:$1,[1]Sheet1!70:70),"dddd, mmm dd, yyyy hh:mm AM/PM"))</f>
        <v>Mary Claire Foley | Friday, Nov 15, 2024 06:08 PM</v>
      </c>
      <c r="B70" s="76" t="str">
        <f>_xlfn.XLOOKUP("What's Your Email Address?",[1]Sheet1!$1:$1,[1]Sheet1!70:70)</f>
        <v>Mcf0920gmail.com</v>
      </c>
      <c r="C70" s="31" t="str">
        <f>IF(ISBLANK(_xlfn.XLOOKUP("Which Flavor? (Pint Price | Quart Price | Half Gallon Price) (NOTE: Prices may fluctuate based on market conditions)",[1]Sheet1!$1:$1,[1]Sheet1!70:70)),_xlfn.XLOOKUP("Name Your Ice Cream!",[1]Sheet1!$1:$1,[1]Sheet1!70:70),IF(ISNUMBER(FIND("(", _xlfn.XLOOKUP("Which Flavor? (Pint Price | Quart Price | Half Gallon Price) (NOTE: Prices may fluctuate based on market conditions)",[1]Sheet1!$1:$1,[1]Sheet1!70:70))), LEFT(_xlfn.XLOOKUP("Which Flavor? (Pint Price | Quart Price | Half Gallon Price) (NOTE: Prices may fluctuate based on market conditions)",[1]Sheet1!$1:$1,[1]Sheet1!70:70), FIND("(", _xlfn.XLOOKUP("Which Flavor? (Pint Price | Quart Price | Half Gallon Price) (NOTE: Prices may fluctuate based on market conditions)",[1]Sheet1!$1:$1,[1]Sheet1!70:70)) - 1), _xlfn.XLOOKUP("Which Flavor? (Pint Price | Quart Price | Half Gallon Price) (NOTE: Prices may fluctuate based on market conditions)",[1]Sheet1!$1:$1,[1]Sheet1!70:70)))</f>
        <v>Fall Cream</v>
      </c>
      <c r="D70" s="31" t="str">
        <f>IF(COUNTIF('Premade Flavors'!$A:$A, $C70) &gt; 0,IF(ISBLANK(_xlfn.XLOOKUP("What Ice Cream Base Do You Want To Change It To?",[1]Sheet1!$1:$1,[1]Sheet1!70:70)),_xlfn.XLOOKUP($C70,'Premade Flavors'!$A:$A,'Premade Flavors'!B:B),_xlfn.XLOOKUP("What Ice Cream Base Do You Want To Change It To?",[1]Sheet1!$1:$1,[1]Sheet1!70:70)),_xlfn.XLOOKUP(_xlfn.XLOOKUP("What Kind Of Ice Cream Base Do You Want? ",[1]Sheet1!$1:$1,[1]Sheet1!70:70),'Milk Types Nutrition Per Cup'!O:O,'Milk Types Nutrition Per Cup'!P:P,""))</f>
        <v>Heavy Cream</v>
      </c>
      <c r="E70" s="31" t="str">
        <f>IF(COUNTIF('Premade Flavors'!$A:$A, $C70) &gt; 0,IF(ISBLANK(_xlfn.XLOOKUP("What Ice Cream Base Do You Want To Change It To?",[1]Sheet1!$1:$1,[1]Sheet1!70:70)),_xlfn.XLOOKUP($C70,'Premade Flavors'!$A:$A,'Premade Flavors'!C:C),_xlfn.XLOOKUP("What Ice Cream Base Do You Want To Change It To?",[1]Sheet1!$1:$1,[1]Sheet1!70:70)),_xlfn.XLOOKUP(_xlfn.XLOOKUP("What Kind Of Ice Cream Base Do You Want? ",[1]Sheet1!$1:$1,[1]Sheet1!70:70),'Milk Types Nutrition Per Cup'!$O:$O,'Milk Types Nutrition Per Cup'!$Q:$Q,""))</f>
        <v>Half and Half</v>
      </c>
      <c r="F70" s="31" t="str">
        <f>IF(COUNTIF('Premade Flavors'!$A:$A, $C70) &gt; 0,_xlfn.XLOOKUP($C70,'Premade Flavors'!$A:$A,'Premade Flavors'!E:E),_xlfn.XLOOKUP("What's The First Flavor You Want? ",[1]Sheet1!$1:$1,[1]Sheet1!70:70))</f>
        <v>Pumpkin Pie Spice</v>
      </c>
      <c r="G70" s="31" t="str">
        <f>IF(COUNTIF('Premade Flavors'!$A:$A, $C70) &gt; 0,_xlfn.XLOOKUP($C70,'Premade Flavors'!$A:$A,'Premade Flavors'!F:F),_xlfn.XLOOKUP("What's the Second Flavor You Want?",[1]Sheet1!$1:$1,[1]Sheet1!70:70))</f>
        <v>Cherry Apple Bourbon Butter</v>
      </c>
      <c r="H70" s="31" t="str">
        <f>IF(COUNTIF('Premade Flavors'!$A:$A, $C70) &gt; 0,_xlfn.XLOOKUP($C70,'Premade Flavors'!$A:$A,'Premade Flavors'!G:G),_xlfn.XLOOKUP("What's The First Mix In That You Want? ",[1]Sheet1!$1:$1,[1]Sheet1!70:70))</f>
        <v>Lotus Biscoff Sandwich Cookies</v>
      </c>
      <c r="I70" s="31" t="str">
        <f>IF(COUNTIF('Premade Flavors'!$A:$A, $C70) &gt; 0,_xlfn.XLOOKUP($C70,'Premade Flavors'!$A:$A,'Premade Flavors'!H:H),_xlfn.XLOOKUP("What's The Second Mix In That You Want? ",[1]Sheet1!$1:$1,[1]Sheet1!70:70))</f>
        <v>Reeses Minis Unwrapped</v>
      </c>
      <c r="J70" s="31" t="str">
        <f>IF(COUNTIF('Premade Flavors'!$A:$A,$C70)&gt;0,IF(_xlfn.XLOOKUP("Should It Use Sugar or A Non-Sugar Sweetner?",[1]Sheet1!$1:$1,[1]Sheet1!70:70)="Sugar",_xlfn.XLOOKUP($C70,'Premade Flavors'!$A:$A,'Premade Flavors'!I:I),"Stevia"),_xlfn.XLOOKUP("What Sweetner Do You Want?",[1]Sheet1!$1:$1,[1]Sheet1!70:70))</f>
        <v>Brown Sugar</v>
      </c>
      <c r="K70" s="31"/>
      <c r="L70" s="77" t="str">
        <f>_xlfn.XLOOKUP("How Much Ice Cream Do You Want?",[1]Sheet1!$1:$1,[1]Sheet1!70:70)</f>
        <v>Quart</v>
      </c>
      <c r="M70" s="45" t="s">
        <v>450</v>
      </c>
      <c r="N70" s="45" t="str">
        <f>IF(COUNTIF('Premade Flavors'!$A:$A, $C70) &gt; 0,_xlfn.XLOOKUP($C70,'Premade Flavors'!$A:$A,'Premade Flavors'!N:N),_xlfn.XLOOKUP("How Strong Do You Want The Second Flavor?",[1]Sheet1!$1:$1,[1]Sheet1!70:70))</f>
        <v>Heavy (For jams)</v>
      </c>
      <c r="O70" s="45" t="str">
        <f>IF(COUNTIF('Premade Flavors'!$A:$A, $C70) &gt; 0,_xlfn.XLOOKUP($C70,'Premade Flavors'!$A:$A,'Premade Flavors'!O:O),_xlfn.XLOOKUP("How Dense Should the Mix Ins Be?",[1]Sheet1!$1:$1,[1]Sheet1!70:70))</f>
        <v>Normal (25%)</v>
      </c>
      <c r="P70" s="45" t="str">
        <f>IF(COUNTIF('Premade Flavors'!$A:$A, $C70) &gt; 0,_xlfn.XLOOKUP($C70,'Premade Flavors'!$A:$A,'Premade Flavors'!P:P),_xlfn.XLOOKUP("How Much Of The First Sweetner? ",[1]Sheet1!$1:$1,[1]Sheet1!70:70))</f>
        <v>1:1 Sweet</v>
      </c>
      <c r="Q70" s="45">
        <f>IF(COUNTIF('Premade Flavors'!$A:$A, $C70) &gt; 0,_xlfn.XLOOKUP($C70,'Premade Flavors'!$A:$A,'Premade Flavors'!Q:Q),[2]Sheet1!S70)</f>
        <v>0</v>
      </c>
      <c r="R70" s="30">
        <f>(_xlfn.XLOOKUP($L70,Specs!A:A,Specs!B:B,0)-(IF(_xlfn.XLOOKUP($F70,'Liquid Mix In Nutrition'!A:A,'Liquid Mix In Nutrition'!J:J,0)="Yes",0,$T70))-(IF(_xlfn.XLOOKUP($G70,'Liquid Mix In Nutrition'!A:A,'Liquid Mix In Nutrition'!J:J,0)="Yes",0,$U70))-(($V70/MAX(1,_xlfn.XLOOKUP($H70,'Solid Mix In Nutrition'!A:A,'Solid Mix In Nutrition'!I:I,1)))*240)-(($W70/MAX(1,_xlfn.XLOOKUP($I70,'Solid Mix In Nutrition'!A:A,'Solid Mix In Nutrition'!I:I,1)))*240))*0.66</f>
        <v>379.17</v>
      </c>
      <c r="S70" s="30">
        <f>(_xlfn.XLOOKUP($L70,Specs!A:A,Specs!B:B,0)-(IF(_xlfn.XLOOKUP($F70,'Liquid Mix In Nutrition'!A:A,'Liquid Mix In Nutrition'!J:J,0)="Yes",0,$T70))-(IF(_xlfn.XLOOKUP($G70,'Liquid Mix In Nutrition'!A:A,'Liquid Mix In Nutrition'!J:J,0)="Yes",0,$U70))-(($V70/MAX(1,_xlfn.XLOOKUP($H70,'Solid Mix In Nutrition'!A:A,'Solid Mix In Nutrition'!I:I,1)))*240)-(($W70/MAX(1,_xlfn.XLOOKUP($I70,'Solid Mix In Nutrition'!A:A,'Solid Mix In Nutrition'!I:I,1)))*240))*0.33</f>
        <v>189.58500000000001</v>
      </c>
      <c r="T70" s="30">
        <f>_xlfn.XLOOKUP($M70,Specs!$D:$D,Specs!$E:$E,0)*15*_xlfn.XLOOKUP($L70,Specs!$A:$A,Specs!$C:$C,0)</f>
        <v>15</v>
      </c>
      <c r="U70" s="30">
        <f>_xlfn.XLOOKUP($N70,Specs!$D:$D,Specs!$E:$E,0)*15*_xlfn.XLOOKUP($L70,Specs!$A:$A,Specs!$C:$C,0)</f>
        <v>120</v>
      </c>
      <c r="V70" s="30">
        <f>( ((_xlfn.XLOOKUP($O70,Specs!$H:$H,Specs!$I:$I,0)*_xlfn.XLOOKUP($L70,Specs!$A:$A,Specs!$B:$B,0))/240) *_xlfn.XLOOKUP($H70,'Solid Mix In Nutrition'!A:A,'Solid Mix In Nutrition'!I:I,0)) *IF(AND(NOT($I70=0), COUNTA($I70)),0.5,1)</f>
        <v>61.588541666666671</v>
      </c>
      <c r="W70" s="30">
        <f>( ((_xlfn.XLOOKUP($O70,Specs!$H:$H,Specs!$I:$I,0)*_xlfn.XLOOKUP($L70,Specs!$A:$A,Specs!$B:$B,0))/240) *_xlfn.XLOOKUP($I70,'Solid Mix In Nutrition'!A:A,'Solid Mix In Nutrition'!I:I,0)) *IF(AND(NOT($I70=0), COUNTA($I70)),0.5,0)</f>
        <v>64.052083333333343</v>
      </c>
      <c r="X70" s="30">
        <f>_xlfn.XLOOKUP($P70,Specs!F:F,Specs!G:G,0)*_xlfn.XLOOKUP($J70,'Sweetener Mix In Nutrition'!A:A,'Sweetener Mix In Nutrition'!I:I,0)*_xlfn.XLOOKUP($L70,Specs!A:A,Specs!C:C,0)</f>
        <v>100</v>
      </c>
      <c r="Y70" s="30">
        <f>_xlfn.XLOOKUP($Q70,Specs!F:F,Specs!G:G,0)*_xlfn.XLOOKUP($K70,'Sweetener Mix In Nutrition'!A:A,'Sweetener Mix In Nutrition'!I:I,0)*_xlfn.XLOOKUP($L70,Specs!A:A,Specs!C:C,0)</f>
        <v>0</v>
      </c>
      <c r="Z70" s="34">
        <f t="shared" si="2"/>
        <v>0.82050599999999996</v>
      </c>
      <c r="AA70" s="35">
        <f t="shared" si="3"/>
        <v>0.25</v>
      </c>
      <c r="AB70" s="36">
        <f>(($R70 / 240) * _xlfn.XLOOKUP($D70,'Milk Types Nutrition Per Cup'!A:A,'Milk Types Nutrition Per Cup'!B:B,0)) +(($S70 / 240)  * _xlfn.XLOOKUP($E70,'Milk Types Nutrition Per Cup'!A:A,'Milk Types Nutrition Per Cup'!B:B,0)) +(($T70 / 15)  * _xlfn.XLOOKUP($F70,'Liquid Mix In Nutrition'!A:A,'Liquid Mix In Nutrition'!B:B,0))+(($U70 / 15)  * _xlfn.XLOOKUP($G70,'Liquid Mix In Nutrition'!A:A,'Liquid Mix In Nutrition'!B:B,0))+(($V70 /MAX(1, _xlfn.XLOOKUP($H70,'Solid Mix In Nutrition'!A:A,'Solid Mix In Nutrition'!I:I,1)))  * _xlfn.XLOOKUP($H70,'Solid Mix In Nutrition'!A:A,'Solid Mix In Nutrition'!B:B,0))+(($W70 / MAX(1, _xlfn.XLOOKUP($I70,'Solid Mix In Nutrition'!A:A,'Solid Mix In Nutrition'!I:I,1))))+(($X70 / 100)  * _xlfn.XLOOKUP($J70,'Sweetener Mix In Nutrition'!A:A,'Sweetener Mix In Nutrition'!B:B,0))+(($Y70 / 100)  * _xlfn.XLOOKUP($K70,'Sweetener Mix In Nutrition'!A:A,'Sweetener Mix In Nutrition'!B:B,0))</f>
        <v>2412.6449305555561</v>
      </c>
      <c r="AC70" s="36">
        <f>(($R70 / 240) * _xlfn.XLOOKUP($D70,'Milk Types Nutrition Per Cup'!A:A,'Milk Types Nutrition Per Cup'!E:E,0)) +(($S70 / 240)  * _xlfn.XLOOKUP($E70,'Milk Types Nutrition Per Cup'!A:A,'Milk Types Nutrition Per Cup'!E:E,0)) +(($T70 / 15)  * _xlfn.XLOOKUP($F70,'Liquid Mix In Nutrition'!A:A,'Liquid Mix In Nutrition'!E:E,0)) +(($U70 / 15)  * _xlfn.XLOOKUP($G70,'Liquid Mix In Nutrition'!A:A,'Liquid Mix In Nutrition'!E:E,0))+(($V70 / MAX(1, _xlfn.XLOOKUP($H70,'Solid Mix In Nutrition'!A:A,'Solid Mix In Nutrition'!I:I,1)))  * _xlfn.XLOOKUP($H70,'Solid Mix In Nutrition'!A:A,'Solid Mix In Nutrition'!E:E,0))+(($W70 / MAX(1, _xlfn.XLOOKUP($I70,'Solid Mix In Nutrition'!A:A,'Solid Mix In Nutrition'!I:I,1)))  * _xlfn.XLOOKUP($I70,'Solid Mix In Nutrition'!A:A,'Solid Mix In Nutrition'!G:G,0))+(($X70 / 100)  * _xlfn.XLOOKUP($J70,'Sweetener Mix In Nutrition'!A:A,'Sweetener Mix In Nutrition'!E:E,0))+(($Y70 / 100)  * _xlfn.XLOOKUP($K70,'Sweetener Mix In Nutrition'!A:A,'Sweetener Mix In Nutrition'!E:E,0))</f>
        <v>175.43939930555558</v>
      </c>
      <c r="AD70" s="36">
        <f>(($R70 / 240) * _xlfn.XLOOKUP($D70,'Milk Types Nutrition Per Cup'!A:A,'Milk Types Nutrition Per Cup'!E:E,0)) +(($S70 / 240)  * _xlfn.XLOOKUP($E70,'Milk Types Nutrition Per Cup'!A:A,'Milk Types Nutrition Per Cup'!E:E,0)) +(($T70 / 15)  * _xlfn.XLOOKUP($F70,'Liquid Mix In Nutrition'!A:A,'Liquid Mix In Nutrition'!E:E,0)) +(($U70 / 15)  * _xlfn.XLOOKUP($G70,'Liquid Mix In Nutrition'!A:A,'Liquid Mix In Nutrition'!E:E,0))+(($X70 / 100)  * _xlfn.XLOOKUP($J70,'Sweetener Mix In Nutrition'!A:A,'Sweetener Mix In Nutrition'!E:E,0))+(($Y70 / 100)  * _xlfn.XLOOKUP($K70,'Sweetener Mix In Nutrition'!A:A,'Sweetener Mix In Nutrition'!E:E,0))</f>
        <v>151.21950000000001</v>
      </c>
      <c r="AE70" s="37">
        <f>(($R70 / 240) * _xlfn.XLOOKUP($D70,'Milk Types Nutrition Per Cup'!A:A,'Milk Types Nutrition Per Cup'!C:C,0)) +(($S70 / 240)  * _xlfn.XLOOKUP($E70,'Milk Types Nutrition Per Cup'!A:A,'Milk Types Nutrition Per Cup'!C:C,0)) +(($T70 / 15)  * _xlfn.XLOOKUP($F70,'Liquid Mix In Nutrition'!A:A,'Liquid Mix In Nutrition'!C:C,0))+(($U70 / 15)  * _xlfn.XLOOKUP($G70,'Liquid Mix In Nutrition'!A:A,'Liquid Mix In Nutrition'!C:C,0))+(($V70 / MAX(1, _xlfn.XLOOKUP($H70,'Solid Mix In Nutrition'!A:A,'Solid Mix In Nutrition'!I:I,1)))  * _xlfn.XLOOKUP($H70,'Solid Mix In Nutrition'!A:A,'Solid Mix In Nutrition'!C:C,0))+(($W70 / MAX(1, _xlfn.XLOOKUP($I70,'Solid Mix In Nutrition'!A:A,'Solid Mix In Nutrition'!I:I,1)))  * _xlfn.XLOOKUP($I70,'Solid Mix In Nutrition'!A:A,'Solid Mix In Nutrition'!C:C,0))+(($X70 / 100)  * _xlfn.XLOOKUP($J70,'Sweetener Mix In Nutrition'!A:A,'Sweetener Mix In Nutrition'!C:C,0))+(($Y70 / 100)  * _xlfn.XLOOKUP($K70,'Sweetener Mix In Nutrition'!A:A,'Sweetener Mix In Nutrition'!C:C,0))</f>
        <v>208.22450954861111</v>
      </c>
      <c r="AF70" s="38">
        <f>$AE70 / (_xlfn.XLOOKUP($L70,Specs!A:A,Specs!B:B,0))</f>
        <v>0.22011047520994831</v>
      </c>
      <c r="AG70" s="37">
        <f>60* ($AB70 / _xlfn.XLOOKUP($L70,Specs!A:A,Specs!B:B,0))</f>
        <v>153.02187720225515</v>
      </c>
      <c r="AH70" s="37">
        <f>60* (AC70 / _xlfn.XLOOKUP($L70,Specs!$A:$A,Specs!$B:$B,0))</f>
        <v>11.127234628259339</v>
      </c>
      <c r="AI70" s="37">
        <f>60* (AE70 / _xlfn.XLOOKUP($L70,Specs!$A:$A,Specs!$B:$B,0))</f>
        <v>13.206628512596899</v>
      </c>
      <c r="AJ70" s="39">
        <f>(($R70 / 240) * _xlfn.XLOOKUP($D70,'Milk Types Nutrition Per Cup'!A:A,'Milk Types Nutrition Per Cup'!F:F,0)) +(($S70 / 240)  * _xlfn.XLOOKUP($E70,'Milk Types Nutrition Per Cup'!A:A,'Milk Types Nutrition Per Cup'!F:F,0)) +(($T70 / 15)  * _xlfn.XLOOKUP($F70,'Liquid Mix In Nutrition'!A:A,'Liquid Mix In Nutrition'!F:F,0))+(($U70 / 15)  * _xlfn.XLOOKUP($G70,'Liquid Mix In Nutrition'!A:A,'Liquid Mix In Nutrition'!F:F,0))+(($V70 / MAX(1, _xlfn.XLOOKUP($H70,'Solid Mix In Nutrition'!A:A,'Solid Mix In Nutrition'!I:I,1)))  * _xlfn.XLOOKUP($H70,'Solid Mix In Nutrition'!A:A,'Solid Mix In Nutrition'!F:F,0))+(($W70 / MAX(1, _xlfn.XLOOKUP($I70,'Solid Mix In Nutrition'!A:A,'Solid Mix In Nutrition'!I:I,1)))  * _xlfn.XLOOKUP($I70,'Solid Mix In Nutrition'!A:A,'Solid Mix In Nutrition'!F:F,0))+(($X70 / 100)  * _xlfn.XLOOKUP($J70,'Sweetener Mix In Nutrition'!A:A,'Sweetener Mix In Nutrition'!F:F,0))+(($Y70 / 100)  * _xlfn.XLOOKUP($K70,'Sweetener Mix In Nutrition'!A:A,'Sweetener Mix In Nutrition'!F:F,0))</f>
        <v>11.143573834119829</v>
      </c>
      <c r="AK70" s="46">
        <f>[2]Sheet1!AG70</f>
        <v>0</v>
      </c>
      <c r="AL70" s="47">
        <v>31</v>
      </c>
      <c r="AM70" s="40">
        <f>IF(ISERROR(((AL70/Specs!$L$3)*Specs!$L$2)*2),0,ROUNDUP((((AL70/Specs!$L$3)*Specs!$L$2)*2),0))</f>
        <v>9</v>
      </c>
      <c r="AN70" s="48">
        <f>ROUNDUP(((AJ70+Specs!$R$2+Specs!$S$2+_xlfn.XLOOKUP($L70,Specs!A:A,Specs!V:V,0))*Specs!$N$2)+AM70,0)</f>
        <v>34</v>
      </c>
      <c r="AO70" s="40">
        <f>ROUNDUP(((AJ70+Specs!$R$2+Specs!$S$2+_xlfn.XLOOKUP($L70,Specs!A:A,Specs!V:V,0))*Specs!$N$2),0)</f>
        <v>25</v>
      </c>
      <c r="AP70" s="30" t="s">
        <v>210</v>
      </c>
    </row>
    <row r="71" spans="1:43" x14ac:dyDescent="0.25">
      <c r="A71" s="41" t="str">
        <f>_xlfn.CONCAT(_xlfn.XLOOKUP("What's Your Name?",[1]Sheet1!$1:$1,[1]Sheet1!71:71)," | ",TEXT(_xlfn.XLOOKUP("Completion time",[1]Sheet1!$1:$1,[1]Sheet1!71:71),"dddd, mmm dd, yyyy hh:mm AM/PM"))</f>
        <v>Mary Claire Foley | Friday, Nov 15, 2024 06:26 PM</v>
      </c>
      <c r="B71" s="76" t="str">
        <f>_xlfn.XLOOKUP("What's Your Email Address?",[1]Sheet1!$1:$1,[1]Sheet1!71:71)</f>
        <v>mcf0920@gmail.com</v>
      </c>
      <c r="C71" s="31" t="str">
        <f>IF(ISBLANK(_xlfn.XLOOKUP("Which Flavor? (Pint Price | Quart Price | Half Gallon Price) (NOTE: Prices may fluctuate based on market conditions)",[1]Sheet1!$1:$1,[1]Sheet1!71:71)),_xlfn.XLOOKUP("Name Your Ice Cream!",[1]Sheet1!$1:$1,[1]Sheet1!71:71),IF(ISNUMBER(FIND("(", _xlfn.XLOOKUP("Which Flavor? (Pint Price | Quart Price | Half Gallon Price) (NOTE: Prices may fluctuate based on market conditions)",[1]Sheet1!$1:$1,[1]Sheet1!71:71))), LEFT(_xlfn.XLOOKUP("Which Flavor? (Pint Price | Quart Price | Half Gallon Price) (NOTE: Prices may fluctuate based on market conditions)",[1]Sheet1!$1:$1,[1]Sheet1!71:71), FIND("(", _xlfn.XLOOKUP("Which Flavor? (Pint Price | Quart Price | Half Gallon Price) (NOTE: Prices may fluctuate based on market conditions)",[1]Sheet1!$1:$1,[1]Sheet1!71:71)) - 1), _xlfn.XLOOKUP("Which Flavor? (Pint Price | Quart Price | Half Gallon Price) (NOTE: Prices may fluctuate based on market conditions)",[1]Sheet1!$1:$1,[1]Sheet1!71:71)))</f>
        <v>Mother’s Milk</v>
      </c>
      <c r="D71" s="31" t="str">
        <f>IF(COUNTIF('Premade Flavors'!$A:$A, $C71) &gt; 0,IF(ISBLANK(_xlfn.XLOOKUP("What Ice Cream Base Do You Want To Change It To?",[1]Sheet1!$1:$1,[1]Sheet1!71:71)),_xlfn.XLOOKUP($C71,'Premade Flavors'!$A:$A,'Premade Flavors'!B:B),_xlfn.XLOOKUP("What Ice Cream Base Do You Want To Change It To?",[1]Sheet1!$1:$1,[1]Sheet1!71:71)),_xlfn.XLOOKUP(_xlfn.XLOOKUP("What Kind Of Ice Cream Base Do You Want? ",[1]Sheet1!$1:$1,[1]Sheet1!71:71),'Milk Types Nutrition Per Cup'!O:O,'Milk Types Nutrition Per Cup'!P:P,""))</f>
        <v>Heavy Cream</v>
      </c>
      <c r="E71" s="31" t="str">
        <f>IF(COUNTIF('Premade Flavors'!$A:$A, $C71) &gt; 0,IF(ISBLANK(_xlfn.XLOOKUP("What Ice Cream Base Do You Want To Change It To?",[1]Sheet1!$1:$1,[1]Sheet1!71:71)),_xlfn.XLOOKUP($C71,'Premade Flavors'!$A:$A,'Premade Flavors'!C:C),_xlfn.XLOOKUP("What Ice Cream Base Do You Want To Change It To?",[1]Sheet1!$1:$1,[1]Sheet1!71:71)),_xlfn.XLOOKUP(_xlfn.XLOOKUP("What Kind Of Ice Cream Base Do You Want? ",[1]Sheet1!$1:$1,[1]Sheet1!71:71),'Milk Types Nutrition Per Cup'!$O:$O,'Milk Types Nutrition Per Cup'!$Q:$Q,""))</f>
        <v>Half and Half</v>
      </c>
      <c r="F71" s="31" t="str">
        <f>IF(COUNTIF('Premade Flavors'!$A:$A, $C71) &gt; 0,_xlfn.XLOOKUP($C71,'Premade Flavors'!$A:$A,'Premade Flavors'!E:E),_xlfn.XLOOKUP("What's The First Flavor You Want? ",[1]Sheet1!$1:$1,[1]Sheet1!71:71))</f>
        <v>Ripened Bananas</v>
      </c>
      <c r="G71" s="31" t="str">
        <f>IF(COUNTIF('Premade Flavors'!$A:$A, $C71) &gt; 0,_xlfn.XLOOKUP($C71,'Premade Flavors'!$A:$A,'Premade Flavors'!F:F),_xlfn.XLOOKUP("What's the Second Flavor You Want?",[1]Sheet1!$1:$1,[1]Sheet1!71:71))</f>
        <v>Instant Coffee (Jamaican Moutain Peak)</v>
      </c>
      <c r="H71" s="31" t="str">
        <f>IF(COUNTIF('Premade Flavors'!$A:$A, $C71) &gt; 0,_xlfn.XLOOKUP($C71,'Premade Flavors'!$A:$A,'Premade Flavors'!G:G),_xlfn.XLOOKUP("What's The First Mix In That You Want? ",[1]Sheet1!$1:$1,[1]Sheet1!71:71))</f>
        <v>Nutella Fudge</v>
      </c>
      <c r="I71" s="31" t="str">
        <f>IF(COUNTIF('Premade Flavors'!$A:$A, $C71) &gt; 0,_xlfn.XLOOKUP($C71,'Premade Flavors'!$A:$A,'Premade Flavors'!H:H),_xlfn.XLOOKUP("What's The Second Mix In That You Want? ",[1]Sheet1!$1:$1,[1]Sheet1!71:71))</f>
        <v>Brownies</v>
      </c>
      <c r="J71" s="31" t="str">
        <f>IF(COUNTIF('Premade Flavors'!$A:$A,$C71)&gt;0,IF(_xlfn.XLOOKUP("Should It Use Sugar or A Non-Sugar Sweetner?",[1]Sheet1!$1:$1,[1]Sheet1!71:71)="Sugar",_xlfn.XLOOKUP($C71,'Premade Flavors'!$A:$A,'Premade Flavors'!I:I),"Stevia"),_xlfn.XLOOKUP("What Sweetner Do You Want?",[1]Sheet1!$1:$1,[1]Sheet1!71:71))</f>
        <v>Brown Sugar</v>
      </c>
      <c r="K71" s="31"/>
      <c r="L71" s="77" t="str">
        <f>_xlfn.XLOOKUP("How Much Ice Cream Do You Want?",[1]Sheet1!$1:$1,[1]Sheet1!71:71)</f>
        <v>Quart</v>
      </c>
      <c r="M71" s="45" t="str">
        <f>IF(COUNTIF('Premade Flavors'!$A:$A, $C71) &gt; 0,_xlfn.XLOOKUP($C71,'Premade Flavors'!$A:$A,'Premade Flavors'!M:M),_xlfn.XLOOKUP("How Strong Do You Want The First Flavor?",[1]Sheet1!$1:$1,[1]Sheet1!71:71))</f>
        <v>Normal</v>
      </c>
      <c r="N71" s="45" t="s">
        <v>450</v>
      </c>
      <c r="O71" s="45" t="str">
        <f>IF(COUNTIF('Premade Flavors'!$A:$A, $C71) &gt; 0,_xlfn.XLOOKUP($C71,'Premade Flavors'!$A:$A,'Premade Flavors'!O:O),_xlfn.XLOOKUP("How Dense Should the Mix Ins Be?",[1]Sheet1!$1:$1,[1]Sheet1!71:71))</f>
        <v>Heavy (35%)</v>
      </c>
      <c r="P71" s="45" t="str">
        <f>IF(COUNTIF('Premade Flavors'!$A:$A, $C71) &gt; 0,_xlfn.XLOOKUP($C71,'Premade Flavors'!$A:$A,'Premade Flavors'!P:P),_xlfn.XLOOKUP("How Much Of The First Sweetner? ",[1]Sheet1!$1:$1,[1]Sheet1!71:71))</f>
        <v>1:1 Sweet</v>
      </c>
      <c r="Q71" s="45">
        <f>IF(COUNTIF('Premade Flavors'!$A:$A, $C71) &gt; 0,_xlfn.XLOOKUP($C71,'Premade Flavors'!$A:$A,'Premade Flavors'!Q:Q),[2]Sheet1!S71)</f>
        <v>0</v>
      </c>
      <c r="R71" s="30">
        <f>(_xlfn.XLOOKUP($L71,Specs!A:A,Specs!B:B,0)-(IF(_xlfn.XLOOKUP($F71,'Liquid Mix In Nutrition'!A:A,'Liquid Mix In Nutrition'!J:J,0)="Yes",0,$T71))-(IF(_xlfn.XLOOKUP($G71,'Liquid Mix In Nutrition'!A:A,'Liquid Mix In Nutrition'!J:J,0)="Yes",0,$U71))-(($V71/MAX(1,_xlfn.XLOOKUP($H71,'Solid Mix In Nutrition'!A:A,'Solid Mix In Nutrition'!I:I,1)))*240)-(($W71/MAX(1,_xlfn.XLOOKUP($I71,'Solid Mix In Nutrition'!A:A,'Solid Mix In Nutrition'!I:I,1)))*240))*0.66</f>
        <v>356.33400000000006</v>
      </c>
      <c r="S71" s="30">
        <f>(_xlfn.XLOOKUP($L71,Specs!A:A,Specs!B:B,0)-(IF(_xlfn.XLOOKUP($F71,'Liquid Mix In Nutrition'!A:A,'Liquid Mix In Nutrition'!J:J,0)="Yes",0,$T71))-(IF(_xlfn.XLOOKUP($G71,'Liquid Mix In Nutrition'!A:A,'Liquid Mix In Nutrition'!J:J,0)="Yes",0,$U71))-(($V71/MAX(1,_xlfn.XLOOKUP($H71,'Solid Mix In Nutrition'!A:A,'Solid Mix In Nutrition'!I:I,1)))*240)-(($W71/MAX(1,_xlfn.XLOOKUP($I71,'Solid Mix In Nutrition'!A:A,'Solid Mix In Nutrition'!I:I,1)))*240))*0.33</f>
        <v>178.16700000000003</v>
      </c>
      <c r="T71" s="30">
        <f>_xlfn.XLOOKUP($M71,Specs!$D:$D,Specs!$E:$E,0)*15*_xlfn.XLOOKUP($L71,Specs!$A:$A,Specs!$C:$C,0)</f>
        <v>60</v>
      </c>
      <c r="U71" s="30">
        <f>_xlfn.XLOOKUP($N71,Specs!$D:$D,Specs!$E:$E,0)*15*_xlfn.XLOOKUP($L71,Specs!$A:$A,Specs!$C:$C,0)</f>
        <v>15</v>
      </c>
      <c r="V71" s="30">
        <f>( ((_xlfn.XLOOKUP($O71,Specs!$H:$H,Specs!$I:$I,0)*_xlfn.XLOOKUP($L71,Specs!$A:$A,Specs!$B:$B,0))/240) *_xlfn.XLOOKUP($H71,'Solid Mix In Nutrition'!A:A,'Solid Mix In Nutrition'!I:I,0)) *IF(AND(NOT($I71=0), COUNTA($I71)),0.5,1)</f>
        <v>137.95833333333331</v>
      </c>
      <c r="W71" s="30">
        <f>( ((_xlfn.XLOOKUP($O71,Specs!$H:$H,Specs!$I:$I,0)*_xlfn.XLOOKUP($L71,Specs!$A:$A,Specs!$B:$B,0))/240) *_xlfn.XLOOKUP($I71,'Solid Mix In Nutrition'!A:A,'Solid Mix In Nutrition'!I:I,0)) *IF(AND(NOT($I71=0), COUNTA($I71)),0.5,0)</f>
        <v>165.54999999999998</v>
      </c>
      <c r="X71" s="30">
        <f>_xlfn.XLOOKUP($P71,Specs!F:F,Specs!G:G,0)*_xlfn.XLOOKUP($J71,'Sweetener Mix In Nutrition'!A:A,'Sweetener Mix In Nutrition'!I:I,0)*_xlfn.XLOOKUP($L71,Specs!A:A,Specs!C:C,0)</f>
        <v>100</v>
      </c>
      <c r="Y71" s="30">
        <f>_xlfn.XLOOKUP($Q71,Specs!F:F,Specs!G:G,0)*_xlfn.XLOOKUP($K71,'Sweetener Mix In Nutrition'!A:A,'Sweetener Mix In Nutrition'!I:I,0)*_xlfn.XLOOKUP($L71,Specs!A:A,Specs!C:C,0)</f>
        <v>0</v>
      </c>
      <c r="Z71" s="34">
        <f t="shared" si="2"/>
        <v>0.83340120000000006</v>
      </c>
      <c r="AA71" s="35">
        <f t="shared" si="3"/>
        <v>0.25</v>
      </c>
      <c r="AB71" s="36">
        <f>(($R71 / 240) * _xlfn.XLOOKUP($D71,'Milk Types Nutrition Per Cup'!A:A,'Milk Types Nutrition Per Cup'!B:B,0)) +(($S71 / 240)  * _xlfn.XLOOKUP($E71,'Milk Types Nutrition Per Cup'!A:A,'Milk Types Nutrition Per Cup'!B:B,0)) +(($T71 / 15)  * _xlfn.XLOOKUP($F71,'Liquid Mix In Nutrition'!A:A,'Liquid Mix In Nutrition'!B:B,0))+(($U71 / 15)  * _xlfn.XLOOKUP($G71,'Liquid Mix In Nutrition'!A:A,'Liquid Mix In Nutrition'!B:B,0))+(($V71 /MAX(1, _xlfn.XLOOKUP($H71,'Solid Mix In Nutrition'!A:A,'Solid Mix In Nutrition'!I:I,1)))  * _xlfn.XLOOKUP($H71,'Solid Mix In Nutrition'!A:A,'Solid Mix In Nutrition'!B:B,0))+(($W71 / MAX(1, _xlfn.XLOOKUP($I71,'Solid Mix In Nutrition'!A:A,'Solid Mix In Nutrition'!I:I,1))))+(($X71 / 100)  * _xlfn.XLOOKUP($J71,'Sweetener Mix In Nutrition'!A:A,'Sweetener Mix In Nutrition'!B:B,0))+(($Y71 / 100)  * _xlfn.XLOOKUP($K71,'Sweetener Mix In Nutrition'!A:A,'Sweetener Mix In Nutrition'!B:B,0))</f>
        <v>2598.5133700980396</v>
      </c>
      <c r="AC71" s="36">
        <f>(($R71 / 240) * _xlfn.XLOOKUP($D71,'Milk Types Nutrition Per Cup'!A:A,'Milk Types Nutrition Per Cup'!E:E,0)) +(($S71 / 240)  * _xlfn.XLOOKUP($E71,'Milk Types Nutrition Per Cup'!A:A,'Milk Types Nutrition Per Cup'!E:E,0)) +(($T71 / 15)  * _xlfn.XLOOKUP($F71,'Liquid Mix In Nutrition'!A:A,'Liquid Mix In Nutrition'!E:E,0)) +(($U71 / 15)  * _xlfn.XLOOKUP($G71,'Liquid Mix In Nutrition'!A:A,'Liquid Mix In Nutrition'!E:E,0))+(($V71 / MAX(1, _xlfn.XLOOKUP($H71,'Solid Mix In Nutrition'!A:A,'Solid Mix In Nutrition'!I:I,1)))  * _xlfn.XLOOKUP($H71,'Solid Mix In Nutrition'!A:A,'Solid Mix In Nutrition'!E:E,0))+(($W71 / MAX(1, _xlfn.XLOOKUP($I71,'Solid Mix In Nutrition'!A:A,'Solid Mix In Nutrition'!I:I,1)))  * _xlfn.XLOOKUP($I71,'Solid Mix In Nutrition'!A:A,'Solid Mix In Nutrition'!G:G,0))+(($X71 / 100)  * _xlfn.XLOOKUP($J71,'Sweetener Mix In Nutrition'!A:A,'Sweetener Mix In Nutrition'!E:E,0))+(($Y71 / 100)  * _xlfn.XLOOKUP($K71,'Sweetener Mix In Nutrition'!A:A,'Sweetener Mix In Nutrition'!E:E,0))</f>
        <v>191.93607172058825</v>
      </c>
      <c r="AD71" s="36">
        <f>(($R71 / 240) * _xlfn.XLOOKUP($D71,'Milk Types Nutrition Per Cup'!A:A,'Milk Types Nutrition Per Cup'!E:E,0)) +(($S71 / 240)  * _xlfn.XLOOKUP($E71,'Milk Types Nutrition Per Cup'!A:A,'Milk Types Nutrition Per Cup'!E:E,0)) +(($T71 / 15)  * _xlfn.XLOOKUP($F71,'Liquid Mix In Nutrition'!A:A,'Liquid Mix In Nutrition'!E:E,0)) +(($U71 / 15)  * _xlfn.XLOOKUP($G71,'Liquid Mix In Nutrition'!A:A,'Liquid Mix In Nutrition'!E:E,0))+(($X71 / 100)  * _xlfn.XLOOKUP($J71,'Sweetener Mix In Nutrition'!A:A,'Sweetener Mix In Nutrition'!E:E,0))+(($Y71 / 100)  * _xlfn.XLOOKUP($K71,'Sweetener Mix In Nutrition'!A:A,'Sweetener Mix In Nutrition'!E:E,0))</f>
        <v>110.1589</v>
      </c>
      <c r="AE71" s="37">
        <f>(($R71 / 240) * _xlfn.XLOOKUP($D71,'Milk Types Nutrition Per Cup'!A:A,'Milk Types Nutrition Per Cup'!C:C,0)) +(($S71 / 240)  * _xlfn.XLOOKUP($E71,'Milk Types Nutrition Per Cup'!A:A,'Milk Types Nutrition Per Cup'!C:C,0)) +(($T71 / 15)  * _xlfn.XLOOKUP($F71,'Liquid Mix In Nutrition'!A:A,'Liquid Mix In Nutrition'!C:C,0))+(($U71 / 15)  * _xlfn.XLOOKUP($G71,'Liquid Mix In Nutrition'!A:A,'Liquid Mix In Nutrition'!C:C,0))+(($V71 / MAX(1, _xlfn.XLOOKUP($H71,'Solid Mix In Nutrition'!A:A,'Solid Mix In Nutrition'!I:I,1)))  * _xlfn.XLOOKUP($H71,'Solid Mix In Nutrition'!A:A,'Solid Mix In Nutrition'!C:C,0))+(($W71 / MAX(1, _xlfn.XLOOKUP($I71,'Solid Mix In Nutrition'!A:A,'Solid Mix In Nutrition'!I:I,1)))  * _xlfn.XLOOKUP($I71,'Solid Mix In Nutrition'!A:A,'Solid Mix In Nutrition'!C:C,0))+(($X71 / 100)  * _xlfn.XLOOKUP($J71,'Sweetener Mix In Nutrition'!A:A,'Sweetener Mix In Nutrition'!C:C,0))+(($Y71 / 100)  * _xlfn.XLOOKUP($K71,'Sweetener Mix In Nutrition'!A:A,'Sweetener Mix In Nutrition'!C:C,0))</f>
        <v>250.09729901960785</v>
      </c>
      <c r="AF71" s="38">
        <f>$AE71 / (_xlfn.XLOOKUP($L71,Specs!A:A,Specs!B:B,0))</f>
        <v>0.26437346619408864</v>
      </c>
      <c r="AG71" s="37">
        <f>60* ($AB71 / _xlfn.XLOOKUP($L71,Specs!A:A,Specs!B:B,0))</f>
        <v>164.81057315632384</v>
      </c>
      <c r="AH71" s="37">
        <f>60* (AC71 / _xlfn.XLOOKUP($L71,Specs!$A:$A,Specs!$B:$B,0))</f>
        <v>12.173535204265638</v>
      </c>
      <c r="AI71" s="37">
        <f>60* (AE71 / _xlfn.XLOOKUP($L71,Specs!$A:$A,Specs!$B:$B,0))</f>
        <v>15.862407971645318</v>
      </c>
      <c r="AJ71" s="39">
        <f>(($R71 / 240) * _xlfn.XLOOKUP($D71,'Milk Types Nutrition Per Cup'!A:A,'Milk Types Nutrition Per Cup'!F:F,0)) +(($S71 / 240)  * _xlfn.XLOOKUP($E71,'Milk Types Nutrition Per Cup'!A:A,'Milk Types Nutrition Per Cup'!F:F,0)) +(($T71 / 15)  * _xlfn.XLOOKUP($F71,'Liquid Mix In Nutrition'!A:A,'Liquid Mix In Nutrition'!F:F,0))+(($U71 / 15)  * _xlfn.XLOOKUP($G71,'Liquid Mix In Nutrition'!A:A,'Liquid Mix In Nutrition'!F:F,0))+(($V71 / MAX(1, _xlfn.XLOOKUP($H71,'Solid Mix In Nutrition'!A:A,'Solid Mix In Nutrition'!I:I,1)))  * _xlfn.XLOOKUP($H71,'Solid Mix In Nutrition'!A:A,'Solid Mix In Nutrition'!F:F,0))+(($W71 / MAX(1, _xlfn.XLOOKUP($I71,'Solid Mix In Nutrition'!A:A,'Solid Mix In Nutrition'!I:I,1)))  * _xlfn.XLOOKUP($I71,'Solid Mix In Nutrition'!A:A,'Solid Mix In Nutrition'!F:F,0))+(($X71 / 100)  * _xlfn.XLOOKUP($J71,'Sweetener Mix In Nutrition'!A:A,'Sweetener Mix In Nutrition'!F:F,0))+(($Y71 / 100)  * _xlfn.XLOOKUP($K71,'Sweetener Mix In Nutrition'!A:A,'Sweetener Mix In Nutrition'!F:F,0))</f>
        <v>6.5652925439190826</v>
      </c>
      <c r="AK71" s="46">
        <f>[2]Sheet1!AG71</f>
        <v>0</v>
      </c>
      <c r="AL71" s="47"/>
      <c r="AM71" s="40">
        <f>IF(ISERROR(((AL71/Specs!$L$3)*Specs!$L$2)*2),0,ROUNDUP((((AL71/Specs!$L$3)*Specs!$L$2)*2),0))</f>
        <v>0</v>
      </c>
      <c r="AN71" s="48">
        <f>ROUNDUP(((AJ71+Specs!$Q$2+_xlfn.XLOOKUP($L71,Specs!A:A,Specs!V:V,0))*Specs!$N$2)+AM71,0)</f>
        <v>17</v>
      </c>
      <c r="AO71" s="40">
        <f>ROUNDUP(((AJ71+Specs!$Q$2+_xlfn.XLOOKUP($L71,Specs!A:A,Specs!V:V,0))*Specs!$N$2),0)</f>
        <v>17</v>
      </c>
      <c r="AP71" s="30" t="s">
        <v>210</v>
      </c>
    </row>
    <row r="72" spans="1:43" x14ac:dyDescent="0.25">
      <c r="A72" s="41" t="str">
        <f>_xlfn.CONCAT(_xlfn.XLOOKUP("What's Your Name?",[1]Sheet1!$1:$1,[1]Sheet1!72:72)," | ",TEXT(_xlfn.XLOOKUP("Completion time",[1]Sheet1!$1:$1,[1]Sheet1!72:72),"dddd, mmm dd, yyyy hh:mm AM/PM"))</f>
        <v xml:space="preserve"> | Saturday, Jan 00, 1900 12:00 AM</v>
      </c>
      <c r="B72" s="76">
        <f>_xlfn.XLOOKUP("What's Your Email Address?",[1]Sheet1!$1:$1,[1]Sheet1!72:72)</f>
        <v>0</v>
      </c>
      <c r="C72" s="31">
        <f>IF(ISBLANK(_xlfn.XLOOKUP("Which Flavor? (Pint Price | Quart Price | Half Gallon Price) (NOTE: Prices may fluctuate based on market conditions)",[1]Sheet1!$1:$1,[1]Sheet1!72:72)),_xlfn.XLOOKUP("Name Your Ice Cream!",[1]Sheet1!$1:$1,[1]Sheet1!72:72),IF(ISNUMBER(FIND("(", _xlfn.XLOOKUP("Which Flavor? (Pint Price | Quart Price | Half Gallon Price) (NOTE: Prices may fluctuate based on market conditions)",[1]Sheet1!$1:$1,[1]Sheet1!72:72))), LEFT(_xlfn.XLOOKUP("Which Flavor? (Pint Price | Quart Price | Half Gallon Price) (NOTE: Prices may fluctuate based on market conditions)",[1]Sheet1!$1:$1,[1]Sheet1!72:72), FIND("(", _xlfn.XLOOKUP("Which Flavor? (Pint Price | Quart Price | Half Gallon Price) (NOTE: Prices may fluctuate based on market conditions)",[1]Sheet1!$1:$1,[1]Sheet1!72:72)) - 1), _xlfn.XLOOKUP("Which Flavor? (Pint Price | Quart Price | Half Gallon Price) (NOTE: Prices may fluctuate based on market conditions)",[1]Sheet1!$1:$1,[1]Sheet1!72:72)))</f>
        <v>0</v>
      </c>
      <c r="D72" s="31">
        <f>IF(COUNTIF('Premade Flavors'!$A:$A, $C72) &gt; 0,IF(ISBLANK(_xlfn.XLOOKUP("What Ice Cream Base Do You Want To Change It To?",[1]Sheet1!$1:$1,[1]Sheet1!72:72)),_xlfn.XLOOKUP($C72,'Premade Flavors'!$A:$A,'Premade Flavors'!B:B),_xlfn.XLOOKUP("What Ice Cream Base Do You Want To Change It To?",[1]Sheet1!$1:$1,[1]Sheet1!72:72)),_xlfn.XLOOKUP(_xlfn.XLOOKUP("What Kind Of Ice Cream Base Do You Want? ",[1]Sheet1!$1:$1,[1]Sheet1!72:72),'Milk Types Nutrition Per Cup'!O:O,'Milk Types Nutrition Per Cup'!P:P,""))</f>
        <v>0</v>
      </c>
      <c r="E72" s="31">
        <f>IF(COUNTIF('Premade Flavors'!$A:$A, $C72) &gt; 0,IF(ISBLANK(_xlfn.XLOOKUP("What Ice Cream Base Do You Want To Change It To?",[1]Sheet1!$1:$1,[1]Sheet1!72:72)),_xlfn.XLOOKUP($C72,'Premade Flavors'!$A:$A,'Premade Flavors'!C:C),_xlfn.XLOOKUP("What Ice Cream Base Do You Want To Change It To?",[1]Sheet1!$1:$1,[1]Sheet1!72:72)),_xlfn.XLOOKUP(_xlfn.XLOOKUP("What Kind Of Ice Cream Base Do You Want? ",[1]Sheet1!$1:$1,[1]Sheet1!72:72),'Milk Types Nutrition Per Cup'!$O:$O,'Milk Types Nutrition Per Cup'!$Q:$Q,""))</f>
        <v>0</v>
      </c>
      <c r="F72" s="31">
        <f>IF(COUNTIF('Premade Flavors'!$A:$A, $C72) &gt; 0,_xlfn.XLOOKUP($C72,'Premade Flavors'!$A:$A,'Premade Flavors'!E:E),_xlfn.XLOOKUP("What's The First Flavor You Want? ",[1]Sheet1!$1:$1,[1]Sheet1!72:72))</f>
        <v>0</v>
      </c>
      <c r="G72" s="31">
        <f>IF(COUNTIF('Premade Flavors'!$A:$A, $C72) &gt; 0,_xlfn.XLOOKUP($C72,'Premade Flavors'!$A:$A,'Premade Flavors'!F:F),_xlfn.XLOOKUP("What's the Second Flavor You Want?",[1]Sheet1!$1:$1,[1]Sheet1!72:72))</f>
        <v>0</v>
      </c>
      <c r="H72" s="31">
        <f>IF(COUNTIF('Premade Flavors'!$A:$A, $C72) &gt; 0,_xlfn.XLOOKUP($C72,'Premade Flavors'!$A:$A,'Premade Flavors'!G:G),_xlfn.XLOOKUP("What's The First Mix In That You Want? ",[1]Sheet1!$1:$1,[1]Sheet1!72:72))</f>
        <v>0</v>
      </c>
      <c r="I72" s="31">
        <f>IF(COUNTIF('Premade Flavors'!$A:$A, $C72) &gt; 0,_xlfn.XLOOKUP($C72,'Premade Flavors'!$A:$A,'Premade Flavors'!H:H),_xlfn.XLOOKUP("What's The Second Mix In That You Want? ",[1]Sheet1!$1:$1,[1]Sheet1!72:72))</f>
        <v>0</v>
      </c>
      <c r="J72" s="31">
        <f>IF(COUNTIF('Premade Flavors'!$A:$A,$C72)&gt;0,IF(_xlfn.XLOOKUP("Should It Use Sugar or A Non-Sugar Sweetner?",[1]Sheet1!$1:$1,[1]Sheet1!72:72)="Sugar",_xlfn.XLOOKUP($C72,'Premade Flavors'!$A:$A,'Premade Flavors'!I:I),"Stevia"),_xlfn.XLOOKUP("What Sweetner Do You Want?",[1]Sheet1!$1:$1,[1]Sheet1!72:72))</f>
        <v>0</v>
      </c>
      <c r="K72" s="31"/>
      <c r="L72" s="77">
        <f>_xlfn.XLOOKUP("How Much Ice Cream Do You Want?",[1]Sheet1!$1:$1,[1]Sheet1!72:72)</f>
        <v>0</v>
      </c>
      <c r="M72" s="45">
        <f>IF(COUNTIF('Premade Flavors'!$A:$A, $C72) &gt; 0,_xlfn.XLOOKUP($C72,'Premade Flavors'!$A:$A,'Premade Flavors'!M:M),_xlfn.XLOOKUP("How Strong Do You Want The First Flavor?",[1]Sheet1!$1:$1,[1]Sheet1!72:72))</f>
        <v>0</v>
      </c>
      <c r="N72" s="45">
        <f>IF(COUNTIF('Premade Flavors'!$A:$A, $C72) &gt; 0,_xlfn.XLOOKUP($C72,'Premade Flavors'!$A:$A,'Premade Flavors'!N:N),_xlfn.XLOOKUP("How Strong Do You Want The Second Flavor?",[1]Sheet1!$1:$1,[1]Sheet1!72:72))</f>
        <v>0</v>
      </c>
      <c r="O72" s="45">
        <f>IF(COUNTIF('Premade Flavors'!$A:$A, $C72) &gt; 0,_xlfn.XLOOKUP($C72,'Premade Flavors'!$A:$A,'Premade Flavors'!O:O),_xlfn.XLOOKUP("How Dense Should the Mix Ins Be?",[1]Sheet1!$1:$1,[1]Sheet1!72:72))</f>
        <v>0</v>
      </c>
      <c r="P72" s="45">
        <f>IF(COUNTIF('Premade Flavors'!$A:$A, $C72) &gt; 0,_xlfn.XLOOKUP($C72,'Premade Flavors'!$A:$A,'Premade Flavors'!P:P),_xlfn.XLOOKUP("How Much Of The First Sweetner? ",[1]Sheet1!$1:$1,[1]Sheet1!72:72))</f>
        <v>0</v>
      </c>
      <c r="Q72" s="45">
        <f>IF(COUNTIF('Premade Flavors'!$A:$A, $C72) &gt; 0,_xlfn.XLOOKUP($C72,'Premade Flavors'!$A:$A,'Premade Flavors'!Q:Q),[2]Sheet1!S72)</f>
        <v>0</v>
      </c>
      <c r="R72" s="30">
        <f>(_xlfn.XLOOKUP($L72,Specs!A:A,Specs!B:B,0)-(IF(_xlfn.XLOOKUP($F72,'Liquid Mix In Nutrition'!A:A,'Liquid Mix In Nutrition'!J:J,0)="Yes",0,$T72))-(IF(_xlfn.XLOOKUP($G72,'Liquid Mix In Nutrition'!A:A,'Liquid Mix In Nutrition'!J:J,0)="Yes",0,$U72))-(($V72/MAX(1,_xlfn.XLOOKUP($H72,'Solid Mix In Nutrition'!A:A,'Solid Mix In Nutrition'!I:I,1)))*240)-(($W72/MAX(1,_xlfn.XLOOKUP($I72,'Solid Mix In Nutrition'!A:A,'Solid Mix In Nutrition'!I:I,1)))*240))*0.66</f>
        <v>0</v>
      </c>
      <c r="S72" s="30">
        <f>(_xlfn.XLOOKUP($L72,Specs!A:A,Specs!B:B,0)-(IF(_xlfn.XLOOKUP($F72,'Liquid Mix In Nutrition'!A:A,'Liquid Mix In Nutrition'!J:J,0)="Yes",0,$T72))-(IF(_xlfn.XLOOKUP($G72,'Liquid Mix In Nutrition'!A:A,'Liquid Mix In Nutrition'!J:J,0)="Yes",0,$U72))-(($V72/MAX(1,_xlfn.XLOOKUP($H72,'Solid Mix In Nutrition'!A:A,'Solid Mix In Nutrition'!I:I,1)))*240)-(($W72/MAX(1,_xlfn.XLOOKUP($I72,'Solid Mix In Nutrition'!A:A,'Solid Mix In Nutrition'!I:I,1)))*240))*0.33</f>
        <v>0</v>
      </c>
      <c r="T72" s="30">
        <f>_xlfn.XLOOKUP($M72,Specs!$D:$D,Specs!$E:$E,0)*15*_xlfn.XLOOKUP($L72,Specs!$A:$A,Specs!$C:$C,0)</f>
        <v>0</v>
      </c>
      <c r="U72" s="30">
        <f>_xlfn.XLOOKUP($N72,Specs!$D:$D,Specs!$E:$E,0)*15*_xlfn.XLOOKUP($L72,Specs!$A:$A,Specs!$C:$C,0)</f>
        <v>0</v>
      </c>
      <c r="V72" s="30">
        <f>( ((_xlfn.XLOOKUP($O72,Specs!$H:$H,Specs!$I:$I,0)*_xlfn.XLOOKUP($L72,Specs!$A:$A,Specs!$B:$B,0))/240) *_xlfn.XLOOKUP($H72,'Solid Mix In Nutrition'!A:A,'Solid Mix In Nutrition'!I:I,0)) *IF(AND(NOT($I72=0), COUNTA($I72)),0.5,1)</f>
        <v>0</v>
      </c>
      <c r="W72" s="30">
        <f>( ((_xlfn.XLOOKUP($O72,Specs!$H:$H,Specs!$I:$I,0)*_xlfn.XLOOKUP($L72,Specs!$A:$A,Specs!$B:$B,0))/240) *_xlfn.XLOOKUP($I72,'Solid Mix In Nutrition'!A:A,'Solid Mix In Nutrition'!I:I,0)) *IF(AND(NOT($I72=0), COUNTA($I72)),0.5,0)</f>
        <v>0</v>
      </c>
      <c r="X72" s="30">
        <f>_xlfn.XLOOKUP($P72,Specs!F:F,Specs!G:G,0)*_xlfn.XLOOKUP($J72,'Sweetener Mix In Nutrition'!A:A,'Sweetener Mix In Nutrition'!I:I,0)*_xlfn.XLOOKUP($L72,Specs!A:A,Specs!C:C,0)</f>
        <v>0</v>
      </c>
      <c r="Y72" s="30">
        <f>_xlfn.XLOOKUP($Q72,Specs!F:F,Specs!G:G,0)*_xlfn.XLOOKUP($K72,'Sweetener Mix In Nutrition'!A:A,'Sweetener Mix In Nutrition'!I:I,0)*_xlfn.XLOOKUP($L72,Specs!A:A,Specs!C:C,0)</f>
        <v>0</v>
      </c>
      <c r="Z72" s="34">
        <f t="shared" si="2"/>
        <v>0</v>
      </c>
      <c r="AA72" s="35">
        <f t="shared" si="3"/>
        <v>0</v>
      </c>
      <c r="AB72" s="36">
        <f>(($R72 / 240) * _xlfn.XLOOKUP($D72,'Milk Types Nutrition Per Cup'!A:A,'Milk Types Nutrition Per Cup'!B:B,0)) +(($S72 / 240)  * _xlfn.XLOOKUP($E72,'Milk Types Nutrition Per Cup'!A:A,'Milk Types Nutrition Per Cup'!B:B,0)) +(($T72 / 15)  * _xlfn.XLOOKUP($F72,'Liquid Mix In Nutrition'!A:A,'Liquid Mix In Nutrition'!B:B,0))+(($U72 / 15)  * _xlfn.XLOOKUP($G72,'Liquid Mix In Nutrition'!A:A,'Liquid Mix In Nutrition'!B:B,0))+(($V72 /MAX(1, _xlfn.XLOOKUP($H72,'Solid Mix In Nutrition'!A:A,'Solid Mix In Nutrition'!I:I,1)))  * _xlfn.XLOOKUP($H72,'Solid Mix In Nutrition'!A:A,'Solid Mix In Nutrition'!B:B,0))+(($W72 / MAX(1, _xlfn.XLOOKUP($I72,'Solid Mix In Nutrition'!A:A,'Solid Mix In Nutrition'!I:I,1))))+(($X72 / 100)  * _xlfn.XLOOKUP($J72,'Sweetener Mix In Nutrition'!A:A,'Sweetener Mix In Nutrition'!B:B,0))+(($Y72 / 100)  * _xlfn.XLOOKUP($K72,'Sweetener Mix In Nutrition'!A:A,'Sweetener Mix In Nutrition'!B:B,0))</f>
        <v>0</v>
      </c>
      <c r="AC72" s="36">
        <f>(($R72 / 240) * _xlfn.XLOOKUP($D72,'Milk Types Nutrition Per Cup'!A:A,'Milk Types Nutrition Per Cup'!E:E,0)) +(($S72 / 240)  * _xlfn.XLOOKUP($E72,'Milk Types Nutrition Per Cup'!A:A,'Milk Types Nutrition Per Cup'!E:E,0)) +(($T72 / 15)  * _xlfn.XLOOKUP($F72,'Liquid Mix In Nutrition'!A:A,'Liquid Mix In Nutrition'!E:E,0)) +(($U72 / 15)  * _xlfn.XLOOKUP($G72,'Liquid Mix In Nutrition'!A:A,'Liquid Mix In Nutrition'!E:E,0))+(($V72 / MAX(1, _xlfn.XLOOKUP($H72,'Solid Mix In Nutrition'!A:A,'Solid Mix In Nutrition'!I:I,1)))  * _xlfn.XLOOKUP($H72,'Solid Mix In Nutrition'!A:A,'Solid Mix In Nutrition'!E:E,0))+(($W72 / MAX(1, _xlfn.XLOOKUP($I72,'Solid Mix In Nutrition'!A:A,'Solid Mix In Nutrition'!I:I,1)))  * _xlfn.XLOOKUP($I72,'Solid Mix In Nutrition'!A:A,'Solid Mix In Nutrition'!G:G,0))+(($X72 / 100)  * _xlfn.XLOOKUP($J72,'Sweetener Mix In Nutrition'!A:A,'Sweetener Mix In Nutrition'!E:E,0))+(($Y72 / 100)  * _xlfn.XLOOKUP($K72,'Sweetener Mix In Nutrition'!A:A,'Sweetener Mix In Nutrition'!E:E,0))</f>
        <v>0</v>
      </c>
      <c r="AD72" s="36">
        <f>(($R72 / 240) * _xlfn.XLOOKUP($D72,'Milk Types Nutrition Per Cup'!A:A,'Milk Types Nutrition Per Cup'!E:E,0)) +(($S72 / 240)  * _xlfn.XLOOKUP($E72,'Milk Types Nutrition Per Cup'!A:A,'Milk Types Nutrition Per Cup'!E:E,0)) +(($T72 / 15)  * _xlfn.XLOOKUP($F72,'Liquid Mix In Nutrition'!A:A,'Liquid Mix In Nutrition'!E:E,0)) +(($U72 / 15)  * _xlfn.XLOOKUP($G72,'Liquid Mix In Nutrition'!A:A,'Liquid Mix In Nutrition'!E:E,0))+(($X72 / 100)  * _xlfn.XLOOKUP($J72,'Sweetener Mix In Nutrition'!A:A,'Sweetener Mix In Nutrition'!E:E,0))+(($Y72 / 100)  * _xlfn.XLOOKUP($K72,'Sweetener Mix In Nutrition'!A:A,'Sweetener Mix In Nutrition'!E:E,0))</f>
        <v>0</v>
      </c>
      <c r="AE72" s="37">
        <f>(($R72 / 240) * _xlfn.XLOOKUP($D72,'Milk Types Nutrition Per Cup'!A:A,'Milk Types Nutrition Per Cup'!C:C,0)) +(($S72 / 240)  * _xlfn.XLOOKUP($E72,'Milk Types Nutrition Per Cup'!A:A,'Milk Types Nutrition Per Cup'!C:C,0)) +(($T72 / 15)  * _xlfn.XLOOKUP($F72,'Liquid Mix In Nutrition'!A:A,'Liquid Mix In Nutrition'!C:C,0))+(($U72 / 15)  * _xlfn.XLOOKUP($G72,'Liquid Mix In Nutrition'!A:A,'Liquid Mix In Nutrition'!C:C,0))+(($V72 / MAX(1, _xlfn.XLOOKUP($H72,'Solid Mix In Nutrition'!A:A,'Solid Mix In Nutrition'!I:I,1)))  * _xlfn.XLOOKUP($H72,'Solid Mix In Nutrition'!A:A,'Solid Mix In Nutrition'!C:C,0))+(($W72 / MAX(1, _xlfn.XLOOKUP($I72,'Solid Mix In Nutrition'!A:A,'Solid Mix In Nutrition'!I:I,1)))  * _xlfn.XLOOKUP($I72,'Solid Mix In Nutrition'!A:A,'Solid Mix In Nutrition'!C:C,0))+(($X72 / 100)  * _xlfn.XLOOKUP($J72,'Sweetener Mix In Nutrition'!A:A,'Sweetener Mix In Nutrition'!C:C,0))+(($Y72 / 100)  * _xlfn.XLOOKUP($K72,'Sweetener Mix In Nutrition'!A:A,'Sweetener Mix In Nutrition'!C:C,0))</f>
        <v>0</v>
      </c>
      <c r="AF72" s="38" t="e">
        <f>$AE72 / (_xlfn.XLOOKUP($L72,Specs!A:A,Specs!B:B,0))</f>
        <v>#DIV/0!</v>
      </c>
      <c r="AG72" s="37" t="e">
        <f>60* ($AB72 / _xlfn.XLOOKUP($L72,Specs!A:A,Specs!B:B,0))</f>
        <v>#DIV/0!</v>
      </c>
      <c r="AH72" s="37" t="e">
        <f>60* (AC72 / _xlfn.XLOOKUP($L72,Specs!$A:$A,Specs!$B:$B,0))</f>
        <v>#DIV/0!</v>
      </c>
      <c r="AI72" s="37" t="e">
        <f>60* (AE72 / _xlfn.XLOOKUP($L72,Specs!$A:$A,Specs!$B:$B,0))</f>
        <v>#DIV/0!</v>
      </c>
      <c r="AJ72" s="39">
        <f>(($R72 / 240) * _xlfn.XLOOKUP($D72,'Milk Types Nutrition Per Cup'!A:A,'Milk Types Nutrition Per Cup'!F:F,0)) +(($S72 / 240)  * _xlfn.XLOOKUP($E72,'Milk Types Nutrition Per Cup'!A:A,'Milk Types Nutrition Per Cup'!F:F,0)) +(($T72 / 15)  * _xlfn.XLOOKUP($F72,'Liquid Mix In Nutrition'!A:A,'Liquid Mix In Nutrition'!F:F,0))+(($U72 / 15)  * _xlfn.XLOOKUP($G72,'Liquid Mix In Nutrition'!A:A,'Liquid Mix In Nutrition'!F:F,0))+(($V72 / MAX(1, _xlfn.XLOOKUP($H72,'Solid Mix In Nutrition'!A:A,'Solid Mix In Nutrition'!I:I,1)))  * _xlfn.XLOOKUP($H72,'Solid Mix In Nutrition'!A:A,'Solid Mix In Nutrition'!F:F,0))+(($W72 / MAX(1, _xlfn.XLOOKUP($I72,'Solid Mix In Nutrition'!A:A,'Solid Mix In Nutrition'!I:I,1)))  * _xlfn.XLOOKUP($I72,'Solid Mix In Nutrition'!A:A,'Solid Mix In Nutrition'!F:F,0))+(($X72 / 100)  * _xlfn.XLOOKUP($J72,'Sweetener Mix In Nutrition'!A:A,'Sweetener Mix In Nutrition'!F:F,0))+(($Y72 / 100)  * _xlfn.XLOOKUP($K72,'Sweetener Mix In Nutrition'!A:A,'Sweetener Mix In Nutrition'!F:F,0))</f>
        <v>0</v>
      </c>
      <c r="AK72" s="46">
        <f>[2]Sheet1!AG72</f>
        <v>0</v>
      </c>
      <c r="AL72" s="47"/>
      <c r="AM72" s="40">
        <f>IF(ISERROR(((AL72/Specs!$L$3)*Specs!$L$2)*2),0,ROUNDUP((((AL72/Specs!$L$3)*Specs!$L$2)*2),0))</f>
        <v>0</v>
      </c>
      <c r="AN72" s="48">
        <f>ROUNDUP(((AJ72+Specs!$R$2+Specs!$S$2+_xlfn.XLOOKUP($L72,Specs!A:A,Specs!V:V,0))*Specs!$N$2)+AM72,0)</f>
        <v>1</v>
      </c>
      <c r="AO72" s="40">
        <f>ROUNDUP(((AJ72+Specs!$R$2+Specs!$S$2+_xlfn.XLOOKUP($L72,Specs!A:A,Specs!V:V,0))*Specs!$N$2),0)</f>
        <v>1</v>
      </c>
      <c r="AP72" s="30"/>
    </row>
    <row r="73" spans="1:43" x14ac:dyDescent="0.25">
      <c r="A73" s="41" t="str">
        <f>_xlfn.CONCAT(_xlfn.XLOOKUP("What's Your Name?",[1]Sheet1!$1:$1,[1]Sheet1!73:73)," | ",TEXT(_xlfn.XLOOKUP("Completion time",[1]Sheet1!$1:$1,[1]Sheet1!73:73),"dddd, mmm dd, yyyy hh:mm AM/PM"))</f>
        <v xml:space="preserve"> | Saturday, Jan 00, 1900 12:00 AM</v>
      </c>
      <c r="B73" s="76">
        <f>_xlfn.XLOOKUP("What's Your Email Address?",[1]Sheet1!$1:$1,[1]Sheet1!73:73)</f>
        <v>0</v>
      </c>
      <c r="C73" s="31">
        <f>IF(ISBLANK(_xlfn.XLOOKUP("Which Flavor? (Pint Price | Quart Price | Half Gallon Price) (NOTE: Prices may fluctuate based on market conditions)",[1]Sheet1!$1:$1,[1]Sheet1!73:73)),_xlfn.XLOOKUP("Name Your Ice Cream!",[1]Sheet1!$1:$1,[1]Sheet1!73:73),IF(ISNUMBER(FIND("(", _xlfn.XLOOKUP("Which Flavor? (Pint Price | Quart Price | Half Gallon Price) (NOTE: Prices may fluctuate based on market conditions)",[1]Sheet1!$1:$1,[1]Sheet1!73:73))), LEFT(_xlfn.XLOOKUP("Which Flavor? (Pint Price | Quart Price | Half Gallon Price) (NOTE: Prices may fluctuate based on market conditions)",[1]Sheet1!$1:$1,[1]Sheet1!73:73), FIND("(", _xlfn.XLOOKUP("Which Flavor? (Pint Price | Quart Price | Half Gallon Price) (NOTE: Prices may fluctuate based on market conditions)",[1]Sheet1!$1:$1,[1]Sheet1!73:73)) - 1), _xlfn.XLOOKUP("Which Flavor? (Pint Price | Quart Price | Half Gallon Price) (NOTE: Prices may fluctuate based on market conditions)",[1]Sheet1!$1:$1,[1]Sheet1!73:73)))</f>
        <v>0</v>
      </c>
      <c r="D73" s="31">
        <f>IF(COUNTIF('Premade Flavors'!$A:$A, $C73) &gt; 0,IF(ISBLANK(_xlfn.XLOOKUP("What Ice Cream Base Do You Want To Change It To?",[1]Sheet1!$1:$1,[1]Sheet1!73:73)),_xlfn.XLOOKUP($C73,'Premade Flavors'!$A:$A,'Premade Flavors'!B:B),_xlfn.XLOOKUP("What Ice Cream Base Do You Want To Change It To?",[1]Sheet1!$1:$1,[1]Sheet1!73:73)),_xlfn.XLOOKUP(_xlfn.XLOOKUP("What Kind Of Ice Cream Base Do You Want? ",[1]Sheet1!$1:$1,[1]Sheet1!73:73),'Milk Types Nutrition Per Cup'!O:O,'Milk Types Nutrition Per Cup'!P:P,""))</f>
        <v>0</v>
      </c>
      <c r="E73" s="31">
        <f>IF(COUNTIF('Premade Flavors'!$A:$A, $C73) &gt; 0,IF(ISBLANK(_xlfn.XLOOKUP("What Ice Cream Base Do You Want To Change It To?",[1]Sheet1!$1:$1,[1]Sheet1!73:73)),_xlfn.XLOOKUP($C73,'Premade Flavors'!$A:$A,'Premade Flavors'!C:C),_xlfn.XLOOKUP("What Ice Cream Base Do You Want To Change It To?",[1]Sheet1!$1:$1,[1]Sheet1!73:73)),_xlfn.XLOOKUP(_xlfn.XLOOKUP("What Kind Of Ice Cream Base Do You Want? ",[1]Sheet1!$1:$1,[1]Sheet1!73:73),'Milk Types Nutrition Per Cup'!$O:$O,'Milk Types Nutrition Per Cup'!$Q:$Q,""))</f>
        <v>0</v>
      </c>
      <c r="F73" s="31">
        <f>IF(COUNTIF('Premade Flavors'!$A:$A, $C73) &gt; 0,_xlfn.XLOOKUP($C73,'Premade Flavors'!$A:$A,'Premade Flavors'!E:E),_xlfn.XLOOKUP("What's The First Flavor You Want? ",[1]Sheet1!$1:$1,[1]Sheet1!73:73))</f>
        <v>0</v>
      </c>
      <c r="G73" s="31">
        <f>IF(COUNTIF('Premade Flavors'!$A:$A, $C73) &gt; 0,_xlfn.XLOOKUP($C73,'Premade Flavors'!$A:$A,'Premade Flavors'!F:F),_xlfn.XLOOKUP("What's the Second Flavor You Want?",[1]Sheet1!$1:$1,[1]Sheet1!73:73))</f>
        <v>0</v>
      </c>
      <c r="H73" s="31">
        <f>IF(COUNTIF('Premade Flavors'!$A:$A, $C73) &gt; 0,_xlfn.XLOOKUP($C73,'Premade Flavors'!$A:$A,'Premade Flavors'!G:G),_xlfn.XLOOKUP("What's The First Mix In That You Want? ",[1]Sheet1!$1:$1,[1]Sheet1!73:73))</f>
        <v>0</v>
      </c>
      <c r="I73" s="31">
        <f>IF(COUNTIF('Premade Flavors'!$A:$A, $C73) &gt; 0,_xlfn.XLOOKUP($C73,'Premade Flavors'!$A:$A,'Premade Flavors'!H:H),_xlfn.XLOOKUP("What's The Second Mix In That You Want? ",[1]Sheet1!$1:$1,[1]Sheet1!73:73))</f>
        <v>0</v>
      </c>
      <c r="J73" s="31">
        <f>IF(COUNTIF('Premade Flavors'!$A:$A,$C73)&gt;0,IF(_xlfn.XLOOKUP("Should It Use Sugar or A Non-Sugar Sweetner?",[1]Sheet1!$1:$1,[1]Sheet1!73:73)="Sugar",_xlfn.XLOOKUP($C73,'Premade Flavors'!$A:$A,'Premade Flavors'!I:I),"Stevia"),_xlfn.XLOOKUP("What Sweetner Do You Want?",[1]Sheet1!$1:$1,[1]Sheet1!73:73))</f>
        <v>0</v>
      </c>
      <c r="K73" s="31"/>
      <c r="L73" s="77">
        <f>_xlfn.XLOOKUP("How Much Ice Cream Do You Want?",[1]Sheet1!$1:$1,[1]Sheet1!73:73)</f>
        <v>0</v>
      </c>
      <c r="M73" s="45">
        <f>IF(COUNTIF('Premade Flavors'!$A:$A, $C73) &gt; 0,_xlfn.XLOOKUP($C73,'Premade Flavors'!$A:$A,'Premade Flavors'!M:M),_xlfn.XLOOKUP("How Strong Do You Want The First Flavor?",[1]Sheet1!$1:$1,[1]Sheet1!73:73))</f>
        <v>0</v>
      </c>
      <c r="N73" s="45">
        <f>IF(COUNTIF('Premade Flavors'!$A:$A, $C73) &gt; 0,_xlfn.XLOOKUP($C73,'Premade Flavors'!$A:$A,'Premade Flavors'!N:N),_xlfn.XLOOKUP("How Strong Do You Want The Second Flavor?",[1]Sheet1!$1:$1,[1]Sheet1!73:73))</f>
        <v>0</v>
      </c>
      <c r="O73" s="45">
        <f>IF(COUNTIF('Premade Flavors'!$A:$A, $C73) &gt; 0,_xlfn.XLOOKUP($C73,'Premade Flavors'!$A:$A,'Premade Flavors'!O:O),_xlfn.XLOOKUP("How Dense Should the Mix Ins Be?",[1]Sheet1!$1:$1,[1]Sheet1!73:73))</f>
        <v>0</v>
      </c>
      <c r="P73" s="45">
        <f>IF(COUNTIF('Premade Flavors'!$A:$A, $C73) &gt; 0,_xlfn.XLOOKUP($C73,'Premade Flavors'!$A:$A,'Premade Flavors'!P:P),_xlfn.XLOOKUP("How Much Of The First Sweetner? ",[1]Sheet1!$1:$1,[1]Sheet1!73:73))</f>
        <v>0</v>
      </c>
      <c r="Q73" s="45">
        <f>IF(COUNTIF('Premade Flavors'!$A:$A, $C73) &gt; 0,_xlfn.XLOOKUP($C73,'Premade Flavors'!$A:$A,'Premade Flavors'!Q:Q),[2]Sheet1!S73)</f>
        <v>0</v>
      </c>
      <c r="R73" s="30">
        <f>(_xlfn.XLOOKUP($L73,Specs!A:A,Specs!B:B,0)-(IF(_xlfn.XLOOKUP($F73,'Liquid Mix In Nutrition'!A:A,'Liquid Mix In Nutrition'!J:J,0)="Yes",0,$T73))-(IF(_xlfn.XLOOKUP($G73,'Liquid Mix In Nutrition'!A:A,'Liquid Mix In Nutrition'!J:J,0)="Yes",0,$U73))-(($V73/MAX(1,_xlfn.XLOOKUP($H73,'Solid Mix In Nutrition'!A:A,'Solid Mix In Nutrition'!I:I,1)))*240)-(($W73/MAX(1,_xlfn.XLOOKUP($I73,'Solid Mix In Nutrition'!A:A,'Solid Mix In Nutrition'!I:I,1)))*240))*0.66</f>
        <v>0</v>
      </c>
      <c r="S73" s="30">
        <f>(_xlfn.XLOOKUP($L73,Specs!A:A,Specs!B:B,0)-(IF(_xlfn.XLOOKUP($F73,'Liquid Mix In Nutrition'!A:A,'Liquid Mix In Nutrition'!J:J,0)="Yes",0,$T73))-(IF(_xlfn.XLOOKUP($G73,'Liquid Mix In Nutrition'!A:A,'Liquid Mix In Nutrition'!J:J,0)="Yes",0,$U73))-(($V73/MAX(1,_xlfn.XLOOKUP($H73,'Solid Mix In Nutrition'!A:A,'Solid Mix In Nutrition'!I:I,1)))*240)-(($W73/MAX(1,_xlfn.XLOOKUP($I73,'Solid Mix In Nutrition'!A:A,'Solid Mix In Nutrition'!I:I,1)))*240))*0.33</f>
        <v>0</v>
      </c>
      <c r="T73" s="30">
        <f>_xlfn.XLOOKUP($M73,Specs!$D:$D,Specs!$E:$E,0)*15*_xlfn.XLOOKUP($L73,Specs!$A:$A,Specs!$C:$C,0)</f>
        <v>0</v>
      </c>
      <c r="U73" s="30">
        <f>_xlfn.XLOOKUP($N73,Specs!$D:$D,Specs!$E:$E,0)*15*_xlfn.XLOOKUP($L73,Specs!$A:$A,Specs!$C:$C,0)</f>
        <v>0</v>
      </c>
      <c r="V73" s="30">
        <f>( ((_xlfn.XLOOKUP($O73,Specs!$H:$H,Specs!$I:$I,0)*_xlfn.XLOOKUP($L73,Specs!$A:$A,Specs!$B:$B,0))/240) *_xlfn.XLOOKUP($H73,'Solid Mix In Nutrition'!A:A,'Solid Mix In Nutrition'!I:I,0)) *IF(AND(NOT($I73=0), COUNTA($I73)),0.5,1)</f>
        <v>0</v>
      </c>
      <c r="W73" s="30">
        <f>( ((_xlfn.XLOOKUP($O73,Specs!$H:$H,Specs!$I:$I,0)*_xlfn.XLOOKUP($L73,Specs!$A:$A,Specs!$B:$B,0))/240) *_xlfn.XLOOKUP($I73,'Solid Mix In Nutrition'!A:A,'Solid Mix In Nutrition'!I:I,0)) *IF(AND(NOT($I73=0), COUNTA($I73)),0.5,0)</f>
        <v>0</v>
      </c>
      <c r="X73" s="30">
        <f>_xlfn.XLOOKUP($P73,Specs!F:F,Specs!G:G,0)*_xlfn.XLOOKUP($J73,'Sweetener Mix In Nutrition'!A:A,'Sweetener Mix In Nutrition'!I:I,0)*_xlfn.XLOOKUP($L73,Specs!A:A,Specs!C:C,0)</f>
        <v>0</v>
      </c>
      <c r="Y73" s="30">
        <f>_xlfn.XLOOKUP($Q73,Specs!F:F,Specs!G:G,0)*_xlfn.XLOOKUP($K73,'Sweetener Mix In Nutrition'!A:A,'Sweetener Mix In Nutrition'!I:I,0)*_xlfn.XLOOKUP($L73,Specs!A:A,Specs!C:C,0)</f>
        <v>0</v>
      </c>
      <c r="Z73" s="34">
        <f t="shared" si="2"/>
        <v>0</v>
      </c>
      <c r="AA73" s="35">
        <f t="shared" si="3"/>
        <v>0</v>
      </c>
      <c r="AB73" s="36">
        <f>(($R73 / 240) * _xlfn.XLOOKUP($D73,'Milk Types Nutrition Per Cup'!A:A,'Milk Types Nutrition Per Cup'!B:B,0)) +(($S73 / 240)  * _xlfn.XLOOKUP($E73,'Milk Types Nutrition Per Cup'!A:A,'Milk Types Nutrition Per Cup'!B:B,0)) +(($T73 / 15)  * _xlfn.XLOOKUP($F73,'Liquid Mix In Nutrition'!A:A,'Liquid Mix In Nutrition'!B:B,0))+(($U73 / 15)  * _xlfn.XLOOKUP($G73,'Liquid Mix In Nutrition'!A:A,'Liquid Mix In Nutrition'!B:B,0))+(($V73 /MAX(1, _xlfn.XLOOKUP($H73,'Solid Mix In Nutrition'!A:A,'Solid Mix In Nutrition'!I:I,1)))  * _xlfn.XLOOKUP($H73,'Solid Mix In Nutrition'!A:A,'Solid Mix In Nutrition'!B:B,0))+(($W73 / MAX(1, _xlfn.XLOOKUP($I73,'Solid Mix In Nutrition'!A:A,'Solid Mix In Nutrition'!I:I,1))))+(($X73 / 100)  * _xlfn.XLOOKUP($J73,'Sweetener Mix In Nutrition'!A:A,'Sweetener Mix In Nutrition'!B:B,0))+(($Y73 / 100)  * _xlfn.XLOOKUP($K73,'Sweetener Mix In Nutrition'!A:A,'Sweetener Mix In Nutrition'!B:B,0))</f>
        <v>0</v>
      </c>
      <c r="AC73" s="36">
        <f>(($R73 / 240) * _xlfn.XLOOKUP($D73,'Milk Types Nutrition Per Cup'!A:A,'Milk Types Nutrition Per Cup'!E:E,0)) +(($S73 / 240)  * _xlfn.XLOOKUP($E73,'Milk Types Nutrition Per Cup'!A:A,'Milk Types Nutrition Per Cup'!E:E,0)) +(($T73 / 15)  * _xlfn.XLOOKUP($F73,'Liquid Mix In Nutrition'!A:A,'Liquid Mix In Nutrition'!E:E,0)) +(($U73 / 15)  * _xlfn.XLOOKUP($G73,'Liquid Mix In Nutrition'!A:A,'Liquid Mix In Nutrition'!E:E,0))+(($V73 / MAX(1, _xlfn.XLOOKUP($H73,'Solid Mix In Nutrition'!A:A,'Solid Mix In Nutrition'!I:I,1)))  * _xlfn.XLOOKUP($H73,'Solid Mix In Nutrition'!A:A,'Solid Mix In Nutrition'!E:E,0))+(($W73 / MAX(1, _xlfn.XLOOKUP($I73,'Solid Mix In Nutrition'!A:A,'Solid Mix In Nutrition'!I:I,1)))  * _xlfn.XLOOKUP($I73,'Solid Mix In Nutrition'!A:A,'Solid Mix In Nutrition'!G:G,0))+(($X73 / 100)  * _xlfn.XLOOKUP($J73,'Sweetener Mix In Nutrition'!A:A,'Sweetener Mix In Nutrition'!E:E,0))+(($Y73 / 100)  * _xlfn.XLOOKUP($K73,'Sweetener Mix In Nutrition'!A:A,'Sweetener Mix In Nutrition'!E:E,0))</f>
        <v>0</v>
      </c>
      <c r="AD73" s="36">
        <f>(($R73 / 240) * _xlfn.XLOOKUP($D73,'Milk Types Nutrition Per Cup'!A:A,'Milk Types Nutrition Per Cup'!E:E,0)) +(($S73 / 240)  * _xlfn.XLOOKUP($E73,'Milk Types Nutrition Per Cup'!A:A,'Milk Types Nutrition Per Cup'!E:E,0)) +(($T73 / 15)  * _xlfn.XLOOKUP($F73,'Liquid Mix In Nutrition'!A:A,'Liquid Mix In Nutrition'!E:E,0)) +(($U73 / 15)  * _xlfn.XLOOKUP($G73,'Liquid Mix In Nutrition'!A:A,'Liquid Mix In Nutrition'!E:E,0))+(($X73 / 100)  * _xlfn.XLOOKUP($J73,'Sweetener Mix In Nutrition'!A:A,'Sweetener Mix In Nutrition'!E:E,0))+(($Y73 / 100)  * _xlfn.XLOOKUP($K73,'Sweetener Mix In Nutrition'!A:A,'Sweetener Mix In Nutrition'!E:E,0))</f>
        <v>0</v>
      </c>
      <c r="AE73" s="37">
        <f>(($R73 / 240) * _xlfn.XLOOKUP($D73,'Milk Types Nutrition Per Cup'!A:A,'Milk Types Nutrition Per Cup'!C:C,0)) +(($S73 / 240)  * _xlfn.XLOOKUP($E73,'Milk Types Nutrition Per Cup'!A:A,'Milk Types Nutrition Per Cup'!C:C,0)) +(($T73 / 15)  * _xlfn.XLOOKUP($F73,'Liquid Mix In Nutrition'!A:A,'Liquid Mix In Nutrition'!C:C,0))+(($U73 / 15)  * _xlfn.XLOOKUP($G73,'Liquid Mix In Nutrition'!A:A,'Liquid Mix In Nutrition'!C:C,0))+(($V73 / MAX(1, _xlfn.XLOOKUP($H73,'Solid Mix In Nutrition'!A:A,'Solid Mix In Nutrition'!I:I,1)))  * _xlfn.XLOOKUP($H73,'Solid Mix In Nutrition'!A:A,'Solid Mix In Nutrition'!C:C,0))+(($W73 / MAX(1, _xlfn.XLOOKUP($I73,'Solid Mix In Nutrition'!A:A,'Solid Mix In Nutrition'!I:I,1)))  * _xlfn.XLOOKUP($I73,'Solid Mix In Nutrition'!A:A,'Solid Mix In Nutrition'!C:C,0))+(($X73 / 100)  * _xlfn.XLOOKUP($J73,'Sweetener Mix In Nutrition'!A:A,'Sweetener Mix In Nutrition'!C:C,0))+(($Y73 / 100)  * _xlfn.XLOOKUP($K73,'Sweetener Mix In Nutrition'!A:A,'Sweetener Mix In Nutrition'!C:C,0))</f>
        <v>0</v>
      </c>
      <c r="AF73" s="38" t="e">
        <f>$AE73 / (_xlfn.XLOOKUP($L73,Specs!A:A,Specs!B:B,0))</f>
        <v>#DIV/0!</v>
      </c>
      <c r="AG73" s="37" t="e">
        <f>60* ($AB73 / _xlfn.XLOOKUP($L73,Specs!A:A,Specs!B:B,0))</f>
        <v>#DIV/0!</v>
      </c>
      <c r="AH73" s="37" t="e">
        <f>60* (AC73 / _xlfn.XLOOKUP($L73,Specs!$A:$A,Specs!$B:$B,0))</f>
        <v>#DIV/0!</v>
      </c>
      <c r="AI73" s="37" t="e">
        <f>60* (AE73 / _xlfn.XLOOKUP($L73,Specs!$A:$A,Specs!$B:$B,0))</f>
        <v>#DIV/0!</v>
      </c>
      <c r="AJ73" s="39">
        <f>(($R73 / 240) * _xlfn.XLOOKUP($D73,'Milk Types Nutrition Per Cup'!A:A,'Milk Types Nutrition Per Cup'!F:F,0)) +(($S73 / 240)  * _xlfn.XLOOKUP($E73,'Milk Types Nutrition Per Cup'!A:A,'Milk Types Nutrition Per Cup'!F:F,0)) +(($T73 / 15)  * _xlfn.XLOOKUP($F73,'Liquid Mix In Nutrition'!A:A,'Liquid Mix In Nutrition'!F:F,0))+(($U73 / 15)  * _xlfn.XLOOKUP($G73,'Liquid Mix In Nutrition'!A:A,'Liquid Mix In Nutrition'!F:F,0))+(($V73 / MAX(1, _xlfn.XLOOKUP($H73,'Solid Mix In Nutrition'!A:A,'Solid Mix In Nutrition'!I:I,1)))  * _xlfn.XLOOKUP($H73,'Solid Mix In Nutrition'!A:A,'Solid Mix In Nutrition'!F:F,0))+(($W73 / MAX(1, _xlfn.XLOOKUP($I73,'Solid Mix In Nutrition'!A:A,'Solid Mix In Nutrition'!I:I,1)))  * _xlfn.XLOOKUP($I73,'Solid Mix In Nutrition'!A:A,'Solid Mix In Nutrition'!F:F,0))+(($X73 / 100)  * _xlfn.XLOOKUP($J73,'Sweetener Mix In Nutrition'!A:A,'Sweetener Mix In Nutrition'!F:F,0))+(($Y73 / 100)  * _xlfn.XLOOKUP($K73,'Sweetener Mix In Nutrition'!A:A,'Sweetener Mix In Nutrition'!F:F,0))</f>
        <v>0</v>
      </c>
      <c r="AK73" s="46">
        <f>[2]Sheet1!AG73</f>
        <v>0</v>
      </c>
      <c r="AL73" s="47"/>
      <c r="AM73" s="40">
        <f>IF(ISERROR(((AL73/Specs!$L$3)*Specs!$L$2)*2),0,ROUNDUP((((AL73/Specs!$L$3)*Specs!$L$2)*2),0))</f>
        <v>0</v>
      </c>
      <c r="AN73" s="48">
        <f>ROUNDUP(((AJ73+Specs!$R$2+Specs!$S$2+_xlfn.XLOOKUP($L73,Specs!A:A,Specs!V:V,0))*Specs!$N$2)+AM73,0)</f>
        <v>1</v>
      </c>
      <c r="AO73" s="40">
        <f>ROUNDUP(((AJ73+Specs!$R$2+Specs!$S$2+_xlfn.XLOOKUP($L73,Specs!A:A,Specs!V:V,0))*Specs!$N$2),0)</f>
        <v>1</v>
      </c>
      <c r="AP73" s="30"/>
    </row>
    <row r="74" spans="1:43" x14ac:dyDescent="0.25">
      <c r="A74" s="41" t="str">
        <f>_xlfn.CONCAT(_xlfn.XLOOKUP("What's Your Name?",[1]Sheet1!$1:$1,[1]Sheet1!74:74)," | ",TEXT(_xlfn.XLOOKUP("Completion time",[1]Sheet1!$1:$1,[1]Sheet1!74:74),"dddd, mmm dd, yyyy hh:mm AM/PM"))</f>
        <v xml:space="preserve"> | Saturday, Jan 00, 1900 12:00 AM</v>
      </c>
      <c r="B74" s="76">
        <f>_xlfn.XLOOKUP("What's Your Email Address?",[1]Sheet1!$1:$1,[1]Sheet1!74:74)</f>
        <v>0</v>
      </c>
      <c r="C74" s="31">
        <f>IF(ISBLANK(_xlfn.XLOOKUP("Which Flavor? (Pint Price | Quart Price | Half Gallon Price) (NOTE: Prices may fluctuate based on market conditions)",[1]Sheet1!$1:$1,[1]Sheet1!74:74)),_xlfn.XLOOKUP("Name Your Ice Cream!",[1]Sheet1!$1:$1,[1]Sheet1!74:74),IF(ISNUMBER(FIND("(", _xlfn.XLOOKUP("Which Flavor? (Pint Price | Quart Price | Half Gallon Price) (NOTE: Prices may fluctuate based on market conditions)",[1]Sheet1!$1:$1,[1]Sheet1!74:74))), LEFT(_xlfn.XLOOKUP("Which Flavor? (Pint Price | Quart Price | Half Gallon Price) (NOTE: Prices may fluctuate based on market conditions)",[1]Sheet1!$1:$1,[1]Sheet1!74:74), FIND("(", _xlfn.XLOOKUP("Which Flavor? (Pint Price | Quart Price | Half Gallon Price) (NOTE: Prices may fluctuate based on market conditions)",[1]Sheet1!$1:$1,[1]Sheet1!74:74)) - 1), _xlfn.XLOOKUP("Which Flavor? (Pint Price | Quart Price | Half Gallon Price) (NOTE: Prices may fluctuate based on market conditions)",[1]Sheet1!$1:$1,[1]Sheet1!74:74)))</f>
        <v>0</v>
      </c>
      <c r="D74" s="31">
        <f>IF(COUNTIF('Premade Flavors'!$A:$A, $C74) &gt; 0,IF(ISBLANK(_xlfn.XLOOKUP("What Ice Cream Base Do You Want To Change It To?",[1]Sheet1!$1:$1,[1]Sheet1!74:74)),_xlfn.XLOOKUP($C74,'Premade Flavors'!$A:$A,'Premade Flavors'!B:B),_xlfn.XLOOKUP("What Ice Cream Base Do You Want To Change It To?",[1]Sheet1!$1:$1,[1]Sheet1!74:74)),_xlfn.XLOOKUP(_xlfn.XLOOKUP("What Kind Of Ice Cream Base Do You Want? ",[1]Sheet1!$1:$1,[1]Sheet1!74:74),'Milk Types Nutrition Per Cup'!O:O,'Milk Types Nutrition Per Cup'!P:P,""))</f>
        <v>0</v>
      </c>
      <c r="E74" s="31">
        <f>IF(COUNTIF('Premade Flavors'!$A:$A, $C74) &gt; 0,IF(ISBLANK(_xlfn.XLOOKUP("What Ice Cream Base Do You Want To Change It To?",[1]Sheet1!$1:$1,[1]Sheet1!74:74)),_xlfn.XLOOKUP($C74,'Premade Flavors'!$A:$A,'Premade Flavors'!C:C),_xlfn.XLOOKUP("What Ice Cream Base Do You Want To Change It To?",[1]Sheet1!$1:$1,[1]Sheet1!74:74)),_xlfn.XLOOKUP(_xlfn.XLOOKUP("What Kind Of Ice Cream Base Do You Want? ",[1]Sheet1!$1:$1,[1]Sheet1!74:74),'Milk Types Nutrition Per Cup'!$O:$O,'Milk Types Nutrition Per Cup'!$Q:$Q,""))</f>
        <v>0</v>
      </c>
      <c r="F74" s="31">
        <f>IF(COUNTIF('Premade Flavors'!$A:$A, $C74) &gt; 0,_xlfn.XLOOKUP($C74,'Premade Flavors'!$A:$A,'Premade Flavors'!E:E),_xlfn.XLOOKUP("What's The First Flavor You Want? ",[1]Sheet1!$1:$1,[1]Sheet1!74:74))</f>
        <v>0</v>
      </c>
      <c r="G74" s="31">
        <f>IF(COUNTIF('Premade Flavors'!$A:$A, $C74) &gt; 0,_xlfn.XLOOKUP($C74,'Premade Flavors'!$A:$A,'Premade Flavors'!F:F),_xlfn.XLOOKUP("What's the Second Flavor You Want?",[1]Sheet1!$1:$1,[1]Sheet1!74:74))</f>
        <v>0</v>
      </c>
      <c r="H74" s="31">
        <f>IF(COUNTIF('Premade Flavors'!$A:$A, $C74) &gt; 0,_xlfn.XLOOKUP($C74,'Premade Flavors'!$A:$A,'Premade Flavors'!G:G),_xlfn.XLOOKUP("What's The First Mix In That You Want? ",[1]Sheet1!$1:$1,[1]Sheet1!74:74))</f>
        <v>0</v>
      </c>
      <c r="I74" s="31">
        <f>IF(COUNTIF('Premade Flavors'!$A:$A, $C74) &gt; 0,_xlfn.XLOOKUP($C74,'Premade Flavors'!$A:$A,'Premade Flavors'!H:H),_xlfn.XLOOKUP("What's The Second Mix In That You Want? ",[1]Sheet1!$1:$1,[1]Sheet1!74:74))</f>
        <v>0</v>
      </c>
      <c r="J74" s="31">
        <f>IF(COUNTIF('Premade Flavors'!$A:$A,$C74)&gt;0,IF(_xlfn.XLOOKUP("Should It Use Sugar or A Non-Sugar Sweetner?",[1]Sheet1!$1:$1,[1]Sheet1!74:74)="Sugar",_xlfn.XLOOKUP($C74,'Premade Flavors'!$A:$A,'Premade Flavors'!I:I),"Stevia"),_xlfn.XLOOKUP("What Sweetner Do You Want?",[1]Sheet1!$1:$1,[1]Sheet1!74:74))</f>
        <v>0</v>
      </c>
      <c r="K74" s="31"/>
      <c r="L74" s="77">
        <f>_xlfn.XLOOKUP("How Much Ice Cream Do You Want?",[1]Sheet1!$1:$1,[1]Sheet1!74:74)</f>
        <v>0</v>
      </c>
      <c r="M74" s="45">
        <f>IF(COUNTIF('Premade Flavors'!$A:$A, $C74) &gt; 0,_xlfn.XLOOKUP($C74,'Premade Flavors'!$A:$A,'Premade Flavors'!M:M),_xlfn.XLOOKUP("How Strong Do You Want The First Flavor?",[1]Sheet1!$1:$1,[1]Sheet1!74:74))</f>
        <v>0</v>
      </c>
      <c r="N74" s="45">
        <f>IF(COUNTIF('Premade Flavors'!$A:$A, $C74) &gt; 0,_xlfn.XLOOKUP($C74,'Premade Flavors'!$A:$A,'Premade Flavors'!N:N),_xlfn.XLOOKUP("How Strong Do You Want The Second Flavor?",[1]Sheet1!$1:$1,[1]Sheet1!74:74))</f>
        <v>0</v>
      </c>
      <c r="O74" s="45">
        <f>IF(COUNTIF('Premade Flavors'!$A:$A, $C74) &gt; 0,_xlfn.XLOOKUP($C74,'Premade Flavors'!$A:$A,'Premade Flavors'!O:O),_xlfn.XLOOKUP("How Dense Should the Mix Ins Be?",[1]Sheet1!$1:$1,[1]Sheet1!74:74))</f>
        <v>0</v>
      </c>
      <c r="P74" s="45">
        <f>IF(COUNTIF('Premade Flavors'!$A:$A, $C74) &gt; 0,_xlfn.XLOOKUP($C74,'Premade Flavors'!$A:$A,'Premade Flavors'!P:P),_xlfn.XLOOKUP("How Much Of The First Sweetner? ",[1]Sheet1!$1:$1,[1]Sheet1!74:74))</f>
        <v>0</v>
      </c>
      <c r="Q74" s="45">
        <f>IF(COUNTIF('Premade Flavors'!$A:$A, $C74) &gt; 0,_xlfn.XLOOKUP($C74,'Premade Flavors'!$A:$A,'Premade Flavors'!Q:Q),[2]Sheet1!S74)</f>
        <v>0</v>
      </c>
      <c r="R74" s="30">
        <f>(_xlfn.XLOOKUP($L74,Specs!A:A,Specs!B:B,0)-(IF(_xlfn.XLOOKUP($F74,'Liquid Mix In Nutrition'!A:A,'Liquid Mix In Nutrition'!J:J,0)="Yes",0,$T74))-(IF(_xlfn.XLOOKUP($G74,'Liquid Mix In Nutrition'!A:A,'Liquid Mix In Nutrition'!J:J,0)="Yes",0,$U74))-(($V74/MAX(1,_xlfn.XLOOKUP($H74,'Solid Mix In Nutrition'!A:A,'Solid Mix In Nutrition'!I:I,1)))*240)-(($W74/MAX(1,_xlfn.XLOOKUP($I74,'Solid Mix In Nutrition'!A:A,'Solid Mix In Nutrition'!I:I,1)))*240))*0.66</f>
        <v>0</v>
      </c>
      <c r="S74" s="30">
        <f>(_xlfn.XLOOKUP($L74,Specs!A:A,Specs!B:B,0)-(IF(_xlfn.XLOOKUP($F74,'Liquid Mix In Nutrition'!A:A,'Liquid Mix In Nutrition'!J:J,0)="Yes",0,$T74))-(IF(_xlfn.XLOOKUP($G74,'Liquid Mix In Nutrition'!A:A,'Liquid Mix In Nutrition'!J:J,0)="Yes",0,$U74))-(($V74/MAX(1,_xlfn.XLOOKUP($H74,'Solid Mix In Nutrition'!A:A,'Solid Mix In Nutrition'!I:I,1)))*240)-(($W74/MAX(1,_xlfn.XLOOKUP($I74,'Solid Mix In Nutrition'!A:A,'Solid Mix In Nutrition'!I:I,1)))*240))*0.33</f>
        <v>0</v>
      </c>
      <c r="T74" s="30">
        <f>_xlfn.XLOOKUP($M74,Specs!$D:$D,Specs!$E:$E,0)*15*_xlfn.XLOOKUP($L74,Specs!$A:$A,Specs!$C:$C,0)</f>
        <v>0</v>
      </c>
      <c r="U74" s="30">
        <f>_xlfn.XLOOKUP($N74,Specs!$D:$D,Specs!$E:$E,0)*15*_xlfn.XLOOKUP($L74,Specs!$A:$A,Specs!$C:$C,0)</f>
        <v>0</v>
      </c>
      <c r="V74" s="30">
        <f>( ((_xlfn.XLOOKUP($O74,Specs!$H:$H,Specs!$I:$I,0)*_xlfn.XLOOKUP($L74,Specs!$A:$A,Specs!$B:$B,0))/240) *_xlfn.XLOOKUP($H74,'Solid Mix In Nutrition'!A:A,'Solid Mix In Nutrition'!I:I,0)) *IF(AND(NOT($I74=0), COUNTA($I74)),0.5,1)</f>
        <v>0</v>
      </c>
      <c r="W74" s="30">
        <f>( ((_xlfn.XLOOKUP($O74,Specs!$H:$H,Specs!$I:$I,0)*_xlfn.XLOOKUP($L74,Specs!$A:$A,Specs!$B:$B,0))/240) *_xlfn.XLOOKUP($I74,'Solid Mix In Nutrition'!A:A,'Solid Mix In Nutrition'!I:I,0)) *IF(AND(NOT($I74=0), COUNTA($I74)),0.5,0)</f>
        <v>0</v>
      </c>
      <c r="X74" s="30">
        <f>_xlfn.XLOOKUP($P74,Specs!F:F,Specs!G:G,0)*_xlfn.XLOOKUP($J74,'Sweetener Mix In Nutrition'!A:A,'Sweetener Mix In Nutrition'!I:I,0)*_xlfn.XLOOKUP($L74,Specs!A:A,Specs!C:C,0)</f>
        <v>0</v>
      </c>
      <c r="Y74" s="30">
        <f>_xlfn.XLOOKUP($Q74,Specs!F:F,Specs!G:G,0)*_xlfn.XLOOKUP($K74,'Sweetener Mix In Nutrition'!A:A,'Sweetener Mix In Nutrition'!I:I,0)*_xlfn.XLOOKUP($L74,Specs!A:A,Specs!C:C,0)</f>
        <v>0</v>
      </c>
      <c r="Z74" s="34">
        <f t="shared" si="2"/>
        <v>0</v>
      </c>
      <c r="AA74" s="35">
        <f t="shared" si="3"/>
        <v>0</v>
      </c>
      <c r="AB74" s="36">
        <f>(($R74 / 240) * _xlfn.XLOOKUP($D74,'Milk Types Nutrition Per Cup'!A:A,'Milk Types Nutrition Per Cup'!B:B,0)) +(($S74 / 240)  * _xlfn.XLOOKUP($E74,'Milk Types Nutrition Per Cup'!A:A,'Milk Types Nutrition Per Cup'!B:B,0)) +(($T74 / 15)  * _xlfn.XLOOKUP($F74,'Liquid Mix In Nutrition'!A:A,'Liquid Mix In Nutrition'!B:B,0))+(($U74 / 15)  * _xlfn.XLOOKUP($G74,'Liquid Mix In Nutrition'!A:A,'Liquid Mix In Nutrition'!B:B,0))+(($V74 /MAX(1, _xlfn.XLOOKUP($H74,'Solid Mix In Nutrition'!A:A,'Solid Mix In Nutrition'!I:I,1)))  * _xlfn.XLOOKUP($H74,'Solid Mix In Nutrition'!A:A,'Solid Mix In Nutrition'!B:B,0))+(($W74 / MAX(1, _xlfn.XLOOKUP($I74,'Solid Mix In Nutrition'!A:A,'Solid Mix In Nutrition'!I:I,1))))+(($X74 / 100)  * _xlfn.XLOOKUP($J74,'Sweetener Mix In Nutrition'!A:A,'Sweetener Mix In Nutrition'!B:B,0))+(($Y74 / 100)  * _xlfn.XLOOKUP($K74,'Sweetener Mix In Nutrition'!A:A,'Sweetener Mix In Nutrition'!B:B,0))</f>
        <v>0</v>
      </c>
      <c r="AC74" s="36">
        <f>(($R74 / 240) * _xlfn.XLOOKUP($D74,'Milk Types Nutrition Per Cup'!A:A,'Milk Types Nutrition Per Cup'!E:E,0)) +(($S74 / 240)  * _xlfn.XLOOKUP($E74,'Milk Types Nutrition Per Cup'!A:A,'Milk Types Nutrition Per Cup'!E:E,0)) +(($T74 / 15)  * _xlfn.XLOOKUP($F74,'Liquid Mix In Nutrition'!A:A,'Liquid Mix In Nutrition'!E:E,0)) +(($U74 / 15)  * _xlfn.XLOOKUP($G74,'Liquid Mix In Nutrition'!A:A,'Liquid Mix In Nutrition'!E:E,0))+(($V74 / MAX(1, _xlfn.XLOOKUP($H74,'Solid Mix In Nutrition'!A:A,'Solid Mix In Nutrition'!I:I,1)))  * _xlfn.XLOOKUP($H74,'Solid Mix In Nutrition'!A:A,'Solid Mix In Nutrition'!E:E,0))+(($W74 / MAX(1, _xlfn.XLOOKUP($I74,'Solid Mix In Nutrition'!A:A,'Solid Mix In Nutrition'!I:I,1)))  * _xlfn.XLOOKUP($I74,'Solid Mix In Nutrition'!A:A,'Solid Mix In Nutrition'!G:G,0))+(($X74 / 100)  * _xlfn.XLOOKUP($J74,'Sweetener Mix In Nutrition'!A:A,'Sweetener Mix In Nutrition'!E:E,0))+(($Y74 / 100)  * _xlfn.XLOOKUP($K74,'Sweetener Mix In Nutrition'!A:A,'Sweetener Mix In Nutrition'!E:E,0))</f>
        <v>0</v>
      </c>
      <c r="AD74" s="36">
        <f>(($R74 / 240) * _xlfn.XLOOKUP($D74,'Milk Types Nutrition Per Cup'!A:A,'Milk Types Nutrition Per Cup'!E:E,0)) +(($S74 / 240)  * _xlfn.XLOOKUP($E74,'Milk Types Nutrition Per Cup'!A:A,'Milk Types Nutrition Per Cup'!E:E,0)) +(($T74 / 15)  * _xlfn.XLOOKUP($F74,'Liquid Mix In Nutrition'!A:A,'Liquid Mix In Nutrition'!E:E,0)) +(($U74 / 15)  * _xlfn.XLOOKUP($G74,'Liquid Mix In Nutrition'!A:A,'Liquid Mix In Nutrition'!E:E,0))+(($X74 / 100)  * _xlfn.XLOOKUP($J74,'Sweetener Mix In Nutrition'!A:A,'Sweetener Mix In Nutrition'!E:E,0))+(($Y74 / 100)  * _xlfn.XLOOKUP($K74,'Sweetener Mix In Nutrition'!A:A,'Sweetener Mix In Nutrition'!E:E,0))</f>
        <v>0</v>
      </c>
      <c r="AE74" s="37">
        <f>(($R74 / 240) * _xlfn.XLOOKUP($D74,'Milk Types Nutrition Per Cup'!A:A,'Milk Types Nutrition Per Cup'!C:C,0)) +(($S74 / 240)  * _xlfn.XLOOKUP($E74,'Milk Types Nutrition Per Cup'!A:A,'Milk Types Nutrition Per Cup'!C:C,0)) +(($T74 / 15)  * _xlfn.XLOOKUP($F74,'Liquid Mix In Nutrition'!A:A,'Liquid Mix In Nutrition'!C:C,0))+(($U74 / 15)  * _xlfn.XLOOKUP($G74,'Liquid Mix In Nutrition'!A:A,'Liquid Mix In Nutrition'!C:C,0))+(($V74 / MAX(1, _xlfn.XLOOKUP($H74,'Solid Mix In Nutrition'!A:A,'Solid Mix In Nutrition'!I:I,1)))  * _xlfn.XLOOKUP($H74,'Solid Mix In Nutrition'!A:A,'Solid Mix In Nutrition'!C:C,0))+(($W74 / MAX(1, _xlfn.XLOOKUP($I74,'Solid Mix In Nutrition'!A:A,'Solid Mix In Nutrition'!I:I,1)))  * _xlfn.XLOOKUP($I74,'Solid Mix In Nutrition'!A:A,'Solid Mix In Nutrition'!C:C,0))+(($X74 / 100)  * _xlfn.XLOOKUP($J74,'Sweetener Mix In Nutrition'!A:A,'Sweetener Mix In Nutrition'!C:C,0))+(($Y74 / 100)  * _xlfn.XLOOKUP($K74,'Sweetener Mix In Nutrition'!A:A,'Sweetener Mix In Nutrition'!C:C,0))</f>
        <v>0</v>
      </c>
      <c r="AF74" s="38" t="e">
        <f>$AE74 / (_xlfn.XLOOKUP($L74,Specs!A:A,Specs!B:B,0))</f>
        <v>#DIV/0!</v>
      </c>
      <c r="AG74" s="37" t="e">
        <f>60* ($AB74 / _xlfn.XLOOKUP($L74,Specs!A:A,Specs!B:B,0))</f>
        <v>#DIV/0!</v>
      </c>
      <c r="AH74" s="37" t="e">
        <f>60* (AC74 / _xlfn.XLOOKUP($L74,Specs!$A:$A,Specs!$B:$B,0))</f>
        <v>#DIV/0!</v>
      </c>
      <c r="AI74" s="37" t="e">
        <f>60* (AE74 / _xlfn.XLOOKUP($L74,Specs!$A:$A,Specs!$B:$B,0))</f>
        <v>#DIV/0!</v>
      </c>
      <c r="AJ74" s="39">
        <f>(($R74 / 240) * _xlfn.XLOOKUP($D74,'Milk Types Nutrition Per Cup'!A:A,'Milk Types Nutrition Per Cup'!F:F,0)) +(($S74 / 240)  * _xlfn.XLOOKUP($E74,'Milk Types Nutrition Per Cup'!A:A,'Milk Types Nutrition Per Cup'!F:F,0)) +(($T74 / 15)  * _xlfn.XLOOKUP($F74,'Liquid Mix In Nutrition'!A:A,'Liquid Mix In Nutrition'!F:F,0))+(($U74 / 15)  * _xlfn.XLOOKUP($G74,'Liquid Mix In Nutrition'!A:A,'Liquid Mix In Nutrition'!F:F,0))+(($V74 / MAX(1, _xlfn.XLOOKUP($H74,'Solid Mix In Nutrition'!A:A,'Solid Mix In Nutrition'!I:I,1)))  * _xlfn.XLOOKUP($H74,'Solid Mix In Nutrition'!A:A,'Solid Mix In Nutrition'!F:F,0))+(($W74 / MAX(1, _xlfn.XLOOKUP($I74,'Solid Mix In Nutrition'!A:A,'Solid Mix In Nutrition'!I:I,1)))  * _xlfn.XLOOKUP($I74,'Solid Mix In Nutrition'!A:A,'Solid Mix In Nutrition'!F:F,0))+(($X74 / 100)  * _xlfn.XLOOKUP($J74,'Sweetener Mix In Nutrition'!A:A,'Sweetener Mix In Nutrition'!F:F,0))+(($Y74 / 100)  * _xlfn.XLOOKUP($K74,'Sweetener Mix In Nutrition'!A:A,'Sweetener Mix In Nutrition'!F:F,0))</f>
        <v>0</v>
      </c>
      <c r="AK74" s="46">
        <f>[2]Sheet1!AG74</f>
        <v>0</v>
      </c>
      <c r="AL74" s="47"/>
      <c r="AM74" s="40">
        <f>IF(ISERROR(((AL74/Specs!$L$3)*Specs!$L$2)*2),0,ROUNDUP((((AL74/Specs!$L$3)*Specs!$L$2)*2),0))</f>
        <v>0</v>
      </c>
      <c r="AN74" s="48">
        <f>ROUNDUP(((AJ74+Specs!$R$2+Specs!$S$2+_xlfn.XLOOKUP($L74,Specs!A:A,Specs!V:V,0))*Specs!$N$2)+AM74,0)</f>
        <v>1</v>
      </c>
      <c r="AO74" s="40">
        <f>ROUNDUP(((AJ74+Specs!$R$2+Specs!$S$2+_xlfn.XLOOKUP($L74,Specs!A:A,Specs!V:V,0))*Specs!$N$2),0)</f>
        <v>1</v>
      </c>
      <c r="AP74" s="30"/>
    </row>
    <row r="75" spans="1:43" x14ac:dyDescent="0.25">
      <c r="A75" s="41" t="str">
        <f>_xlfn.CONCAT(_xlfn.XLOOKUP("What's Your Name?",[1]Sheet1!$1:$1,[1]Sheet1!75:75)," | ",TEXT(_xlfn.XLOOKUP("Completion time",[1]Sheet1!$1:$1,[1]Sheet1!75:75),"dddd, mmm dd, yyyy hh:mm AM/PM"))</f>
        <v xml:space="preserve"> | Saturday, Jan 00, 1900 12:00 AM</v>
      </c>
      <c r="B75" s="76">
        <f>_xlfn.XLOOKUP("What's Your Email Address?",[1]Sheet1!$1:$1,[1]Sheet1!75:75)</f>
        <v>0</v>
      </c>
      <c r="C75" s="31">
        <f>IF(ISBLANK(_xlfn.XLOOKUP("Which Flavor? (Pint Price | Quart Price | Half Gallon Price) (NOTE: Prices may fluctuate based on market conditions)",[1]Sheet1!$1:$1,[1]Sheet1!75:75)),_xlfn.XLOOKUP("Name Your Ice Cream!",[1]Sheet1!$1:$1,[1]Sheet1!75:75),IF(ISNUMBER(FIND("(", _xlfn.XLOOKUP("Which Flavor? (Pint Price | Quart Price | Half Gallon Price) (NOTE: Prices may fluctuate based on market conditions)",[1]Sheet1!$1:$1,[1]Sheet1!75:75))), LEFT(_xlfn.XLOOKUP("Which Flavor? (Pint Price | Quart Price | Half Gallon Price) (NOTE: Prices may fluctuate based on market conditions)",[1]Sheet1!$1:$1,[1]Sheet1!75:75), FIND("(", _xlfn.XLOOKUP("Which Flavor? (Pint Price | Quart Price | Half Gallon Price) (NOTE: Prices may fluctuate based on market conditions)",[1]Sheet1!$1:$1,[1]Sheet1!75:75)) - 1), _xlfn.XLOOKUP("Which Flavor? (Pint Price | Quart Price | Half Gallon Price) (NOTE: Prices may fluctuate based on market conditions)",[1]Sheet1!$1:$1,[1]Sheet1!75:75)))</f>
        <v>0</v>
      </c>
      <c r="D75" s="31">
        <f>IF(COUNTIF('Premade Flavors'!$A:$A, $C75) &gt; 0,IF(ISBLANK(_xlfn.XLOOKUP("What Ice Cream Base Do You Want To Change It To?",[1]Sheet1!$1:$1,[1]Sheet1!75:75)),_xlfn.XLOOKUP($C75,'Premade Flavors'!$A:$A,'Premade Flavors'!B:B),_xlfn.XLOOKUP("What Ice Cream Base Do You Want To Change It To?",[1]Sheet1!$1:$1,[1]Sheet1!75:75)),_xlfn.XLOOKUP(_xlfn.XLOOKUP("What Kind Of Ice Cream Base Do You Want? ",[1]Sheet1!$1:$1,[1]Sheet1!75:75),'Milk Types Nutrition Per Cup'!O:O,'Milk Types Nutrition Per Cup'!P:P,""))</f>
        <v>0</v>
      </c>
      <c r="E75" s="31">
        <f>IF(COUNTIF('Premade Flavors'!$A:$A, $C75) &gt; 0,IF(ISBLANK(_xlfn.XLOOKUP("What Ice Cream Base Do You Want To Change It To?",[1]Sheet1!$1:$1,[1]Sheet1!75:75)),_xlfn.XLOOKUP($C75,'Premade Flavors'!$A:$A,'Premade Flavors'!C:C),_xlfn.XLOOKUP("What Ice Cream Base Do You Want To Change It To?",[1]Sheet1!$1:$1,[1]Sheet1!75:75)),_xlfn.XLOOKUP(_xlfn.XLOOKUP("What Kind Of Ice Cream Base Do You Want? ",[1]Sheet1!$1:$1,[1]Sheet1!75:75),'Milk Types Nutrition Per Cup'!$O:$O,'Milk Types Nutrition Per Cup'!$Q:$Q,""))</f>
        <v>0</v>
      </c>
      <c r="F75" s="31">
        <f>IF(COUNTIF('Premade Flavors'!$A:$A, $C75) &gt; 0,_xlfn.XLOOKUP($C75,'Premade Flavors'!$A:$A,'Premade Flavors'!E:E),_xlfn.XLOOKUP("What's The First Flavor You Want? ",[1]Sheet1!$1:$1,[1]Sheet1!75:75))</f>
        <v>0</v>
      </c>
      <c r="G75" s="31">
        <f>IF(COUNTIF('Premade Flavors'!$A:$A, $C75) &gt; 0,_xlfn.XLOOKUP($C75,'Premade Flavors'!$A:$A,'Premade Flavors'!F:F),_xlfn.XLOOKUP("What's the Second Flavor You Want?",[1]Sheet1!$1:$1,[1]Sheet1!75:75))</f>
        <v>0</v>
      </c>
      <c r="H75" s="31">
        <f>IF(COUNTIF('Premade Flavors'!$A:$A, $C75) &gt; 0,_xlfn.XLOOKUP($C75,'Premade Flavors'!$A:$A,'Premade Flavors'!G:G),_xlfn.XLOOKUP("What's The First Mix In That You Want? ",[1]Sheet1!$1:$1,[1]Sheet1!75:75))</f>
        <v>0</v>
      </c>
      <c r="I75" s="31">
        <f>IF(COUNTIF('Premade Flavors'!$A:$A, $C75) &gt; 0,_xlfn.XLOOKUP($C75,'Premade Flavors'!$A:$A,'Premade Flavors'!H:H),_xlfn.XLOOKUP("What's The Second Mix In That You Want? ",[1]Sheet1!$1:$1,[1]Sheet1!75:75))</f>
        <v>0</v>
      </c>
      <c r="J75" s="31">
        <f>IF(COUNTIF('Premade Flavors'!$A:$A,$C75)&gt;0,IF(_xlfn.XLOOKUP("Should It Use Sugar or A Non-Sugar Sweetner?",[1]Sheet1!$1:$1,[1]Sheet1!75:75)="Sugar",_xlfn.XLOOKUP($C75,'Premade Flavors'!$A:$A,'Premade Flavors'!I:I),"Stevia"),_xlfn.XLOOKUP("What Sweetner Do You Want?",[1]Sheet1!$1:$1,[1]Sheet1!75:75))</f>
        <v>0</v>
      </c>
      <c r="K75" s="31"/>
      <c r="L75" s="77">
        <f>_xlfn.XLOOKUP("How Much Ice Cream Do You Want?",[1]Sheet1!$1:$1,[1]Sheet1!75:75)</f>
        <v>0</v>
      </c>
      <c r="M75" s="45">
        <f>IF(COUNTIF('Premade Flavors'!$A:$A, $C75) &gt; 0,_xlfn.XLOOKUP($C75,'Premade Flavors'!$A:$A,'Premade Flavors'!M:M),_xlfn.XLOOKUP("How Strong Do You Want The First Flavor?",[1]Sheet1!$1:$1,[1]Sheet1!75:75))</f>
        <v>0</v>
      </c>
      <c r="N75" s="45">
        <f>IF(COUNTIF('Premade Flavors'!$A:$A, $C75) &gt; 0,_xlfn.XLOOKUP($C75,'Premade Flavors'!$A:$A,'Premade Flavors'!N:N),_xlfn.XLOOKUP("How Strong Do You Want The Second Flavor?",[1]Sheet1!$1:$1,[1]Sheet1!75:75))</f>
        <v>0</v>
      </c>
      <c r="O75" s="45">
        <f>IF(COUNTIF('Premade Flavors'!$A:$A, $C75) &gt; 0,_xlfn.XLOOKUP($C75,'Premade Flavors'!$A:$A,'Premade Flavors'!O:O),_xlfn.XLOOKUP("How Dense Should the Mix Ins Be?",[1]Sheet1!$1:$1,[1]Sheet1!75:75))</f>
        <v>0</v>
      </c>
      <c r="P75" s="45">
        <f>IF(COUNTIF('Premade Flavors'!$A:$A, $C75) &gt; 0,_xlfn.XLOOKUP($C75,'Premade Flavors'!$A:$A,'Premade Flavors'!P:P),_xlfn.XLOOKUP("How Much Of The First Sweetner? ",[1]Sheet1!$1:$1,[1]Sheet1!75:75))</f>
        <v>0</v>
      </c>
      <c r="Q75" s="45">
        <f>IF(COUNTIF('Premade Flavors'!$A:$A, $C75) &gt; 0,_xlfn.XLOOKUP($C75,'Premade Flavors'!$A:$A,'Premade Flavors'!Q:Q),[2]Sheet1!S75)</f>
        <v>0</v>
      </c>
      <c r="R75" s="30">
        <f>(_xlfn.XLOOKUP($L75,Specs!A:A,Specs!B:B,0)-(IF(_xlfn.XLOOKUP($F75,'Liquid Mix In Nutrition'!A:A,'Liquid Mix In Nutrition'!J:J,0)="Yes",0,$T75))-(IF(_xlfn.XLOOKUP($G75,'Liquid Mix In Nutrition'!A:A,'Liquid Mix In Nutrition'!J:J,0)="Yes",0,$U75))-(($V75/MAX(1,_xlfn.XLOOKUP($H75,'Solid Mix In Nutrition'!A:A,'Solid Mix In Nutrition'!I:I,1)))*240)-(($W75/MAX(1,_xlfn.XLOOKUP($I75,'Solid Mix In Nutrition'!A:A,'Solid Mix In Nutrition'!I:I,1)))*240))*0.66</f>
        <v>0</v>
      </c>
      <c r="S75" s="30">
        <f>(_xlfn.XLOOKUP($L75,Specs!A:A,Specs!B:B,0)-(IF(_xlfn.XLOOKUP($F75,'Liquid Mix In Nutrition'!A:A,'Liquid Mix In Nutrition'!J:J,0)="Yes",0,$T75))-(IF(_xlfn.XLOOKUP($G75,'Liquid Mix In Nutrition'!A:A,'Liquid Mix In Nutrition'!J:J,0)="Yes",0,$U75))-(($V75/MAX(1,_xlfn.XLOOKUP($H75,'Solid Mix In Nutrition'!A:A,'Solid Mix In Nutrition'!I:I,1)))*240)-(($W75/MAX(1,_xlfn.XLOOKUP($I75,'Solid Mix In Nutrition'!A:A,'Solid Mix In Nutrition'!I:I,1)))*240))*0.33</f>
        <v>0</v>
      </c>
      <c r="T75" s="30">
        <f>_xlfn.XLOOKUP($M75,Specs!$D:$D,Specs!$E:$E,0)*15*_xlfn.XLOOKUP($L75,Specs!$A:$A,Specs!$C:$C,0)</f>
        <v>0</v>
      </c>
      <c r="U75" s="30">
        <f>_xlfn.XLOOKUP($N75,Specs!$D:$D,Specs!$E:$E,0)*15*_xlfn.XLOOKUP($L75,Specs!$A:$A,Specs!$C:$C,0)</f>
        <v>0</v>
      </c>
      <c r="V75" s="30">
        <f>( ((_xlfn.XLOOKUP($O75,Specs!$H:$H,Specs!$I:$I,0)*_xlfn.XLOOKUP($L75,Specs!$A:$A,Specs!$B:$B,0))/240) *_xlfn.XLOOKUP($H75,'Solid Mix In Nutrition'!A:A,'Solid Mix In Nutrition'!I:I,0)) *IF(AND(NOT($I75=0), COUNTA($I75)),0.5,1)</f>
        <v>0</v>
      </c>
      <c r="W75" s="30">
        <f>( ((_xlfn.XLOOKUP($O75,Specs!$H:$H,Specs!$I:$I,0)*_xlfn.XLOOKUP($L75,Specs!$A:$A,Specs!$B:$B,0))/240) *_xlfn.XLOOKUP($I75,'Solid Mix In Nutrition'!A:A,'Solid Mix In Nutrition'!I:I,0)) *IF(AND(NOT($I75=0), COUNTA($I75)),0.5,0)</f>
        <v>0</v>
      </c>
      <c r="X75" s="30">
        <f>_xlfn.XLOOKUP($P75,Specs!F:F,Specs!G:G,0)*_xlfn.XLOOKUP($J75,'Sweetener Mix In Nutrition'!A:A,'Sweetener Mix In Nutrition'!I:I,0)*_xlfn.XLOOKUP($L75,Specs!A:A,Specs!C:C,0)</f>
        <v>0</v>
      </c>
      <c r="Y75" s="30">
        <f>_xlfn.XLOOKUP($Q75,Specs!F:F,Specs!G:G,0)*_xlfn.XLOOKUP($K75,'Sweetener Mix In Nutrition'!A:A,'Sweetener Mix In Nutrition'!I:I,0)*_xlfn.XLOOKUP($L75,Specs!A:A,Specs!C:C,0)</f>
        <v>0</v>
      </c>
      <c r="Z75" s="34">
        <f t="shared" si="2"/>
        <v>0</v>
      </c>
      <c r="AA75" s="35">
        <f t="shared" si="3"/>
        <v>0</v>
      </c>
      <c r="AB75" s="36">
        <f>(($R75 / 240) * _xlfn.XLOOKUP($D75,'Milk Types Nutrition Per Cup'!A:A,'Milk Types Nutrition Per Cup'!B:B,0)) +(($S75 / 240)  * _xlfn.XLOOKUP($E75,'Milk Types Nutrition Per Cup'!A:A,'Milk Types Nutrition Per Cup'!B:B,0)) +(($T75 / 15)  * _xlfn.XLOOKUP($F75,'Liquid Mix In Nutrition'!A:A,'Liquid Mix In Nutrition'!B:B,0))+(($U75 / 15)  * _xlfn.XLOOKUP($G75,'Liquid Mix In Nutrition'!A:A,'Liquid Mix In Nutrition'!B:B,0))+(($V75 /MAX(1, _xlfn.XLOOKUP($H75,'Solid Mix In Nutrition'!A:A,'Solid Mix In Nutrition'!I:I,1)))  * _xlfn.XLOOKUP($H75,'Solid Mix In Nutrition'!A:A,'Solid Mix In Nutrition'!B:B,0))+(($W75 / MAX(1, _xlfn.XLOOKUP($I75,'Solid Mix In Nutrition'!A:A,'Solid Mix In Nutrition'!I:I,1))))+(($X75 / 100)  * _xlfn.XLOOKUP($J75,'Sweetener Mix In Nutrition'!A:A,'Sweetener Mix In Nutrition'!B:B,0))+(($Y75 / 100)  * _xlfn.XLOOKUP($K75,'Sweetener Mix In Nutrition'!A:A,'Sweetener Mix In Nutrition'!B:B,0))</f>
        <v>0</v>
      </c>
      <c r="AC75" s="36">
        <f>(($R75 / 240) * _xlfn.XLOOKUP($D75,'Milk Types Nutrition Per Cup'!A:A,'Milk Types Nutrition Per Cup'!E:E,0)) +(($S75 / 240)  * _xlfn.XLOOKUP($E75,'Milk Types Nutrition Per Cup'!A:A,'Milk Types Nutrition Per Cup'!E:E,0)) +(($T75 / 15)  * _xlfn.XLOOKUP($F75,'Liquid Mix In Nutrition'!A:A,'Liquid Mix In Nutrition'!E:E,0)) +(($U75 / 15)  * _xlfn.XLOOKUP($G75,'Liquid Mix In Nutrition'!A:A,'Liquid Mix In Nutrition'!E:E,0))+(($V75 / MAX(1, _xlfn.XLOOKUP($H75,'Solid Mix In Nutrition'!A:A,'Solid Mix In Nutrition'!I:I,1)))  * _xlfn.XLOOKUP($H75,'Solid Mix In Nutrition'!A:A,'Solid Mix In Nutrition'!E:E,0))+(($W75 / MAX(1, _xlfn.XLOOKUP($I75,'Solid Mix In Nutrition'!A:A,'Solid Mix In Nutrition'!I:I,1)))  * _xlfn.XLOOKUP($I75,'Solid Mix In Nutrition'!A:A,'Solid Mix In Nutrition'!G:G,0))+(($X75 / 100)  * _xlfn.XLOOKUP($J75,'Sweetener Mix In Nutrition'!A:A,'Sweetener Mix In Nutrition'!E:E,0))+(($Y75 / 100)  * _xlfn.XLOOKUP($K75,'Sweetener Mix In Nutrition'!A:A,'Sweetener Mix In Nutrition'!E:E,0))</f>
        <v>0</v>
      </c>
      <c r="AD75" s="36">
        <f>(($R75 / 240) * _xlfn.XLOOKUP($D75,'Milk Types Nutrition Per Cup'!A:A,'Milk Types Nutrition Per Cup'!E:E,0)) +(($S75 / 240)  * _xlfn.XLOOKUP($E75,'Milk Types Nutrition Per Cup'!A:A,'Milk Types Nutrition Per Cup'!E:E,0)) +(($T75 / 15)  * _xlfn.XLOOKUP($F75,'Liquid Mix In Nutrition'!A:A,'Liquid Mix In Nutrition'!E:E,0)) +(($U75 / 15)  * _xlfn.XLOOKUP($G75,'Liquid Mix In Nutrition'!A:A,'Liquid Mix In Nutrition'!E:E,0))+(($X75 / 100)  * _xlfn.XLOOKUP($J75,'Sweetener Mix In Nutrition'!A:A,'Sweetener Mix In Nutrition'!E:E,0))+(($Y75 / 100)  * _xlfn.XLOOKUP($K75,'Sweetener Mix In Nutrition'!A:A,'Sweetener Mix In Nutrition'!E:E,0))</f>
        <v>0</v>
      </c>
      <c r="AE75" s="37">
        <f>(($R75 / 240) * _xlfn.XLOOKUP($D75,'Milk Types Nutrition Per Cup'!A:A,'Milk Types Nutrition Per Cup'!C:C,0)) +(($S75 / 240)  * _xlfn.XLOOKUP($E75,'Milk Types Nutrition Per Cup'!A:A,'Milk Types Nutrition Per Cup'!C:C,0)) +(($T75 / 15)  * _xlfn.XLOOKUP($F75,'Liquid Mix In Nutrition'!A:A,'Liquid Mix In Nutrition'!C:C,0))+(($U75 / 15)  * _xlfn.XLOOKUP($G75,'Liquid Mix In Nutrition'!A:A,'Liquid Mix In Nutrition'!C:C,0))+(($V75 / MAX(1, _xlfn.XLOOKUP($H75,'Solid Mix In Nutrition'!A:A,'Solid Mix In Nutrition'!I:I,1)))  * _xlfn.XLOOKUP($H75,'Solid Mix In Nutrition'!A:A,'Solid Mix In Nutrition'!C:C,0))+(($W75 / MAX(1, _xlfn.XLOOKUP($I75,'Solid Mix In Nutrition'!A:A,'Solid Mix In Nutrition'!I:I,1)))  * _xlfn.XLOOKUP($I75,'Solid Mix In Nutrition'!A:A,'Solid Mix In Nutrition'!C:C,0))+(($X75 / 100)  * _xlfn.XLOOKUP($J75,'Sweetener Mix In Nutrition'!A:A,'Sweetener Mix In Nutrition'!C:C,0))+(($Y75 / 100)  * _xlfn.XLOOKUP($K75,'Sweetener Mix In Nutrition'!A:A,'Sweetener Mix In Nutrition'!C:C,0))</f>
        <v>0</v>
      </c>
      <c r="AF75" s="38" t="e">
        <f>$AE75 / (_xlfn.XLOOKUP($L75,Specs!A:A,Specs!B:B,0))</f>
        <v>#DIV/0!</v>
      </c>
      <c r="AG75" s="37" t="e">
        <f>60* ($AB75 / _xlfn.XLOOKUP($L75,Specs!A:A,Specs!B:B,0))</f>
        <v>#DIV/0!</v>
      </c>
      <c r="AH75" s="37" t="e">
        <f>60* (AC75 / _xlfn.XLOOKUP($L75,Specs!$A:$A,Specs!$B:$B,0))</f>
        <v>#DIV/0!</v>
      </c>
      <c r="AI75" s="37" t="e">
        <f>60* (AE75 / _xlfn.XLOOKUP($L75,Specs!$A:$A,Specs!$B:$B,0))</f>
        <v>#DIV/0!</v>
      </c>
      <c r="AJ75" s="39">
        <f>(($R75 / 240) * _xlfn.XLOOKUP($D75,'Milk Types Nutrition Per Cup'!A:A,'Milk Types Nutrition Per Cup'!F:F,0)) +(($S75 / 240)  * _xlfn.XLOOKUP($E75,'Milk Types Nutrition Per Cup'!A:A,'Milk Types Nutrition Per Cup'!F:F,0)) +(($T75 / 15)  * _xlfn.XLOOKUP($F75,'Liquid Mix In Nutrition'!A:A,'Liquid Mix In Nutrition'!F:F,0))+(($U75 / 15)  * _xlfn.XLOOKUP($G75,'Liquid Mix In Nutrition'!A:A,'Liquid Mix In Nutrition'!F:F,0))+(($V75 / MAX(1, _xlfn.XLOOKUP($H75,'Solid Mix In Nutrition'!A:A,'Solid Mix In Nutrition'!I:I,1)))  * _xlfn.XLOOKUP($H75,'Solid Mix In Nutrition'!A:A,'Solid Mix In Nutrition'!F:F,0))+(($W75 / MAX(1, _xlfn.XLOOKUP($I75,'Solid Mix In Nutrition'!A:A,'Solid Mix In Nutrition'!I:I,1)))  * _xlfn.XLOOKUP($I75,'Solid Mix In Nutrition'!A:A,'Solid Mix In Nutrition'!F:F,0))+(($X75 / 100)  * _xlfn.XLOOKUP($J75,'Sweetener Mix In Nutrition'!A:A,'Sweetener Mix In Nutrition'!F:F,0))+(($Y75 / 100)  * _xlfn.XLOOKUP($K75,'Sweetener Mix In Nutrition'!A:A,'Sweetener Mix In Nutrition'!F:F,0))</f>
        <v>0</v>
      </c>
      <c r="AK75" s="46">
        <f>[2]Sheet1!AG75</f>
        <v>0</v>
      </c>
      <c r="AL75" s="47"/>
      <c r="AM75" s="40">
        <f>IF(ISERROR(((AL75/Specs!$L$3)*Specs!$L$2)*2),0,ROUNDUP((((AL75/Specs!$L$3)*Specs!$L$2)*2),0))</f>
        <v>0</v>
      </c>
      <c r="AN75" s="48">
        <f>ROUNDUP(((AJ75+Specs!$R$2+Specs!$S$2+_xlfn.XLOOKUP($L75,Specs!A:A,Specs!V:V,0))*Specs!$N$2)+AM75,0)</f>
        <v>1</v>
      </c>
      <c r="AO75" s="40">
        <f>ROUNDUP(((AJ75+Specs!$R$2+Specs!$S$2+_xlfn.XLOOKUP($L75,Specs!A:A,Specs!V:V,0))*Specs!$N$2),0)</f>
        <v>1</v>
      </c>
      <c r="AP75" s="30"/>
    </row>
    <row r="76" spans="1:43" x14ac:dyDescent="0.25">
      <c r="A76" s="41" t="str">
        <f>_xlfn.CONCAT(_xlfn.XLOOKUP("What's Your Name?",[1]Sheet1!$1:$1,[1]Sheet1!76:76)," | ",TEXT(_xlfn.XLOOKUP("Completion time",[1]Sheet1!$1:$1,[1]Sheet1!76:76),"dddd, mmm dd, yyyy hh:mm AM/PM"))</f>
        <v xml:space="preserve"> | Saturday, Jan 00, 1900 12:00 AM</v>
      </c>
      <c r="B76" s="76">
        <f>_xlfn.XLOOKUP("What's Your Email Address?",[1]Sheet1!$1:$1,[1]Sheet1!76:76)</f>
        <v>0</v>
      </c>
      <c r="C76" s="31">
        <f>IF(ISBLANK(_xlfn.XLOOKUP("Which Flavor? (Pint Price | Quart Price | Half Gallon Price) (NOTE: Prices may fluctuate based on market conditions)",[1]Sheet1!$1:$1,[1]Sheet1!76:76)),_xlfn.XLOOKUP("Name Your Ice Cream!",[1]Sheet1!$1:$1,[1]Sheet1!76:76),IF(ISNUMBER(FIND("(", _xlfn.XLOOKUP("Which Flavor? (Pint Price | Quart Price | Half Gallon Price) (NOTE: Prices may fluctuate based on market conditions)",[1]Sheet1!$1:$1,[1]Sheet1!76:76))), LEFT(_xlfn.XLOOKUP("Which Flavor? (Pint Price | Quart Price | Half Gallon Price) (NOTE: Prices may fluctuate based on market conditions)",[1]Sheet1!$1:$1,[1]Sheet1!76:76), FIND("(", _xlfn.XLOOKUP("Which Flavor? (Pint Price | Quart Price | Half Gallon Price) (NOTE: Prices may fluctuate based on market conditions)",[1]Sheet1!$1:$1,[1]Sheet1!76:76)) - 1), _xlfn.XLOOKUP("Which Flavor? (Pint Price | Quart Price | Half Gallon Price) (NOTE: Prices may fluctuate based on market conditions)",[1]Sheet1!$1:$1,[1]Sheet1!76:76)))</f>
        <v>0</v>
      </c>
      <c r="D76" s="31">
        <f>IF(COUNTIF('Premade Flavors'!$A:$A, $C76) &gt; 0,IF(ISBLANK(_xlfn.XLOOKUP("What Ice Cream Base Do You Want To Change It To?",[1]Sheet1!$1:$1,[1]Sheet1!76:76)),_xlfn.XLOOKUP($C76,'Premade Flavors'!$A:$A,'Premade Flavors'!B:B),_xlfn.XLOOKUP("What Ice Cream Base Do You Want To Change It To?",[1]Sheet1!$1:$1,[1]Sheet1!76:76)),_xlfn.XLOOKUP(_xlfn.XLOOKUP("What Kind Of Ice Cream Base Do You Want? ",[1]Sheet1!$1:$1,[1]Sheet1!76:76),'Milk Types Nutrition Per Cup'!O:O,'Milk Types Nutrition Per Cup'!P:P,""))</f>
        <v>0</v>
      </c>
      <c r="E76" s="31">
        <f>IF(COUNTIF('Premade Flavors'!$A:$A, $C76) &gt; 0,IF(ISBLANK(_xlfn.XLOOKUP("What Ice Cream Base Do You Want To Change It To?",[1]Sheet1!$1:$1,[1]Sheet1!76:76)),_xlfn.XLOOKUP($C76,'Premade Flavors'!$A:$A,'Premade Flavors'!C:C),_xlfn.XLOOKUP("What Ice Cream Base Do You Want To Change It To?",[1]Sheet1!$1:$1,[1]Sheet1!76:76)),_xlfn.XLOOKUP(_xlfn.XLOOKUP("What Kind Of Ice Cream Base Do You Want? ",[1]Sheet1!$1:$1,[1]Sheet1!76:76),'Milk Types Nutrition Per Cup'!$O:$O,'Milk Types Nutrition Per Cup'!$Q:$Q,""))</f>
        <v>0</v>
      </c>
      <c r="F76" s="31">
        <f>IF(COUNTIF('Premade Flavors'!$A:$A, $C76) &gt; 0,_xlfn.XLOOKUP($C76,'Premade Flavors'!$A:$A,'Premade Flavors'!E:E),_xlfn.XLOOKUP("What's The First Flavor You Want? ",[1]Sheet1!$1:$1,[1]Sheet1!76:76))</f>
        <v>0</v>
      </c>
      <c r="G76" s="31">
        <f>IF(COUNTIF('Premade Flavors'!$A:$A, $C76) &gt; 0,_xlfn.XLOOKUP($C76,'Premade Flavors'!$A:$A,'Premade Flavors'!F:F),_xlfn.XLOOKUP("What's the Second Flavor You Want?",[1]Sheet1!$1:$1,[1]Sheet1!76:76))</f>
        <v>0</v>
      </c>
      <c r="H76" s="31">
        <f>IF(COUNTIF('Premade Flavors'!$A:$A, $C76) &gt; 0,_xlfn.XLOOKUP($C76,'Premade Flavors'!$A:$A,'Premade Flavors'!G:G),_xlfn.XLOOKUP("What's The First Mix In That You Want? ",[1]Sheet1!$1:$1,[1]Sheet1!76:76))</f>
        <v>0</v>
      </c>
      <c r="I76" s="31">
        <f>IF(COUNTIF('Premade Flavors'!$A:$A, $C76) &gt; 0,_xlfn.XLOOKUP($C76,'Premade Flavors'!$A:$A,'Premade Flavors'!H:H),_xlfn.XLOOKUP("What's The Second Mix In That You Want? ",[1]Sheet1!$1:$1,[1]Sheet1!76:76))</f>
        <v>0</v>
      </c>
      <c r="J76" s="31">
        <f>IF(COUNTIF('Premade Flavors'!$A:$A,$C76)&gt;0,IF(_xlfn.XLOOKUP("Should It Use Sugar or A Non-Sugar Sweetner?",[1]Sheet1!$1:$1,[1]Sheet1!76:76)="Sugar",_xlfn.XLOOKUP($C76,'Premade Flavors'!$A:$A,'Premade Flavors'!I:I),"Stevia"),_xlfn.XLOOKUP("What Sweetner Do You Want?",[1]Sheet1!$1:$1,[1]Sheet1!76:76))</f>
        <v>0</v>
      </c>
      <c r="K76" s="31"/>
      <c r="L76" s="77">
        <f>_xlfn.XLOOKUP("How Much Ice Cream Do You Want?",[1]Sheet1!$1:$1,[1]Sheet1!76:76)</f>
        <v>0</v>
      </c>
      <c r="M76" s="45">
        <f>IF(COUNTIF('Premade Flavors'!$A:$A, $C76) &gt; 0,_xlfn.XLOOKUP($C76,'Premade Flavors'!$A:$A,'Premade Flavors'!M:M),_xlfn.XLOOKUP("How Strong Do You Want The First Flavor?",[1]Sheet1!$1:$1,[1]Sheet1!76:76))</f>
        <v>0</v>
      </c>
      <c r="N76" s="45">
        <f>IF(COUNTIF('Premade Flavors'!$A:$A, $C76) &gt; 0,_xlfn.XLOOKUP($C76,'Premade Flavors'!$A:$A,'Premade Flavors'!N:N),_xlfn.XLOOKUP("How Strong Do You Want The Second Flavor?",[1]Sheet1!$1:$1,[1]Sheet1!76:76))</f>
        <v>0</v>
      </c>
      <c r="O76" s="45">
        <f>IF(COUNTIF('Premade Flavors'!$A:$A, $C76) &gt; 0,_xlfn.XLOOKUP($C76,'Premade Flavors'!$A:$A,'Premade Flavors'!O:O),_xlfn.XLOOKUP("How Dense Should the Mix Ins Be?",[1]Sheet1!$1:$1,[1]Sheet1!76:76))</f>
        <v>0</v>
      </c>
      <c r="P76" s="45">
        <f>IF(COUNTIF('Premade Flavors'!$A:$A, $C76) &gt; 0,_xlfn.XLOOKUP($C76,'Premade Flavors'!$A:$A,'Premade Flavors'!P:P),_xlfn.XLOOKUP("How Much Of The First Sweetner? ",[1]Sheet1!$1:$1,[1]Sheet1!76:76))</f>
        <v>0</v>
      </c>
      <c r="Q76" s="45">
        <f>IF(COUNTIF('Premade Flavors'!$A:$A, $C76) &gt; 0,_xlfn.XLOOKUP($C76,'Premade Flavors'!$A:$A,'Premade Flavors'!Q:Q),[2]Sheet1!S76)</f>
        <v>0</v>
      </c>
      <c r="R76" s="30">
        <f>(_xlfn.XLOOKUP($L76,Specs!A:A,Specs!B:B,0)-(IF(_xlfn.XLOOKUP($F76,'Liquid Mix In Nutrition'!A:A,'Liquid Mix In Nutrition'!J:J,0)="Yes",0,$T76))-(IF(_xlfn.XLOOKUP($G76,'Liquid Mix In Nutrition'!A:A,'Liquid Mix In Nutrition'!J:J,0)="Yes",0,$U76))-(($V76/MAX(1,_xlfn.XLOOKUP($H76,'Solid Mix In Nutrition'!A:A,'Solid Mix In Nutrition'!I:I,1)))*240)-(($W76/MAX(1,_xlfn.XLOOKUP($I76,'Solid Mix In Nutrition'!A:A,'Solid Mix In Nutrition'!I:I,1)))*240))*0.66</f>
        <v>0</v>
      </c>
      <c r="S76" s="30">
        <f>(_xlfn.XLOOKUP($L76,Specs!A:A,Specs!B:B,0)-(IF(_xlfn.XLOOKUP($F76,'Liquid Mix In Nutrition'!A:A,'Liquid Mix In Nutrition'!J:J,0)="Yes",0,$T76))-(IF(_xlfn.XLOOKUP($G76,'Liquid Mix In Nutrition'!A:A,'Liquid Mix In Nutrition'!J:J,0)="Yes",0,$U76))-(($V76/MAX(1,_xlfn.XLOOKUP($H76,'Solid Mix In Nutrition'!A:A,'Solid Mix In Nutrition'!I:I,1)))*240)-(($W76/MAX(1,_xlfn.XLOOKUP($I76,'Solid Mix In Nutrition'!A:A,'Solid Mix In Nutrition'!I:I,1)))*240))*0.33</f>
        <v>0</v>
      </c>
      <c r="T76" s="30">
        <f>_xlfn.XLOOKUP($M76,Specs!$D:$D,Specs!$E:$E,0)*15*_xlfn.XLOOKUP($L76,Specs!$A:$A,Specs!$C:$C,0)</f>
        <v>0</v>
      </c>
      <c r="U76" s="30">
        <f>_xlfn.XLOOKUP($N76,Specs!$D:$D,Specs!$E:$E,0)*15*_xlfn.XLOOKUP($L76,Specs!$A:$A,Specs!$C:$C,0)</f>
        <v>0</v>
      </c>
      <c r="V76" s="30">
        <f>( ((_xlfn.XLOOKUP($O76,Specs!$H:$H,Specs!$I:$I,0)*_xlfn.XLOOKUP($L76,Specs!$A:$A,Specs!$B:$B,0))/240) *_xlfn.XLOOKUP($H76,'Solid Mix In Nutrition'!A:A,'Solid Mix In Nutrition'!I:I,0)) *IF(AND(NOT($I76=0), COUNTA($I76)),0.5,1)</f>
        <v>0</v>
      </c>
      <c r="W76" s="30">
        <f>( ((_xlfn.XLOOKUP($O76,Specs!$H:$H,Specs!$I:$I,0)*_xlfn.XLOOKUP($L76,Specs!$A:$A,Specs!$B:$B,0))/240) *_xlfn.XLOOKUP($I76,'Solid Mix In Nutrition'!A:A,'Solid Mix In Nutrition'!I:I,0)) *IF(AND(NOT($I76=0), COUNTA($I76)),0.5,0)</f>
        <v>0</v>
      </c>
      <c r="X76" s="30">
        <f>_xlfn.XLOOKUP($P76,Specs!F:F,Specs!G:G,0)*_xlfn.XLOOKUP($J76,'Sweetener Mix In Nutrition'!A:A,'Sweetener Mix In Nutrition'!I:I,0)*_xlfn.XLOOKUP($L76,Specs!A:A,Specs!C:C,0)</f>
        <v>0</v>
      </c>
      <c r="Y76" s="30">
        <f>_xlfn.XLOOKUP($Q76,Specs!F:F,Specs!G:G,0)*_xlfn.XLOOKUP($K76,'Sweetener Mix In Nutrition'!A:A,'Sweetener Mix In Nutrition'!I:I,0)*_xlfn.XLOOKUP($L76,Specs!A:A,Specs!C:C,0)</f>
        <v>0</v>
      </c>
      <c r="Z76" s="34">
        <f t="shared" si="2"/>
        <v>0</v>
      </c>
      <c r="AA76" s="35">
        <f t="shared" si="3"/>
        <v>0</v>
      </c>
      <c r="AB76" s="36">
        <f>(($R76 / 240) * _xlfn.XLOOKUP($D76,'Milk Types Nutrition Per Cup'!A:A,'Milk Types Nutrition Per Cup'!B:B,0)) +(($S76 / 240)  * _xlfn.XLOOKUP($E76,'Milk Types Nutrition Per Cup'!A:A,'Milk Types Nutrition Per Cup'!B:B,0)) +(($T76 / 15)  * _xlfn.XLOOKUP($F76,'Liquid Mix In Nutrition'!A:A,'Liquid Mix In Nutrition'!B:B,0))+(($U76 / 15)  * _xlfn.XLOOKUP($G76,'Liquid Mix In Nutrition'!A:A,'Liquid Mix In Nutrition'!B:B,0))+(($V76 /MAX(1, _xlfn.XLOOKUP($H76,'Solid Mix In Nutrition'!A:A,'Solid Mix In Nutrition'!I:I,1)))  * _xlfn.XLOOKUP($H76,'Solid Mix In Nutrition'!A:A,'Solid Mix In Nutrition'!B:B,0))+(($W76 / MAX(1, _xlfn.XLOOKUP($I76,'Solid Mix In Nutrition'!A:A,'Solid Mix In Nutrition'!I:I,1))))+(($X76 / 100)  * _xlfn.XLOOKUP($J76,'Sweetener Mix In Nutrition'!A:A,'Sweetener Mix In Nutrition'!B:B,0))+(($Y76 / 100)  * _xlfn.XLOOKUP($K76,'Sweetener Mix In Nutrition'!A:A,'Sweetener Mix In Nutrition'!B:B,0))</f>
        <v>0</v>
      </c>
      <c r="AC76" s="36">
        <f>(($R76 / 240) * _xlfn.XLOOKUP($D76,'Milk Types Nutrition Per Cup'!A:A,'Milk Types Nutrition Per Cup'!E:E,0)) +(($S76 / 240)  * _xlfn.XLOOKUP($E76,'Milk Types Nutrition Per Cup'!A:A,'Milk Types Nutrition Per Cup'!E:E,0)) +(($T76 / 15)  * _xlfn.XLOOKUP($F76,'Liquid Mix In Nutrition'!A:A,'Liquid Mix In Nutrition'!E:E,0)) +(($U76 / 15)  * _xlfn.XLOOKUP($G76,'Liquid Mix In Nutrition'!A:A,'Liquid Mix In Nutrition'!E:E,0))+(($V76 / MAX(1, _xlfn.XLOOKUP($H76,'Solid Mix In Nutrition'!A:A,'Solid Mix In Nutrition'!I:I,1)))  * _xlfn.XLOOKUP($H76,'Solid Mix In Nutrition'!A:A,'Solid Mix In Nutrition'!E:E,0))+(($W76 / MAX(1, _xlfn.XLOOKUP($I76,'Solid Mix In Nutrition'!A:A,'Solid Mix In Nutrition'!I:I,1)))  * _xlfn.XLOOKUP($I76,'Solid Mix In Nutrition'!A:A,'Solid Mix In Nutrition'!G:G,0))+(($X76 / 100)  * _xlfn.XLOOKUP($J76,'Sweetener Mix In Nutrition'!A:A,'Sweetener Mix In Nutrition'!E:E,0))+(($Y76 / 100)  * _xlfn.XLOOKUP($K76,'Sweetener Mix In Nutrition'!A:A,'Sweetener Mix In Nutrition'!E:E,0))</f>
        <v>0</v>
      </c>
      <c r="AD76" s="36">
        <f>(($R76 / 240) * _xlfn.XLOOKUP($D76,'Milk Types Nutrition Per Cup'!A:A,'Milk Types Nutrition Per Cup'!E:E,0)) +(($S76 / 240)  * _xlfn.XLOOKUP($E76,'Milk Types Nutrition Per Cup'!A:A,'Milk Types Nutrition Per Cup'!E:E,0)) +(($T76 / 15)  * _xlfn.XLOOKUP($F76,'Liquid Mix In Nutrition'!A:A,'Liquid Mix In Nutrition'!E:E,0)) +(($U76 / 15)  * _xlfn.XLOOKUP($G76,'Liquid Mix In Nutrition'!A:A,'Liquid Mix In Nutrition'!E:E,0))+(($X76 / 100)  * _xlfn.XLOOKUP($J76,'Sweetener Mix In Nutrition'!A:A,'Sweetener Mix In Nutrition'!E:E,0))+(($Y76 / 100)  * _xlfn.XLOOKUP($K76,'Sweetener Mix In Nutrition'!A:A,'Sweetener Mix In Nutrition'!E:E,0))</f>
        <v>0</v>
      </c>
      <c r="AE76" s="37">
        <f>(($R76 / 240) * _xlfn.XLOOKUP($D76,'Milk Types Nutrition Per Cup'!A:A,'Milk Types Nutrition Per Cup'!C:C,0)) +(($S76 / 240)  * _xlfn.XLOOKUP($E76,'Milk Types Nutrition Per Cup'!A:A,'Milk Types Nutrition Per Cup'!C:C,0)) +(($T76 / 15)  * _xlfn.XLOOKUP($F76,'Liquid Mix In Nutrition'!A:A,'Liquid Mix In Nutrition'!C:C,0))+(($U76 / 15)  * _xlfn.XLOOKUP($G76,'Liquid Mix In Nutrition'!A:A,'Liquid Mix In Nutrition'!C:C,0))+(($V76 / MAX(1, _xlfn.XLOOKUP($H76,'Solid Mix In Nutrition'!A:A,'Solid Mix In Nutrition'!I:I,1)))  * _xlfn.XLOOKUP($H76,'Solid Mix In Nutrition'!A:A,'Solid Mix In Nutrition'!C:C,0))+(($W76 / MAX(1, _xlfn.XLOOKUP($I76,'Solid Mix In Nutrition'!A:A,'Solid Mix In Nutrition'!I:I,1)))  * _xlfn.XLOOKUP($I76,'Solid Mix In Nutrition'!A:A,'Solid Mix In Nutrition'!C:C,0))+(($X76 / 100)  * _xlfn.XLOOKUP($J76,'Sweetener Mix In Nutrition'!A:A,'Sweetener Mix In Nutrition'!C:C,0))+(($Y76 / 100)  * _xlfn.XLOOKUP($K76,'Sweetener Mix In Nutrition'!A:A,'Sweetener Mix In Nutrition'!C:C,0))</f>
        <v>0</v>
      </c>
      <c r="AF76" s="38" t="e">
        <f>$AE76 / (_xlfn.XLOOKUP($L76,Specs!A:A,Specs!B:B,0))</f>
        <v>#DIV/0!</v>
      </c>
      <c r="AG76" s="37" t="e">
        <f>60* ($AB76 / _xlfn.XLOOKUP($L76,Specs!A:A,Specs!B:B,0))</f>
        <v>#DIV/0!</v>
      </c>
      <c r="AH76" s="37" t="e">
        <f>60* (AC76 / _xlfn.XLOOKUP($L76,Specs!$A:$A,Specs!$B:$B,0))</f>
        <v>#DIV/0!</v>
      </c>
      <c r="AI76" s="37" t="e">
        <f>60* (AE76 / _xlfn.XLOOKUP($L76,Specs!$A:$A,Specs!$B:$B,0))</f>
        <v>#DIV/0!</v>
      </c>
      <c r="AJ76" s="39">
        <f>(($R76 / 240) * _xlfn.XLOOKUP($D76,'Milk Types Nutrition Per Cup'!A:A,'Milk Types Nutrition Per Cup'!F:F,0)) +(($S76 / 240)  * _xlfn.XLOOKUP($E76,'Milk Types Nutrition Per Cup'!A:A,'Milk Types Nutrition Per Cup'!F:F,0)) +(($T76 / 15)  * _xlfn.XLOOKUP($F76,'Liquid Mix In Nutrition'!A:A,'Liquid Mix In Nutrition'!F:F,0))+(($U76 / 15)  * _xlfn.XLOOKUP($G76,'Liquid Mix In Nutrition'!A:A,'Liquid Mix In Nutrition'!F:F,0))+(($V76 / MAX(1, _xlfn.XLOOKUP($H76,'Solid Mix In Nutrition'!A:A,'Solid Mix In Nutrition'!I:I,1)))  * _xlfn.XLOOKUP($H76,'Solid Mix In Nutrition'!A:A,'Solid Mix In Nutrition'!F:F,0))+(($W76 / MAX(1, _xlfn.XLOOKUP($I76,'Solid Mix In Nutrition'!A:A,'Solid Mix In Nutrition'!I:I,1)))  * _xlfn.XLOOKUP($I76,'Solid Mix In Nutrition'!A:A,'Solid Mix In Nutrition'!F:F,0))+(($X76 / 100)  * _xlfn.XLOOKUP($J76,'Sweetener Mix In Nutrition'!A:A,'Sweetener Mix In Nutrition'!F:F,0))+(($Y76 / 100)  * _xlfn.XLOOKUP($K76,'Sweetener Mix In Nutrition'!A:A,'Sweetener Mix In Nutrition'!F:F,0))</f>
        <v>0</v>
      </c>
      <c r="AK76" s="46">
        <f>[2]Sheet1!AG76</f>
        <v>0</v>
      </c>
      <c r="AL76" s="47"/>
      <c r="AM76" s="40">
        <f>IF(ISERROR(((AL76/Specs!$L$3)*Specs!$L$2)*2),0,ROUNDUP((((AL76/Specs!$L$3)*Specs!$L$2)*2),0))</f>
        <v>0</v>
      </c>
      <c r="AN76" s="48">
        <f>ROUNDUP(((AJ76+Specs!$R$2+Specs!$S$2+_xlfn.XLOOKUP($L76,Specs!A:A,Specs!V:V,0))*Specs!$N$2)+AM76,0)</f>
        <v>1</v>
      </c>
      <c r="AO76" s="40">
        <f>ROUNDUP(((AJ76+Specs!$R$2+Specs!$S$2+_xlfn.XLOOKUP($L76,Specs!A:A,Specs!V:V,0))*Specs!$N$2),0)</f>
        <v>1</v>
      </c>
      <c r="AP76" s="30"/>
    </row>
    <row r="77" spans="1:43" x14ac:dyDescent="0.25">
      <c r="A77" s="41" t="str">
        <f>_xlfn.CONCAT(_xlfn.XLOOKUP("What's Your Name?",[1]Sheet1!$1:$1,[1]Sheet1!77:77)," | ",TEXT(_xlfn.XLOOKUP("Completion time",[1]Sheet1!$1:$1,[1]Sheet1!77:77),"dddd, mmm dd, yyyy hh:mm AM/PM"))</f>
        <v xml:space="preserve"> | Saturday, Jan 00, 1900 12:00 AM</v>
      </c>
      <c r="B77" s="76">
        <f>_xlfn.XLOOKUP("What's Your Email Address?",[1]Sheet1!$1:$1,[1]Sheet1!77:77)</f>
        <v>0</v>
      </c>
      <c r="C77" s="31">
        <f>IF(ISBLANK(_xlfn.XLOOKUP("Which Flavor? (Pint Price | Quart Price | Half Gallon Price) (NOTE: Prices may fluctuate based on market conditions)",[1]Sheet1!$1:$1,[1]Sheet1!77:77)),_xlfn.XLOOKUP("Name Your Ice Cream!",[1]Sheet1!$1:$1,[1]Sheet1!77:77),IF(ISNUMBER(FIND("(", _xlfn.XLOOKUP("Which Flavor? (Pint Price | Quart Price | Half Gallon Price) (NOTE: Prices may fluctuate based on market conditions)",[1]Sheet1!$1:$1,[1]Sheet1!77:77))), LEFT(_xlfn.XLOOKUP("Which Flavor? (Pint Price | Quart Price | Half Gallon Price) (NOTE: Prices may fluctuate based on market conditions)",[1]Sheet1!$1:$1,[1]Sheet1!77:77), FIND("(", _xlfn.XLOOKUP("Which Flavor? (Pint Price | Quart Price | Half Gallon Price) (NOTE: Prices may fluctuate based on market conditions)",[1]Sheet1!$1:$1,[1]Sheet1!77:77)) - 1), _xlfn.XLOOKUP("Which Flavor? (Pint Price | Quart Price | Half Gallon Price) (NOTE: Prices may fluctuate based on market conditions)",[1]Sheet1!$1:$1,[1]Sheet1!77:77)))</f>
        <v>0</v>
      </c>
      <c r="D77" s="31">
        <f>IF(COUNTIF('Premade Flavors'!$A:$A, $C77) &gt; 0,IF(ISBLANK(_xlfn.XLOOKUP("What Ice Cream Base Do You Want To Change It To?",[1]Sheet1!$1:$1,[1]Sheet1!77:77)),_xlfn.XLOOKUP($C77,'Premade Flavors'!$A:$A,'Premade Flavors'!B:B),_xlfn.XLOOKUP("What Ice Cream Base Do You Want To Change It To?",[1]Sheet1!$1:$1,[1]Sheet1!77:77)),_xlfn.XLOOKUP(_xlfn.XLOOKUP("What Kind Of Ice Cream Base Do You Want? ",[1]Sheet1!$1:$1,[1]Sheet1!77:77),'Milk Types Nutrition Per Cup'!O:O,'Milk Types Nutrition Per Cup'!P:P,""))</f>
        <v>0</v>
      </c>
      <c r="E77" s="31">
        <f>IF(COUNTIF('Premade Flavors'!$A:$A, $C77) &gt; 0,IF(ISBLANK(_xlfn.XLOOKUP("What Ice Cream Base Do You Want To Change It To?",[1]Sheet1!$1:$1,[1]Sheet1!77:77)),_xlfn.XLOOKUP($C77,'Premade Flavors'!$A:$A,'Premade Flavors'!C:C),_xlfn.XLOOKUP("What Ice Cream Base Do You Want To Change It To?",[1]Sheet1!$1:$1,[1]Sheet1!77:77)),_xlfn.XLOOKUP(_xlfn.XLOOKUP("What Kind Of Ice Cream Base Do You Want? ",[1]Sheet1!$1:$1,[1]Sheet1!77:77),'Milk Types Nutrition Per Cup'!$O:$O,'Milk Types Nutrition Per Cup'!$Q:$Q,""))</f>
        <v>0</v>
      </c>
      <c r="F77" s="31">
        <f>IF(COUNTIF('Premade Flavors'!$A:$A, $C77) &gt; 0,_xlfn.XLOOKUP($C77,'Premade Flavors'!$A:$A,'Premade Flavors'!E:E),_xlfn.XLOOKUP("What's The First Flavor You Want? ",[1]Sheet1!$1:$1,[1]Sheet1!77:77))</f>
        <v>0</v>
      </c>
      <c r="G77" s="31">
        <f>IF(COUNTIF('Premade Flavors'!$A:$A, $C77) &gt; 0,_xlfn.XLOOKUP($C77,'Premade Flavors'!$A:$A,'Premade Flavors'!F:F),_xlfn.XLOOKUP("What's the Second Flavor You Want?",[1]Sheet1!$1:$1,[1]Sheet1!77:77))</f>
        <v>0</v>
      </c>
      <c r="H77" s="31">
        <f>IF(COUNTIF('Premade Flavors'!$A:$A, $C77) &gt; 0,_xlfn.XLOOKUP($C77,'Premade Flavors'!$A:$A,'Premade Flavors'!G:G),_xlfn.XLOOKUP("What's The First Mix In That You Want? ",[1]Sheet1!$1:$1,[1]Sheet1!77:77))</f>
        <v>0</v>
      </c>
      <c r="I77" s="31">
        <f>IF(COUNTIF('Premade Flavors'!$A:$A, $C77) &gt; 0,_xlfn.XLOOKUP($C77,'Premade Flavors'!$A:$A,'Premade Flavors'!H:H),_xlfn.XLOOKUP("What's The Second Mix In That You Want? ",[1]Sheet1!$1:$1,[1]Sheet1!77:77))</f>
        <v>0</v>
      </c>
      <c r="J77" s="31">
        <f>IF(COUNTIF('Premade Flavors'!$A:$A,$C77)&gt;0,IF(_xlfn.XLOOKUP("Should It Use Sugar or A Non-Sugar Sweetner?",[1]Sheet1!$1:$1,[1]Sheet1!77:77)="Sugar",_xlfn.XLOOKUP($C77,'Premade Flavors'!$A:$A,'Premade Flavors'!I:I),"Stevia"),_xlfn.XLOOKUP("What Sweetner Do You Want?",[1]Sheet1!$1:$1,[1]Sheet1!77:77))</f>
        <v>0</v>
      </c>
      <c r="K77" s="31"/>
      <c r="L77" s="77">
        <f>_xlfn.XLOOKUP("How Much Ice Cream Do You Want?",[1]Sheet1!$1:$1,[1]Sheet1!77:77)</f>
        <v>0</v>
      </c>
      <c r="M77" s="45">
        <f>IF(COUNTIF('Premade Flavors'!$A:$A, $C77) &gt; 0,_xlfn.XLOOKUP($C77,'Premade Flavors'!$A:$A,'Premade Flavors'!M:M),_xlfn.XLOOKUP("How Strong Do You Want The First Flavor?",[1]Sheet1!$1:$1,[1]Sheet1!77:77))</f>
        <v>0</v>
      </c>
      <c r="N77" s="45">
        <f>IF(COUNTIF('Premade Flavors'!$A:$A, $C77) &gt; 0,_xlfn.XLOOKUP($C77,'Premade Flavors'!$A:$A,'Premade Flavors'!N:N),_xlfn.XLOOKUP("How Strong Do You Want The Second Flavor?",[1]Sheet1!$1:$1,[1]Sheet1!77:77))</f>
        <v>0</v>
      </c>
      <c r="O77" s="45">
        <f>IF(COUNTIF('Premade Flavors'!$A:$A, $C77) &gt; 0,_xlfn.XLOOKUP($C77,'Premade Flavors'!$A:$A,'Premade Flavors'!O:O),_xlfn.XLOOKUP("How Dense Should the Mix Ins Be?",[1]Sheet1!$1:$1,[1]Sheet1!77:77))</f>
        <v>0</v>
      </c>
      <c r="P77" s="45">
        <f>IF(COUNTIF('Premade Flavors'!$A:$A, $C77) &gt; 0,_xlfn.XLOOKUP($C77,'Premade Flavors'!$A:$A,'Premade Flavors'!P:P),_xlfn.XLOOKUP("How Much Of The First Sweetner? ",[1]Sheet1!$1:$1,[1]Sheet1!77:77))</f>
        <v>0</v>
      </c>
      <c r="Q77" s="45">
        <f>IF(COUNTIF('Premade Flavors'!$A:$A, $C77) &gt; 0,_xlfn.XLOOKUP($C77,'Premade Flavors'!$A:$A,'Premade Flavors'!Q:Q),[2]Sheet1!S77)</f>
        <v>0</v>
      </c>
      <c r="R77" s="30">
        <f>(_xlfn.XLOOKUP($L77,Specs!A:A,Specs!B:B,0)-(IF(_xlfn.XLOOKUP($F77,'Liquid Mix In Nutrition'!A:A,'Liquid Mix In Nutrition'!J:J,0)="Yes",0,$T77))-(IF(_xlfn.XLOOKUP($G77,'Liquid Mix In Nutrition'!A:A,'Liquid Mix In Nutrition'!J:J,0)="Yes",0,$U77))-(($V77/MAX(1,_xlfn.XLOOKUP($H77,'Solid Mix In Nutrition'!A:A,'Solid Mix In Nutrition'!I:I,1)))*240)-(($W77/MAX(1,_xlfn.XLOOKUP($I77,'Solid Mix In Nutrition'!A:A,'Solid Mix In Nutrition'!I:I,1)))*240))*0.66</f>
        <v>0</v>
      </c>
      <c r="S77" s="30">
        <f>(_xlfn.XLOOKUP($L77,Specs!A:A,Specs!B:B,0)-(IF(_xlfn.XLOOKUP($F77,'Liquid Mix In Nutrition'!A:A,'Liquid Mix In Nutrition'!J:J,0)="Yes",0,$T77))-(IF(_xlfn.XLOOKUP($G77,'Liquid Mix In Nutrition'!A:A,'Liquid Mix In Nutrition'!J:J,0)="Yes",0,$U77))-(($V77/MAX(1,_xlfn.XLOOKUP($H77,'Solid Mix In Nutrition'!A:A,'Solid Mix In Nutrition'!I:I,1)))*240)-(($W77/MAX(1,_xlfn.XLOOKUP($I77,'Solid Mix In Nutrition'!A:A,'Solid Mix In Nutrition'!I:I,1)))*240))*0.33</f>
        <v>0</v>
      </c>
      <c r="T77" s="30">
        <f>_xlfn.XLOOKUP($M77,Specs!$D:$D,Specs!$E:$E,0)*15*_xlfn.XLOOKUP($L77,Specs!$A:$A,Specs!$C:$C,0)</f>
        <v>0</v>
      </c>
      <c r="U77" s="30">
        <f>_xlfn.XLOOKUP($N77,Specs!$D:$D,Specs!$E:$E,0)*15*_xlfn.XLOOKUP($L77,Specs!$A:$A,Specs!$C:$C,0)</f>
        <v>0</v>
      </c>
      <c r="V77" s="30">
        <f>( ((_xlfn.XLOOKUP($O77,Specs!$H:$H,Specs!$I:$I,0)*_xlfn.XLOOKUP($L77,Specs!$A:$A,Specs!$B:$B,0))/240) *_xlfn.XLOOKUP($H77,'Solid Mix In Nutrition'!A:A,'Solid Mix In Nutrition'!I:I,0)) *IF(AND(NOT($I77=0), COUNTA($I77)),0.5,1)</f>
        <v>0</v>
      </c>
      <c r="W77" s="30">
        <f>( ((_xlfn.XLOOKUP($O77,Specs!$H:$H,Specs!$I:$I,0)*_xlfn.XLOOKUP($L77,Specs!$A:$A,Specs!$B:$B,0))/240) *_xlfn.XLOOKUP($I77,'Solid Mix In Nutrition'!A:A,'Solid Mix In Nutrition'!I:I,0)) *IF(AND(NOT($I77=0), COUNTA($I77)),0.5,0)</f>
        <v>0</v>
      </c>
      <c r="X77" s="30">
        <f>_xlfn.XLOOKUP($P77,Specs!F:F,Specs!G:G,0)*_xlfn.XLOOKUP($J77,'Sweetener Mix In Nutrition'!A:A,'Sweetener Mix In Nutrition'!I:I,0)*_xlfn.XLOOKUP($L77,Specs!A:A,Specs!C:C,0)</f>
        <v>0</v>
      </c>
      <c r="Y77" s="30">
        <f>_xlfn.XLOOKUP($Q77,Specs!F:F,Specs!G:G,0)*_xlfn.XLOOKUP($K77,'Sweetener Mix In Nutrition'!A:A,'Sweetener Mix In Nutrition'!I:I,0)*_xlfn.XLOOKUP($L77,Specs!A:A,Specs!C:C,0)</f>
        <v>0</v>
      </c>
      <c r="Z77" s="34">
        <f t="shared" si="2"/>
        <v>0</v>
      </c>
      <c r="AA77" s="35">
        <f t="shared" si="3"/>
        <v>0</v>
      </c>
      <c r="AB77" s="36">
        <f>(($R77 / 240) * _xlfn.XLOOKUP($D77,'Milk Types Nutrition Per Cup'!A:A,'Milk Types Nutrition Per Cup'!B:B,0)) +(($S77 / 240)  * _xlfn.XLOOKUP($E77,'Milk Types Nutrition Per Cup'!A:A,'Milk Types Nutrition Per Cup'!B:B,0)) +(($T77 / 15)  * _xlfn.XLOOKUP($F77,'Liquid Mix In Nutrition'!A:A,'Liquid Mix In Nutrition'!B:B,0))+(($U77 / 15)  * _xlfn.XLOOKUP($G77,'Liquid Mix In Nutrition'!A:A,'Liquid Mix In Nutrition'!B:B,0))+(($V77 /MAX(1, _xlfn.XLOOKUP($H77,'Solid Mix In Nutrition'!A:A,'Solid Mix In Nutrition'!I:I,1)))  * _xlfn.XLOOKUP($H77,'Solid Mix In Nutrition'!A:A,'Solid Mix In Nutrition'!B:B,0))+(($W77 / MAX(1, _xlfn.XLOOKUP($I77,'Solid Mix In Nutrition'!A:A,'Solid Mix In Nutrition'!I:I,1))))+(($X77 / 100)  * _xlfn.XLOOKUP($J77,'Sweetener Mix In Nutrition'!A:A,'Sweetener Mix In Nutrition'!B:B,0))+(($Y77 / 100)  * _xlfn.XLOOKUP($K77,'Sweetener Mix In Nutrition'!A:A,'Sweetener Mix In Nutrition'!B:B,0))</f>
        <v>0</v>
      </c>
      <c r="AC77" s="36">
        <f>(($R77 / 240) * _xlfn.XLOOKUP($D77,'Milk Types Nutrition Per Cup'!A:A,'Milk Types Nutrition Per Cup'!E:E,0)) +(($S77 / 240)  * _xlfn.XLOOKUP($E77,'Milk Types Nutrition Per Cup'!A:A,'Milk Types Nutrition Per Cup'!E:E,0)) +(($T77 / 15)  * _xlfn.XLOOKUP($F77,'Liquid Mix In Nutrition'!A:A,'Liquid Mix In Nutrition'!E:E,0)) +(($U77 / 15)  * _xlfn.XLOOKUP($G77,'Liquid Mix In Nutrition'!A:A,'Liquid Mix In Nutrition'!E:E,0))+(($V77 / MAX(1, _xlfn.XLOOKUP($H77,'Solid Mix In Nutrition'!A:A,'Solid Mix In Nutrition'!I:I,1)))  * _xlfn.XLOOKUP($H77,'Solid Mix In Nutrition'!A:A,'Solid Mix In Nutrition'!E:E,0))+(($W77 / MAX(1, _xlfn.XLOOKUP($I77,'Solid Mix In Nutrition'!A:A,'Solid Mix In Nutrition'!I:I,1)))  * _xlfn.XLOOKUP($I77,'Solid Mix In Nutrition'!A:A,'Solid Mix In Nutrition'!G:G,0))+(($X77 / 100)  * _xlfn.XLOOKUP($J77,'Sweetener Mix In Nutrition'!A:A,'Sweetener Mix In Nutrition'!E:E,0))+(($Y77 / 100)  * _xlfn.XLOOKUP($K77,'Sweetener Mix In Nutrition'!A:A,'Sweetener Mix In Nutrition'!E:E,0))</f>
        <v>0</v>
      </c>
      <c r="AD77" s="36">
        <f>(($R77 / 240) * _xlfn.XLOOKUP($D77,'Milk Types Nutrition Per Cup'!A:A,'Milk Types Nutrition Per Cup'!E:E,0)) +(($S77 / 240)  * _xlfn.XLOOKUP($E77,'Milk Types Nutrition Per Cup'!A:A,'Milk Types Nutrition Per Cup'!E:E,0)) +(($T77 / 15)  * _xlfn.XLOOKUP($F77,'Liquid Mix In Nutrition'!A:A,'Liquid Mix In Nutrition'!E:E,0)) +(($U77 / 15)  * _xlfn.XLOOKUP($G77,'Liquid Mix In Nutrition'!A:A,'Liquid Mix In Nutrition'!E:E,0))+(($X77 / 100)  * _xlfn.XLOOKUP($J77,'Sweetener Mix In Nutrition'!A:A,'Sweetener Mix In Nutrition'!E:E,0))+(($Y77 / 100)  * _xlfn.XLOOKUP($K77,'Sweetener Mix In Nutrition'!A:A,'Sweetener Mix In Nutrition'!E:E,0))</f>
        <v>0</v>
      </c>
      <c r="AE77" s="37">
        <f>(($R77 / 240) * _xlfn.XLOOKUP($D77,'Milk Types Nutrition Per Cup'!A:A,'Milk Types Nutrition Per Cup'!C:C,0)) +(($S77 / 240)  * _xlfn.XLOOKUP($E77,'Milk Types Nutrition Per Cup'!A:A,'Milk Types Nutrition Per Cup'!C:C,0)) +(($T77 / 15)  * _xlfn.XLOOKUP($F77,'Liquid Mix In Nutrition'!A:A,'Liquid Mix In Nutrition'!C:C,0))+(($U77 / 15)  * _xlfn.XLOOKUP($G77,'Liquid Mix In Nutrition'!A:A,'Liquid Mix In Nutrition'!C:C,0))+(($V77 / MAX(1, _xlfn.XLOOKUP($H77,'Solid Mix In Nutrition'!A:A,'Solid Mix In Nutrition'!I:I,1)))  * _xlfn.XLOOKUP($H77,'Solid Mix In Nutrition'!A:A,'Solid Mix In Nutrition'!C:C,0))+(($W77 / MAX(1, _xlfn.XLOOKUP($I77,'Solid Mix In Nutrition'!A:A,'Solid Mix In Nutrition'!I:I,1)))  * _xlfn.XLOOKUP($I77,'Solid Mix In Nutrition'!A:A,'Solid Mix In Nutrition'!C:C,0))+(($X77 / 100)  * _xlfn.XLOOKUP($J77,'Sweetener Mix In Nutrition'!A:A,'Sweetener Mix In Nutrition'!C:C,0))+(($Y77 / 100)  * _xlfn.XLOOKUP($K77,'Sweetener Mix In Nutrition'!A:A,'Sweetener Mix In Nutrition'!C:C,0))</f>
        <v>0</v>
      </c>
      <c r="AF77" s="38" t="e">
        <f>$AE77 / (_xlfn.XLOOKUP($L77,Specs!A:A,Specs!B:B,0))</f>
        <v>#DIV/0!</v>
      </c>
      <c r="AG77" s="37" t="e">
        <f>60* ($AB77 / _xlfn.XLOOKUP($L77,Specs!A:A,Specs!B:B,0))</f>
        <v>#DIV/0!</v>
      </c>
      <c r="AH77" s="37" t="e">
        <f>60* (AC77 / _xlfn.XLOOKUP($L77,Specs!$A:$A,Specs!$B:$B,0))</f>
        <v>#DIV/0!</v>
      </c>
      <c r="AI77" s="37" t="e">
        <f>60* (AE77 / _xlfn.XLOOKUP($L77,Specs!$A:$A,Specs!$B:$B,0))</f>
        <v>#DIV/0!</v>
      </c>
      <c r="AJ77" s="39">
        <f>(($R77 / 240) * _xlfn.XLOOKUP($D77,'Milk Types Nutrition Per Cup'!A:A,'Milk Types Nutrition Per Cup'!F:F,0)) +(($S77 / 240)  * _xlfn.XLOOKUP($E77,'Milk Types Nutrition Per Cup'!A:A,'Milk Types Nutrition Per Cup'!F:F,0)) +(($T77 / 15)  * _xlfn.XLOOKUP($F77,'Liquid Mix In Nutrition'!A:A,'Liquid Mix In Nutrition'!F:F,0))+(($U77 / 15)  * _xlfn.XLOOKUP($G77,'Liquid Mix In Nutrition'!A:A,'Liquid Mix In Nutrition'!F:F,0))+(($V77 / MAX(1, _xlfn.XLOOKUP($H77,'Solid Mix In Nutrition'!A:A,'Solid Mix In Nutrition'!I:I,1)))  * _xlfn.XLOOKUP($H77,'Solid Mix In Nutrition'!A:A,'Solid Mix In Nutrition'!F:F,0))+(($W77 / MAX(1, _xlfn.XLOOKUP($I77,'Solid Mix In Nutrition'!A:A,'Solid Mix In Nutrition'!I:I,1)))  * _xlfn.XLOOKUP($I77,'Solid Mix In Nutrition'!A:A,'Solid Mix In Nutrition'!F:F,0))+(($X77 / 100)  * _xlfn.XLOOKUP($J77,'Sweetener Mix In Nutrition'!A:A,'Sweetener Mix In Nutrition'!F:F,0))+(($Y77 / 100)  * _xlfn.XLOOKUP($K77,'Sweetener Mix In Nutrition'!A:A,'Sweetener Mix In Nutrition'!F:F,0))</f>
        <v>0</v>
      </c>
      <c r="AK77" s="46">
        <f>[2]Sheet1!AG77</f>
        <v>0</v>
      </c>
      <c r="AL77" s="47"/>
      <c r="AM77" s="40">
        <f>IF(ISERROR(((AL77/Specs!$L$3)*Specs!$L$2)*2),0,ROUNDUP((((AL77/Specs!$L$3)*Specs!$L$2)*2),0))</f>
        <v>0</v>
      </c>
      <c r="AN77" s="48">
        <f>ROUNDUP(((AJ77+Specs!$R$2+Specs!$S$2+_xlfn.XLOOKUP($L77,Specs!A:A,Specs!V:V,0))*Specs!$N$2)+AM77,0)</f>
        <v>1</v>
      </c>
      <c r="AO77" s="40">
        <f>ROUNDUP(((AJ77+Specs!$R$2+Specs!$S$2+_xlfn.XLOOKUP($L77,Specs!A:A,Specs!V:V,0))*Specs!$N$2),0)</f>
        <v>1</v>
      </c>
      <c r="AP77" s="30"/>
    </row>
    <row r="78" spans="1:43" x14ac:dyDescent="0.25">
      <c r="A78" s="41" t="str">
        <f>_xlfn.CONCAT(_xlfn.XLOOKUP("What's Your Name?",[1]Sheet1!$1:$1,[1]Sheet1!78:78)," | ",TEXT(_xlfn.XLOOKUP("Completion time",[1]Sheet1!$1:$1,[1]Sheet1!78:78),"dddd, mmm dd, yyyy hh:mm AM/PM"))</f>
        <v xml:space="preserve"> | Saturday, Jan 00, 1900 12:00 AM</v>
      </c>
      <c r="B78" s="76">
        <f>_xlfn.XLOOKUP("What's Your Email Address?",[1]Sheet1!$1:$1,[1]Sheet1!78:78)</f>
        <v>0</v>
      </c>
      <c r="C78" s="31">
        <f>IF(ISBLANK(_xlfn.XLOOKUP("Which Flavor? (Pint Price | Quart Price | Half Gallon Price) (NOTE: Prices may fluctuate based on market conditions)",[1]Sheet1!$1:$1,[1]Sheet1!78:78)),_xlfn.XLOOKUP("Name Your Ice Cream!",[1]Sheet1!$1:$1,[1]Sheet1!78:78),IF(ISNUMBER(FIND("(", _xlfn.XLOOKUP("Which Flavor? (Pint Price | Quart Price | Half Gallon Price) (NOTE: Prices may fluctuate based on market conditions)",[1]Sheet1!$1:$1,[1]Sheet1!78:78))), LEFT(_xlfn.XLOOKUP("Which Flavor? (Pint Price | Quart Price | Half Gallon Price) (NOTE: Prices may fluctuate based on market conditions)",[1]Sheet1!$1:$1,[1]Sheet1!78:78), FIND("(", _xlfn.XLOOKUP("Which Flavor? (Pint Price | Quart Price | Half Gallon Price) (NOTE: Prices may fluctuate based on market conditions)",[1]Sheet1!$1:$1,[1]Sheet1!78:78)) - 1), _xlfn.XLOOKUP("Which Flavor? (Pint Price | Quart Price | Half Gallon Price) (NOTE: Prices may fluctuate based on market conditions)",[1]Sheet1!$1:$1,[1]Sheet1!78:78)))</f>
        <v>0</v>
      </c>
      <c r="D78" s="31">
        <f>IF(COUNTIF('Premade Flavors'!$A:$A, $C78) &gt; 0,IF(ISBLANK(_xlfn.XLOOKUP("What Ice Cream Base Do You Want To Change It To?",[1]Sheet1!$1:$1,[1]Sheet1!78:78)),_xlfn.XLOOKUP($C78,'Premade Flavors'!$A:$A,'Premade Flavors'!B:B),_xlfn.XLOOKUP("What Ice Cream Base Do You Want To Change It To?",[1]Sheet1!$1:$1,[1]Sheet1!78:78)),_xlfn.XLOOKUP(_xlfn.XLOOKUP("What Kind Of Ice Cream Base Do You Want? ",[1]Sheet1!$1:$1,[1]Sheet1!78:78),'Milk Types Nutrition Per Cup'!O:O,'Milk Types Nutrition Per Cup'!P:P,""))</f>
        <v>0</v>
      </c>
      <c r="E78" s="31">
        <f>IF(COUNTIF('Premade Flavors'!$A:$A, $C78) &gt; 0,IF(ISBLANK(_xlfn.XLOOKUP("What Ice Cream Base Do You Want To Change It To?",[1]Sheet1!$1:$1,[1]Sheet1!78:78)),_xlfn.XLOOKUP($C78,'Premade Flavors'!$A:$A,'Premade Flavors'!C:C),_xlfn.XLOOKUP("What Ice Cream Base Do You Want To Change It To?",[1]Sheet1!$1:$1,[1]Sheet1!78:78)),_xlfn.XLOOKUP(_xlfn.XLOOKUP("What Kind Of Ice Cream Base Do You Want? ",[1]Sheet1!$1:$1,[1]Sheet1!78:78),'Milk Types Nutrition Per Cup'!$O:$O,'Milk Types Nutrition Per Cup'!$Q:$Q,""))</f>
        <v>0</v>
      </c>
      <c r="F78" s="31">
        <f>IF(COUNTIF('Premade Flavors'!$A:$A, $C78) &gt; 0,_xlfn.XLOOKUP($C78,'Premade Flavors'!$A:$A,'Premade Flavors'!E:E),_xlfn.XLOOKUP("What's The First Flavor You Want? ",[1]Sheet1!$1:$1,[1]Sheet1!78:78))</f>
        <v>0</v>
      </c>
      <c r="G78" s="31">
        <f>IF(COUNTIF('Premade Flavors'!$A:$A, $C78) &gt; 0,_xlfn.XLOOKUP($C78,'Premade Flavors'!$A:$A,'Premade Flavors'!F:F),_xlfn.XLOOKUP("What's the Second Flavor You Want?",[1]Sheet1!$1:$1,[1]Sheet1!78:78))</f>
        <v>0</v>
      </c>
      <c r="H78" s="31">
        <f>IF(COUNTIF('Premade Flavors'!$A:$A, $C78) &gt; 0,_xlfn.XLOOKUP($C78,'Premade Flavors'!$A:$A,'Premade Flavors'!G:G),_xlfn.XLOOKUP("What's The First Mix In That You Want? ",[1]Sheet1!$1:$1,[1]Sheet1!78:78))</f>
        <v>0</v>
      </c>
      <c r="I78" s="31">
        <f>IF(COUNTIF('Premade Flavors'!$A:$A, $C78) &gt; 0,_xlfn.XLOOKUP($C78,'Premade Flavors'!$A:$A,'Premade Flavors'!H:H),_xlfn.XLOOKUP("What's The Second Mix In That You Want? ",[1]Sheet1!$1:$1,[1]Sheet1!78:78))</f>
        <v>0</v>
      </c>
      <c r="J78" s="31">
        <f>IF(COUNTIF('Premade Flavors'!$A:$A,$C78)&gt;0,IF(_xlfn.XLOOKUP("Should It Use Sugar or A Non-Sugar Sweetner?",[1]Sheet1!$1:$1,[1]Sheet1!78:78)="Sugar",_xlfn.XLOOKUP($C78,'Premade Flavors'!$A:$A,'Premade Flavors'!I:I),"Stevia"),_xlfn.XLOOKUP("What Sweetner Do You Want?",[1]Sheet1!$1:$1,[1]Sheet1!78:78))</f>
        <v>0</v>
      </c>
      <c r="K78" s="31"/>
      <c r="L78" s="77">
        <f>_xlfn.XLOOKUP("How Much Ice Cream Do You Want?",[1]Sheet1!$1:$1,[1]Sheet1!78:78)</f>
        <v>0</v>
      </c>
      <c r="M78" s="45">
        <f>IF(COUNTIF('Premade Flavors'!$A:$A, $C78) &gt; 0,_xlfn.XLOOKUP($C78,'Premade Flavors'!$A:$A,'Premade Flavors'!M:M),_xlfn.XLOOKUP("How Strong Do You Want The First Flavor?",[1]Sheet1!$1:$1,[1]Sheet1!78:78))</f>
        <v>0</v>
      </c>
      <c r="N78" s="45">
        <f>IF(COUNTIF('Premade Flavors'!$A:$A, $C78) &gt; 0,_xlfn.XLOOKUP($C78,'Premade Flavors'!$A:$A,'Premade Flavors'!N:N),_xlfn.XLOOKUP("How Strong Do You Want The Second Flavor?",[1]Sheet1!$1:$1,[1]Sheet1!78:78))</f>
        <v>0</v>
      </c>
      <c r="O78" s="45">
        <f>IF(COUNTIF('Premade Flavors'!$A:$A, $C78) &gt; 0,_xlfn.XLOOKUP($C78,'Premade Flavors'!$A:$A,'Premade Flavors'!O:O),_xlfn.XLOOKUP("How Dense Should the Mix Ins Be?",[1]Sheet1!$1:$1,[1]Sheet1!78:78))</f>
        <v>0</v>
      </c>
      <c r="P78" s="45">
        <f>IF(COUNTIF('Premade Flavors'!$A:$A, $C78) &gt; 0,_xlfn.XLOOKUP($C78,'Premade Flavors'!$A:$A,'Premade Flavors'!P:P),_xlfn.XLOOKUP("How Much Of The First Sweetner? ",[1]Sheet1!$1:$1,[1]Sheet1!78:78))</f>
        <v>0</v>
      </c>
      <c r="Q78" s="45">
        <f>IF(COUNTIF('Premade Flavors'!$A:$A, $C78) &gt; 0,_xlfn.XLOOKUP($C78,'Premade Flavors'!$A:$A,'Premade Flavors'!Q:Q),[2]Sheet1!S78)</f>
        <v>0</v>
      </c>
      <c r="R78" s="30">
        <f>(_xlfn.XLOOKUP($L78,Specs!A:A,Specs!B:B,0)-(IF(_xlfn.XLOOKUP($F78,'Liquid Mix In Nutrition'!A:A,'Liquid Mix In Nutrition'!J:J,0)="Yes",0,$T78))-(IF(_xlfn.XLOOKUP($G78,'Liquid Mix In Nutrition'!A:A,'Liquid Mix In Nutrition'!J:J,0)="Yes",0,$U78))-(($V78/MAX(1,_xlfn.XLOOKUP($H78,'Solid Mix In Nutrition'!A:A,'Solid Mix In Nutrition'!I:I,1)))*240)-(($W78/MAX(1,_xlfn.XLOOKUP($I78,'Solid Mix In Nutrition'!A:A,'Solid Mix In Nutrition'!I:I,1)))*240))*0.66</f>
        <v>0</v>
      </c>
      <c r="S78" s="30">
        <f>(_xlfn.XLOOKUP($L78,Specs!A:A,Specs!B:B,0)-(IF(_xlfn.XLOOKUP($F78,'Liquid Mix In Nutrition'!A:A,'Liquid Mix In Nutrition'!J:J,0)="Yes",0,$T78))-(IF(_xlfn.XLOOKUP($G78,'Liquid Mix In Nutrition'!A:A,'Liquid Mix In Nutrition'!J:J,0)="Yes",0,$U78))-(($V78/MAX(1,_xlfn.XLOOKUP($H78,'Solid Mix In Nutrition'!A:A,'Solid Mix In Nutrition'!I:I,1)))*240)-(($W78/MAX(1,_xlfn.XLOOKUP($I78,'Solid Mix In Nutrition'!A:A,'Solid Mix In Nutrition'!I:I,1)))*240))*0.33</f>
        <v>0</v>
      </c>
      <c r="T78" s="30">
        <f>_xlfn.XLOOKUP($M78,Specs!$D:$D,Specs!$E:$E,0)*15*_xlfn.XLOOKUP($L78,Specs!$A:$A,Specs!$C:$C,0)</f>
        <v>0</v>
      </c>
      <c r="U78" s="30">
        <f>_xlfn.XLOOKUP($N78,Specs!$D:$D,Specs!$E:$E,0)*15*_xlfn.XLOOKUP($L78,Specs!$A:$A,Specs!$C:$C,0)</f>
        <v>0</v>
      </c>
      <c r="V78" s="30">
        <f>( ((_xlfn.XLOOKUP($O78,Specs!$H:$H,Specs!$I:$I,0)*_xlfn.XLOOKUP($L78,Specs!$A:$A,Specs!$B:$B,0))/240) *_xlfn.XLOOKUP($H78,'Solid Mix In Nutrition'!A:A,'Solid Mix In Nutrition'!I:I,0)) *IF(AND(NOT($I78=0), COUNTA($I78)),0.5,1)</f>
        <v>0</v>
      </c>
      <c r="W78" s="30">
        <f>( ((_xlfn.XLOOKUP($O78,Specs!$H:$H,Specs!$I:$I,0)*_xlfn.XLOOKUP($L78,Specs!$A:$A,Specs!$B:$B,0))/240) *_xlfn.XLOOKUP($I78,'Solid Mix In Nutrition'!A:A,'Solid Mix In Nutrition'!I:I,0)) *IF(AND(NOT($I78=0), COUNTA($I78)),0.5,0)</f>
        <v>0</v>
      </c>
      <c r="X78" s="30">
        <f>_xlfn.XLOOKUP($P78,Specs!F:F,Specs!G:G,0)*_xlfn.XLOOKUP($J78,'Sweetener Mix In Nutrition'!A:A,'Sweetener Mix In Nutrition'!I:I,0)*_xlfn.XLOOKUP($L78,Specs!A:A,Specs!C:C,0)</f>
        <v>0</v>
      </c>
      <c r="Y78" s="30">
        <f>_xlfn.XLOOKUP($Q78,Specs!F:F,Specs!G:G,0)*_xlfn.XLOOKUP($K78,'Sweetener Mix In Nutrition'!A:A,'Sweetener Mix In Nutrition'!I:I,0)*_xlfn.XLOOKUP($L78,Specs!A:A,Specs!C:C,0)</f>
        <v>0</v>
      </c>
      <c r="Z78" s="34">
        <f t="shared" si="2"/>
        <v>0</v>
      </c>
      <c r="AA78" s="35">
        <f t="shared" si="3"/>
        <v>0</v>
      </c>
      <c r="AB78" s="36">
        <f>(($R78 / 240) * _xlfn.XLOOKUP($D78,'Milk Types Nutrition Per Cup'!A:A,'Milk Types Nutrition Per Cup'!B:B,0)) +(($S78 / 240)  * _xlfn.XLOOKUP($E78,'Milk Types Nutrition Per Cup'!A:A,'Milk Types Nutrition Per Cup'!B:B,0)) +(($T78 / 15)  * _xlfn.XLOOKUP($F78,'Liquid Mix In Nutrition'!A:A,'Liquid Mix In Nutrition'!B:B,0))+(($U78 / 15)  * _xlfn.XLOOKUP($G78,'Liquid Mix In Nutrition'!A:A,'Liquid Mix In Nutrition'!B:B,0))+(($V78 /MAX(1, _xlfn.XLOOKUP($H78,'Solid Mix In Nutrition'!A:A,'Solid Mix In Nutrition'!I:I,1)))  * _xlfn.XLOOKUP($H78,'Solid Mix In Nutrition'!A:A,'Solid Mix In Nutrition'!B:B,0))+(($W78 / MAX(1, _xlfn.XLOOKUP($I78,'Solid Mix In Nutrition'!A:A,'Solid Mix In Nutrition'!I:I,1))))+(($X78 / 100)  * _xlfn.XLOOKUP($J78,'Sweetener Mix In Nutrition'!A:A,'Sweetener Mix In Nutrition'!B:B,0))+(($Y78 / 100)  * _xlfn.XLOOKUP($K78,'Sweetener Mix In Nutrition'!A:A,'Sweetener Mix In Nutrition'!B:B,0))</f>
        <v>0</v>
      </c>
      <c r="AC78" s="36">
        <f>(($R78 / 240) * _xlfn.XLOOKUP($D78,'Milk Types Nutrition Per Cup'!A:A,'Milk Types Nutrition Per Cup'!E:E,0)) +(($S78 / 240)  * _xlfn.XLOOKUP($E78,'Milk Types Nutrition Per Cup'!A:A,'Milk Types Nutrition Per Cup'!E:E,0)) +(($T78 / 15)  * _xlfn.XLOOKUP($F78,'Liquid Mix In Nutrition'!A:A,'Liquid Mix In Nutrition'!E:E,0)) +(($U78 / 15)  * _xlfn.XLOOKUP($G78,'Liquid Mix In Nutrition'!A:A,'Liquid Mix In Nutrition'!E:E,0))+(($V78 / MAX(1, _xlfn.XLOOKUP($H78,'Solid Mix In Nutrition'!A:A,'Solid Mix In Nutrition'!I:I,1)))  * _xlfn.XLOOKUP($H78,'Solid Mix In Nutrition'!A:A,'Solid Mix In Nutrition'!E:E,0))+(($W78 / MAX(1, _xlfn.XLOOKUP($I78,'Solid Mix In Nutrition'!A:A,'Solid Mix In Nutrition'!I:I,1)))  * _xlfn.XLOOKUP($I78,'Solid Mix In Nutrition'!A:A,'Solid Mix In Nutrition'!G:G,0))+(($X78 / 100)  * _xlfn.XLOOKUP($J78,'Sweetener Mix In Nutrition'!A:A,'Sweetener Mix In Nutrition'!E:E,0))+(($Y78 / 100)  * _xlfn.XLOOKUP($K78,'Sweetener Mix In Nutrition'!A:A,'Sweetener Mix In Nutrition'!E:E,0))</f>
        <v>0</v>
      </c>
      <c r="AD78" s="36">
        <f>(($R78 / 240) * _xlfn.XLOOKUP($D78,'Milk Types Nutrition Per Cup'!A:A,'Milk Types Nutrition Per Cup'!E:E,0)) +(($S78 / 240)  * _xlfn.XLOOKUP($E78,'Milk Types Nutrition Per Cup'!A:A,'Milk Types Nutrition Per Cup'!E:E,0)) +(($T78 / 15)  * _xlfn.XLOOKUP($F78,'Liquid Mix In Nutrition'!A:A,'Liquid Mix In Nutrition'!E:E,0)) +(($U78 / 15)  * _xlfn.XLOOKUP($G78,'Liquid Mix In Nutrition'!A:A,'Liquid Mix In Nutrition'!E:E,0))+(($X78 / 100)  * _xlfn.XLOOKUP($J78,'Sweetener Mix In Nutrition'!A:A,'Sweetener Mix In Nutrition'!E:E,0))+(($Y78 / 100)  * _xlfn.XLOOKUP($K78,'Sweetener Mix In Nutrition'!A:A,'Sweetener Mix In Nutrition'!E:E,0))</f>
        <v>0</v>
      </c>
      <c r="AE78" s="37">
        <f>(($R78 / 240) * _xlfn.XLOOKUP($D78,'Milk Types Nutrition Per Cup'!A:A,'Milk Types Nutrition Per Cup'!C:C,0)) +(($S78 / 240)  * _xlfn.XLOOKUP($E78,'Milk Types Nutrition Per Cup'!A:A,'Milk Types Nutrition Per Cup'!C:C,0)) +(($T78 / 15)  * _xlfn.XLOOKUP($F78,'Liquid Mix In Nutrition'!A:A,'Liquid Mix In Nutrition'!C:C,0))+(($U78 / 15)  * _xlfn.XLOOKUP($G78,'Liquid Mix In Nutrition'!A:A,'Liquid Mix In Nutrition'!C:C,0))+(($V78 / MAX(1, _xlfn.XLOOKUP($H78,'Solid Mix In Nutrition'!A:A,'Solid Mix In Nutrition'!I:I,1)))  * _xlfn.XLOOKUP($H78,'Solid Mix In Nutrition'!A:A,'Solid Mix In Nutrition'!C:C,0))+(($W78 / MAX(1, _xlfn.XLOOKUP($I78,'Solid Mix In Nutrition'!A:A,'Solid Mix In Nutrition'!I:I,1)))  * _xlfn.XLOOKUP($I78,'Solid Mix In Nutrition'!A:A,'Solid Mix In Nutrition'!C:C,0))+(($X78 / 100)  * _xlfn.XLOOKUP($J78,'Sweetener Mix In Nutrition'!A:A,'Sweetener Mix In Nutrition'!C:C,0))+(($Y78 / 100)  * _xlfn.XLOOKUP($K78,'Sweetener Mix In Nutrition'!A:A,'Sweetener Mix In Nutrition'!C:C,0))</f>
        <v>0</v>
      </c>
      <c r="AF78" s="38" t="e">
        <f>$AE78 / (_xlfn.XLOOKUP($L78,Specs!A:A,Specs!B:B,0))</f>
        <v>#DIV/0!</v>
      </c>
      <c r="AG78" s="37" t="e">
        <f>60* ($AB78 / _xlfn.XLOOKUP($L78,Specs!A:A,Specs!B:B,0))</f>
        <v>#DIV/0!</v>
      </c>
      <c r="AH78" s="37" t="e">
        <f>60* (AC78 / _xlfn.XLOOKUP($L78,Specs!$A:$A,Specs!$B:$B,0))</f>
        <v>#DIV/0!</v>
      </c>
      <c r="AI78" s="37" t="e">
        <f>60* (AE78 / _xlfn.XLOOKUP($L78,Specs!$A:$A,Specs!$B:$B,0))</f>
        <v>#DIV/0!</v>
      </c>
      <c r="AJ78" s="39">
        <f>(($R78 / 240) * _xlfn.XLOOKUP($D78,'Milk Types Nutrition Per Cup'!A:A,'Milk Types Nutrition Per Cup'!F:F,0)) +(($S78 / 240)  * _xlfn.XLOOKUP($E78,'Milk Types Nutrition Per Cup'!A:A,'Milk Types Nutrition Per Cup'!F:F,0)) +(($T78 / 15)  * _xlfn.XLOOKUP($F78,'Liquid Mix In Nutrition'!A:A,'Liquid Mix In Nutrition'!F:F,0))+(($U78 / 15)  * _xlfn.XLOOKUP($G78,'Liquid Mix In Nutrition'!A:A,'Liquid Mix In Nutrition'!F:F,0))+(($V78 / MAX(1, _xlfn.XLOOKUP($H78,'Solid Mix In Nutrition'!A:A,'Solid Mix In Nutrition'!I:I,1)))  * _xlfn.XLOOKUP($H78,'Solid Mix In Nutrition'!A:A,'Solid Mix In Nutrition'!F:F,0))+(($W78 / MAX(1, _xlfn.XLOOKUP($I78,'Solid Mix In Nutrition'!A:A,'Solid Mix In Nutrition'!I:I,1)))  * _xlfn.XLOOKUP($I78,'Solid Mix In Nutrition'!A:A,'Solid Mix In Nutrition'!F:F,0))+(($X78 / 100)  * _xlfn.XLOOKUP($J78,'Sweetener Mix In Nutrition'!A:A,'Sweetener Mix In Nutrition'!F:F,0))+(($Y78 / 100)  * _xlfn.XLOOKUP($K78,'Sweetener Mix In Nutrition'!A:A,'Sweetener Mix In Nutrition'!F:F,0))</f>
        <v>0</v>
      </c>
      <c r="AK78" s="46">
        <f>[2]Sheet1!AG78</f>
        <v>0</v>
      </c>
      <c r="AL78" s="47"/>
      <c r="AM78" s="40">
        <f>IF(ISERROR(((AL78/Specs!$L$3)*Specs!$L$2)*2),0,ROUNDUP((((AL78/Specs!$L$3)*Specs!$L$2)*2),0))</f>
        <v>0</v>
      </c>
      <c r="AN78" s="48">
        <f>ROUNDUP(((AJ78+Specs!$R$2+Specs!$S$2+_xlfn.XLOOKUP($L78,Specs!A:A,Specs!V:V,0))*Specs!$N$2)+AM78,0)</f>
        <v>1</v>
      </c>
      <c r="AO78" s="40">
        <f>ROUNDUP(((AJ78+Specs!$R$2+Specs!$S$2+_xlfn.XLOOKUP($L78,Specs!A:A,Specs!V:V,0))*Specs!$N$2),0)</f>
        <v>1</v>
      </c>
      <c r="AP78" s="30"/>
    </row>
    <row r="79" spans="1:43" x14ac:dyDescent="0.25">
      <c r="A79" s="41" t="str">
        <f>_xlfn.CONCAT(_xlfn.XLOOKUP("What's Your Name?",[1]Sheet1!$1:$1,[1]Sheet1!79:79)," | ",TEXT(_xlfn.XLOOKUP("Completion time",[1]Sheet1!$1:$1,[1]Sheet1!79:79),"dddd, mmm dd, yyyy hh:mm AM/PM"))</f>
        <v xml:space="preserve"> | Saturday, Jan 00, 1900 12:00 AM</v>
      </c>
      <c r="B79" s="76">
        <f>_xlfn.XLOOKUP("What's Your Email Address?",[1]Sheet1!$1:$1,[1]Sheet1!79:79)</f>
        <v>0</v>
      </c>
      <c r="C79" s="31">
        <f>IF(ISBLANK(_xlfn.XLOOKUP("Which Flavor? (Pint Price | Quart Price | Half Gallon Price) (NOTE: Prices may fluctuate based on market conditions)",[1]Sheet1!$1:$1,[1]Sheet1!79:79)),_xlfn.XLOOKUP("Name Your Ice Cream!",[1]Sheet1!$1:$1,[1]Sheet1!79:79),IF(ISNUMBER(FIND("(", _xlfn.XLOOKUP("Which Flavor? (Pint Price | Quart Price | Half Gallon Price) (NOTE: Prices may fluctuate based on market conditions)",[1]Sheet1!$1:$1,[1]Sheet1!79:79))), LEFT(_xlfn.XLOOKUP("Which Flavor? (Pint Price | Quart Price | Half Gallon Price) (NOTE: Prices may fluctuate based on market conditions)",[1]Sheet1!$1:$1,[1]Sheet1!79:79), FIND("(", _xlfn.XLOOKUP("Which Flavor? (Pint Price | Quart Price | Half Gallon Price) (NOTE: Prices may fluctuate based on market conditions)",[1]Sheet1!$1:$1,[1]Sheet1!79:79)) - 1), _xlfn.XLOOKUP("Which Flavor? (Pint Price | Quart Price | Half Gallon Price) (NOTE: Prices may fluctuate based on market conditions)",[1]Sheet1!$1:$1,[1]Sheet1!79:79)))</f>
        <v>0</v>
      </c>
      <c r="D79" s="31">
        <f>IF(COUNTIF('Premade Flavors'!$A:$A, $C79) &gt; 0,IF(ISBLANK(_xlfn.XLOOKUP("What Ice Cream Base Do You Want To Change It To?",[1]Sheet1!$1:$1,[1]Sheet1!79:79)),_xlfn.XLOOKUP($C79,'Premade Flavors'!$A:$A,'Premade Flavors'!B:B),_xlfn.XLOOKUP("What Ice Cream Base Do You Want To Change It To?",[1]Sheet1!$1:$1,[1]Sheet1!79:79)),_xlfn.XLOOKUP(_xlfn.XLOOKUP("What Kind Of Ice Cream Base Do You Want? ",[1]Sheet1!$1:$1,[1]Sheet1!79:79),'Milk Types Nutrition Per Cup'!O:O,'Milk Types Nutrition Per Cup'!P:P,""))</f>
        <v>0</v>
      </c>
      <c r="E79" s="31">
        <f>IF(COUNTIF('Premade Flavors'!$A:$A, $C79) &gt; 0,IF(ISBLANK(_xlfn.XLOOKUP("What Ice Cream Base Do You Want To Change It To?",[1]Sheet1!$1:$1,[1]Sheet1!79:79)),_xlfn.XLOOKUP($C79,'Premade Flavors'!$A:$A,'Premade Flavors'!C:C),_xlfn.XLOOKUP("What Ice Cream Base Do You Want To Change It To?",[1]Sheet1!$1:$1,[1]Sheet1!79:79)),_xlfn.XLOOKUP(_xlfn.XLOOKUP("What Kind Of Ice Cream Base Do You Want? ",[1]Sheet1!$1:$1,[1]Sheet1!79:79),'Milk Types Nutrition Per Cup'!$O:$O,'Milk Types Nutrition Per Cup'!$Q:$Q,""))</f>
        <v>0</v>
      </c>
      <c r="F79" s="31">
        <f>IF(COUNTIF('Premade Flavors'!$A:$A, $C79) &gt; 0,_xlfn.XLOOKUP($C79,'Premade Flavors'!$A:$A,'Premade Flavors'!E:E),_xlfn.XLOOKUP("What's The First Flavor You Want? ",[1]Sheet1!$1:$1,[1]Sheet1!79:79))</f>
        <v>0</v>
      </c>
      <c r="G79" s="31">
        <f>IF(COUNTIF('Premade Flavors'!$A:$A, $C79) &gt; 0,_xlfn.XLOOKUP($C79,'Premade Flavors'!$A:$A,'Premade Flavors'!F:F),_xlfn.XLOOKUP("What's the Second Flavor You Want?",[1]Sheet1!$1:$1,[1]Sheet1!79:79))</f>
        <v>0</v>
      </c>
      <c r="H79" s="31">
        <f>IF(COUNTIF('Premade Flavors'!$A:$A, $C79) &gt; 0,_xlfn.XLOOKUP($C79,'Premade Flavors'!$A:$A,'Premade Flavors'!G:G),_xlfn.XLOOKUP("What's The First Mix In That You Want? ",[1]Sheet1!$1:$1,[1]Sheet1!79:79))</f>
        <v>0</v>
      </c>
      <c r="I79" s="31">
        <f>IF(COUNTIF('Premade Flavors'!$A:$A, $C79) &gt; 0,_xlfn.XLOOKUP($C79,'Premade Flavors'!$A:$A,'Premade Flavors'!H:H),_xlfn.XLOOKUP("What's The Second Mix In That You Want? ",[1]Sheet1!$1:$1,[1]Sheet1!79:79))</f>
        <v>0</v>
      </c>
      <c r="J79" s="31">
        <f>IF(COUNTIF('Premade Flavors'!$A:$A,$C79)&gt;0,IF(_xlfn.XLOOKUP("Should It Use Sugar or A Non-Sugar Sweetner?",[1]Sheet1!$1:$1,[1]Sheet1!79:79)="Sugar",_xlfn.XLOOKUP($C79,'Premade Flavors'!$A:$A,'Premade Flavors'!I:I),"Stevia"),_xlfn.XLOOKUP("What Sweetner Do You Want?",[1]Sheet1!$1:$1,[1]Sheet1!79:79))</f>
        <v>0</v>
      </c>
      <c r="K79" s="31"/>
      <c r="L79" s="77">
        <f>_xlfn.XLOOKUP("How Much Ice Cream Do You Want?",[1]Sheet1!$1:$1,[1]Sheet1!79:79)</f>
        <v>0</v>
      </c>
      <c r="M79" s="45">
        <f>IF(COUNTIF('Premade Flavors'!$A:$A, $C79) &gt; 0,_xlfn.XLOOKUP($C79,'Premade Flavors'!$A:$A,'Premade Flavors'!M:M),_xlfn.XLOOKUP("How Strong Do You Want The First Flavor?",[1]Sheet1!$1:$1,[1]Sheet1!79:79))</f>
        <v>0</v>
      </c>
      <c r="N79" s="45">
        <f>IF(COUNTIF('Premade Flavors'!$A:$A, $C79) &gt; 0,_xlfn.XLOOKUP($C79,'Premade Flavors'!$A:$A,'Premade Flavors'!N:N),_xlfn.XLOOKUP("How Strong Do You Want The Second Flavor?",[1]Sheet1!$1:$1,[1]Sheet1!79:79))</f>
        <v>0</v>
      </c>
      <c r="O79" s="45">
        <f>IF(COUNTIF('Premade Flavors'!$A:$A, $C79) &gt; 0,_xlfn.XLOOKUP($C79,'Premade Flavors'!$A:$A,'Premade Flavors'!O:O),_xlfn.XLOOKUP("How Dense Should the Mix Ins Be?",[1]Sheet1!$1:$1,[1]Sheet1!79:79))</f>
        <v>0</v>
      </c>
      <c r="P79" s="45">
        <f>IF(COUNTIF('Premade Flavors'!$A:$A, $C79) &gt; 0,_xlfn.XLOOKUP($C79,'Premade Flavors'!$A:$A,'Premade Flavors'!P:P),_xlfn.XLOOKUP("How Much Of The First Sweetner? ",[1]Sheet1!$1:$1,[1]Sheet1!79:79))</f>
        <v>0</v>
      </c>
      <c r="Q79" s="45">
        <f>IF(COUNTIF('Premade Flavors'!$A:$A, $C79) &gt; 0,_xlfn.XLOOKUP($C79,'Premade Flavors'!$A:$A,'Premade Flavors'!Q:Q),[2]Sheet1!S79)</f>
        <v>0</v>
      </c>
      <c r="R79" s="30">
        <f>(_xlfn.XLOOKUP($L79,Specs!A:A,Specs!B:B,0)-(IF(_xlfn.XLOOKUP($F79,'Liquid Mix In Nutrition'!A:A,'Liquid Mix In Nutrition'!J:J,0)="Yes",0,$T79))-(IF(_xlfn.XLOOKUP($G79,'Liquid Mix In Nutrition'!A:A,'Liquid Mix In Nutrition'!J:J,0)="Yes",0,$U79))-(($V79/MAX(1,_xlfn.XLOOKUP($H79,'Solid Mix In Nutrition'!A:A,'Solid Mix In Nutrition'!I:I,1)))*240)-(($W79/MAX(1,_xlfn.XLOOKUP($I79,'Solid Mix In Nutrition'!A:A,'Solid Mix In Nutrition'!I:I,1)))*240))*0.66</f>
        <v>0</v>
      </c>
      <c r="S79" s="30">
        <f>(_xlfn.XLOOKUP($L79,Specs!A:A,Specs!B:B,0)-(IF(_xlfn.XLOOKUP($F79,'Liquid Mix In Nutrition'!A:A,'Liquid Mix In Nutrition'!J:J,0)="Yes",0,$T79))-(IF(_xlfn.XLOOKUP($G79,'Liquid Mix In Nutrition'!A:A,'Liquid Mix In Nutrition'!J:J,0)="Yes",0,$U79))-(($V79/MAX(1,_xlfn.XLOOKUP($H79,'Solid Mix In Nutrition'!A:A,'Solid Mix In Nutrition'!I:I,1)))*240)-(($W79/MAX(1,_xlfn.XLOOKUP($I79,'Solid Mix In Nutrition'!A:A,'Solid Mix In Nutrition'!I:I,1)))*240))*0.33</f>
        <v>0</v>
      </c>
      <c r="T79" s="30">
        <f>_xlfn.XLOOKUP($M79,Specs!$D:$D,Specs!$E:$E,0)*15*_xlfn.XLOOKUP($L79,Specs!$A:$A,Specs!$C:$C,0)</f>
        <v>0</v>
      </c>
      <c r="U79" s="30">
        <f>_xlfn.XLOOKUP($N79,Specs!$D:$D,Specs!$E:$E,0)*15*_xlfn.XLOOKUP($L79,Specs!$A:$A,Specs!$C:$C,0)</f>
        <v>0</v>
      </c>
      <c r="V79" s="30">
        <f>( ((_xlfn.XLOOKUP($O79,Specs!$H:$H,Specs!$I:$I,0)*_xlfn.XLOOKUP($L79,Specs!$A:$A,Specs!$B:$B,0))/240) *_xlfn.XLOOKUP($H79,'Solid Mix In Nutrition'!A:A,'Solid Mix In Nutrition'!I:I,0)) *IF(AND(NOT($I79=0), COUNTA($I79)),0.5,1)</f>
        <v>0</v>
      </c>
      <c r="W79" s="30">
        <f>( ((_xlfn.XLOOKUP($O79,Specs!$H:$H,Specs!$I:$I,0)*_xlfn.XLOOKUP($L79,Specs!$A:$A,Specs!$B:$B,0))/240) *_xlfn.XLOOKUP($I79,'Solid Mix In Nutrition'!A:A,'Solid Mix In Nutrition'!I:I,0)) *IF(AND(NOT($I79=0), COUNTA($I79)),0.5,0)</f>
        <v>0</v>
      </c>
      <c r="X79" s="30">
        <f>_xlfn.XLOOKUP($P79,Specs!F:F,Specs!G:G,0)*_xlfn.XLOOKUP($J79,'Sweetener Mix In Nutrition'!A:A,'Sweetener Mix In Nutrition'!I:I,0)*_xlfn.XLOOKUP($L79,Specs!A:A,Specs!C:C,0)</f>
        <v>0</v>
      </c>
      <c r="Y79" s="30">
        <f>_xlfn.XLOOKUP($Q79,Specs!F:F,Specs!G:G,0)*_xlfn.XLOOKUP($K79,'Sweetener Mix In Nutrition'!A:A,'Sweetener Mix In Nutrition'!I:I,0)*_xlfn.XLOOKUP($L79,Specs!A:A,Specs!C:C,0)</f>
        <v>0</v>
      </c>
      <c r="Z79" s="34">
        <f t="shared" si="2"/>
        <v>0</v>
      </c>
      <c r="AA79" s="35">
        <f t="shared" si="3"/>
        <v>0</v>
      </c>
      <c r="AB79" s="36">
        <f>(($R79 / 240) * _xlfn.XLOOKUP($D79,'Milk Types Nutrition Per Cup'!A:A,'Milk Types Nutrition Per Cup'!B:B,0)) +(($S79 / 240)  * _xlfn.XLOOKUP($E79,'Milk Types Nutrition Per Cup'!A:A,'Milk Types Nutrition Per Cup'!B:B,0)) +(($T79 / 15)  * _xlfn.XLOOKUP($F79,'Liquid Mix In Nutrition'!A:A,'Liquid Mix In Nutrition'!B:B,0))+(($U79 / 15)  * _xlfn.XLOOKUP($G79,'Liquid Mix In Nutrition'!A:A,'Liquid Mix In Nutrition'!B:B,0))+(($V79 /MAX(1, _xlfn.XLOOKUP($H79,'Solid Mix In Nutrition'!A:A,'Solid Mix In Nutrition'!I:I,1)))  * _xlfn.XLOOKUP($H79,'Solid Mix In Nutrition'!A:A,'Solid Mix In Nutrition'!B:B,0))+(($W79 / MAX(1, _xlfn.XLOOKUP($I79,'Solid Mix In Nutrition'!A:A,'Solid Mix In Nutrition'!I:I,1))))+(($X79 / 100)  * _xlfn.XLOOKUP($J79,'Sweetener Mix In Nutrition'!A:A,'Sweetener Mix In Nutrition'!B:B,0))+(($Y79 / 100)  * _xlfn.XLOOKUP($K79,'Sweetener Mix In Nutrition'!A:A,'Sweetener Mix In Nutrition'!B:B,0))</f>
        <v>0</v>
      </c>
      <c r="AC79" s="36">
        <f>(($R79 / 240) * _xlfn.XLOOKUP($D79,'Milk Types Nutrition Per Cup'!A:A,'Milk Types Nutrition Per Cup'!E:E,0)) +(($S79 / 240)  * _xlfn.XLOOKUP($E79,'Milk Types Nutrition Per Cup'!A:A,'Milk Types Nutrition Per Cup'!E:E,0)) +(($T79 / 15)  * _xlfn.XLOOKUP($F79,'Liquid Mix In Nutrition'!A:A,'Liquid Mix In Nutrition'!E:E,0)) +(($U79 / 15)  * _xlfn.XLOOKUP($G79,'Liquid Mix In Nutrition'!A:A,'Liquid Mix In Nutrition'!E:E,0))+(($V79 / MAX(1, _xlfn.XLOOKUP($H79,'Solid Mix In Nutrition'!A:A,'Solid Mix In Nutrition'!I:I,1)))  * _xlfn.XLOOKUP($H79,'Solid Mix In Nutrition'!A:A,'Solid Mix In Nutrition'!E:E,0))+(($W79 / MAX(1, _xlfn.XLOOKUP($I79,'Solid Mix In Nutrition'!A:A,'Solid Mix In Nutrition'!I:I,1)))  * _xlfn.XLOOKUP($I79,'Solid Mix In Nutrition'!A:A,'Solid Mix In Nutrition'!G:G,0))+(($X79 / 100)  * _xlfn.XLOOKUP($J79,'Sweetener Mix In Nutrition'!A:A,'Sweetener Mix In Nutrition'!E:E,0))+(($Y79 / 100)  * _xlfn.XLOOKUP($K79,'Sweetener Mix In Nutrition'!A:A,'Sweetener Mix In Nutrition'!E:E,0))</f>
        <v>0</v>
      </c>
      <c r="AD79" s="36">
        <f>(($R79 / 240) * _xlfn.XLOOKUP($D79,'Milk Types Nutrition Per Cup'!A:A,'Milk Types Nutrition Per Cup'!E:E,0)) +(($S79 / 240)  * _xlfn.XLOOKUP($E79,'Milk Types Nutrition Per Cup'!A:A,'Milk Types Nutrition Per Cup'!E:E,0)) +(($T79 / 15)  * _xlfn.XLOOKUP($F79,'Liquid Mix In Nutrition'!A:A,'Liquid Mix In Nutrition'!E:E,0)) +(($U79 / 15)  * _xlfn.XLOOKUP($G79,'Liquid Mix In Nutrition'!A:A,'Liquid Mix In Nutrition'!E:E,0))+(($X79 / 100)  * _xlfn.XLOOKUP($J79,'Sweetener Mix In Nutrition'!A:A,'Sweetener Mix In Nutrition'!E:E,0))+(($Y79 / 100)  * _xlfn.XLOOKUP($K79,'Sweetener Mix In Nutrition'!A:A,'Sweetener Mix In Nutrition'!E:E,0))</f>
        <v>0</v>
      </c>
      <c r="AE79" s="37">
        <f>(($R79 / 240) * _xlfn.XLOOKUP($D79,'Milk Types Nutrition Per Cup'!A:A,'Milk Types Nutrition Per Cup'!C:C,0)) +(($S79 / 240)  * _xlfn.XLOOKUP($E79,'Milk Types Nutrition Per Cup'!A:A,'Milk Types Nutrition Per Cup'!C:C,0)) +(($T79 / 15)  * _xlfn.XLOOKUP($F79,'Liquid Mix In Nutrition'!A:A,'Liquid Mix In Nutrition'!C:C,0))+(($U79 / 15)  * _xlfn.XLOOKUP($G79,'Liquid Mix In Nutrition'!A:A,'Liquid Mix In Nutrition'!C:C,0))+(($V79 / MAX(1, _xlfn.XLOOKUP($H79,'Solid Mix In Nutrition'!A:A,'Solid Mix In Nutrition'!I:I,1)))  * _xlfn.XLOOKUP($H79,'Solid Mix In Nutrition'!A:A,'Solid Mix In Nutrition'!C:C,0))+(($W79 / MAX(1, _xlfn.XLOOKUP($I79,'Solid Mix In Nutrition'!A:A,'Solid Mix In Nutrition'!I:I,1)))  * _xlfn.XLOOKUP($I79,'Solid Mix In Nutrition'!A:A,'Solid Mix In Nutrition'!C:C,0))+(($X79 / 100)  * _xlfn.XLOOKUP($J79,'Sweetener Mix In Nutrition'!A:A,'Sweetener Mix In Nutrition'!C:C,0))+(($Y79 / 100)  * _xlfn.XLOOKUP($K79,'Sweetener Mix In Nutrition'!A:A,'Sweetener Mix In Nutrition'!C:C,0))</f>
        <v>0</v>
      </c>
      <c r="AF79" s="38" t="e">
        <f>$AE79 / (_xlfn.XLOOKUP($L79,Specs!A:A,Specs!B:B,0))</f>
        <v>#DIV/0!</v>
      </c>
      <c r="AG79" s="37" t="e">
        <f>60* ($AB79 / _xlfn.XLOOKUP($L79,Specs!A:A,Specs!B:B,0))</f>
        <v>#DIV/0!</v>
      </c>
      <c r="AH79" s="37" t="e">
        <f>60* (AC79 / _xlfn.XLOOKUP($L79,Specs!$A:$A,Specs!$B:$B,0))</f>
        <v>#DIV/0!</v>
      </c>
      <c r="AI79" s="37" t="e">
        <f>60* (AE79 / _xlfn.XLOOKUP($L79,Specs!$A:$A,Specs!$B:$B,0))</f>
        <v>#DIV/0!</v>
      </c>
      <c r="AJ79" s="39">
        <f>(($R79 / 240) * _xlfn.XLOOKUP($D79,'Milk Types Nutrition Per Cup'!A:A,'Milk Types Nutrition Per Cup'!F:F,0)) +(($S79 / 240)  * _xlfn.XLOOKUP($E79,'Milk Types Nutrition Per Cup'!A:A,'Milk Types Nutrition Per Cup'!F:F,0)) +(($T79 / 15)  * _xlfn.XLOOKUP($F79,'Liquid Mix In Nutrition'!A:A,'Liquid Mix In Nutrition'!F:F,0))+(($U79 / 15)  * _xlfn.XLOOKUP($G79,'Liquid Mix In Nutrition'!A:A,'Liquid Mix In Nutrition'!F:F,0))+(($V79 / MAX(1, _xlfn.XLOOKUP($H79,'Solid Mix In Nutrition'!A:A,'Solid Mix In Nutrition'!I:I,1)))  * _xlfn.XLOOKUP($H79,'Solid Mix In Nutrition'!A:A,'Solid Mix In Nutrition'!F:F,0))+(($W79 / MAX(1, _xlfn.XLOOKUP($I79,'Solid Mix In Nutrition'!A:A,'Solid Mix In Nutrition'!I:I,1)))  * _xlfn.XLOOKUP($I79,'Solid Mix In Nutrition'!A:A,'Solid Mix In Nutrition'!F:F,0))+(($X79 / 100)  * _xlfn.XLOOKUP($J79,'Sweetener Mix In Nutrition'!A:A,'Sweetener Mix In Nutrition'!F:F,0))+(($Y79 / 100)  * _xlfn.XLOOKUP($K79,'Sweetener Mix In Nutrition'!A:A,'Sweetener Mix In Nutrition'!F:F,0))</f>
        <v>0</v>
      </c>
      <c r="AK79" s="46">
        <f>[2]Sheet1!AG79</f>
        <v>0</v>
      </c>
      <c r="AL79" s="47"/>
      <c r="AM79" s="40">
        <f>IF(ISERROR(((AL79/Specs!$L$3)*Specs!$L$2)*2),0,ROUNDUP((((AL79/Specs!$L$3)*Specs!$L$2)*2),0))</f>
        <v>0</v>
      </c>
      <c r="AN79" s="48">
        <f>ROUNDUP(((AJ79+Specs!$R$2+Specs!$S$2+_xlfn.XLOOKUP($L79,Specs!A:A,Specs!V:V,0))*Specs!$N$2)+AM79,0)</f>
        <v>1</v>
      </c>
      <c r="AO79" s="40">
        <f>ROUNDUP(((AJ79+Specs!$R$2+Specs!$S$2+_xlfn.XLOOKUP($L79,Specs!A:A,Specs!V:V,0))*Specs!$N$2),0)</f>
        <v>1</v>
      </c>
      <c r="AP79" s="30"/>
    </row>
    <row r="80" spans="1:43" x14ac:dyDescent="0.25">
      <c r="A80" s="41" t="str">
        <f>_xlfn.CONCAT(_xlfn.XLOOKUP("What's Your Name?",[1]Sheet1!$1:$1,[1]Sheet1!80:80)," | ",TEXT(_xlfn.XLOOKUP("Completion time",[1]Sheet1!$1:$1,[1]Sheet1!80:80),"dddd, mmm dd, yyyy hh:mm AM/PM"))</f>
        <v xml:space="preserve"> | Saturday, Jan 00, 1900 12:00 AM</v>
      </c>
      <c r="B80" s="76">
        <f>_xlfn.XLOOKUP("What's Your Email Address?",[1]Sheet1!$1:$1,[1]Sheet1!80:80)</f>
        <v>0</v>
      </c>
      <c r="C80" s="31">
        <f>IF(ISBLANK(_xlfn.XLOOKUP("Which Flavor? (Pint Price | Quart Price | Half Gallon Price) (NOTE: Prices may fluctuate based on market conditions)",[1]Sheet1!$1:$1,[1]Sheet1!80:80)),_xlfn.XLOOKUP("Name Your Ice Cream!",[1]Sheet1!$1:$1,[1]Sheet1!80:80),IF(ISNUMBER(FIND("(", _xlfn.XLOOKUP("Which Flavor? (Pint Price | Quart Price | Half Gallon Price) (NOTE: Prices may fluctuate based on market conditions)",[1]Sheet1!$1:$1,[1]Sheet1!80:80))), LEFT(_xlfn.XLOOKUP("Which Flavor? (Pint Price | Quart Price | Half Gallon Price) (NOTE: Prices may fluctuate based on market conditions)",[1]Sheet1!$1:$1,[1]Sheet1!80:80), FIND("(", _xlfn.XLOOKUP("Which Flavor? (Pint Price | Quart Price | Half Gallon Price) (NOTE: Prices may fluctuate based on market conditions)",[1]Sheet1!$1:$1,[1]Sheet1!80:80)) - 1), _xlfn.XLOOKUP("Which Flavor? (Pint Price | Quart Price | Half Gallon Price) (NOTE: Prices may fluctuate based on market conditions)",[1]Sheet1!$1:$1,[1]Sheet1!80:80)))</f>
        <v>0</v>
      </c>
      <c r="D80" s="31">
        <f>IF(COUNTIF('Premade Flavors'!$A:$A, $C80) &gt; 0,IF(ISBLANK(_xlfn.XLOOKUP("What Ice Cream Base Do You Want To Change It To?",[1]Sheet1!$1:$1,[1]Sheet1!80:80)),_xlfn.XLOOKUP($C80,'Premade Flavors'!$A:$A,'Premade Flavors'!B:B),_xlfn.XLOOKUP("What Ice Cream Base Do You Want To Change It To?",[1]Sheet1!$1:$1,[1]Sheet1!80:80)),_xlfn.XLOOKUP(_xlfn.XLOOKUP("What Kind Of Ice Cream Base Do You Want? ",[1]Sheet1!$1:$1,[1]Sheet1!80:80),'Milk Types Nutrition Per Cup'!O:O,'Milk Types Nutrition Per Cup'!P:P,""))</f>
        <v>0</v>
      </c>
      <c r="E80" s="31">
        <f>IF(COUNTIF('Premade Flavors'!$A:$A, $C80) &gt; 0,IF(ISBLANK(_xlfn.XLOOKUP("What Ice Cream Base Do You Want To Change It To?",[1]Sheet1!$1:$1,[1]Sheet1!80:80)),_xlfn.XLOOKUP($C80,'Premade Flavors'!$A:$A,'Premade Flavors'!C:C),_xlfn.XLOOKUP("What Ice Cream Base Do You Want To Change It To?",[1]Sheet1!$1:$1,[1]Sheet1!80:80)),_xlfn.XLOOKUP(_xlfn.XLOOKUP("What Kind Of Ice Cream Base Do You Want? ",[1]Sheet1!$1:$1,[1]Sheet1!80:80),'Milk Types Nutrition Per Cup'!$O:$O,'Milk Types Nutrition Per Cup'!$Q:$Q,""))</f>
        <v>0</v>
      </c>
      <c r="F80" s="31">
        <f>IF(COUNTIF('Premade Flavors'!$A:$A, $C80) &gt; 0,_xlfn.XLOOKUP($C80,'Premade Flavors'!$A:$A,'Premade Flavors'!E:E),_xlfn.XLOOKUP("What's The First Flavor You Want? ",[1]Sheet1!$1:$1,[1]Sheet1!80:80))</f>
        <v>0</v>
      </c>
      <c r="G80" s="31">
        <f>IF(COUNTIF('Premade Flavors'!$A:$A, $C80) &gt; 0,_xlfn.XLOOKUP($C80,'Premade Flavors'!$A:$A,'Premade Flavors'!F:F),_xlfn.XLOOKUP("What's the Second Flavor You Want?",[1]Sheet1!$1:$1,[1]Sheet1!80:80))</f>
        <v>0</v>
      </c>
      <c r="H80" s="31">
        <f>IF(COUNTIF('Premade Flavors'!$A:$A, $C80) &gt; 0,_xlfn.XLOOKUP($C80,'Premade Flavors'!$A:$A,'Premade Flavors'!G:G),_xlfn.XLOOKUP("What's The First Mix In That You Want? ",[1]Sheet1!$1:$1,[1]Sheet1!80:80))</f>
        <v>0</v>
      </c>
      <c r="I80" s="31">
        <f>IF(COUNTIF('Premade Flavors'!$A:$A, $C78) &gt; 0,_xlfn.XLOOKUP($C78,'Premade Flavors'!$A:$A,'Premade Flavors'!H:H),IF([2]Sheet1!W78= 0,,[2]Sheet1!W78))</f>
        <v>0</v>
      </c>
      <c r="J80" s="31">
        <f>IF(COUNTIF('Premade Flavors'!$A:$A,$C80)&gt;0,IF(_xlfn.XLOOKUP("Should It Use Sugar or A Non-Sugar Sweetner?",[1]Sheet1!$1:$1,[1]Sheet1!80:80)="Sugar",_xlfn.XLOOKUP($C80,'Premade Flavors'!$A:$A,'Premade Flavors'!I:I),"Stevia"),_xlfn.XLOOKUP("What Sweetner Do You Want?",[1]Sheet1!$1:$1,[1]Sheet1!80:80))</f>
        <v>0</v>
      </c>
      <c r="K80" s="31"/>
      <c r="L80" s="77">
        <f>_xlfn.XLOOKUP("How Much Ice Cream Do You Want?",[1]Sheet1!$1:$1,[1]Sheet1!80:80)</f>
        <v>0</v>
      </c>
      <c r="M80" s="45">
        <f>IF(COUNTIF('Premade Flavors'!$A:$A, $C80) &gt; 0,_xlfn.XLOOKUP($C80,'Premade Flavors'!$A:$A,'Premade Flavors'!M:M),_xlfn.XLOOKUP("How Strong Do You Want The First Flavor?",[1]Sheet1!$1:$1,[1]Sheet1!80:80))</f>
        <v>0</v>
      </c>
      <c r="N80" s="45">
        <f>IF(COUNTIF('Premade Flavors'!$A:$A, $C80) &gt; 0,_xlfn.XLOOKUP($C80,'Premade Flavors'!$A:$A,'Premade Flavors'!N:N),_xlfn.XLOOKUP("How Strong Do You Want The Second Flavor?",[1]Sheet1!$1:$1,[1]Sheet1!80:80))</f>
        <v>0</v>
      </c>
      <c r="O80" s="45">
        <f>IF(COUNTIF('Premade Flavors'!$A:$A, $C80) &gt; 0,_xlfn.XLOOKUP($C80,'Premade Flavors'!$A:$A,'Premade Flavors'!O:O),_xlfn.XLOOKUP("How Dense Should the Mix Ins Be?",[1]Sheet1!$1:$1,[1]Sheet1!80:80))</f>
        <v>0</v>
      </c>
      <c r="P80" s="45">
        <f>IF(COUNTIF('Premade Flavors'!$A:$A, $C80) &gt; 0,_xlfn.XLOOKUP($C80,'Premade Flavors'!$A:$A,'Premade Flavors'!P:P),_xlfn.XLOOKUP("How Much Of The First Sweetner? ",[1]Sheet1!$1:$1,[1]Sheet1!80:80))</f>
        <v>0</v>
      </c>
      <c r="Q80" s="45">
        <f>IF(COUNTIF('Premade Flavors'!$A:$A, $C80) &gt; 0,_xlfn.XLOOKUP($C80,'Premade Flavors'!$A:$A,'Premade Flavors'!Q:Q),[2]Sheet1!S80)</f>
        <v>0</v>
      </c>
      <c r="R80" s="30">
        <f>(_xlfn.XLOOKUP($L80,Specs!A:A,Specs!B:B,0)-(IF(_xlfn.XLOOKUP($F80,'Liquid Mix In Nutrition'!A:A,'Liquid Mix In Nutrition'!J:J,0)="Yes",0,$T80))-(IF(_xlfn.XLOOKUP($G80,'Liquid Mix In Nutrition'!A:A,'Liquid Mix In Nutrition'!J:J,0)="Yes",0,$U80))-(($V80/MAX(1,_xlfn.XLOOKUP($H80,'Solid Mix In Nutrition'!A:A,'Solid Mix In Nutrition'!I:I,1)))*240)-(($W80/MAX(1,_xlfn.XLOOKUP($I80,'Solid Mix In Nutrition'!A:A,'Solid Mix In Nutrition'!I:I,1)))*240))*0.66</f>
        <v>0</v>
      </c>
      <c r="S80" s="30">
        <f>(_xlfn.XLOOKUP($L80,Specs!A:A,Specs!B:B,0)-(IF(_xlfn.XLOOKUP($F80,'Liquid Mix In Nutrition'!A:A,'Liquid Mix In Nutrition'!J:J,0)="Yes",0,$T80))-(IF(_xlfn.XLOOKUP($G80,'Liquid Mix In Nutrition'!A:A,'Liquid Mix In Nutrition'!J:J,0)="Yes",0,$U80))-(($V80/MAX(1,_xlfn.XLOOKUP($H80,'Solid Mix In Nutrition'!A:A,'Solid Mix In Nutrition'!I:I,1)))*240)-(($W80/MAX(1,_xlfn.XLOOKUP($I80,'Solid Mix In Nutrition'!A:A,'Solid Mix In Nutrition'!I:I,1)))*240))*0.33</f>
        <v>0</v>
      </c>
      <c r="T80" s="30">
        <f>_xlfn.XLOOKUP($M80,Specs!$D:$D,Specs!$E:$E,0)*15*_xlfn.XLOOKUP($L80,Specs!$A:$A,Specs!$C:$C,0)</f>
        <v>0</v>
      </c>
      <c r="U80" s="30">
        <f>_xlfn.XLOOKUP($N80,Specs!$D:$D,Specs!$E:$E,0)*15*_xlfn.XLOOKUP($L80,Specs!$A:$A,Specs!$C:$C,0)</f>
        <v>0</v>
      </c>
      <c r="V80" s="30">
        <f>( ((_xlfn.XLOOKUP($O80,Specs!$H:$H,Specs!$I:$I,0)*_xlfn.XLOOKUP($L80,Specs!$A:$A,Specs!$B:$B,0))/240) *_xlfn.XLOOKUP($H80,'Solid Mix In Nutrition'!A:A,'Solid Mix In Nutrition'!I:I,0)) *IF(AND(NOT($I80=0), COUNTA($I80)),0.5,1)</f>
        <v>0</v>
      </c>
      <c r="W80" s="30">
        <f>( ((_xlfn.XLOOKUP($O80,Specs!$H:$H,Specs!$I:$I,0)*_xlfn.XLOOKUP($L80,Specs!$A:$A,Specs!$B:$B,0))/240) *_xlfn.XLOOKUP($I80,'Solid Mix In Nutrition'!A:A,'Solid Mix In Nutrition'!I:I,0)) *IF(AND(NOT($I80=0), COUNTA($I80)),0.5,0)</f>
        <v>0</v>
      </c>
      <c r="X80" s="30">
        <f>_xlfn.XLOOKUP($P80,Specs!F:F,Specs!G:G,0)*_xlfn.XLOOKUP($J80,'Sweetener Mix In Nutrition'!A:A,'Sweetener Mix In Nutrition'!I:I,0)*_xlfn.XLOOKUP($L80,Specs!A:A,Specs!C:C,0)</f>
        <v>0</v>
      </c>
      <c r="Y80" s="30">
        <f>_xlfn.XLOOKUP($Q80,Specs!F:F,Specs!G:G,0)*_xlfn.XLOOKUP($K80,'Sweetener Mix In Nutrition'!A:A,'Sweetener Mix In Nutrition'!I:I,0)*_xlfn.XLOOKUP($L80,Specs!A:A,Specs!C:C,0)</f>
        <v>0</v>
      </c>
      <c r="Z80" s="34">
        <f t="shared" si="2"/>
        <v>0</v>
      </c>
      <c r="AA80" s="35">
        <f t="shared" si="3"/>
        <v>0</v>
      </c>
      <c r="AB80" s="36">
        <f>(($R80 / 240) * _xlfn.XLOOKUP($D80,'Milk Types Nutrition Per Cup'!A:A,'Milk Types Nutrition Per Cup'!B:B,0)) +(($S80 / 240)  * _xlfn.XLOOKUP($E80,'Milk Types Nutrition Per Cup'!A:A,'Milk Types Nutrition Per Cup'!B:B,0)) +(($T80 / 15)  * _xlfn.XLOOKUP($F80,'Liquid Mix In Nutrition'!A:A,'Liquid Mix In Nutrition'!B:B,0))+(($U80 / 15)  * _xlfn.XLOOKUP($G80,'Liquid Mix In Nutrition'!A:A,'Liquid Mix In Nutrition'!B:B,0))+(($V80 /MAX(1, _xlfn.XLOOKUP($H80,'Solid Mix In Nutrition'!A:A,'Solid Mix In Nutrition'!I:I,1)))  * _xlfn.XLOOKUP($H80,'Solid Mix In Nutrition'!A:A,'Solid Mix In Nutrition'!B:B,0))+(($W80 / MAX(1, _xlfn.XLOOKUP($I80,'Solid Mix In Nutrition'!A:A,'Solid Mix In Nutrition'!I:I,1))))+(($X80 / 100)  * _xlfn.XLOOKUP($J80,'Sweetener Mix In Nutrition'!A:A,'Sweetener Mix In Nutrition'!B:B,0))+(($Y80 / 100)  * _xlfn.XLOOKUP($K80,'Sweetener Mix In Nutrition'!A:A,'Sweetener Mix In Nutrition'!B:B,0))</f>
        <v>0</v>
      </c>
      <c r="AC80" s="36">
        <f>(($R80 / 240) * _xlfn.XLOOKUP($D80,'Milk Types Nutrition Per Cup'!A:A,'Milk Types Nutrition Per Cup'!E:E,0)) +(($S80 / 240)  * _xlfn.XLOOKUP($E80,'Milk Types Nutrition Per Cup'!A:A,'Milk Types Nutrition Per Cup'!E:E,0)) +(($T80 / 15)  * _xlfn.XLOOKUP($F80,'Liquid Mix In Nutrition'!A:A,'Liquid Mix In Nutrition'!E:E,0)) +(($U80 / 15)  * _xlfn.XLOOKUP($G80,'Liquid Mix In Nutrition'!A:A,'Liquid Mix In Nutrition'!E:E,0))+(($V80 / MAX(1, _xlfn.XLOOKUP($H80,'Solid Mix In Nutrition'!A:A,'Solid Mix In Nutrition'!I:I,1)))  * _xlfn.XLOOKUP($H80,'Solid Mix In Nutrition'!A:A,'Solid Mix In Nutrition'!E:E,0))+(($W80 / MAX(1, _xlfn.XLOOKUP($I80,'Solid Mix In Nutrition'!A:A,'Solid Mix In Nutrition'!I:I,1)))  * _xlfn.XLOOKUP($I80,'Solid Mix In Nutrition'!A:A,'Solid Mix In Nutrition'!G:G,0))+(($X80 / 100)  * _xlfn.XLOOKUP($J80,'Sweetener Mix In Nutrition'!A:A,'Sweetener Mix In Nutrition'!E:E,0))+(($Y80 / 100)  * _xlfn.XLOOKUP($K80,'Sweetener Mix In Nutrition'!A:A,'Sweetener Mix In Nutrition'!E:E,0))</f>
        <v>0</v>
      </c>
      <c r="AD80" s="36">
        <f>(($R80 / 240) * _xlfn.XLOOKUP($D80,'Milk Types Nutrition Per Cup'!A:A,'Milk Types Nutrition Per Cup'!E:E,0)) +(($S80 / 240)  * _xlfn.XLOOKUP($E80,'Milk Types Nutrition Per Cup'!A:A,'Milk Types Nutrition Per Cup'!E:E,0)) +(($T80 / 15)  * _xlfn.XLOOKUP($F80,'Liquid Mix In Nutrition'!A:A,'Liquid Mix In Nutrition'!E:E,0)) +(($U80 / 15)  * _xlfn.XLOOKUP($G80,'Liquid Mix In Nutrition'!A:A,'Liquid Mix In Nutrition'!E:E,0))+(($X80 / 100)  * _xlfn.XLOOKUP($J80,'Sweetener Mix In Nutrition'!A:A,'Sweetener Mix In Nutrition'!E:E,0))+(($Y80 / 100)  * _xlfn.XLOOKUP($K80,'Sweetener Mix In Nutrition'!A:A,'Sweetener Mix In Nutrition'!E:E,0))</f>
        <v>0</v>
      </c>
      <c r="AE80" s="37">
        <f>(($R80 / 240) * _xlfn.XLOOKUP($D80,'Milk Types Nutrition Per Cup'!A:A,'Milk Types Nutrition Per Cup'!C:C,0)) +(($S80 / 240)  * _xlfn.XLOOKUP($E80,'Milk Types Nutrition Per Cup'!A:A,'Milk Types Nutrition Per Cup'!C:C,0)) +(($T80 / 15)  * _xlfn.XLOOKUP($F80,'Liquid Mix In Nutrition'!A:A,'Liquid Mix In Nutrition'!C:C,0))+(($U80 / 15)  * _xlfn.XLOOKUP($G80,'Liquid Mix In Nutrition'!A:A,'Liquid Mix In Nutrition'!C:C,0))+(($V80 / MAX(1, _xlfn.XLOOKUP($H80,'Solid Mix In Nutrition'!A:A,'Solid Mix In Nutrition'!I:I,1)))  * _xlfn.XLOOKUP($H80,'Solid Mix In Nutrition'!A:A,'Solid Mix In Nutrition'!C:C,0))+(($W80 / MAX(1, _xlfn.XLOOKUP($I80,'Solid Mix In Nutrition'!A:A,'Solid Mix In Nutrition'!I:I,1)))  * _xlfn.XLOOKUP($I80,'Solid Mix In Nutrition'!A:A,'Solid Mix In Nutrition'!C:C,0))+(($X80 / 100)  * _xlfn.XLOOKUP($J80,'Sweetener Mix In Nutrition'!A:A,'Sweetener Mix In Nutrition'!C:C,0))+(($Y80 / 100)  * _xlfn.XLOOKUP($K80,'Sweetener Mix In Nutrition'!A:A,'Sweetener Mix In Nutrition'!C:C,0))</f>
        <v>0</v>
      </c>
      <c r="AF80" s="38" t="e">
        <f>$AE80 / (_xlfn.XLOOKUP($L80,Specs!A:A,Specs!B:B,0))</f>
        <v>#DIV/0!</v>
      </c>
      <c r="AG80" s="37" t="e">
        <f>60* ($AB80 / _xlfn.XLOOKUP($L80,Specs!A:A,Specs!B:B,0))</f>
        <v>#DIV/0!</v>
      </c>
      <c r="AH80" s="37" t="e">
        <f>60* (AC80 / _xlfn.XLOOKUP($L80,Specs!$A:$A,Specs!$B:$B,0))</f>
        <v>#DIV/0!</v>
      </c>
      <c r="AI80" s="37" t="e">
        <f>60* (AE80 / _xlfn.XLOOKUP($L80,Specs!$A:$A,Specs!$B:$B,0))</f>
        <v>#DIV/0!</v>
      </c>
      <c r="AJ80" s="39">
        <f>(($R80 / 240) * _xlfn.XLOOKUP($D80,'Milk Types Nutrition Per Cup'!A:A,'Milk Types Nutrition Per Cup'!F:F,0)) +(($S80 / 240)  * _xlfn.XLOOKUP($E80,'Milk Types Nutrition Per Cup'!A:A,'Milk Types Nutrition Per Cup'!F:F,0)) +(($T80 / 15)  * _xlfn.XLOOKUP($F80,'Liquid Mix In Nutrition'!A:A,'Liquid Mix In Nutrition'!F:F,0))+(($U80 / 15)  * _xlfn.XLOOKUP($G80,'Liquid Mix In Nutrition'!A:A,'Liquid Mix In Nutrition'!F:F,0))+(($V80 / MAX(1, _xlfn.XLOOKUP($H80,'Solid Mix In Nutrition'!A:A,'Solid Mix In Nutrition'!I:I,1)))  * _xlfn.XLOOKUP($H80,'Solid Mix In Nutrition'!A:A,'Solid Mix In Nutrition'!F:F,0))+(($W80 / MAX(1, _xlfn.XLOOKUP($I80,'Solid Mix In Nutrition'!A:A,'Solid Mix In Nutrition'!I:I,1)))  * _xlfn.XLOOKUP($I80,'Solid Mix In Nutrition'!A:A,'Solid Mix In Nutrition'!F:F,0))+(($X80 / 100)  * _xlfn.XLOOKUP($J80,'Sweetener Mix In Nutrition'!A:A,'Sweetener Mix In Nutrition'!F:F,0))+(($Y80 / 100)  * _xlfn.XLOOKUP($K80,'Sweetener Mix In Nutrition'!A:A,'Sweetener Mix In Nutrition'!F:F,0))</f>
        <v>0</v>
      </c>
      <c r="AK80" s="46">
        <f>[2]Sheet1!AG80</f>
        <v>0</v>
      </c>
      <c r="AL80" s="47"/>
      <c r="AM80" s="40">
        <f>IF(ISERROR(((AL80/Specs!$L$3)*Specs!$L$2)*2),0,ROUNDUP((((AL80/Specs!$L$3)*Specs!$L$2)*2),0))</f>
        <v>0</v>
      </c>
      <c r="AN80" s="48">
        <f>ROUNDUP(((AJ80+Specs!$R$2+Specs!$S$2+_xlfn.XLOOKUP($L80,Specs!A:A,Specs!V:V,0))*Specs!$N$2)+AM80,0)</f>
        <v>1</v>
      </c>
      <c r="AO80" s="40">
        <f>ROUNDUP(((AJ80+Specs!$R$2+Specs!$S$2+_xlfn.XLOOKUP($L80,Specs!A:A,Specs!V:V,0))*Specs!$N$2),0)</f>
        <v>1</v>
      </c>
      <c r="AP80" s="30"/>
    </row>
    <row r="81" spans="1:42" x14ac:dyDescent="0.25">
      <c r="A81" s="41" t="str">
        <f>_xlfn.CONCAT(_xlfn.XLOOKUP("What's Your Name?",[1]Sheet1!$1:$1,[1]Sheet1!81:81)," | ",TEXT(_xlfn.XLOOKUP("Completion time",[1]Sheet1!$1:$1,[1]Sheet1!81:81),"dddd, mmm dd, yyyy hh:mm AM/PM"))</f>
        <v xml:space="preserve"> | Saturday, Jan 00, 1900 12:00 AM</v>
      </c>
      <c r="B81" s="76">
        <f>_xlfn.XLOOKUP("What's Your Email Address?",[1]Sheet1!$1:$1,[1]Sheet1!81:81)</f>
        <v>0</v>
      </c>
      <c r="C81" s="31">
        <f>IF(ISBLANK(_xlfn.XLOOKUP("Which Flavor? (Pint Price | Quart Price | Half Gallon Price) (NOTE: Prices may fluctuate based on market conditions)",[1]Sheet1!$1:$1,[1]Sheet1!81:81)),_xlfn.XLOOKUP("Name Your Ice Cream!",[1]Sheet1!$1:$1,[1]Sheet1!81:81),IF(ISNUMBER(FIND("(", _xlfn.XLOOKUP("Which Flavor? (Pint Price | Quart Price | Half Gallon Price) (NOTE: Prices may fluctuate based on market conditions)",[1]Sheet1!$1:$1,[1]Sheet1!81:81))), LEFT(_xlfn.XLOOKUP("Which Flavor? (Pint Price | Quart Price | Half Gallon Price) (NOTE: Prices may fluctuate based on market conditions)",[1]Sheet1!$1:$1,[1]Sheet1!81:81), FIND("(", _xlfn.XLOOKUP("Which Flavor? (Pint Price | Quart Price | Half Gallon Price) (NOTE: Prices may fluctuate based on market conditions)",[1]Sheet1!$1:$1,[1]Sheet1!81:81)) - 1), _xlfn.XLOOKUP("Which Flavor? (Pint Price | Quart Price | Half Gallon Price) (NOTE: Prices may fluctuate based on market conditions)",[1]Sheet1!$1:$1,[1]Sheet1!81:81)))</f>
        <v>0</v>
      </c>
      <c r="D81" s="31">
        <f>IF(COUNTIF('Premade Flavors'!$A:$A, $C81) &gt; 0,IF(ISBLANK(_xlfn.XLOOKUP("What Ice Cream Base Do You Want To Change It To?",[1]Sheet1!$1:$1,[1]Sheet1!81:81)),_xlfn.XLOOKUP($C81,'Premade Flavors'!$A:$A,'Premade Flavors'!B:B),_xlfn.XLOOKUP("What Ice Cream Base Do You Want To Change It To?",[1]Sheet1!$1:$1,[1]Sheet1!81:81)),_xlfn.XLOOKUP(_xlfn.XLOOKUP("What Kind Of Ice Cream Base Do You Want? ",[1]Sheet1!$1:$1,[1]Sheet1!81:81),'Milk Types Nutrition Per Cup'!O:O,'Milk Types Nutrition Per Cup'!P:P,""))</f>
        <v>0</v>
      </c>
      <c r="E81" s="31">
        <f>IF(COUNTIF('Premade Flavors'!$A:$A, $C81) &gt; 0,IF(ISBLANK(_xlfn.XLOOKUP("What Ice Cream Base Do You Want To Change It To?",[1]Sheet1!$1:$1,[1]Sheet1!81:81)),_xlfn.XLOOKUP($C81,'Premade Flavors'!$A:$A,'Premade Flavors'!C:C),_xlfn.XLOOKUP("What Ice Cream Base Do You Want To Change It To?",[1]Sheet1!$1:$1,[1]Sheet1!81:81)),_xlfn.XLOOKUP(_xlfn.XLOOKUP("What Kind Of Ice Cream Base Do You Want? ",[1]Sheet1!$1:$1,[1]Sheet1!81:81),'Milk Types Nutrition Per Cup'!$O:$O,'Milk Types Nutrition Per Cup'!$Q:$Q,""))</f>
        <v>0</v>
      </c>
      <c r="F81" s="31">
        <f>IF(COUNTIF('Premade Flavors'!$A:$A, $C81) &gt; 0,_xlfn.XLOOKUP($C81,'Premade Flavors'!$A:$A,'Premade Flavors'!E:E),_xlfn.XLOOKUP("What's The First Flavor You Want? ",[1]Sheet1!$1:$1,[1]Sheet1!81:81))</f>
        <v>0</v>
      </c>
      <c r="G81" s="31">
        <f>IF(COUNTIF('Premade Flavors'!$A:$A, $C81) &gt; 0,_xlfn.XLOOKUP($C81,'Premade Flavors'!$A:$A,'Premade Flavors'!F:F),_xlfn.XLOOKUP("What's the Second Flavor You Want?",[1]Sheet1!$1:$1,[1]Sheet1!81:81))</f>
        <v>0</v>
      </c>
      <c r="H81" s="31">
        <f>IF(COUNTIF('Premade Flavors'!$A:$A, $C81) &gt; 0,_xlfn.XLOOKUP($C81,'Premade Flavors'!$A:$A,'Premade Flavors'!G:G),_xlfn.XLOOKUP("What's The First Mix In That You Want? ",[1]Sheet1!$1:$1,[1]Sheet1!81:81))</f>
        <v>0</v>
      </c>
      <c r="I81" s="31">
        <f>IF(COUNTIF('Premade Flavors'!$A:$A, $C79) &gt; 0,_xlfn.XLOOKUP($C79,'Premade Flavors'!$A:$A,'Premade Flavors'!H:H),IF([2]Sheet1!W79= 0,,[2]Sheet1!W79))</f>
        <v>0</v>
      </c>
      <c r="J81" s="31">
        <f>IF(COUNTIF('Premade Flavors'!$A:$A,$C81)&gt;0,IF(_xlfn.XLOOKUP("Should It Use Sugar or A Non-Sugar Sweetner?",[1]Sheet1!$1:$1,[1]Sheet1!81:81)="Sugar",_xlfn.XLOOKUP($C81,'Premade Flavors'!$A:$A,'Premade Flavors'!I:I),"Stevia"),_xlfn.XLOOKUP("What Sweetner Do You Want?",[1]Sheet1!$1:$1,[1]Sheet1!81:81))</f>
        <v>0</v>
      </c>
      <c r="K81" s="31"/>
      <c r="L81" s="77">
        <f>_xlfn.XLOOKUP("How Much Ice Cream Do You Want?",[1]Sheet1!$1:$1,[1]Sheet1!81:81)</f>
        <v>0</v>
      </c>
      <c r="M81" s="45">
        <f>IF(COUNTIF('Premade Flavors'!$A:$A, $C81) &gt; 0,_xlfn.XLOOKUP($C81,'Premade Flavors'!$A:$A,'Premade Flavors'!M:M),_xlfn.XLOOKUP("How Strong Do You Want The First Flavor?",[1]Sheet1!$1:$1,[1]Sheet1!81:81))</f>
        <v>0</v>
      </c>
      <c r="N81" s="45">
        <f>IF(COUNTIF('Premade Flavors'!$A:$A, $C81) &gt; 0,_xlfn.XLOOKUP($C81,'Premade Flavors'!$A:$A,'Premade Flavors'!N:N),_xlfn.XLOOKUP("How Strong Do You Want The Second Flavor?",[1]Sheet1!$1:$1,[1]Sheet1!81:81))</f>
        <v>0</v>
      </c>
      <c r="O81" s="45">
        <f>IF(COUNTIF('Premade Flavors'!$A:$A, $C81) &gt; 0,_xlfn.XLOOKUP($C81,'Premade Flavors'!$A:$A,'Premade Flavors'!O:O),_xlfn.XLOOKUP("How Dense Should the Mix Ins Be?",[1]Sheet1!$1:$1,[1]Sheet1!81:81))</f>
        <v>0</v>
      </c>
      <c r="P81" s="45">
        <f>IF(COUNTIF('Premade Flavors'!$A:$A, $C81) &gt; 0,_xlfn.XLOOKUP($C81,'Premade Flavors'!$A:$A,'Premade Flavors'!P:P),_xlfn.XLOOKUP("How Much Of The First Sweetner? ",[1]Sheet1!$1:$1,[1]Sheet1!81:81))</f>
        <v>0</v>
      </c>
      <c r="Q81" s="45">
        <f>IF(COUNTIF('Premade Flavors'!$A:$A, $C81) &gt; 0,_xlfn.XLOOKUP($C81,'Premade Flavors'!$A:$A,'Premade Flavors'!Q:Q),[2]Sheet1!S81)</f>
        <v>0</v>
      </c>
      <c r="R81" s="30">
        <f>(_xlfn.XLOOKUP($L81,Specs!A:A,Specs!B:B,0)-(IF(_xlfn.XLOOKUP($F81,'Liquid Mix In Nutrition'!A:A,'Liquid Mix In Nutrition'!J:J,0)="Yes",0,$T81))-(IF(_xlfn.XLOOKUP($G81,'Liquid Mix In Nutrition'!A:A,'Liquid Mix In Nutrition'!J:J,0)="Yes",0,$U81))-(($V81/MAX(1,_xlfn.XLOOKUP($H81,'Solid Mix In Nutrition'!A:A,'Solid Mix In Nutrition'!I:I,1)))*240)-(($W81/MAX(1,_xlfn.XLOOKUP($I81,'Solid Mix In Nutrition'!A:A,'Solid Mix In Nutrition'!I:I,1)))*240))*0.66</f>
        <v>0</v>
      </c>
      <c r="S81" s="30">
        <f>(_xlfn.XLOOKUP($L81,Specs!A:A,Specs!B:B,0)-(IF(_xlfn.XLOOKUP($F81,'Liquid Mix In Nutrition'!A:A,'Liquid Mix In Nutrition'!J:J,0)="Yes",0,$T81))-(IF(_xlfn.XLOOKUP($G81,'Liquid Mix In Nutrition'!A:A,'Liquid Mix In Nutrition'!J:J,0)="Yes",0,$U81))-(($V81/MAX(1,_xlfn.XLOOKUP($H81,'Solid Mix In Nutrition'!A:A,'Solid Mix In Nutrition'!I:I,1)))*240)-(($W81/MAX(1,_xlfn.XLOOKUP($I81,'Solid Mix In Nutrition'!A:A,'Solid Mix In Nutrition'!I:I,1)))*240))*0.33</f>
        <v>0</v>
      </c>
      <c r="T81" s="30">
        <f>_xlfn.XLOOKUP($M81,Specs!$D:$D,Specs!$E:$E,0)*15*_xlfn.XLOOKUP($L81,Specs!$A:$A,Specs!$C:$C,0)</f>
        <v>0</v>
      </c>
      <c r="U81" s="30">
        <f>_xlfn.XLOOKUP($N81,Specs!$D:$D,Specs!$E:$E,0)*15*_xlfn.XLOOKUP($L81,Specs!$A:$A,Specs!$C:$C,0)</f>
        <v>0</v>
      </c>
      <c r="V81" s="30">
        <f>( ((_xlfn.XLOOKUP($O81,Specs!$H:$H,Specs!$I:$I,0)*_xlfn.XLOOKUP($L81,Specs!$A:$A,Specs!$B:$B,0))/240) *_xlfn.XLOOKUP($H81,'Solid Mix In Nutrition'!A:A,'Solid Mix In Nutrition'!I:I,0)) *IF(AND(NOT($I81=0), COUNTA($I81)),0.5,1)</f>
        <v>0</v>
      </c>
      <c r="W81" s="30">
        <f>( ((_xlfn.XLOOKUP($O81,Specs!$H:$H,Specs!$I:$I,0)*_xlfn.XLOOKUP($L81,Specs!$A:$A,Specs!$B:$B,0))/240) *_xlfn.XLOOKUP($I81,'Solid Mix In Nutrition'!A:A,'Solid Mix In Nutrition'!I:I,0)) *IF(AND(NOT($I81=0), COUNTA($I81)),0.5,0)</f>
        <v>0</v>
      </c>
      <c r="X81" s="30">
        <f>_xlfn.XLOOKUP($P81,Specs!F:F,Specs!G:G,0)*_xlfn.XLOOKUP($J81,'Sweetener Mix In Nutrition'!A:A,'Sweetener Mix In Nutrition'!I:I,0)*_xlfn.XLOOKUP($L81,Specs!A:A,Specs!C:C,0)</f>
        <v>0</v>
      </c>
      <c r="Y81" s="30">
        <f>_xlfn.XLOOKUP($Q81,Specs!F:F,Specs!G:G,0)*_xlfn.XLOOKUP($K81,'Sweetener Mix In Nutrition'!A:A,'Sweetener Mix In Nutrition'!I:I,0)*_xlfn.XLOOKUP($L81,Specs!A:A,Specs!C:C,0)</f>
        <v>0</v>
      </c>
      <c r="Z81" s="34">
        <f t="shared" si="2"/>
        <v>0</v>
      </c>
      <c r="AA81" s="35">
        <f t="shared" si="3"/>
        <v>0</v>
      </c>
      <c r="AB81" s="36">
        <f>(($R81 / 240) * _xlfn.XLOOKUP($D81,'Milk Types Nutrition Per Cup'!A:A,'Milk Types Nutrition Per Cup'!B:B,0)) +(($S81 / 240)  * _xlfn.XLOOKUP($E81,'Milk Types Nutrition Per Cup'!A:A,'Milk Types Nutrition Per Cup'!B:B,0)) +(($T81 / 15)  * _xlfn.XLOOKUP($F81,'Liquid Mix In Nutrition'!A:A,'Liquid Mix In Nutrition'!B:B,0))+(($U81 / 15)  * _xlfn.XLOOKUP($G81,'Liquid Mix In Nutrition'!A:A,'Liquid Mix In Nutrition'!B:B,0))+(($V81 /MAX(1, _xlfn.XLOOKUP($H81,'Solid Mix In Nutrition'!A:A,'Solid Mix In Nutrition'!I:I,1)))  * _xlfn.XLOOKUP($H81,'Solid Mix In Nutrition'!A:A,'Solid Mix In Nutrition'!B:B,0))+(($W81 / MAX(1, _xlfn.XLOOKUP($I81,'Solid Mix In Nutrition'!A:A,'Solid Mix In Nutrition'!I:I,1))))+(($X81 / 100)  * _xlfn.XLOOKUP($J81,'Sweetener Mix In Nutrition'!A:A,'Sweetener Mix In Nutrition'!B:B,0))+(($Y81 / 100)  * _xlfn.XLOOKUP($K81,'Sweetener Mix In Nutrition'!A:A,'Sweetener Mix In Nutrition'!B:B,0))</f>
        <v>0</v>
      </c>
      <c r="AC81" s="36">
        <f>(($R81 / 240) * _xlfn.XLOOKUP($D81,'Milk Types Nutrition Per Cup'!A:A,'Milk Types Nutrition Per Cup'!E:E,0)) +(($S81 / 240)  * _xlfn.XLOOKUP($E81,'Milk Types Nutrition Per Cup'!A:A,'Milk Types Nutrition Per Cup'!E:E,0)) +(($T81 / 15)  * _xlfn.XLOOKUP($F81,'Liquid Mix In Nutrition'!A:A,'Liquid Mix In Nutrition'!E:E,0)) +(($U81 / 15)  * _xlfn.XLOOKUP($G81,'Liquid Mix In Nutrition'!A:A,'Liquid Mix In Nutrition'!E:E,0))+(($V81 / MAX(1, _xlfn.XLOOKUP($H81,'Solid Mix In Nutrition'!A:A,'Solid Mix In Nutrition'!I:I,1)))  * _xlfn.XLOOKUP($H81,'Solid Mix In Nutrition'!A:A,'Solid Mix In Nutrition'!E:E,0))+(($W81 / MAX(1, _xlfn.XLOOKUP($I81,'Solid Mix In Nutrition'!A:A,'Solid Mix In Nutrition'!I:I,1)))  * _xlfn.XLOOKUP($I81,'Solid Mix In Nutrition'!A:A,'Solid Mix In Nutrition'!G:G,0))+(($X81 / 100)  * _xlfn.XLOOKUP($J81,'Sweetener Mix In Nutrition'!A:A,'Sweetener Mix In Nutrition'!E:E,0))+(($Y81 / 100)  * _xlfn.XLOOKUP($K81,'Sweetener Mix In Nutrition'!A:A,'Sweetener Mix In Nutrition'!E:E,0))</f>
        <v>0</v>
      </c>
      <c r="AD81" s="36">
        <f>(($R81 / 240) * _xlfn.XLOOKUP($D81,'Milk Types Nutrition Per Cup'!A:A,'Milk Types Nutrition Per Cup'!E:E,0)) +(($S81 / 240)  * _xlfn.XLOOKUP($E81,'Milk Types Nutrition Per Cup'!A:A,'Milk Types Nutrition Per Cup'!E:E,0)) +(($T81 / 15)  * _xlfn.XLOOKUP($F81,'Liquid Mix In Nutrition'!A:A,'Liquid Mix In Nutrition'!E:E,0)) +(($U81 / 15)  * _xlfn.XLOOKUP($G81,'Liquid Mix In Nutrition'!A:A,'Liquid Mix In Nutrition'!E:E,0))+(($X81 / 100)  * _xlfn.XLOOKUP($J81,'Sweetener Mix In Nutrition'!A:A,'Sweetener Mix In Nutrition'!E:E,0))+(($Y81 / 100)  * _xlfn.XLOOKUP($K81,'Sweetener Mix In Nutrition'!A:A,'Sweetener Mix In Nutrition'!E:E,0))</f>
        <v>0</v>
      </c>
      <c r="AE81" s="37">
        <f>(($R81 / 240) * _xlfn.XLOOKUP($D81,'Milk Types Nutrition Per Cup'!A:A,'Milk Types Nutrition Per Cup'!C:C,0)) +(($S81 / 240)  * _xlfn.XLOOKUP($E81,'Milk Types Nutrition Per Cup'!A:A,'Milk Types Nutrition Per Cup'!C:C,0)) +(($T81 / 15)  * _xlfn.XLOOKUP($F81,'Liquid Mix In Nutrition'!A:A,'Liquid Mix In Nutrition'!C:C,0))+(($U81 / 15)  * _xlfn.XLOOKUP($G81,'Liquid Mix In Nutrition'!A:A,'Liquid Mix In Nutrition'!C:C,0))+(($V81 / MAX(1, _xlfn.XLOOKUP($H81,'Solid Mix In Nutrition'!A:A,'Solid Mix In Nutrition'!I:I,1)))  * _xlfn.XLOOKUP($H81,'Solid Mix In Nutrition'!A:A,'Solid Mix In Nutrition'!C:C,0))+(($W81 / MAX(1, _xlfn.XLOOKUP($I81,'Solid Mix In Nutrition'!A:A,'Solid Mix In Nutrition'!I:I,1)))  * _xlfn.XLOOKUP($I81,'Solid Mix In Nutrition'!A:A,'Solid Mix In Nutrition'!C:C,0))+(($X81 / 100)  * _xlfn.XLOOKUP($J81,'Sweetener Mix In Nutrition'!A:A,'Sweetener Mix In Nutrition'!C:C,0))+(($Y81 / 100)  * _xlfn.XLOOKUP($K81,'Sweetener Mix In Nutrition'!A:A,'Sweetener Mix In Nutrition'!C:C,0))</f>
        <v>0</v>
      </c>
      <c r="AF81" s="38" t="e">
        <f>$AE81 / (_xlfn.XLOOKUP($L81,Specs!A:A,Specs!B:B,0))</f>
        <v>#DIV/0!</v>
      </c>
      <c r="AG81" s="37" t="e">
        <f>60* ($AB81 / _xlfn.XLOOKUP($L81,Specs!A:A,Specs!B:B,0))</f>
        <v>#DIV/0!</v>
      </c>
      <c r="AH81" s="37" t="e">
        <f>60* (AC81 / _xlfn.XLOOKUP($L81,Specs!$A:$A,Specs!$B:$B,0))</f>
        <v>#DIV/0!</v>
      </c>
      <c r="AI81" s="37" t="e">
        <f>60* (AE81 / _xlfn.XLOOKUP($L81,Specs!$A:$A,Specs!$B:$B,0))</f>
        <v>#DIV/0!</v>
      </c>
      <c r="AJ81" s="39">
        <f>(($R81 / 240) * _xlfn.XLOOKUP($D81,'Milk Types Nutrition Per Cup'!A:A,'Milk Types Nutrition Per Cup'!F:F,0)) +(($S81 / 240)  * _xlfn.XLOOKUP($E81,'Milk Types Nutrition Per Cup'!A:A,'Milk Types Nutrition Per Cup'!F:F,0)) +(($T81 / 15)  * _xlfn.XLOOKUP($F81,'Liquid Mix In Nutrition'!A:A,'Liquid Mix In Nutrition'!F:F,0))+(($U81 / 15)  * _xlfn.XLOOKUP($G81,'Liquid Mix In Nutrition'!A:A,'Liquid Mix In Nutrition'!F:F,0))+(($V81 / MAX(1, _xlfn.XLOOKUP($H81,'Solid Mix In Nutrition'!A:A,'Solid Mix In Nutrition'!I:I,1)))  * _xlfn.XLOOKUP($H81,'Solid Mix In Nutrition'!A:A,'Solid Mix In Nutrition'!F:F,0))+(($W81 / MAX(1, _xlfn.XLOOKUP($I81,'Solid Mix In Nutrition'!A:A,'Solid Mix In Nutrition'!I:I,1)))  * _xlfn.XLOOKUP($I81,'Solid Mix In Nutrition'!A:A,'Solid Mix In Nutrition'!F:F,0))+(($X81 / 100)  * _xlfn.XLOOKUP($J81,'Sweetener Mix In Nutrition'!A:A,'Sweetener Mix In Nutrition'!F:F,0))+(($Y81 / 100)  * _xlfn.XLOOKUP($K81,'Sweetener Mix In Nutrition'!A:A,'Sweetener Mix In Nutrition'!F:F,0))</f>
        <v>0</v>
      </c>
      <c r="AK81" s="46">
        <f>[2]Sheet1!AG81</f>
        <v>0</v>
      </c>
      <c r="AL81" s="47"/>
      <c r="AM81" s="40">
        <f>IF(ISERROR(((AL81/Specs!$L$3)*Specs!$L$2)*2),0,ROUNDUP((((AL81/Specs!$L$3)*Specs!$L$2)*2),0))</f>
        <v>0</v>
      </c>
      <c r="AN81" s="48">
        <f>ROUNDUP(((AJ81+Specs!$R$2+Specs!$S$2+_xlfn.XLOOKUP($L81,Specs!A:A,Specs!V:V,0))*Specs!$N$2)+AM81,0)</f>
        <v>1</v>
      </c>
      <c r="AO81" s="40">
        <f>ROUNDUP(((AJ81+Specs!$R$2+Specs!$S$2+_xlfn.XLOOKUP($L81,Specs!A:A,Specs!V:V,0))*Specs!$N$2),0)</f>
        <v>1</v>
      </c>
      <c r="AP81" s="30"/>
    </row>
    <row r="82" spans="1:42" x14ac:dyDescent="0.25">
      <c r="A82" s="41" t="str">
        <f>_xlfn.CONCAT(_xlfn.XLOOKUP("What's Your Name?",[1]Sheet1!$1:$1,[1]Sheet1!82:82)," | ",TEXT(_xlfn.XLOOKUP("Completion time",[1]Sheet1!$1:$1,[1]Sheet1!82:82),"dddd, mmm dd, yyyy hh:mm AM/PM"))</f>
        <v xml:space="preserve"> | Saturday, Jan 00, 1900 12:00 AM</v>
      </c>
      <c r="B82" s="76">
        <f>_xlfn.XLOOKUP("What's Your Email Address?",[1]Sheet1!$1:$1,[1]Sheet1!82:82)</f>
        <v>0</v>
      </c>
      <c r="C82" s="31">
        <f>IF(ISBLANK(_xlfn.XLOOKUP("Which Flavor? (Pint Price | Quart Price | Half Gallon Price) (NOTE: Prices may fluctuate based on market conditions)",[1]Sheet1!$1:$1,[1]Sheet1!82:82)),_xlfn.XLOOKUP("Name Your Ice Cream!",[1]Sheet1!$1:$1,[1]Sheet1!82:82),IF(ISNUMBER(FIND("(", _xlfn.XLOOKUP("Which Flavor? (Pint Price | Quart Price | Half Gallon Price) (NOTE: Prices may fluctuate based on market conditions)",[1]Sheet1!$1:$1,[1]Sheet1!82:82))), LEFT(_xlfn.XLOOKUP("Which Flavor? (Pint Price | Quart Price | Half Gallon Price) (NOTE: Prices may fluctuate based on market conditions)",[1]Sheet1!$1:$1,[1]Sheet1!82:82), FIND("(", _xlfn.XLOOKUP("Which Flavor? (Pint Price | Quart Price | Half Gallon Price) (NOTE: Prices may fluctuate based on market conditions)",[1]Sheet1!$1:$1,[1]Sheet1!82:82)) - 1), _xlfn.XLOOKUP("Which Flavor? (Pint Price | Quart Price | Half Gallon Price) (NOTE: Prices may fluctuate based on market conditions)",[1]Sheet1!$1:$1,[1]Sheet1!82:82)))</f>
        <v>0</v>
      </c>
      <c r="D82" s="31">
        <f>IF(COUNTIF('Premade Flavors'!$A:$A, $C82) &gt; 0,IF(ISBLANK(_xlfn.XLOOKUP("What Ice Cream Base Do You Want To Change It To?",[1]Sheet1!$1:$1,[1]Sheet1!82:82)),_xlfn.XLOOKUP($C82,'Premade Flavors'!$A:$A,'Premade Flavors'!B:B),_xlfn.XLOOKUP("What Ice Cream Base Do You Want To Change It To?",[1]Sheet1!$1:$1,[1]Sheet1!82:82)),_xlfn.XLOOKUP(_xlfn.XLOOKUP("What Kind Of Ice Cream Base Do You Want? ",[1]Sheet1!$1:$1,[1]Sheet1!82:82),'Milk Types Nutrition Per Cup'!O:O,'Milk Types Nutrition Per Cup'!P:P,""))</f>
        <v>0</v>
      </c>
      <c r="E82" s="31">
        <f>IF(COUNTIF('Premade Flavors'!$A:$A, $C82) &gt; 0,IF(ISBLANK(_xlfn.XLOOKUP("What Ice Cream Base Do You Want To Change It To?",[1]Sheet1!$1:$1,[1]Sheet1!82:82)),_xlfn.XLOOKUP($C82,'Premade Flavors'!$A:$A,'Premade Flavors'!C:C),_xlfn.XLOOKUP("What Ice Cream Base Do You Want To Change It To?",[1]Sheet1!$1:$1,[1]Sheet1!82:82)),_xlfn.XLOOKUP(_xlfn.XLOOKUP("What Kind Of Ice Cream Base Do You Want? ",[1]Sheet1!$1:$1,[1]Sheet1!82:82),'Milk Types Nutrition Per Cup'!$O:$O,'Milk Types Nutrition Per Cup'!$Q:$Q,""))</f>
        <v>0</v>
      </c>
      <c r="F82" s="31">
        <f>IF(COUNTIF('Premade Flavors'!$A:$A, $C82) &gt; 0,_xlfn.XLOOKUP($C82,'Premade Flavors'!$A:$A,'Premade Flavors'!E:E),_xlfn.XLOOKUP("What's The First Flavor You Want? ",[1]Sheet1!$1:$1,[1]Sheet1!82:82))</f>
        <v>0</v>
      </c>
      <c r="G82" s="31">
        <f>IF(COUNTIF('Premade Flavors'!$A:$A, $C82) &gt; 0,_xlfn.XLOOKUP($C82,'Premade Flavors'!$A:$A,'Premade Flavors'!F:F),_xlfn.XLOOKUP("What's the Second Flavor You Want?",[1]Sheet1!$1:$1,[1]Sheet1!82:82))</f>
        <v>0</v>
      </c>
      <c r="H82" s="31">
        <f>IF(COUNTIF('Premade Flavors'!$A:$A, $C82) &gt; 0,_xlfn.XLOOKUP($C82,'Premade Flavors'!$A:$A,'Premade Flavors'!G:G),_xlfn.XLOOKUP("What's The First Mix In That You Want? ",[1]Sheet1!$1:$1,[1]Sheet1!82:82))</f>
        <v>0</v>
      </c>
      <c r="I82" s="31">
        <f>IF(COUNTIF('Premade Flavors'!$A:$A, $C80) &gt; 0,_xlfn.XLOOKUP($C80,'Premade Flavors'!$A:$A,'Premade Flavors'!H:H),IF([2]Sheet1!W80= 0,,[2]Sheet1!W80))</f>
        <v>0</v>
      </c>
      <c r="J82" s="31">
        <f>IF(COUNTIF('Premade Flavors'!$A:$A,$C82)&gt;0,IF(_xlfn.XLOOKUP("Should It Use Sugar or A Non-Sugar Sweetner?",[1]Sheet1!$1:$1,[1]Sheet1!82:82)="Sugar",_xlfn.XLOOKUP($C82,'Premade Flavors'!$A:$A,'Premade Flavors'!I:I),"Stevia"),_xlfn.XLOOKUP("What Sweetner Do You Want?",[1]Sheet1!$1:$1,[1]Sheet1!82:82))</f>
        <v>0</v>
      </c>
      <c r="K82" s="31"/>
      <c r="L82" s="77">
        <f>_xlfn.XLOOKUP("How Much Ice Cream Do You Want?",[1]Sheet1!$1:$1,[1]Sheet1!82:82)</f>
        <v>0</v>
      </c>
      <c r="M82" s="45">
        <f>IF(COUNTIF('Premade Flavors'!$A:$A, $C82) &gt; 0,_xlfn.XLOOKUP($C82,'Premade Flavors'!$A:$A,'Premade Flavors'!M:M),_xlfn.XLOOKUP("How Strong Do You Want The First Flavor?",[1]Sheet1!$1:$1,[1]Sheet1!82:82))</f>
        <v>0</v>
      </c>
      <c r="N82" s="45">
        <f>IF(COUNTIF('Premade Flavors'!$A:$A, $C82) &gt; 0,_xlfn.XLOOKUP($C82,'Premade Flavors'!$A:$A,'Premade Flavors'!N:N),_xlfn.XLOOKUP("How Strong Do You Want The Second Flavor?",[1]Sheet1!$1:$1,[1]Sheet1!82:82))</f>
        <v>0</v>
      </c>
      <c r="O82" s="45">
        <f>IF(COUNTIF('Premade Flavors'!$A:$A, $C82) &gt; 0,_xlfn.XLOOKUP($C82,'Premade Flavors'!$A:$A,'Premade Flavors'!O:O),_xlfn.XLOOKUP("How Dense Should the Mix Ins Be?",[1]Sheet1!$1:$1,[1]Sheet1!82:82))</f>
        <v>0</v>
      </c>
      <c r="P82" s="45">
        <f>IF(COUNTIF('Premade Flavors'!$A:$A, $C82) &gt; 0,_xlfn.XLOOKUP($C82,'Premade Flavors'!$A:$A,'Premade Flavors'!P:P),_xlfn.XLOOKUP("How Much Of The First Sweetner? ",[1]Sheet1!$1:$1,[1]Sheet1!82:82))</f>
        <v>0</v>
      </c>
      <c r="Q82" s="45">
        <f>IF(COUNTIF('Premade Flavors'!$A:$A, $C82) &gt; 0,_xlfn.XLOOKUP($C82,'Premade Flavors'!$A:$A,'Premade Flavors'!Q:Q),[2]Sheet1!S82)</f>
        <v>0</v>
      </c>
      <c r="R82" s="30">
        <f>(_xlfn.XLOOKUP($L82,Specs!A:A,Specs!B:B,0)-(IF(_xlfn.XLOOKUP($F82,'Liquid Mix In Nutrition'!A:A,'Liquid Mix In Nutrition'!J:J,0)="Yes",0,$T82))-(IF(_xlfn.XLOOKUP($G82,'Liquid Mix In Nutrition'!A:A,'Liquid Mix In Nutrition'!J:J,0)="Yes",0,$U82))-(($V82/MAX(1,_xlfn.XLOOKUP($H82,'Solid Mix In Nutrition'!A:A,'Solid Mix In Nutrition'!I:I,1)))*240)-(($W82/MAX(1,_xlfn.XLOOKUP($I82,'Solid Mix In Nutrition'!A:A,'Solid Mix In Nutrition'!I:I,1)))*240))*0.66</f>
        <v>0</v>
      </c>
      <c r="S82" s="30">
        <f>(_xlfn.XLOOKUP($L82,Specs!A:A,Specs!B:B,0)-(IF(_xlfn.XLOOKUP($F82,'Liquid Mix In Nutrition'!A:A,'Liquid Mix In Nutrition'!J:J,0)="Yes",0,$T82))-(IF(_xlfn.XLOOKUP($G82,'Liquid Mix In Nutrition'!A:A,'Liquid Mix In Nutrition'!J:J,0)="Yes",0,$U82))-(($V82/MAX(1,_xlfn.XLOOKUP($H82,'Solid Mix In Nutrition'!A:A,'Solid Mix In Nutrition'!I:I,1)))*240)-(($W82/MAX(1,_xlfn.XLOOKUP($I82,'Solid Mix In Nutrition'!A:A,'Solid Mix In Nutrition'!I:I,1)))*240))*0.33</f>
        <v>0</v>
      </c>
      <c r="T82" s="30">
        <f>_xlfn.XLOOKUP($M82,Specs!$D:$D,Specs!$E:$E,0)*15*_xlfn.XLOOKUP($L82,Specs!$A:$A,Specs!$C:$C,0)</f>
        <v>0</v>
      </c>
      <c r="U82" s="30">
        <f>_xlfn.XLOOKUP($N82,Specs!$D:$D,Specs!$E:$E,0)*15*_xlfn.XLOOKUP($L82,Specs!$A:$A,Specs!$C:$C,0)</f>
        <v>0</v>
      </c>
      <c r="V82" s="30">
        <f>( ((_xlfn.XLOOKUP($O82,Specs!$H:$H,Specs!$I:$I,0)*_xlfn.XLOOKUP($L82,Specs!$A:$A,Specs!$B:$B,0))/240) *_xlfn.XLOOKUP($H82,'Solid Mix In Nutrition'!A:A,'Solid Mix In Nutrition'!I:I,0)) *IF(AND(NOT($I82=0), COUNTA($I82)),0.5,1)</f>
        <v>0</v>
      </c>
      <c r="W82" s="30">
        <f>( ((_xlfn.XLOOKUP($O82,Specs!$H:$H,Specs!$I:$I,0)*_xlfn.XLOOKUP($L82,Specs!$A:$A,Specs!$B:$B,0))/240) *_xlfn.XLOOKUP($I82,'Solid Mix In Nutrition'!A:A,'Solid Mix In Nutrition'!I:I,0)) *IF(AND(NOT($I82=0), COUNTA($I82)),0.5,0)</f>
        <v>0</v>
      </c>
      <c r="X82" s="30">
        <f>_xlfn.XLOOKUP($P82,Specs!F:F,Specs!G:G,0)*_xlfn.XLOOKUP($J82,'Sweetener Mix In Nutrition'!A:A,'Sweetener Mix In Nutrition'!I:I,0)*_xlfn.XLOOKUP($L82,Specs!A:A,Specs!C:C,0)</f>
        <v>0</v>
      </c>
      <c r="Y82" s="30">
        <f>_xlfn.XLOOKUP($Q82,Specs!F:F,Specs!G:G,0)*_xlfn.XLOOKUP($K82,'Sweetener Mix In Nutrition'!A:A,'Sweetener Mix In Nutrition'!I:I,0)*_xlfn.XLOOKUP($L82,Specs!A:A,Specs!C:C,0)</f>
        <v>0</v>
      </c>
      <c r="Z82" s="34">
        <f t="shared" si="2"/>
        <v>0</v>
      </c>
      <c r="AA82" s="35">
        <f t="shared" si="3"/>
        <v>0</v>
      </c>
      <c r="AB82" s="36">
        <f>(($R82 / 240) * _xlfn.XLOOKUP($D82,'Milk Types Nutrition Per Cup'!A:A,'Milk Types Nutrition Per Cup'!B:B,0)) +(($S82 / 240)  * _xlfn.XLOOKUP($E82,'Milk Types Nutrition Per Cup'!A:A,'Milk Types Nutrition Per Cup'!B:B,0)) +(($T82 / 15)  * _xlfn.XLOOKUP($F82,'Liquid Mix In Nutrition'!A:A,'Liquid Mix In Nutrition'!B:B,0))+(($U82 / 15)  * _xlfn.XLOOKUP($G82,'Liquid Mix In Nutrition'!A:A,'Liquid Mix In Nutrition'!B:B,0))+(($V82 /MAX(1, _xlfn.XLOOKUP($H82,'Solid Mix In Nutrition'!A:A,'Solid Mix In Nutrition'!I:I,1)))  * _xlfn.XLOOKUP($H82,'Solid Mix In Nutrition'!A:A,'Solid Mix In Nutrition'!B:B,0))+(($W82 / MAX(1, _xlfn.XLOOKUP($I82,'Solid Mix In Nutrition'!A:A,'Solid Mix In Nutrition'!I:I,1))))+(($X82 / 100)  * _xlfn.XLOOKUP($J82,'Sweetener Mix In Nutrition'!A:A,'Sweetener Mix In Nutrition'!B:B,0))+(($Y82 / 100)  * _xlfn.XLOOKUP($K82,'Sweetener Mix In Nutrition'!A:A,'Sweetener Mix In Nutrition'!B:B,0))</f>
        <v>0</v>
      </c>
      <c r="AC82" s="36">
        <f>(($R82 / 240) * _xlfn.XLOOKUP($D82,'Milk Types Nutrition Per Cup'!A:A,'Milk Types Nutrition Per Cup'!E:E,0)) +(($S82 / 240)  * _xlfn.XLOOKUP($E82,'Milk Types Nutrition Per Cup'!A:A,'Milk Types Nutrition Per Cup'!E:E,0)) +(($T82 / 15)  * _xlfn.XLOOKUP($F82,'Liquid Mix In Nutrition'!A:A,'Liquid Mix In Nutrition'!E:E,0)) +(($U82 / 15)  * _xlfn.XLOOKUP($G82,'Liquid Mix In Nutrition'!A:A,'Liquid Mix In Nutrition'!E:E,0))+(($V82 / MAX(1, _xlfn.XLOOKUP($H82,'Solid Mix In Nutrition'!A:A,'Solid Mix In Nutrition'!I:I,1)))  * _xlfn.XLOOKUP($H82,'Solid Mix In Nutrition'!A:A,'Solid Mix In Nutrition'!E:E,0))+(($W82 / MAX(1, _xlfn.XLOOKUP($I82,'Solid Mix In Nutrition'!A:A,'Solid Mix In Nutrition'!I:I,1)))  * _xlfn.XLOOKUP($I82,'Solid Mix In Nutrition'!A:A,'Solid Mix In Nutrition'!G:G,0))+(($X82 / 100)  * _xlfn.XLOOKUP($J82,'Sweetener Mix In Nutrition'!A:A,'Sweetener Mix In Nutrition'!E:E,0))+(($Y82 / 100)  * _xlfn.XLOOKUP($K82,'Sweetener Mix In Nutrition'!A:A,'Sweetener Mix In Nutrition'!E:E,0))</f>
        <v>0</v>
      </c>
      <c r="AD82" s="36">
        <f>(($R82 / 240) * _xlfn.XLOOKUP($D82,'Milk Types Nutrition Per Cup'!A:A,'Milk Types Nutrition Per Cup'!E:E,0)) +(($S82 / 240)  * _xlfn.XLOOKUP($E82,'Milk Types Nutrition Per Cup'!A:A,'Milk Types Nutrition Per Cup'!E:E,0)) +(($T82 / 15)  * _xlfn.XLOOKUP($F82,'Liquid Mix In Nutrition'!A:A,'Liquid Mix In Nutrition'!E:E,0)) +(($U82 / 15)  * _xlfn.XLOOKUP($G82,'Liquid Mix In Nutrition'!A:A,'Liquid Mix In Nutrition'!E:E,0))+(($X82 / 100)  * _xlfn.XLOOKUP($J82,'Sweetener Mix In Nutrition'!A:A,'Sweetener Mix In Nutrition'!E:E,0))+(($Y82 / 100)  * _xlfn.XLOOKUP($K82,'Sweetener Mix In Nutrition'!A:A,'Sweetener Mix In Nutrition'!E:E,0))</f>
        <v>0</v>
      </c>
      <c r="AE82" s="37">
        <f>(($R82 / 240) * _xlfn.XLOOKUP($D82,'Milk Types Nutrition Per Cup'!A:A,'Milk Types Nutrition Per Cup'!C:C,0)) +(($S82 / 240)  * _xlfn.XLOOKUP($E82,'Milk Types Nutrition Per Cup'!A:A,'Milk Types Nutrition Per Cup'!C:C,0)) +(($T82 / 15)  * _xlfn.XLOOKUP($F82,'Liquid Mix In Nutrition'!A:A,'Liquid Mix In Nutrition'!C:C,0))+(($U82 / 15)  * _xlfn.XLOOKUP($G82,'Liquid Mix In Nutrition'!A:A,'Liquid Mix In Nutrition'!C:C,0))+(($V82 / MAX(1, _xlfn.XLOOKUP($H82,'Solid Mix In Nutrition'!A:A,'Solid Mix In Nutrition'!I:I,1)))  * _xlfn.XLOOKUP($H82,'Solid Mix In Nutrition'!A:A,'Solid Mix In Nutrition'!C:C,0))+(($W82 / MAX(1, _xlfn.XLOOKUP($I82,'Solid Mix In Nutrition'!A:A,'Solid Mix In Nutrition'!I:I,1)))  * _xlfn.XLOOKUP($I82,'Solid Mix In Nutrition'!A:A,'Solid Mix In Nutrition'!C:C,0))+(($X82 / 100)  * _xlfn.XLOOKUP($J82,'Sweetener Mix In Nutrition'!A:A,'Sweetener Mix In Nutrition'!C:C,0))+(($Y82 / 100)  * _xlfn.XLOOKUP($K82,'Sweetener Mix In Nutrition'!A:A,'Sweetener Mix In Nutrition'!C:C,0))</f>
        <v>0</v>
      </c>
      <c r="AF82" s="38" t="e">
        <f>$AE82 / (_xlfn.XLOOKUP($L82,Specs!A:A,Specs!B:B,0))</f>
        <v>#DIV/0!</v>
      </c>
      <c r="AG82" s="37" t="e">
        <f>60* ($AB82 / _xlfn.XLOOKUP($L82,Specs!A:A,Specs!B:B,0))</f>
        <v>#DIV/0!</v>
      </c>
      <c r="AH82" s="37" t="e">
        <f>60* (AC82 / _xlfn.XLOOKUP($L82,Specs!$A:$A,Specs!$B:$B,0))</f>
        <v>#DIV/0!</v>
      </c>
      <c r="AI82" s="37" t="e">
        <f>60* (AE82 / _xlfn.XLOOKUP($L82,Specs!$A:$A,Specs!$B:$B,0))</f>
        <v>#DIV/0!</v>
      </c>
      <c r="AJ82" s="39">
        <f>(($R82 / 240) * _xlfn.XLOOKUP($D82,'Milk Types Nutrition Per Cup'!A:A,'Milk Types Nutrition Per Cup'!F:F,0)) +(($S82 / 240)  * _xlfn.XLOOKUP($E82,'Milk Types Nutrition Per Cup'!A:A,'Milk Types Nutrition Per Cup'!F:F,0)) +(($T82 / 15)  * _xlfn.XLOOKUP($F82,'Liquid Mix In Nutrition'!A:A,'Liquid Mix In Nutrition'!F:F,0))+(($U82 / 15)  * _xlfn.XLOOKUP($G82,'Liquid Mix In Nutrition'!A:A,'Liquid Mix In Nutrition'!F:F,0))+(($V82 / MAX(1, _xlfn.XLOOKUP($H82,'Solid Mix In Nutrition'!A:A,'Solid Mix In Nutrition'!I:I,1)))  * _xlfn.XLOOKUP($H82,'Solid Mix In Nutrition'!A:A,'Solid Mix In Nutrition'!F:F,0))+(($W82 / MAX(1, _xlfn.XLOOKUP($I82,'Solid Mix In Nutrition'!A:A,'Solid Mix In Nutrition'!I:I,1)))  * _xlfn.XLOOKUP($I82,'Solid Mix In Nutrition'!A:A,'Solid Mix In Nutrition'!F:F,0))+(($X82 / 100)  * _xlfn.XLOOKUP($J82,'Sweetener Mix In Nutrition'!A:A,'Sweetener Mix In Nutrition'!F:F,0))+(($Y82 / 100)  * _xlfn.XLOOKUP($K82,'Sweetener Mix In Nutrition'!A:A,'Sweetener Mix In Nutrition'!F:F,0))</f>
        <v>0</v>
      </c>
      <c r="AK82" s="46">
        <f>[2]Sheet1!AG82</f>
        <v>0</v>
      </c>
      <c r="AL82" s="47"/>
      <c r="AM82" s="40">
        <f>IF(ISERROR(((AL82/Specs!$L$3)*Specs!$L$2)*2),0,ROUNDUP((((AL82/Specs!$L$3)*Specs!$L$2)*2),0))</f>
        <v>0</v>
      </c>
      <c r="AN82" s="48">
        <f>ROUNDUP(((AJ82+Specs!$R$2+Specs!$S$2+_xlfn.XLOOKUP($L82,Specs!A:A,Specs!V:V,0))*Specs!$N$2)+AM82,0)</f>
        <v>1</v>
      </c>
      <c r="AO82" s="40">
        <f>ROUNDUP(((AJ82+Specs!$R$2+Specs!$S$2+_xlfn.XLOOKUP($L82,Specs!A:A,Specs!V:V,0))*Specs!$N$2),0)</f>
        <v>1</v>
      </c>
      <c r="AP82" s="30"/>
    </row>
    <row r="83" spans="1:42" x14ac:dyDescent="0.25">
      <c r="A83" s="41" t="str">
        <f>_xlfn.CONCAT(_xlfn.XLOOKUP("What's Your Name?",[1]Sheet1!$1:$1,[1]Sheet1!83:83)," | ",TEXT(_xlfn.XLOOKUP("Completion time",[1]Sheet1!$1:$1,[1]Sheet1!83:83),"dddd, mmm dd, yyyy hh:mm AM/PM"))</f>
        <v xml:space="preserve"> | Saturday, Jan 00, 1900 12:00 AM</v>
      </c>
      <c r="B83" s="76">
        <f>_xlfn.XLOOKUP("What's Your Email Address?",[1]Sheet1!$1:$1,[1]Sheet1!83:83)</f>
        <v>0</v>
      </c>
      <c r="C83" s="31">
        <f>IF(ISBLANK(_xlfn.XLOOKUP("Which Flavor? (Pint Price | Quart Price | Half Gallon Price) (NOTE: Prices may fluctuate based on market conditions)",[1]Sheet1!$1:$1,[1]Sheet1!83:83)),_xlfn.XLOOKUP("Name Your Ice Cream!",[1]Sheet1!$1:$1,[1]Sheet1!83:83),IF(ISNUMBER(FIND("(", _xlfn.XLOOKUP("Which Flavor? (Pint Price | Quart Price | Half Gallon Price) (NOTE: Prices may fluctuate based on market conditions)",[1]Sheet1!$1:$1,[1]Sheet1!83:83))), LEFT(_xlfn.XLOOKUP("Which Flavor? (Pint Price | Quart Price | Half Gallon Price) (NOTE: Prices may fluctuate based on market conditions)",[1]Sheet1!$1:$1,[1]Sheet1!83:83), FIND("(", _xlfn.XLOOKUP("Which Flavor? (Pint Price | Quart Price | Half Gallon Price) (NOTE: Prices may fluctuate based on market conditions)",[1]Sheet1!$1:$1,[1]Sheet1!83:83)) - 1), _xlfn.XLOOKUP("Which Flavor? (Pint Price | Quart Price | Half Gallon Price) (NOTE: Prices may fluctuate based on market conditions)",[1]Sheet1!$1:$1,[1]Sheet1!83:83)))</f>
        <v>0</v>
      </c>
      <c r="D83" s="31">
        <f>IF(COUNTIF('Premade Flavors'!$A:$A, $C83) &gt; 0,IF(ISBLANK(_xlfn.XLOOKUP("What Ice Cream Base Do You Want To Change It To?",[1]Sheet1!$1:$1,[1]Sheet1!83:83)),_xlfn.XLOOKUP($C83,'Premade Flavors'!$A:$A,'Premade Flavors'!B:B),_xlfn.XLOOKUP("What Ice Cream Base Do You Want To Change It To?",[1]Sheet1!$1:$1,[1]Sheet1!83:83)),_xlfn.XLOOKUP(_xlfn.XLOOKUP("What Kind Of Ice Cream Base Do You Want? ",[1]Sheet1!$1:$1,[1]Sheet1!83:83),'Milk Types Nutrition Per Cup'!O:O,'Milk Types Nutrition Per Cup'!P:P,""))</f>
        <v>0</v>
      </c>
      <c r="E83" s="31">
        <f>IF(COUNTIF('Premade Flavors'!$A:$A, $C83) &gt; 0,IF(ISBLANK(_xlfn.XLOOKUP("What Ice Cream Base Do You Want To Change It To?",[1]Sheet1!$1:$1,[1]Sheet1!83:83)),_xlfn.XLOOKUP($C83,'Premade Flavors'!$A:$A,'Premade Flavors'!C:C),_xlfn.XLOOKUP("What Ice Cream Base Do You Want To Change It To?",[1]Sheet1!$1:$1,[1]Sheet1!83:83)),_xlfn.XLOOKUP(_xlfn.XLOOKUP("What Kind Of Ice Cream Base Do You Want? ",[1]Sheet1!$1:$1,[1]Sheet1!83:83),'Milk Types Nutrition Per Cup'!$O:$O,'Milk Types Nutrition Per Cup'!$Q:$Q,""))</f>
        <v>0</v>
      </c>
      <c r="F83" s="31">
        <f>IF(COUNTIF('Premade Flavors'!$A:$A, $C83) &gt; 0,_xlfn.XLOOKUP($C83,'Premade Flavors'!$A:$A,'Premade Flavors'!E:E),_xlfn.XLOOKUP("What's The First Flavor You Want? ",[1]Sheet1!$1:$1,[1]Sheet1!83:83))</f>
        <v>0</v>
      </c>
      <c r="G83" s="31">
        <f>IF(COUNTIF('Premade Flavors'!$A:$A, $C83) &gt; 0,_xlfn.XLOOKUP($C83,'Premade Flavors'!$A:$A,'Premade Flavors'!F:F),_xlfn.XLOOKUP("What's the Second Flavor You Want?",[1]Sheet1!$1:$1,[1]Sheet1!83:83))</f>
        <v>0</v>
      </c>
      <c r="H83" s="31">
        <f>IF(COUNTIF('Premade Flavors'!$A:$A, $C83) &gt; 0,_xlfn.XLOOKUP($C83,'Premade Flavors'!$A:$A,'Premade Flavors'!G:G),_xlfn.XLOOKUP("What's The First Mix In That You Want? ",[1]Sheet1!$1:$1,[1]Sheet1!83:83))</f>
        <v>0</v>
      </c>
      <c r="I83" s="31">
        <f>IF(COUNTIF('Premade Flavors'!$A:$A, $C81) &gt; 0,_xlfn.XLOOKUP($C81,'Premade Flavors'!$A:$A,'Premade Flavors'!H:H),IF([2]Sheet1!W81= 0,,[2]Sheet1!W81))</f>
        <v>0</v>
      </c>
      <c r="J83" s="31">
        <f>IF(COUNTIF('Premade Flavors'!$A:$A,$C83)&gt;0,IF(_xlfn.XLOOKUP("Should It Use Sugar or A Non-Sugar Sweetner?",[1]Sheet1!$1:$1,[1]Sheet1!83:83)="Sugar",_xlfn.XLOOKUP($C83,'Premade Flavors'!$A:$A,'Premade Flavors'!I:I),"Stevia"),_xlfn.XLOOKUP("What Sweetner Do You Want?",[1]Sheet1!$1:$1,[1]Sheet1!83:83))</f>
        <v>0</v>
      </c>
      <c r="K83" s="31"/>
      <c r="L83" s="77">
        <f>_xlfn.XLOOKUP("How Much Ice Cream Do You Want?",[1]Sheet1!$1:$1,[1]Sheet1!83:83)</f>
        <v>0</v>
      </c>
      <c r="M83" s="45">
        <f>IF(COUNTIF('Premade Flavors'!$A:$A, $C83) &gt; 0,_xlfn.XLOOKUP($C83,'Premade Flavors'!$A:$A,'Premade Flavors'!M:M),_xlfn.XLOOKUP("How Strong Do You Want The First Flavor?",[1]Sheet1!$1:$1,[1]Sheet1!83:83))</f>
        <v>0</v>
      </c>
      <c r="N83" s="45">
        <f>IF(COUNTIF('Premade Flavors'!$A:$A, $C83) &gt; 0,_xlfn.XLOOKUP($C83,'Premade Flavors'!$A:$A,'Premade Flavors'!N:N),_xlfn.XLOOKUP("How Strong Do You Want The Second Flavor?",[1]Sheet1!$1:$1,[1]Sheet1!83:83))</f>
        <v>0</v>
      </c>
      <c r="O83" s="45">
        <f>IF(COUNTIF('Premade Flavors'!$A:$A, $C83) &gt; 0,_xlfn.XLOOKUP($C83,'Premade Flavors'!$A:$A,'Premade Flavors'!O:O),_xlfn.XLOOKUP("How Dense Should the Mix Ins Be?",[1]Sheet1!$1:$1,[1]Sheet1!83:83))</f>
        <v>0</v>
      </c>
      <c r="P83" s="45">
        <f>IF(COUNTIF('Premade Flavors'!$A:$A, $C83) &gt; 0,_xlfn.XLOOKUP($C83,'Premade Flavors'!$A:$A,'Premade Flavors'!P:P),_xlfn.XLOOKUP("How Much Of The First Sweetner? ",[1]Sheet1!$1:$1,[1]Sheet1!83:83))</f>
        <v>0</v>
      </c>
      <c r="Q83" s="45">
        <f>IF(COUNTIF('Premade Flavors'!$A:$A, $C83) &gt; 0,_xlfn.XLOOKUP($C83,'Premade Flavors'!$A:$A,'Premade Flavors'!Q:Q),[2]Sheet1!S83)</f>
        <v>0</v>
      </c>
      <c r="R83" s="30">
        <f>(_xlfn.XLOOKUP($L83,Specs!A:A,Specs!B:B,0)-(IF(_xlfn.XLOOKUP($F83,'Liquid Mix In Nutrition'!A:A,'Liquid Mix In Nutrition'!J:J,0)="Yes",0,$T83))-(IF(_xlfn.XLOOKUP($G83,'Liquid Mix In Nutrition'!A:A,'Liquid Mix In Nutrition'!J:J,0)="Yes",0,$U83))-(($V83/MAX(1,_xlfn.XLOOKUP($H83,'Solid Mix In Nutrition'!A:A,'Solid Mix In Nutrition'!I:I,1)))*240)-(($W83/MAX(1,_xlfn.XLOOKUP($I83,'Solid Mix In Nutrition'!A:A,'Solid Mix In Nutrition'!I:I,1)))*240))*0.66</f>
        <v>0</v>
      </c>
      <c r="S83" s="30">
        <f>(_xlfn.XLOOKUP($L83,Specs!A:A,Specs!B:B,0)-(IF(_xlfn.XLOOKUP($F83,'Liquid Mix In Nutrition'!A:A,'Liquid Mix In Nutrition'!J:J,0)="Yes",0,$T83))-(IF(_xlfn.XLOOKUP($G83,'Liquid Mix In Nutrition'!A:A,'Liquid Mix In Nutrition'!J:J,0)="Yes",0,$U83))-(($V83/MAX(1,_xlfn.XLOOKUP($H83,'Solid Mix In Nutrition'!A:A,'Solid Mix In Nutrition'!I:I,1)))*240)-(($W83/MAX(1,_xlfn.XLOOKUP($I83,'Solid Mix In Nutrition'!A:A,'Solid Mix In Nutrition'!I:I,1)))*240))*0.33</f>
        <v>0</v>
      </c>
      <c r="T83" s="30">
        <f>_xlfn.XLOOKUP($M83,Specs!$D:$D,Specs!$E:$E,0)*15*_xlfn.XLOOKUP($L83,Specs!$A:$A,Specs!$C:$C,0)</f>
        <v>0</v>
      </c>
      <c r="U83" s="30">
        <f>_xlfn.XLOOKUP($N83,Specs!$D:$D,Specs!$E:$E,0)*15*_xlfn.XLOOKUP($L83,Specs!$A:$A,Specs!$C:$C,0)</f>
        <v>0</v>
      </c>
      <c r="V83" s="30">
        <f>( ((_xlfn.XLOOKUP($O83,Specs!$H:$H,Specs!$I:$I,0)*_xlfn.XLOOKUP($L83,Specs!$A:$A,Specs!$B:$B,0))/240) *_xlfn.XLOOKUP($H83,'Solid Mix In Nutrition'!A:A,'Solid Mix In Nutrition'!I:I,0)) *IF(AND(NOT($I83=0), COUNTA($I83)),0.5,1)</f>
        <v>0</v>
      </c>
      <c r="W83" s="30">
        <f>( ((_xlfn.XLOOKUP($O83,Specs!$H:$H,Specs!$I:$I,0)*_xlfn.XLOOKUP($L83,Specs!$A:$A,Specs!$B:$B,0))/240) *_xlfn.XLOOKUP($I83,'Solid Mix In Nutrition'!A:A,'Solid Mix In Nutrition'!I:I,0)) *IF(AND(NOT($I83=0), COUNTA($I83)),0.5,0)</f>
        <v>0</v>
      </c>
      <c r="X83" s="30">
        <f>_xlfn.XLOOKUP($P83,Specs!F:F,Specs!G:G,0)*_xlfn.XLOOKUP($J83,'Sweetener Mix In Nutrition'!A:A,'Sweetener Mix In Nutrition'!I:I,0)*_xlfn.XLOOKUP($L83,Specs!A:A,Specs!C:C,0)</f>
        <v>0</v>
      </c>
      <c r="Y83" s="30">
        <f>_xlfn.XLOOKUP($Q83,Specs!F:F,Specs!G:G,0)*_xlfn.XLOOKUP($K83,'Sweetener Mix In Nutrition'!A:A,'Sweetener Mix In Nutrition'!I:I,0)*_xlfn.XLOOKUP($L83,Specs!A:A,Specs!C:C,0)</f>
        <v>0</v>
      </c>
      <c r="Z83" s="34">
        <f t="shared" si="2"/>
        <v>0</v>
      </c>
      <c r="AA83" s="35">
        <f t="shared" si="3"/>
        <v>0</v>
      </c>
      <c r="AB83" s="36">
        <f>(($R83 / 240) * _xlfn.XLOOKUP($D83,'Milk Types Nutrition Per Cup'!A:A,'Milk Types Nutrition Per Cup'!B:B,0)) +(($S83 / 240)  * _xlfn.XLOOKUP($E83,'Milk Types Nutrition Per Cup'!A:A,'Milk Types Nutrition Per Cup'!B:B,0)) +(($T83 / 15)  * _xlfn.XLOOKUP($F83,'Liquid Mix In Nutrition'!A:A,'Liquid Mix In Nutrition'!B:B,0))+(($U83 / 15)  * _xlfn.XLOOKUP($G83,'Liquid Mix In Nutrition'!A:A,'Liquid Mix In Nutrition'!B:B,0))+(($V83 /MAX(1, _xlfn.XLOOKUP($H83,'Solid Mix In Nutrition'!A:A,'Solid Mix In Nutrition'!I:I,1)))  * _xlfn.XLOOKUP($H83,'Solid Mix In Nutrition'!A:A,'Solid Mix In Nutrition'!B:B,0))+(($W83 / MAX(1, _xlfn.XLOOKUP($I83,'Solid Mix In Nutrition'!A:A,'Solid Mix In Nutrition'!I:I,1))))+(($X83 / 100)  * _xlfn.XLOOKUP($J83,'Sweetener Mix In Nutrition'!A:A,'Sweetener Mix In Nutrition'!B:B,0))+(($Y83 / 100)  * _xlfn.XLOOKUP($K83,'Sweetener Mix In Nutrition'!A:A,'Sweetener Mix In Nutrition'!B:B,0))</f>
        <v>0</v>
      </c>
      <c r="AC83" s="36">
        <f>(($R83 / 240) * _xlfn.XLOOKUP($D83,'Milk Types Nutrition Per Cup'!A:A,'Milk Types Nutrition Per Cup'!E:E,0)) +(($S83 / 240)  * _xlfn.XLOOKUP($E83,'Milk Types Nutrition Per Cup'!A:A,'Milk Types Nutrition Per Cup'!E:E,0)) +(($T83 / 15)  * _xlfn.XLOOKUP($F83,'Liquid Mix In Nutrition'!A:A,'Liquid Mix In Nutrition'!E:E,0)) +(($U83 / 15)  * _xlfn.XLOOKUP($G83,'Liquid Mix In Nutrition'!A:A,'Liquid Mix In Nutrition'!E:E,0))+(($V83 / MAX(1, _xlfn.XLOOKUP($H83,'Solid Mix In Nutrition'!A:A,'Solid Mix In Nutrition'!I:I,1)))  * _xlfn.XLOOKUP($H83,'Solid Mix In Nutrition'!A:A,'Solid Mix In Nutrition'!E:E,0))+(($W83 / MAX(1, _xlfn.XLOOKUP($I83,'Solid Mix In Nutrition'!A:A,'Solid Mix In Nutrition'!I:I,1)))  * _xlfn.XLOOKUP($I83,'Solid Mix In Nutrition'!A:A,'Solid Mix In Nutrition'!G:G,0))+(($X83 / 100)  * _xlfn.XLOOKUP($J83,'Sweetener Mix In Nutrition'!A:A,'Sweetener Mix In Nutrition'!E:E,0))+(($Y83 / 100)  * _xlfn.XLOOKUP($K83,'Sweetener Mix In Nutrition'!A:A,'Sweetener Mix In Nutrition'!E:E,0))</f>
        <v>0</v>
      </c>
      <c r="AD83" s="36">
        <f>(($R83 / 240) * _xlfn.XLOOKUP($D83,'Milk Types Nutrition Per Cup'!A:A,'Milk Types Nutrition Per Cup'!E:E,0)) +(($S83 / 240)  * _xlfn.XLOOKUP($E83,'Milk Types Nutrition Per Cup'!A:A,'Milk Types Nutrition Per Cup'!E:E,0)) +(($T83 / 15)  * _xlfn.XLOOKUP($F83,'Liquid Mix In Nutrition'!A:A,'Liquid Mix In Nutrition'!E:E,0)) +(($U83 / 15)  * _xlfn.XLOOKUP($G83,'Liquid Mix In Nutrition'!A:A,'Liquid Mix In Nutrition'!E:E,0))+(($X83 / 100)  * _xlfn.XLOOKUP($J83,'Sweetener Mix In Nutrition'!A:A,'Sweetener Mix In Nutrition'!E:E,0))+(($Y83 / 100)  * _xlfn.XLOOKUP($K83,'Sweetener Mix In Nutrition'!A:A,'Sweetener Mix In Nutrition'!E:E,0))</f>
        <v>0</v>
      </c>
      <c r="AE83" s="37">
        <f>(($R83 / 240) * _xlfn.XLOOKUP($D83,'Milk Types Nutrition Per Cup'!A:A,'Milk Types Nutrition Per Cup'!C:C,0)) +(($S83 / 240)  * _xlfn.XLOOKUP($E83,'Milk Types Nutrition Per Cup'!A:A,'Milk Types Nutrition Per Cup'!C:C,0)) +(($T83 / 15)  * _xlfn.XLOOKUP($F83,'Liquid Mix In Nutrition'!A:A,'Liquid Mix In Nutrition'!C:C,0))+(($U83 / 15)  * _xlfn.XLOOKUP($G83,'Liquid Mix In Nutrition'!A:A,'Liquid Mix In Nutrition'!C:C,0))+(($V83 / MAX(1, _xlfn.XLOOKUP($H83,'Solid Mix In Nutrition'!A:A,'Solid Mix In Nutrition'!I:I,1)))  * _xlfn.XLOOKUP($H83,'Solid Mix In Nutrition'!A:A,'Solid Mix In Nutrition'!C:C,0))+(($W83 / MAX(1, _xlfn.XLOOKUP($I83,'Solid Mix In Nutrition'!A:A,'Solid Mix In Nutrition'!I:I,1)))  * _xlfn.XLOOKUP($I83,'Solid Mix In Nutrition'!A:A,'Solid Mix In Nutrition'!C:C,0))+(($X83 / 100)  * _xlfn.XLOOKUP($J83,'Sweetener Mix In Nutrition'!A:A,'Sweetener Mix In Nutrition'!C:C,0))+(($Y83 / 100)  * _xlfn.XLOOKUP($K83,'Sweetener Mix In Nutrition'!A:A,'Sweetener Mix In Nutrition'!C:C,0))</f>
        <v>0</v>
      </c>
      <c r="AF83" s="38" t="e">
        <f>$AE83 / (_xlfn.XLOOKUP($L83,Specs!A:A,Specs!B:B,0))</f>
        <v>#DIV/0!</v>
      </c>
      <c r="AG83" s="37" t="e">
        <f>60* ($AB83 / _xlfn.XLOOKUP($L83,Specs!A:A,Specs!B:B,0))</f>
        <v>#DIV/0!</v>
      </c>
      <c r="AH83" s="37" t="e">
        <f>60* (AC83 / _xlfn.XLOOKUP($L83,Specs!$A:$A,Specs!$B:$B,0))</f>
        <v>#DIV/0!</v>
      </c>
      <c r="AI83" s="37" t="e">
        <f>60* (AE83 / _xlfn.XLOOKUP($L83,Specs!$A:$A,Specs!$B:$B,0))</f>
        <v>#DIV/0!</v>
      </c>
      <c r="AJ83" s="39">
        <f>(($R83 / 240) * _xlfn.XLOOKUP($D83,'Milk Types Nutrition Per Cup'!A:A,'Milk Types Nutrition Per Cup'!F:F,0)) +(($S83 / 240)  * _xlfn.XLOOKUP($E83,'Milk Types Nutrition Per Cup'!A:A,'Milk Types Nutrition Per Cup'!F:F,0)) +(($T83 / 15)  * _xlfn.XLOOKUP($F83,'Liquid Mix In Nutrition'!A:A,'Liquid Mix In Nutrition'!F:F,0))+(($U83 / 15)  * _xlfn.XLOOKUP($G83,'Liquid Mix In Nutrition'!A:A,'Liquid Mix In Nutrition'!F:F,0))+(($V83 / MAX(1, _xlfn.XLOOKUP($H83,'Solid Mix In Nutrition'!A:A,'Solid Mix In Nutrition'!I:I,1)))  * _xlfn.XLOOKUP($H83,'Solid Mix In Nutrition'!A:A,'Solid Mix In Nutrition'!F:F,0))+(($W83 / MAX(1, _xlfn.XLOOKUP($I83,'Solid Mix In Nutrition'!A:A,'Solid Mix In Nutrition'!I:I,1)))  * _xlfn.XLOOKUP($I83,'Solid Mix In Nutrition'!A:A,'Solid Mix In Nutrition'!F:F,0))+(($X83 / 100)  * _xlfn.XLOOKUP($J83,'Sweetener Mix In Nutrition'!A:A,'Sweetener Mix In Nutrition'!F:F,0))+(($Y83 / 100)  * _xlfn.XLOOKUP($K83,'Sweetener Mix In Nutrition'!A:A,'Sweetener Mix In Nutrition'!F:F,0))</f>
        <v>0</v>
      </c>
      <c r="AK83" s="46">
        <f>[2]Sheet1!AG83</f>
        <v>0</v>
      </c>
      <c r="AL83" s="47"/>
      <c r="AM83" s="40">
        <f>IF(ISERROR(((AL83/Specs!$L$3)*Specs!$L$2)*2),0,ROUNDUP((((AL83/Specs!$L$3)*Specs!$L$2)*2),0))</f>
        <v>0</v>
      </c>
      <c r="AN83" s="48">
        <f>ROUNDUP(((AJ83+Specs!$R$2+Specs!$S$2+_xlfn.XLOOKUP($L83,Specs!A:A,Specs!V:V,0))*Specs!$N$2)+AM83,0)</f>
        <v>1</v>
      </c>
      <c r="AO83" s="40">
        <f>ROUNDUP(((AJ83+Specs!$R$2+Specs!$S$2+_xlfn.XLOOKUP($L83,Specs!A:A,Specs!V:V,0))*Specs!$N$2),0)</f>
        <v>1</v>
      </c>
      <c r="AP83" s="30"/>
    </row>
    <row r="84" spans="1:42" x14ac:dyDescent="0.25">
      <c r="A84" s="41" t="str">
        <f>_xlfn.CONCAT(_xlfn.XLOOKUP("What's Your Name?",[1]Sheet1!$1:$1,[1]Sheet1!84:84)," | ",TEXT(_xlfn.XLOOKUP("Completion time",[1]Sheet1!$1:$1,[1]Sheet1!84:84),"dddd, mmm dd, yyyy hh:mm AM/PM"))</f>
        <v xml:space="preserve"> | Saturday, Jan 00, 1900 12:00 AM</v>
      </c>
      <c r="B84" s="76">
        <f>_xlfn.XLOOKUP("What's Your Email Address?",[1]Sheet1!$1:$1,[1]Sheet1!84:84)</f>
        <v>0</v>
      </c>
      <c r="C84" s="31">
        <f>IF(ISBLANK(_xlfn.XLOOKUP("Which Flavor? (Pint Price | Quart Price | Half Gallon Price) (NOTE: Prices may fluctuate based on market conditions)",[1]Sheet1!$1:$1,[1]Sheet1!84:84)),_xlfn.XLOOKUP("Name Your Ice Cream!",[1]Sheet1!$1:$1,[1]Sheet1!84:84),IF(ISNUMBER(FIND("(", _xlfn.XLOOKUP("Which Flavor? (Pint Price | Quart Price | Half Gallon Price) (NOTE: Prices may fluctuate based on market conditions)",[1]Sheet1!$1:$1,[1]Sheet1!84:84))), LEFT(_xlfn.XLOOKUP("Which Flavor? (Pint Price | Quart Price | Half Gallon Price) (NOTE: Prices may fluctuate based on market conditions)",[1]Sheet1!$1:$1,[1]Sheet1!84:84), FIND("(", _xlfn.XLOOKUP("Which Flavor? (Pint Price | Quart Price | Half Gallon Price) (NOTE: Prices may fluctuate based on market conditions)",[1]Sheet1!$1:$1,[1]Sheet1!84:84)) - 1), _xlfn.XLOOKUP("Which Flavor? (Pint Price | Quart Price | Half Gallon Price) (NOTE: Prices may fluctuate based on market conditions)",[1]Sheet1!$1:$1,[1]Sheet1!84:84)))</f>
        <v>0</v>
      </c>
      <c r="D84" s="31">
        <f>IF(COUNTIF('Premade Flavors'!$A:$A, $C84) &gt; 0,IF(ISBLANK(_xlfn.XLOOKUP("What Ice Cream Base Do You Want To Change It To?",[1]Sheet1!$1:$1,[1]Sheet1!84:84)),_xlfn.XLOOKUP($C84,'Premade Flavors'!$A:$A,'Premade Flavors'!B:B),_xlfn.XLOOKUP("What Ice Cream Base Do You Want To Change It To?",[1]Sheet1!$1:$1,[1]Sheet1!84:84)),_xlfn.XLOOKUP(_xlfn.XLOOKUP("What Kind Of Ice Cream Base Do You Want? ",[1]Sheet1!$1:$1,[1]Sheet1!84:84),'Milk Types Nutrition Per Cup'!O:O,'Milk Types Nutrition Per Cup'!P:P,""))</f>
        <v>0</v>
      </c>
      <c r="E84" s="31">
        <f>IF(COUNTIF('Premade Flavors'!$A:$A, $C84) &gt; 0,IF(ISBLANK(_xlfn.XLOOKUP("What Ice Cream Base Do You Want To Change It To?",[1]Sheet1!$1:$1,[1]Sheet1!84:84)),_xlfn.XLOOKUP($C84,'Premade Flavors'!$A:$A,'Premade Flavors'!C:C),_xlfn.XLOOKUP("What Ice Cream Base Do You Want To Change It To?",[1]Sheet1!$1:$1,[1]Sheet1!84:84)),_xlfn.XLOOKUP(_xlfn.XLOOKUP("What Kind Of Ice Cream Base Do You Want? ",[1]Sheet1!$1:$1,[1]Sheet1!84:84),'Milk Types Nutrition Per Cup'!$O:$O,'Milk Types Nutrition Per Cup'!$Q:$Q,""))</f>
        <v>0</v>
      </c>
      <c r="F84" s="31">
        <f>IF(COUNTIF('Premade Flavors'!$A:$A, $C84) &gt; 0,_xlfn.XLOOKUP($C84,'Premade Flavors'!$A:$A,'Premade Flavors'!E:E),_xlfn.XLOOKUP("What's The First Flavor You Want? ",[1]Sheet1!$1:$1,[1]Sheet1!84:84))</f>
        <v>0</v>
      </c>
      <c r="G84" s="31">
        <f>IF(COUNTIF('Premade Flavors'!$A:$A, $C84) &gt; 0,_xlfn.XLOOKUP($C84,'Premade Flavors'!$A:$A,'Premade Flavors'!F:F),_xlfn.XLOOKUP("What's the Second Flavor You Want?",[1]Sheet1!$1:$1,[1]Sheet1!84:84))</f>
        <v>0</v>
      </c>
      <c r="H84" s="31">
        <f>IF(COUNTIF('Premade Flavors'!$A:$A, $C84) &gt; 0,_xlfn.XLOOKUP($C84,'Premade Flavors'!$A:$A,'Premade Flavors'!G:G),_xlfn.XLOOKUP("What's The First Mix In That You Want? ",[1]Sheet1!$1:$1,[1]Sheet1!84:84))</f>
        <v>0</v>
      </c>
      <c r="I84" s="31">
        <f>IF(COUNTIF('Premade Flavors'!$A:$A, $C82) &gt; 0,_xlfn.XLOOKUP($C82,'Premade Flavors'!$A:$A,'Premade Flavors'!H:H),IF([2]Sheet1!W82= 0,,[2]Sheet1!W82))</f>
        <v>0</v>
      </c>
      <c r="J84" s="31">
        <f>IF(COUNTIF('Premade Flavors'!$A:$A,$C84)&gt;0,IF(_xlfn.XLOOKUP("Should It Use Sugar or A Non-Sugar Sweetner?",[1]Sheet1!$1:$1,[1]Sheet1!84:84)="Sugar",_xlfn.XLOOKUP($C84,'Premade Flavors'!$A:$A,'Premade Flavors'!I:I),"Stevia"),_xlfn.XLOOKUP("What Sweetner Do You Want?",[1]Sheet1!$1:$1,[1]Sheet1!84:84))</f>
        <v>0</v>
      </c>
      <c r="K84" s="31"/>
      <c r="L84" s="77">
        <f>_xlfn.XLOOKUP("How Much Ice Cream Do You Want?",[1]Sheet1!$1:$1,[1]Sheet1!84:84)</f>
        <v>0</v>
      </c>
      <c r="M84" s="45">
        <f>IF(COUNTIF('Premade Flavors'!$A:$A, $C84) &gt; 0,_xlfn.XLOOKUP($C84,'Premade Flavors'!$A:$A,'Premade Flavors'!M:M),_xlfn.XLOOKUP("How Strong Do You Want The First Flavor?",[1]Sheet1!$1:$1,[1]Sheet1!84:84))</f>
        <v>0</v>
      </c>
      <c r="N84" s="45">
        <f>IF(COUNTIF('Premade Flavors'!$A:$A, $C84) &gt; 0,_xlfn.XLOOKUP($C84,'Premade Flavors'!$A:$A,'Premade Flavors'!N:N),_xlfn.XLOOKUP("How Strong Do You Want The Second Flavor?",[1]Sheet1!$1:$1,[1]Sheet1!84:84))</f>
        <v>0</v>
      </c>
      <c r="O84" s="45">
        <f>IF(COUNTIF('Premade Flavors'!$A:$A, $C84) &gt; 0,_xlfn.XLOOKUP($C84,'Premade Flavors'!$A:$A,'Premade Flavors'!O:O),_xlfn.XLOOKUP("How Dense Should the Mix Ins Be?",[1]Sheet1!$1:$1,[1]Sheet1!84:84))</f>
        <v>0</v>
      </c>
      <c r="P84" s="45">
        <f>IF(COUNTIF('Premade Flavors'!$A:$A, $C84) &gt; 0,_xlfn.XLOOKUP($C84,'Premade Flavors'!$A:$A,'Premade Flavors'!P:P),_xlfn.XLOOKUP("How Much Of The First Sweetner? ",[1]Sheet1!$1:$1,[1]Sheet1!84:84))</f>
        <v>0</v>
      </c>
      <c r="Q84" s="45">
        <f>IF(COUNTIF('Premade Flavors'!$A:$A, $C84) &gt; 0,_xlfn.XLOOKUP($C84,'Premade Flavors'!$A:$A,'Premade Flavors'!Q:Q),[2]Sheet1!S84)</f>
        <v>0</v>
      </c>
      <c r="R84" s="30">
        <f>(_xlfn.XLOOKUP($L84,Specs!A:A,Specs!B:B,0)-(IF(_xlfn.XLOOKUP($F84,'Liquid Mix In Nutrition'!A:A,'Liquid Mix In Nutrition'!J:J,0)="Yes",0,$T84))-(IF(_xlfn.XLOOKUP($G84,'Liquid Mix In Nutrition'!A:A,'Liquid Mix In Nutrition'!J:J,0)="Yes",0,$U84))-(($V84/MAX(1,_xlfn.XLOOKUP($H84,'Solid Mix In Nutrition'!A:A,'Solid Mix In Nutrition'!I:I,1)))*240)-(($W84/MAX(1,_xlfn.XLOOKUP($I84,'Solid Mix In Nutrition'!A:A,'Solid Mix In Nutrition'!I:I,1)))*240))*0.66</f>
        <v>0</v>
      </c>
      <c r="S84" s="30">
        <f>(_xlfn.XLOOKUP($L84,Specs!A:A,Specs!B:B,0)-(IF(_xlfn.XLOOKUP($F84,'Liquid Mix In Nutrition'!A:A,'Liquid Mix In Nutrition'!J:J,0)="Yes",0,$T84))-(IF(_xlfn.XLOOKUP($G84,'Liquid Mix In Nutrition'!A:A,'Liquid Mix In Nutrition'!J:J,0)="Yes",0,$U84))-(($V84/MAX(1,_xlfn.XLOOKUP($H84,'Solid Mix In Nutrition'!A:A,'Solid Mix In Nutrition'!I:I,1)))*240)-(($W84/MAX(1,_xlfn.XLOOKUP($I84,'Solid Mix In Nutrition'!A:A,'Solid Mix In Nutrition'!I:I,1)))*240))*0.33</f>
        <v>0</v>
      </c>
      <c r="T84" s="30">
        <f>_xlfn.XLOOKUP($M84,Specs!$D:$D,Specs!$E:$E,0)*15*_xlfn.XLOOKUP($L84,Specs!$A:$A,Specs!$C:$C,0)</f>
        <v>0</v>
      </c>
      <c r="U84" s="30">
        <f>_xlfn.XLOOKUP($N84,Specs!$D:$D,Specs!$E:$E,0)*15*_xlfn.XLOOKUP($L84,Specs!$A:$A,Specs!$C:$C,0)</f>
        <v>0</v>
      </c>
      <c r="V84" s="30">
        <f>( ((_xlfn.XLOOKUP($O84,Specs!$H:$H,Specs!$I:$I,0)*_xlfn.XLOOKUP($L84,Specs!$A:$A,Specs!$B:$B,0))/240) *_xlfn.XLOOKUP($H84,'Solid Mix In Nutrition'!A:A,'Solid Mix In Nutrition'!I:I,0)) *IF(AND(NOT($I84=0), COUNTA($I84)),0.5,1)</f>
        <v>0</v>
      </c>
      <c r="W84" s="30">
        <f>( ((_xlfn.XLOOKUP($O84,Specs!$H:$H,Specs!$I:$I,0)*_xlfn.XLOOKUP($L84,Specs!$A:$A,Specs!$B:$B,0))/240) *_xlfn.XLOOKUP($I84,'Solid Mix In Nutrition'!A:A,'Solid Mix In Nutrition'!I:I,0)) *IF(AND(NOT($I84=0), COUNTA($I84)),0.5,0)</f>
        <v>0</v>
      </c>
      <c r="X84" s="30">
        <f>_xlfn.XLOOKUP($P84,Specs!F:F,Specs!G:G,0)*_xlfn.XLOOKUP($J84,'Sweetener Mix In Nutrition'!A:A,'Sweetener Mix In Nutrition'!I:I,0)*_xlfn.XLOOKUP($L84,Specs!A:A,Specs!C:C,0)</f>
        <v>0</v>
      </c>
      <c r="Y84" s="30">
        <f>_xlfn.XLOOKUP($Q84,Specs!F:F,Specs!G:G,0)*_xlfn.XLOOKUP($K84,'Sweetener Mix In Nutrition'!A:A,'Sweetener Mix In Nutrition'!I:I,0)*_xlfn.XLOOKUP($L84,Specs!A:A,Specs!C:C,0)</f>
        <v>0</v>
      </c>
      <c r="Z84" s="34">
        <f t="shared" si="2"/>
        <v>0</v>
      </c>
      <c r="AA84" s="35">
        <f t="shared" si="3"/>
        <v>0</v>
      </c>
      <c r="AB84" s="36">
        <f>(($R84 / 240) * _xlfn.XLOOKUP($D84,'Milk Types Nutrition Per Cup'!A:A,'Milk Types Nutrition Per Cup'!B:B,0)) +(($S84 / 240)  * _xlfn.XLOOKUP($E84,'Milk Types Nutrition Per Cup'!A:A,'Milk Types Nutrition Per Cup'!B:B,0)) +(($T84 / 15)  * _xlfn.XLOOKUP($F84,'Liquid Mix In Nutrition'!A:A,'Liquid Mix In Nutrition'!B:B,0))+(($U84 / 15)  * _xlfn.XLOOKUP($G84,'Liquid Mix In Nutrition'!A:A,'Liquid Mix In Nutrition'!B:B,0))+(($V84 /MAX(1, _xlfn.XLOOKUP($H84,'Solid Mix In Nutrition'!A:A,'Solid Mix In Nutrition'!I:I,1)))  * _xlfn.XLOOKUP($H84,'Solid Mix In Nutrition'!A:A,'Solid Mix In Nutrition'!B:B,0))+(($W84 / MAX(1, _xlfn.XLOOKUP($I84,'Solid Mix In Nutrition'!A:A,'Solid Mix In Nutrition'!I:I,1))))+(($X84 / 100)  * _xlfn.XLOOKUP($J84,'Sweetener Mix In Nutrition'!A:A,'Sweetener Mix In Nutrition'!B:B,0))+(($Y84 / 100)  * _xlfn.XLOOKUP($K84,'Sweetener Mix In Nutrition'!A:A,'Sweetener Mix In Nutrition'!B:B,0))</f>
        <v>0</v>
      </c>
      <c r="AC84" s="36">
        <f>(($R84 / 240) * _xlfn.XLOOKUP($D84,'Milk Types Nutrition Per Cup'!A:A,'Milk Types Nutrition Per Cup'!E:E,0)) +(($S84 / 240)  * _xlfn.XLOOKUP($E84,'Milk Types Nutrition Per Cup'!A:A,'Milk Types Nutrition Per Cup'!E:E,0)) +(($T84 / 15)  * _xlfn.XLOOKUP($F84,'Liquid Mix In Nutrition'!A:A,'Liquid Mix In Nutrition'!E:E,0)) +(($U84 / 15)  * _xlfn.XLOOKUP($G84,'Liquid Mix In Nutrition'!A:A,'Liquid Mix In Nutrition'!E:E,0))+(($V84 / MAX(1, _xlfn.XLOOKUP($H84,'Solid Mix In Nutrition'!A:A,'Solid Mix In Nutrition'!I:I,1)))  * _xlfn.XLOOKUP($H84,'Solid Mix In Nutrition'!A:A,'Solid Mix In Nutrition'!E:E,0))+(($W84 / MAX(1, _xlfn.XLOOKUP($I84,'Solid Mix In Nutrition'!A:A,'Solid Mix In Nutrition'!I:I,1)))  * _xlfn.XLOOKUP($I84,'Solid Mix In Nutrition'!A:A,'Solid Mix In Nutrition'!G:G,0))+(($X84 / 100)  * _xlfn.XLOOKUP($J84,'Sweetener Mix In Nutrition'!A:A,'Sweetener Mix In Nutrition'!E:E,0))+(($Y84 / 100)  * _xlfn.XLOOKUP($K84,'Sweetener Mix In Nutrition'!A:A,'Sweetener Mix In Nutrition'!E:E,0))</f>
        <v>0</v>
      </c>
      <c r="AD84" s="36">
        <f>(($R84 / 240) * _xlfn.XLOOKUP($D84,'Milk Types Nutrition Per Cup'!A:A,'Milk Types Nutrition Per Cup'!E:E,0)) +(($S84 / 240)  * _xlfn.XLOOKUP($E84,'Milk Types Nutrition Per Cup'!A:A,'Milk Types Nutrition Per Cup'!E:E,0)) +(($T84 / 15)  * _xlfn.XLOOKUP($F84,'Liquid Mix In Nutrition'!A:A,'Liquid Mix In Nutrition'!E:E,0)) +(($U84 / 15)  * _xlfn.XLOOKUP($G84,'Liquid Mix In Nutrition'!A:A,'Liquid Mix In Nutrition'!E:E,0))+(($X84 / 100)  * _xlfn.XLOOKUP($J84,'Sweetener Mix In Nutrition'!A:A,'Sweetener Mix In Nutrition'!E:E,0))+(($Y84 / 100)  * _xlfn.XLOOKUP($K84,'Sweetener Mix In Nutrition'!A:A,'Sweetener Mix In Nutrition'!E:E,0))</f>
        <v>0</v>
      </c>
      <c r="AE84" s="37">
        <f>(($R84 / 240) * _xlfn.XLOOKUP($D84,'Milk Types Nutrition Per Cup'!A:A,'Milk Types Nutrition Per Cup'!C:C,0)) +(($S84 / 240)  * _xlfn.XLOOKUP($E84,'Milk Types Nutrition Per Cup'!A:A,'Milk Types Nutrition Per Cup'!C:C,0)) +(($T84 / 15)  * _xlfn.XLOOKUP($F84,'Liquid Mix In Nutrition'!A:A,'Liquid Mix In Nutrition'!C:C,0))+(($U84 / 15)  * _xlfn.XLOOKUP($G84,'Liquid Mix In Nutrition'!A:A,'Liquid Mix In Nutrition'!C:C,0))+(($V84 / MAX(1, _xlfn.XLOOKUP($H84,'Solid Mix In Nutrition'!A:A,'Solid Mix In Nutrition'!I:I,1)))  * _xlfn.XLOOKUP($H84,'Solid Mix In Nutrition'!A:A,'Solid Mix In Nutrition'!C:C,0))+(($W84 / MAX(1, _xlfn.XLOOKUP($I84,'Solid Mix In Nutrition'!A:A,'Solid Mix In Nutrition'!I:I,1)))  * _xlfn.XLOOKUP($I84,'Solid Mix In Nutrition'!A:A,'Solid Mix In Nutrition'!C:C,0))+(($X84 / 100)  * _xlfn.XLOOKUP($J84,'Sweetener Mix In Nutrition'!A:A,'Sweetener Mix In Nutrition'!C:C,0))+(($Y84 / 100)  * _xlfn.XLOOKUP($K84,'Sweetener Mix In Nutrition'!A:A,'Sweetener Mix In Nutrition'!C:C,0))</f>
        <v>0</v>
      </c>
      <c r="AF84" s="38" t="e">
        <f>$AE84 / (_xlfn.XLOOKUP($L84,Specs!A:A,Specs!B:B,0))</f>
        <v>#DIV/0!</v>
      </c>
      <c r="AG84" s="37" t="e">
        <f>60* ($AB84 / _xlfn.XLOOKUP($L84,Specs!A:A,Specs!B:B,0))</f>
        <v>#DIV/0!</v>
      </c>
      <c r="AH84" s="37" t="e">
        <f>60* (AC84 / _xlfn.XLOOKUP($L84,Specs!$A:$A,Specs!$B:$B,0))</f>
        <v>#DIV/0!</v>
      </c>
      <c r="AI84" s="37" t="e">
        <f>60* (AE84 / _xlfn.XLOOKUP($L84,Specs!$A:$A,Specs!$B:$B,0))</f>
        <v>#DIV/0!</v>
      </c>
      <c r="AJ84" s="39">
        <f>(($R84 / 240) * _xlfn.XLOOKUP($D84,'Milk Types Nutrition Per Cup'!A:A,'Milk Types Nutrition Per Cup'!F:F,0)) +(($S84 / 240)  * _xlfn.XLOOKUP($E84,'Milk Types Nutrition Per Cup'!A:A,'Milk Types Nutrition Per Cup'!F:F,0)) +(($T84 / 15)  * _xlfn.XLOOKUP($F84,'Liquid Mix In Nutrition'!A:A,'Liquid Mix In Nutrition'!F:F,0))+(($U84 / 15)  * _xlfn.XLOOKUP($G84,'Liquid Mix In Nutrition'!A:A,'Liquid Mix In Nutrition'!F:F,0))+(($V84 / MAX(1, _xlfn.XLOOKUP($H84,'Solid Mix In Nutrition'!A:A,'Solid Mix In Nutrition'!I:I,1)))  * _xlfn.XLOOKUP($H84,'Solid Mix In Nutrition'!A:A,'Solid Mix In Nutrition'!F:F,0))+(($W84 / MAX(1, _xlfn.XLOOKUP($I84,'Solid Mix In Nutrition'!A:A,'Solid Mix In Nutrition'!I:I,1)))  * _xlfn.XLOOKUP($I84,'Solid Mix In Nutrition'!A:A,'Solid Mix In Nutrition'!F:F,0))+(($X84 / 100)  * _xlfn.XLOOKUP($J84,'Sweetener Mix In Nutrition'!A:A,'Sweetener Mix In Nutrition'!F:F,0))+(($Y84 / 100)  * _xlfn.XLOOKUP($K84,'Sweetener Mix In Nutrition'!A:A,'Sweetener Mix In Nutrition'!F:F,0))</f>
        <v>0</v>
      </c>
      <c r="AK84" s="46">
        <f>[2]Sheet1!AG84</f>
        <v>0</v>
      </c>
      <c r="AL84" s="47"/>
      <c r="AM84" s="40">
        <f>IF(ISERROR(((AL84/Specs!$L$3)*Specs!$L$2)*2),0,ROUNDUP((((AL84/Specs!$L$3)*Specs!$L$2)*2),0))</f>
        <v>0</v>
      </c>
      <c r="AN84" s="48">
        <f>ROUNDUP(((AJ84+Specs!$R$2+Specs!$S$2+_xlfn.XLOOKUP($L84,Specs!A:A,Specs!V:V,0))*Specs!$N$2)+AM84,0)</f>
        <v>1</v>
      </c>
      <c r="AO84" s="40">
        <f>ROUNDUP(((AJ84+Specs!$R$2+Specs!$S$2+_xlfn.XLOOKUP($L84,Specs!A:A,Specs!V:V,0))*Specs!$N$2),0)</f>
        <v>1</v>
      </c>
      <c r="AP84" s="30"/>
    </row>
    <row r="85" spans="1:42" x14ac:dyDescent="0.25">
      <c r="A85" s="41" t="str">
        <f>_xlfn.CONCAT(_xlfn.XLOOKUP("What's Your Name?",[1]Sheet1!$1:$1,[1]Sheet1!85:85)," | ",TEXT(_xlfn.XLOOKUP("Completion time",[1]Sheet1!$1:$1,[1]Sheet1!85:85),"dddd, mmm dd, yyyy hh:mm AM/PM"))</f>
        <v xml:space="preserve"> | Saturday, Jan 00, 1900 12:00 AM</v>
      </c>
      <c r="B85" s="76">
        <f>_xlfn.XLOOKUP("What's Your Email Address?",[1]Sheet1!$1:$1,[1]Sheet1!85:85)</f>
        <v>0</v>
      </c>
      <c r="C85" s="31">
        <f>IF(ISBLANK(_xlfn.XLOOKUP("Which Flavor? (Pint Price | Quart Price | Half Gallon Price) (NOTE: Prices may fluctuate based on market conditions)",[1]Sheet1!$1:$1,[1]Sheet1!85:85)),_xlfn.XLOOKUP("Name Your Ice Cream!",[1]Sheet1!$1:$1,[1]Sheet1!85:85),IF(ISNUMBER(FIND("(", _xlfn.XLOOKUP("Which Flavor? (Pint Price | Quart Price | Half Gallon Price) (NOTE: Prices may fluctuate based on market conditions)",[1]Sheet1!$1:$1,[1]Sheet1!85:85))), LEFT(_xlfn.XLOOKUP("Which Flavor? (Pint Price | Quart Price | Half Gallon Price) (NOTE: Prices may fluctuate based on market conditions)",[1]Sheet1!$1:$1,[1]Sheet1!85:85), FIND("(", _xlfn.XLOOKUP("Which Flavor? (Pint Price | Quart Price | Half Gallon Price) (NOTE: Prices may fluctuate based on market conditions)",[1]Sheet1!$1:$1,[1]Sheet1!85:85)) - 1), _xlfn.XLOOKUP("Which Flavor? (Pint Price | Quart Price | Half Gallon Price) (NOTE: Prices may fluctuate based on market conditions)",[1]Sheet1!$1:$1,[1]Sheet1!85:85)))</f>
        <v>0</v>
      </c>
      <c r="D85" s="31">
        <f>IF(COUNTIF('Premade Flavors'!$A:$A, $C85) &gt; 0,IF(ISBLANK(_xlfn.XLOOKUP("What Ice Cream Base Do You Want To Change It To?",[1]Sheet1!$1:$1,[1]Sheet1!85:85)),_xlfn.XLOOKUP($C85,'Premade Flavors'!$A:$A,'Premade Flavors'!B:B),_xlfn.XLOOKUP("What Ice Cream Base Do You Want To Change It To?",[1]Sheet1!$1:$1,[1]Sheet1!85:85)),_xlfn.XLOOKUP(_xlfn.XLOOKUP("What Kind Of Ice Cream Base Do You Want? ",[1]Sheet1!$1:$1,[1]Sheet1!85:85),'Milk Types Nutrition Per Cup'!O:O,'Milk Types Nutrition Per Cup'!P:P,""))</f>
        <v>0</v>
      </c>
      <c r="E85" s="31">
        <f>IF(COUNTIF('Premade Flavors'!$A:$A, $C85) &gt; 0,IF(ISBLANK(_xlfn.XLOOKUP("What Ice Cream Base Do You Want To Change It To?",[1]Sheet1!$1:$1,[1]Sheet1!85:85)),_xlfn.XLOOKUP($C85,'Premade Flavors'!$A:$A,'Premade Flavors'!C:C),_xlfn.XLOOKUP("What Ice Cream Base Do You Want To Change It To?",[1]Sheet1!$1:$1,[1]Sheet1!85:85)),_xlfn.XLOOKUP(_xlfn.XLOOKUP("What Kind Of Ice Cream Base Do You Want? ",[1]Sheet1!$1:$1,[1]Sheet1!85:85),'Milk Types Nutrition Per Cup'!$O:$O,'Milk Types Nutrition Per Cup'!$Q:$Q,""))</f>
        <v>0</v>
      </c>
      <c r="F85" s="31">
        <f>IF(COUNTIF('Premade Flavors'!$A:$A, $C85) &gt; 0,_xlfn.XLOOKUP($C85,'Premade Flavors'!$A:$A,'Premade Flavors'!E:E),_xlfn.XLOOKUP("What's The First Flavor You Want? ",[1]Sheet1!$1:$1,[1]Sheet1!85:85))</f>
        <v>0</v>
      </c>
      <c r="G85" s="31">
        <f>IF(COUNTIF('Premade Flavors'!$A:$A, $C85) &gt; 0,_xlfn.XLOOKUP($C85,'Premade Flavors'!$A:$A,'Premade Flavors'!F:F),_xlfn.XLOOKUP("What's the Second Flavor You Want?",[1]Sheet1!$1:$1,[1]Sheet1!85:85))</f>
        <v>0</v>
      </c>
      <c r="H85" s="31">
        <f>IF(COUNTIF('Premade Flavors'!$A:$A, $C85) &gt; 0,_xlfn.XLOOKUP($C85,'Premade Flavors'!$A:$A,'Premade Flavors'!G:G),_xlfn.XLOOKUP("What's The First Mix In That You Want? ",[1]Sheet1!$1:$1,[1]Sheet1!85:85))</f>
        <v>0</v>
      </c>
      <c r="I85" s="31">
        <f>IF(COUNTIF('Premade Flavors'!$A:$A, $C83) &gt; 0,_xlfn.XLOOKUP($C83,'Premade Flavors'!$A:$A,'Premade Flavors'!H:H),IF([2]Sheet1!W83= 0,,[2]Sheet1!W83))</f>
        <v>0</v>
      </c>
      <c r="J85" s="31">
        <f>IF(COUNTIF('Premade Flavors'!$A:$A,$C85)&gt;0,IF(_xlfn.XLOOKUP("Should It Use Sugar or A Non-Sugar Sweetner?",[1]Sheet1!$1:$1,[1]Sheet1!85:85)="Sugar",_xlfn.XLOOKUP($C85,'Premade Flavors'!$A:$A,'Premade Flavors'!I:I),"Stevia"),_xlfn.XLOOKUP("What Sweetner Do You Want?",[1]Sheet1!$1:$1,[1]Sheet1!85:85))</f>
        <v>0</v>
      </c>
      <c r="K85" s="31"/>
      <c r="L85" s="77">
        <f>_xlfn.XLOOKUP("How Much Ice Cream Do You Want?",[1]Sheet1!$1:$1,[1]Sheet1!85:85)</f>
        <v>0</v>
      </c>
      <c r="M85" s="45">
        <f>IF(COUNTIF('Premade Flavors'!$A:$A, $C85) &gt; 0,_xlfn.XLOOKUP($C85,'Premade Flavors'!$A:$A,'Premade Flavors'!M:M),_xlfn.XLOOKUP("How Strong Do You Want The First Flavor?",[1]Sheet1!$1:$1,[1]Sheet1!85:85))</f>
        <v>0</v>
      </c>
      <c r="N85" s="45">
        <f>IF(COUNTIF('Premade Flavors'!$A:$A, $C85) &gt; 0,_xlfn.XLOOKUP($C85,'Premade Flavors'!$A:$A,'Premade Flavors'!N:N),_xlfn.XLOOKUP("How Strong Do You Want The Second Flavor?",[1]Sheet1!$1:$1,[1]Sheet1!85:85))</f>
        <v>0</v>
      </c>
      <c r="O85" s="45">
        <f>IF(COUNTIF('Premade Flavors'!$A:$A, $C85) &gt; 0,_xlfn.XLOOKUP($C85,'Premade Flavors'!$A:$A,'Premade Flavors'!O:O),_xlfn.XLOOKUP("How Dense Should the Mix Ins Be?",[1]Sheet1!$1:$1,[1]Sheet1!85:85))</f>
        <v>0</v>
      </c>
      <c r="P85" s="45">
        <f>IF(COUNTIF('Premade Flavors'!$A:$A, $C85) &gt; 0,_xlfn.XLOOKUP($C85,'Premade Flavors'!$A:$A,'Premade Flavors'!P:P),_xlfn.XLOOKUP("How Much Of The First Sweetner? ",[1]Sheet1!$1:$1,[1]Sheet1!85:85))</f>
        <v>0</v>
      </c>
      <c r="Q85" s="45">
        <f>IF(COUNTIF('Premade Flavors'!$A:$A, $C85) &gt; 0,_xlfn.XLOOKUP($C85,'Premade Flavors'!$A:$A,'Premade Flavors'!Q:Q),[2]Sheet1!S85)</f>
        <v>0</v>
      </c>
      <c r="R85" s="30">
        <f>(_xlfn.XLOOKUP($L85,Specs!A:A,Specs!B:B,0)-(IF(_xlfn.XLOOKUP($F85,'Liquid Mix In Nutrition'!A:A,'Liquid Mix In Nutrition'!J:J,0)="Yes",0,$T85))-(IF(_xlfn.XLOOKUP($G85,'Liquid Mix In Nutrition'!A:A,'Liquid Mix In Nutrition'!J:J,0)="Yes",0,$U85))-(($V85/MAX(1,_xlfn.XLOOKUP($H85,'Solid Mix In Nutrition'!A:A,'Solid Mix In Nutrition'!I:I,1)))*240)-(($W85/MAX(1,_xlfn.XLOOKUP($I85,'Solid Mix In Nutrition'!A:A,'Solid Mix In Nutrition'!I:I,1)))*240))*0.66</f>
        <v>0</v>
      </c>
      <c r="S85" s="30">
        <f>(_xlfn.XLOOKUP($L85,Specs!A:A,Specs!B:B,0)-(IF(_xlfn.XLOOKUP($F85,'Liquid Mix In Nutrition'!A:A,'Liquid Mix In Nutrition'!J:J,0)="Yes",0,$T85))-(IF(_xlfn.XLOOKUP($G85,'Liquid Mix In Nutrition'!A:A,'Liquid Mix In Nutrition'!J:J,0)="Yes",0,$U85))-(($V85/MAX(1,_xlfn.XLOOKUP($H85,'Solid Mix In Nutrition'!A:A,'Solid Mix In Nutrition'!I:I,1)))*240)-(($W85/MAX(1,_xlfn.XLOOKUP($I85,'Solid Mix In Nutrition'!A:A,'Solid Mix In Nutrition'!I:I,1)))*240))*0.33</f>
        <v>0</v>
      </c>
      <c r="T85" s="30">
        <f>_xlfn.XLOOKUP($M85,Specs!$D:$D,Specs!$E:$E,0)*15*_xlfn.XLOOKUP($L85,Specs!$A:$A,Specs!$C:$C,0)</f>
        <v>0</v>
      </c>
      <c r="U85" s="30">
        <f>_xlfn.XLOOKUP($N85,Specs!$D:$D,Specs!$E:$E,0)*15*_xlfn.XLOOKUP($L85,Specs!$A:$A,Specs!$C:$C,0)</f>
        <v>0</v>
      </c>
      <c r="V85" s="30">
        <f>( ((_xlfn.XLOOKUP($O85,Specs!$H:$H,Specs!$I:$I,0)*_xlfn.XLOOKUP($L85,Specs!$A:$A,Specs!$B:$B,0))/240) *_xlfn.XLOOKUP($H85,'Solid Mix In Nutrition'!A:A,'Solid Mix In Nutrition'!I:I,0)) *IF(AND(NOT($I85=0), COUNTA($I85)),0.5,1)</f>
        <v>0</v>
      </c>
      <c r="W85" s="30">
        <f>( ((_xlfn.XLOOKUP($O85,Specs!$H:$H,Specs!$I:$I,0)*_xlfn.XLOOKUP($L85,Specs!$A:$A,Specs!$B:$B,0))/240) *_xlfn.XLOOKUP($I85,'Solid Mix In Nutrition'!A:A,'Solid Mix In Nutrition'!I:I,0)) *IF(AND(NOT($I85=0), COUNTA($I85)),0.5,0)</f>
        <v>0</v>
      </c>
      <c r="X85" s="30">
        <f>_xlfn.XLOOKUP($P85,Specs!F:F,Specs!G:G,0)*_xlfn.XLOOKUP($J85,'Sweetener Mix In Nutrition'!A:A,'Sweetener Mix In Nutrition'!I:I,0)*_xlfn.XLOOKUP($L85,Specs!A:A,Specs!C:C,0)</f>
        <v>0</v>
      </c>
      <c r="Y85" s="30">
        <f>_xlfn.XLOOKUP($Q85,Specs!F:F,Specs!G:G,0)*_xlfn.XLOOKUP($K85,'Sweetener Mix In Nutrition'!A:A,'Sweetener Mix In Nutrition'!I:I,0)*_xlfn.XLOOKUP($L85,Specs!A:A,Specs!C:C,0)</f>
        <v>0</v>
      </c>
      <c r="Z85" s="34">
        <f t="shared" si="2"/>
        <v>0</v>
      </c>
      <c r="AA85" s="35">
        <f t="shared" si="3"/>
        <v>0</v>
      </c>
      <c r="AB85" s="36">
        <f>(($R85 / 240) * _xlfn.XLOOKUP($D85,'Milk Types Nutrition Per Cup'!A:A,'Milk Types Nutrition Per Cup'!B:B,0)) +(($S85 / 240)  * _xlfn.XLOOKUP($E85,'Milk Types Nutrition Per Cup'!A:A,'Milk Types Nutrition Per Cup'!B:B,0)) +(($T85 / 15)  * _xlfn.XLOOKUP($F85,'Liquid Mix In Nutrition'!A:A,'Liquid Mix In Nutrition'!B:B,0))+(($U85 / 15)  * _xlfn.XLOOKUP($G85,'Liquid Mix In Nutrition'!A:A,'Liquid Mix In Nutrition'!B:B,0))+(($V85 /MAX(1, _xlfn.XLOOKUP($H85,'Solid Mix In Nutrition'!A:A,'Solid Mix In Nutrition'!I:I,1)))  * _xlfn.XLOOKUP($H85,'Solid Mix In Nutrition'!A:A,'Solid Mix In Nutrition'!B:B,0))+(($W85 / MAX(1, _xlfn.XLOOKUP($I85,'Solid Mix In Nutrition'!A:A,'Solid Mix In Nutrition'!I:I,1))))+(($X85 / 100)  * _xlfn.XLOOKUP($J85,'Sweetener Mix In Nutrition'!A:A,'Sweetener Mix In Nutrition'!B:B,0))+(($Y85 / 100)  * _xlfn.XLOOKUP($K85,'Sweetener Mix In Nutrition'!A:A,'Sweetener Mix In Nutrition'!B:B,0))</f>
        <v>0</v>
      </c>
      <c r="AC85" s="36">
        <f>(($R85 / 240) * _xlfn.XLOOKUP($D85,'Milk Types Nutrition Per Cup'!A:A,'Milk Types Nutrition Per Cup'!E:E,0)) +(($S85 / 240)  * _xlfn.XLOOKUP($E85,'Milk Types Nutrition Per Cup'!A:A,'Milk Types Nutrition Per Cup'!E:E,0)) +(($T85 / 15)  * _xlfn.XLOOKUP($F85,'Liquid Mix In Nutrition'!A:A,'Liquid Mix In Nutrition'!E:E,0)) +(($U85 / 15)  * _xlfn.XLOOKUP($G85,'Liquid Mix In Nutrition'!A:A,'Liquid Mix In Nutrition'!E:E,0))+(($V85 / MAX(1, _xlfn.XLOOKUP($H85,'Solid Mix In Nutrition'!A:A,'Solid Mix In Nutrition'!I:I,1)))  * _xlfn.XLOOKUP($H85,'Solid Mix In Nutrition'!A:A,'Solid Mix In Nutrition'!E:E,0))+(($W85 / MAX(1, _xlfn.XLOOKUP($I85,'Solid Mix In Nutrition'!A:A,'Solid Mix In Nutrition'!I:I,1)))  * _xlfn.XLOOKUP($I85,'Solid Mix In Nutrition'!A:A,'Solid Mix In Nutrition'!G:G,0))+(($X85 / 100)  * _xlfn.XLOOKUP($J85,'Sweetener Mix In Nutrition'!A:A,'Sweetener Mix In Nutrition'!E:E,0))+(($Y85 / 100)  * _xlfn.XLOOKUP($K85,'Sweetener Mix In Nutrition'!A:A,'Sweetener Mix In Nutrition'!E:E,0))</f>
        <v>0</v>
      </c>
      <c r="AD85" s="36">
        <f>(($R85 / 240) * _xlfn.XLOOKUP($D85,'Milk Types Nutrition Per Cup'!A:A,'Milk Types Nutrition Per Cup'!E:E,0)) +(($S85 / 240)  * _xlfn.XLOOKUP($E85,'Milk Types Nutrition Per Cup'!A:A,'Milk Types Nutrition Per Cup'!E:E,0)) +(($T85 / 15)  * _xlfn.XLOOKUP($F85,'Liquid Mix In Nutrition'!A:A,'Liquid Mix In Nutrition'!E:E,0)) +(($U85 / 15)  * _xlfn.XLOOKUP($G85,'Liquid Mix In Nutrition'!A:A,'Liquid Mix In Nutrition'!E:E,0))+(($X85 / 100)  * _xlfn.XLOOKUP($J85,'Sweetener Mix In Nutrition'!A:A,'Sweetener Mix In Nutrition'!E:E,0))+(($Y85 / 100)  * _xlfn.XLOOKUP($K85,'Sweetener Mix In Nutrition'!A:A,'Sweetener Mix In Nutrition'!E:E,0))</f>
        <v>0</v>
      </c>
      <c r="AE85" s="37">
        <f>(($R85 / 240) * _xlfn.XLOOKUP($D85,'Milk Types Nutrition Per Cup'!A:A,'Milk Types Nutrition Per Cup'!C:C,0)) +(($S85 / 240)  * _xlfn.XLOOKUP($E85,'Milk Types Nutrition Per Cup'!A:A,'Milk Types Nutrition Per Cup'!C:C,0)) +(($T85 / 15)  * _xlfn.XLOOKUP($F85,'Liquid Mix In Nutrition'!A:A,'Liquid Mix In Nutrition'!C:C,0))+(($U85 / 15)  * _xlfn.XLOOKUP($G85,'Liquid Mix In Nutrition'!A:A,'Liquid Mix In Nutrition'!C:C,0))+(($V85 / MAX(1, _xlfn.XLOOKUP($H85,'Solid Mix In Nutrition'!A:A,'Solid Mix In Nutrition'!I:I,1)))  * _xlfn.XLOOKUP($H85,'Solid Mix In Nutrition'!A:A,'Solid Mix In Nutrition'!C:C,0))+(($W85 / MAX(1, _xlfn.XLOOKUP($I85,'Solid Mix In Nutrition'!A:A,'Solid Mix In Nutrition'!I:I,1)))  * _xlfn.XLOOKUP($I85,'Solid Mix In Nutrition'!A:A,'Solid Mix In Nutrition'!C:C,0))+(($X85 / 100)  * _xlfn.XLOOKUP($J85,'Sweetener Mix In Nutrition'!A:A,'Sweetener Mix In Nutrition'!C:C,0))+(($Y85 / 100)  * _xlfn.XLOOKUP($K85,'Sweetener Mix In Nutrition'!A:A,'Sweetener Mix In Nutrition'!C:C,0))</f>
        <v>0</v>
      </c>
      <c r="AF85" s="38" t="e">
        <f>$AE85 / (_xlfn.XLOOKUP($L85,Specs!A:A,Specs!B:B,0))</f>
        <v>#DIV/0!</v>
      </c>
      <c r="AG85" s="37" t="e">
        <f>60* ($AB85 / _xlfn.XLOOKUP($L85,Specs!A:A,Specs!B:B,0))</f>
        <v>#DIV/0!</v>
      </c>
      <c r="AH85" s="37" t="e">
        <f>60* (AC85 / _xlfn.XLOOKUP($L85,Specs!$A:$A,Specs!$B:$B,0))</f>
        <v>#DIV/0!</v>
      </c>
      <c r="AI85" s="37" t="e">
        <f>60* (AE85 / _xlfn.XLOOKUP($L85,Specs!$A:$A,Specs!$B:$B,0))</f>
        <v>#DIV/0!</v>
      </c>
      <c r="AJ85" s="39">
        <f>(($R85 / 240) * _xlfn.XLOOKUP($D85,'Milk Types Nutrition Per Cup'!A:A,'Milk Types Nutrition Per Cup'!F:F,0)) +(($S85 / 240)  * _xlfn.XLOOKUP($E85,'Milk Types Nutrition Per Cup'!A:A,'Milk Types Nutrition Per Cup'!F:F,0)) +(($T85 / 15)  * _xlfn.XLOOKUP($F85,'Liquid Mix In Nutrition'!A:A,'Liquid Mix In Nutrition'!F:F,0))+(($U85 / 15)  * _xlfn.XLOOKUP($G85,'Liquid Mix In Nutrition'!A:A,'Liquid Mix In Nutrition'!F:F,0))+(($V85 / MAX(1, _xlfn.XLOOKUP($H85,'Solid Mix In Nutrition'!A:A,'Solid Mix In Nutrition'!I:I,1)))  * _xlfn.XLOOKUP($H85,'Solid Mix In Nutrition'!A:A,'Solid Mix In Nutrition'!F:F,0))+(($W85 / MAX(1, _xlfn.XLOOKUP($I85,'Solid Mix In Nutrition'!A:A,'Solid Mix In Nutrition'!I:I,1)))  * _xlfn.XLOOKUP($I85,'Solid Mix In Nutrition'!A:A,'Solid Mix In Nutrition'!F:F,0))+(($X85 / 100)  * _xlfn.XLOOKUP($J85,'Sweetener Mix In Nutrition'!A:A,'Sweetener Mix In Nutrition'!F:F,0))+(($Y85 / 100)  * _xlfn.XLOOKUP($K85,'Sweetener Mix In Nutrition'!A:A,'Sweetener Mix In Nutrition'!F:F,0))</f>
        <v>0</v>
      </c>
      <c r="AK85" s="46">
        <f>[2]Sheet1!AG85</f>
        <v>0</v>
      </c>
      <c r="AL85" s="47"/>
      <c r="AM85" s="40">
        <f>IF(ISERROR(((AL85/Specs!$L$3)*Specs!$L$2)*2),0,ROUNDUP((((AL85/Specs!$L$3)*Specs!$L$2)*2),0))</f>
        <v>0</v>
      </c>
      <c r="AN85" s="48">
        <f>ROUNDUP(((AJ85+Specs!$R$2+Specs!$S$2+_xlfn.XLOOKUP($L85,Specs!A:A,Specs!V:V,0))*Specs!$N$2)+AM85,0)</f>
        <v>1</v>
      </c>
      <c r="AO85" s="40">
        <f>ROUNDUP(((AJ85+Specs!$R$2+Specs!$S$2+_xlfn.XLOOKUP($L85,Specs!A:A,Specs!V:V,0))*Specs!$N$2),0)</f>
        <v>1</v>
      </c>
      <c r="AP85" s="30"/>
    </row>
    <row r="86" spans="1:42" x14ac:dyDescent="0.25">
      <c r="A86" s="41" t="str">
        <f>_xlfn.CONCAT(_xlfn.XLOOKUP("What's Your Name?",[1]Sheet1!$1:$1,[1]Sheet1!86:86)," | ",TEXT(_xlfn.XLOOKUP("Completion time",[1]Sheet1!$1:$1,[1]Sheet1!86:86),"dddd, mmm dd, yyyy hh:mm AM/PM"))</f>
        <v xml:space="preserve"> | Saturday, Jan 00, 1900 12:00 AM</v>
      </c>
      <c r="B86" s="76">
        <f>_xlfn.XLOOKUP("What's Your Email Address?",[1]Sheet1!$1:$1,[1]Sheet1!86:86)</f>
        <v>0</v>
      </c>
      <c r="C86" s="31">
        <f>IF(ISBLANK(_xlfn.XLOOKUP("Which Flavor? (Pint Price | Quart Price | Half Gallon Price) (NOTE: Prices may fluctuate based on market conditions)",[1]Sheet1!$1:$1,[1]Sheet1!86:86)),_xlfn.XLOOKUP("Name Your Ice Cream!",[1]Sheet1!$1:$1,[1]Sheet1!86:86),IF(ISNUMBER(FIND("(", _xlfn.XLOOKUP("Which Flavor? (Pint Price | Quart Price | Half Gallon Price) (NOTE: Prices may fluctuate based on market conditions)",[1]Sheet1!$1:$1,[1]Sheet1!86:86))), LEFT(_xlfn.XLOOKUP("Which Flavor? (Pint Price | Quart Price | Half Gallon Price) (NOTE: Prices may fluctuate based on market conditions)",[1]Sheet1!$1:$1,[1]Sheet1!86:86), FIND("(", _xlfn.XLOOKUP("Which Flavor? (Pint Price | Quart Price | Half Gallon Price) (NOTE: Prices may fluctuate based on market conditions)",[1]Sheet1!$1:$1,[1]Sheet1!86:86)) - 1), _xlfn.XLOOKUP("Which Flavor? (Pint Price | Quart Price | Half Gallon Price) (NOTE: Prices may fluctuate based on market conditions)",[1]Sheet1!$1:$1,[1]Sheet1!86:86)))</f>
        <v>0</v>
      </c>
      <c r="D86" s="31">
        <f>IF(COUNTIF('Premade Flavors'!$A:$A, $C86) &gt; 0,IF(ISBLANK(_xlfn.XLOOKUP("What Ice Cream Base Do You Want To Change It To?",[1]Sheet1!$1:$1,[1]Sheet1!86:86)),_xlfn.XLOOKUP($C86,'Premade Flavors'!$A:$A,'Premade Flavors'!B:B),_xlfn.XLOOKUP("What Ice Cream Base Do You Want To Change It To?",[1]Sheet1!$1:$1,[1]Sheet1!86:86)),_xlfn.XLOOKUP(_xlfn.XLOOKUP("What Kind Of Ice Cream Base Do You Want? ",[1]Sheet1!$1:$1,[1]Sheet1!86:86),'Milk Types Nutrition Per Cup'!O:O,'Milk Types Nutrition Per Cup'!P:P,""))</f>
        <v>0</v>
      </c>
      <c r="E86" s="31">
        <f>IF(COUNTIF('Premade Flavors'!$A:$A, $C86) &gt; 0,IF(ISBLANK(_xlfn.XLOOKUP("What Ice Cream Base Do You Want To Change It To?",[1]Sheet1!$1:$1,[1]Sheet1!86:86)),_xlfn.XLOOKUP($C86,'Premade Flavors'!$A:$A,'Premade Flavors'!C:C),_xlfn.XLOOKUP("What Ice Cream Base Do You Want To Change It To?",[1]Sheet1!$1:$1,[1]Sheet1!86:86)),_xlfn.XLOOKUP(_xlfn.XLOOKUP("What Kind Of Ice Cream Base Do You Want? ",[1]Sheet1!$1:$1,[1]Sheet1!86:86),'Milk Types Nutrition Per Cup'!$O:$O,'Milk Types Nutrition Per Cup'!$Q:$Q,""))</f>
        <v>0</v>
      </c>
      <c r="F86" s="31">
        <f>IF(COUNTIF('Premade Flavors'!$A:$A, $C86) &gt; 0,_xlfn.XLOOKUP($C86,'Premade Flavors'!$A:$A,'Premade Flavors'!E:E),_xlfn.XLOOKUP("What's The First Flavor You Want? ",[1]Sheet1!$1:$1,[1]Sheet1!86:86))</f>
        <v>0</v>
      </c>
      <c r="G86" s="31">
        <f>IF(COUNTIF('Premade Flavors'!$A:$A, $C86) &gt; 0,_xlfn.XLOOKUP($C86,'Premade Flavors'!$A:$A,'Premade Flavors'!F:F),_xlfn.XLOOKUP("What's the Second Flavor You Want?",[1]Sheet1!$1:$1,[1]Sheet1!86:86))</f>
        <v>0</v>
      </c>
      <c r="H86" s="31">
        <f>IF(COUNTIF('Premade Flavors'!$A:$A, $C86) &gt; 0,_xlfn.XLOOKUP($C86,'Premade Flavors'!$A:$A,'Premade Flavors'!G:G),_xlfn.XLOOKUP("What's The First Mix In That You Want? ",[1]Sheet1!$1:$1,[1]Sheet1!86:86))</f>
        <v>0</v>
      </c>
      <c r="I86" s="31">
        <f>IF(COUNTIF('Premade Flavors'!$A:$A, $C84) &gt; 0,_xlfn.XLOOKUP($C84,'Premade Flavors'!$A:$A,'Premade Flavors'!H:H),IF([2]Sheet1!W84= 0,,[2]Sheet1!W84))</f>
        <v>0</v>
      </c>
      <c r="J86" s="31">
        <f>IF(COUNTIF('Premade Flavors'!$A:$A,$C86)&gt;0,IF(_xlfn.XLOOKUP("Should It Use Sugar or A Non-Sugar Sweetner?",[1]Sheet1!$1:$1,[1]Sheet1!86:86)="Sugar",_xlfn.XLOOKUP($C86,'Premade Flavors'!$A:$A,'Premade Flavors'!I:I),"Stevia"),_xlfn.XLOOKUP("What Sweetner Do You Want?",[1]Sheet1!$1:$1,[1]Sheet1!86:86))</f>
        <v>0</v>
      </c>
      <c r="K86" s="31"/>
      <c r="L86" s="77">
        <f>_xlfn.XLOOKUP("How Much Ice Cream Do You Want?",[1]Sheet1!$1:$1,[1]Sheet1!86:86)</f>
        <v>0</v>
      </c>
      <c r="M86" s="45">
        <f>IF(COUNTIF('Premade Flavors'!$A:$A, $C86) &gt; 0,_xlfn.XLOOKUP($C86,'Premade Flavors'!$A:$A,'Premade Flavors'!M:M),_xlfn.XLOOKUP("How Strong Do You Want The First Flavor?",[1]Sheet1!$1:$1,[1]Sheet1!86:86))</f>
        <v>0</v>
      </c>
      <c r="N86" s="45">
        <f>IF(COUNTIF('Premade Flavors'!$A:$A, $C86) &gt; 0,_xlfn.XLOOKUP($C86,'Premade Flavors'!$A:$A,'Premade Flavors'!N:N),_xlfn.XLOOKUP("How Strong Do You Want The Second Flavor?",[1]Sheet1!$1:$1,[1]Sheet1!86:86))</f>
        <v>0</v>
      </c>
      <c r="O86" s="45">
        <f>IF(COUNTIF('Premade Flavors'!$A:$A, $C86) &gt; 0,_xlfn.XLOOKUP($C86,'Premade Flavors'!$A:$A,'Premade Flavors'!O:O),_xlfn.XLOOKUP("How Dense Should the Mix Ins Be?",[1]Sheet1!$1:$1,[1]Sheet1!86:86))</f>
        <v>0</v>
      </c>
      <c r="P86" s="45">
        <f>IF(COUNTIF('Premade Flavors'!$A:$A, $C86) &gt; 0,_xlfn.XLOOKUP($C86,'Premade Flavors'!$A:$A,'Premade Flavors'!P:P),_xlfn.XLOOKUP("How Much Of The First Sweetner? ",[1]Sheet1!$1:$1,[1]Sheet1!86:86))</f>
        <v>0</v>
      </c>
      <c r="Q86" s="45">
        <f>IF(COUNTIF('Premade Flavors'!$A:$A, $C86) &gt; 0,_xlfn.XLOOKUP($C86,'Premade Flavors'!$A:$A,'Premade Flavors'!Q:Q),[2]Sheet1!S86)</f>
        <v>0</v>
      </c>
      <c r="R86" s="30">
        <f>(_xlfn.XLOOKUP($L86,Specs!A:A,Specs!B:B,0)-(IF(_xlfn.XLOOKUP($F86,'Liquid Mix In Nutrition'!A:A,'Liquid Mix In Nutrition'!J:J,0)="Yes",0,$T86))-(IF(_xlfn.XLOOKUP($G86,'Liquid Mix In Nutrition'!A:A,'Liquid Mix In Nutrition'!J:J,0)="Yes",0,$U86))-(($V86/MAX(1,_xlfn.XLOOKUP($H86,'Solid Mix In Nutrition'!A:A,'Solid Mix In Nutrition'!I:I,1)))*240)-(($W86/MAX(1,_xlfn.XLOOKUP($I86,'Solid Mix In Nutrition'!A:A,'Solid Mix In Nutrition'!I:I,1)))*240))*0.66</f>
        <v>0</v>
      </c>
      <c r="S86" s="30">
        <f>(_xlfn.XLOOKUP($L86,Specs!A:A,Specs!B:B,0)-(IF(_xlfn.XLOOKUP($F86,'Liquid Mix In Nutrition'!A:A,'Liquid Mix In Nutrition'!J:J,0)="Yes",0,$T86))-(IF(_xlfn.XLOOKUP($G86,'Liquid Mix In Nutrition'!A:A,'Liquid Mix In Nutrition'!J:J,0)="Yes",0,$U86))-(($V86/MAX(1,_xlfn.XLOOKUP($H86,'Solid Mix In Nutrition'!A:A,'Solid Mix In Nutrition'!I:I,1)))*240)-(($W86/MAX(1,_xlfn.XLOOKUP($I86,'Solid Mix In Nutrition'!A:A,'Solid Mix In Nutrition'!I:I,1)))*240))*0.33</f>
        <v>0</v>
      </c>
      <c r="T86" s="30">
        <f>_xlfn.XLOOKUP($M86,Specs!$D:$D,Specs!$E:$E,0)*15*_xlfn.XLOOKUP($L86,Specs!$A:$A,Specs!$C:$C,0)</f>
        <v>0</v>
      </c>
      <c r="U86" s="30">
        <f>_xlfn.XLOOKUP($N86,Specs!$D:$D,Specs!$E:$E,0)*15*_xlfn.XLOOKUP($L86,Specs!$A:$A,Specs!$C:$C,0)</f>
        <v>0</v>
      </c>
      <c r="V86" s="30">
        <f>( ((_xlfn.XLOOKUP($O86,Specs!$H:$H,Specs!$I:$I,0)*_xlfn.XLOOKUP($L86,Specs!$A:$A,Specs!$B:$B,0))/240) *_xlfn.XLOOKUP($H86,'Solid Mix In Nutrition'!A:A,'Solid Mix In Nutrition'!I:I,0)) *IF(AND(NOT($I86=0), COUNTA($I86)),0.5,1)</f>
        <v>0</v>
      </c>
      <c r="W86" s="30">
        <f>( ((_xlfn.XLOOKUP($O86,Specs!$H:$H,Specs!$I:$I,0)*_xlfn.XLOOKUP($L86,Specs!$A:$A,Specs!$B:$B,0))/240) *_xlfn.XLOOKUP($I86,'Solid Mix In Nutrition'!A:A,'Solid Mix In Nutrition'!I:I,0)) *IF(AND(NOT($I86=0), COUNTA($I86)),0.5,0)</f>
        <v>0</v>
      </c>
      <c r="X86" s="30">
        <f>_xlfn.XLOOKUP($P86,Specs!F:F,Specs!G:G,0)*_xlfn.XLOOKUP($J86,'Sweetener Mix In Nutrition'!A:A,'Sweetener Mix In Nutrition'!I:I,0)*_xlfn.XLOOKUP($L86,Specs!A:A,Specs!C:C,0)</f>
        <v>0</v>
      </c>
      <c r="Y86" s="30">
        <f>_xlfn.XLOOKUP($Q86,Specs!F:F,Specs!G:G,0)*_xlfn.XLOOKUP($K86,'Sweetener Mix In Nutrition'!A:A,'Sweetener Mix In Nutrition'!I:I,0)*_xlfn.XLOOKUP($L86,Specs!A:A,Specs!C:C,0)</f>
        <v>0</v>
      </c>
      <c r="Z86" s="34">
        <f t="shared" si="2"/>
        <v>0</v>
      </c>
      <c r="AA86" s="35">
        <f t="shared" si="3"/>
        <v>0</v>
      </c>
      <c r="AB86" s="36">
        <f>(($R86 / 240) * _xlfn.XLOOKUP($D86,'Milk Types Nutrition Per Cup'!A:A,'Milk Types Nutrition Per Cup'!B:B,0)) +(($S86 / 240)  * _xlfn.XLOOKUP($E86,'Milk Types Nutrition Per Cup'!A:A,'Milk Types Nutrition Per Cup'!B:B,0)) +(($T86 / 15)  * _xlfn.XLOOKUP($F86,'Liquid Mix In Nutrition'!A:A,'Liquid Mix In Nutrition'!B:B,0))+(($U86 / 15)  * _xlfn.XLOOKUP($G86,'Liquid Mix In Nutrition'!A:A,'Liquid Mix In Nutrition'!B:B,0))+(($V86 /MAX(1, _xlfn.XLOOKUP($H86,'Solid Mix In Nutrition'!A:A,'Solid Mix In Nutrition'!I:I,1)))  * _xlfn.XLOOKUP($H86,'Solid Mix In Nutrition'!A:A,'Solid Mix In Nutrition'!B:B,0))+(($W86 / MAX(1, _xlfn.XLOOKUP($I86,'Solid Mix In Nutrition'!A:A,'Solid Mix In Nutrition'!I:I,1))))+(($X86 / 100)  * _xlfn.XLOOKUP($J86,'Sweetener Mix In Nutrition'!A:A,'Sweetener Mix In Nutrition'!B:B,0))+(($Y86 / 100)  * _xlfn.XLOOKUP($K86,'Sweetener Mix In Nutrition'!A:A,'Sweetener Mix In Nutrition'!B:B,0))</f>
        <v>0</v>
      </c>
      <c r="AC86" s="36">
        <f>(($R86 / 240) * _xlfn.XLOOKUP($D86,'Milk Types Nutrition Per Cup'!A:A,'Milk Types Nutrition Per Cup'!E:E,0)) +(($S86 / 240)  * _xlfn.XLOOKUP($E86,'Milk Types Nutrition Per Cup'!A:A,'Milk Types Nutrition Per Cup'!E:E,0)) +(($T86 / 15)  * _xlfn.XLOOKUP($F86,'Liquid Mix In Nutrition'!A:A,'Liquid Mix In Nutrition'!E:E,0)) +(($U86 / 15)  * _xlfn.XLOOKUP($G86,'Liquid Mix In Nutrition'!A:A,'Liquid Mix In Nutrition'!E:E,0))+(($V86 / MAX(1, _xlfn.XLOOKUP($H86,'Solid Mix In Nutrition'!A:A,'Solid Mix In Nutrition'!I:I,1)))  * _xlfn.XLOOKUP($H86,'Solid Mix In Nutrition'!A:A,'Solid Mix In Nutrition'!E:E,0))+(($W86 / MAX(1, _xlfn.XLOOKUP($I86,'Solid Mix In Nutrition'!A:A,'Solid Mix In Nutrition'!I:I,1)))  * _xlfn.XLOOKUP($I86,'Solid Mix In Nutrition'!A:A,'Solid Mix In Nutrition'!G:G,0))+(($X86 / 100)  * _xlfn.XLOOKUP($J86,'Sweetener Mix In Nutrition'!A:A,'Sweetener Mix In Nutrition'!E:E,0))+(($Y86 / 100)  * _xlfn.XLOOKUP($K86,'Sweetener Mix In Nutrition'!A:A,'Sweetener Mix In Nutrition'!E:E,0))</f>
        <v>0</v>
      </c>
      <c r="AD86" s="36">
        <f>(($R86 / 240) * _xlfn.XLOOKUP($D86,'Milk Types Nutrition Per Cup'!A:A,'Milk Types Nutrition Per Cup'!E:E,0)) +(($S86 / 240)  * _xlfn.XLOOKUP($E86,'Milk Types Nutrition Per Cup'!A:A,'Milk Types Nutrition Per Cup'!E:E,0)) +(($T86 / 15)  * _xlfn.XLOOKUP($F86,'Liquid Mix In Nutrition'!A:A,'Liquid Mix In Nutrition'!E:E,0)) +(($U86 / 15)  * _xlfn.XLOOKUP($G86,'Liquid Mix In Nutrition'!A:A,'Liquid Mix In Nutrition'!E:E,0))+(($X86 / 100)  * _xlfn.XLOOKUP($J86,'Sweetener Mix In Nutrition'!A:A,'Sweetener Mix In Nutrition'!E:E,0))+(($Y86 / 100)  * _xlfn.XLOOKUP($K86,'Sweetener Mix In Nutrition'!A:A,'Sweetener Mix In Nutrition'!E:E,0))</f>
        <v>0</v>
      </c>
      <c r="AE86" s="37">
        <f>(($R86 / 240) * _xlfn.XLOOKUP($D86,'Milk Types Nutrition Per Cup'!A:A,'Milk Types Nutrition Per Cup'!C:C,0)) +(($S86 / 240)  * _xlfn.XLOOKUP($E86,'Milk Types Nutrition Per Cup'!A:A,'Milk Types Nutrition Per Cup'!C:C,0)) +(($T86 / 15)  * _xlfn.XLOOKUP($F86,'Liquid Mix In Nutrition'!A:A,'Liquid Mix In Nutrition'!C:C,0))+(($U86 / 15)  * _xlfn.XLOOKUP($G86,'Liquid Mix In Nutrition'!A:A,'Liquid Mix In Nutrition'!C:C,0))+(($V86 / MAX(1, _xlfn.XLOOKUP($H86,'Solid Mix In Nutrition'!A:A,'Solid Mix In Nutrition'!I:I,1)))  * _xlfn.XLOOKUP($H86,'Solid Mix In Nutrition'!A:A,'Solid Mix In Nutrition'!C:C,0))+(($W86 / MAX(1, _xlfn.XLOOKUP($I86,'Solid Mix In Nutrition'!A:A,'Solid Mix In Nutrition'!I:I,1)))  * _xlfn.XLOOKUP($I86,'Solid Mix In Nutrition'!A:A,'Solid Mix In Nutrition'!C:C,0))+(($X86 / 100)  * _xlfn.XLOOKUP($J86,'Sweetener Mix In Nutrition'!A:A,'Sweetener Mix In Nutrition'!C:C,0))+(($Y86 / 100)  * _xlfn.XLOOKUP($K86,'Sweetener Mix In Nutrition'!A:A,'Sweetener Mix In Nutrition'!C:C,0))</f>
        <v>0</v>
      </c>
      <c r="AF86" s="38" t="e">
        <f>$AE86 / (_xlfn.XLOOKUP($L86,Specs!A:A,Specs!B:B,0))</f>
        <v>#DIV/0!</v>
      </c>
      <c r="AG86" s="37" t="e">
        <f>60* ($AB86 / _xlfn.XLOOKUP($L86,Specs!A:A,Specs!B:B,0))</f>
        <v>#DIV/0!</v>
      </c>
      <c r="AH86" s="37" t="e">
        <f>60* (AC86 / _xlfn.XLOOKUP($L86,Specs!$A:$A,Specs!$B:$B,0))</f>
        <v>#DIV/0!</v>
      </c>
      <c r="AI86" s="37" t="e">
        <f>60* (AE86 / _xlfn.XLOOKUP($L86,Specs!$A:$A,Specs!$B:$B,0))</f>
        <v>#DIV/0!</v>
      </c>
      <c r="AJ86" s="39">
        <f>(($R86 / 240) * _xlfn.XLOOKUP($D86,'Milk Types Nutrition Per Cup'!A:A,'Milk Types Nutrition Per Cup'!F:F,0)) +(($S86 / 240)  * _xlfn.XLOOKUP($E86,'Milk Types Nutrition Per Cup'!A:A,'Milk Types Nutrition Per Cup'!F:F,0)) +(($T86 / 15)  * _xlfn.XLOOKUP($F86,'Liquid Mix In Nutrition'!A:A,'Liquid Mix In Nutrition'!F:F,0))+(($U86 / 15)  * _xlfn.XLOOKUP($G86,'Liquid Mix In Nutrition'!A:A,'Liquid Mix In Nutrition'!F:F,0))+(($V86 / MAX(1, _xlfn.XLOOKUP($H86,'Solid Mix In Nutrition'!A:A,'Solid Mix In Nutrition'!I:I,1)))  * _xlfn.XLOOKUP($H86,'Solid Mix In Nutrition'!A:A,'Solid Mix In Nutrition'!F:F,0))+(($W86 / MAX(1, _xlfn.XLOOKUP($I86,'Solid Mix In Nutrition'!A:A,'Solid Mix In Nutrition'!I:I,1)))  * _xlfn.XLOOKUP($I86,'Solid Mix In Nutrition'!A:A,'Solid Mix In Nutrition'!F:F,0))+(($X86 / 100)  * _xlfn.XLOOKUP($J86,'Sweetener Mix In Nutrition'!A:A,'Sweetener Mix In Nutrition'!F:F,0))+(($Y86 / 100)  * _xlfn.XLOOKUP($K86,'Sweetener Mix In Nutrition'!A:A,'Sweetener Mix In Nutrition'!F:F,0))</f>
        <v>0</v>
      </c>
      <c r="AK86" s="46">
        <f>[2]Sheet1!AG86</f>
        <v>0</v>
      </c>
      <c r="AL86" s="47"/>
      <c r="AM86" s="40">
        <f>IF(ISERROR(((AL86/Specs!$L$3)*Specs!$L$2)*2),0,ROUNDUP((((AL86/Specs!$L$3)*Specs!$L$2)*2),0))</f>
        <v>0</v>
      </c>
      <c r="AN86" s="48">
        <f>ROUNDUP(((AJ86+Specs!$R$2+Specs!$S$2+_xlfn.XLOOKUP($L86,Specs!A:A,Specs!V:V,0))*Specs!$N$2)+AM86,0)</f>
        <v>1</v>
      </c>
      <c r="AO86" s="40">
        <f>ROUNDUP(((AJ86+Specs!$R$2+Specs!$S$2+_xlfn.XLOOKUP($L86,Specs!A:A,Specs!V:V,0))*Specs!$N$2),0)</f>
        <v>1</v>
      </c>
      <c r="AP86" s="30"/>
    </row>
    <row r="87" spans="1:42" x14ac:dyDescent="0.25">
      <c r="A87" s="41" t="str">
        <f>_xlfn.CONCAT(_xlfn.XLOOKUP("What's Your Name?",[1]Sheet1!$1:$1,[1]Sheet1!87:87)," | ",TEXT(_xlfn.XLOOKUP("Completion time",[1]Sheet1!$1:$1,[1]Sheet1!87:87),"dddd, mmm dd, yyyy hh:mm AM/PM"))</f>
        <v xml:space="preserve"> | Saturday, Jan 00, 1900 12:00 AM</v>
      </c>
      <c r="B87" s="76">
        <f>_xlfn.XLOOKUP("What's Your Email Address?",[1]Sheet1!$1:$1,[1]Sheet1!87:87)</f>
        <v>0</v>
      </c>
      <c r="C87" s="31">
        <f>IF(ISBLANK(_xlfn.XLOOKUP("Which Flavor? (Pint Price | Quart Price | Half Gallon Price) (NOTE: Prices may fluctuate based on market conditions)",[1]Sheet1!$1:$1,[1]Sheet1!87:87)),_xlfn.XLOOKUP("Name Your Ice Cream!",[1]Sheet1!$1:$1,[1]Sheet1!87:87),IF(ISNUMBER(FIND("(", _xlfn.XLOOKUP("Which Flavor? (Pint Price | Quart Price | Half Gallon Price) (NOTE: Prices may fluctuate based on market conditions)",[1]Sheet1!$1:$1,[1]Sheet1!87:87))), LEFT(_xlfn.XLOOKUP("Which Flavor? (Pint Price | Quart Price | Half Gallon Price) (NOTE: Prices may fluctuate based on market conditions)",[1]Sheet1!$1:$1,[1]Sheet1!87:87), FIND("(", _xlfn.XLOOKUP("Which Flavor? (Pint Price | Quart Price | Half Gallon Price) (NOTE: Prices may fluctuate based on market conditions)",[1]Sheet1!$1:$1,[1]Sheet1!87:87)) - 1), _xlfn.XLOOKUP("Which Flavor? (Pint Price | Quart Price | Half Gallon Price) (NOTE: Prices may fluctuate based on market conditions)",[1]Sheet1!$1:$1,[1]Sheet1!87:87)))</f>
        <v>0</v>
      </c>
      <c r="D87" s="31">
        <f>IF(COUNTIF('Premade Flavors'!$A:$A, $C87) &gt; 0,IF(ISBLANK(_xlfn.XLOOKUP("What Ice Cream Base Do You Want To Change It To?",[1]Sheet1!$1:$1,[1]Sheet1!87:87)),_xlfn.XLOOKUP($C87,'Premade Flavors'!$A:$A,'Premade Flavors'!B:B),_xlfn.XLOOKUP("What Ice Cream Base Do You Want To Change It To?",[1]Sheet1!$1:$1,[1]Sheet1!87:87)),_xlfn.XLOOKUP(_xlfn.XLOOKUP("What Kind Of Ice Cream Base Do You Want? ",[1]Sheet1!$1:$1,[1]Sheet1!87:87),'Milk Types Nutrition Per Cup'!O:O,'Milk Types Nutrition Per Cup'!P:P,""))</f>
        <v>0</v>
      </c>
      <c r="E87" s="31">
        <f>IF(COUNTIF('Premade Flavors'!$A:$A, $C87) &gt; 0,IF(ISBLANK(_xlfn.XLOOKUP("What Ice Cream Base Do You Want To Change It To?",[1]Sheet1!$1:$1,[1]Sheet1!87:87)),_xlfn.XLOOKUP($C87,'Premade Flavors'!$A:$A,'Premade Flavors'!C:C),_xlfn.XLOOKUP("What Ice Cream Base Do You Want To Change It To?",[1]Sheet1!$1:$1,[1]Sheet1!87:87)),_xlfn.XLOOKUP(_xlfn.XLOOKUP("What Kind Of Ice Cream Base Do You Want? ",[1]Sheet1!$1:$1,[1]Sheet1!87:87),'Milk Types Nutrition Per Cup'!$O:$O,'Milk Types Nutrition Per Cup'!$Q:$Q,""))</f>
        <v>0</v>
      </c>
      <c r="F87" s="31">
        <f>IF(COUNTIF('Premade Flavors'!$A:$A, $C87) &gt; 0,_xlfn.XLOOKUP($C87,'Premade Flavors'!$A:$A,'Premade Flavors'!E:E),_xlfn.XLOOKUP("What's The First Flavor You Want? ",[1]Sheet1!$1:$1,[1]Sheet1!87:87))</f>
        <v>0</v>
      </c>
      <c r="G87" s="31">
        <f>IF(COUNTIF('Premade Flavors'!$A:$A, $C87) &gt; 0,_xlfn.XLOOKUP($C87,'Premade Flavors'!$A:$A,'Premade Flavors'!F:F),_xlfn.XLOOKUP("What's the Second Flavor You Want?",[1]Sheet1!$1:$1,[1]Sheet1!87:87))</f>
        <v>0</v>
      </c>
      <c r="H87" s="31">
        <f>IF(COUNTIF('Premade Flavors'!$A:$A, $C87) &gt; 0,_xlfn.XLOOKUP($C87,'Premade Flavors'!$A:$A,'Premade Flavors'!G:G),_xlfn.XLOOKUP("What's The First Mix In That You Want? ",[1]Sheet1!$1:$1,[1]Sheet1!87:87))</f>
        <v>0</v>
      </c>
      <c r="I87" s="31">
        <f>IF(COUNTIF('Premade Flavors'!$A:$A, $C85) &gt; 0,_xlfn.XLOOKUP($C85,'Premade Flavors'!$A:$A,'Premade Flavors'!H:H),IF([2]Sheet1!W85= 0,,[2]Sheet1!W85))</f>
        <v>0</v>
      </c>
      <c r="J87" s="31">
        <f>IF(COUNTIF('Premade Flavors'!$A:$A,$C87)&gt;0,IF(_xlfn.XLOOKUP("Should It Use Sugar or A Non-Sugar Sweetner?",[1]Sheet1!$1:$1,[1]Sheet1!87:87)="Sugar",_xlfn.XLOOKUP($C87,'Premade Flavors'!$A:$A,'Premade Flavors'!I:I),"Stevia"),_xlfn.XLOOKUP("What Sweetner Do You Want?",[1]Sheet1!$1:$1,[1]Sheet1!87:87))</f>
        <v>0</v>
      </c>
      <c r="K87" s="31"/>
      <c r="L87" s="77">
        <f>_xlfn.XLOOKUP("How Much Ice Cream Do You Want?",[1]Sheet1!$1:$1,[1]Sheet1!87:87)</f>
        <v>0</v>
      </c>
      <c r="M87" s="45">
        <f>IF(COUNTIF('Premade Flavors'!$A:$A, $C87) &gt; 0,_xlfn.XLOOKUP($C87,'Premade Flavors'!$A:$A,'Premade Flavors'!M:M),_xlfn.XLOOKUP("How Strong Do You Want The First Flavor?",[1]Sheet1!$1:$1,[1]Sheet1!87:87))</f>
        <v>0</v>
      </c>
      <c r="N87" s="45">
        <f>IF(COUNTIF('Premade Flavors'!$A:$A, $C87) &gt; 0,_xlfn.XLOOKUP($C87,'Premade Flavors'!$A:$A,'Premade Flavors'!N:N),_xlfn.XLOOKUP("How Strong Do You Want The Second Flavor?",[1]Sheet1!$1:$1,[1]Sheet1!87:87))</f>
        <v>0</v>
      </c>
      <c r="O87" s="45">
        <f>IF(COUNTIF('Premade Flavors'!$A:$A, $C87) &gt; 0,_xlfn.XLOOKUP($C87,'Premade Flavors'!$A:$A,'Premade Flavors'!O:O),_xlfn.XLOOKUP("How Dense Should the Mix Ins Be?",[1]Sheet1!$1:$1,[1]Sheet1!87:87))</f>
        <v>0</v>
      </c>
      <c r="P87" s="45">
        <f>IF(COUNTIF('Premade Flavors'!$A:$A, $C87) &gt; 0,_xlfn.XLOOKUP($C87,'Premade Flavors'!$A:$A,'Premade Flavors'!P:P),_xlfn.XLOOKUP("How Much Of The First Sweetner? ",[1]Sheet1!$1:$1,[1]Sheet1!87:87))</f>
        <v>0</v>
      </c>
      <c r="Q87" s="45">
        <f>IF(COUNTIF('Premade Flavors'!$A:$A, $C87) &gt; 0,_xlfn.XLOOKUP($C87,'Premade Flavors'!$A:$A,'Premade Flavors'!Q:Q),[2]Sheet1!S87)</f>
        <v>0</v>
      </c>
      <c r="R87" s="30">
        <f>(_xlfn.XLOOKUP($L87,Specs!A:A,Specs!B:B,0)-(IF(_xlfn.XLOOKUP($F87,'Liquid Mix In Nutrition'!A:A,'Liquid Mix In Nutrition'!J:J,0)="Yes",0,$T87))-(IF(_xlfn.XLOOKUP($G87,'Liquid Mix In Nutrition'!A:A,'Liquid Mix In Nutrition'!J:J,0)="Yes",0,$U87))-(($V87/MAX(1,_xlfn.XLOOKUP($H87,'Solid Mix In Nutrition'!A:A,'Solid Mix In Nutrition'!I:I,1)))*240)-(($W87/MAX(1,_xlfn.XLOOKUP($I87,'Solid Mix In Nutrition'!A:A,'Solid Mix In Nutrition'!I:I,1)))*240))*0.66</f>
        <v>0</v>
      </c>
      <c r="S87" s="30">
        <f>(_xlfn.XLOOKUP($L87,Specs!A:A,Specs!B:B,0)-(IF(_xlfn.XLOOKUP($F87,'Liquid Mix In Nutrition'!A:A,'Liquid Mix In Nutrition'!J:J,0)="Yes",0,$T87))-(IF(_xlfn.XLOOKUP($G87,'Liquid Mix In Nutrition'!A:A,'Liquid Mix In Nutrition'!J:J,0)="Yes",0,$U87))-(($V87/MAX(1,_xlfn.XLOOKUP($H87,'Solid Mix In Nutrition'!A:A,'Solid Mix In Nutrition'!I:I,1)))*240)-(($W87/MAX(1,_xlfn.XLOOKUP($I87,'Solid Mix In Nutrition'!A:A,'Solid Mix In Nutrition'!I:I,1)))*240))*0.33</f>
        <v>0</v>
      </c>
      <c r="T87" s="30">
        <f>_xlfn.XLOOKUP($M87,Specs!$D:$D,Specs!$E:$E,0)*15*_xlfn.XLOOKUP($L87,Specs!$A:$A,Specs!$C:$C,0)</f>
        <v>0</v>
      </c>
      <c r="U87" s="30">
        <f>_xlfn.XLOOKUP($N87,Specs!$D:$D,Specs!$E:$E,0)*15*_xlfn.XLOOKUP($L87,Specs!$A:$A,Specs!$C:$C,0)</f>
        <v>0</v>
      </c>
      <c r="V87" s="30">
        <f>( ((_xlfn.XLOOKUP($O87,Specs!$H:$H,Specs!$I:$I,0)*_xlfn.XLOOKUP($L87,Specs!$A:$A,Specs!$B:$B,0))/240) *_xlfn.XLOOKUP($H87,'Solid Mix In Nutrition'!A:A,'Solid Mix In Nutrition'!I:I,0)) *IF(AND(NOT($I87=0), COUNTA($I87)),0.5,1)</f>
        <v>0</v>
      </c>
      <c r="W87" s="30">
        <f>( ((_xlfn.XLOOKUP($O87,Specs!$H:$H,Specs!$I:$I,0)*_xlfn.XLOOKUP($L87,Specs!$A:$A,Specs!$B:$B,0))/240) *_xlfn.XLOOKUP($I87,'Solid Mix In Nutrition'!A:A,'Solid Mix In Nutrition'!I:I,0)) *IF(AND(NOT($I87=0), COUNTA($I87)),0.5,0)</f>
        <v>0</v>
      </c>
      <c r="X87" s="30">
        <f>_xlfn.XLOOKUP($P87,Specs!F:F,Specs!G:G,0)*_xlfn.XLOOKUP($J87,'Sweetener Mix In Nutrition'!A:A,'Sweetener Mix In Nutrition'!I:I,0)*_xlfn.XLOOKUP($L87,Specs!A:A,Specs!C:C,0)</f>
        <v>0</v>
      </c>
      <c r="Y87" s="30">
        <f>_xlfn.XLOOKUP($Q87,Specs!F:F,Specs!G:G,0)*_xlfn.XLOOKUP($K87,'Sweetener Mix In Nutrition'!A:A,'Sweetener Mix In Nutrition'!I:I,0)*_xlfn.XLOOKUP($L87,Specs!A:A,Specs!C:C,0)</f>
        <v>0</v>
      </c>
      <c r="Z87" s="34">
        <f t="shared" si="2"/>
        <v>0</v>
      </c>
      <c r="AA87" s="35">
        <f t="shared" si="3"/>
        <v>0</v>
      </c>
      <c r="AB87" s="36">
        <f>(($R87 / 240) * _xlfn.XLOOKUP($D87,'Milk Types Nutrition Per Cup'!A:A,'Milk Types Nutrition Per Cup'!B:B,0)) +(($S87 / 240)  * _xlfn.XLOOKUP($E87,'Milk Types Nutrition Per Cup'!A:A,'Milk Types Nutrition Per Cup'!B:B,0)) +(($T87 / 15)  * _xlfn.XLOOKUP($F87,'Liquid Mix In Nutrition'!A:A,'Liquid Mix In Nutrition'!B:B,0))+(($U87 / 15)  * _xlfn.XLOOKUP($G87,'Liquid Mix In Nutrition'!A:A,'Liquid Mix In Nutrition'!B:B,0))+(($V87 /MAX(1, _xlfn.XLOOKUP($H87,'Solid Mix In Nutrition'!A:A,'Solid Mix In Nutrition'!I:I,1)))  * _xlfn.XLOOKUP($H87,'Solid Mix In Nutrition'!A:A,'Solid Mix In Nutrition'!B:B,0))+(($W87 / MAX(1, _xlfn.XLOOKUP($I87,'Solid Mix In Nutrition'!A:A,'Solid Mix In Nutrition'!I:I,1))))+(($X87 / 100)  * _xlfn.XLOOKUP($J87,'Sweetener Mix In Nutrition'!A:A,'Sweetener Mix In Nutrition'!B:B,0))+(($Y87 / 100)  * _xlfn.XLOOKUP($K87,'Sweetener Mix In Nutrition'!A:A,'Sweetener Mix In Nutrition'!B:B,0))</f>
        <v>0</v>
      </c>
      <c r="AC87" s="36">
        <f>(($R87 / 240) * _xlfn.XLOOKUP($D87,'Milk Types Nutrition Per Cup'!A:A,'Milk Types Nutrition Per Cup'!E:E,0)) +(($S87 / 240)  * _xlfn.XLOOKUP($E87,'Milk Types Nutrition Per Cup'!A:A,'Milk Types Nutrition Per Cup'!E:E,0)) +(($T87 / 15)  * _xlfn.XLOOKUP($F87,'Liquid Mix In Nutrition'!A:A,'Liquid Mix In Nutrition'!E:E,0)) +(($U87 / 15)  * _xlfn.XLOOKUP($G87,'Liquid Mix In Nutrition'!A:A,'Liquid Mix In Nutrition'!E:E,0))+(($V87 / MAX(1, _xlfn.XLOOKUP($H87,'Solid Mix In Nutrition'!A:A,'Solid Mix In Nutrition'!I:I,1)))  * _xlfn.XLOOKUP($H87,'Solid Mix In Nutrition'!A:A,'Solid Mix In Nutrition'!E:E,0))+(($W87 / MAX(1, _xlfn.XLOOKUP($I87,'Solid Mix In Nutrition'!A:A,'Solid Mix In Nutrition'!I:I,1)))  * _xlfn.XLOOKUP($I87,'Solid Mix In Nutrition'!A:A,'Solid Mix In Nutrition'!G:G,0))+(($X87 / 100)  * _xlfn.XLOOKUP($J87,'Sweetener Mix In Nutrition'!A:A,'Sweetener Mix In Nutrition'!E:E,0))+(($Y87 / 100)  * _xlfn.XLOOKUP($K87,'Sweetener Mix In Nutrition'!A:A,'Sweetener Mix In Nutrition'!E:E,0))</f>
        <v>0</v>
      </c>
      <c r="AD87" s="36">
        <f>(($R87 / 240) * _xlfn.XLOOKUP($D87,'Milk Types Nutrition Per Cup'!A:A,'Milk Types Nutrition Per Cup'!E:E,0)) +(($S87 / 240)  * _xlfn.XLOOKUP($E87,'Milk Types Nutrition Per Cup'!A:A,'Milk Types Nutrition Per Cup'!E:E,0)) +(($T87 / 15)  * _xlfn.XLOOKUP($F87,'Liquid Mix In Nutrition'!A:A,'Liquid Mix In Nutrition'!E:E,0)) +(($U87 / 15)  * _xlfn.XLOOKUP($G87,'Liquid Mix In Nutrition'!A:A,'Liquid Mix In Nutrition'!E:E,0))+(($X87 / 100)  * _xlfn.XLOOKUP($J87,'Sweetener Mix In Nutrition'!A:A,'Sweetener Mix In Nutrition'!E:E,0))+(($Y87 / 100)  * _xlfn.XLOOKUP($K87,'Sweetener Mix In Nutrition'!A:A,'Sweetener Mix In Nutrition'!E:E,0))</f>
        <v>0</v>
      </c>
      <c r="AE87" s="37">
        <f>(($R87 / 240) * _xlfn.XLOOKUP($D87,'Milk Types Nutrition Per Cup'!A:A,'Milk Types Nutrition Per Cup'!C:C,0)) +(($S87 / 240)  * _xlfn.XLOOKUP($E87,'Milk Types Nutrition Per Cup'!A:A,'Milk Types Nutrition Per Cup'!C:C,0)) +(($T87 / 15)  * _xlfn.XLOOKUP($F87,'Liquid Mix In Nutrition'!A:A,'Liquid Mix In Nutrition'!C:C,0))+(($U87 / 15)  * _xlfn.XLOOKUP($G87,'Liquid Mix In Nutrition'!A:A,'Liquid Mix In Nutrition'!C:C,0))+(($V87 / MAX(1, _xlfn.XLOOKUP($H87,'Solid Mix In Nutrition'!A:A,'Solid Mix In Nutrition'!I:I,1)))  * _xlfn.XLOOKUP($H87,'Solid Mix In Nutrition'!A:A,'Solid Mix In Nutrition'!C:C,0))+(($W87 / MAX(1, _xlfn.XLOOKUP($I87,'Solid Mix In Nutrition'!A:A,'Solid Mix In Nutrition'!I:I,1)))  * _xlfn.XLOOKUP($I87,'Solid Mix In Nutrition'!A:A,'Solid Mix In Nutrition'!C:C,0))+(($X87 / 100)  * _xlfn.XLOOKUP($J87,'Sweetener Mix In Nutrition'!A:A,'Sweetener Mix In Nutrition'!C:C,0))+(($Y87 / 100)  * _xlfn.XLOOKUP($K87,'Sweetener Mix In Nutrition'!A:A,'Sweetener Mix In Nutrition'!C:C,0))</f>
        <v>0</v>
      </c>
      <c r="AF87" s="38" t="e">
        <f>$AE87 / (_xlfn.XLOOKUP($L87,Specs!A:A,Specs!B:B,0))</f>
        <v>#DIV/0!</v>
      </c>
      <c r="AG87" s="37" t="e">
        <f>60* ($AB87 / _xlfn.XLOOKUP($L87,Specs!A:A,Specs!B:B,0))</f>
        <v>#DIV/0!</v>
      </c>
      <c r="AH87" s="37" t="e">
        <f>60* (AC87 / _xlfn.XLOOKUP($L87,Specs!$A:$A,Specs!$B:$B,0))</f>
        <v>#DIV/0!</v>
      </c>
      <c r="AI87" s="37" t="e">
        <f>60* (AE87 / _xlfn.XLOOKUP($L87,Specs!$A:$A,Specs!$B:$B,0))</f>
        <v>#DIV/0!</v>
      </c>
      <c r="AJ87" s="39">
        <f>(($R87 / 240) * _xlfn.XLOOKUP($D87,'Milk Types Nutrition Per Cup'!A:A,'Milk Types Nutrition Per Cup'!F:F,0)) +(($S87 / 240)  * _xlfn.XLOOKUP($E87,'Milk Types Nutrition Per Cup'!A:A,'Milk Types Nutrition Per Cup'!F:F,0)) +(($T87 / 15)  * _xlfn.XLOOKUP($F87,'Liquid Mix In Nutrition'!A:A,'Liquid Mix In Nutrition'!F:F,0))+(($U87 / 15)  * _xlfn.XLOOKUP($G87,'Liquid Mix In Nutrition'!A:A,'Liquid Mix In Nutrition'!F:F,0))+(($V87 / MAX(1, _xlfn.XLOOKUP($H87,'Solid Mix In Nutrition'!A:A,'Solid Mix In Nutrition'!I:I,1)))  * _xlfn.XLOOKUP($H87,'Solid Mix In Nutrition'!A:A,'Solid Mix In Nutrition'!F:F,0))+(($W87 / MAX(1, _xlfn.XLOOKUP($I87,'Solid Mix In Nutrition'!A:A,'Solid Mix In Nutrition'!I:I,1)))  * _xlfn.XLOOKUP($I87,'Solid Mix In Nutrition'!A:A,'Solid Mix In Nutrition'!F:F,0))+(($X87 / 100)  * _xlfn.XLOOKUP($J87,'Sweetener Mix In Nutrition'!A:A,'Sweetener Mix In Nutrition'!F:F,0))+(($Y87 / 100)  * _xlfn.XLOOKUP($K87,'Sweetener Mix In Nutrition'!A:A,'Sweetener Mix In Nutrition'!F:F,0))</f>
        <v>0</v>
      </c>
      <c r="AK87" s="46">
        <f>[2]Sheet1!AG87</f>
        <v>0</v>
      </c>
      <c r="AL87" s="47"/>
      <c r="AM87" s="40">
        <f>IF(ISERROR(((AL87/Specs!$L$3)*Specs!$L$2)*2),0,ROUNDUP((((AL87/Specs!$L$3)*Specs!$L$2)*2),0))</f>
        <v>0</v>
      </c>
      <c r="AN87" s="48">
        <f>ROUNDUP(((AJ87+Specs!$R$2+Specs!$S$2+_xlfn.XLOOKUP($L87,Specs!A:A,Specs!V:V,0))*Specs!$N$2)+AM87,0)</f>
        <v>1</v>
      </c>
      <c r="AO87" s="40">
        <f>ROUNDUP(((AJ87+Specs!$R$2+Specs!$S$2+_xlfn.XLOOKUP($L87,Specs!A:A,Specs!V:V,0))*Specs!$N$2),0)</f>
        <v>1</v>
      </c>
      <c r="AP87" s="30"/>
    </row>
    <row r="88" spans="1:42" x14ac:dyDescent="0.25">
      <c r="A88" s="41" t="str">
        <f>_xlfn.CONCAT(_xlfn.XLOOKUP("What's Your Name?",[1]Sheet1!$1:$1,[1]Sheet1!88:88)," | ",TEXT(_xlfn.XLOOKUP("Completion time",[1]Sheet1!$1:$1,[1]Sheet1!88:88),"dddd, mmm dd, yyyy hh:mm AM/PM"))</f>
        <v xml:space="preserve"> | Saturday, Jan 00, 1900 12:00 AM</v>
      </c>
      <c r="B88" s="76">
        <f>_xlfn.XLOOKUP("What's Your Email Address?",[1]Sheet1!$1:$1,[1]Sheet1!88:88)</f>
        <v>0</v>
      </c>
      <c r="C88" s="31">
        <f>IF(ISBLANK(_xlfn.XLOOKUP("Which Flavor? (Pint Price | Quart Price | Half Gallon Price) (NOTE: Prices may fluctuate based on market conditions)",[1]Sheet1!$1:$1,[1]Sheet1!88:88)),_xlfn.XLOOKUP("Name Your Ice Cream!",[1]Sheet1!$1:$1,[1]Sheet1!88:88),IF(ISNUMBER(FIND("(", _xlfn.XLOOKUP("Which Flavor? (Pint Price | Quart Price | Half Gallon Price) (NOTE: Prices may fluctuate based on market conditions)",[1]Sheet1!$1:$1,[1]Sheet1!88:88))), LEFT(_xlfn.XLOOKUP("Which Flavor? (Pint Price | Quart Price | Half Gallon Price) (NOTE: Prices may fluctuate based on market conditions)",[1]Sheet1!$1:$1,[1]Sheet1!88:88), FIND("(", _xlfn.XLOOKUP("Which Flavor? (Pint Price | Quart Price | Half Gallon Price) (NOTE: Prices may fluctuate based on market conditions)",[1]Sheet1!$1:$1,[1]Sheet1!88:88)) - 1), _xlfn.XLOOKUP("Which Flavor? (Pint Price | Quart Price | Half Gallon Price) (NOTE: Prices may fluctuate based on market conditions)",[1]Sheet1!$1:$1,[1]Sheet1!88:88)))</f>
        <v>0</v>
      </c>
      <c r="D88" s="31">
        <f>IF(COUNTIF('Premade Flavors'!$A:$A, $C88) &gt; 0,IF(ISBLANK(_xlfn.XLOOKUP("What Ice Cream Base Do You Want To Change It To?",[1]Sheet1!$1:$1,[1]Sheet1!88:88)),_xlfn.XLOOKUP($C88,'Premade Flavors'!$A:$A,'Premade Flavors'!B:B),_xlfn.XLOOKUP("What Ice Cream Base Do You Want To Change It To?",[1]Sheet1!$1:$1,[1]Sheet1!88:88)),_xlfn.XLOOKUP(_xlfn.XLOOKUP("What Kind Of Ice Cream Base Do You Want? ",[1]Sheet1!$1:$1,[1]Sheet1!88:88),'Milk Types Nutrition Per Cup'!O:O,'Milk Types Nutrition Per Cup'!P:P,""))</f>
        <v>0</v>
      </c>
      <c r="E88" s="31">
        <f>IF(COUNTIF('Premade Flavors'!$A:$A, $C88) &gt; 0,IF(ISBLANK(_xlfn.XLOOKUP("What Ice Cream Base Do You Want To Change It To?",[1]Sheet1!$1:$1,[1]Sheet1!88:88)),_xlfn.XLOOKUP($C88,'Premade Flavors'!$A:$A,'Premade Flavors'!C:C),_xlfn.XLOOKUP("What Ice Cream Base Do You Want To Change It To?",[1]Sheet1!$1:$1,[1]Sheet1!88:88)),_xlfn.XLOOKUP(_xlfn.XLOOKUP("What Kind Of Ice Cream Base Do You Want? ",[1]Sheet1!$1:$1,[1]Sheet1!88:88),'Milk Types Nutrition Per Cup'!$O:$O,'Milk Types Nutrition Per Cup'!$Q:$Q,""))</f>
        <v>0</v>
      </c>
      <c r="F88" s="31">
        <f>IF(COUNTIF('Premade Flavors'!$A:$A, $C88) &gt; 0,_xlfn.XLOOKUP($C88,'Premade Flavors'!$A:$A,'Premade Flavors'!E:E),_xlfn.XLOOKUP("What's The First Flavor You Want? ",[1]Sheet1!$1:$1,[1]Sheet1!88:88))</f>
        <v>0</v>
      </c>
      <c r="G88" s="31">
        <f>IF(COUNTIF('Premade Flavors'!$A:$A, $C88) &gt; 0,_xlfn.XLOOKUP($C88,'Premade Flavors'!$A:$A,'Premade Flavors'!F:F),_xlfn.XLOOKUP("What's the Second Flavor You Want?",[1]Sheet1!$1:$1,[1]Sheet1!88:88))</f>
        <v>0</v>
      </c>
      <c r="H88" s="31">
        <f>IF(COUNTIF('Premade Flavors'!$A:$A, $C88) &gt; 0,_xlfn.XLOOKUP($C88,'Premade Flavors'!$A:$A,'Premade Flavors'!G:G),_xlfn.XLOOKUP("What's The First Mix In That You Want? ",[1]Sheet1!$1:$1,[1]Sheet1!88:88))</f>
        <v>0</v>
      </c>
      <c r="I88" s="31">
        <f>IF(COUNTIF('Premade Flavors'!$A:$A, $C86) &gt; 0,_xlfn.XLOOKUP($C86,'Premade Flavors'!$A:$A,'Premade Flavors'!H:H),IF([2]Sheet1!W86= 0,,[2]Sheet1!W86))</f>
        <v>0</v>
      </c>
      <c r="J88" s="31">
        <f>IF(COUNTIF('Premade Flavors'!$A:$A,$C88)&gt;0,IF(_xlfn.XLOOKUP("Should It Use Sugar or A Non-Sugar Sweetner?",[1]Sheet1!$1:$1,[1]Sheet1!88:88)="Sugar",_xlfn.XLOOKUP($C88,'Premade Flavors'!$A:$A,'Premade Flavors'!I:I),"Stevia"),_xlfn.XLOOKUP("What Sweetner Do You Want?",[1]Sheet1!$1:$1,[1]Sheet1!88:88))</f>
        <v>0</v>
      </c>
      <c r="K88" s="31"/>
      <c r="L88" s="77">
        <f>_xlfn.XLOOKUP("How Much Ice Cream Do You Want?",[1]Sheet1!$1:$1,[1]Sheet1!88:88)</f>
        <v>0</v>
      </c>
      <c r="M88" s="45">
        <f>IF(COUNTIF('Premade Flavors'!$A:$A, $C88) &gt; 0,_xlfn.XLOOKUP($C88,'Premade Flavors'!$A:$A,'Premade Flavors'!M:M),_xlfn.XLOOKUP("How Strong Do You Want The First Flavor?",[1]Sheet1!$1:$1,[1]Sheet1!88:88))</f>
        <v>0</v>
      </c>
      <c r="N88" s="45">
        <f>IF(COUNTIF('Premade Flavors'!$A:$A, $C88) &gt; 0,_xlfn.XLOOKUP($C88,'Premade Flavors'!$A:$A,'Premade Flavors'!N:N),_xlfn.XLOOKUP("How Strong Do You Want The Second Flavor?",[1]Sheet1!$1:$1,[1]Sheet1!88:88))</f>
        <v>0</v>
      </c>
      <c r="O88" s="45">
        <f>IF(COUNTIF('Premade Flavors'!$A:$A, $C88) &gt; 0,_xlfn.XLOOKUP($C88,'Premade Flavors'!$A:$A,'Premade Flavors'!O:O),_xlfn.XLOOKUP("How Dense Should the Mix Ins Be?",[1]Sheet1!$1:$1,[1]Sheet1!88:88))</f>
        <v>0</v>
      </c>
      <c r="P88" s="45">
        <f>IF(COUNTIF('Premade Flavors'!$A:$A, $C88) &gt; 0,_xlfn.XLOOKUP($C88,'Premade Flavors'!$A:$A,'Premade Flavors'!P:P),_xlfn.XLOOKUP("How Much Of The First Sweetner? ",[1]Sheet1!$1:$1,[1]Sheet1!88:88))</f>
        <v>0</v>
      </c>
      <c r="Q88" s="45">
        <f>IF(COUNTIF('Premade Flavors'!$A:$A, $C88) &gt; 0,_xlfn.XLOOKUP($C88,'Premade Flavors'!$A:$A,'Premade Flavors'!Q:Q),[2]Sheet1!S88)</f>
        <v>0</v>
      </c>
      <c r="R88" s="30">
        <f>(_xlfn.XLOOKUP($L88,Specs!A:A,Specs!B:B,0)-(IF(_xlfn.XLOOKUP($F88,'Liquid Mix In Nutrition'!A:A,'Liquid Mix In Nutrition'!J:J,0)="Yes",0,$T88))-(IF(_xlfn.XLOOKUP($G88,'Liquid Mix In Nutrition'!A:A,'Liquid Mix In Nutrition'!J:J,0)="Yes",0,$U88))-(($V88/MAX(1,_xlfn.XLOOKUP($H88,'Solid Mix In Nutrition'!A:A,'Solid Mix In Nutrition'!I:I,1)))*240)-(($W88/MAX(1,_xlfn.XLOOKUP($I88,'Solid Mix In Nutrition'!A:A,'Solid Mix In Nutrition'!I:I,1)))*240))*0.66</f>
        <v>0</v>
      </c>
      <c r="S88" s="30">
        <f>(_xlfn.XLOOKUP($L88,Specs!A:A,Specs!B:B,0)-(IF(_xlfn.XLOOKUP($F88,'Liquid Mix In Nutrition'!A:A,'Liquid Mix In Nutrition'!J:J,0)="Yes",0,$T88))-(IF(_xlfn.XLOOKUP($G88,'Liquid Mix In Nutrition'!A:A,'Liquid Mix In Nutrition'!J:J,0)="Yes",0,$U88))-(($V88/MAX(1,_xlfn.XLOOKUP($H88,'Solid Mix In Nutrition'!A:A,'Solid Mix In Nutrition'!I:I,1)))*240)-(($W88/MAX(1,_xlfn.XLOOKUP($I88,'Solid Mix In Nutrition'!A:A,'Solid Mix In Nutrition'!I:I,1)))*240))*0.33</f>
        <v>0</v>
      </c>
      <c r="T88" s="30">
        <f>_xlfn.XLOOKUP($M88,Specs!$D:$D,Specs!$E:$E,0)*15*_xlfn.XLOOKUP($L88,Specs!$A:$A,Specs!$C:$C,0)</f>
        <v>0</v>
      </c>
      <c r="U88" s="30">
        <f>_xlfn.XLOOKUP($N88,Specs!$D:$D,Specs!$E:$E,0)*15*_xlfn.XLOOKUP($L88,Specs!$A:$A,Specs!$C:$C,0)</f>
        <v>0</v>
      </c>
      <c r="V88" s="30">
        <f>( ((_xlfn.XLOOKUP($O88,Specs!$H:$H,Specs!$I:$I,0)*_xlfn.XLOOKUP($L88,Specs!$A:$A,Specs!$B:$B,0))/240) *_xlfn.XLOOKUP($H88,'Solid Mix In Nutrition'!A:A,'Solid Mix In Nutrition'!I:I,0)) *IF(AND(NOT($I88=0), COUNTA($I88)),0.5,1)</f>
        <v>0</v>
      </c>
      <c r="W88" s="30">
        <f>( ((_xlfn.XLOOKUP($O88,Specs!$H:$H,Specs!$I:$I,0)*_xlfn.XLOOKUP($L88,Specs!$A:$A,Specs!$B:$B,0))/240) *_xlfn.XLOOKUP($I88,'Solid Mix In Nutrition'!A:A,'Solid Mix In Nutrition'!I:I,0)) *IF(AND(NOT($I88=0), COUNTA($I88)),0.5,0)</f>
        <v>0</v>
      </c>
      <c r="X88" s="30">
        <f>_xlfn.XLOOKUP($P88,Specs!F:F,Specs!G:G,0)*_xlfn.XLOOKUP($J88,'Sweetener Mix In Nutrition'!A:A,'Sweetener Mix In Nutrition'!I:I,0)*_xlfn.XLOOKUP($L88,Specs!A:A,Specs!C:C,0)</f>
        <v>0</v>
      </c>
      <c r="Y88" s="30">
        <f>_xlfn.XLOOKUP($Q88,Specs!F:F,Specs!G:G,0)*_xlfn.XLOOKUP($K88,'Sweetener Mix In Nutrition'!A:A,'Sweetener Mix In Nutrition'!I:I,0)*_xlfn.XLOOKUP($L88,Specs!A:A,Specs!C:C,0)</f>
        <v>0</v>
      </c>
      <c r="Z88" s="34">
        <f t="shared" si="2"/>
        <v>0</v>
      </c>
      <c r="AA88" s="35">
        <f t="shared" si="3"/>
        <v>0</v>
      </c>
      <c r="AB88" s="36">
        <f>(($R88 / 240) * _xlfn.XLOOKUP($D88,'Milk Types Nutrition Per Cup'!A:A,'Milk Types Nutrition Per Cup'!B:B,0)) +(($S88 / 240)  * _xlfn.XLOOKUP($E88,'Milk Types Nutrition Per Cup'!A:A,'Milk Types Nutrition Per Cup'!B:B,0)) +(($T88 / 15)  * _xlfn.XLOOKUP($F88,'Liquid Mix In Nutrition'!A:A,'Liquid Mix In Nutrition'!B:B,0))+(($U88 / 15)  * _xlfn.XLOOKUP($G88,'Liquid Mix In Nutrition'!A:A,'Liquid Mix In Nutrition'!B:B,0))+(($V88 /MAX(1, _xlfn.XLOOKUP($H88,'Solid Mix In Nutrition'!A:A,'Solid Mix In Nutrition'!I:I,1)))  * _xlfn.XLOOKUP($H88,'Solid Mix In Nutrition'!A:A,'Solid Mix In Nutrition'!B:B,0))+(($W88 / MAX(1, _xlfn.XLOOKUP($I88,'Solid Mix In Nutrition'!A:A,'Solid Mix In Nutrition'!I:I,1))))+(($X88 / 100)  * _xlfn.XLOOKUP($J88,'Sweetener Mix In Nutrition'!A:A,'Sweetener Mix In Nutrition'!B:B,0))+(($Y88 / 100)  * _xlfn.XLOOKUP($K88,'Sweetener Mix In Nutrition'!A:A,'Sweetener Mix In Nutrition'!B:B,0))</f>
        <v>0</v>
      </c>
      <c r="AC88" s="36">
        <f>(($R88 / 240) * _xlfn.XLOOKUP($D88,'Milk Types Nutrition Per Cup'!A:A,'Milk Types Nutrition Per Cup'!E:E,0)) +(($S88 / 240)  * _xlfn.XLOOKUP($E88,'Milk Types Nutrition Per Cup'!A:A,'Milk Types Nutrition Per Cup'!E:E,0)) +(($T88 / 15)  * _xlfn.XLOOKUP($F88,'Liquid Mix In Nutrition'!A:A,'Liquid Mix In Nutrition'!E:E,0)) +(($U88 / 15)  * _xlfn.XLOOKUP($G88,'Liquid Mix In Nutrition'!A:A,'Liquid Mix In Nutrition'!E:E,0))+(($V88 / MAX(1, _xlfn.XLOOKUP($H88,'Solid Mix In Nutrition'!A:A,'Solid Mix In Nutrition'!I:I,1)))  * _xlfn.XLOOKUP($H88,'Solid Mix In Nutrition'!A:A,'Solid Mix In Nutrition'!E:E,0))+(($W88 / MAX(1, _xlfn.XLOOKUP($I88,'Solid Mix In Nutrition'!A:A,'Solid Mix In Nutrition'!I:I,1)))  * _xlfn.XLOOKUP($I88,'Solid Mix In Nutrition'!A:A,'Solid Mix In Nutrition'!G:G,0))+(($X88 / 100)  * _xlfn.XLOOKUP($J88,'Sweetener Mix In Nutrition'!A:A,'Sweetener Mix In Nutrition'!E:E,0))+(($Y88 / 100)  * _xlfn.XLOOKUP($K88,'Sweetener Mix In Nutrition'!A:A,'Sweetener Mix In Nutrition'!E:E,0))</f>
        <v>0</v>
      </c>
      <c r="AD88" s="36">
        <f>(($R88 / 240) * _xlfn.XLOOKUP($D88,'Milk Types Nutrition Per Cup'!A:A,'Milk Types Nutrition Per Cup'!E:E,0)) +(($S88 / 240)  * _xlfn.XLOOKUP($E88,'Milk Types Nutrition Per Cup'!A:A,'Milk Types Nutrition Per Cup'!E:E,0)) +(($T88 / 15)  * _xlfn.XLOOKUP($F88,'Liquid Mix In Nutrition'!A:A,'Liquid Mix In Nutrition'!E:E,0)) +(($U88 / 15)  * _xlfn.XLOOKUP($G88,'Liquid Mix In Nutrition'!A:A,'Liquid Mix In Nutrition'!E:E,0))+(($X88 / 100)  * _xlfn.XLOOKUP($J88,'Sweetener Mix In Nutrition'!A:A,'Sweetener Mix In Nutrition'!E:E,0))+(($Y88 / 100)  * _xlfn.XLOOKUP($K88,'Sweetener Mix In Nutrition'!A:A,'Sweetener Mix In Nutrition'!E:E,0))</f>
        <v>0</v>
      </c>
      <c r="AE88" s="37">
        <f>(($R88 / 240) * _xlfn.XLOOKUP($D88,'Milk Types Nutrition Per Cup'!A:A,'Milk Types Nutrition Per Cup'!C:C,0)) +(($S88 / 240)  * _xlfn.XLOOKUP($E88,'Milk Types Nutrition Per Cup'!A:A,'Milk Types Nutrition Per Cup'!C:C,0)) +(($T88 / 15)  * _xlfn.XLOOKUP($F88,'Liquid Mix In Nutrition'!A:A,'Liquid Mix In Nutrition'!C:C,0))+(($U88 / 15)  * _xlfn.XLOOKUP($G88,'Liquid Mix In Nutrition'!A:A,'Liquid Mix In Nutrition'!C:C,0))+(($V88 / MAX(1, _xlfn.XLOOKUP($H88,'Solid Mix In Nutrition'!A:A,'Solid Mix In Nutrition'!I:I,1)))  * _xlfn.XLOOKUP($H88,'Solid Mix In Nutrition'!A:A,'Solid Mix In Nutrition'!C:C,0))+(($W88 / MAX(1, _xlfn.XLOOKUP($I88,'Solid Mix In Nutrition'!A:A,'Solid Mix In Nutrition'!I:I,1)))  * _xlfn.XLOOKUP($I88,'Solid Mix In Nutrition'!A:A,'Solid Mix In Nutrition'!C:C,0))+(($X88 / 100)  * _xlfn.XLOOKUP($J88,'Sweetener Mix In Nutrition'!A:A,'Sweetener Mix In Nutrition'!C:C,0))+(($Y88 / 100)  * _xlfn.XLOOKUP($K88,'Sweetener Mix In Nutrition'!A:A,'Sweetener Mix In Nutrition'!C:C,0))</f>
        <v>0</v>
      </c>
      <c r="AF88" s="38" t="e">
        <f>$AE88 / (_xlfn.XLOOKUP($L88,Specs!A:A,Specs!B:B,0))</f>
        <v>#DIV/0!</v>
      </c>
      <c r="AG88" s="37" t="e">
        <f>60* ($AB88 / _xlfn.XLOOKUP($L88,Specs!A:A,Specs!B:B,0))</f>
        <v>#DIV/0!</v>
      </c>
      <c r="AH88" s="37" t="e">
        <f>60* (AC88 / _xlfn.XLOOKUP($L88,Specs!$A:$A,Specs!$B:$B,0))</f>
        <v>#DIV/0!</v>
      </c>
      <c r="AI88" s="37" t="e">
        <f>60* (AE88 / _xlfn.XLOOKUP($L88,Specs!$A:$A,Specs!$B:$B,0))</f>
        <v>#DIV/0!</v>
      </c>
      <c r="AJ88" s="39">
        <f>(($R88 / 240) * _xlfn.XLOOKUP($D88,'Milk Types Nutrition Per Cup'!A:A,'Milk Types Nutrition Per Cup'!F:F,0)) +(($S88 / 240)  * _xlfn.XLOOKUP($E88,'Milk Types Nutrition Per Cup'!A:A,'Milk Types Nutrition Per Cup'!F:F,0)) +(($T88 / 15)  * _xlfn.XLOOKUP($F88,'Liquid Mix In Nutrition'!A:A,'Liquid Mix In Nutrition'!F:F,0))+(($U88 / 15)  * _xlfn.XLOOKUP($G88,'Liquid Mix In Nutrition'!A:A,'Liquid Mix In Nutrition'!F:F,0))+(($V88 / MAX(1, _xlfn.XLOOKUP($H88,'Solid Mix In Nutrition'!A:A,'Solid Mix In Nutrition'!I:I,1)))  * _xlfn.XLOOKUP($H88,'Solid Mix In Nutrition'!A:A,'Solid Mix In Nutrition'!F:F,0))+(($W88 / MAX(1, _xlfn.XLOOKUP($I88,'Solid Mix In Nutrition'!A:A,'Solid Mix In Nutrition'!I:I,1)))  * _xlfn.XLOOKUP($I88,'Solid Mix In Nutrition'!A:A,'Solid Mix In Nutrition'!F:F,0))+(($X88 / 100)  * _xlfn.XLOOKUP($J88,'Sweetener Mix In Nutrition'!A:A,'Sweetener Mix In Nutrition'!F:F,0))+(($Y88 / 100)  * _xlfn.XLOOKUP($K88,'Sweetener Mix In Nutrition'!A:A,'Sweetener Mix In Nutrition'!F:F,0))</f>
        <v>0</v>
      </c>
      <c r="AK88" s="46">
        <f>[2]Sheet1!AG88</f>
        <v>0</v>
      </c>
      <c r="AL88" s="47"/>
      <c r="AM88" s="40">
        <f>IF(ISERROR(((AL88/Specs!$L$3)*Specs!$L$2)*2),0,ROUNDUP((((AL88/Specs!$L$3)*Specs!$L$2)*2),0))</f>
        <v>0</v>
      </c>
      <c r="AN88" s="48">
        <f>ROUNDUP(((AJ88+Specs!$R$2+Specs!$S$2+_xlfn.XLOOKUP($L88,Specs!A:A,Specs!V:V,0))*Specs!$N$2)+AM88,0)</f>
        <v>1</v>
      </c>
      <c r="AO88" s="40">
        <f>ROUNDUP(((AJ88+Specs!$R$2+Specs!$S$2+_xlfn.XLOOKUP($L88,Specs!A:A,Specs!V:V,0))*Specs!$N$2),0)</f>
        <v>1</v>
      </c>
      <c r="AP88" s="30"/>
    </row>
    <row r="89" spans="1:42" x14ac:dyDescent="0.25">
      <c r="A89" s="41" t="str">
        <f>_xlfn.CONCAT(_xlfn.XLOOKUP("What's Your Name?",[1]Sheet1!$1:$1,[1]Sheet1!89:89)," | ",TEXT(_xlfn.XLOOKUP("Completion time",[1]Sheet1!$1:$1,[1]Sheet1!89:89),"dddd, mmm dd, yyyy hh:mm AM/PM"))</f>
        <v xml:space="preserve"> | Saturday, Jan 00, 1900 12:00 AM</v>
      </c>
      <c r="B89" s="76">
        <f>_xlfn.XLOOKUP("What's Your Email Address?",[1]Sheet1!$1:$1,[1]Sheet1!89:89)</f>
        <v>0</v>
      </c>
      <c r="C89" s="31">
        <f>IF(ISBLANK(_xlfn.XLOOKUP("Which Flavor? (Pint Price | Quart Price | Half Gallon Price) (NOTE: Prices may fluctuate based on market conditions)",[1]Sheet1!$1:$1,[1]Sheet1!89:89)),_xlfn.XLOOKUP("Name Your Ice Cream!",[1]Sheet1!$1:$1,[1]Sheet1!89:89),IF(ISNUMBER(FIND("(", _xlfn.XLOOKUP("Which Flavor? (Pint Price | Quart Price | Half Gallon Price) (NOTE: Prices may fluctuate based on market conditions)",[1]Sheet1!$1:$1,[1]Sheet1!89:89))), LEFT(_xlfn.XLOOKUP("Which Flavor? (Pint Price | Quart Price | Half Gallon Price) (NOTE: Prices may fluctuate based on market conditions)",[1]Sheet1!$1:$1,[1]Sheet1!89:89), FIND("(", _xlfn.XLOOKUP("Which Flavor? (Pint Price | Quart Price | Half Gallon Price) (NOTE: Prices may fluctuate based on market conditions)",[1]Sheet1!$1:$1,[1]Sheet1!89:89)) - 1), _xlfn.XLOOKUP("Which Flavor? (Pint Price | Quart Price | Half Gallon Price) (NOTE: Prices may fluctuate based on market conditions)",[1]Sheet1!$1:$1,[1]Sheet1!89:89)))</f>
        <v>0</v>
      </c>
      <c r="D89" s="31">
        <f>IF(COUNTIF('Premade Flavors'!$A:$A, $C89) &gt; 0,IF(ISBLANK(_xlfn.XLOOKUP("What Ice Cream Base Do You Want To Change It To?",[1]Sheet1!$1:$1,[1]Sheet1!89:89)),_xlfn.XLOOKUP($C89,'Premade Flavors'!$A:$A,'Premade Flavors'!B:B),_xlfn.XLOOKUP("What Ice Cream Base Do You Want To Change It To?",[1]Sheet1!$1:$1,[1]Sheet1!89:89)),_xlfn.XLOOKUP(_xlfn.XLOOKUP("What Kind Of Ice Cream Base Do You Want? ",[1]Sheet1!$1:$1,[1]Sheet1!89:89),'Milk Types Nutrition Per Cup'!O:O,'Milk Types Nutrition Per Cup'!P:P,""))</f>
        <v>0</v>
      </c>
      <c r="E89" s="31">
        <f>IF(COUNTIF('Premade Flavors'!$A:$A, $C89) &gt; 0,IF(ISBLANK(_xlfn.XLOOKUP("What Ice Cream Base Do You Want To Change It To?",[1]Sheet1!$1:$1,[1]Sheet1!89:89)),_xlfn.XLOOKUP($C89,'Premade Flavors'!$A:$A,'Premade Flavors'!C:C),_xlfn.XLOOKUP("What Ice Cream Base Do You Want To Change It To?",[1]Sheet1!$1:$1,[1]Sheet1!89:89)),_xlfn.XLOOKUP(_xlfn.XLOOKUP("What Kind Of Ice Cream Base Do You Want? ",[1]Sheet1!$1:$1,[1]Sheet1!89:89),'Milk Types Nutrition Per Cup'!$O:$O,'Milk Types Nutrition Per Cup'!$Q:$Q,""))</f>
        <v>0</v>
      </c>
      <c r="F89" s="31">
        <f>IF(COUNTIF('Premade Flavors'!$A:$A, $C89) &gt; 0,_xlfn.XLOOKUP($C89,'Premade Flavors'!$A:$A,'Premade Flavors'!E:E),_xlfn.XLOOKUP("What's The First Flavor You Want? ",[1]Sheet1!$1:$1,[1]Sheet1!89:89))</f>
        <v>0</v>
      </c>
      <c r="G89" s="31">
        <f>IF(COUNTIF('Premade Flavors'!$A:$A, $C89) &gt; 0,_xlfn.XLOOKUP($C89,'Premade Flavors'!$A:$A,'Premade Flavors'!F:F),_xlfn.XLOOKUP("What's the Second Flavor You Want?",[1]Sheet1!$1:$1,[1]Sheet1!89:89))</f>
        <v>0</v>
      </c>
      <c r="H89" s="31">
        <f>IF(COUNTIF('Premade Flavors'!$A:$A, $C89) &gt; 0,_xlfn.XLOOKUP($C89,'Premade Flavors'!$A:$A,'Premade Flavors'!G:G),_xlfn.XLOOKUP("What's The First Mix In That You Want? ",[1]Sheet1!$1:$1,[1]Sheet1!89:89))</f>
        <v>0</v>
      </c>
      <c r="I89" s="31">
        <f>IF(COUNTIF('Premade Flavors'!$A:$A, $C87) &gt; 0,_xlfn.XLOOKUP($C87,'Premade Flavors'!$A:$A,'Premade Flavors'!H:H),IF([2]Sheet1!W87= 0,,[2]Sheet1!W87))</f>
        <v>0</v>
      </c>
      <c r="J89" s="31">
        <f>IF(COUNTIF('Premade Flavors'!$A:$A,$C89)&gt;0,IF(_xlfn.XLOOKUP("Should It Use Sugar or A Non-Sugar Sweetner?",[1]Sheet1!$1:$1,[1]Sheet1!89:89)="Sugar",_xlfn.XLOOKUP($C89,'Premade Flavors'!$A:$A,'Premade Flavors'!I:I),"Stevia"),_xlfn.XLOOKUP("What Sweetner Do You Want?",[1]Sheet1!$1:$1,[1]Sheet1!89:89))</f>
        <v>0</v>
      </c>
      <c r="K89" s="31"/>
      <c r="L89" s="77">
        <f>_xlfn.XLOOKUP("How Much Ice Cream Do You Want?",[1]Sheet1!$1:$1,[1]Sheet1!89:89)</f>
        <v>0</v>
      </c>
      <c r="M89" s="45">
        <f>IF(COUNTIF('Premade Flavors'!$A:$A, $C89) &gt; 0,_xlfn.XLOOKUP($C89,'Premade Flavors'!$A:$A,'Premade Flavors'!M:M),_xlfn.XLOOKUP("How Strong Do You Want The First Flavor?",[1]Sheet1!$1:$1,[1]Sheet1!89:89))</f>
        <v>0</v>
      </c>
      <c r="N89" s="45">
        <f>IF(COUNTIF('Premade Flavors'!$A:$A, $C89) &gt; 0,_xlfn.XLOOKUP($C89,'Premade Flavors'!$A:$A,'Premade Flavors'!N:N),_xlfn.XLOOKUP("How Strong Do You Want The Second Flavor?",[1]Sheet1!$1:$1,[1]Sheet1!89:89))</f>
        <v>0</v>
      </c>
      <c r="O89" s="45">
        <f>IF(COUNTIF('Premade Flavors'!$A:$A, $C89) &gt; 0,_xlfn.XLOOKUP($C89,'Premade Flavors'!$A:$A,'Premade Flavors'!O:O),_xlfn.XLOOKUP("How Dense Should the Mix Ins Be?",[1]Sheet1!$1:$1,[1]Sheet1!89:89))</f>
        <v>0</v>
      </c>
      <c r="P89" s="45">
        <f>IF(COUNTIF('Premade Flavors'!$A:$A, $C89) &gt; 0,_xlfn.XLOOKUP($C89,'Premade Flavors'!$A:$A,'Premade Flavors'!P:P),_xlfn.XLOOKUP("How Much Of The First Sweetner? ",[1]Sheet1!$1:$1,[1]Sheet1!89:89))</f>
        <v>0</v>
      </c>
      <c r="Q89" s="45">
        <f>IF(COUNTIF('Premade Flavors'!$A:$A, $C89) &gt; 0,_xlfn.XLOOKUP($C89,'Premade Flavors'!$A:$A,'Premade Flavors'!Q:Q),[2]Sheet1!S89)</f>
        <v>0</v>
      </c>
      <c r="R89" s="30">
        <f>(_xlfn.XLOOKUP($L89,Specs!A:A,Specs!B:B,0)-(IF(_xlfn.XLOOKUP($F89,'Liquid Mix In Nutrition'!A:A,'Liquid Mix In Nutrition'!J:J,0)="Yes",0,$T89))-(IF(_xlfn.XLOOKUP($G89,'Liquid Mix In Nutrition'!A:A,'Liquid Mix In Nutrition'!J:J,0)="Yes",0,$U89))-(($V89/MAX(1,_xlfn.XLOOKUP($H89,'Solid Mix In Nutrition'!A:A,'Solid Mix In Nutrition'!I:I,1)))*240)-(($W89/MAX(1,_xlfn.XLOOKUP($I89,'Solid Mix In Nutrition'!A:A,'Solid Mix In Nutrition'!I:I,1)))*240))*0.66</f>
        <v>0</v>
      </c>
      <c r="S89" s="30">
        <f>(_xlfn.XLOOKUP($L89,Specs!A:A,Specs!B:B,0)-(IF(_xlfn.XLOOKUP($F89,'Liquid Mix In Nutrition'!A:A,'Liquid Mix In Nutrition'!J:J,0)="Yes",0,$T89))-(IF(_xlfn.XLOOKUP($G89,'Liquid Mix In Nutrition'!A:A,'Liquid Mix In Nutrition'!J:J,0)="Yes",0,$U89))-(($V89/MAX(1,_xlfn.XLOOKUP($H89,'Solid Mix In Nutrition'!A:A,'Solid Mix In Nutrition'!I:I,1)))*240)-(($W89/MAX(1,_xlfn.XLOOKUP($I89,'Solid Mix In Nutrition'!A:A,'Solid Mix In Nutrition'!I:I,1)))*240))*0.33</f>
        <v>0</v>
      </c>
      <c r="T89" s="30">
        <f>_xlfn.XLOOKUP($M89,Specs!$D:$D,Specs!$E:$E,0)*15*_xlfn.XLOOKUP($L89,Specs!$A:$A,Specs!$C:$C,0)</f>
        <v>0</v>
      </c>
      <c r="U89" s="30">
        <f>_xlfn.XLOOKUP($N89,Specs!$D:$D,Specs!$E:$E,0)*15*_xlfn.XLOOKUP($L89,Specs!$A:$A,Specs!$C:$C,0)</f>
        <v>0</v>
      </c>
      <c r="V89" s="30">
        <f>( ((_xlfn.XLOOKUP($O89,Specs!$H:$H,Specs!$I:$I,0)*_xlfn.XLOOKUP($L89,Specs!$A:$A,Specs!$B:$B,0))/240) *_xlfn.XLOOKUP($H89,'Solid Mix In Nutrition'!A:A,'Solid Mix In Nutrition'!I:I,0)) *IF(AND(NOT($I89=0), COUNTA($I89)),0.5,1)</f>
        <v>0</v>
      </c>
      <c r="W89" s="30">
        <f>( ((_xlfn.XLOOKUP($O89,Specs!$H:$H,Specs!$I:$I,0)*_xlfn.XLOOKUP($L89,Specs!$A:$A,Specs!$B:$B,0))/240) *_xlfn.XLOOKUP($I89,'Solid Mix In Nutrition'!A:A,'Solid Mix In Nutrition'!I:I,0)) *IF(AND(NOT($I89=0), COUNTA($I89)),0.5,0)</f>
        <v>0</v>
      </c>
      <c r="X89" s="30">
        <f>_xlfn.XLOOKUP($P89,Specs!F:F,Specs!G:G,0)*_xlfn.XLOOKUP($J89,'Sweetener Mix In Nutrition'!A:A,'Sweetener Mix In Nutrition'!I:I,0)*_xlfn.XLOOKUP($L89,Specs!A:A,Specs!C:C,0)</f>
        <v>0</v>
      </c>
      <c r="Y89" s="30">
        <f>_xlfn.XLOOKUP($Q89,Specs!F:F,Specs!G:G,0)*_xlfn.XLOOKUP($K89,'Sweetener Mix In Nutrition'!A:A,'Sweetener Mix In Nutrition'!I:I,0)*_xlfn.XLOOKUP($L89,Specs!A:A,Specs!C:C,0)</f>
        <v>0</v>
      </c>
      <c r="Z89" s="34">
        <f t="shared" si="2"/>
        <v>0</v>
      </c>
      <c r="AA89" s="35">
        <f t="shared" si="3"/>
        <v>0</v>
      </c>
      <c r="AB89" s="36">
        <f>(($R89 / 240) * _xlfn.XLOOKUP($D89,'Milk Types Nutrition Per Cup'!A:A,'Milk Types Nutrition Per Cup'!B:B,0)) +(($S89 / 240)  * _xlfn.XLOOKUP($E89,'Milk Types Nutrition Per Cup'!A:A,'Milk Types Nutrition Per Cup'!B:B,0)) +(($T89 / 15)  * _xlfn.XLOOKUP($F89,'Liquid Mix In Nutrition'!A:A,'Liquid Mix In Nutrition'!B:B,0))+(($U89 / 15)  * _xlfn.XLOOKUP($G89,'Liquid Mix In Nutrition'!A:A,'Liquid Mix In Nutrition'!B:B,0))+(($V89 /MAX(1, _xlfn.XLOOKUP($H89,'Solid Mix In Nutrition'!A:A,'Solid Mix In Nutrition'!I:I,1)))  * _xlfn.XLOOKUP($H89,'Solid Mix In Nutrition'!A:A,'Solid Mix In Nutrition'!B:B,0))+(($W89 / MAX(1, _xlfn.XLOOKUP($I89,'Solid Mix In Nutrition'!A:A,'Solid Mix In Nutrition'!I:I,1))))+(($X89 / 100)  * _xlfn.XLOOKUP($J89,'Sweetener Mix In Nutrition'!A:A,'Sweetener Mix In Nutrition'!B:B,0))+(($Y89 / 100)  * _xlfn.XLOOKUP($K89,'Sweetener Mix In Nutrition'!A:A,'Sweetener Mix In Nutrition'!B:B,0))</f>
        <v>0</v>
      </c>
      <c r="AC89" s="36">
        <f>(($R89 / 240) * _xlfn.XLOOKUP($D89,'Milk Types Nutrition Per Cup'!A:A,'Milk Types Nutrition Per Cup'!E:E,0)) +(($S89 / 240)  * _xlfn.XLOOKUP($E89,'Milk Types Nutrition Per Cup'!A:A,'Milk Types Nutrition Per Cup'!E:E,0)) +(($T89 / 15)  * _xlfn.XLOOKUP($F89,'Liquid Mix In Nutrition'!A:A,'Liquid Mix In Nutrition'!E:E,0)) +(($U89 / 15)  * _xlfn.XLOOKUP($G89,'Liquid Mix In Nutrition'!A:A,'Liquid Mix In Nutrition'!E:E,0))+(($V89 / MAX(1, _xlfn.XLOOKUP($H89,'Solid Mix In Nutrition'!A:A,'Solid Mix In Nutrition'!I:I,1)))  * _xlfn.XLOOKUP($H89,'Solid Mix In Nutrition'!A:A,'Solid Mix In Nutrition'!E:E,0))+(($W89 / MAX(1, _xlfn.XLOOKUP($I89,'Solid Mix In Nutrition'!A:A,'Solid Mix In Nutrition'!I:I,1)))  * _xlfn.XLOOKUP($I89,'Solid Mix In Nutrition'!A:A,'Solid Mix In Nutrition'!G:G,0))+(($X89 / 100)  * _xlfn.XLOOKUP($J89,'Sweetener Mix In Nutrition'!A:A,'Sweetener Mix In Nutrition'!E:E,0))+(($Y89 / 100)  * _xlfn.XLOOKUP($K89,'Sweetener Mix In Nutrition'!A:A,'Sweetener Mix In Nutrition'!E:E,0))</f>
        <v>0</v>
      </c>
      <c r="AD89" s="36">
        <f>(($R89 / 240) * _xlfn.XLOOKUP($D89,'Milk Types Nutrition Per Cup'!A:A,'Milk Types Nutrition Per Cup'!E:E,0)) +(($S89 / 240)  * _xlfn.XLOOKUP($E89,'Milk Types Nutrition Per Cup'!A:A,'Milk Types Nutrition Per Cup'!E:E,0)) +(($T89 / 15)  * _xlfn.XLOOKUP($F89,'Liquid Mix In Nutrition'!A:A,'Liquid Mix In Nutrition'!E:E,0)) +(($U89 / 15)  * _xlfn.XLOOKUP($G89,'Liquid Mix In Nutrition'!A:A,'Liquid Mix In Nutrition'!E:E,0))+(($X89 / 100)  * _xlfn.XLOOKUP($J89,'Sweetener Mix In Nutrition'!A:A,'Sweetener Mix In Nutrition'!E:E,0))+(($Y89 / 100)  * _xlfn.XLOOKUP($K89,'Sweetener Mix In Nutrition'!A:A,'Sweetener Mix In Nutrition'!E:E,0))</f>
        <v>0</v>
      </c>
      <c r="AE89" s="37">
        <f>(($R89 / 240) * _xlfn.XLOOKUP($D89,'Milk Types Nutrition Per Cup'!A:A,'Milk Types Nutrition Per Cup'!C:C,0)) +(($S89 / 240)  * _xlfn.XLOOKUP($E89,'Milk Types Nutrition Per Cup'!A:A,'Milk Types Nutrition Per Cup'!C:C,0)) +(($T89 / 15)  * _xlfn.XLOOKUP($F89,'Liquid Mix In Nutrition'!A:A,'Liquid Mix In Nutrition'!C:C,0))+(($U89 / 15)  * _xlfn.XLOOKUP($G89,'Liquid Mix In Nutrition'!A:A,'Liquid Mix In Nutrition'!C:C,0))+(($V89 / MAX(1, _xlfn.XLOOKUP($H89,'Solid Mix In Nutrition'!A:A,'Solid Mix In Nutrition'!I:I,1)))  * _xlfn.XLOOKUP($H89,'Solid Mix In Nutrition'!A:A,'Solid Mix In Nutrition'!C:C,0))+(($W89 / MAX(1, _xlfn.XLOOKUP($I89,'Solid Mix In Nutrition'!A:A,'Solid Mix In Nutrition'!I:I,1)))  * _xlfn.XLOOKUP($I89,'Solid Mix In Nutrition'!A:A,'Solid Mix In Nutrition'!C:C,0))+(($X89 / 100)  * _xlfn.XLOOKUP($J89,'Sweetener Mix In Nutrition'!A:A,'Sweetener Mix In Nutrition'!C:C,0))+(($Y89 / 100)  * _xlfn.XLOOKUP($K89,'Sweetener Mix In Nutrition'!A:A,'Sweetener Mix In Nutrition'!C:C,0))</f>
        <v>0</v>
      </c>
      <c r="AF89" s="38" t="e">
        <f>$AE89 / (_xlfn.XLOOKUP($L89,Specs!A:A,Specs!B:B,0))</f>
        <v>#DIV/0!</v>
      </c>
      <c r="AG89" s="37" t="e">
        <f>60* ($AB89 / _xlfn.XLOOKUP($L89,Specs!A:A,Specs!B:B,0))</f>
        <v>#DIV/0!</v>
      </c>
      <c r="AH89" s="37" t="e">
        <f>60* (AC89 / _xlfn.XLOOKUP($L89,Specs!$A:$A,Specs!$B:$B,0))</f>
        <v>#DIV/0!</v>
      </c>
      <c r="AI89" s="37" t="e">
        <f>60* (AE89 / _xlfn.XLOOKUP($L89,Specs!$A:$A,Specs!$B:$B,0))</f>
        <v>#DIV/0!</v>
      </c>
      <c r="AJ89" s="39">
        <f>(($R89 / 240) * _xlfn.XLOOKUP($D89,'Milk Types Nutrition Per Cup'!A:A,'Milk Types Nutrition Per Cup'!F:F,0)) +(($S89 / 240)  * _xlfn.XLOOKUP($E89,'Milk Types Nutrition Per Cup'!A:A,'Milk Types Nutrition Per Cup'!F:F,0)) +(($T89 / 15)  * _xlfn.XLOOKUP($F89,'Liquid Mix In Nutrition'!A:A,'Liquid Mix In Nutrition'!F:F,0))+(($U89 / 15)  * _xlfn.XLOOKUP($G89,'Liquid Mix In Nutrition'!A:A,'Liquid Mix In Nutrition'!F:F,0))+(($V89 / MAX(1, _xlfn.XLOOKUP($H89,'Solid Mix In Nutrition'!A:A,'Solid Mix In Nutrition'!I:I,1)))  * _xlfn.XLOOKUP($H89,'Solid Mix In Nutrition'!A:A,'Solid Mix In Nutrition'!F:F,0))+(($W89 / MAX(1, _xlfn.XLOOKUP($I89,'Solid Mix In Nutrition'!A:A,'Solid Mix In Nutrition'!I:I,1)))  * _xlfn.XLOOKUP($I89,'Solid Mix In Nutrition'!A:A,'Solid Mix In Nutrition'!F:F,0))+(($X89 / 100)  * _xlfn.XLOOKUP($J89,'Sweetener Mix In Nutrition'!A:A,'Sweetener Mix In Nutrition'!F:F,0))+(($Y89 / 100)  * _xlfn.XLOOKUP($K89,'Sweetener Mix In Nutrition'!A:A,'Sweetener Mix In Nutrition'!F:F,0))</f>
        <v>0</v>
      </c>
      <c r="AK89" s="46">
        <f>[2]Sheet1!AG89</f>
        <v>0</v>
      </c>
      <c r="AL89" s="47"/>
      <c r="AM89" s="40">
        <f>IF(ISERROR(((AL89/Specs!$L$3)*Specs!$L$2)*2),0,ROUNDUP((((AL89/Specs!$L$3)*Specs!$L$2)*2),0))</f>
        <v>0</v>
      </c>
      <c r="AN89" s="48">
        <f>ROUNDUP(((AJ89+Specs!$R$2+Specs!$S$2+_xlfn.XLOOKUP($L89,Specs!A:A,Specs!V:V,0))*Specs!$N$2)+AM89,0)</f>
        <v>1</v>
      </c>
      <c r="AO89" s="40">
        <f>ROUNDUP(((AJ89+Specs!$R$2+Specs!$S$2+_xlfn.XLOOKUP($L89,Specs!A:A,Specs!V:V,0))*Specs!$N$2),0)</f>
        <v>1</v>
      </c>
      <c r="AP89" s="30"/>
    </row>
    <row r="90" spans="1:42" x14ac:dyDescent="0.25">
      <c r="A90" s="41" t="str">
        <f>_xlfn.CONCAT(_xlfn.XLOOKUP("What's Your Name?",[1]Sheet1!$1:$1,[1]Sheet1!90:90)," | ",TEXT(_xlfn.XLOOKUP("Completion time",[1]Sheet1!$1:$1,[1]Sheet1!90:90),"dddd, mmm dd, yyyy hh:mm AM/PM"))</f>
        <v xml:space="preserve"> | Saturday, Jan 00, 1900 12:00 AM</v>
      </c>
      <c r="B90" s="76">
        <f>_xlfn.XLOOKUP("What's Your Email Address?",[1]Sheet1!$1:$1,[1]Sheet1!90:90)</f>
        <v>0</v>
      </c>
      <c r="C90" s="31">
        <f>IF(ISBLANK(_xlfn.XLOOKUP("Which Flavor? (Pint Price | Quart Price | Half Gallon Price) (NOTE: Prices may fluctuate based on market conditions)",[1]Sheet1!$1:$1,[1]Sheet1!90:90)),_xlfn.XLOOKUP("Name Your Ice Cream!",[1]Sheet1!$1:$1,[1]Sheet1!90:90),IF(ISNUMBER(FIND("(", _xlfn.XLOOKUP("Which Flavor? (Pint Price | Quart Price | Half Gallon Price) (NOTE: Prices may fluctuate based on market conditions)",[1]Sheet1!$1:$1,[1]Sheet1!90:90))), LEFT(_xlfn.XLOOKUP("Which Flavor? (Pint Price | Quart Price | Half Gallon Price) (NOTE: Prices may fluctuate based on market conditions)",[1]Sheet1!$1:$1,[1]Sheet1!90:90), FIND("(", _xlfn.XLOOKUP("Which Flavor? (Pint Price | Quart Price | Half Gallon Price) (NOTE: Prices may fluctuate based on market conditions)",[1]Sheet1!$1:$1,[1]Sheet1!90:90)) - 1), _xlfn.XLOOKUP("Which Flavor? (Pint Price | Quart Price | Half Gallon Price) (NOTE: Prices may fluctuate based on market conditions)",[1]Sheet1!$1:$1,[1]Sheet1!90:90)))</f>
        <v>0</v>
      </c>
      <c r="D90" s="31">
        <f>IF(COUNTIF('Premade Flavors'!$A:$A, $C90) &gt; 0,IF(ISBLANK(_xlfn.XLOOKUP("What Ice Cream Base Do You Want To Change It To?",[1]Sheet1!$1:$1,[1]Sheet1!90:90)),_xlfn.XLOOKUP($C90,'Premade Flavors'!$A:$A,'Premade Flavors'!B:B),_xlfn.XLOOKUP("What Ice Cream Base Do You Want To Change It To?",[1]Sheet1!$1:$1,[1]Sheet1!90:90)),_xlfn.XLOOKUP(_xlfn.XLOOKUP("What Kind Of Ice Cream Base Do You Want? ",[1]Sheet1!$1:$1,[1]Sheet1!90:90),'Milk Types Nutrition Per Cup'!O:O,'Milk Types Nutrition Per Cup'!P:P,""))</f>
        <v>0</v>
      </c>
      <c r="E90" s="31">
        <f>IF(COUNTIF('Premade Flavors'!$A:$A, $C90) &gt; 0,IF(ISBLANK(_xlfn.XLOOKUP("What Ice Cream Base Do You Want To Change It To?",[1]Sheet1!$1:$1,[1]Sheet1!90:90)),_xlfn.XLOOKUP($C90,'Premade Flavors'!$A:$A,'Premade Flavors'!C:C),_xlfn.XLOOKUP("What Ice Cream Base Do You Want To Change It To?",[1]Sheet1!$1:$1,[1]Sheet1!90:90)),_xlfn.XLOOKUP(_xlfn.XLOOKUP("What Kind Of Ice Cream Base Do You Want? ",[1]Sheet1!$1:$1,[1]Sheet1!90:90),'Milk Types Nutrition Per Cup'!$O:$O,'Milk Types Nutrition Per Cup'!$Q:$Q,""))</f>
        <v>0</v>
      </c>
      <c r="F90" s="31">
        <f>IF(COUNTIF('Premade Flavors'!$A:$A, $C90) &gt; 0,_xlfn.XLOOKUP($C90,'Premade Flavors'!$A:$A,'Premade Flavors'!E:E),_xlfn.XLOOKUP("What's The First Flavor You Want? ",[1]Sheet1!$1:$1,[1]Sheet1!90:90))</f>
        <v>0</v>
      </c>
      <c r="G90" s="31">
        <f>IF(COUNTIF('Premade Flavors'!$A:$A, $C90) &gt; 0,_xlfn.XLOOKUP($C90,'Premade Flavors'!$A:$A,'Premade Flavors'!F:F),_xlfn.XLOOKUP("What's the Second Flavor You Want?",[1]Sheet1!$1:$1,[1]Sheet1!90:90))</f>
        <v>0</v>
      </c>
      <c r="H90" s="31">
        <f>IF(COUNTIF('Premade Flavors'!$A:$A, $C90) &gt; 0,_xlfn.XLOOKUP($C90,'Premade Flavors'!$A:$A,'Premade Flavors'!G:G),_xlfn.XLOOKUP("What's The First Mix In That You Want? ",[1]Sheet1!$1:$1,[1]Sheet1!90:90))</f>
        <v>0</v>
      </c>
      <c r="I90" s="31">
        <f>IF(COUNTIF('Premade Flavors'!$A:$A, $C88) &gt; 0,_xlfn.XLOOKUP($C88,'Premade Flavors'!$A:$A,'Premade Flavors'!H:H),IF([2]Sheet1!W88= 0,,[2]Sheet1!W88))</f>
        <v>0</v>
      </c>
      <c r="J90" s="31">
        <f>IF(COUNTIF('Premade Flavors'!$A:$A,$C90)&gt;0,IF(_xlfn.XLOOKUP("Should It Use Sugar or A Non-Sugar Sweetner?",[1]Sheet1!$1:$1,[1]Sheet1!90:90)="Sugar",_xlfn.XLOOKUP($C90,'Premade Flavors'!$A:$A,'Premade Flavors'!I:I),"Stevia"),_xlfn.XLOOKUP("What Sweetner Do You Want?",[1]Sheet1!$1:$1,[1]Sheet1!90:90))</f>
        <v>0</v>
      </c>
      <c r="K90" s="31"/>
      <c r="L90" s="77">
        <f>_xlfn.XLOOKUP("How Much Ice Cream Do You Want?",[1]Sheet1!$1:$1,[1]Sheet1!90:90)</f>
        <v>0</v>
      </c>
      <c r="M90" s="45">
        <f>IF(COUNTIF('Premade Flavors'!$A:$A, $C90) &gt; 0,_xlfn.XLOOKUP($C90,'Premade Flavors'!$A:$A,'Premade Flavors'!M:M),_xlfn.XLOOKUP("How Strong Do You Want The First Flavor?",[1]Sheet1!$1:$1,[1]Sheet1!90:90))</f>
        <v>0</v>
      </c>
      <c r="N90" s="45">
        <f>IF(COUNTIF('Premade Flavors'!$A:$A, $C90) &gt; 0,_xlfn.XLOOKUP($C90,'Premade Flavors'!$A:$A,'Premade Flavors'!N:N),_xlfn.XLOOKUP("How Strong Do You Want The Second Flavor?",[1]Sheet1!$1:$1,[1]Sheet1!90:90))</f>
        <v>0</v>
      </c>
      <c r="O90" s="45">
        <f>IF(COUNTIF('Premade Flavors'!$A:$A, $C90) &gt; 0,_xlfn.XLOOKUP($C90,'Premade Flavors'!$A:$A,'Premade Flavors'!O:O),_xlfn.XLOOKUP("How Dense Should the Mix Ins Be?",[1]Sheet1!$1:$1,[1]Sheet1!90:90))</f>
        <v>0</v>
      </c>
      <c r="P90" s="45">
        <f>IF(COUNTIF('Premade Flavors'!$A:$A, $C90) &gt; 0,_xlfn.XLOOKUP($C90,'Premade Flavors'!$A:$A,'Premade Flavors'!P:P),_xlfn.XLOOKUP("How Much Of The First Sweetner? ",[1]Sheet1!$1:$1,[1]Sheet1!90:90))</f>
        <v>0</v>
      </c>
      <c r="Q90" s="45">
        <f>IF(COUNTIF('Premade Flavors'!$A:$A, $C90) &gt; 0,_xlfn.XLOOKUP($C90,'Premade Flavors'!$A:$A,'Premade Flavors'!Q:Q),[2]Sheet1!S90)</f>
        <v>0</v>
      </c>
      <c r="R90" s="30">
        <f>(_xlfn.XLOOKUP($L90,Specs!A:A,Specs!B:B,0)-(IF(_xlfn.XLOOKUP($F90,'Liquid Mix In Nutrition'!A:A,'Liquid Mix In Nutrition'!J:J,0)="Yes",0,$T90))-(IF(_xlfn.XLOOKUP($G90,'Liquid Mix In Nutrition'!A:A,'Liquid Mix In Nutrition'!J:J,0)="Yes",0,$U90))-(($V90/MAX(1,_xlfn.XLOOKUP($H90,'Solid Mix In Nutrition'!A:A,'Solid Mix In Nutrition'!I:I,1)))*240)-(($W90/MAX(1,_xlfn.XLOOKUP($I90,'Solid Mix In Nutrition'!A:A,'Solid Mix In Nutrition'!I:I,1)))*240))*0.66</f>
        <v>0</v>
      </c>
      <c r="S90" s="30">
        <f>(_xlfn.XLOOKUP($L90,Specs!A:A,Specs!B:B,0)-(IF(_xlfn.XLOOKUP($F90,'Liquid Mix In Nutrition'!A:A,'Liquid Mix In Nutrition'!J:J,0)="Yes",0,$T90))-(IF(_xlfn.XLOOKUP($G90,'Liquid Mix In Nutrition'!A:A,'Liquid Mix In Nutrition'!J:J,0)="Yes",0,$U90))-(($V90/MAX(1,_xlfn.XLOOKUP($H90,'Solid Mix In Nutrition'!A:A,'Solid Mix In Nutrition'!I:I,1)))*240)-(($W90/MAX(1,_xlfn.XLOOKUP($I90,'Solid Mix In Nutrition'!A:A,'Solid Mix In Nutrition'!I:I,1)))*240))*0.33</f>
        <v>0</v>
      </c>
      <c r="T90" s="30">
        <f>_xlfn.XLOOKUP($M90,Specs!$D:$D,Specs!$E:$E,0)*15*_xlfn.XLOOKUP($L90,Specs!$A:$A,Specs!$C:$C,0)</f>
        <v>0</v>
      </c>
      <c r="U90" s="30">
        <f>_xlfn.XLOOKUP($N90,Specs!$D:$D,Specs!$E:$E,0)*15*_xlfn.XLOOKUP($L90,Specs!$A:$A,Specs!$C:$C,0)</f>
        <v>0</v>
      </c>
      <c r="V90" s="30">
        <f>( ((_xlfn.XLOOKUP($O90,Specs!$H:$H,Specs!$I:$I,0)*_xlfn.XLOOKUP($L90,Specs!$A:$A,Specs!$B:$B,0))/240) *_xlfn.XLOOKUP($H90,'Solid Mix In Nutrition'!A:A,'Solid Mix In Nutrition'!I:I,0)) *IF(AND(NOT($I90=0), COUNTA($I90)),0.5,1)</f>
        <v>0</v>
      </c>
      <c r="W90" s="30">
        <f>( ((_xlfn.XLOOKUP($O90,Specs!$H:$H,Specs!$I:$I,0)*_xlfn.XLOOKUP($L90,Specs!$A:$A,Specs!$B:$B,0))/240) *_xlfn.XLOOKUP($I90,'Solid Mix In Nutrition'!A:A,'Solid Mix In Nutrition'!I:I,0)) *IF(AND(NOT($I90=0), COUNTA($I90)),0.5,0)</f>
        <v>0</v>
      </c>
      <c r="X90" s="30">
        <f>_xlfn.XLOOKUP($P90,Specs!F:F,Specs!G:G,0)*_xlfn.XLOOKUP($J90,'Sweetener Mix In Nutrition'!A:A,'Sweetener Mix In Nutrition'!I:I,0)*_xlfn.XLOOKUP($L90,Specs!A:A,Specs!C:C,0)</f>
        <v>0</v>
      </c>
      <c r="Y90" s="30">
        <f>_xlfn.XLOOKUP($Q90,Specs!F:F,Specs!G:G,0)*_xlfn.XLOOKUP($K90,'Sweetener Mix In Nutrition'!A:A,'Sweetener Mix In Nutrition'!I:I,0)*_xlfn.XLOOKUP($L90,Specs!A:A,Specs!C:C,0)</f>
        <v>0</v>
      </c>
      <c r="Z90" s="34">
        <f t="shared" si="2"/>
        <v>0</v>
      </c>
      <c r="AA90" s="35">
        <f t="shared" si="3"/>
        <v>0</v>
      </c>
      <c r="AB90" s="36">
        <f>(($R90 / 240) * _xlfn.XLOOKUP($D90,'Milk Types Nutrition Per Cup'!A:A,'Milk Types Nutrition Per Cup'!B:B,0)) +(($S90 / 240)  * _xlfn.XLOOKUP($E90,'Milk Types Nutrition Per Cup'!A:A,'Milk Types Nutrition Per Cup'!B:B,0)) +(($T90 / 15)  * _xlfn.XLOOKUP($F90,'Liquid Mix In Nutrition'!A:A,'Liquid Mix In Nutrition'!B:B,0))+(($U90 / 15)  * _xlfn.XLOOKUP($G90,'Liquid Mix In Nutrition'!A:A,'Liquid Mix In Nutrition'!B:B,0))+(($V90 /MAX(1, _xlfn.XLOOKUP($H90,'Solid Mix In Nutrition'!A:A,'Solid Mix In Nutrition'!I:I,1)))  * _xlfn.XLOOKUP($H90,'Solid Mix In Nutrition'!A:A,'Solid Mix In Nutrition'!B:B,0))+(($W90 / MAX(1, _xlfn.XLOOKUP($I90,'Solid Mix In Nutrition'!A:A,'Solid Mix In Nutrition'!I:I,1))))+(($X90 / 100)  * _xlfn.XLOOKUP($J90,'Sweetener Mix In Nutrition'!A:A,'Sweetener Mix In Nutrition'!B:B,0))+(($Y90 / 100)  * _xlfn.XLOOKUP($K90,'Sweetener Mix In Nutrition'!A:A,'Sweetener Mix In Nutrition'!B:B,0))</f>
        <v>0</v>
      </c>
      <c r="AC90" s="36">
        <f>(($R90 / 240) * _xlfn.XLOOKUP($D90,'Milk Types Nutrition Per Cup'!A:A,'Milk Types Nutrition Per Cup'!E:E,0)) +(($S90 / 240)  * _xlfn.XLOOKUP($E90,'Milk Types Nutrition Per Cup'!A:A,'Milk Types Nutrition Per Cup'!E:E,0)) +(($T90 / 15)  * _xlfn.XLOOKUP($F90,'Liquid Mix In Nutrition'!A:A,'Liquid Mix In Nutrition'!E:E,0)) +(($U90 / 15)  * _xlfn.XLOOKUP($G90,'Liquid Mix In Nutrition'!A:A,'Liquid Mix In Nutrition'!E:E,0))+(($V90 / MAX(1, _xlfn.XLOOKUP($H90,'Solid Mix In Nutrition'!A:A,'Solid Mix In Nutrition'!I:I,1)))  * _xlfn.XLOOKUP($H90,'Solid Mix In Nutrition'!A:A,'Solid Mix In Nutrition'!E:E,0))+(($W90 / MAX(1, _xlfn.XLOOKUP($I90,'Solid Mix In Nutrition'!A:A,'Solid Mix In Nutrition'!I:I,1)))  * _xlfn.XLOOKUP($I90,'Solid Mix In Nutrition'!A:A,'Solid Mix In Nutrition'!G:G,0))+(($X90 / 100)  * _xlfn.XLOOKUP($J90,'Sweetener Mix In Nutrition'!A:A,'Sweetener Mix In Nutrition'!E:E,0))+(($Y90 / 100)  * _xlfn.XLOOKUP($K90,'Sweetener Mix In Nutrition'!A:A,'Sweetener Mix In Nutrition'!E:E,0))</f>
        <v>0</v>
      </c>
      <c r="AD90" s="36">
        <f>(($R90 / 240) * _xlfn.XLOOKUP($D90,'Milk Types Nutrition Per Cup'!A:A,'Milk Types Nutrition Per Cup'!E:E,0)) +(($S90 / 240)  * _xlfn.XLOOKUP($E90,'Milk Types Nutrition Per Cup'!A:A,'Milk Types Nutrition Per Cup'!E:E,0)) +(($T90 / 15)  * _xlfn.XLOOKUP($F90,'Liquid Mix In Nutrition'!A:A,'Liquid Mix In Nutrition'!E:E,0)) +(($U90 / 15)  * _xlfn.XLOOKUP($G90,'Liquid Mix In Nutrition'!A:A,'Liquid Mix In Nutrition'!E:E,0))+(($X90 / 100)  * _xlfn.XLOOKUP($J90,'Sweetener Mix In Nutrition'!A:A,'Sweetener Mix In Nutrition'!E:E,0))+(($Y90 / 100)  * _xlfn.XLOOKUP($K90,'Sweetener Mix In Nutrition'!A:A,'Sweetener Mix In Nutrition'!E:E,0))</f>
        <v>0</v>
      </c>
      <c r="AE90" s="37">
        <f>(($R90 / 240) * _xlfn.XLOOKUP($D90,'Milk Types Nutrition Per Cup'!A:A,'Milk Types Nutrition Per Cup'!C:C,0)) +(($S90 / 240)  * _xlfn.XLOOKUP($E90,'Milk Types Nutrition Per Cup'!A:A,'Milk Types Nutrition Per Cup'!C:C,0)) +(($T90 / 15)  * _xlfn.XLOOKUP($F90,'Liquid Mix In Nutrition'!A:A,'Liquid Mix In Nutrition'!C:C,0))+(($U90 / 15)  * _xlfn.XLOOKUP($G90,'Liquid Mix In Nutrition'!A:A,'Liquid Mix In Nutrition'!C:C,0))+(($V90 / MAX(1, _xlfn.XLOOKUP($H90,'Solid Mix In Nutrition'!A:A,'Solid Mix In Nutrition'!I:I,1)))  * _xlfn.XLOOKUP($H90,'Solid Mix In Nutrition'!A:A,'Solid Mix In Nutrition'!C:C,0))+(($W90 / MAX(1, _xlfn.XLOOKUP($I90,'Solid Mix In Nutrition'!A:A,'Solid Mix In Nutrition'!I:I,1)))  * _xlfn.XLOOKUP($I90,'Solid Mix In Nutrition'!A:A,'Solid Mix In Nutrition'!C:C,0))+(($X90 / 100)  * _xlfn.XLOOKUP($J90,'Sweetener Mix In Nutrition'!A:A,'Sweetener Mix In Nutrition'!C:C,0))+(($Y90 / 100)  * _xlfn.XLOOKUP($K90,'Sweetener Mix In Nutrition'!A:A,'Sweetener Mix In Nutrition'!C:C,0))</f>
        <v>0</v>
      </c>
      <c r="AF90" s="38" t="e">
        <f>$AE90 / (_xlfn.XLOOKUP($L90,Specs!A:A,Specs!B:B,0))</f>
        <v>#DIV/0!</v>
      </c>
      <c r="AG90" s="37" t="e">
        <f>60* ($AB90 / _xlfn.XLOOKUP($L90,Specs!A:A,Specs!B:B,0))</f>
        <v>#DIV/0!</v>
      </c>
      <c r="AH90" s="37" t="e">
        <f>60* (AC90 / _xlfn.XLOOKUP($L90,Specs!$A:$A,Specs!$B:$B,0))</f>
        <v>#DIV/0!</v>
      </c>
      <c r="AI90" s="37" t="e">
        <f>60* (AE90 / _xlfn.XLOOKUP($L90,Specs!$A:$A,Specs!$B:$B,0))</f>
        <v>#DIV/0!</v>
      </c>
      <c r="AJ90" s="39">
        <f>(($R90 / 240) * _xlfn.XLOOKUP($D90,'Milk Types Nutrition Per Cup'!A:A,'Milk Types Nutrition Per Cup'!F:F,0)) +(($S90 / 240)  * _xlfn.XLOOKUP($E90,'Milk Types Nutrition Per Cup'!A:A,'Milk Types Nutrition Per Cup'!F:F,0)) +(($T90 / 15)  * _xlfn.XLOOKUP($F90,'Liquid Mix In Nutrition'!A:A,'Liquid Mix In Nutrition'!F:F,0))+(($U90 / 15)  * _xlfn.XLOOKUP($G90,'Liquid Mix In Nutrition'!A:A,'Liquid Mix In Nutrition'!F:F,0))+(($V90 / MAX(1, _xlfn.XLOOKUP($H90,'Solid Mix In Nutrition'!A:A,'Solid Mix In Nutrition'!I:I,1)))  * _xlfn.XLOOKUP($H90,'Solid Mix In Nutrition'!A:A,'Solid Mix In Nutrition'!F:F,0))+(($W90 / MAX(1, _xlfn.XLOOKUP($I90,'Solid Mix In Nutrition'!A:A,'Solid Mix In Nutrition'!I:I,1)))  * _xlfn.XLOOKUP($I90,'Solid Mix In Nutrition'!A:A,'Solid Mix In Nutrition'!F:F,0))+(($X90 / 100)  * _xlfn.XLOOKUP($J90,'Sweetener Mix In Nutrition'!A:A,'Sweetener Mix In Nutrition'!F:F,0))+(($Y90 / 100)  * _xlfn.XLOOKUP($K90,'Sweetener Mix In Nutrition'!A:A,'Sweetener Mix In Nutrition'!F:F,0))</f>
        <v>0</v>
      </c>
      <c r="AK90" s="46">
        <f>[2]Sheet1!AG90</f>
        <v>0</v>
      </c>
      <c r="AL90" s="47"/>
      <c r="AM90" s="40">
        <f>IF(ISERROR(((AL90/Specs!$L$3)*Specs!$L$2)*2),0,ROUNDUP((((AL90/Specs!$L$3)*Specs!$L$2)*2),0))</f>
        <v>0</v>
      </c>
      <c r="AN90" s="48">
        <f>ROUNDUP(((AJ90+Specs!$R$2+Specs!$S$2+_xlfn.XLOOKUP($L90,Specs!A:A,Specs!V:V,0))*Specs!$N$2)+AM90,0)</f>
        <v>1</v>
      </c>
      <c r="AO90" s="40">
        <f>ROUNDUP(((AJ90+Specs!$R$2+Specs!$S$2+_xlfn.XLOOKUP($L90,Specs!A:A,Specs!V:V,0))*Specs!$N$2),0)</f>
        <v>1</v>
      </c>
      <c r="AP90" s="30"/>
    </row>
    <row r="91" spans="1:42" x14ac:dyDescent="0.25">
      <c r="A91" s="41" t="str">
        <f>_xlfn.CONCAT(_xlfn.XLOOKUP("What's Your Name?",[1]Sheet1!$1:$1,[1]Sheet1!91:91)," | ",TEXT(_xlfn.XLOOKUP("Completion time",[1]Sheet1!$1:$1,[1]Sheet1!91:91),"dddd, mmm dd, yyyy hh:mm AM/PM"))</f>
        <v xml:space="preserve"> | Saturday, Jan 00, 1900 12:00 AM</v>
      </c>
      <c r="B91" s="76">
        <f>_xlfn.XLOOKUP("What's Your Email Address?",[1]Sheet1!$1:$1,[1]Sheet1!91:91)</f>
        <v>0</v>
      </c>
      <c r="C91" s="31">
        <f>IF(ISBLANK(_xlfn.XLOOKUP("Which Flavor? (Pint Price | Quart Price | Half Gallon Price) (NOTE: Prices may fluctuate based on market conditions)",[1]Sheet1!$1:$1,[1]Sheet1!91:91)),_xlfn.XLOOKUP("Name Your Ice Cream!",[1]Sheet1!$1:$1,[1]Sheet1!91:91),IF(ISNUMBER(FIND("(", _xlfn.XLOOKUP("Which Flavor? (Pint Price | Quart Price | Half Gallon Price) (NOTE: Prices may fluctuate based on market conditions)",[1]Sheet1!$1:$1,[1]Sheet1!91:91))), LEFT(_xlfn.XLOOKUP("Which Flavor? (Pint Price | Quart Price | Half Gallon Price) (NOTE: Prices may fluctuate based on market conditions)",[1]Sheet1!$1:$1,[1]Sheet1!91:91), FIND("(", _xlfn.XLOOKUP("Which Flavor? (Pint Price | Quart Price | Half Gallon Price) (NOTE: Prices may fluctuate based on market conditions)",[1]Sheet1!$1:$1,[1]Sheet1!91:91)) - 1), _xlfn.XLOOKUP("Which Flavor? (Pint Price | Quart Price | Half Gallon Price) (NOTE: Prices may fluctuate based on market conditions)",[1]Sheet1!$1:$1,[1]Sheet1!91:91)))</f>
        <v>0</v>
      </c>
      <c r="D91" s="31">
        <f>IF(COUNTIF('Premade Flavors'!$A:$A, $C91) &gt; 0,IF(ISBLANK(_xlfn.XLOOKUP("What Ice Cream Base Do You Want To Change It To?",[1]Sheet1!$1:$1,[1]Sheet1!91:91)),_xlfn.XLOOKUP($C91,'Premade Flavors'!$A:$A,'Premade Flavors'!B:B),_xlfn.XLOOKUP("What Ice Cream Base Do You Want To Change It To?",[1]Sheet1!$1:$1,[1]Sheet1!91:91)),_xlfn.XLOOKUP(_xlfn.XLOOKUP("What Kind Of Ice Cream Base Do You Want? ",[1]Sheet1!$1:$1,[1]Sheet1!91:91),'Milk Types Nutrition Per Cup'!O:O,'Milk Types Nutrition Per Cup'!P:P,""))</f>
        <v>0</v>
      </c>
      <c r="E91" s="31">
        <f>IF(COUNTIF('Premade Flavors'!$A:$A, $C91) &gt; 0,IF(ISBLANK(_xlfn.XLOOKUP("What Ice Cream Base Do You Want To Change It To?",[1]Sheet1!$1:$1,[1]Sheet1!91:91)),_xlfn.XLOOKUP($C91,'Premade Flavors'!$A:$A,'Premade Flavors'!C:C),_xlfn.XLOOKUP("What Ice Cream Base Do You Want To Change It To?",[1]Sheet1!$1:$1,[1]Sheet1!91:91)),_xlfn.XLOOKUP(_xlfn.XLOOKUP("What Kind Of Ice Cream Base Do You Want? ",[1]Sheet1!$1:$1,[1]Sheet1!91:91),'Milk Types Nutrition Per Cup'!$O:$O,'Milk Types Nutrition Per Cup'!$Q:$Q,""))</f>
        <v>0</v>
      </c>
      <c r="F91" s="31">
        <f>IF(COUNTIF('Premade Flavors'!$A:$A, $C91) &gt; 0,_xlfn.XLOOKUP($C91,'Premade Flavors'!$A:$A,'Premade Flavors'!E:E),_xlfn.XLOOKUP("What's The First Flavor You Want? ",[1]Sheet1!$1:$1,[1]Sheet1!91:91))</f>
        <v>0</v>
      </c>
      <c r="G91" s="31">
        <f>IF(COUNTIF('Premade Flavors'!$A:$A, $C91) &gt; 0,_xlfn.XLOOKUP($C91,'Premade Flavors'!$A:$A,'Premade Flavors'!F:F),_xlfn.XLOOKUP("What's the Second Flavor You Want?",[1]Sheet1!$1:$1,[1]Sheet1!91:91))</f>
        <v>0</v>
      </c>
      <c r="H91" s="31">
        <f>IF(COUNTIF('Premade Flavors'!$A:$A, $C91) &gt; 0,_xlfn.XLOOKUP($C91,'Premade Flavors'!$A:$A,'Premade Flavors'!G:G),_xlfn.XLOOKUP("What's The First Mix In That You Want? ",[1]Sheet1!$1:$1,[1]Sheet1!91:91))</f>
        <v>0</v>
      </c>
      <c r="I91" s="31">
        <f>IF(COUNTIF('Premade Flavors'!$A:$A, $C89) &gt; 0,_xlfn.XLOOKUP($C89,'Premade Flavors'!$A:$A,'Premade Flavors'!H:H),IF([2]Sheet1!W89= 0,,[2]Sheet1!W89))</f>
        <v>0</v>
      </c>
      <c r="J91" s="31">
        <f>IF(COUNTIF('Premade Flavors'!$A:$A,$C91)&gt;0,IF(_xlfn.XLOOKUP("Should It Use Sugar or A Non-Sugar Sweetner?",[1]Sheet1!$1:$1,[1]Sheet1!91:91)="Sugar",_xlfn.XLOOKUP($C91,'Premade Flavors'!$A:$A,'Premade Flavors'!I:I),"Stevia"),_xlfn.XLOOKUP("What Sweetner Do You Want?",[1]Sheet1!$1:$1,[1]Sheet1!91:91))</f>
        <v>0</v>
      </c>
      <c r="K91" s="31"/>
      <c r="L91" s="77">
        <f>_xlfn.XLOOKUP("How Much Ice Cream Do You Want?",[1]Sheet1!$1:$1,[1]Sheet1!91:91)</f>
        <v>0</v>
      </c>
      <c r="M91" s="45">
        <f>IF(COUNTIF('Premade Flavors'!$A:$A, $C91) &gt; 0,_xlfn.XLOOKUP($C91,'Premade Flavors'!$A:$A,'Premade Flavors'!M:M),_xlfn.XLOOKUP("How Strong Do You Want The First Flavor?",[1]Sheet1!$1:$1,[1]Sheet1!91:91))</f>
        <v>0</v>
      </c>
      <c r="N91" s="45">
        <f>IF(COUNTIF('Premade Flavors'!$A:$A, $C91) &gt; 0,_xlfn.XLOOKUP($C91,'Premade Flavors'!$A:$A,'Premade Flavors'!N:N),_xlfn.XLOOKUP("How Strong Do You Want The Second Flavor?",[1]Sheet1!$1:$1,[1]Sheet1!91:91))</f>
        <v>0</v>
      </c>
      <c r="O91" s="45">
        <f>IF(COUNTIF('Premade Flavors'!$A:$A, $C91) &gt; 0,_xlfn.XLOOKUP($C91,'Premade Flavors'!$A:$A,'Premade Flavors'!O:O),_xlfn.XLOOKUP("How Dense Should the Mix Ins Be?",[1]Sheet1!$1:$1,[1]Sheet1!91:91))</f>
        <v>0</v>
      </c>
      <c r="P91" s="45">
        <f>IF(COUNTIF('Premade Flavors'!$A:$A, $C91) &gt; 0,_xlfn.XLOOKUP($C91,'Premade Flavors'!$A:$A,'Premade Flavors'!P:P),_xlfn.XLOOKUP("How Much Of The First Sweetner? ",[1]Sheet1!$1:$1,[1]Sheet1!91:91))</f>
        <v>0</v>
      </c>
      <c r="Q91" s="45">
        <f>IF(COUNTIF('Premade Flavors'!$A:$A, $C91) &gt; 0,_xlfn.XLOOKUP($C91,'Premade Flavors'!$A:$A,'Premade Flavors'!Q:Q),[2]Sheet1!S91)</f>
        <v>0</v>
      </c>
      <c r="R91" s="30">
        <f>(_xlfn.XLOOKUP($L91,Specs!A:A,Specs!B:B,0)-(IF(_xlfn.XLOOKUP($F91,'Liquid Mix In Nutrition'!A:A,'Liquid Mix In Nutrition'!J:J,0)="Yes",0,$T91))-(IF(_xlfn.XLOOKUP($G91,'Liquid Mix In Nutrition'!A:A,'Liquid Mix In Nutrition'!J:J,0)="Yes",0,$U91))-(($V91/MAX(1,_xlfn.XLOOKUP($H91,'Solid Mix In Nutrition'!A:A,'Solid Mix In Nutrition'!I:I,1)))*240)-(($W91/MAX(1,_xlfn.XLOOKUP($I91,'Solid Mix In Nutrition'!A:A,'Solid Mix In Nutrition'!I:I,1)))*240))*0.66</f>
        <v>0</v>
      </c>
      <c r="S91" s="30">
        <f>(_xlfn.XLOOKUP($L91,Specs!A:A,Specs!B:B,0)-(IF(_xlfn.XLOOKUP($F91,'Liquid Mix In Nutrition'!A:A,'Liquid Mix In Nutrition'!J:J,0)="Yes",0,$T91))-(IF(_xlfn.XLOOKUP($G91,'Liquid Mix In Nutrition'!A:A,'Liquid Mix In Nutrition'!J:J,0)="Yes",0,$U91))-(($V91/MAX(1,_xlfn.XLOOKUP($H91,'Solid Mix In Nutrition'!A:A,'Solid Mix In Nutrition'!I:I,1)))*240)-(($W91/MAX(1,_xlfn.XLOOKUP($I91,'Solid Mix In Nutrition'!A:A,'Solid Mix In Nutrition'!I:I,1)))*240))*0.33</f>
        <v>0</v>
      </c>
      <c r="T91" s="30">
        <f>_xlfn.XLOOKUP($M91,Specs!$D:$D,Specs!$E:$E,0)*15*_xlfn.XLOOKUP($L91,Specs!$A:$A,Specs!$C:$C,0)</f>
        <v>0</v>
      </c>
      <c r="U91" s="30">
        <f>_xlfn.XLOOKUP($N91,Specs!$D:$D,Specs!$E:$E,0)*15*_xlfn.XLOOKUP($L91,Specs!$A:$A,Specs!$C:$C,0)</f>
        <v>0</v>
      </c>
      <c r="V91" s="30">
        <f>( ((_xlfn.XLOOKUP($O91,Specs!$H:$H,Specs!$I:$I,0)*_xlfn.XLOOKUP($L91,Specs!$A:$A,Specs!$B:$B,0))/240) *_xlfn.XLOOKUP($H91,'Solid Mix In Nutrition'!A:A,'Solid Mix In Nutrition'!I:I,0)) *IF(AND(NOT($I91=0), COUNTA($I91)),0.5,1)</f>
        <v>0</v>
      </c>
      <c r="W91" s="30">
        <f>( ((_xlfn.XLOOKUP($O91,Specs!$H:$H,Specs!$I:$I,0)*_xlfn.XLOOKUP($L91,Specs!$A:$A,Specs!$B:$B,0))/240) *_xlfn.XLOOKUP($I91,'Solid Mix In Nutrition'!A:A,'Solid Mix In Nutrition'!I:I,0)) *IF(AND(NOT($I91=0), COUNTA($I91)),0.5,0)</f>
        <v>0</v>
      </c>
      <c r="X91" s="30">
        <f>_xlfn.XLOOKUP($P91,Specs!F:F,Specs!G:G,0)*_xlfn.XLOOKUP($J91,'Sweetener Mix In Nutrition'!A:A,'Sweetener Mix In Nutrition'!I:I,0)*_xlfn.XLOOKUP($L91,Specs!A:A,Specs!C:C,0)</f>
        <v>0</v>
      </c>
      <c r="Y91" s="30">
        <f>_xlfn.XLOOKUP($Q91,Specs!F:F,Specs!G:G,0)*_xlfn.XLOOKUP($K91,'Sweetener Mix In Nutrition'!A:A,'Sweetener Mix In Nutrition'!I:I,0)*_xlfn.XLOOKUP($L91,Specs!A:A,Specs!C:C,0)</f>
        <v>0</v>
      </c>
      <c r="Z91" s="34">
        <f t="shared" si="2"/>
        <v>0</v>
      </c>
      <c r="AA91" s="35">
        <f t="shared" si="3"/>
        <v>0</v>
      </c>
      <c r="AB91" s="36">
        <f>(($R91 / 240) * _xlfn.XLOOKUP($D91,'Milk Types Nutrition Per Cup'!A:A,'Milk Types Nutrition Per Cup'!B:B,0)) +(($S91 / 240)  * _xlfn.XLOOKUP($E91,'Milk Types Nutrition Per Cup'!A:A,'Milk Types Nutrition Per Cup'!B:B,0)) +(($T91 / 15)  * _xlfn.XLOOKUP($F91,'Liquid Mix In Nutrition'!A:A,'Liquid Mix In Nutrition'!B:B,0))+(($U91 / 15)  * _xlfn.XLOOKUP($G91,'Liquid Mix In Nutrition'!A:A,'Liquid Mix In Nutrition'!B:B,0))+(($V91 /MAX(1, _xlfn.XLOOKUP($H91,'Solid Mix In Nutrition'!A:A,'Solid Mix In Nutrition'!I:I,1)))  * _xlfn.XLOOKUP($H91,'Solid Mix In Nutrition'!A:A,'Solid Mix In Nutrition'!B:B,0))+(($W91 / MAX(1, _xlfn.XLOOKUP($I91,'Solid Mix In Nutrition'!A:A,'Solid Mix In Nutrition'!I:I,1))))+(($X91 / 100)  * _xlfn.XLOOKUP($J91,'Sweetener Mix In Nutrition'!A:A,'Sweetener Mix In Nutrition'!B:B,0))+(($Y91 / 100)  * _xlfn.XLOOKUP($K91,'Sweetener Mix In Nutrition'!A:A,'Sweetener Mix In Nutrition'!B:B,0))</f>
        <v>0</v>
      </c>
      <c r="AC91" s="36">
        <f>(($R91 / 240) * _xlfn.XLOOKUP($D91,'Milk Types Nutrition Per Cup'!A:A,'Milk Types Nutrition Per Cup'!E:E,0)) +(($S91 / 240)  * _xlfn.XLOOKUP($E91,'Milk Types Nutrition Per Cup'!A:A,'Milk Types Nutrition Per Cup'!E:E,0)) +(($T91 / 15)  * _xlfn.XLOOKUP($F91,'Liquid Mix In Nutrition'!A:A,'Liquid Mix In Nutrition'!E:E,0)) +(($U91 / 15)  * _xlfn.XLOOKUP($G91,'Liquid Mix In Nutrition'!A:A,'Liquid Mix In Nutrition'!E:E,0))+(($V91 / MAX(1, _xlfn.XLOOKUP($H91,'Solid Mix In Nutrition'!A:A,'Solid Mix In Nutrition'!I:I,1)))  * _xlfn.XLOOKUP($H91,'Solid Mix In Nutrition'!A:A,'Solid Mix In Nutrition'!E:E,0))+(($W91 / MAX(1, _xlfn.XLOOKUP($I91,'Solid Mix In Nutrition'!A:A,'Solid Mix In Nutrition'!I:I,1)))  * _xlfn.XLOOKUP($I91,'Solid Mix In Nutrition'!A:A,'Solid Mix In Nutrition'!G:G,0))+(($X91 / 100)  * _xlfn.XLOOKUP($J91,'Sweetener Mix In Nutrition'!A:A,'Sweetener Mix In Nutrition'!E:E,0))+(($Y91 / 100)  * _xlfn.XLOOKUP($K91,'Sweetener Mix In Nutrition'!A:A,'Sweetener Mix In Nutrition'!E:E,0))</f>
        <v>0</v>
      </c>
      <c r="AD91" s="36">
        <f>(($R91 / 240) * _xlfn.XLOOKUP($D91,'Milk Types Nutrition Per Cup'!A:A,'Milk Types Nutrition Per Cup'!E:E,0)) +(($S91 / 240)  * _xlfn.XLOOKUP($E91,'Milk Types Nutrition Per Cup'!A:A,'Milk Types Nutrition Per Cup'!E:E,0)) +(($T91 / 15)  * _xlfn.XLOOKUP($F91,'Liquid Mix In Nutrition'!A:A,'Liquid Mix In Nutrition'!E:E,0)) +(($U91 / 15)  * _xlfn.XLOOKUP($G91,'Liquid Mix In Nutrition'!A:A,'Liquid Mix In Nutrition'!E:E,0))+(($X91 / 100)  * _xlfn.XLOOKUP($J91,'Sweetener Mix In Nutrition'!A:A,'Sweetener Mix In Nutrition'!E:E,0))+(($Y91 / 100)  * _xlfn.XLOOKUP($K91,'Sweetener Mix In Nutrition'!A:A,'Sweetener Mix In Nutrition'!E:E,0))</f>
        <v>0</v>
      </c>
      <c r="AE91" s="37">
        <f>(($R91 / 240) * _xlfn.XLOOKUP($D91,'Milk Types Nutrition Per Cup'!A:A,'Milk Types Nutrition Per Cup'!C:C,0)) +(($S91 / 240)  * _xlfn.XLOOKUP($E91,'Milk Types Nutrition Per Cup'!A:A,'Milk Types Nutrition Per Cup'!C:C,0)) +(($T91 / 15)  * _xlfn.XLOOKUP($F91,'Liquid Mix In Nutrition'!A:A,'Liquid Mix In Nutrition'!C:C,0))+(($U91 / 15)  * _xlfn.XLOOKUP($G91,'Liquid Mix In Nutrition'!A:A,'Liquid Mix In Nutrition'!C:C,0))+(($V91 / MAX(1, _xlfn.XLOOKUP($H91,'Solid Mix In Nutrition'!A:A,'Solid Mix In Nutrition'!I:I,1)))  * _xlfn.XLOOKUP($H91,'Solid Mix In Nutrition'!A:A,'Solid Mix In Nutrition'!C:C,0))+(($W91 / MAX(1, _xlfn.XLOOKUP($I91,'Solid Mix In Nutrition'!A:A,'Solid Mix In Nutrition'!I:I,1)))  * _xlfn.XLOOKUP($I91,'Solid Mix In Nutrition'!A:A,'Solid Mix In Nutrition'!C:C,0))+(($X91 / 100)  * _xlfn.XLOOKUP($J91,'Sweetener Mix In Nutrition'!A:A,'Sweetener Mix In Nutrition'!C:C,0))+(($Y91 / 100)  * _xlfn.XLOOKUP($K91,'Sweetener Mix In Nutrition'!A:A,'Sweetener Mix In Nutrition'!C:C,0))</f>
        <v>0</v>
      </c>
      <c r="AF91" s="38" t="e">
        <f>$AE91 / (_xlfn.XLOOKUP($L91,Specs!A:A,Specs!B:B,0))</f>
        <v>#DIV/0!</v>
      </c>
      <c r="AG91" s="37" t="e">
        <f>60* ($AB91 / _xlfn.XLOOKUP($L91,Specs!A:A,Specs!B:B,0))</f>
        <v>#DIV/0!</v>
      </c>
      <c r="AH91" s="37" t="e">
        <f>60* (AC91 / _xlfn.XLOOKUP($L91,Specs!$A:$A,Specs!$B:$B,0))</f>
        <v>#DIV/0!</v>
      </c>
      <c r="AI91" s="37" t="e">
        <f>60* (AE91 / _xlfn.XLOOKUP($L91,Specs!$A:$A,Specs!$B:$B,0))</f>
        <v>#DIV/0!</v>
      </c>
      <c r="AJ91" s="39">
        <f>(($R91 / 240) * _xlfn.XLOOKUP($D91,'Milk Types Nutrition Per Cup'!A:A,'Milk Types Nutrition Per Cup'!F:F,0)) +(($S91 / 240)  * _xlfn.XLOOKUP($E91,'Milk Types Nutrition Per Cup'!A:A,'Milk Types Nutrition Per Cup'!F:F,0)) +(($T91 / 15)  * _xlfn.XLOOKUP($F91,'Liquid Mix In Nutrition'!A:A,'Liquid Mix In Nutrition'!F:F,0))+(($U91 / 15)  * _xlfn.XLOOKUP($G91,'Liquid Mix In Nutrition'!A:A,'Liquid Mix In Nutrition'!F:F,0))+(($V91 / MAX(1, _xlfn.XLOOKUP($H91,'Solid Mix In Nutrition'!A:A,'Solid Mix In Nutrition'!I:I,1)))  * _xlfn.XLOOKUP($H91,'Solid Mix In Nutrition'!A:A,'Solid Mix In Nutrition'!F:F,0))+(($W91 / MAX(1, _xlfn.XLOOKUP($I91,'Solid Mix In Nutrition'!A:A,'Solid Mix In Nutrition'!I:I,1)))  * _xlfn.XLOOKUP($I91,'Solid Mix In Nutrition'!A:A,'Solid Mix In Nutrition'!F:F,0))+(($X91 / 100)  * _xlfn.XLOOKUP($J91,'Sweetener Mix In Nutrition'!A:A,'Sweetener Mix In Nutrition'!F:F,0))+(($Y91 / 100)  * _xlfn.XLOOKUP($K91,'Sweetener Mix In Nutrition'!A:A,'Sweetener Mix In Nutrition'!F:F,0))</f>
        <v>0</v>
      </c>
      <c r="AK91" s="46">
        <f>[2]Sheet1!AG91</f>
        <v>0</v>
      </c>
      <c r="AL91" s="47"/>
      <c r="AM91" s="40">
        <f>IF(ISERROR(((AL91/Specs!$L$3)*Specs!$L$2)*2),0,ROUNDUP((((AL91/Specs!$L$3)*Specs!$L$2)*2),0))</f>
        <v>0</v>
      </c>
      <c r="AN91" s="48">
        <f>ROUNDUP(((AJ91+Specs!$R$2+Specs!$S$2+_xlfn.XLOOKUP($L91,Specs!A:A,Specs!V:V,0))*Specs!$N$2)+AM91,0)</f>
        <v>1</v>
      </c>
      <c r="AO91" s="40">
        <f>ROUNDUP(((AJ91+Specs!$R$2+Specs!$S$2+_xlfn.XLOOKUP($L91,Specs!A:A,Specs!V:V,0))*Specs!$N$2),0)</f>
        <v>1</v>
      </c>
      <c r="AP91" s="30"/>
    </row>
    <row r="92" spans="1:42" x14ac:dyDescent="0.25">
      <c r="A92" s="41" t="str">
        <f>_xlfn.CONCAT(_xlfn.XLOOKUP("What's Your Name?",[1]Sheet1!$1:$1,[1]Sheet1!92:92)," | ",TEXT(_xlfn.XLOOKUP("Completion time",[1]Sheet1!$1:$1,[1]Sheet1!92:92),"dddd, mmm dd, yyyy hh:mm AM/PM"))</f>
        <v xml:space="preserve"> | Saturday, Jan 00, 1900 12:00 AM</v>
      </c>
      <c r="B92" s="76">
        <f>_xlfn.XLOOKUP("What's Your Email Address?",[1]Sheet1!$1:$1,[1]Sheet1!92:92)</f>
        <v>0</v>
      </c>
      <c r="C92" s="31">
        <f>IF(ISBLANK(_xlfn.XLOOKUP("Which Flavor? (Pint Price | Quart Price | Half Gallon Price) (NOTE: Prices may fluctuate based on market conditions)",[1]Sheet1!$1:$1,[1]Sheet1!92:92)),_xlfn.XLOOKUP("Name Your Ice Cream!",[1]Sheet1!$1:$1,[1]Sheet1!92:92),IF(ISNUMBER(FIND("(", _xlfn.XLOOKUP("Which Flavor? (Pint Price | Quart Price | Half Gallon Price) (NOTE: Prices may fluctuate based on market conditions)",[1]Sheet1!$1:$1,[1]Sheet1!92:92))), LEFT(_xlfn.XLOOKUP("Which Flavor? (Pint Price | Quart Price | Half Gallon Price) (NOTE: Prices may fluctuate based on market conditions)",[1]Sheet1!$1:$1,[1]Sheet1!92:92), FIND("(", _xlfn.XLOOKUP("Which Flavor? (Pint Price | Quart Price | Half Gallon Price) (NOTE: Prices may fluctuate based on market conditions)",[1]Sheet1!$1:$1,[1]Sheet1!92:92)) - 1), _xlfn.XLOOKUP("Which Flavor? (Pint Price | Quart Price | Half Gallon Price) (NOTE: Prices may fluctuate based on market conditions)",[1]Sheet1!$1:$1,[1]Sheet1!92:92)))</f>
        <v>0</v>
      </c>
      <c r="D92" s="31">
        <f>IF(COUNTIF('Premade Flavors'!$A:$A, $C92) &gt; 0,IF(ISBLANK(_xlfn.XLOOKUP("What Ice Cream Base Do You Want To Change It To?",[1]Sheet1!$1:$1,[1]Sheet1!92:92)),_xlfn.XLOOKUP($C92,'Premade Flavors'!$A:$A,'Premade Flavors'!B:B),_xlfn.XLOOKUP("What Ice Cream Base Do You Want To Change It To?",[1]Sheet1!$1:$1,[1]Sheet1!92:92)),_xlfn.XLOOKUP(_xlfn.XLOOKUP("What Kind Of Ice Cream Base Do You Want? ",[1]Sheet1!$1:$1,[1]Sheet1!92:92),'Milk Types Nutrition Per Cup'!O:O,'Milk Types Nutrition Per Cup'!P:P,""))</f>
        <v>0</v>
      </c>
      <c r="E92" s="31">
        <f>IF(COUNTIF('Premade Flavors'!$A:$A, $C92) &gt; 0,IF(ISBLANK(_xlfn.XLOOKUP("What Ice Cream Base Do You Want To Change It To?",[1]Sheet1!$1:$1,[1]Sheet1!92:92)),_xlfn.XLOOKUP($C92,'Premade Flavors'!$A:$A,'Premade Flavors'!C:C),_xlfn.XLOOKUP("What Ice Cream Base Do You Want To Change It To?",[1]Sheet1!$1:$1,[1]Sheet1!92:92)),_xlfn.XLOOKUP(_xlfn.XLOOKUP("What Kind Of Ice Cream Base Do You Want? ",[1]Sheet1!$1:$1,[1]Sheet1!92:92),'Milk Types Nutrition Per Cup'!$O:$O,'Milk Types Nutrition Per Cup'!$Q:$Q,""))</f>
        <v>0</v>
      </c>
      <c r="F92" s="31">
        <f>IF(COUNTIF('Premade Flavors'!$A:$A, $C92) &gt; 0,_xlfn.XLOOKUP($C92,'Premade Flavors'!$A:$A,'Premade Flavors'!E:E),_xlfn.XLOOKUP("What's The First Flavor You Want? ",[1]Sheet1!$1:$1,[1]Sheet1!92:92))</f>
        <v>0</v>
      </c>
      <c r="G92" s="31">
        <f>IF(COUNTIF('Premade Flavors'!$A:$A, $C92) &gt; 0,_xlfn.XLOOKUP($C92,'Premade Flavors'!$A:$A,'Premade Flavors'!F:F),_xlfn.XLOOKUP("What's the Second Flavor You Want?",[1]Sheet1!$1:$1,[1]Sheet1!92:92))</f>
        <v>0</v>
      </c>
      <c r="H92" s="31">
        <f>IF(COUNTIF('Premade Flavors'!$A:$A, $C92) &gt; 0,_xlfn.XLOOKUP($C92,'Premade Flavors'!$A:$A,'Premade Flavors'!G:G),_xlfn.XLOOKUP("What's The First Mix In That You Want? ",[1]Sheet1!$1:$1,[1]Sheet1!92:92))</f>
        <v>0</v>
      </c>
      <c r="I92" s="31">
        <f>IF(COUNTIF('Premade Flavors'!$A:$A, $C90) &gt; 0,_xlfn.XLOOKUP($C90,'Premade Flavors'!$A:$A,'Premade Flavors'!H:H),IF([2]Sheet1!W90= 0,,[2]Sheet1!W90))</f>
        <v>0</v>
      </c>
      <c r="J92" s="31">
        <f>IF(COUNTIF('Premade Flavors'!$A:$A,$C92)&gt;0,IF(_xlfn.XLOOKUP("Should It Use Sugar or A Non-Sugar Sweetner?",[1]Sheet1!$1:$1,[1]Sheet1!92:92)="Sugar",_xlfn.XLOOKUP($C92,'Premade Flavors'!$A:$A,'Premade Flavors'!I:I),"Stevia"),_xlfn.XLOOKUP("What Sweetner Do You Want?",[1]Sheet1!$1:$1,[1]Sheet1!92:92))</f>
        <v>0</v>
      </c>
      <c r="K92" s="31"/>
      <c r="L92" s="77">
        <f>_xlfn.XLOOKUP("How Much Ice Cream Do You Want?",[1]Sheet1!$1:$1,[1]Sheet1!92:92)</f>
        <v>0</v>
      </c>
      <c r="M92" s="45">
        <f>IF(COUNTIF('Premade Flavors'!$A:$A, $C92) &gt; 0,_xlfn.XLOOKUP($C92,'Premade Flavors'!$A:$A,'Premade Flavors'!M:M),_xlfn.XLOOKUP("How Strong Do You Want The First Flavor?",[1]Sheet1!$1:$1,[1]Sheet1!92:92))</f>
        <v>0</v>
      </c>
      <c r="N92" s="45">
        <f>IF(COUNTIF('Premade Flavors'!$A:$A, $C92) &gt; 0,_xlfn.XLOOKUP($C92,'Premade Flavors'!$A:$A,'Premade Flavors'!N:N),_xlfn.XLOOKUP("How Strong Do You Want The Second Flavor?",[1]Sheet1!$1:$1,[1]Sheet1!92:92))</f>
        <v>0</v>
      </c>
      <c r="O92" s="45">
        <f>IF(COUNTIF('Premade Flavors'!$A:$A, $C92) &gt; 0,_xlfn.XLOOKUP($C92,'Premade Flavors'!$A:$A,'Premade Flavors'!O:O),_xlfn.XLOOKUP("How Dense Should the Mix Ins Be?",[1]Sheet1!$1:$1,[1]Sheet1!92:92))</f>
        <v>0</v>
      </c>
      <c r="P92" s="45">
        <f>IF(COUNTIF('Premade Flavors'!$A:$A, $C92) &gt; 0,_xlfn.XLOOKUP($C92,'Premade Flavors'!$A:$A,'Premade Flavors'!P:P),_xlfn.XLOOKUP("How Much Of The First Sweetner? ",[1]Sheet1!$1:$1,[1]Sheet1!92:92))</f>
        <v>0</v>
      </c>
      <c r="Q92" s="45">
        <f>IF(COUNTIF('Premade Flavors'!$A:$A, $C92) &gt; 0,_xlfn.XLOOKUP($C92,'Premade Flavors'!$A:$A,'Premade Flavors'!Q:Q),[2]Sheet1!S92)</f>
        <v>0</v>
      </c>
      <c r="R92" s="30">
        <f>(_xlfn.XLOOKUP($L92,Specs!A:A,Specs!B:B,0)-(IF(_xlfn.XLOOKUP($F92,'Liquid Mix In Nutrition'!A:A,'Liquid Mix In Nutrition'!J:J,0)="Yes",0,$T92))-(IF(_xlfn.XLOOKUP($G92,'Liquid Mix In Nutrition'!A:A,'Liquid Mix In Nutrition'!J:J,0)="Yes",0,$U92))-(($V92/MAX(1,_xlfn.XLOOKUP($H92,'Solid Mix In Nutrition'!A:A,'Solid Mix In Nutrition'!I:I,1)))*240)-(($W92/MAX(1,_xlfn.XLOOKUP($I92,'Solid Mix In Nutrition'!A:A,'Solid Mix In Nutrition'!I:I,1)))*240))*0.66</f>
        <v>0</v>
      </c>
      <c r="S92" s="30">
        <f>(_xlfn.XLOOKUP($L92,Specs!A:A,Specs!B:B,0)-(IF(_xlfn.XLOOKUP($F92,'Liquid Mix In Nutrition'!A:A,'Liquid Mix In Nutrition'!J:J,0)="Yes",0,$T92))-(IF(_xlfn.XLOOKUP($G92,'Liquid Mix In Nutrition'!A:A,'Liquid Mix In Nutrition'!J:J,0)="Yes",0,$U92))-(($V92/MAX(1,_xlfn.XLOOKUP($H92,'Solid Mix In Nutrition'!A:A,'Solid Mix In Nutrition'!I:I,1)))*240)-(($W92/MAX(1,_xlfn.XLOOKUP($I92,'Solid Mix In Nutrition'!A:A,'Solid Mix In Nutrition'!I:I,1)))*240))*0.33</f>
        <v>0</v>
      </c>
      <c r="T92" s="30">
        <f>_xlfn.XLOOKUP($M92,Specs!$D:$D,Specs!$E:$E,0)*15*_xlfn.XLOOKUP($L92,Specs!$A:$A,Specs!$C:$C,0)</f>
        <v>0</v>
      </c>
      <c r="U92" s="30">
        <f>_xlfn.XLOOKUP($N92,Specs!$D:$D,Specs!$E:$E,0)*15*_xlfn.XLOOKUP($L92,Specs!$A:$A,Specs!$C:$C,0)</f>
        <v>0</v>
      </c>
      <c r="V92" s="30">
        <f>( ((_xlfn.XLOOKUP($O92,Specs!$H:$H,Specs!$I:$I,0)*_xlfn.XLOOKUP($L92,Specs!$A:$A,Specs!$B:$B,0))/240) *_xlfn.XLOOKUP($H92,'Solid Mix In Nutrition'!A:A,'Solid Mix In Nutrition'!I:I,0)) *IF(AND(NOT($I92=0), COUNTA($I92)),0.5,1)</f>
        <v>0</v>
      </c>
      <c r="W92" s="30">
        <f>( ((_xlfn.XLOOKUP($O92,Specs!$H:$H,Specs!$I:$I,0)*_xlfn.XLOOKUP($L92,Specs!$A:$A,Specs!$B:$B,0))/240) *_xlfn.XLOOKUP($I92,'Solid Mix In Nutrition'!A:A,'Solid Mix In Nutrition'!I:I,0)) *IF(AND(NOT($I92=0), COUNTA($I92)),0.5,0)</f>
        <v>0</v>
      </c>
      <c r="X92" s="30">
        <f>_xlfn.XLOOKUP($P92,Specs!F:F,Specs!G:G,0)*_xlfn.XLOOKUP($J92,'Sweetener Mix In Nutrition'!A:A,'Sweetener Mix In Nutrition'!I:I,0)*_xlfn.XLOOKUP($L92,Specs!A:A,Specs!C:C,0)</f>
        <v>0</v>
      </c>
      <c r="Y92" s="30">
        <f>_xlfn.XLOOKUP($Q92,Specs!F:F,Specs!G:G,0)*_xlfn.XLOOKUP($K92,'Sweetener Mix In Nutrition'!A:A,'Sweetener Mix In Nutrition'!I:I,0)*_xlfn.XLOOKUP($L92,Specs!A:A,Specs!C:C,0)</f>
        <v>0</v>
      </c>
      <c r="Z92" s="34">
        <f t="shared" si="2"/>
        <v>0</v>
      </c>
      <c r="AA92" s="35">
        <f t="shared" si="3"/>
        <v>0</v>
      </c>
      <c r="AB92" s="36">
        <f>(($R92 / 240) * _xlfn.XLOOKUP($D92,'Milk Types Nutrition Per Cup'!A:A,'Milk Types Nutrition Per Cup'!B:B,0)) +(($S92 / 240)  * _xlfn.XLOOKUP($E92,'Milk Types Nutrition Per Cup'!A:A,'Milk Types Nutrition Per Cup'!B:B,0)) +(($T92 / 15)  * _xlfn.XLOOKUP($F92,'Liquid Mix In Nutrition'!A:A,'Liquid Mix In Nutrition'!B:B,0))+(($U92 / 15)  * _xlfn.XLOOKUP($G92,'Liquid Mix In Nutrition'!A:A,'Liquid Mix In Nutrition'!B:B,0))+(($V92 /MAX(1, _xlfn.XLOOKUP($H92,'Solid Mix In Nutrition'!A:A,'Solid Mix In Nutrition'!I:I,1)))  * _xlfn.XLOOKUP($H92,'Solid Mix In Nutrition'!A:A,'Solid Mix In Nutrition'!B:B,0))+(($W92 / MAX(1, _xlfn.XLOOKUP($I92,'Solid Mix In Nutrition'!A:A,'Solid Mix In Nutrition'!I:I,1))))+(($X92 / 100)  * _xlfn.XLOOKUP($J92,'Sweetener Mix In Nutrition'!A:A,'Sweetener Mix In Nutrition'!B:B,0))+(($Y92 / 100)  * _xlfn.XLOOKUP($K92,'Sweetener Mix In Nutrition'!A:A,'Sweetener Mix In Nutrition'!B:B,0))</f>
        <v>0</v>
      </c>
      <c r="AC92" s="36">
        <f>(($R92 / 240) * _xlfn.XLOOKUP($D92,'Milk Types Nutrition Per Cup'!A:A,'Milk Types Nutrition Per Cup'!E:E,0)) +(($S92 / 240)  * _xlfn.XLOOKUP($E92,'Milk Types Nutrition Per Cup'!A:A,'Milk Types Nutrition Per Cup'!E:E,0)) +(($T92 / 15)  * _xlfn.XLOOKUP($F92,'Liquid Mix In Nutrition'!A:A,'Liquid Mix In Nutrition'!E:E,0)) +(($U92 / 15)  * _xlfn.XLOOKUP($G92,'Liquid Mix In Nutrition'!A:A,'Liquid Mix In Nutrition'!E:E,0))+(($V92 / MAX(1, _xlfn.XLOOKUP($H92,'Solid Mix In Nutrition'!A:A,'Solid Mix In Nutrition'!I:I,1)))  * _xlfn.XLOOKUP($H92,'Solid Mix In Nutrition'!A:A,'Solid Mix In Nutrition'!E:E,0))+(($W92 / MAX(1, _xlfn.XLOOKUP($I92,'Solid Mix In Nutrition'!A:A,'Solid Mix In Nutrition'!I:I,1)))  * _xlfn.XLOOKUP($I92,'Solid Mix In Nutrition'!A:A,'Solid Mix In Nutrition'!G:G,0))+(($X92 / 100)  * _xlfn.XLOOKUP($J92,'Sweetener Mix In Nutrition'!A:A,'Sweetener Mix In Nutrition'!E:E,0))+(($Y92 / 100)  * _xlfn.XLOOKUP($K92,'Sweetener Mix In Nutrition'!A:A,'Sweetener Mix In Nutrition'!E:E,0))</f>
        <v>0</v>
      </c>
      <c r="AD92" s="36">
        <f>(($R92 / 240) * _xlfn.XLOOKUP($D92,'Milk Types Nutrition Per Cup'!A:A,'Milk Types Nutrition Per Cup'!E:E,0)) +(($S92 / 240)  * _xlfn.XLOOKUP($E92,'Milk Types Nutrition Per Cup'!A:A,'Milk Types Nutrition Per Cup'!E:E,0)) +(($T92 / 15)  * _xlfn.XLOOKUP($F92,'Liquid Mix In Nutrition'!A:A,'Liquid Mix In Nutrition'!E:E,0)) +(($U92 / 15)  * _xlfn.XLOOKUP($G92,'Liquid Mix In Nutrition'!A:A,'Liquid Mix In Nutrition'!E:E,0))+(($X92 / 100)  * _xlfn.XLOOKUP($J92,'Sweetener Mix In Nutrition'!A:A,'Sweetener Mix In Nutrition'!E:E,0))+(($Y92 / 100)  * _xlfn.XLOOKUP($K92,'Sweetener Mix In Nutrition'!A:A,'Sweetener Mix In Nutrition'!E:E,0))</f>
        <v>0</v>
      </c>
      <c r="AE92" s="37">
        <f>(($R92 / 240) * _xlfn.XLOOKUP($D92,'Milk Types Nutrition Per Cup'!A:A,'Milk Types Nutrition Per Cup'!C:C,0)) +(($S92 / 240)  * _xlfn.XLOOKUP($E92,'Milk Types Nutrition Per Cup'!A:A,'Milk Types Nutrition Per Cup'!C:C,0)) +(($T92 / 15)  * _xlfn.XLOOKUP($F92,'Liquid Mix In Nutrition'!A:A,'Liquid Mix In Nutrition'!C:C,0))+(($U92 / 15)  * _xlfn.XLOOKUP($G92,'Liquid Mix In Nutrition'!A:A,'Liquid Mix In Nutrition'!C:C,0))+(($V92 / MAX(1, _xlfn.XLOOKUP($H92,'Solid Mix In Nutrition'!A:A,'Solid Mix In Nutrition'!I:I,1)))  * _xlfn.XLOOKUP($H92,'Solid Mix In Nutrition'!A:A,'Solid Mix In Nutrition'!C:C,0))+(($W92 / MAX(1, _xlfn.XLOOKUP($I92,'Solid Mix In Nutrition'!A:A,'Solid Mix In Nutrition'!I:I,1)))  * _xlfn.XLOOKUP($I92,'Solid Mix In Nutrition'!A:A,'Solid Mix In Nutrition'!C:C,0))+(($X92 / 100)  * _xlfn.XLOOKUP($J92,'Sweetener Mix In Nutrition'!A:A,'Sweetener Mix In Nutrition'!C:C,0))+(($Y92 / 100)  * _xlfn.XLOOKUP($K92,'Sweetener Mix In Nutrition'!A:A,'Sweetener Mix In Nutrition'!C:C,0))</f>
        <v>0</v>
      </c>
      <c r="AF92" s="38" t="e">
        <f>$AE92 / (_xlfn.XLOOKUP($L92,Specs!A:A,Specs!B:B,0))</f>
        <v>#DIV/0!</v>
      </c>
      <c r="AG92" s="37" t="e">
        <f>60* ($AB92 / _xlfn.XLOOKUP($L92,Specs!A:A,Specs!B:B,0))</f>
        <v>#DIV/0!</v>
      </c>
      <c r="AH92" s="37" t="e">
        <f>60* (AC92 / _xlfn.XLOOKUP($L92,Specs!$A:$A,Specs!$B:$B,0))</f>
        <v>#DIV/0!</v>
      </c>
      <c r="AI92" s="37" t="e">
        <f>60* (AE92 / _xlfn.XLOOKUP($L92,Specs!$A:$A,Specs!$B:$B,0))</f>
        <v>#DIV/0!</v>
      </c>
      <c r="AJ92" s="39">
        <f>(($R92 / 240) * _xlfn.XLOOKUP($D92,'Milk Types Nutrition Per Cup'!A:A,'Milk Types Nutrition Per Cup'!F:F,0)) +(($S92 / 240)  * _xlfn.XLOOKUP($E92,'Milk Types Nutrition Per Cup'!A:A,'Milk Types Nutrition Per Cup'!F:F,0)) +(($T92 / 15)  * _xlfn.XLOOKUP($F92,'Liquid Mix In Nutrition'!A:A,'Liquid Mix In Nutrition'!F:F,0))+(($U92 / 15)  * _xlfn.XLOOKUP($G92,'Liquid Mix In Nutrition'!A:A,'Liquid Mix In Nutrition'!F:F,0))+(($V92 / MAX(1, _xlfn.XLOOKUP($H92,'Solid Mix In Nutrition'!A:A,'Solid Mix In Nutrition'!I:I,1)))  * _xlfn.XLOOKUP($H92,'Solid Mix In Nutrition'!A:A,'Solid Mix In Nutrition'!F:F,0))+(($W92 / MAX(1, _xlfn.XLOOKUP($I92,'Solid Mix In Nutrition'!A:A,'Solid Mix In Nutrition'!I:I,1)))  * _xlfn.XLOOKUP($I92,'Solid Mix In Nutrition'!A:A,'Solid Mix In Nutrition'!F:F,0))+(($X92 / 100)  * _xlfn.XLOOKUP($J92,'Sweetener Mix In Nutrition'!A:A,'Sweetener Mix In Nutrition'!F:F,0))+(($Y92 / 100)  * _xlfn.XLOOKUP($K92,'Sweetener Mix In Nutrition'!A:A,'Sweetener Mix In Nutrition'!F:F,0))</f>
        <v>0</v>
      </c>
      <c r="AK92" s="46">
        <f>[2]Sheet1!AG92</f>
        <v>0</v>
      </c>
      <c r="AL92" s="47"/>
      <c r="AM92" s="40">
        <f>IF(ISERROR(((AL92/Specs!$L$3)*Specs!$L$2)*2),0,ROUNDUP((((AL92/Specs!$L$3)*Specs!$L$2)*2),0))</f>
        <v>0</v>
      </c>
      <c r="AN92" s="48">
        <f>ROUNDUP(((AJ92+Specs!$R$2+Specs!$S$2+_xlfn.XLOOKUP($L92,Specs!A:A,Specs!V:V,0))*Specs!$N$2)+AM92,0)</f>
        <v>1</v>
      </c>
      <c r="AO92" s="40">
        <f>ROUNDUP(((AJ92+Specs!$R$2+Specs!$S$2+_xlfn.XLOOKUP($L92,Specs!A:A,Specs!V:V,0))*Specs!$N$2),0)</f>
        <v>1</v>
      </c>
      <c r="AP92" s="30"/>
    </row>
    <row r="93" spans="1:42" x14ac:dyDescent="0.25">
      <c r="A93" s="41" t="str">
        <f>_xlfn.CONCAT(_xlfn.XLOOKUP("What's Your Name?",[1]Sheet1!$1:$1,[1]Sheet1!93:93)," | ",TEXT(_xlfn.XLOOKUP("Completion time",[1]Sheet1!$1:$1,[1]Sheet1!93:93),"dddd, mmm dd, yyyy hh:mm AM/PM"))</f>
        <v xml:space="preserve"> | Saturday, Jan 00, 1900 12:00 AM</v>
      </c>
      <c r="B93" s="76">
        <f>_xlfn.XLOOKUP("What's Your Email Address?",[1]Sheet1!$1:$1,[1]Sheet1!93:93)</f>
        <v>0</v>
      </c>
      <c r="C93" s="31">
        <f>IF(ISBLANK(_xlfn.XLOOKUP("Which Flavor? (Pint Price | Quart Price | Half Gallon Price) (NOTE: Prices may fluctuate based on market conditions)",[1]Sheet1!$1:$1,[1]Sheet1!93:93)),_xlfn.XLOOKUP("Name Your Ice Cream!",[1]Sheet1!$1:$1,[1]Sheet1!93:93),IF(ISNUMBER(FIND("(", _xlfn.XLOOKUP("Which Flavor? (Pint Price | Quart Price | Half Gallon Price) (NOTE: Prices may fluctuate based on market conditions)",[1]Sheet1!$1:$1,[1]Sheet1!93:93))), LEFT(_xlfn.XLOOKUP("Which Flavor? (Pint Price | Quart Price | Half Gallon Price) (NOTE: Prices may fluctuate based on market conditions)",[1]Sheet1!$1:$1,[1]Sheet1!93:93), FIND("(", _xlfn.XLOOKUP("Which Flavor? (Pint Price | Quart Price | Half Gallon Price) (NOTE: Prices may fluctuate based on market conditions)",[1]Sheet1!$1:$1,[1]Sheet1!93:93)) - 1), _xlfn.XLOOKUP("Which Flavor? (Pint Price | Quart Price | Half Gallon Price) (NOTE: Prices may fluctuate based on market conditions)",[1]Sheet1!$1:$1,[1]Sheet1!93:93)))</f>
        <v>0</v>
      </c>
      <c r="D93" s="31">
        <f>IF(COUNTIF('Premade Flavors'!$A:$A, $C93) &gt; 0,IF(ISBLANK(_xlfn.XLOOKUP("What Ice Cream Base Do You Want To Change It To?",[1]Sheet1!$1:$1,[1]Sheet1!93:93)),_xlfn.XLOOKUP($C93,'Premade Flavors'!$A:$A,'Premade Flavors'!B:B),_xlfn.XLOOKUP("What Ice Cream Base Do You Want To Change It To?",[1]Sheet1!$1:$1,[1]Sheet1!93:93)),_xlfn.XLOOKUP(_xlfn.XLOOKUP("What Kind Of Ice Cream Base Do You Want? ",[1]Sheet1!$1:$1,[1]Sheet1!93:93),'Milk Types Nutrition Per Cup'!O:O,'Milk Types Nutrition Per Cup'!P:P,""))</f>
        <v>0</v>
      </c>
      <c r="E93" s="31">
        <f>IF(COUNTIF('Premade Flavors'!$A:$A, $C93) &gt; 0,IF(ISBLANK(_xlfn.XLOOKUP("What Ice Cream Base Do You Want To Change It To?",[1]Sheet1!$1:$1,[1]Sheet1!93:93)),_xlfn.XLOOKUP($C93,'Premade Flavors'!$A:$A,'Premade Flavors'!C:C),_xlfn.XLOOKUP("What Ice Cream Base Do You Want To Change It To?",[1]Sheet1!$1:$1,[1]Sheet1!93:93)),_xlfn.XLOOKUP(_xlfn.XLOOKUP("What Kind Of Ice Cream Base Do You Want? ",[1]Sheet1!$1:$1,[1]Sheet1!93:93),'Milk Types Nutrition Per Cup'!$O:$O,'Milk Types Nutrition Per Cup'!$Q:$Q,""))</f>
        <v>0</v>
      </c>
      <c r="F93" s="31">
        <f>IF(COUNTIF('Premade Flavors'!$A:$A, $C93) &gt; 0,_xlfn.XLOOKUP($C93,'Premade Flavors'!$A:$A,'Premade Flavors'!E:E),_xlfn.XLOOKUP("What's The First Flavor You Want? ",[1]Sheet1!$1:$1,[1]Sheet1!93:93))</f>
        <v>0</v>
      </c>
      <c r="G93" s="31">
        <f>IF(COUNTIF('Premade Flavors'!$A:$A, $C93) &gt; 0,_xlfn.XLOOKUP($C93,'Premade Flavors'!$A:$A,'Premade Flavors'!F:F),_xlfn.XLOOKUP("What's the Second Flavor You Want?",[1]Sheet1!$1:$1,[1]Sheet1!93:93))</f>
        <v>0</v>
      </c>
      <c r="H93" s="31">
        <f>IF(COUNTIF('Premade Flavors'!$A:$A, $C93) &gt; 0,_xlfn.XLOOKUP($C93,'Premade Flavors'!$A:$A,'Premade Flavors'!G:G),_xlfn.XLOOKUP("What's The First Mix In That You Want? ",[1]Sheet1!$1:$1,[1]Sheet1!93:93))</f>
        <v>0</v>
      </c>
      <c r="I93" s="31">
        <f>IF(COUNTIF('Premade Flavors'!$A:$A, $C91) &gt; 0,_xlfn.XLOOKUP($C91,'Premade Flavors'!$A:$A,'Premade Flavors'!H:H),IF([2]Sheet1!W91= 0,,[2]Sheet1!W91))</f>
        <v>0</v>
      </c>
      <c r="J93" s="31">
        <f>IF(COUNTIF('Premade Flavors'!$A:$A,$C93)&gt;0,IF(_xlfn.XLOOKUP("Should It Use Sugar or A Non-Sugar Sweetner?",[1]Sheet1!$1:$1,[1]Sheet1!93:93)="Sugar",_xlfn.XLOOKUP($C93,'Premade Flavors'!$A:$A,'Premade Flavors'!I:I),"Stevia"),_xlfn.XLOOKUP("What Sweetner Do You Want?",[1]Sheet1!$1:$1,[1]Sheet1!93:93))</f>
        <v>0</v>
      </c>
      <c r="K93" s="31"/>
      <c r="L93" s="77">
        <f>_xlfn.XLOOKUP("How Much Ice Cream Do You Want?",[1]Sheet1!$1:$1,[1]Sheet1!93:93)</f>
        <v>0</v>
      </c>
      <c r="M93" s="45">
        <f>IF(COUNTIF('Premade Flavors'!$A:$A, $C93) &gt; 0,_xlfn.XLOOKUP($C93,'Premade Flavors'!$A:$A,'Premade Flavors'!M:M),_xlfn.XLOOKUP("How Strong Do You Want The First Flavor?",[1]Sheet1!$1:$1,[1]Sheet1!93:93))</f>
        <v>0</v>
      </c>
      <c r="N93" s="45">
        <f>IF(COUNTIF('Premade Flavors'!$A:$A, $C93) &gt; 0,_xlfn.XLOOKUP($C93,'Premade Flavors'!$A:$A,'Premade Flavors'!N:N),_xlfn.XLOOKUP("How Strong Do You Want The Second Flavor?",[1]Sheet1!$1:$1,[1]Sheet1!93:93))</f>
        <v>0</v>
      </c>
      <c r="O93" s="45">
        <f>IF(COUNTIF('Premade Flavors'!$A:$A, $C93) &gt; 0,_xlfn.XLOOKUP($C93,'Premade Flavors'!$A:$A,'Premade Flavors'!O:O),_xlfn.XLOOKUP("How Dense Should the Mix Ins Be?",[1]Sheet1!$1:$1,[1]Sheet1!93:93))</f>
        <v>0</v>
      </c>
      <c r="P93" s="45">
        <f>IF(COUNTIF('Premade Flavors'!$A:$A, $C93) &gt; 0,_xlfn.XLOOKUP($C93,'Premade Flavors'!$A:$A,'Premade Flavors'!P:P),_xlfn.XLOOKUP("How Much Of The First Sweetner? ",[1]Sheet1!$1:$1,[1]Sheet1!93:93))</f>
        <v>0</v>
      </c>
      <c r="Q93" s="45">
        <f>IF(COUNTIF('Premade Flavors'!$A:$A, $C93) &gt; 0,_xlfn.XLOOKUP($C93,'Premade Flavors'!$A:$A,'Premade Flavors'!Q:Q),[2]Sheet1!S93)</f>
        <v>0</v>
      </c>
      <c r="R93" s="30">
        <f>(_xlfn.XLOOKUP($L93,Specs!A:A,Specs!B:B,0)-(IF(_xlfn.XLOOKUP($F93,'Liquid Mix In Nutrition'!A:A,'Liquid Mix In Nutrition'!J:J,0)="Yes",0,$T93))-(IF(_xlfn.XLOOKUP($G93,'Liquid Mix In Nutrition'!A:A,'Liquid Mix In Nutrition'!J:J,0)="Yes",0,$U93))-(($V93/MAX(1,_xlfn.XLOOKUP($H93,'Solid Mix In Nutrition'!A:A,'Solid Mix In Nutrition'!I:I,1)))*240)-(($W93/MAX(1,_xlfn.XLOOKUP($I93,'Solid Mix In Nutrition'!A:A,'Solid Mix In Nutrition'!I:I,1)))*240))*0.66</f>
        <v>0</v>
      </c>
      <c r="S93" s="30">
        <f>(_xlfn.XLOOKUP($L93,Specs!A:A,Specs!B:B,0)-(IF(_xlfn.XLOOKUP($F93,'Liquid Mix In Nutrition'!A:A,'Liquid Mix In Nutrition'!J:J,0)="Yes",0,$T93))-(IF(_xlfn.XLOOKUP($G93,'Liquid Mix In Nutrition'!A:A,'Liquid Mix In Nutrition'!J:J,0)="Yes",0,$U93))-(($V93/MAX(1,_xlfn.XLOOKUP($H93,'Solid Mix In Nutrition'!A:A,'Solid Mix In Nutrition'!I:I,1)))*240)-(($W93/MAX(1,_xlfn.XLOOKUP($I93,'Solid Mix In Nutrition'!A:A,'Solid Mix In Nutrition'!I:I,1)))*240))*0.33</f>
        <v>0</v>
      </c>
      <c r="T93" s="30">
        <f>_xlfn.XLOOKUP($M93,Specs!$D:$D,Specs!$E:$E,0)*15*_xlfn.XLOOKUP($L93,Specs!$A:$A,Specs!$C:$C,0)</f>
        <v>0</v>
      </c>
      <c r="U93" s="30">
        <f>_xlfn.XLOOKUP($N93,Specs!$D:$D,Specs!$E:$E,0)*15*_xlfn.XLOOKUP($L93,Specs!$A:$A,Specs!$C:$C,0)</f>
        <v>0</v>
      </c>
      <c r="V93" s="30">
        <f>( ((_xlfn.XLOOKUP($O93,Specs!$H:$H,Specs!$I:$I,0)*_xlfn.XLOOKUP($L93,Specs!$A:$A,Specs!$B:$B,0))/240) *_xlfn.XLOOKUP($H93,'Solid Mix In Nutrition'!A:A,'Solid Mix In Nutrition'!I:I,0)) *IF(AND(NOT($I93=0), COUNTA($I93)),0.5,1)</f>
        <v>0</v>
      </c>
      <c r="W93" s="30">
        <f>( ((_xlfn.XLOOKUP($O93,Specs!$H:$H,Specs!$I:$I,0)*_xlfn.XLOOKUP($L93,Specs!$A:$A,Specs!$B:$B,0))/240) *_xlfn.XLOOKUP($I93,'Solid Mix In Nutrition'!A:A,'Solid Mix In Nutrition'!I:I,0)) *IF(AND(NOT($I93=0), COUNTA($I93)),0.5,0)</f>
        <v>0</v>
      </c>
      <c r="X93" s="30">
        <f>_xlfn.XLOOKUP($P93,Specs!F:F,Specs!G:G,0)*_xlfn.XLOOKUP($J93,'Sweetener Mix In Nutrition'!A:A,'Sweetener Mix In Nutrition'!I:I,0)*_xlfn.XLOOKUP($L93,Specs!A:A,Specs!C:C,0)</f>
        <v>0</v>
      </c>
      <c r="Y93" s="30">
        <f>_xlfn.XLOOKUP($Q93,Specs!F:F,Specs!G:G,0)*_xlfn.XLOOKUP($K93,'Sweetener Mix In Nutrition'!A:A,'Sweetener Mix In Nutrition'!I:I,0)*_xlfn.XLOOKUP($L93,Specs!A:A,Specs!C:C,0)</f>
        <v>0</v>
      </c>
      <c r="Z93" s="34">
        <f t="shared" si="2"/>
        <v>0</v>
      </c>
      <c r="AA93" s="35">
        <f t="shared" si="3"/>
        <v>0</v>
      </c>
      <c r="AB93" s="36">
        <f>(($R93 / 240) * _xlfn.XLOOKUP($D93,'Milk Types Nutrition Per Cup'!A:A,'Milk Types Nutrition Per Cup'!B:B,0)) +(($S93 / 240)  * _xlfn.XLOOKUP($E93,'Milk Types Nutrition Per Cup'!A:A,'Milk Types Nutrition Per Cup'!B:B,0)) +(($T93 / 15)  * _xlfn.XLOOKUP($F93,'Liquid Mix In Nutrition'!A:A,'Liquid Mix In Nutrition'!B:B,0))+(($U93 / 15)  * _xlfn.XLOOKUP($G93,'Liquid Mix In Nutrition'!A:A,'Liquid Mix In Nutrition'!B:B,0))+(($V93 /MAX(1, _xlfn.XLOOKUP($H93,'Solid Mix In Nutrition'!A:A,'Solid Mix In Nutrition'!I:I,1)))  * _xlfn.XLOOKUP($H93,'Solid Mix In Nutrition'!A:A,'Solid Mix In Nutrition'!B:B,0))+(($W93 / MAX(1, _xlfn.XLOOKUP($I93,'Solid Mix In Nutrition'!A:A,'Solid Mix In Nutrition'!I:I,1))))+(($X93 / 100)  * _xlfn.XLOOKUP($J93,'Sweetener Mix In Nutrition'!A:A,'Sweetener Mix In Nutrition'!B:B,0))+(($Y93 / 100)  * _xlfn.XLOOKUP($K93,'Sweetener Mix In Nutrition'!A:A,'Sweetener Mix In Nutrition'!B:B,0))</f>
        <v>0</v>
      </c>
      <c r="AC93" s="36">
        <f>(($R93 / 240) * _xlfn.XLOOKUP($D93,'Milk Types Nutrition Per Cup'!A:A,'Milk Types Nutrition Per Cup'!E:E,0)) +(($S93 / 240)  * _xlfn.XLOOKUP($E93,'Milk Types Nutrition Per Cup'!A:A,'Milk Types Nutrition Per Cup'!E:E,0)) +(($T93 / 15)  * _xlfn.XLOOKUP($F93,'Liquid Mix In Nutrition'!A:A,'Liquid Mix In Nutrition'!E:E,0)) +(($U93 / 15)  * _xlfn.XLOOKUP($G93,'Liquid Mix In Nutrition'!A:A,'Liquid Mix In Nutrition'!E:E,0))+(($V93 / MAX(1, _xlfn.XLOOKUP($H93,'Solid Mix In Nutrition'!A:A,'Solid Mix In Nutrition'!I:I,1)))  * _xlfn.XLOOKUP($H93,'Solid Mix In Nutrition'!A:A,'Solid Mix In Nutrition'!E:E,0))+(($W93 / MAX(1, _xlfn.XLOOKUP($I93,'Solid Mix In Nutrition'!A:A,'Solid Mix In Nutrition'!I:I,1)))  * _xlfn.XLOOKUP($I93,'Solid Mix In Nutrition'!A:A,'Solid Mix In Nutrition'!G:G,0))+(($X93 / 100)  * _xlfn.XLOOKUP($J93,'Sweetener Mix In Nutrition'!A:A,'Sweetener Mix In Nutrition'!E:E,0))+(($Y93 / 100)  * _xlfn.XLOOKUP($K93,'Sweetener Mix In Nutrition'!A:A,'Sweetener Mix In Nutrition'!E:E,0))</f>
        <v>0</v>
      </c>
      <c r="AD93" s="36">
        <f>(($R93 / 240) * _xlfn.XLOOKUP($D93,'Milk Types Nutrition Per Cup'!A:A,'Milk Types Nutrition Per Cup'!E:E,0)) +(($S93 / 240)  * _xlfn.XLOOKUP($E93,'Milk Types Nutrition Per Cup'!A:A,'Milk Types Nutrition Per Cup'!E:E,0)) +(($T93 / 15)  * _xlfn.XLOOKUP($F93,'Liquid Mix In Nutrition'!A:A,'Liquid Mix In Nutrition'!E:E,0)) +(($U93 / 15)  * _xlfn.XLOOKUP($G93,'Liquid Mix In Nutrition'!A:A,'Liquid Mix In Nutrition'!E:E,0))+(($X93 / 100)  * _xlfn.XLOOKUP($J93,'Sweetener Mix In Nutrition'!A:A,'Sweetener Mix In Nutrition'!E:E,0))+(($Y93 / 100)  * _xlfn.XLOOKUP($K93,'Sweetener Mix In Nutrition'!A:A,'Sweetener Mix In Nutrition'!E:E,0))</f>
        <v>0</v>
      </c>
      <c r="AE93" s="37">
        <f>(($R93 / 240) * _xlfn.XLOOKUP($D93,'Milk Types Nutrition Per Cup'!A:A,'Milk Types Nutrition Per Cup'!C:C,0)) +(($S93 / 240)  * _xlfn.XLOOKUP($E93,'Milk Types Nutrition Per Cup'!A:A,'Milk Types Nutrition Per Cup'!C:C,0)) +(($T93 / 15)  * _xlfn.XLOOKUP($F93,'Liquid Mix In Nutrition'!A:A,'Liquid Mix In Nutrition'!C:C,0))+(($U93 / 15)  * _xlfn.XLOOKUP($G93,'Liquid Mix In Nutrition'!A:A,'Liquid Mix In Nutrition'!C:C,0))+(($V93 / MAX(1, _xlfn.XLOOKUP($H93,'Solid Mix In Nutrition'!A:A,'Solid Mix In Nutrition'!I:I,1)))  * _xlfn.XLOOKUP($H93,'Solid Mix In Nutrition'!A:A,'Solid Mix In Nutrition'!C:C,0))+(($W93 / MAX(1, _xlfn.XLOOKUP($I93,'Solid Mix In Nutrition'!A:A,'Solid Mix In Nutrition'!I:I,1)))  * _xlfn.XLOOKUP($I93,'Solid Mix In Nutrition'!A:A,'Solid Mix In Nutrition'!C:C,0))+(($X93 / 100)  * _xlfn.XLOOKUP($J93,'Sweetener Mix In Nutrition'!A:A,'Sweetener Mix In Nutrition'!C:C,0))+(($Y93 / 100)  * _xlfn.XLOOKUP($K93,'Sweetener Mix In Nutrition'!A:A,'Sweetener Mix In Nutrition'!C:C,0))</f>
        <v>0</v>
      </c>
      <c r="AF93" s="38" t="e">
        <f>$AE93 / (_xlfn.XLOOKUP($L93,Specs!A:A,Specs!B:B,0))</f>
        <v>#DIV/0!</v>
      </c>
      <c r="AG93" s="37" t="e">
        <f>60* ($AB93 / _xlfn.XLOOKUP($L93,Specs!A:A,Specs!B:B,0))</f>
        <v>#DIV/0!</v>
      </c>
      <c r="AH93" s="37" t="e">
        <f>60* (AC93 / _xlfn.XLOOKUP($L93,Specs!$A:$A,Specs!$B:$B,0))</f>
        <v>#DIV/0!</v>
      </c>
      <c r="AI93" s="37" t="e">
        <f>60* (AE93 / _xlfn.XLOOKUP($L93,Specs!$A:$A,Specs!$B:$B,0))</f>
        <v>#DIV/0!</v>
      </c>
      <c r="AJ93" s="39">
        <f>(($R93 / 240) * _xlfn.XLOOKUP($D93,'Milk Types Nutrition Per Cup'!A:A,'Milk Types Nutrition Per Cup'!F:F,0)) +(($S93 / 240)  * _xlfn.XLOOKUP($E93,'Milk Types Nutrition Per Cup'!A:A,'Milk Types Nutrition Per Cup'!F:F,0)) +(($T93 / 15)  * _xlfn.XLOOKUP($F93,'Liquid Mix In Nutrition'!A:A,'Liquid Mix In Nutrition'!F:F,0))+(($U93 / 15)  * _xlfn.XLOOKUP($G93,'Liquid Mix In Nutrition'!A:A,'Liquid Mix In Nutrition'!F:F,0))+(($V93 / MAX(1, _xlfn.XLOOKUP($H93,'Solid Mix In Nutrition'!A:A,'Solid Mix In Nutrition'!I:I,1)))  * _xlfn.XLOOKUP($H93,'Solid Mix In Nutrition'!A:A,'Solid Mix In Nutrition'!F:F,0))+(($W93 / MAX(1, _xlfn.XLOOKUP($I93,'Solid Mix In Nutrition'!A:A,'Solid Mix In Nutrition'!I:I,1)))  * _xlfn.XLOOKUP($I93,'Solid Mix In Nutrition'!A:A,'Solid Mix In Nutrition'!F:F,0))+(($X93 / 100)  * _xlfn.XLOOKUP($J93,'Sweetener Mix In Nutrition'!A:A,'Sweetener Mix In Nutrition'!F:F,0))+(($Y93 / 100)  * _xlfn.XLOOKUP($K93,'Sweetener Mix In Nutrition'!A:A,'Sweetener Mix In Nutrition'!F:F,0))</f>
        <v>0</v>
      </c>
      <c r="AK93" s="46">
        <f>[2]Sheet1!AG93</f>
        <v>0</v>
      </c>
      <c r="AL93" s="47"/>
      <c r="AM93" s="40">
        <f>IF(ISERROR(((AL93/Specs!$L$3)*Specs!$L$2)*2),0,ROUNDUP((((AL93/Specs!$L$3)*Specs!$L$2)*2),0))</f>
        <v>0</v>
      </c>
      <c r="AN93" s="48">
        <f>ROUNDUP(((AJ93+Specs!$R$2+Specs!$S$2+_xlfn.XLOOKUP($L93,Specs!A:A,Specs!V:V,0))*Specs!$N$2)+AM93,0)</f>
        <v>1</v>
      </c>
      <c r="AO93" s="40">
        <f>ROUNDUP(((AJ93+Specs!$R$2+Specs!$S$2+_xlfn.XLOOKUP($L93,Specs!A:A,Specs!V:V,0))*Specs!$N$2),0)</f>
        <v>1</v>
      </c>
      <c r="AP93" s="30"/>
    </row>
    <row r="94" spans="1:42" x14ac:dyDescent="0.25">
      <c r="A94" s="41" t="str">
        <f>_xlfn.CONCAT(_xlfn.XLOOKUP("What's Your Name?",[1]Sheet1!$1:$1,[1]Sheet1!94:94)," | ",TEXT(_xlfn.XLOOKUP("Completion time",[1]Sheet1!$1:$1,[1]Sheet1!94:94),"dddd, mmm dd, yyyy hh:mm AM/PM"))</f>
        <v xml:space="preserve"> | Saturday, Jan 00, 1900 12:00 AM</v>
      </c>
      <c r="B94" s="76">
        <f>_xlfn.XLOOKUP("What's Your Email Address?",[1]Sheet1!$1:$1,[1]Sheet1!94:94)</f>
        <v>0</v>
      </c>
      <c r="C94" s="31">
        <f>IF(ISBLANK(_xlfn.XLOOKUP("Which Flavor? (Pint Price | Quart Price | Half Gallon Price) (NOTE: Prices may fluctuate based on market conditions)",[1]Sheet1!$1:$1,[1]Sheet1!94:94)),_xlfn.XLOOKUP("Name Your Ice Cream!",[1]Sheet1!$1:$1,[1]Sheet1!94:94),IF(ISNUMBER(FIND("(", _xlfn.XLOOKUP("Which Flavor? (Pint Price | Quart Price | Half Gallon Price) (NOTE: Prices may fluctuate based on market conditions)",[1]Sheet1!$1:$1,[1]Sheet1!94:94))), LEFT(_xlfn.XLOOKUP("Which Flavor? (Pint Price | Quart Price | Half Gallon Price) (NOTE: Prices may fluctuate based on market conditions)",[1]Sheet1!$1:$1,[1]Sheet1!94:94), FIND("(", _xlfn.XLOOKUP("Which Flavor? (Pint Price | Quart Price | Half Gallon Price) (NOTE: Prices may fluctuate based on market conditions)",[1]Sheet1!$1:$1,[1]Sheet1!94:94)) - 1), _xlfn.XLOOKUP("Which Flavor? (Pint Price | Quart Price | Half Gallon Price) (NOTE: Prices may fluctuate based on market conditions)",[1]Sheet1!$1:$1,[1]Sheet1!94:94)))</f>
        <v>0</v>
      </c>
      <c r="D94" s="31">
        <f>IF(COUNTIF('Premade Flavors'!$A:$A, $C94) &gt; 0,IF(ISBLANK(_xlfn.XLOOKUP("What Ice Cream Base Do You Want To Change It To?",[1]Sheet1!$1:$1,[1]Sheet1!94:94)),_xlfn.XLOOKUP($C94,'Premade Flavors'!$A:$A,'Premade Flavors'!B:B),_xlfn.XLOOKUP("What Ice Cream Base Do You Want To Change It To?",[1]Sheet1!$1:$1,[1]Sheet1!94:94)),_xlfn.XLOOKUP(_xlfn.XLOOKUP("What Kind Of Ice Cream Base Do You Want? ",[1]Sheet1!$1:$1,[1]Sheet1!94:94),'Milk Types Nutrition Per Cup'!O:O,'Milk Types Nutrition Per Cup'!P:P,""))</f>
        <v>0</v>
      </c>
      <c r="E94" s="31">
        <f>IF(COUNTIF('Premade Flavors'!$A:$A, $C94) &gt; 0,IF(ISBLANK(_xlfn.XLOOKUP("What Ice Cream Base Do You Want To Change It To?",[1]Sheet1!$1:$1,[1]Sheet1!94:94)),_xlfn.XLOOKUP($C94,'Premade Flavors'!$A:$A,'Premade Flavors'!C:C),_xlfn.XLOOKUP("What Ice Cream Base Do You Want To Change It To?",[1]Sheet1!$1:$1,[1]Sheet1!94:94)),_xlfn.XLOOKUP(_xlfn.XLOOKUP("What Kind Of Ice Cream Base Do You Want? ",[1]Sheet1!$1:$1,[1]Sheet1!94:94),'Milk Types Nutrition Per Cup'!$O:$O,'Milk Types Nutrition Per Cup'!$Q:$Q,""))</f>
        <v>0</v>
      </c>
      <c r="F94" s="31">
        <f>IF(COUNTIF('Premade Flavors'!$A:$A, $C94) &gt; 0,_xlfn.XLOOKUP($C94,'Premade Flavors'!$A:$A,'Premade Flavors'!E:E),_xlfn.XLOOKUP("What's The First Flavor You Want? ",[1]Sheet1!$1:$1,[1]Sheet1!94:94))</f>
        <v>0</v>
      </c>
      <c r="G94" s="31">
        <f>IF(COUNTIF('Premade Flavors'!$A:$A, $C94) &gt; 0,_xlfn.XLOOKUP($C94,'Premade Flavors'!$A:$A,'Premade Flavors'!F:F),_xlfn.XLOOKUP("What's the Second Flavor You Want?",[1]Sheet1!$1:$1,[1]Sheet1!94:94))</f>
        <v>0</v>
      </c>
      <c r="H94" s="31">
        <f>IF(COUNTIF('Premade Flavors'!$A:$A, $C94) &gt; 0,_xlfn.XLOOKUP($C94,'Premade Flavors'!$A:$A,'Premade Flavors'!G:G),_xlfn.XLOOKUP("What's The First Mix In That You Want? ",[1]Sheet1!$1:$1,[1]Sheet1!94:94))</f>
        <v>0</v>
      </c>
      <c r="I94" s="31">
        <f>IF(COUNTIF('Premade Flavors'!$A:$A, $C92) &gt; 0,_xlfn.XLOOKUP($C92,'Premade Flavors'!$A:$A,'Premade Flavors'!H:H),IF([2]Sheet1!W92= 0,,[2]Sheet1!W92))</f>
        <v>0</v>
      </c>
      <c r="J94" s="31">
        <f>IF(COUNTIF('Premade Flavors'!$A:$A,$C94)&gt;0,IF(_xlfn.XLOOKUP("Should It Use Sugar or A Non-Sugar Sweetner?",[1]Sheet1!$1:$1,[1]Sheet1!94:94)="Sugar",_xlfn.XLOOKUP($C94,'Premade Flavors'!$A:$A,'Premade Flavors'!I:I),"Stevia"),_xlfn.XLOOKUP("What Sweetner Do You Want?",[1]Sheet1!$1:$1,[1]Sheet1!94:94))</f>
        <v>0</v>
      </c>
      <c r="K94" s="31"/>
      <c r="L94" s="77">
        <f>_xlfn.XLOOKUP("How Much Ice Cream Do You Want?",[1]Sheet1!$1:$1,[1]Sheet1!94:94)</f>
        <v>0</v>
      </c>
      <c r="M94" s="45">
        <f>IF(COUNTIF('Premade Flavors'!$A:$A, $C94) &gt; 0,_xlfn.XLOOKUP($C94,'Premade Flavors'!$A:$A,'Premade Flavors'!M:M),_xlfn.XLOOKUP("How Strong Do You Want The First Flavor?",[1]Sheet1!$1:$1,[1]Sheet1!94:94))</f>
        <v>0</v>
      </c>
      <c r="N94" s="45">
        <f>IF(COUNTIF('Premade Flavors'!$A:$A, $C94) &gt; 0,_xlfn.XLOOKUP($C94,'Premade Flavors'!$A:$A,'Premade Flavors'!N:N),_xlfn.XLOOKUP("How Strong Do You Want The Second Flavor?",[1]Sheet1!$1:$1,[1]Sheet1!94:94))</f>
        <v>0</v>
      </c>
      <c r="O94" s="45">
        <f>IF(COUNTIF('Premade Flavors'!$A:$A, $C94) &gt; 0,_xlfn.XLOOKUP($C94,'Premade Flavors'!$A:$A,'Premade Flavors'!O:O),_xlfn.XLOOKUP("How Dense Should the Mix Ins Be?",[1]Sheet1!$1:$1,[1]Sheet1!94:94))</f>
        <v>0</v>
      </c>
      <c r="P94" s="45">
        <f>IF(COUNTIF('Premade Flavors'!$A:$A, $C94) &gt; 0,_xlfn.XLOOKUP($C94,'Premade Flavors'!$A:$A,'Premade Flavors'!P:P),_xlfn.XLOOKUP("How Much Of The First Sweetner? ",[1]Sheet1!$1:$1,[1]Sheet1!94:94))</f>
        <v>0</v>
      </c>
      <c r="Q94" s="45">
        <f>IF(COUNTIF('Premade Flavors'!$A:$A, $C94) &gt; 0,_xlfn.XLOOKUP($C94,'Premade Flavors'!$A:$A,'Premade Flavors'!Q:Q),[2]Sheet1!S94)</f>
        <v>0</v>
      </c>
      <c r="R94" s="30">
        <f>(_xlfn.XLOOKUP($L94,Specs!A:A,Specs!B:B,0)-(IF(_xlfn.XLOOKUP($F94,'Liquid Mix In Nutrition'!A:A,'Liquid Mix In Nutrition'!J:J,0)="Yes",0,$T94))-(IF(_xlfn.XLOOKUP($G94,'Liquid Mix In Nutrition'!A:A,'Liquid Mix In Nutrition'!J:J,0)="Yes",0,$U94))-(($V94/MAX(1,_xlfn.XLOOKUP($H94,'Solid Mix In Nutrition'!A:A,'Solid Mix In Nutrition'!I:I,1)))*240)-(($W94/MAX(1,_xlfn.XLOOKUP($I94,'Solid Mix In Nutrition'!A:A,'Solid Mix In Nutrition'!I:I,1)))*240))*0.66</f>
        <v>0</v>
      </c>
      <c r="S94" s="30">
        <f>(_xlfn.XLOOKUP($L94,Specs!A:A,Specs!B:B,0)-(IF(_xlfn.XLOOKUP($F94,'Liquid Mix In Nutrition'!A:A,'Liquid Mix In Nutrition'!J:J,0)="Yes",0,$T94))-(IF(_xlfn.XLOOKUP($G94,'Liquid Mix In Nutrition'!A:A,'Liquid Mix In Nutrition'!J:J,0)="Yes",0,$U94))-(($V94/MAX(1,_xlfn.XLOOKUP($H94,'Solid Mix In Nutrition'!A:A,'Solid Mix In Nutrition'!I:I,1)))*240)-(($W94/MAX(1,_xlfn.XLOOKUP($I94,'Solid Mix In Nutrition'!A:A,'Solid Mix In Nutrition'!I:I,1)))*240))*0.33</f>
        <v>0</v>
      </c>
      <c r="T94" s="30">
        <f>_xlfn.XLOOKUP($M94,Specs!$D:$D,Specs!$E:$E,0)*15*_xlfn.XLOOKUP($L94,Specs!$A:$A,Specs!$C:$C,0)</f>
        <v>0</v>
      </c>
      <c r="U94" s="30">
        <f>_xlfn.XLOOKUP($N94,Specs!$D:$D,Specs!$E:$E,0)*15*_xlfn.XLOOKUP($L94,Specs!$A:$A,Specs!$C:$C,0)</f>
        <v>0</v>
      </c>
      <c r="V94" s="30">
        <f>( ((_xlfn.XLOOKUP($O94,Specs!$H:$H,Specs!$I:$I,0)*_xlfn.XLOOKUP($L94,Specs!$A:$A,Specs!$B:$B,0))/240) *_xlfn.XLOOKUP($H94,'Solid Mix In Nutrition'!A:A,'Solid Mix In Nutrition'!I:I,0)) *IF(AND(NOT($I94=0), COUNTA($I94)),0.5,1)</f>
        <v>0</v>
      </c>
      <c r="W94" s="30">
        <f>( ((_xlfn.XLOOKUP($O94,Specs!$H:$H,Specs!$I:$I,0)*_xlfn.XLOOKUP($L94,Specs!$A:$A,Specs!$B:$B,0))/240) *_xlfn.XLOOKUP($I94,'Solid Mix In Nutrition'!A:A,'Solid Mix In Nutrition'!I:I,0)) *IF(AND(NOT($I94=0), COUNTA($I94)),0.5,0)</f>
        <v>0</v>
      </c>
      <c r="X94" s="30">
        <f>_xlfn.XLOOKUP($P94,Specs!F:F,Specs!G:G,0)*_xlfn.XLOOKUP($J94,'Sweetener Mix In Nutrition'!A:A,'Sweetener Mix In Nutrition'!I:I,0)*_xlfn.XLOOKUP($L94,Specs!A:A,Specs!C:C,0)</f>
        <v>0</v>
      </c>
      <c r="Y94" s="30">
        <f>_xlfn.XLOOKUP($Q94,Specs!F:F,Specs!G:G,0)*_xlfn.XLOOKUP($K94,'Sweetener Mix In Nutrition'!A:A,'Sweetener Mix In Nutrition'!I:I,0)*_xlfn.XLOOKUP($L94,Specs!A:A,Specs!C:C,0)</f>
        <v>0</v>
      </c>
      <c r="Z94" s="34">
        <f t="shared" si="2"/>
        <v>0</v>
      </c>
      <c r="AA94" s="35">
        <f t="shared" si="3"/>
        <v>0</v>
      </c>
      <c r="AB94" s="36">
        <f>(($R94 / 240) * _xlfn.XLOOKUP($D94,'Milk Types Nutrition Per Cup'!A:A,'Milk Types Nutrition Per Cup'!B:B,0)) +(($S94 / 240)  * _xlfn.XLOOKUP($E94,'Milk Types Nutrition Per Cup'!A:A,'Milk Types Nutrition Per Cup'!B:B,0)) +(($T94 / 15)  * _xlfn.XLOOKUP($F94,'Liquid Mix In Nutrition'!A:A,'Liquid Mix In Nutrition'!B:B,0))+(($U94 / 15)  * _xlfn.XLOOKUP($G94,'Liquid Mix In Nutrition'!A:A,'Liquid Mix In Nutrition'!B:B,0))+(($V94 /MAX(1, _xlfn.XLOOKUP($H94,'Solid Mix In Nutrition'!A:A,'Solid Mix In Nutrition'!I:I,1)))  * _xlfn.XLOOKUP($H94,'Solid Mix In Nutrition'!A:A,'Solid Mix In Nutrition'!B:B,0))+(($W94 / MAX(1, _xlfn.XLOOKUP($I94,'Solid Mix In Nutrition'!A:A,'Solid Mix In Nutrition'!I:I,1))))+(($X94 / 100)  * _xlfn.XLOOKUP($J94,'Sweetener Mix In Nutrition'!A:A,'Sweetener Mix In Nutrition'!B:B,0))+(($Y94 / 100)  * _xlfn.XLOOKUP($K94,'Sweetener Mix In Nutrition'!A:A,'Sweetener Mix In Nutrition'!B:B,0))</f>
        <v>0</v>
      </c>
      <c r="AC94" s="36">
        <f>(($R94 / 240) * _xlfn.XLOOKUP($D94,'Milk Types Nutrition Per Cup'!A:A,'Milk Types Nutrition Per Cup'!E:E,0)) +(($S94 / 240)  * _xlfn.XLOOKUP($E94,'Milk Types Nutrition Per Cup'!A:A,'Milk Types Nutrition Per Cup'!E:E,0)) +(($T94 / 15)  * _xlfn.XLOOKUP($F94,'Liquid Mix In Nutrition'!A:A,'Liquid Mix In Nutrition'!E:E,0)) +(($U94 / 15)  * _xlfn.XLOOKUP($G94,'Liquid Mix In Nutrition'!A:A,'Liquid Mix In Nutrition'!E:E,0))+(($V94 / MAX(1, _xlfn.XLOOKUP($H94,'Solid Mix In Nutrition'!A:A,'Solid Mix In Nutrition'!I:I,1)))  * _xlfn.XLOOKUP($H94,'Solid Mix In Nutrition'!A:A,'Solid Mix In Nutrition'!E:E,0))+(($W94 / MAX(1, _xlfn.XLOOKUP($I94,'Solid Mix In Nutrition'!A:A,'Solid Mix In Nutrition'!I:I,1)))  * _xlfn.XLOOKUP($I94,'Solid Mix In Nutrition'!A:A,'Solid Mix In Nutrition'!G:G,0))+(($X94 / 100)  * _xlfn.XLOOKUP($J94,'Sweetener Mix In Nutrition'!A:A,'Sweetener Mix In Nutrition'!E:E,0))+(($Y94 / 100)  * _xlfn.XLOOKUP($K94,'Sweetener Mix In Nutrition'!A:A,'Sweetener Mix In Nutrition'!E:E,0))</f>
        <v>0</v>
      </c>
      <c r="AD94" s="36">
        <f>(($R94 / 240) * _xlfn.XLOOKUP($D94,'Milk Types Nutrition Per Cup'!A:A,'Milk Types Nutrition Per Cup'!E:E,0)) +(($S94 / 240)  * _xlfn.XLOOKUP($E94,'Milk Types Nutrition Per Cup'!A:A,'Milk Types Nutrition Per Cup'!E:E,0)) +(($T94 / 15)  * _xlfn.XLOOKUP($F94,'Liquid Mix In Nutrition'!A:A,'Liquid Mix In Nutrition'!E:E,0)) +(($U94 / 15)  * _xlfn.XLOOKUP($G94,'Liquid Mix In Nutrition'!A:A,'Liquid Mix In Nutrition'!E:E,0))+(($X94 / 100)  * _xlfn.XLOOKUP($J94,'Sweetener Mix In Nutrition'!A:A,'Sweetener Mix In Nutrition'!E:E,0))+(($Y94 / 100)  * _xlfn.XLOOKUP($K94,'Sweetener Mix In Nutrition'!A:A,'Sweetener Mix In Nutrition'!E:E,0))</f>
        <v>0</v>
      </c>
      <c r="AE94" s="37">
        <f>(($R94 / 240) * _xlfn.XLOOKUP($D94,'Milk Types Nutrition Per Cup'!A:A,'Milk Types Nutrition Per Cup'!C:C,0)) +(($S94 / 240)  * _xlfn.XLOOKUP($E94,'Milk Types Nutrition Per Cup'!A:A,'Milk Types Nutrition Per Cup'!C:C,0)) +(($T94 / 15)  * _xlfn.XLOOKUP($F94,'Liquid Mix In Nutrition'!A:A,'Liquid Mix In Nutrition'!C:C,0))+(($U94 / 15)  * _xlfn.XLOOKUP($G94,'Liquid Mix In Nutrition'!A:A,'Liquid Mix In Nutrition'!C:C,0))+(($V94 / MAX(1, _xlfn.XLOOKUP($H94,'Solid Mix In Nutrition'!A:A,'Solid Mix In Nutrition'!I:I,1)))  * _xlfn.XLOOKUP($H94,'Solid Mix In Nutrition'!A:A,'Solid Mix In Nutrition'!C:C,0))+(($W94 / MAX(1, _xlfn.XLOOKUP($I94,'Solid Mix In Nutrition'!A:A,'Solid Mix In Nutrition'!I:I,1)))  * _xlfn.XLOOKUP($I94,'Solid Mix In Nutrition'!A:A,'Solid Mix In Nutrition'!C:C,0))+(($X94 / 100)  * _xlfn.XLOOKUP($J94,'Sweetener Mix In Nutrition'!A:A,'Sweetener Mix In Nutrition'!C:C,0))+(($Y94 / 100)  * _xlfn.XLOOKUP($K94,'Sweetener Mix In Nutrition'!A:A,'Sweetener Mix In Nutrition'!C:C,0))</f>
        <v>0</v>
      </c>
      <c r="AF94" s="38" t="e">
        <f>$AE94 / (_xlfn.XLOOKUP($L94,Specs!A:A,Specs!B:B,0))</f>
        <v>#DIV/0!</v>
      </c>
      <c r="AG94" s="37" t="e">
        <f>60* ($AB94 / _xlfn.XLOOKUP($L94,Specs!A:A,Specs!B:B,0))</f>
        <v>#DIV/0!</v>
      </c>
      <c r="AH94" s="37" t="e">
        <f>60* (AC94 / _xlfn.XLOOKUP($L94,Specs!$A:$A,Specs!$B:$B,0))</f>
        <v>#DIV/0!</v>
      </c>
      <c r="AI94" s="37" t="e">
        <f>60* (AE94 / _xlfn.XLOOKUP($L94,Specs!$A:$A,Specs!$B:$B,0))</f>
        <v>#DIV/0!</v>
      </c>
      <c r="AJ94" s="39">
        <f>(($R94 / 240) * _xlfn.XLOOKUP($D94,'Milk Types Nutrition Per Cup'!A:A,'Milk Types Nutrition Per Cup'!F:F,0)) +(($S94 / 240)  * _xlfn.XLOOKUP($E94,'Milk Types Nutrition Per Cup'!A:A,'Milk Types Nutrition Per Cup'!F:F,0)) +(($T94 / 15)  * _xlfn.XLOOKUP($F94,'Liquid Mix In Nutrition'!A:A,'Liquid Mix In Nutrition'!F:F,0))+(($U94 / 15)  * _xlfn.XLOOKUP($G94,'Liquid Mix In Nutrition'!A:A,'Liquid Mix In Nutrition'!F:F,0))+(($V94 / MAX(1, _xlfn.XLOOKUP($H94,'Solid Mix In Nutrition'!A:A,'Solid Mix In Nutrition'!I:I,1)))  * _xlfn.XLOOKUP($H94,'Solid Mix In Nutrition'!A:A,'Solid Mix In Nutrition'!F:F,0))+(($W94 / MAX(1, _xlfn.XLOOKUP($I94,'Solid Mix In Nutrition'!A:A,'Solid Mix In Nutrition'!I:I,1)))  * _xlfn.XLOOKUP($I94,'Solid Mix In Nutrition'!A:A,'Solid Mix In Nutrition'!F:F,0))+(($X94 / 100)  * _xlfn.XLOOKUP($J94,'Sweetener Mix In Nutrition'!A:A,'Sweetener Mix In Nutrition'!F:F,0))+(($Y94 / 100)  * _xlfn.XLOOKUP($K94,'Sweetener Mix In Nutrition'!A:A,'Sweetener Mix In Nutrition'!F:F,0))</f>
        <v>0</v>
      </c>
      <c r="AK94" s="46">
        <f>[2]Sheet1!AG94</f>
        <v>0</v>
      </c>
      <c r="AL94" s="47"/>
      <c r="AM94" s="40">
        <f>IF(ISERROR(((AL94/Specs!$L$3)*Specs!$L$2)*2),0,ROUNDUP((((AL94/Specs!$L$3)*Specs!$L$2)*2),0))</f>
        <v>0</v>
      </c>
      <c r="AN94" s="48">
        <f>ROUNDUP(((AJ94+Specs!$R$2+Specs!$S$2+_xlfn.XLOOKUP($L94,Specs!A:A,Specs!V:V,0))*Specs!$N$2)+AM94,0)</f>
        <v>1</v>
      </c>
      <c r="AO94" s="40">
        <f>ROUNDUP(((AJ94+Specs!$R$2+Specs!$S$2+_xlfn.XLOOKUP($L94,Specs!A:A,Specs!V:V,0))*Specs!$N$2),0)</f>
        <v>1</v>
      </c>
      <c r="AP94" s="30"/>
    </row>
    <row r="95" spans="1:42" x14ac:dyDescent="0.25">
      <c r="A95" s="41" t="str">
        <f>_xlfn.CONCAT(_xlfn.XLOOKUP("What's Your Name?",[1]Sheet1!$1:$1,[1]Sheet1!95:95)," | ",TEXT(_xlfn.XLOOKUP("Completion time",[1]Sheet1!$1:$1,[1]Sheet1!95:95),"dddd, mmm dd, yyyy hh:mm AM/PM"))</f>
        <v xml:space="preserve"> | Saturday, Jan 00, 1900 12:00 AM</v>
      </c>
      <c r="B95" s="76">
        <f>_xlfn.XLOOKUP("What's Your Email Address?",[1]Sheet1!$1:$1,[1]Sheet1!95:95)</f>
        <v>0</v>
      </c>
      <c r="C95" s="31">
        <f>IF(ISBLANK(_xlfn.XLOOKUP("Which Flavor? (Pint Price | Quart Price | Half Gallon Price) (NOTE: Prices may fluctuate based on market conditions)",[1]Sheet1!$1:$1,[1]Sheet1!95:95)),_xlfn.XLOOKUP("Name Your Ice Cream!",[1]Sheet1!$1:$1,[1]Sheet1!95:95),IF(ISNUMBER(FIND("(", _xlfn.XLOOKUP("Which Flavor? (Pint Price | Quart Price | Half Gallon Price) (NOTE: Prices may fluctuate based on market conditions)",[1]Sheet1!$1:$1,[1]Sheet1!95:95))), LEFT(_xlfn.XLOOKUP("Which Flavor? (Pint Price | Quart Price | Half Gallon Price) (NOTE: Prices may fluctuate based on market conditions)",[1]Sheet1!$1:$1,[1]Sheet1!95:95), FIND("(", _xlfn.XLOOKUP("Which Flavor? (Pint Price | Quart Price | Half Gallon Price) (NOTE: Prices may fluctuate based on market conditions)",[1]Sheet1!$1:$1,[1]Sheet1!95:95)) - 1), _xlfn.XLOOKUP("Which Flavor? (Pint Price | Quart Price | Half Gallon Price) (NOTE: Prices may fluctuate based on market conditions)",[1]Sheet1!$1:$1,[1]Sheet1!95:95)))</f>
        <v>0</v>
      </c>
      <c r="D95" s="31">
        <f>IF(COUNTIF('Premade Flavors'!$A:$A, $C95) &gt; 0,IF(ISBLANK(_xlfn.XLOOKUP("What Ice Cream Base Do You Want To Change It To?",[1]Sheet1!$1:$1,[1]Sheet1!95:95)),_xlfn.XLOOKUP($C95,'Premade Flavors'!$A:$A,'Premade Flavors'!B:B),_xlfn.XLOOKUP("What Ice Cream Base Do You Want To Change It To?",[1]Sheet1!$1:$1,[1]Sheet1!95:95)),_xlfn.XLOOKUP(_xlfn.XLOOKUP("What Kind Of Ice Cream Base Do You Want? ",[1]Sheet1!$1:$1,[1]Sheet1!95:95),'Milk Types Nutrition Per Cup'!O:O,'Milk Types Nutrition Per Cup'!P:P,""))</f>
        <v>0</v>
      </c>
      <c r="E95" s="31">
        <f>IF(COUNTIF('Premade Flavors'!$A:$A, $C95) &gt; 0,IF(ISBLANK(_xlfn.XLOOKUP("What Ice Cream Base Do You Want To Change It To?",[1]Sheet1!$1:$1,[1]Sheet1!95:95)),_xlfn.XLOOKUP($C95,'Premade Flavors'!$A:$A,'Premade Flavors'!C:C),_xlfn.XLOOKUP("What Ice Cream Base Do You Want To Change It To?",[1]Sheet1!$1:$1,[1]Sheet1!95:95)),_xlfn.XLOOKUP(_xlfn.XLOOKUP("What Kind Of Ice Cream Base Do You Want? ",[1]Sheet1!$1:$1,[1]Sheet1!95:95),'Milk Types Nutrition Per Cup'!$O:$O,'Milk Types Nutrition Per Cup'!$Q:$Q,""))</f>
        <v>0</v>
      </c>
      <c r="F95" s="31">
        <f>IF(COUNTIF('Premade Flavors'!$A:$A, $C95) &gt; 0,_xlfn.XLOOKUP($C95,'Premade Flavors'!$A:$A,'Premade Flavors'!E:E),_xlfn.XLOOKUP("What's The First Flavor You Want? ",[1]Sheet1!$1:$1,[1]Sheet1!95:95))</f>
        <v>0</v>
      </c>
      <c r="G95" s="31">
        <f>IF(COUNTIF('Premade Flavors'!$A:$A, $C95) &gt; 0,_xlfn.XLOOKUP($C95,'Premade Flavors'!$A:$A,'Premade Flavors'!F:F),_xlfn.XLOOKUP("What's the Second Flavor You Want?",[1]Sheet1!$1:$1,[1]Sheet1!95:95))</f>
        <v>0</v>
      </c>
      <c r="H95" s="31">
        <f>IF(COUNTIF('Premade Flavors'!$A:$A, $C95) &gt; 0,_xlfn.XLOOKUP($C95,'Premade Flavors'!$A:$A,'Premade Flavors'!G:G),_xlfn.XLOOKUP("What's The First Mix In That You Want? ",[1]Sheet1!$1:$1,[1]Sheet1!95:95))</f>
        <v>0</v>
      </c>
      <c r="I95" s="31">
        <f>IF(COUNTIF('Premade Flavors'!$A:$A, $C93) &gt; 0,_xlfn.XLOOKUP($C93,'Premade Flavors'!$A:$A,'Premade Flavors'!H:H),IF([2]Sheet1!W93= 0,,[2]Sheet1!W93))</f>
        <v>0</v>
      </c>
      <c r="J95" s="31">
        <f>IF(COUNTIF('Premade Flavors'!$A:$A,$C95)&gt;0,IF(_xlfn.XLOOKUP("Should It Use Sugar or A Non-Sugar Sweetner?",[1]Sheet1!$1:$1,[1]Sheet1!95:95)="Sugar",_xlfn.XLOOKUP($C95,'Premade Flavors'!$A:$A,'Premade Flavors'!I:I),"Stevia"),_xlfn.XLOOKUP("What Sweetner Do You Want?",[1]Sheet1!$1:$1,[1]Sheet1!95:95))</f>
        <v>0</v>
      </c>
      <c r="K95" s="31"/>
      <c r="L95" s="77">
        <f>_xlfn.XLOOKUP("How Much Ice Cream Do You Want?",[1]Sheet1!$1:$1,[1]Sheet1!95:95)</f>
        <v>0</v>
      </c>
      <c r="M95" s="45">
        <f>IF(COUNTIF('Premade Flavors'!$A:$A, $C95) &gt; 0,_xlfn.XLOOKUP($C95,'Premade Flavors'!$A:$A,'Premade Flavors'!M:M),_xlfn.XLOOKUP("How Strong Do You Want The First Flavor?",[1]Sheet1!$1:$1,[1]Sheet1!95:95))</f>
        <v>0</v>
      </c>
      <c r="N95" s="45">
        <f>IF(COUNTIF('Premade Flavors'!$A:$A, $C95) &gt; 0,_xlfn.XLOOKUP($C95,'Premade Flavors'!$A:$A,'Premade Flavors'!N:N),_xlfn.XLOOKUP("How Strong Do You Want The Second Flavor?",[1]Sheet1!$1:$1,[1]Sheet1!95:95))</f>
        <v>0</v>
      </c>
      <c r="O95" s="45">
        <f>IF(COUNTIF('Premade Flavors'!$A:$A, $C95) &gt; 0,_xlfn.XLOOKUP($C95,'Premade Flavors'!$A:$A,'Premade Flavors'!O:O),_xlfn.XLOOKUP("How Dense Should the Mix Ins Be?",[1]Sheet1!$1:$1,[1]Sheet1!95:95))</f>
        <v>0</v>
      </c>
      <c r="P95" s="45">
        <f>IF(COUNTIF('Premade Flavors'!$A:$A, $C95) &gt; 0,_xlfn.XLOOKUP($C95,'Premade Flavors'!$A:$A,'Premade Flavors'!P:P),_xlfn.XLOOKUP("How Much Of The First Sweetner? ",[1]Sheet1!$1:$1,[1]Sheet1!95:95))</f>
        <v>0</v>
      </c>
      <c r="Q95" s="45">
        <f>IF(COUNTIF('Premade Flavors'!$A:$A, $C95) &gt; 0,_xlfn.XLOOKUP($C95,'Premade Flavors'!$A:$A,'Premade Flavors'!Q:Q),[2]Sheet1!S95)</f>
        <v>0</v>
      </c>
      <c r="R95" s="30">
        <f>(_xlfn.XLOOKUP($L95,Specs!A:A,Specs!B:B,0)-(IF(_xlfn.XLOOKUP($F95,'Liquid Mix In Nutrition'!A:A,'Liquid Mix In Nutrition'!J:J,0)="Yes",0,$T95))-(IF(_xlfn.XLOOKUP($G95,'Liquid Mix In Nutrition'!A:A,'Liquid Mix In Nutrition'!J:J,0)="Yes",0,$U95))-(($V95/MAX(1,_xlfn.XLOOKUP($H95,'Solid Mix In Nutrition'!A:A,'Solid Mix In Nutrition'!I:I,1)))*240)-(($W95/MAX(1,_xlfn.XLOOKUP($I95,'Solid Mix In Nutrition'!A:A,'Solid Mix In Nutrition'!I:I,1)))*240))*0.66</f>
        <v>0</v>
      </c>
      <c r="S95" s="30">
        <f>(_xlfn.XLOOKUP($L95,Specs!A:A,Specs!B:B,0)-(IF(_xlfn.XLOOKUP($F95,'Liquid Mix In Nutrition'!A:A,'Liquid Mix In Nutrition'!J:J,0)="Yes",0,$T95))-(IF(_xlfn.XLOOKUP($G95,'Liquid Mix In Nutrition'!A:A,'Liquid Mix In Nutrition'!J:J,0)="Yes",0,$U95))-(($V95/MAX(1,_xlfn.XLOOKUP($H95,'Solid Mix In Nutrition'!A:A,'Solid Mix In Nutrition'!I:I,1)))*240)-(($W95/MAX(1,_xlfn.XLOOKUP($I95,'Solid Mix In Nutrition'!A:A,'Solid Mix In Nutrition'!I:I,1)))*240))*0.33</f>
        <v>0</v>
      </c>
      <c r="T95" s="30">
        <f>_xlfn.XLOOKUP($M95,Specs!$D:$D,Specs!$E:$E,0)*15*_xlfn.XLOOKUP($L95,Specs!$A:$A,Specs!$C:$C,0)</f>
        <v>0</v>
      </c>
      <c r="U95" s="30">
        <f>_xlfn.XLOOKUP($N95,Specs!$D:$D,Specs!$E:$E,0)*15*_xlfn.XLOOKUP($L95,Specs!$A:$A,Specs!$C:$C,0)</f>
        <v>0</v>
      </c>
      <c r="V95" s="30">
        <f>( ((_xlfn.XLOOKUP($O95,Specs!$H:$H,Specs!$I:$I,0)*_xlfn.XLOOKUP($L95,Specs!$A:$A,Specs!$B:$B,0))/240) *_xlfn.XLOOKUP($H95,'Solid Mix In Nutrition'!A:A,'Solid Mix In Nutrition'!I:I,0)) *IF(AND(NOT($I95=0), COUNTA($I95)),0.5,1)</f>
        <v>0</v>
      </c>
      <c r="W95" s="30">
        <f>( ((_xlfn.XLOOKUP($O95,Specs!$H:$H,Specs!$I:$I,0)*_xlfn.XLOOKUP($L95,Specs!$A:$A,Specs!$B:$B,0))/240) *_xlfn.XLOOKUP($I95,'Solid Mix In Nutrition'!A:A,'Solid Mix In Nutrition'!I:I,0)) *IF(AND(NOT($I95=0), COUNTA($I95)),0.5,0)</f>
        <v>0</v>
      </c>
      <c r="X95" s="30">
        <f>_xlfn.XLOOKUP($P95,Specs!F:F,Specs!G:G,0)*_xlfn.XLOOKUP($J95,'Sweetener Mix In Nutrition'!A:A,'Sweetener Mix In Nutrition'!I:I,0)*_xlfn.XLOOKUP($L95,Specs!A:A,Specs!C:C,0)</f>
        <v>0</v>
      </c>
      <c r="Y95" s="30">
        <f>_xlfn.XLOOKUP($Q95,Specs!F:F,Specs!G:G,0)*_xlfn.XLOOKUP($K95,'Sweetener Mix In Nutrition'!A:A,'Sweetener Mix In Nutrition'!I:I,0)*_xlfn.XLOOKUP($L95,Specs!A:A,Specs!C:C,0)</f>
        <v>0</v>
      </c>
      <c r="Z95" s="34">
        <f t="shared" si="2"/>
        <v>0</v>
      </c>
      <c r="AA95" s="35">
        <f t="shared" si="3"/>
        <v>0</v>
      </c>
      <c r="AB95" s="36">
        <f>(($R95 / 240) * _xlfn.XLOOKUP($D95,'Milk Types Nutrition Per Cup'!A:A,'Milk Types Nutrition Per Cup'!B:B,0)) +(($S95 / 240)  * _xlfn.XLOOKUP($E95,'Milk Types Nutrition Per Cup'!A:A,'Milk Types Nutrition Per Cup'!B:B,0)) +(($T95 / 15)  * _xlfn.XLOOKUP($F95,'Liquid Mix In Nutrition'!A:A,'Liquid Mix In Nutrition'!B:B,0))+(($U95 / 15)  * _xlfn.XLOOKUP($G95,'Liquid Mix In Nutrition'!A:A,'Liquid Mix In Nutrition'!B:B,0))+(($V95 /MAX(1, _xlfn.XLOOKUP($H95,'Solid Mix In Nutrition'!A:A,'Solid Mix In Nutrition'!I:I,1)))  * _xlfn.XLOOKUP($H95,'Solid Mix In Nutrition'!A:A,'Solid Mix In Nutrition'!B:B,0))+(($W95 / MAX(1, _xlfn.XLOOKUP($I95,'Solid Mix In Nutrition'!A:A,'Solid Mix In Nutrition'!I:I,1))))+(($X95 / 100)  * _xlfn.XLOOKUP($J95,'Sweetener Mix In Nutrition'!A:A,'Sweetener Mix In Nutrition'!B:B,0))+(($Y95 / 100)  * _xlfn.XLOOKUP($K95,'Sweetener Mix In Nutrition'!A:A,'Sweetener Mix In Nutrition'!B:B,0))</f>
        <v>0</v>
      </c>
      <c r="AC95" s="36">
        <f>(($R95 / 240) * _xlfn.XLOOKUP($D95,'Milk Types Nutrition Per Cup'!A:A,'Milk Types Nutrition Per Cup'!E:E,0)) +(($S95 / 240)  * _xlfn.XLOOKUP($E95,'Milk Types Nutrition Per Cup'!A:A,'Milk Types Nutrition Per Cup'!E:E,0)) +(($T95 / 15)  * _xlfn.XLOOKUP($F95,'Liquid Mix In Nutrition'!A:A,'Liquid Mix In Nutrition'!E:E,0)) +(($U95 / 15)  * _xlfn.XLOOKUP($G95,'Liquid Mix In Nutrition'!A:A,'Liquid Mix In Nutrition'!E:E,0))+(($V95 / MAX(1, _xlfn.XLOOKUP($H95,'Solid Mix In Nutrition'!A:A,'Solid Mix In Nutrition'!I:I,1)))  * _xlfn.XLOOKUP($H95,'Solid Mix In Nutrition'!A:A,'Solid Mix In Nutrition'!E:E,0))+(($W95 / MAX(1, _xlfn.XLOOKUP($I95,'Solid Mix In Nutrition'!A:A,'Solid Mix In Nutrition'!I:I,1)))  * _xlfn.XLOOKUP($I95,'Solid Mix In Nutrition'!A:A,'Solid Mix In Nutrition'!G:G,0))+(($X95 / 100)  * _xlfn.XLOOKUP($J95,'Sweetener Mix In Nutrition'!A:A,'Sweetener Mix In Nutrition'!E:E,0))+(($Y95 / 100)  * _xlfn.XLOOKUP($K95,'Sweetener Mix In Nutrition'!A:A,'Sweetener Mix In Nutrition'!E:E,0))</f>
        <v>0</v>
      </c>
      <c r="AD95" s="36">
        <f>(($R95 / 240) * _xlfn.XLOOKUP($D95,'Milk Types Nutrition Per Cup'!A:A,'Milk Types Nutrition Per Cup'!E:E,0)) +(($S95 / 240)  * _xlfn.XLOOKUP($E95,'Milk Types Nutrition Per Cup'!A:A,'Milk Types Nutrition Per Cup'!E:E,0)) +(($T95 / 15)  * _xlfn.XLOOKUP($F95,'Liquid Mix In Nutrition'!A:A,'Liquid Mix In Nutrition'!E:E,0)) +(($U95 / 15)  * _xlfn.XLOOKUP($G95,'Liquid Mix In Nutrition'!A:A,'Liquid Mix In Nutrition'!E:E,0))+(($X95 / 100)  * _xlfn.XLOOKUP($J95,'Sweetener Mix In Nutrition'!A:A,'Sweetener Mix In Nutrition'!E:E,0))+(($Y95 / 100)  * _xlfn.XLOOKUP($K95,'Sweetener Mix In Nutrition'!A:A,'Sweetener Mix In Nutrition'!E:E,0))</f>
        <v>0</v>
      </c>
      <c r="AE95" s="37">
        <f>(($R95 / 240) * _xlfn.XLOOKUP($D95,'Milk Types Nutrition Per Cup'!A:A,'Milk Types Nutrition Per Cup'!C:C,0)) +(($S95 / 240)  * _xlfn.XLOOKUP($E95,'Milk Types Nutrition Per Cup'!A:A,'Milk Types Nutrition Per Cup'!C:C,0)) +(($T95 / 15)  * _xlfn.XLOOKUP($F95,'Liquid Mix In Nutrition'!A:A,'Liquid Mix In Nutrition'!C:C,0))+(($U95 / 15)  * _xlfn.XLOOKUP($G95,'Liquid Mix In Nutrition'!A:A,'Liquid Mix In Nutrition'!C:C,0))+(($V95 / MAX(1, _xlfn.XLOOKUP($H95,'Solid Mix In Nutrition'!A:A,'Solid Mix In Nutrition'!I:I,1)))  * _xlfn.XLOOKUP($H95,'Solid Mix In Nutrition'!A:A,'Solid Mix In Nutrition'!C:C,0))+(($W95 / MAX(1, _xlfn.XLOOKUP($I95,'Solid Mix In Nutrition'!A:A,'Solid Mix In Nutrition'!I:I,1)))  * _xlfn.XLOOKUP($I95,'Solid Mix In Nutrition'!A:A,'Solid Mix In Nutrition'!C:C,0))+(($X95 / 100)  * _xlfn.XLOOKUP($J95,'Sweetener Mix In Nutrition'!A:A,'Sweetener Mix In Nutrition'!C:C,0))+(($Y95 / 100)  * _xlfn.XLOOKUP($K95,'Sweetener Mix In Nutrition'!A:A,'Sweetener Mix In Nutrition'!C:C,0))</f>
        <v>0</v>
      </c>
      <c r="AF95" s="38" t="e">
        <f>$AE95 / (_xlfn.XLOOKUP($L95,Specs!A:A,Specs!B:B,0))</f>
        <v>#DIV/0!</v>
      </c>
      <c r="AG95" s="37" t="e">
        <f>60* ($AB95 / _xlfn.XLOOKUP($L95,Specs!A:A,Specs!B:B,0))</f>
        <v>#DIV/0!</v>
      </c>
      <c r="AH95" s="37" t="e">
        <f>60* (AC95 / _xlfn.XLOOKUP($L95,Specs!$A:$A,Specs!$B:$B,0))</f>
        <v>#DIV/0!</v>
      </c>
      <c r="AI95" s="37" t="e">
        <f>60* (AE95 / _xlfn.XLOOKUP($L95,Specs!$A:$A,Specs!$B:$B,0))</f>
        <v>#DIV/0!</v>
      </c>
      <c r="AJ95" s="39">
        <f>(($R95 / 240) * _xlfn.XLOOKUP($D95,'Milk Types Nutrition Per Cup'!A:A,'Milk Types Nutrition Per Cup'!F:F,0)) +(($S95 / 240)  * _xlfn.XLOOKUP($E95,'Milk Types Nutrition Per Cup'!A:A,'Milk Types Nutrition Per Cup'!F:F,0)) +(($T95 / 15)  * _xlfn.XLOOKUP($F95,'Liquid Mix In Nutrition'!A:A,'Liquid Mix In Nutrition'!F:F,0))+(($U95 / 15)  * _xlfn.XLOOKUP($G95,'Liquid Mix In Nutrition'!A:A,'Liquid Mix In Nutrition'!F:F,0))+(($V95 / MAX(1, _xlfn.XLOOKUP($H95,'Solid Mix In Nutrition'!A:A,'Solid Mix In Nutrition'!I:I,1)))  * _xlfn.XLOOKUP($H95,'Solid Mix In Nutrition'!A:A,'Solid Mix In Nutrition'!F:F,0))+(($W95 / MAX(1, _xlfn.XLOOKUP($I95,'Solid Mix In Nutrition'!A:A,'Solid Mix In Nutrition'!I:I,1)))  * _xlfn.XLOOKUP($I95,'Solid Mix In Nutrition'!A:A,'Solid Mix In Nutrition'!F:F,0))+(($X95 / 100)  * _xlfn.XLOOKUP($J95,'Sweetener Mix In Nutrition'!A:A,'Sweetener Mix In Nutrition'!F:F,0))+(($Y95 / 100)  * _xlfn.XLOOKUP($K95,'Sweetener Mix In Nutrition'!A:A,'Sweetener Mix In Nutrition'!F:F,0))</f>
        <v>0</v>
      </c>
      <c r="AK95" s="46">
        <f>[2]Sheet1!AG95</f>
        <v>0</v>
      </c>
      <c r="AL95" s="47"/>
      <c r="AM95" s="40">
        <f>IF(ISERROR(((AL95/Specs!$L$3)*Specs!$L$2)*2),0,ROUNDUP((((AL95/Specs!$L$3)*Specs!$L$2)*2),0))</f>
        <v>0</v>
      </c>
      <c r="AN95" s="48">
        <f>ROUNDUP(((AJ95+Specs!$R$2+Specs!$S$2+_xlfn.XLOOKUP($L95,Specs!A:A,Specs!V:V,0))*Specs!$N$2)+AM95,0)</f>
        <v>1</v>
      </c>
      <c r="AO95" s="40">
        <f>ROUNDUP(((AJ95+Specs!$R$2+Specs!$S$2+_xlfn.XLOOKUP($L95,Specs!A:A,Specs!V:V,0))*Specs!$N$2),0)</f>
        <v>1</v>
      </c>
      <c r="AP95" s="30"/>
    </row>
    <row r="96" spans="1:42" x14ac:dyDescent="0.25">
      <c r="A96" s="41" t="str">
        <f>_xlfn.CONCAT(_xlfn.XLOOKUP("What's Your Name?",[1]Sheet1!$1:$1,[1]Sheet1!96:96)," | ",TEXT(_xlfn.XLOOKUP("Completion time",[1]Sheet1!$1:$1,[1]Sheet1!96:96),"dddd, mmm dd, yyyy hh:mm AM/PM"))</f>
        <v xml:space="preserve"> | Saturday, Jan 00, 1900 12:00 AM</v>
      </c>
      <c r="B96" s="76">
        <f>_xlfn.XLOOKUP("What's Your Email Address?",[1]Sheet1!$1:$1,[1]Sheet1!96:96)</f>
        <v>0</v>
      </c>
      <c r="C96" s="31">
        <f>IF(ISBLANK(_xlfn.XLOOKUP("Which Flavor? (Pint Price | Quart Price | Half Gallon Price) (NOTE: Prices may fluctuate based on market conditions)",[1]Sheet1!$1:$1,[1]Sheet1!96:96)),_xlfn.XLOOKUP("Name Your Ice Cream!",[1]Sheet1!$1:$1,[1]Sheet1!96:96),IF(ISNUMBER(FIND("(", _xlfn.XLOOKUP("Which Flavor? (Pint Price | Quart Price | Half Gallon Price) (NOTE: Prices may fluctuate based on market conditions)",[1]Sheet1!$1:$1,[1]Sheet1!96:96))), LEFT(_xlfn.XLOOKUP("Which Flavor? (Pint Price | Quart Price | Half Gallon Price) (NOTE: Prices may fluctuate based on market conditions)",[1]Sheet1!$1:$1,[1]Sheet1!96:96), FIND("(", _xlfn.XLOOKUP("Which Flavor? (Pint Price | Quart Price | Half Gallon Price) (NOTE: Prices may fluctuate based on market conditions)",[1]Sheet1!$1:$1,[1]Sheet1!96:96)) - 1), _xlfn.XLOOKUP("Which Flavor? (Pint Price | Quart Price | Half Gallon Price) (NOTE: Prices may fluctuate based on market conditions)",[1]Sheet1!$1:$1,[1]Sheet1!96:96)))</f>
        <v>0</v>
      </c>
      <c r="D96" s="31">
        <f>IF(COUNTIF('Premade Flavors'!$A:$A, $C96) &gt; 0,IF(ISBLANK(_xlfn.XLOOKUP("What Ice Cream Base Do You Want To Change It To?",[1]Sheet1!$1:$1,[1]Sheet1!96:96)),_xlfn.XLOOKUP($C96,'Premade Flavors'!$A:$A,'Premade Flavors'!B:B),_xlfn.XLOOKUP("What Ice Cream Base Do You Want To Change It To?",[1]Sheet1!$1:$1,[1]Sheet1!96:96)),_xlfn.XLOOKUP(_xlfn.XLOOKUP("What Kind Of Ice Cream Base Do You Want? ",[1]Sheet1!$1:$1,[1]Sheet1!96:96),'Milk Types Nutrition Per Cup'!O:O,'Milk Types Nutrition Per Cup'!P:P,""))</f>
        <v>0</v>
      </c>
      <c r="E96" s="31">
        <f>IF(COUNTIF('Premade Flavors'!$A:$A, $C96) &gt; 0,IF(ISBLANK(_xlfn.XLOOKUP("What Ice Cream Base Do You Want To Change It To?",[1]Sheet1!$1:$1,[1]Sheet1!96:96)),_xlfn.XLOOKUP($C96,'Premade Flavors'!$A:$A,'Premade Flavors'!C:C),_xlfn.XLOOKUP("What Ice Cream Base Do You Want To Change It To?",[1]Sheet1!$1:$1,[1]Sheet1!96:96)),_xlfn.XLOOKUP(_xlfn.XLOOKUP("What Kind Of Ice Cream Base Do You Want? ",[1]Sheet1!$1:$1,[1]Sheet1!96:96),'Milk Types Nutrition Per Cup'!$O:$O,'Milk Types Nutrition Per Cup'!$Q:$Q,""))</f>
        <v>0</v>
      </c>
      <c r="F96" s="31">
        <f>IF(COUNTIF('Premade Flavors'!$A:$A, $C96) &gt; 0,_xlfn.XLOOKUP($C96,'Premade Flavors'!$A:$A,'Premade Flavors'!E:E),_xlfn.XLOOKUP("What's The First Flavor You Want? ",[1]Sheet1!$1:$1,[1]Sheet1!96:96))</f>
        <v>0</v>
      </c>
      <c r="G96" s="31">
        <f>IF(COUNTIF('Premade Flavors'!$A:$A, $C96) &gt; 0,_xlfn.XLOOKUP($C96,'Premade Flavors'!$A:$A,'Premade Flavors'!F:F),_xlfn.XLOOKUP("What's the Second Flavor You Want?",[1]Sheet1!$1:$1,[1]Sheet1!96:96))</f>
        <v>0</v>
      </c>
      <c r="H96" s="31">
        <f>IF(COUNTIF('Premade Flavors'!$A:$A, $C96) &gt; 0,_xlfn.XLOOKUP($C96,'Premade Flavors'!$A:$A,'Premade Flavors'!G:G),_xlfn.XLOOKUP("What's The First Mix In That You Want? ",[1]Sheet1!$1:$1,[1]Sheet1!96:96))</f>
        <v>0</v>
      </c>
      <c r="I96" s="31">
        <f>IF(COUNTIF('Premade Flavors'!$A:$A, $C94) &gt; 0,_xlfn.XLOOKUP($C94,'Premade Flavors'!$A:$A,'Premade Flavors'!H:H),IF([2]Sheet1!W94= 0,,[2]Sheet1!W94))</f>
        <v>0</v>
      </c>
      <c r="J96" s="31">
        <f>IF(COUNTIF('Premade Flavors'!$A:$A,$C96)&gt;0,IF(_xlfn.XLOOKUP("Should It Use Sugar or A Non-Sugar Sweetner?",[1]Sheet1!$1:$1,[1]Sheet1!96:96)="Sugar",_xlfn.XLOOKUP($C96,'Premade Flavors'!$A:$A,'Premade Flavors'!I:I),"Stevia"),_xlfn.XLOOKUP("What Sweetner Do You Want?",[1]Sheet1!$1:$1,[1]Sheet1!96:96))</f>
        <v>0</v>
      </c>
      <c r="K96" s="31"/>
      <c r="L96" s="77">
        <f>_xlfn.XLOOKUP("How Much Ice Cream Do You Want?",[1]Sheet1!$1:$1,[1]Sheet1!96:96)</f>
        <v>0</v>
      </c>
      <c r="M96" s="45">
        <f>IF(COUNTIF('Premade Flavors'!$A:$A, $C96) &gt; 0,_xlfn.XLOOKUP($C96,'Premade Flavors'!$A:$A,'Premade Flavors'!M:M),_xlfn.XLOOKUP("How Strong Do You Want The First Flavor?",[1]Sheet1!$1:$1,[1]Sheet1!96:96))</f>
        <v>0</v>
      </c>
      <c r="N96" s="45">
        <f>IF(COUNTIF('Premade Flavors'!$A:$A, $C96) &gt; 0,_xlfn.XLOOKUP($C96,'Premade Flavors'!$A:$A,'Premade Flavors'!N:N),_xlfn.XLOOKUP("How Strong Do You Want The Second Flavor?",[1]Sheet1!$1:$1,[1]Sheet1!96:96))</f>
        <v>0</v>
      </c>
      <c r="O96" s="45">
        <f>IF(COUNTIF('Premade Flavors'!$A:$A, $C96) &gt; 0,_xlfn.XLOOKUP($C96,'Premade Flavors'!$A:$A,'Premade Flavors'!O:O),_xlfn.XLOOKUP("How Dense Should the Mix Ins Be?",[1]Sheet1!$1:$1,[1]Sheet1!96:96))</f>
        <v>0</v>
      </c>
      <c r="P96" s="45">
        <f>IF(COUNTIF('Premade Flavors'!$A:$A, $C96) &gt; 0,_xlfn.XLOOKUP($C96,'Premade Flavors'!$A:$A,'Premade Flavors'!P:P),_xlfn.XLOOKUP("How Much Of The First Sweetner? ",[1]Sheet1!$1:$1,[1]Sheet1!96:96))</f>
        <v>0</v>
      </c>
      <c r="Q96" s="45">
        <f>IF(COUNTIF('Premade Flavors'!$A:$A, $C96) &gt; 0,_xlfn.XLOOKUP($C96,'Premade Flavors'!$A:$A,'Premade Flavors'!Q:Q),[2]Sheet1!S96)</f>
        <v>0</v>
      </c>
      <c r="R96" s="30">
        <f>(_xlfn.XLOOKUP($L96,Specs!A:A,Specs!B:B,0)-(IF(_xlfn.XLOOKUP($F96,'Liquid Mix In Nutrition'!A:A,'Liquid Mix In Nutrition'!J:J,0)="Yes",0,$T96))-(IF(_xlfn.XLOOKUP($G96,'Liquid Mix In Nutrition'!A:A,'Liquid Mix In Nutrition'!J:J,0)="Yes",0,$U96))-(($V96/MAX(1,_xlfn.XLOOKUP($H96,'Solid Mix In Nutrition'!A:A,'Solid Mix In Nutrition'!I:I,1)))*240)-(($W96/MAX(1,_xlfn.XLOOKUP($I96,'Solid Mix In Nutrition'!A:A,'Solid Mix In Nutrition'!I:I,1)))*240))*0.66</f>
        <v>0</v>
      </c>
      <c r="S96" s="30">
        <f>(_xlfn.XLOOKUP($L96,Specs!A:A,Specs!B:B,0)-(IF(_xlfn.XLOOKUP($F96,'Liquid Mix In Nutrition'!A:A,'Liquid Mix In Nutrition'!J:J,0)="Yes",0,$T96))-(IF(_xlfn.XLOOKUP($G96,'Liquid Mix In Nutrition'!A:A,'Liquid Mix In Nutrition'!J:J,0)="Yes",0,$U96))-(($V96/MAX(1,_xlfn.XLOOKUP($H96,'Solid Mix In Nutrition'!A:A,'Solid Mix In Nutrition'!I:I,1)))*240)-(($W96/MAX(1,_xlfn.XLOOKUP($I96,'Solid Mix In Nutrition'!A:A,'Solid Mix In Nutrition'!I:I,1)))*240))*0.33</f>
        <v>0</v>
      </c>
      <c r="T96" s="30">
        <f>_xlfn.XLOOKUP($M96,Specs!$D:$D,Specs!$E:$E,0)*15*_xlfn.XLOOKUP($L96,Specs!$A:$A,Specs!$C:$C,0)</f>
        <v>0</v>
      </c>
      <c r="U96" s="30">
        <f>_xlfn.XLOOKUP($N96,Specs!$D:$D,Specs!$E:$E,0)*15*_xlfn.XLOOKUP($L96,Specs!$A:$A,Specs!$C:$C,0)</f>
        <v>0</v>
      </c>
      <c r="V96" s="30">
        <f>( ((_xlfn.XLOOKUP($O96,Specs!$H:$H,Specs!$I:$I,0)*_xlfn.XLOOKUP($L96,Specs!$A:$A,Specs!$B:$B,0))/240) *_xlfn.XLOOKUP($H96,'Solid Mix In Nutrition'!A:A,'Solid Mix In Nutrition'!I:I,0)) *IF(AND(NOT($I96=0), COUNTA($I96)),0.5,1)</f>
        <v>0</v>
      </c>
      <c r="W96" s="30">
        <f>( ((_xlfn.XLOOKUP($O96,Specs!$H:$H,Specs!$I:$I,0)*_xlfn.XLOOKUP($L96,Specs!$A:$A,Specs!$B:$B,0))/240) *_xlfn.XLOOKUP($I96,'Solid Mix In Nutrition'!A:A,'Solid Mix In Nutrition'!I:I,0)) *IF(AND(NOT($I96=0), COUNTA($I96)),0.5,0)</f>
        <v>0</v>
      </c>
      <c r="X96" s="30">
        <f>_xlfn.XLOOKUP($P96,Specs!F:F,Specs!G:G,0)*_xlfn.XLOOKUP($J96,'Sweetener Mix In Nutrition'!A:A,'Sweetener Mix In Nutrition'!I:I,0)*_xlfn.XLOOKUP($L96,Specs!A:A,Specs!C:C,0)</f>
        <v>0</v>
      </c>
      <c r="Y96" s="30">
        <f>_xlfn.XLOOKUP($Q96,Specs!F:F,Specs!G:G,0)*_xlfn.XLOOKUP($K96,'Sweetener Mix In Nutrition'!A:A,'Sweetener Mix In Nutrition'!I:I,0)*_xlfn.XLOOKUP($L96,Specs!A:A,Specs!C:C,0)</f>
        <v>0</v>
      </c>
      <c r="Z96" s="34">
        <f t="shared" si="2"/>
        <v>0</v>
      </c>
      <c r="AA96" s="35">
        <f t="shared" si="3"/>
        <v>0</v>
      </c>
      <c r="AB96" s="36">
        <f>(($R96 / 240) * _xlfn.XLOOKUP($D96,'Milk Types Nutrition Per Cup'!A:A,'Milk Types Nutrition Per Cup'!B:B,0)) +(($S96 / 240)  * _xlfn.XLOOKUP($E96,'Milk Types Nutrition Per Cup'!A:A,'Milk Types Nutrition Per Cup'!B:B,0)) +(($T96 / 15)  * _xlfn.XLOOKUP($F96,'Liquid Mix In Nutrition'!A:A,'Liquid Mix In Nutrition'!B:B,0))+(($U96 / 15)  * _xlfn.XLOOKUP($G96,'Liquid Mix In Nutrition'!A:A,'Liquid Mix In Nutrition'!B:B,0))+(($V96 /MAX(1, _xlfn.XLOOKUP($H96,'Solid Mix In Nutrition'!A:A,'Solid Mix In Nutrition'!I:I,1)))  * _xlfn.XLOOKUP($H96,'Solid Mix In Nutrition'!A:A,'Solid Mix In Nutrition'!B:B,0))+(($W96 / MAX(1, _xlfn.XLOOKUP($I96,'Solid Mix In Nutrition'!A:A,'Solid Mix In Nutrition'!I:I,1))))+(($X96 / 100)  * _xlfn.XLOOKUP($J96,'Sweetener Mix In Nutrition'!A:A,'Sweetener Mix In Nutrition'!B:B,0))+(($Y96 / 100)  * _xlfn.XLOOKUP($K96,'Sweetener Mix In Nutrition'!A:A,'Sweetener Mix In Nutrition'!B:B,0))</f>
        <v>0</v>
      </c>
      <c r="AC96" s="36">
        <f>(($R96 / 240) * _xlfn.XLOOKUP($D96,'Milk Types Nutrition Per Cup'!A:A,'Milk Types Nutrition Per Cup'!E:E,0)) +(($S96 / 240)  * _xlfn.XLOOKUP($E96,'Milk Types Nutrition Per Cup'!A:A,'Milk Types Nutrition Per Cup'!E:E,0)) +(($T96 / 15)  * _xlfn.XLOOKUP($F96,'Liquid Mix In Nutrition'!A:A,'Liquid Mix In Nutrition'!E:E,0)) +(($U96 / 15)  * _xlfn.XLOOKUP($G96,'Liquid Mix In Nutrition'!A:A,'Liquid Mix In Nutrition'!E:E,0))+(($V96 / MAX(1, _xlfn.XLOOKUP($H96,'Solid Mix In Nutrition'!A:A,'Solid Mix In Nutrition'!I:I,1)))  * _xlfn.XLOOKUP($H96,'Solid Mix In Nutrition'!A:A,'Solid Mix In Nutrition'!E:E,0))+(($W96 / MAX(1, _xlfn.XLOOKUP($I96,'Solid Mix In Nutrition'!A:A,'Solid Mix In Nutrition'!I:I,1)))  * _xlfn.XLOOKUP($I96,'Solid Mix In Nutrition'!A:A,'Solid Mix In Nutrition'!G:G,0))+(($X96 / 100)  * _xlfn.XLOOKUP($J96,'Sweetener Mix In Nutrition'!A:A,'Sweetener Mix In Nutrition'!E:E,0))+(($Y96 / 100)  * _xlfn.XLOOKUP($K96,'Sweetener Mix In Nutrition'!A:A,'Sweetener Mix In Nutrition'!E:E,0))</f>
        <v>0</v>
      </c>
      <c r="AD96" s="36">
        <f>(($R96 / 240) * _xlfn.XLOOKUP($D96,'Milk Types Nutrition Per Cup'!A:A,'Milk Types Nutrition Per Cup'!E:E,0)) +(($S96 / 240)  * _xlfn.XLOOKUP($E96,'Milk Types Nutrition Per Cup'!A:A,'Milk Types Nutrition Per Cup'!E:E,0)) +(($T96 / 15)  * _xlfn.XLOOKUP($F96,'Liquid Mix In Nutrition'!A:A,'Liquid Mix In Nutrition'!E:E,0)) +(($U96 / 15)  * _xlfn.XLOOKUP($G96,'Liquid Mix In Nutrition'!A:A,'Liquid Mix In Nutrition'!E:E,0))+(($X96 / 100)  * _xlfn.XLOOKUP($J96,'Sweetener Mix In Nutrition'!A:A,'Sweetener Mix In Nutrition'!E:E,0))+(($Y96 / 100)  * _xlfn.XLOOKUP($K96,'Sweetener Mix In Nutrition'!A:A,'Sweetener Mix In Nutrition'!E:E,0))</f>
        <v>0</v>
      </c>
      <c r="AE96" s="37">
        <f>(($R96 / 240) * _xlfn.XLOOKUP($D96,'Milk Types Nutrition Per Cup'!A:A,'Milk Types Nutrition Per Cup'!C:C,0)) +(($S96 / 240)  * _xlfn.XLOOKUP($E96,'Milk Types Nutrition Per Cup'!A:A,'Milk Types Nutrition Per Cup'!C:C,0)) +(($T96 / 15)  * _xlfn.XLOOKUP($F96,'Liquid Mix In Nutrition'!A:A,'Liquid Mix In Nutrition'!C:C,0))+(($U96 / 15)  * _xlfn.XLOOKUP($G96,'Liquid Mix In Nutrition'!A:A,'Liquid Mix In Nutrition'!C:C,0))+(($V96 / MAX(1, _xlfn.XLOOKUP($H96,'Solid Mix In Nutrition'!A:A,'Solid Mix In Nutrition'!I:I,1)))  * _xlfn.XLOOKUP($H96,'Solid Mix In Nutrition'!A:A,'Solid Mix In Nutrition'!C:C,0))+(($W96 / MAX(1, _xlfn.XLOOKUP($I96,'Solid Mix In Nutrition'!A:A,'Solid Mix In Nutrition'!I:I,1)))  * _xlfn.XLOOKUP($I96,'Solid Mix In Nutrition'!A:A,'Solid Mix In Nutrition'!C:C,0))+(($X96 / 100)  * _xlfn.XLOOKUP($J96,'Sweetener Mix In Nutrition'!A:A,'Sweetener Mix In Nutrition'!C:C,0))+(($Y96 / 100)  * _xlfn.XLOOKUP($K96,'Sweetener Mix In Nutrition'!A:A,'Sweetener Mix In Nutrition'!C:C,0))</f>
        <v>0</v>
      </c>
      <c r="AF96" s="38" t="e">
        <f>$AE96 / (_xlfn.XLOOKUP($L96,Specs!A:A,Specs!B:B,0))</f>
        <v>#DIV/0!</v>
      </c>
      <c r="AG96" s="37" t="e">
        <f>60* ($AB96 / _xlfn.XLOOKUP($L96,Specs!A:A,Specs!B:B,0))</f>
        <v>#DIV/0!</v>
      </c>
      <c r="AH96" s="37" t="e">
        <f>60* (AC96 / _xlfn.XLOOKUP($L96,Specs!$A:$A,Specs!$B:$B,0))</f>
        <v>#DIV/0!</v>
      </c>
      <c r="AI96" s="37" t="e">
        <f>60* (AE96 / _xlfn.XLOOKUP($L96,Specs!$A:$A,Specs!$B:$B,0))</f>
        <v>#DIV/0!</v>
      </c>
      <c r="AJ96" s="39">
        <f>(($R96 / 240) * _xlfn.XLOOKUP($D96,'Milk Types Nutrition Per Cup'!A:A,'Milk Types Nutrition Per Cup'!F:F,0)) +(($S96 / 240)  * _xlfn.XLOOKUP($E96,'Milk Types Nutrition Per Cup'!A:A,'Milk Types Nutrition Per Cup'!F:F,0)) +(($T96 / 15)  * _xlfn.XLOOKUP($F96,'Liquid Mix In Nutrition'!A:A,'Liquid Mix In Nutrition'!F:F,0))+(($U96 / 15)  * _xlfn.XLOOKUP($G96,'Liquid Mix In Nutrition'!A:A,'Liquid Mix In Nutrition'!F:F,0))+(($V96 / MAX(1, _xlfn.XLOOKUP($H96,'Solid Mix In Nutrition'!A:A,'Solid Mix In Nutrition'!I:I,1)))  * _xlfn.XLOOKUP($H96,'Solid Mix In Nutrition'!A:A,'Solid Mix In Nutrition'!F:F,0))+(($W96 / MAX(1, _xlfn.XLOOKUP($I96,'Solid Mix In Nutrition'!A:A,'Solid Mix In Nutrition'!I:I,1)))  * _xlfn.XLOOKUP($I96,'Solid Mix In Nutrition'!A:A,'Solid Mix In Nutrition'!F:F,0))+(($X96 / 100)  * _xlfn.XLOOKUP($J96,'Sweetener Mix In Nutrition'!A:A,'Sweetener Mix In Nutrition'!F:F,0))+(($Y96 / 100)  * _xlfn.XLOOKUP($K96,'Sweetener Mix In Nutrition'!A:A,'Sweetener Mix In Nutrition'!F:F,0))</f>
        <v>0</v>
      </c>
      <c r="AK96" s="46">
        <f>[2]Sheet1!AG96</f>
        <v>0</v>
      </c>
      <c r="AL96" s="47"/>
      <c r="AM96" s="40">
        <f>IF(ISERROR(((AL96/Specs!$L$3)*Specs!$L$2)*2),0,ROUNDUP((((AL96/Specs!$L$3)*Specs!$L$2)*2),0))</f>
        <v>0</v>
      </c>
      <c r="AN96" s="48">
        <f>ROUNDUP(((AJ96+Specs!$R$2+Specs!$S$2+_xlfn.XLOOKUP($L96,Specs!A:A,Specs!V:V,0))*Specs!$N$2)+AM96,0)</f>
        <v>1</v>
      </c>
      <c r="AO96" s="40">
        <f>ROUNDUP(((AJ96+Specs!$R$2+Specs!$S$2+_xlfn.XLOOKUP($L96,Specs!A:A,Specs!V:V,0))*Specs!$N$2),0)</f>
        <v>1</v>
      </c>
      <c r="AP96" s="30"/>
    </row>
    <row r="97" spans="1:42" x14ac:dyDescent="0.25">
      <c r="A97" s="41" t="str">
        <f>_xlfn.CONCAT(_xlfn.XLOOKUP("What's Your Name?",[1]Sheet1!$1:$1,[1]Sheet1!97:97)," | ",TEXT(_xlfn.XLOOKUP("Completion time",[1]Sheet1!$1:$1,[1]Sheet1!97:97),"dddd, mmm dd, yyyy hh:mm AM/PM"))</f>
        <v xml:space="preserve"> | Saturday, Jan 00, 1900 12:00 AM</v>
      </c>
      <c r="B97" s="76">
        <f>_xlfn.XLOOKUP("What's Your Email Address?",[1]Sheet1!$1:$1,[1]Sheet1!97:97)</f>
        <v>0</v>
      </c>
      <c r="C97" s="31">
        <f>IF(ISBLANK(_xlfn.XLOOKUP("Which Flavor? (Pint Price | Quart Price | Half Gallon Price) (NOTE: Prices may fluctuate based on market conditions)",[1]Sheet1!$1:$1,[1]Sheet1!97:97)),_xlfn.XLOOKUP("Name Your Ice Cream!",[1]Sheet1!$1:$1,[1]Sheet1!97:97),IF(ISNUMBER(FIND("(", _xlfn.XLOOKUP("Which Flavor? (Pint Price | Quart Price | Half Gallon Price) (NOTE: Prices may fluctuate based on market conditions)",[1]Sheet1!$1:$1,[1]Sheet1!97:97))), LEFT(_xlfn.XLOOKUP("Which Flavor? (Pint Price | Quart Price | Half Gallon Price) (NOTE: Prices may fluctuate based on market conditions)",[1]Sheet1!$1:$1,[1]Sheet1!97:97), FIND("(", _xlfn.XLOOKUP("Which Flavor? (Pint Price | Quart Price | Half Gallon Price) (NOTE: Prices may fluctuate based on market conditions)",[1]Sheet1!$1:$1,[1]Sheet1!97:97)) - 1), _xlfn.XLOOKUP("Which Flavor? (Pint Price | Quart Price | Half Gallon Price) (NOTE: Prices may fluctuate based on market conditions)",[1]Sheet1!$1:$1,[1]Sheet1!97:97)))</f>
        <v>0</v>
      </c>
      <c r="D97" s="31">
        <f>IF(COUNTIF('Premade Flavors'!$A:$A, $C97) &gt; 0,IF(ISBLANK(_xlfn.XLOOKUP("What Ice Cream Base Do You Want To Change It To?",[1]Sheet1!$1:$1,[1]Sheet1!97:97)),_xlfn.XLOOKUP($C97,'Premade Flavors'!$A:$A,'Premade Flavors'!B:B),_xlfn.XLOOKUP("What Ice Cream Base Do You Want To Change It To?",[1]Sheet1!$1:$1,[1]Sheet1!97:97)),_xlfn.XLOOKUP(_xlfn.XLOOKUP("What Kind Of Ice Cream Base Do You Want? ",[1]Sheet1!$1:$1,[1]Sheet1!97:97),'Milk Types Nutrition Per Cup'!O:O,'Milk Types Nutrition Per Cup'!P:P,""))</f>
        <v>0</v>
      </c>
      <c r="E97" s="31">
        <f>IF(COUNTIF('Premade Flavors'!$A:$A, $C97) &gt; 0,IF(ISBLANK(_xlfn.XLOOKUP("What Ice Cream Base Do You Want To Change It To?",[1]Sheet1!$1:$1,[1]Sheet1!97:97)),_xlfn.XLOOKUP($C97,'Premade Flavors'!$A:$A,'Premade Flavors'!C:C),_xlfn.XLOOKUP("What Ice Cream Base Do You Want To Change It To?",[1]Sheet1!$1:$1,[1]Sheet1!97:97)),_xlfn.XLOOKUP(_xlfn.XLOOKUP("What Kind Of Ice Cream Base Do You Want? ",[1]Sheet1!$1:$1,[1]Sheet1!97:97),'Milk Types Nutrition Per Cup'!$O:$O,'Milk Types Nutrition Per Cup'!$Q:$Q,""))</f>
        <v>0</v>
      </c>
      <c r="F97" s="31">
        <f>IF(COUNTIF('Premade Flavors'!$A:$A, $C97) &gt; 0,_xlfn.XLOOKUP($C97,'Premade Flavors'!$A:$A,'Premade Flavors'!E:E),_xlfn.XLOOKUP("What's The First Flavor You Want? ",[1]Sheet1!$1:$1,[1]Sheet1!97:97))</f>
        <v>0</v>
      </c>
      <c r="G97" s="31">
        <f>IF(COUNTIF('Premade Flavors'!$A:$A, $C97) &gt; 0,_xlfn.XLOOKUP($C97,'Premade Flavors'!$A:$A,'Premade Flavors'!F:F),_xlfn.XLOOKUP("What's the Second Flavor You Want?",[1]Sheet1!$1:$1,[1]Sheet1!97:97))</f>
        <v>0</v>
      </c>
      <c r="H97" s="31">
        <f>IF(COUNTIF('Premade Flavors'!$A:$A, $C97) &gt; 0,_xlfn.XLOOKUP($C97,'Premade Flavors'!$A:$A,'Premade Flavors'!G:G),_xlfn.XLOOKUP("What's The First Mix In That You Want? ",[1]Sheet1!$1:$1,[1]Sheet1!97:97))</f>
        <v>0</v>
      </c>
      <c r="I97" s="31">
        <f>IF(COUNTIF('Premade Flavors'!$A:$A, $C95) &gt; 0,_xlfn.XLOOKUP($C95,'Premade Flavors'!$A:$A,'Premade Flavors'!H:H),IF([2]Sheet1!W95= 0,,[2]Sheet1!W95))</f>
        <v>0</v>
      </c>
      <c r="J97" s="31">
        <f>IF(COUNTIF('Premade Flavors'!$A:$A,$C97)&gt;0,IF(_xlfn.XLOOKUP("Should It Use Sugar or A Non-Sugar Sweetner?",[1]Sheet1!$1:$1,[1]Sheet1!97:97)="Sugar",_xlfn.XLOOKUP($C97,'Premade Flavors'!$A:$A,'Premade Flavors'!I:I),"Stevia"),_xlfn.XLOOKUP("What Sweetner Do You Want?",[1]Sheet1!$1:$1,[1]Sheet1!97:97))</f>
        <v>0</v>
      </c>
      <c r="K97" s="31"/>
      <c r="L97" s="77">
        <f>_xlfn.XLOOKUP("How Much Ice Cream Do You Want?",[1]Sheet1!$1:$1,[1]Sheet1!97:97)</f>
        <v>0</v>
      </c>
      <c r="M97" s="45">
        <f>IF(COUNTIF('Premade Flavors'!$A:$A, $C97) &gt; 0,_xlfn.XLOOKUP($C97,'Premade Flavors'!$A:$A,'Premade Flavors'!M:M),_xlfn.XLOOKUP("How Strong Do You Want The First Flavor?",[1]Sheet1!$1:$1,[1]Sheet1!97:97))</f>
        <v>0</v>
      </c>
      <c r="N97" s="45">
        <f>IF(COUNTIF('Premade Flavors'!$A:$A, $C97) &gt; 0,_xlfn.XLOOKUP($C97,'Premade Flavors'!$A:$A,'Premade Flavors'!N:N),_xlfn.XLOOKUP("How Strong Do You Want The Second Flavor?",[1]Sheet1!$1:$1,[1]Sheet1!97:97))</f>
        <v>0</v>
      </c>
      <c r="O97" s="45">
        <f>IF(COUNTIF('Premade Flavors'!$A:$A, $C97) &gt; 0,_xlfn.XLOOKUP($C97,'Premade Flavors'!$A:$A,'Premade Flavors'!O:O),_xlfn.XLOOKUP("How Dense Should the Mix Ins Be?",[1]Sheet1!$1:$1,[1]Sheet1!97:97))</f>
        <v>0</v>
      </c>
      <c r="P97" s="45">
        <f>IF(COUNTIF('Premade Flavors'!$A:$A, $C97) &gt; 0,_xlfn.XLOOKUP($C97,'Premade Flavors'!$A:$A,'Premade Flavors'!P:P),_xlfn.XLOOKUP("How Much Of The First Sweetner? ",[1]Sheet1!$1:$1,[1]Sheet1!97:97))</f>
        <v>0</v>
      </c>
      <c r="Q97" s="45">
        <f>IF(COUNTIF('Premade Flavors'!$A:$A, $C97) &gt; 0,_xlfn.XLOOKUP($C97,'Premade Flavors'!$A:$A,'Premade Flavors'!Q:Q),[2]Sheet1!S97)</f>
        <v>0</v>
      </c>
      <c r="R97" s="30">
        <f>(_xlfn.XLOOKUP($L97,Specs!A:A,Specs!B:B,0)-(IF(_xlfn.XLOOKUP($F97,'Liquid Mix In Nutrition'!A:A,'Liquid Mix In Nutrition'!J:J,0)="Yes",0,$T97))-(IF(_xlfn.XLOOKUP($G97,'Liquid Mix In Nutrition'!A:A,'Liquid Mix In Nutrition'!J:J,0)="Yes",0,$U97))-(($V97/MAX(1,_xlfn.XLOOKUP($H97,'Solid Mix In Nutrition'!A:A,'Solid Mix In Nutrition'!I:I,1)))*240)-(($W97/MAX(1,_xlfn.XLOOKUP($I97,'Solid Mix In Nutrition'!A:A,'Solid Mix In Nutrition'!I:I,1)))*240))*0.66</f>
        <v>0</v>
      </c>
      <c r="S97" s="30">
        <f>(_xlfn.XLOOKUP($L97,Specs!A:A,Specs!B:B,0)-(IF(_xlfn.XLOOKUP($F97,'Liquid Mix In Nutrition'!A:A,'Liquid Mix In Nutrition'!J:J,0)="Yes",0,$T97))-(IF(_xlfn.XLOOKUP($G97,'Liquid Mix In Nutrition'!A:A,'Liquid Mix In Nutrition'!J:J,0)="Yes",0,$U97))-(($V97/MAX(1,_xlfn.XLOOKUP($H97,'Solid Mix In Nutrition'!A:A,'Solid Mix In Nutrition'!I:I,1)))*240)-(($W97/MAX(1,_xlfn.XLOOKUP($I97,'Solid Mix In Nutrition'!A:A,'Solid Mix In Nutrition'!I:I,1)))*240))*0.33</f>
        <v>0</v>
      </c>
      <c r="T97" s="30">
        <f>_xlfn.XLOOKUP($M97,Specs!$D:$D,Specs!$E:$E,0)*15*_xlfn.XLOOKUP($L97,Specs!$A:$A,Specs!$C:$C,0)</f>
        <v>0</v>
      </c>
      <c r="U97" s="30">
        <f>_xlfn.XLOOKUP($N97,Specs!$D:$D,Specs!$E:$E,0)*15*_xlfn.XLOOKUP($L97,Specs!$A:$A,Specs!$C:$C,0)</f>
        <v>0</v>
      </c>
      <c r="V97" s="30">
        <f>( ((_xlfn.XLOOKUP($O97,Specs!$H:$H,Specs!$I:$I,0)*_xlfn.XLOOKUP($L97,Specs!$A:$A,Specs!$B:$B,0))/240) *_xlfn.XLOOKUP($H97,'Solid Mix In Nutrition'!A:A,'Solid Mix In Nutrition'!I:I,0)) *IF(AND(NOT($I97=0), COUNTA($I97)),0.5,1)</f>
        <v>0</v>
      </c>
      <c r="W97" s="30">
        <f>( ((_xlfn.XLOOKUP($O97,Specs!$H:$H,Specs!$I:$I,0)*_xlfn.XLOOKUP($L97,Specs!$A:$A,Specs!$B:$B,0))/240) *_xlfn.XLOOKUP($I97,'Solid Mix In Nutrition'!A:A,'Solid Mix In Nutrition'!I:I,0)) *IF(AND(NOT($I97=0), COUNTA($I97)),0.5,0)</f>
        <v>0</v>
      </c>
      <c r="X97" s="30">
        <f>_xlfn.XLOOKUP($P97,Specs!F:F,Specs!G:G,0)*_xlfn.XLOOKUP($J97,'Sweetener Mix In Nutrition'!A:A,'Sweetener Mix In Nutrition'!I:I,0)*_xlfn.XLOOKUP($L97,Specs!A:A,Specs!C:C,0)</f>
        <v>0</v>
      </c>
      <c r="Y97" s="30">
        <f>_xlfn.XLOOKUP($Q97,Specs!F:F,Specs!G:G,0)*_xlfn.XLOOKUP($K97,'Sweetener Mix In Nutrition'!A:A,'Sweetener Mix In Nutrition'!I:I,0)*_xlfn.XLOOKUP($L97,Specs!A:A,Specs!C:C,0)</f>
        <v>0</v>
      </c>
      <c r="Z97" s="34">
        <f t="shared" si="2"/>
        <v>0</v>
      </c>
      <c r="AA97" s="35">
        <f t="shared" si="3"/>
        <v>0</v>
      </c>
      <c r="AB97" s="36">
        <f>(($R97 / 240) * _xlfn.XLOOKUP($D97,'Milk Types Nutrition Per Cup'!A:A,'Milk Types Nutrition Per Cup'!B:B,0)) +(($S97 / 240)  * _xlfn.XLOOKUP($E97,'Milk Types Nutrition Per Cup'!A:A,'Milk Types Nutrition Per Cup'!B:B,0)) +(($T97 / 15)  * _xlfn.XLOOKUP($F97,'Liquid Mix In Nutrition'!A:A,'Liquid Mix In Nutrition'!B:B,0))+(($U97 / 15)  * _xlfn.XLOOKUP($G97,'Liquid Mix In Nutrition'!A:A,'Liquid Mix In Nutrition'!B:B,0))+(($V97 /MAX(1, _xlfn.XLOOKUP($H97,'Solid Mix In Nutrition'!A:A,'Solid Mix In Nutrition'!I:I,1)))  * _xlfn.XLOOKUP($H97,'Solid Mix In Nutrition'!A:A,'Solid Mix In Nutrition'!B:B,0))+(($W97 / MAX(1, _xlfn.XLOOKUP($I97,'Solid Mix In Nutrition'!A:A,'Solid Mix In Nutrition'!I:I,1))))+(($X97 / 100)  * _xlfn.XLOOKUP($J97,'Sweetener Mix In Nutrition'!A:A,'Sweetener Mix In Nutrition'!B:B,0))+(($Y97 / 100)  * _xlfn.XLOOKUP($K97,'Sweetener Mix In Nutrition'!A:A,'Sweetener Mix In Nutrition'!B:B,0))</f>
        <v>0</v>
      </c>
      <c r="AC97" s="36">
        <f>(($R97 / 240) * _xlfn.XLOOKUP($D97,'Milk Types Nutrition Per Cup'!A:A,'Milk Types Nutrition Per Cup'!E:E,0)) +(($S97 / 240)  * _xlfn.XLOOKUP($E97,'Milk Types Nutrition Per Cup'!A:A,'Milk Types Nutrition Per Cup'!E:E,0)) +(($T97 / 15)  * _xlfn.XLOOKUP($F97,'Liquid Mix In Nutrition'!A:A,'Liquid Mix In Nutrition'!E:E,0)) +(($U97 / 15)  * _xlfn.XLOOKUP($G97,'Liquid Mix In Nutrition'!A:A,'Liquid Mix In Nutrition'!E:E,0))+(($V97 / MAX(1, _xlfn.XLOOKUP($H97,'Solid Mix In Nutrition'!A:A,'Solid Mix In Nutrition'!I:I,1)))  * _xlfn.XLOOKUP($H97,'Solid Mix In Nutrition'!A:A,'Solid Mix In Nutrition'!E:E,0))+(($W97 / MAX(1, _xlfn.XLOOKUP($I97,'Solid Mix In Nutrition'!A:A,'Solid Mix In Nutrition'!I:I,1)))  * _xlfn.XLOOKUP($I97,'Solid Mix In Nutrition'!A:A,'Solid Mix In Nutrition'!G:G,0))+(($X97 / 100)  * _xlfn.XLOOKUP($J97,'Sweetener Mix In Nutrition'!A:A,'Sweetener Mix In Nutrition'!E:E,0))+(($Y97 / 100)  * _xlfn.XLOOKUP($K97,'Sweetener Mix In Nutrition'!A:A,'Sweetener Mix In Nutrition'!E:E,0))</f>
        <v>0</v>
      </c>
      <c r="AD97" s="36">
        <f>(($R97 / 240) * _xlfn.XLOOKUP($D97,'Milk Types Nutrition Per Cup'!A:A,'Milk Types Nutrition Per Cup'!E:E,0)) +(($S97 / 240)  * _xlfn.XLOOKUP($E97,'Milk Types Nutrition Per Cup'!A:A,'Milk Types Nutrition Per Cup'!E:E,0)) +(($T97 / 15)  * _xlfn.XLOOKUP($F97,'Liquid Mix In Nutrition'!A:A,'Liquid Mix In Nutrition'!E:E,0)) +(($U97 / 15)  * _xlfn.XLOOKUP($G97,'Liquid Mix In Nutrition'!A:A,'Liquid Mix In Nutrition'!E:E,0))+(($X97 / 100)  * _xlfn.XLOOKUP($J97,'Sweetener Mix In Nutrition'!A:A,'Sweetener Mix In Nutrition'!E:E,0))+(($Y97 / 100)  * _xlfn.XLOOKUP($K97,'Sweetener Mix In Nutrition'!A:A,'Sweetener Mix In Nutrition'!E:E,0))</f>
        <v>0</v>
      </c>
      <c r="AE97" s="37">
        <f>(($R97 / 240) * _xlfn.XLOOKUP($D97,'Milk Types Nutrition Per Cup'!A:A,'Milk Types Nutrition Per Cup'!C:C,0)) +(($S97 / 240)  * _xlfn.XLOOKUP($E97,'Milk Types Nutrition Per Cup'!A:A,'Milk Types Nutrition Per Cup'!C:C,0)) +(($T97 / 15)  * _xlfn.XLOOKUP($F97,'Liquid Mix In Nutrition'!A:A,'Liquid Mix In Nutrition'!C:C,0))+(($U97 / 15)  * _xlfn.XLOOKUP($G97,'Liquid Mix In Nutrition'!A:A,'Liquid Mix In Nutrition'!C:C,0))+(($V97 / MAX(1, _xlfn.XLOOKUP($H97,'Solid Mix In Nutrition'!A:A,'Solid Mix In Nutrition'!I:I,1)))  * _xlfn.XLOOKUP($H97,'Solid Mix In Nutrition'!A:A,'Solid Mix In Nutrition'!C:C,0))+(($W97 / MAX(1, _xlfn.XLOOKUP($I97,'Solid Mix In Nutrition'!A:A,'Solid Mix In Nutrition'!I:I,1)))  * _xlfn.XLOOKUP($I97,'Solid Mix In Nutrition'!A:A,'Solid Mix In Nutrition'!C:C,0))+(($X97 / 100)  * _xlfn.XLOOKUP($J97,'Sweetener Mix In Nutrition'!A:A,'Sweetener Mix In Nutrition'!C:C,0))+(($Y97 / 100)  * _xlfn.XLOOKUP($K97,'Sweetener Mix In Nutrition'!A:A,'Sweetener Mix In Nutrition'!C:C,0))</f>
        <v>0</v>
      </c>
      <c r="AF97" s="38" t="e">
        <f>$AE97 / (_xlfn.XLOOKUP($L97,Specs!A:A,Specs!B:B,0))</f>
        <v>#DIV/0!</v>
      </c>
      <c r="AG97" s="37" t="e">
        <f>60* ($AB97 / _xlfn.XLOOKUP($L97,Specs!A:A,Specs!B:B,0))</f>
        <v>#DIV/0!</v>
      </c>
      <c r="AH97" s="37" t="e">
        <f>60* (AC97 / _xlfn.XLOOKUP($L97,Specs!$A:$A,Specs!$B:$B,0))</f>
        <v>#DIV/0!</v>
      </c>
      <c r="AI97" s="37" t="e">
        <f>60* (AE97 / _xlfn.XLOOKUP($L97,Specs!$A:$A,Specs!$B:$B,0))</f>
        <v>#DIV/0!</v>
      </c>
      <c r="AJ97" s="39">
        <f>(($R97 / 240) * _xlfn.XLOOKUP($D97,'Milk Types Nutrition Per Cup'!A:A,'Milk Types Nutrition Per Cup'!F:F,0)) +(($S97 / 240)  * _xlfn.XLOOKUP($E97,'Milk Types Nutrition Per Cup'!A:A,'Milk Types Nutrition Per Cup'!F:F,0)) +(($T97 / 15)  * _xlfn.XLOOKUP($F97,'Liquid Mix In Nutrition'!A:A,'Liquid Mix In Nutrition'!F:F,0))+(($U97 / 15)  * _xlfn.XLOOKUP($G97,'Liquid Mix In Nutrition'!A:A,'Liquid Mix In Nutrition'!F:F,0))+(($V97 / MAX(1, _xlfn.XLOOKUP($H97,'Solid Mix In Nutrition'!A:A,'Solid Mix In Nutrition'!I:I,1)))  * _xlfn.XLOOKUP($H97,'Solid Mix In Nutrition'!A:A,'Solid Mix In Nutrition'!F:F,0))+(($W97 / MAX(1, _xlfn.XLOOKUP($I97,'Solid Mix In Nutrition'!A:A,'Solid Mix In Nutrition'!I:I,1)))  * _xlfn.XLOOKUP($I97,'Solid Mix In Nutrition'!A:A,'Solid Mix In Nutrition'!F:F,0))+(($X97 / 100)  * _xlfn.XLOOKUP($J97,'Sweetener Mix In Nutrition'!A:A,'Sweetener Mix In Nutrition'!F:F,0))+(($Y97 / 100)  * _xlfn.XLOOKUP($K97,'Sweetener Mix In Nutrition'!A:A,'Sweetener Mix In Nutrition'!F:F,0))</f>
        <v>0</v>
      </c>
      <c r="AK97" s="46">
        <f>[2]Sheet1!AG97</f>
        <v>0</v>
      </c>
      <c r="AL97" s="47"/>
      <c r="AM97" s="40">
        <f>IF(ISERROR(((AL97/Specs!$L$3)*Specs!$L$2)*2),0,ROUNDUP((((AL97/Specs!$L$3)*Specs!$L$2)*2),0))</f>
        <v>0</v>
      </c>
      <c r="AN97" s="48">
        <f>ROUNDUP(((AJ97+Specs!$R$2+Specs!$S$2+_xlfn.XLOOKUP($L97,Specs!A:A,Specs!V:V,0))*Specs!$N$2)+AM97,0)</f>
        <v>1</v>
      </c>
      <c r="AO97" s="40">
        <f>ROUNDUP(((AJ97+Specs!$R$2+Specs!$S$2+_xlfn.XLOOKUP($L97,Specs!A:A,Specs!V:V,0))*Specs!$N$2),0)</f>
        <v>1</v>
      </c>
      <c r="AP97" s="30"/>
    </row>
    <row r="98" spans="1:42" x14ac:dyDescent="0.25">
      <c r="A98" s="41" t="str">
        <f>_xlfn.CONCAT(_xlfn.XLOOKUP("What's Your Name?",[1]Sheet1!$1:$1,[1]Sheet1!98:98)," | ",TEXT(_xlfn.XLOOKUP("Completion time",[1]Sheet1!$1:$1,[1]Sheet1!98:98),"dddd, mmm dd, yyyy hh:mm AM/PM"))</f>
        <v xml:space="preserve"> | Saturday, Jan 00, 1900 12:00 AM</v>
      </c>
      <c r="B98" s="76">
        <f>_xlfn.XLOOKUP("What's Your Email Address?",[1]Sheet1!$1:$1,[1]Sheet1!98:98)</f>
        <v>0</v>
      </c>
      <c r="C98" s="31">
        <f>IF(ISBLANK(_xlfn.XLOOKUP("Which Flavor? (Pint Price | Quart Price | Half Gallon Price) (NOTE: Prices may fluctuate based on market conditions)",[1]Sheet1!$1:$1,[1]Sheet1!98:98)),_xlfn.XLOOKUP("Name Your Ice Cream!",[1]Sheet1!$1:$1,[1]Sheet1!98:98),IF(ISNUMBER(FIND("(", _xlfn.XLOOKUP("Which Flavor? (Pint Price | Quart Price | Half Gallon Price) (NOTE: Prices may fluctuate based on market conditions)",[1]Sheet1!$1:$1,[1]Sheet1!98:98))), LEFT(_xlfn.XLOOKUP("Which Flavor? (Pint Price | Quart Price | Half Gallon Price) (NOTE: Prices may fluctuate based on market conditions)",[1]Sheet1!$1:$1,[1]Sheet1!98:98), FIND("(", _xlfn.XLOOKUP("Which Flavor? (Pint Price | Quart Price | Half Gallon Price) (NOTE: Prices may fluctuate based on market conditions)",[1]Sheet1!$1:$1,[1]Sheet1!98:98)) - 1), _xlfn.XLOOKUP("Which Flavor? (Pint Price | Quart Price | Half Gallon Price) (NOTE: Prices may fluctuate based on market conditions)",[1]Sheet1!$1:$1,[1]Sheet1!98:98)))</f>
        <v>0</v>
      </c>
      <c r="D98" s="31">
        <f>IF(COUNTIF('Premade Flavors'!$A:$A, $C98) &gt; 0,IF(ISBLANK(_xlfn.XLOOKUP("What Ice Cream Base Do You Want To Change It To?",[1]Sheet1!$1:$1,[1]Sheet1!98:98)),_xlfn.XLOOKUP($C98,'Premade Flavors'!$A:$A,'Premade Flavors'!B:B),_xlfn.XLOOKUP("What Ice Cream Base Do You Want To Change It To?",[1]Sheet1!$1:$1,[1]Sheet1!98:98)),_xlfn.XLOOKUP(_xlfn.XLOOKUP("What Kind Of Ice Cream Base Do You Want? ",[1]Sheet1!$1:$1,[1]Sheet1!98:98),'Milk Types Nutrition Per Cup'!O:O,'Milk Types Nutrition Per Cup'!P:P,""))</f>
        <v>0</v>
      </c>
      <c r="E98" s="31">
        <f>IF(COUNTIF('Premade Flavors'!$A:$A, $C98) &gt; 0,IF(ISBLANK(_xlfn.XLOOKUP("What Ice Cream Base Do You Want To Change It To?",[1]Sheet1!$1:$1,[1]Sheet1!98:98)),_xlfn.XLOOKUP($C98,'Premade Flavors'!$A:$A,'Premade Flavors'!C:C),_xlfn.XLOOKUP("What Ice Cream Base Do You Want To Change It To?",[1]Sheet1!$1:$1,[1]Sheet1!98:98)),_xlfn.XLOOKUP(_xlfn.XLOOKUP("What Kind Of Ice Cream Base Do You Want? ",[1]Sheet1!$1:$1,[1]Sheet1!98:98),'Milk Types Nutrition Per Cup'!$O:$O,'Milk Types Nutrition Per Cup'!$Q:$Q,""))</f>
        <v>0</v>
      </c>
      <c r="F98" s="31">
        <f>IF(COUNTIF('Premade Flavors'!$A:$A, $C98) &gt; 0,_xlfn.XLOOKUP($C98,'Premade Flavors'!$A:$A,'Premade Flavors'!E:E),_xlfn.XLOOKUP("What's The First Flavor You Want? ",[1]Sheet1!$1:$1,[1]Sheet1!98:98))</f>
        <v>0</v>
      </c>
      <c r="G98" s="31">
        <f>IF(COUNTIF('Premade Flavors'!$A:$A, $C98) &gt; 0,_xlfn.XLOOKUP($C98,'Premade Flavors'!$A:$A,'Premade Flavors'!F:F),_xlfn.XLOOKUP("What's the Second Flavor You Want?",[1]Sheet1!$1:$1,[1]Sheet1!98:98))</f>
        <v>0</v>
      </c>
      <c r="H98" s="31">
        <f>IF(COUNTIF('Premade Flavors'!$A:$A, $C98) &gt; 0,_xlfn.XLOOKUP($C98,'Premade Flavors'!$A:$A,'Premade Flavors'!G:G),_xlfn.XLOOKUP("What's The First Mix In That You Want? ",[1]Sheet1!$1:$1,[1]Sheet1!98:98))</f>
        <v>0</v>
      </c>
      <c r="I98" s="31">
        <f>IF(COUNTIF('Premade Flavors'!$A:$A, $C96) &gt; 0,_xlfn.XLOOKUP($C96,'Premade Flavors'!$A:$A,'Premade Flavors'!H:H),IF([2]Sheet1!W96= 0,,[2]Sheet1!W96))</f>
        <v>0</v>
      </c>
      <c r="J98" s="31">
        <f>IF(COUNTIF('Premade Flavors'!$A:$A,$C98)&gt;0,IF(_xlfn.XLOOKUP("Should It Use Sugar or A Non-Sugar Sweetner?",[1]Sheet1!$1:$1,[1]Sheet1!98:98)="Sugar",_xlfn.XLOOKUP($C98,'Premade Flavors'!$A:$A,'Premade Flavors'!I:I),"Stevia"),_xlfn.XLOOKUP("What Sweetner Do You Want?",[1]Sheet1!$1:$1,[1]Sheet1!98:98))</f>
        <v>0</v>
      </c>
      <c r="K98" s="31"/>
      <c r="L98" s="77">
        <f>_xlfn.XLOOKUP("How Much Ice Cream Do You Want?",[1]Sheet1!$1:$1,[1]Sheet1!98:98)</f>
        <v>0</v>
      </c>
      <c r="M98" s="45">
        <f>IF(COUNTIF('Premade Flavors'!$A:$A, $C98) &gt; 0,_xlfn.XLOOKUP($C98,'Premade Flavors'!$A:$A,'Premade Flavors'!M:M),_xlfn.XLOOKUP("How Strong Do You Want The First Flavor?",[1]Sheet1!$1:$1,[1]Sheet1!98:98))</f>
        <v>0</v>
      </c>
      <c r="N98" s="45">
        <f>IF(COUNTIF('Premade Flavors'!$A:$A, $C98) &gt; 0,_xlfn.XLOOKUP($C98,'Premade Flavors'!$A:$A,'Premade Flavors'!N:N),_xlfn.XLOOKUP("How Strong Do You Want The Second Flavor?",[1]Sheet1!$1:$1,[1]Sheet1!98:98))</f>
        <v>0</v>
      </c>
      <c r="O98" s="45">
        <f>IF(COUNTIF('Premade Flavors'!$A:$A, $C98) &gt; 0,_xlfn.XLOOKUP($C98,'Premade Flavors'!$A:$A,'Premade Flavors'!O:O),_xlfn.XLOOKUP("How Dense Should the Mix Ins Be?",[1]Sheet1!$1:$1,[1]Sheet1!98:98))</f>
        <v>0</v>
      </c>
      <c r="P98" s="45">
        <f>IF(COUNTIF('Premade Flavors'!$A:$A, $C98) &gt; 0,_xlfn.XLOOKUP($C98,'Premade Flavors'!$A:$A,'Premade Flavors'!P:P),_xlfn.XLOOKUP("How Much Of The First Sweetner? ",[1]Sheet1!$1:$1,[1]Sheet1!98:98))</f>
        <v>0</v>
      </c>
      <c r="Q98" s="45">
        <f>IF(COUNTIF('Premade Flavors'!$A:$A, $C98) &gt; 0,_xlfn.XLOOKUP($C98,'Premade Flavors'!$A:$A,'Premade Flavors'!Q:Q),[2]Sheet1!S98)</f>
        <v>0</v>
      </c>
      <c r="R98" s="30">
        <f>(_xlfn.XLOOKUP($L98,Specs!A:A,Specs!B:B,0)-(IF(_xlfn.XLOOKUP($F98,'Liquid Mix In Nutrition'!A:A,'Liquid Mix In Nutrition'!J:J,0)="Yes",0,$T98))-(IF(_xlfn.XLOOKUP($G98,'Liquid Mix In Nutrition'!A:A,'Liquid Mix In Nutrition'!J:J,0)="Yes",0,$U98))-(($V98/MAX(1,_xlfn.XLOOKUP($H98,'Solid Mix In Nutrition'!A:A,'Solid Mix In Nutrition'!I:I,1)))*240)-(($W98/MAX(1,_xlfn.XLOOKUP($I98,'Solid Mix In Nutrition'!A:A,'Solid Mix In Nutrition'!I:I,1)))*240))*0.66</f>
        <v>0</v>
      </c>
      <c r="S98" s="30">
        <f>(_xlfn.XLOOKUP($L98,Specs!A:A,Specs!B:B,0)-(IF(_xlfn.XLOOKUP($F98,'Liquid Mix In Nutrition'!A:A,'Liquid Mix In Nutrition'!J:J,0)="Yes",0,$T98))-(IF(_xlfn.XLOOKUP($G98,'Liquid Mix In Nutrition'!A:A,'Liquid Mix In Nutrition'!J:J,0)="Yes",0,$U98))-(($V98/MAX(1,_xlfn.XLOOKUP($H98,'Solid Mix In Nutrition'!A:A,'Solid Mix In Nutrition'!I:I,1)))*240)-(($W98/MAX(1,_xlfn.XLOOKUP($I98,'Solid Mix In Nutrition'!A:A,'Solid Mix In Nutrition'!I:I,1)))*240))*0.33</f>
        <v>0</v>
      </c>
      <c r="T98" s="30">
        <f>_xlfn.XLOOKUP($M98,Specs!$D:$D,Specs!$E:$E,0)*15*_xlfn.XLOOKUP($L98,Specs!$A:$A,Specs!$C:$C,0)</f>
        <v>0</v>
      </c>
      <c r="U98" s="30">
        <f>_xlfn.XLOOKUP($N98,Specs!$D:$D,Specs!$E:$E,0)*15*_xlfn.XLOOKUP($L98,Specs!$A:$A,Specs!$C:$C,0)</f>
        <v>0</v>
      </c>
      <c r="V98" s="30">
        <f>( ((_xlfn.XLOOKUP($O98,Specs!$H:$H,Specs!$I:$I,0)*_xlfn.XLOOKUP($L98,Specs!$A:$A,Specs!$B:$B,0))/240) *_xlfn.XLOOKUP($H98,'Solid Mix In Nutrition'!A:A,'Solid Mix In Nutrition'!I:I,0)) *IF(AND(NOT($I98=0), COUNTA($I98)),0.5,1)</f>
        <v>0</v>
      </c>
      <c r="W98" s="30">
        <f>( ((_xlfn.XLOOKUP($O98,Specs!$H:$H,Specs!$I:$I,0)*_xlfn.XLOOKUP($L98,Specs!$A:$A,Specs!$B:$B,0))/240) *_xlfn.XLOOKUP($I98,'Solid Mix In Nutrition'!A:A,'Solid Mix In Nutrition'!I:I,0)) *IF(AND(NOT($I98=0), COUNTA($I98)),0.5,0)</f>
        <v>0</v>
      </c>
      <c r="X98" s="30">
        <f>_xlfn.XLOOKUP($P98,Specs!F:F,Specs!G:G,0)*_xlfn.XLOOKUP($J98,'Sweetener Mix In Nutrition'!A:A,'Sweetener Mix In Nutrition'!I:I,0)*_xlfn.XLOOKUP($L98,Specs!A:A,Specs!C:C,0)</f>
        <v>0</v>
      </c>
      <c r="Y98" s="30">
        <f>_xlfn.XLOOKUP($Q98,Specs!F:F,Specs!G:G,0)*_xlfn.XLOOKUP($K98,'Sweetener Mix In Nutrition'!A:A,'Sweetener Mix In Nutrition'!I:I,0)*_xlfn.XLOOKUP($L98,Specs!A:A,Specs!C:C,0)</f>
        <v>0</v>
      </c>
      <c r="Z98" s="34">
        <f t="shared" si="2"/>
        <v>0</v>
      </c>
      <c r="AA98" s="35">
        <f t="shared" si="3"/>
        <v>0</v>
      </c>
      <c r="AB98" s="36">
        <f>(($R98 / 240) * _xlfn.XLOOKUP($D98,'Milk Types Nutrition Per Cup'!A:A,'Milk Types Nutrition Per Cup'!B:B,0)) +(($S98 / 240)  * _xlfn.XLOOKUP($E98,'Milk Types Nutrition Per Cup'!A:A,'Milk Types Nutrition Per Cup'!B:B,0)) +(($T98 / 15)  * _xlfn.XLOOKUP($F98,'Liquid Mix In Nutrition'!A:A,'Liquid Mix In Nutrition'!B:B,0))+(($U98 / 15)  * _xlfn.XLOOKUP($G98,'Liquid Mix In Nutrition'!A:A,'Liquid Mix In Nutrition'!B:B,0))+(($V98 /MAX(1, _xlfn.XLOOKUP($H98,'Solid Mix In Nutrition'!A:A,'Solid Mix In Nutrition'!I:I,1)))  * _xlfn.XLOOKUP($H98,'Solid Mix In Nutrition'!A:A,'Solid Mix In Nutrition'!B:B,0))+(($W98 / MAX(1, _xlfn.XLOOKUP($I98,'Solid Mix In Nutrition'!A:A,'Solid Mix In Nutrition'!I:I,1))))+(($X98 / 100)  * _xlfn.XLOOKUP($J98,'Sweetener Mix In Nutrition'!A:A,'Sweetener Mix In Nutrition'!B:B,0))+(($Y98 / 100)  * _xlfn.XLOOKUP($K98,'Sweetener Mix In Nutrition'!A:A,'Sweetener Mix In Nutrition'!B:B,0))</f>
        <v>0</v>
      </c>
      <c r="AC98" s="36">
        <f>(($R98 / 240) * _xlfn.XLOOKUP($D98,'Milk Types Nutrition Per Cup'!A:A,'Milk Types Nutrition Per Cup'!E:E,0)) +(($S98 / 240)  * _xlfn.XLOOKUP($E98,'Milk Types Nutrition Per Cup'!A:A,'Milk Types Nutrition Per Cup'!E:E,0)) +(($T98 / 15)  * _xlfn.XLOOKUP($F98,'Liquid Mix In Nutrition'!A:A,'Liquid Mix In Nutrition'!E:E,0)) +(($U98 / 15)  * _xlfn.XLOOKUP($G98,'Liquid Mix In Nutrition'!A:A,'Liquid Mix In Nutrition'!E:E,0))+(($V98 / MAX(1, _xlfn.XLOOKUP($H98,'Solid Mix In Nutrition'!A:A,'Solid Mix In Nutrition'!I:I,1)))  * _xlfn.XLOOKUP($H98,'Solid Mix In Nutrition'!A:A,'Solid Mix In Nutrition'!E:E,0))+(($W98 / MAX(1, _xlfn.XLOOKUP($I98,'Solid Mix In Nutrition'!A:A,'Solid Mix In Nutrition'!I:I,1)))  * _xlfn.XLOOKUP($I98,'Solid Mix In Nutrition'!A:A,'Solid Mix In Nutrition'!G:G,0))+(($X98 / 100)  * _xlfn.XLOOKUP($J98,'Sweetener Mix In Nutrition'!A:A,'Sweetener Mix In Nutrition'!E:E,0))+(($Y98 / 100)  * _xlfn.XLOOKUP($K98,'Sweetener Mix In Nutrition'!A:A,'Sweetener Mix In Nutrition'!E:E,0))</f>
        <v>0</v>
      </c>
      <c r="AD98" s="36">
        <f>(($R98 / 240) * _xlfn.XLOOKUP($D98,'Milk Types Nutrition Per Cup'!A:A,'Milk Types Nutrition Per Cup'!E:E,0)) +(($S98 / 240)  * _xlfn.XLOOKUP($E98,'Milk Types Nutrition Per Cup'!A:A,'Milk Types Nutrition Per Cup'!E:E,0)) +(($T98 / 15)  * _xlfn.XLOOKUP($F98,'Liquid Mix In Nutrition'!A:A,'Liquid Mix In Nutrition'!E:E,0)) +(($U98 / 15)  * _xlfn.XLOOKUP($G98,'Liquid Mix In Nutrition'!A:A,'Liquid Mix In Nutrition'!E:E,0))+(($X98 / 100)  * _xlfn.XLOOKUP($J98,'Sweetener Mix In Nutrition'!A:A,'Sweetener Mix In Nutrition'!E:E,0))+(($Y98 / 100)  * _xlfn.XLOOKUP($K98,'Sweetener Mix In Nutrition'!A:A,'Sweetener Mix In Nutrition'!E:E,0))</f>
        <v>0</v>
      </c>
      <c r="AE98" s="37">
        <f>(($R98 / 240) * _xlfn.XLOOKUP($D98,'Milk Types Nutrition Per Cup'!A:A,'Milk Types Nutrition Per Cup'!C:C,0)) +(($S98 / 240)  * _xlfn.XLOOKUP($E98,'Milk Types Nutrition Per Cup'!A:A,'Milk Types Nutrition Per Cup'!C:C,0)) +(($T98 / 15)  * _xlfn.XLOOKUP($F98,'Liquid Mix In Nutrition'!A:A,'Liquid Mix In Nutrition'!C:C,0))+(($U98 / 15)  * _xlfn.XLOOKUP($G98,'Liquid Mix In Nutrition'!A:A,'Liquid Mix In Nutrition'!C:C,0))+(($V98 / MAX(1, _xlfn.XLOOKUP($H98,'Solid Mix In Nutrition'!A:A,'Solid Mix In Nutrition'!I:I,1)))  * _xlfn.XLOOKUP($H98,'Solid Mix In Nutrition'!A:A,'Solid Mix In Nutrition'!C:C,0))+(($W98 / MAX(1, _xlfn.XLOOKUP($I98,'Solid Mix In Nutrition'!A:A,'Solid Mix In Nutrition'!I:I,1)))  * _xlfn.XLOOKUP($I98,'Solid Mix In Nutrition'!A:A,'Solid Mix In Nutrition'!C:C,0))+(($X98 / 100)  * _xlfn.XLOOKUP($J98,'Sweetener Mix In Nutrition'!A:A,'Sweetener Mix In Nutrition'!C:C,0))+(($Y98 / 100)  * _xlfn.XLOOKUP($K98,'Sweetener Mix In Nutrition'!A:A,'Sweetener Mix In Nutrition'!C:C,0))</f>
        <v>0</v>
      </c>
      <c r="AF98" s="38" t="e">
        <f>$AE98 / (_xlfn.XLOOKUP($L98,Specs!A:A,Specs!B:B,0))</f>
        <v>#DIV/0!</v>
      </c>
      <c r="AG98" s="37" t="e">
        <f>60* ($AB98 / _xlfn.XLOOKUP($L98,Specs!A:A,Specs!B:B,0))</f>
        <v>#DIV/0!</v>
      </c>
      <c r="AH98" s="37" t="e">
        <f>60* (AC98 / _xlfn.XLOOKUP($L98,Specs!$A:$A,Specs!$B:$B,0))</f>
        <v>#DIV/0!</v>
      </c>
      <c r="AI98" s="37" t="e">
        <f>60* (AE98 / _xlfn.XLOOKUP($L98,Specs!$A:$A,Specs!$B:$B,0))</f>
        <v>#DIV/0!</v>
      </c>
      <c r="AJ98" s="39">
        <f>(($R98 / 240) * _xlfn.XLOOKUP($D98,'Milk Types Nutrition Per Cup'!A:A,'Milk Types Nutrition Per Cup'!F:F,0)) +(($S98 / 240)  * _xlfn.XLOOKUP($E98,'Milk Types Nutrition Per Cup'!A:A,'Milk Types Nutrition Per Cup'!F:F,0)) +(($T98 / 15)  * _xlfn.XLOOKUP($F98,'Liquid Mix In Nutrition'!A:A,'Liquid Mix In Nutrition'!F:F,0))+(($U98 / 15)  * _xlfn.XLOOKUP($G98,'Liquid Mix In Nutrition'!A:A,'Liquid Mix In Nutrition'!F:F,0))+(($V98 / MAX(1, _xlfn.XLOOKUP($H98,'Solid Mix In Nutrition'!A:A,'Solid Mix In Nutrition'!I:I,1)))  * _xlfn.XLOOKUP($H98,'Solid Mix In Nutrition'!A:A,'Solid Mix In Nutrition'!F:F,0))+(($W98 / MAX(1, _xlfn.XLOOKUP($I98,'Solid Mix In Nutrition'!A:A,'Solid Mix In Nutrition'!I:I,1)))  * _xlfn.XLOOKUP($I98,'Solid Mix In Nutrition'!A:A,'Solid Mix In Nutrition'!F:F,0))+(($X98 / 100)  * _xlfn.XLOOKUP($J98,'Sweetener Mix In Nutrition'!A:A,'Sweetener Mix In Nutrition'!F:F,0))+(($Y98 / 100)  * _xlfn.XLOOKUP($K98,'Sweetener Mix In Nutrition'!A:A,'Sweetener Mix In Nutrition'!F:F,0))</f>
        <v>0</v>
      </c>
      <c r="AK98" s="46">
        <f>[2]Sheet1!AG98</f>
        <v>0</v>
      </c>
      <c r="AL98" s="47"/>
      <c r="AM98" s="40">
        <f>IF(ISERROR(((AL98/Specs!$L$3)*Specs!$L$2)*2),0,ROUNDUP((((AL98/Specs!$L$3)*Specs!$L$2)*2),0))</f>
        <v>0</v>
      </c>
      <c r="AN98" s="48">
        <f>ROUNDUP(((AJ98+Specs!$R$2+Specs!$S$2+_xlfn.XLOOKUP($L98,Specs!A:A,Specs!V:V,0))*Specs!$N$2)+AM98,0)</f>
        <v>1</v>
      </c>
      <c r="AO98" s="40">
        <f>ROUNDUP(((AJ98+Specs!$R$2+Specs!$S$2+_xlfn.XLOOKUP($L98,Specs!A:A,Specs!V:V,0))*Specs!$N$2),0)</f>
        <v>1</v>
      </c>
      <c r="AP98" s="30"/>
    </row>
    <row r="99" spans="1:42" x14ac:dyDescent="0.25">
      <c r="A99" s="41" t="str">
        <f>_xlfn.CONCAT(_xlfn.XLOOKUP("What's Your Name?",[1]Sheet1!$1:$1,[1]Sheet1!99:99)," | ",TEXT(_xlfn.XLOOKUP("Completion time",[1]Sheet1!$1:$1,[1]Sheet1!99:99),"dddd, mmm dd, yyyy hh:mm AM/PM"))</f>
        <v xml:space="preserve"> | Saturday, Jan 00, 1900 12:00 AM</v>
      </c>
      <c r="B99" s="76">
        <f>_xlfn.XLOOKUP("What's Your Email Address?",[1]Sheet1!$1:$1,[1]Sheet1!99:99)</f>
        <v>0</v>
      </c>
      <c r="C99" s="31">
        <f>IF(ISBLANK(_xlfn.XLOOKUP("Which Flavor? (Pint Price | Quart Price | Half Gallon Price) (NOTE: Prices may fluctuate based on market conditions)",[1]Sheet1!$1:$1,[1]Sheet1!99:99)),_xlfn.XLOOKUP("Name Your Ice Cream!",[1]Sheet1!$1:$1,[1]Sheet1!99:99),IF(ISNUMBER(FIND("(", _xlfn.XLOOKUP("Which Flavor? (Pint Price | Quart Price | Half Gallon Price) (NOTE: Prices may fluctuate based on market conditions)",[1]Sheet1!$1:$1,[1]Sheet1!99:99))), LEFT(_xlfn.XLOOKUP("Which Flavor? (Pint Price | Quart Price | Half Gallon Price) (NOTE: Prices may fluctuate based on market conditions)",[1]Sheet1!$1:$1,[1]Sheet1!99:99), FIND("(", _xlfn.XLOOKUP("Which Flavor? (Pint Price | Quart Price | Half Gallon Price) (NOTE: Prices may fluctuate based on market conditions)",[1]Sheet1!$1:$1,[1]Sheet1!99:99)) - 1), _xlfn.XLOOKUP("Which Flavor? (Pint Price | Quart Price | Half Gallon Price) (NOTE: Prices may fluctuate based on market conditions)",[1]Sheet1!$1:$1,[1]Sheet1!99:99)))</f>
        <v>0</v>
      </c>
      <c r="D99" s="31">
        <f>IF(COUNTIF('Premade Flavors'!$A:$A, $C99) &gt; 0,IF(ISBLANK(_xlfn.XLOOKUP("What Ice Cream Base Do You Want To Change It To?",[1]Sheet1!$1:$1,[1]Sheet1!99:99)),_xlfn.XLOOKUP($C99,'Premade Flavors'!$A:$A,'Premade Flavors'!B:B),_xlfn.XLOOKUP("What Ice Cream Base Do You Want To Change It To?",[1]Sheet1!$1:$1,[1]Sheet1!99:99)),_xlfn.XLOOKUP(_xlfn.XLOOKUP("What Kind Of Ice Cream Base Do You Want? ",[1]Sheet1!$1:$1,[1]Sheet1!99:99),'Milk Types Nutrition Per Cup'!O:O,'Milk Types Nutrition Per Cup'!P:P,""))</f>
        <v>0</v>
      </c>
      <c r="E99" s="31">
        <f>IF(COUNTIF('Premade Flavors'!$A:$A, $C99) &gt; 0,IF(ISBLANK(_xlfn.XLOOKUP("What Ice Cream Base Do You Want To Change It To?",[1]Sheet1!$1:$1,[1]Sheet1!99:99)),_xlfn.XLOOKUP($C99,'Premade Flavors'!$A:$A,'Premade Flavors'!C:C),_xlfn.XLOOKUP("What Ice Cream Base Do You Want To Change It To?",[1]Sheet1!$1:$1,[1]Sheet1!99:99)),_xlfn.XLOOKUP(_xlfn.XLOOKUP("What Kind Of Ice Cream Base Do You Want? ",[1]Sheet1!$1:$1,[1]Sheet1!99:99),'Milk Types Nutrition Per Cup'!$O:$O,'Milk Types Nutrition Per Cup'!$Q:$Q,""))</f>
        <v>0</v>
      </c>
      <c r="F99" s="31">
        <f>IF(COUNTIF('Premade Flavors'!$A:$A, $C99) &gt; 0,_xlfn.XLOOKUP($C99,'Premade Flavors'!$A:$A,'Premade Flavors'!E:E),_xlfn.XLOOKUP("What's The First Flavor You Want? ",[1]Sheet1!$1:$1,[1]Sheet1!99:99))</f>
        <v>0</v>
      </c>
      <c r="G99" s="31">
        <f>IF(COUNTIF('Premade Flavors'!$A:$A, $C99) &gt; 0,_xlfn.XLOOKUP($C99,'Premade Flavors'!$A:$A,'Premade Flavors'!F:F),_xlfn.XLOOKUP("What's the Second Flavor You Want?",[1]Sheet1!$1:$1,[1]Sheet1!99:99))</f>
        <v>0</v>
      </c>
      <c r="H99" s="31">
        <f>IF(COUNTIF('Premade Flavors'!$A:$A, $C99) &gt; 0,_xlfn.XLOOKUP($C99,'Premade Flavors'!$A:$A,'Premade Flavors'!G:G),_xlfn.XLOOKUP("What's The First Mix In That You Want? ",[1]Sheet1!$1:$1,[1]Sheet1!99:99))</f>
        <v>0</v>
      </c>
      <c r="I99" s="31">
        <f>IF(COUNTIF('Premade Flavors'!$A:$A, $C97) &gt; 0,_xlfn.XLOOKUP($C97,'Premade Flavors'!$A:$A,'Premade Flavors'!H:H),IF([2]Sheet1!W97= 0,,[2]Sheet1!W97))</f>
        <v>0</v>
      </c>
      <c r="J99" s="31">
        <f>IF(COUNTIF('Premade Flavors'!$A:$A,$C99)&gt;0,IF(_xlfn.XLOOKUP("Should It Use Sugar or A Non-Sugar Sweetner?",[1]Sheet1!$1:$1,[1]Sheet1!99:99)="Sugar",_xlfn.XLOOKUP($C99,'Premade Flavors'!$A:$A,'Premade Flavors'!I:I),"Stevia"),_xlfn.XLOOKUP("What Sweetner Do You Want?",[1]Sheet1!$1:$1,[1]Sheet1!99:99))</f>
        <v>0</v>
      </c>
      <c r="K99" s="31"/>
      <c r="L99" s="77">
        <f>_xlfn.XLOOKUP("How Much Ice Cream Do You Want?",[1]Sheet1!$1:$1,[1]Sheet1!99:99)</f>
        <v>0</v>
      </c>
      <c r="M99" s="45">
        <f>IF(COUNTIF('Premade Flavors'!$A:$A, $C99) &gt; 0,_xlfn.XLOOKUP($C99,'Premade Flavors'!$A:$A,'Premade Flavors'!M:M),_xlfn.XLOOKUP("How Strong Do You Want The First Flavor?",[1]Sheet1!$1:$1,[1]Sheet1!99:99))</f>
        <v>0</v>
      </c>
      <c r="N99" s="45">
        <f>IF(COUNTIF('Premade Flavors'!$A:$A, $C99) &gt; 0,_xlfn.XLOOKUP($C99,'Premade Flavors'!$A:$A,'Premade Flavors'!N:N),_xlfn.XLOOKUP("How Strong Do You Want The Second Flavor?",[1]Sheet1!$1:$1,[1]Sheet1!99:99))</f>
        <v>0</v>
      </c>
      <c r="O99" s="45">
        <f>IF(COUNTIF('Premade Flavors'!$A:$A, $C99) &gt; 0,_xlfn.XLOOKUP($C99,'Premade Flavors'!$A:$A,'Premade Flavors'!O:O),_xlfn.XLOOKUP("How Dense Should the Mix Ins Be?",[1]Sheet1!$1:$1,[1]Sheet1!99:99))</f>
        <v>0</v>
      </c>
      <c r="P99" s="45">
        <f>IF(COUNTIF('Premade Flavors'!$A:$A, $C99) &gt; 0,_xlfn.XLOOKUP($C99,'Premade Flavors'!$A:$A,'Premade Flavors'!P:P),_xlfn.XLOOKUP("How Much Of The First Sweetner? ",[1]Sheet1!$1:$1,[1]Sheet1!99:99))</f>
        <v>0</v>
      </c>
      <c r="Q99" s="45">
        <f>IF(COUNTIF('Premade Flavors'!$A:$A, $C99) &gt; 0,_xlfn.XLOOKUP($C99,'Premade Flavors'!$A:$A,'Premade Flavors'!Q:Q),[2]Sheet1!S99)</f>
        <v>0</v>
      </c>
      <c r="R99" s="30">
        <f>(_xlfn.XLOOKUP($L99,Specs!A:A,Specs!B:B,0)-(IF(_xlfn.XLOOKUP($F99,'Liquid Mix In Nutrition'!A:A,'Liquid Mix In Nutrition'!J:J,0)="Yes",0,$T99))-(IF(_xlfn.XLOOKUP($G99,'Liquid Mix In Nutrition'!A:A,'Liquid Mix In Nutrition'!J:J,0)="Yes",0,$U99))-(($V99/MAX(1,_xlfn.XLOOKUP($H99,'Solid Mix In Nutrition'!A:A,'Solid Mix In Nutrition'!I:I,1)))*240)-(($W99/MAX(1,_xlfn.XLOOKUP($I99,'Solid Mix In Nutrition'!A:A,'Solid Mix In Nutrition'!I:I,1)))*240))*0.66</f>
        <v>0</v>
      </c>
      <c r="S99" s="30">
        <f>(_xlfn.XLOOKUP($L99,Specs!A:A,Specs!B:B,0)-(IF(_xlfn.XLOOKUP($F99,'Liquid Mix In Nutrition'!A:A,'Liquid Mix In Nutrition'!J:J,0)="Yes",0,$T99))-(IF(_xlfn.XLOOKUP($G99,'Liquid Mix In Nutrition'!A:A,'Liquid Mix In Nutrition'!J:J,0)="Yes",0,$U99))-(($V99/MAX(1,_xlfn.XLOOKUP($H99,'Solid Mix In Nutrition'!A:A,'Solid Mix In Nutrition'!I:I,1)))*240)-(($W99/MAX(1,_xlfn.XLOOKUP($I99,'Solid Mix In Nutrition'!A:A,'Solid Mix In Nutrition'!I:I,1)))*240))*0.33</f>
        <v>0</v>
      </c>
      <c r="T99" s="30">
        <f>_xlfn.XLOOKUP($M99,Specs!$D:$D,Specs!$E:$E,0)*15*_xlfn.XLOOKUP($L99,Specs!$A:$A,Specs!$C:$C,0)</f>
        <v>0</v>
      </c>
      <c r="U99" s="30">
        <f>_xlfn.XLOOKUP($N99,Specs!$D:$D,Specs!$E:$E,0)*15*_xlfn.XLOOKUP($L99,Specs!$A:$A,Specs!$C:$C,0)</f>
        <v>0</v>
      </c>
      <c r="V99" s="30">
        <f>( ((_xlfn.XLOOKUP($O99,Specs!$H:$H,Specs!$I:$I,0)*_xlfn.XLOOKUP($L99,Specs!$A:$A,Specs!$B:$B,0))/240) *_xlfn.XLOOKUP($H99,'Solid Mix In Nutrition'!A:A,'Solid Mix In Nutrition'!I:I,0)) *IF(AND(NOT($I99=0), COUNTA($I99)),0.5,1)</f>
        <v>0</v>
      </c>
      <c r="W99" s="30">
        <f>( ((_xlfn.XLOOKUP($O99,Specs!$H:$H,Specs!$I:$I,0)*_xlfn.XLOOKUP($L99,Specs!$A:$A,Specs!$B:$B,0))/240) *_xlfn.XLOOKUP($I99,'Solid Mix In Nutrition'!A:A,'Solid Mix In Nutrition'!I:I,0)) *IF(AND(NOT($I99=0), COUNTA($I99)),0.5,0)</f>
        <v>0</v>
      </c>
      <c r="X99" s="30">
        <f>_xlfn.XLOOKUP($P99,Specs!F:F,Specs!G:G,0)*_xlfn.XLOOKUP($J99,'Sweetener Mix In Nutrition'!A:A,'Sweetener Mix In Nutrition'!I:I,0)*_xlfn.XLOOKUP($L99,Specs!A:A,Specs!C:C,0)</f>
        <v>0</v>
      </c>
      <c r="Y99" s="30">
        <f>_xlfn.XLOOKUP($Q99,Specs!F:F,Specs!G:G,0)*_xlfn.XLOOKUP($K99,'Sweetener Mix In Nutrition'!A:A,'Sweetener Mix In Nutrition'!I:I,0)*_xlfn.XLOOKUP($L99,Specs!A:A,Specs!C:C,0)</f>
        <v>0</v>
      </c>
      <c r="Z99" s="34">
        <f t="shared" si="2"/>
        <v>0</v>
      </c>
      <c r="AA99" s="35">
        <f t="shared" si="3"/>
        <v>0</v>
      </c>
      <c r="AB99" s="36">
        <f>(($R99 / 240) * _xlfn.XLOOKUP($D99,'Milk Types Nutrition Per Cup'!A:A,'Milk Types Nutrition Per Cup'!B:B,0)) +(($S99 / 240)  * _xlfn.XLOOKUP($E99,'Milk Types Nutrition Per Cup'!A:A,'Milk Types Nutrition Per Cup'!B:B,0)) +(($T99 / 15)  * _xlfn.XLOOKUP($F99,'Liquid Mix In Nutrition'!A:A,'Liquid Mix In Nutrition'!B:B,0))+(($U99 / 15)  * _xlfn.XLOOKUP($G99,'Liquid Mix In Nutrition'!A:A,'Liquid Mix In Nutrition'!B:B,0))+(($V99 /MAX(1, _xlfn.XLOOKUP($H99,'Solid Mix In Nutrition'!A:A,'Solid Mix In Nutrition'!I:I,1)))  * _xlfn.XLOOKUP($H99,'Solid Mix In Nutrition'!A:A,'Solid Mix In Nutrition'!B:B,0))+(($W99 / MAX(1, _xlfn.XLOOKUP($I99,'Solid Mix In Nutrition'!A:A,'Solid Mix In Nutrition'!I:I,1))))+(($X99 / 100)  * _xlfn.XLOOKUP($J99,'Sweetener Mix In Nutrition'!A:A,'Sweetener Mix In Nutrition'!B:B,0))+(($Y99 / 100)  * _xlfn.XLOOKUP($K99,'Sweetener Mix In Nutrition'!A:A,'Sweetener Mix In Nutrition'!B:B,0))</f>
        <v>0</v>
      </c>
      <c r="AC99" s="36">
        <f>(($R99 / 240) * _xlfn.XLOOKUP($D99,'Milk Types Nutrition Per Cup'!A:A,'Milk Types Nutrition Per Cup'!E:E,0)) +(($S99 / 240)  * _xlfn.XLOOKUP($E99,'Milk Types Nutrition Per Cup'!A:A,'Milk Types Nutrition Per Cup'!E:E,0)) +(($T99 / 15)  * _xlfn.XLOOKUP($F99,'Liquid Mix In Nutrition'!A:A,'Liquid Mix In Nutrition'!E:E,0)) +(($U99 / 15)  * _xlfn.XLOOKUP($G99,'Liquid Mix In Nutrition'!A:A,'Liquid Mix In Nutrition'!E:E,0))+(($V99 / MAX(1, _xlfn.XLOOKUP($H99,'Solid Mix In Nutrition'!A:A,'Solid Mix In Nutrition'!I:I,1)))  * _xlfn.XLOOKUP($H99,'Solid Mix In Nutrition'!A:A,'Solid Mix In Nutrition'!E:E,0))+(($W99 / MAX(1, _xlfn.XLOOKUP($I99,'Solid Mix In Nutrition'!A:A,'Solid Mix In Nutrition'!I:I,1)))  * _xlfn.XLOOKUP($I99,'Solid Mix In Nutrition'!A:A,'Solid Mix In Nutrition'!G:G,0))+(($X99 / 100)  * _xlfn.XLOOKUP($J99,'Sweetener Mix In Nutrition'!A:A,'Sweetener Mix In Nutrition'!E:E,0))+(($Y99 / 100)  * _xlfn.XLOOKUP($K99,'Sweetener Mix In Nutrition'!A:A,'Sweetener Mix In Nutrition'!E:E,0))</f>
        <v>0</v>
      </c>
      <c r="AD99" s="36">
        <f>(($R99 / 240) * _xlfn.XLOOKUP($D99,'Milk Types Nutrition Per Cup'!A:A,'Milk Types Nutrition Per Cup'!E:E,0)) +(($S99 / 240)  * _xlfn.XLOOKUP($E99,'Milk Types Nutrition Per Cup'!A:A,'Milk Types Nutrition Per Cup'!E:E,0)) +(($T99 / 15)  * _xlfn.XLOOKUP($F99,'Liquid Mix In Nutrition'!A:A,'Liquid Mix In Nutrition'!E:E,0)) +(($U99 / 15)  * _xlfn.XLOOKUP($G99,'Liquid Mix In Nutrition'!A:A,'Liquid Mix In Nutrition'!E:E,0))+(($X99 / 100)  * _xlfn.XLOOKUP($J99,'Sweetener Mix In Nutrition'!A:A,'Sweetener Mix In Nutrition'!E:E,0))+(($Y99 / 100)  * _xlfn.XLOOKUP($K99,'Sweetener Mix In Nutrition'!A:A,'Sweetener Mix In Nutrition'!E:E,0))</f>
        <v>0</v>
      </c>
      <c r="AE99" s="37">
        <f>(($R99 / 240) * _xlfn.XLOOKUP($D99,'Milk Types Nutrition Per Cup'!A:A,'Milk Types Nutrition Per Cup'!C:C,0)) +(($S99 / 240)  * _xlfn.XLOOKUP($E99,'Milk Types Nutrition Per Cup'!A:A,'Milk Types Nutrition Per Cup'!C:C,0)) +(($T99 / 15)  * _xlfn.XLOOKUP($F99,'Liquid Mix In Nutrition'!A:A,'Liquid Mix In Nutrition'!C:C,0))+(($U99 / 15)  * _xlfn.XLOOKUP($G99,'Liquid Mix In Nutrition'!A:A,'Liquid Mix In Nutrition'!C:C,0))+(($V99 / MAX(1, _xlfn.XLOOKUP($H99,'Solid Mix In Nutrition'!A:A,'Solid Mix In Nutrition'!I:I,1)))  * _xlfn.XLOOKUP($H99,'Solid Mix In Nutrition'!A:A,'Solid Mix In Nutrition'!C:C,0))+(($W99 / MAX(1, _xlfn.XLOOKUP($I99,'Solid Mix In Nutrition'!A:A,'Solid Mix In Nutrition'!I:I,1)))  * _xlfn.XLOOKUP($I99,'Solid Mix In Nutrition'!A:A,'Solid Mix In Nutrition'!C:C,0))+(($X99 / 100)  * _xlfn.XLOOKUP($J99,'Sweetener Mix In Nutrition'!A:A,'Sweetener Mix In Nutrition'!C:C,0))+(($Y99 / 100)  * _xlfn.XLOOKUP($K99,'Sweetener Mix In Nutrition'!A:A,'Sweetener Mix In Nutrition'!C:C,0))</f>
        <v>0</v>
      </c>
      <c r="AF99" s="38" t="e">
        <f>$AE99 / (_xlfn.XLOOKUP($L99,Specs!A:A,Specs!B:B,0))</f>
        <v>#DIV/0!</v>
      </c>
      <c r="AG99" s="37" t="e">
        <f>60* ($AB99 / _xlfn.XLOOKUP($L99,Specs!A:A,Specs!B:B,0))</f>
        <v>#DIV/0!</v>
      </c>
      <c r="AH99" s="37" t="e">
        <f>60* (AC99 / _xlfn.XLOOKUP($L99,Specs!$A:$A,Specs!$B:$B,0))</f>
        <v>#DIV/0!</v>
      </c>
      <c r="AI99" s="37" t="e">
        <f>60* (AE99 / _xlfn.XLOOKUP($L99,Specs!$A:$A,Specs!$B:$B,0))</f>
        <v>#DIV/0!</v>
      </c>
      <c r="AJ99" s="39">
        <f>(($R99 / 240) * _xlfn.XLOOKUP($D99,'Milk Types Nutrition Per Cup'!A:A,'Milk Types Nutrition Per Cup'!F:F,0)) +(($S99 / 240)  * _xlfn.XLOOKUP($E99,'Milk Types Nutrition Per Cup'!A:A,'Milk Types Nutrition Per Cup'!F:F,0)) +(($T99 / 15)  * _xlfn.XLOOKUP($F99,'Liquid Mix In Nutrition'!A:A,'Liquid Mix In Nutrition'!F:F,0))+(($U99 / 15)  * _xlfn.XLOOKUP($G99,'Liquid Mix In Nutrition'!A:A,'Liquid Mix In Nutrition'!F:F,0))+(($V99 / MAX(1, _xlfn.XLOOKUP($H99,'Solid Mix In Nutrition'!A:A,'Solid Mix In Nutrition'!I:I,1)))  * _xlfn.XLOOKUP($H99,'Solid Mix In Nutrition'!A:A,'Solid Mix In Nutrition'!F:F,0))+(($W99 / MAX(1, _xlfn.XLOOKUP($I99,'Solid Mix In Nutrition'!A:A,'Solid Mix In Nutrition'!I:I,1)))  * _xlfn.XLOOKUP($I99,'Solid Mix In Nutrition'!A:A,'Solid Mix In Nutrition'!F:F,0))+(($X99 / 100)  * _xlfn.XLOOKUP($J99,'Sweetener Mix In Nutrition'!A:A,'Sweetener Mix In Nutrition'!F:F,0))+(($Y99 / 100)  * _xlfn.XLOOKUP($K99,'Sweetener Mix In Nutrition'!A:A,'Sweetener Mix In Nutrition'!F:F,0))</f>
        <v>0</v>
      </c>
      <c r="AK99" s="46">
        <f>[2]Sheet1!AG99</f>
        <v>0</v>
      </c>
      <c r="AL99" s="47"/>
      <c r="AM99" s="40">
        <f>IF(ISERROR(((AL99/Specs!$L$3)*Specs!$L$2)*2),0,ROUNDUP((((AL99/Specs!$L$3)*Specs!$L$2)*2),0))</f>
        <v>0</v>
      </c>
      <c r="AN99" s="48">
        <f>ROUNDUP(((AJ99+Specs!$R$2+Specs!$S$2+_xlfn.XLOOKUP($L99,Specs!A:A,Specs!V:V,0))*Specs!$N$2)+AM99,0)</f>
        <v>1</v>
      </c>
      <c r="AO99" s="40">
        <f>ROUNDUP(((AJ99+Specs!$R$2+Specs!$S$2+_xlfn.XLOOKUP($L99,Specs!A:A,Specs!V:V,0))*Specs!$N$2),0)</f>
        <v>1</v>
      </c>
      <c r="AP99" s="30"/>
    </row>
    <row r="100" spans="1:42" x14ac:dyDescent="0.25">
      <c r="A100" s="41" t="str">
        <f>_xlfn.CONCAT(_xlfn.XLOOKUP("What's Your Name?",[1]Sheet1!$1:$1,[1]Sheet1!100:100)," | ",TEXT(_xlfn.XLOOKUP("Completion time",[1]Sheet1!$1:$1,[1]Sheet1!100:100),"dddd, mmm dd, yyyy hh:mm AM/PM"))</f>
        <v xml:space="preserve"> | Saturday, Jan 00, 1900 12:00 AM</v>
      </c>
      <c r="B100" s="76">
        <f>_xlfn.XLOOKUP("What's Your Email Address?",[1]Sheet1!$1:$1,[1]Sheet1!100:100)</f>
        <v>0</v>
      </c>
      <c r="C100" s="31">
        <f>IF(ISBLANK(_xlfn.XLOOKUP("Which Flavor? (Pint Price | Quart Price | Half Gallon Price) (NOTE: Prices may fluctuate based on market conditions)",[1]Sheet1!$1:$1,[1]Sheet1!100:100)),_xlfn.XLOOKUP("Name Your Ice Cream!",[1]Sheet1!$1:$1,[1]Sheet1!100:100),IF(ISNUMBER(FIND("(", _xlfn.XLOOKUP("Which Flavor? (Pint Price | Quart Price | Half Gallon Price) (NOTE: Prices may fluctuate based on market conditions)",[1]Sheet1!$1:$1,[1]Sheet1!100:100))), LEFT(_xlfn.XLOOKUP("Which Flavor? (Pint Price | Quart Price | Half Gallon Price) (NOTE: Prices may fluctuate based on market conditions)",[1]Sheet1!$1:$1,[1]Sheet1!100:100), FIND("(", _xlfn.XLOOKUP("Which Flavor? (Pint Price | Quart Price | Half Gallon Price) (NOTE: Prices may fluctuate based on market conditions)",[1]Sheet1!$1:$1,[1]Sheet1!100:100)) - 1), _xlfn.XLOOKUP("Which Flavor? (Pint Price | Quart Price | Half Gallon Price) (NOTE: Prices may fluctuate based on market conditions)",[1]Sheet1!$1:$1,[1]Sheet1!100:100)))</f>
        <v>0</v>
      </c>
      <c r="D100" s="31">
        <f>IF(COUNTIF('Premade Flavors'!$A:$A, $C100) &gt; 0,IF(ISBLANK(_xlfn.XLOOKUP("What Ice Cream Base Do You Want To Change It To?",[1]Sheet1!$1:$1,[1]Sheet1!100:100)),_xlfn.XLOOKUP($C100,'Premade Flavors'!$A:$A,'Premade Flavors'!B:B),_xlfn.XLOOKUP("What Ice Cream Base Do You Want To Change It To?",[1]Sheet1!$1:$1,[1]Sheet1!100:100)),_xlfn.XLOOKUP(_xlfn.XLOOKUP("What Kind Of Ice Cream Base Do You Want? ",[1]Sheet1!$1:$1,[1]Sheet1!100:100),'Milk Types Nutrition Per Cup'!O:O,'Milk Types Nutrition Per Cup'!P:P,""))</f>
        <v>0</v>
      </c>
      <c r="E100" s="31">
        <f>IF(COUNTIF('Premade Flavors'!$A:$A, $C100) &gt; 0,IF(ISBLANK(_xlfn.XLOOKUP("What Ice Cream Base Do You Want To Change It To?",[1]Sheet1!$1:$1,[1]Sheet1!100:100)),_xlfn.XLOOKUP($C100,'Premade Flavors'!$A:$A,'Premade Flavors'!C:C),_xlfn.XLOOKUP("What Ice Cream Base Do You Want To Change It To?",[1]Sheet1!$1:$1,[1]Sheet1!100:100)),_xlfn.XLOOKUP(_xlfn.XLOOKUP("What Kind Of Ice Cream Base Do You Want? ",[1]Sheet1!$1:$1,[1]Sheet1!100:100),'Milk Types Nutrition Per Cup'!$O:$O,'Milk Types Nutrition Per Cup'!$Q:$Q,""))</f>
        <v>0</v>
      </c>
      <c r="F100" s="31">
        <f>IF(COUNTIF('Premade Flavors'!$A:$A, $C100) &gt; 0,_xlfn.XLOOKUP($C100,'Premade Flavors'!$A:$A,'Premade Flavors'!E:E),_xlfn.XLOOKUP("What's The First Flavor You Want? ",[1]Sheet1!$1:$1,[1]Sheet1!100:100))</f>
        <v>0</v>
      </c>
      <c r="G100" s="31">
        <f>IF(COUNTIF('Premade Flavors'!$A:$A, $C100) &gt; 0,_xlfn.XLOOKUP($C100,'Premade Flavors'!$A:$A,'Premade Flavors'!F:F),_xlfn.XLOOKUP("What's the Second Flavor You Want?",[1]Sheet1!$1:$1,[1]Sheet1!100:100))</f>
        <v>0</v>
      </c>
      <c r="H100" s="31">
        <f>IF(COUNTIF('Premade Flavors'!$A:$A, $C100) &gt; 0,_xlfn.XLOOKUP($C100,'Premade Flavors'!$A:$A,'Premade Flavors'!G:G),_xlfn.XLOOKUP("What's The First Mix In That You Want? ",[1]Sheet1!$1:$1,[1]Sheet1!100:100))</f>
        <v>0</v>
      </c>
      <c r="I100" s="31">
        <f>IF(COUNTIF('Premade Flavors'!$A:$A, $C98) &gt; 0,_xlfn.XLOOKUP($C98,'Premade Flavors'!$A:$A,'Premade Flavors'!H:H),IF([2]Sheet1!W98= 0,,[2]Sheet1!W98))</f>
        <v>0</v>
      </c>
      <c r="J100" s="31">
        <f>IF(COUNTIF('Premade Flavors'!$A:$A,$C100)&gt;0,IF(_xlfn.XLOOKUP("Should It Use Sugar or A Non-Sugar Sweetner?",[1]Sheet1!$1:$1,[1]Sheet1!100:100)="Sugar",_xlfn.XLOOKUP($C100,'Premade Flavors'!$A:$A,'Premade Flavors'!I:I),"Stevia"),_xlfn.XLOOKUP("What Sweetner Do You Want?",[1]Sheet1!$1:$1,[1]Sheet1!100:100))</f>
        <v>0</v>
      </c>
      <c r="K100" s="31"/>
      <c r="L100" s="77">
        <f>_xlfn.XLOOKUP("How Much Ice Cream Do You Want?",[1]Sheet1!$1:$1,[1]Sheet1!100:100)</f>
        <v>0</v>
      </c>
      <c r="M100" s="45">
        <f>IF(COUNTIF('Premade Flavors'!$A:$A, $C100) &gt; 0,_xlfn.XLOOKUP($C100,'Premade Flavors'!$A:$A,'Premade Flavors'!M:M),_xlfn.XLOOKUP("How Strong Do You Want The First Flavor?",[1]Sheet1!$1:$1,[1]Sheet1!100:100))</f>
        <v>0</v>
      </c>
      <c r="N100" s="45">
        <f>IF(COUNTIF('Premade Flavors'!$A:$A, $C100) &gt; 0,_xlfn.XLOOKUP($C100,'Premade Flavors'!$A:$A,'Premade Flavors'!N:N),_xlfn.XLOOKUP("How Strong Do You Want The Second Flavor?",[1]Sheet1!$1:$1,[1]Sheet1!100:100))</f>
        <v>0</v>
      </c>
      <c r="O100" s="45">
        <f>IF(COUNTIF('Premade Flavors'!$A:$A, $C100) &gt; 0,_xlfn.XLOOKUP($C100,'Premade Flavors'!$A:$A,'Premade Flavors'!O:O),_xlfn.XLOOKUP("How Dense Should the Mix Ins Be?",[1]Sheet1!$1:$1,[1]Sheet1!100:100))</f>
        <v>0</v>
      </c>
      <c r="P100" s="45">
        <f>IF(COUNTIF('Premade Flavors'!$A:$A, $C100) &gt; 0,_xlfn.XLOOKUP($C100,'Premade Flavors'!$A:$A,'Premade Flavors'!P:P),_xlfn.XLOOKUP("How Much Of The First Sweetner? ",[1]Sheet1!$1:$1,[1]Sheet1!100:100))</f>
        <v>0</v>
      </c>
      <c r="Q100" s="45">
        <f>IF(COUNTIF('Premade Flavors'!$A:$A, $C100) &gt; 0,_xlfn.XLOOKUP($C100,'Premade Flavors'!$A:$A,'Premade Flavors'!Q:Q),[2]Sheet1!S100)</f>
        <v>0</v>
      </c>
      <c r="R100" s="30">
        <f>(_xlfn.XLOOKUP($L100,Specs!A:A,Specs!B:B,0)-(IF(_xlfn.XLOOKUP($F100,'Liquid Mix In Nutrition'!A:A,'Liquid Mix In Nutrition'!J:J,0)="Yes",0,$T100))-(IF(_xlfn.XLOOKUP($G100,'Liquid Mix In Nutrition'!A:A,'Liquid Mix In Nutrition'!J:J,0)="Yes",0,$U100))-(($V100/MAX(1,_xlfn.XLOOKUP($H100,'Solid Mix In Nutrition'!A:A,'Solid Mix In Nutrition'!I:I,1)))*240)-(($W100/MAX(1,_xlfn.XLOOKUP($I100,'Solid Mix In Nutrition'!A:A,'Solid Mix In Nutrition'!I:I,1)))*240))*0.66</f>
        <v>0</v>
      </c>
      <c r="S100" s="30">
        <f>(_xlfn.XLOOKUP($L100,Specs!A:A,Specs!B:B,0)-(IF(_xlfn.XLOOKUP($F100,'Liquid Mix In Nutrition'!A:A,'Liquid Mix In Nutrition'!J:J,0)="Yes",0,$T100))-(IF(_xlfn.XLOOKUP($G100,'Liquid Mix In Nutrition'!A:A,'Liquid Mix In Nutrition'!J:J,0)="Yes",0,$U100))-(($V100/MAX(1,_xlfn.XLOOKUP($H100,'Solid Mix In Nutrition'!A:A,'Solid Mix In Nutrition'!I:I,1)))*240)-(($W100/MAX(1,_xlfn.XLOOKUP($I100,'Solid Mix In Nutrition'!A:A,'Solid Mix In Nutrition'!I:I,1)))*240))*0.33</f>
        <v>0</v>
      </c>
      <c r="T100" s="30">
        <f>_xlfn.XLOOKUP($M100,Specs!$D:$D,Specs!$E:$E,0)*15*_xlfn.XLOOKUP($L100,Specs!$A:$A,Specs!$C:$C,0)</f>
        <v>0</v>
      </c>
      <c r="U100" s="30">
        <f>_xlfn.XLOOKUP($N100,Specs!$D:$D,Specs!$E:$E,0)*15*_xlfn.XLOOKUP($L100,Specs!$A:$A,Specs!$C:$C,0)</f>
        <v>0</v>
      </c>
      <c r="V100" s="30">
        <f>( ((_xlfn.XLOOKUP($O100,Specs!$H:$H,Specs!$I:$I,0)*_xlfn.XLOOKUP($L100,Specs!$A:$A,Specs!$B:$B,0))/240) *_xlfn.XLOOKUP($H100,'Solid Mix In Nutrition'!A:A,'Solid Mix In Nutrition'!I:I,0)) *IF(AND(NOT($I100=0), COUNTA($I100)),0.5,1)</f>
        <v>0</v>
      </c>
      <c r="W100" s="30">
        <f>( ((_xlfn.XLOOKUP($O100,Specs!$H:$H,Specs!$I:$I,0)*_xlfn.XLOOKUP($L100,Specs!$A:$A,Specs!$B:$B,0))/240) *_xlfn.XLOOKUP($I100,'Solid Mix In Nutrition'!A:A,'Solid Mix In Nutrition'!I:I,0)) *IF(AND(NOT($I100=0), COUNTA($I100)),0.5,0)</f>
        <v>0</v>
      </c>
      <c r="X100" s="30">
        <f>_xlfn.XLOOKUP($P100,Specs!F:F,Specs!G:G,0)*_xlfn.XLOOKUP($J100,'Sweetener Mix In Nutrition'!A:A,'Sweetener Mix In Nutrition'!I:I,0)*_xlfn.XLOOKUP($L100,Specs!A:A,Specs!C:C,0)</f>
        <v>0</v>
      </c>
      <c r="Y100" s="30">
        <f>_xlfn.XLOOKUP($Q100,Specs!F:F,Specs!G:G,0)*_xlfn.XLOOKUP($K100,'Sweetener Mix In Nutrition'!A:A,'Sweetener Mix In Nutrition'!I:I,0)*_xlfn.XLOOKUP($L100,Specs!A:A,Specs!C:C,0)</f>
        <v>0</v>
      </c>
      <c r="Z100" s="34">
        <f t="shared" si="2"/>
        <v>0</v>
      </c>
      <c r="AA100" s="35">
        <f t="shared" si="3"/>
        <v>0</v>
      </c>
      <c r="AB100" s="36">
        <f>(($R100 / 240) * _xlfn.XLOOKUP($D100,'Milk Types Nutrition Per Cup'!A:A,'Milk Types Nutrition Per Cup'!B:B,0)) +(($S100 / 240)  * _xlfn.XLOOKUP($E100,'Milk Types Nutrition Per Cup'!A:A,'Milk Types Nutrition Per Cup'!B:B,0)) +(($T100 / 15)  * _xlfn.XLOOKUP($F100,'Liquid Mix In Nutrition'!A:A,'Liquid Mix In Nutrition'!B:B,0))+(($U100 / 15)  * _xlfn.XLOOKUP($G100,'Liquid Mix In Nutrition'!A:A,'Liquid Mix In Nutrition'!B:B,0))+(($V100 /MAX(1, _xlfn.XLOOKUP($H100,'Solid Mix In Nutrition'!A:A,'Solid Mix In Nutrition'!I:I,1)))  * _xlfn.XLOOKUP($H100,'Solid Mix In Nutrition'!A:A,'Solid Mix In Nutrition'!B:B,0))+(($W100 / MAX(1, _xlfn.XLOOKUP($I100,'Solid Mix In Nutrition'!A:A,'Solid Mix In Nutrition'!I:I,1))))+(($X100 / 100)  * _xlfn.XLOOKUP($J100,'Sweetener Mix In Nutrition'!A:A,'Sweetener Mix In Nutrition'!B:B,0))+(($Y100 / 100)  * _xlfn.XLOOKUP($K100,'Sweetener Mix In Nutrition'!A:A,'Sweetener Mix In Nutrition'!B:B,0))</f>
        <v>0</v>
      </c>
      <c r="AC100" s="36">
        <f>(($R100 / 240) * _xlfn.XLOOKUP($D100,'Milk Types Nutrition Per Cup'!A:A,'Milk Types Nutrition Per Cup'!E:E,0)) +(($S100 / 240)  * _xlfn.XLOOKUP($E100,'Milk Types Nutrition Per Cup'!A:A,'Milk Types Nutrition Per Cup'!E:E,0)) +(($T100 / 15)  * _xlfn.XLOOKUP($F100,'Liquid Mix In Nutrition'!A:A,'Liquid Mix In Nutrition'!E:E,0)) +(($U100 / 15)  * _xlfn.XLOOKUP($G100,'Liquid Mix In Nutrition'!A:A,'Liquid Mix In Nutrition'!E:E,0))+(($V100 / MAX(1, _xlfn.XLOOKUP($H100,'Solid Mix In Nutrition'!A:A,'Solid Mix In Nutrition'!I:I,1)))  * _xlfn.XLOOKUP($H100,'Solid Mix In Nutrition'!A:A,'Solid Mix In Nutrition'!E:E,0))+(($W100 / MAX(1, _xlfn.XLOOKUP($I100,'Solid Mix In Nutrition'!A:A,'Solid Mix In Nutrition'!I:I,1)))  * _xlfn.XLOOKUP($I100,'Solid Mix In Nutrition'!A:A,'Solid Mix In Nutrition'!G:G,0))+(($X100 / 100)  * _xlfn.XLOOKUP($J100,'Sweetener Mix In Nutrition'!A:A,'Sweetener Mix In Nutrition'!E:E,0))+(($Y100 / 100)  * _xlfn.XLOOKUP($K100,'Sweetener Mix In Nutrition'!A:A,'Sweetener Mix In Nutrition'!E:E,0))</f>
        <v>0</v>
      </c>
      <c r="AD100" s="36">
        <f>(($R100 / 240) * _xlfn.XLOOKUP($D100,'Milk Types Nutrition Per Cup'!A:A,'Milk Types Nutrition Per Cup'!E:E,0)) +(($S100 / 240)  * _xlfn.XLOOKUP($E100,'Milk Types Nutrition Per Cup'!A:A,'Milk Types Nutrition Per Cup'!E:E,0)) +(($T100 / 15)  * _xlfn.XLOOKUP($F100,'Liquid Mix In Nutrition'!A:A,'Liquid Mix In Nutrition'!E:E,0)) +(($U100 / 15)  * _xlfn.XLOOKUP($G100,'Liquid Mix In Nutrition'!A:A,'Liquid Mix In Nutrition'!E:E,0))+(($X100 / 100)  * _xlfn.XLOOKUP($J100,'Sweetener Mix In Nutrition'!A:A,'Sweetener Mix In Nutrition'!E:E,0))+(($Y100 / 100)  * _xlfn.XLOOKUP($K100,'Sweetener Mix In Nutrition'!A:A,'Sweetener Mix In Nutrition'!E:E,0))</f>
        <v>0</v>
      </c>
      <c r="AE100" s="37">
        <f>(($R100 / 240) * _xlfn.XLOOKUP($D100,'Milk Types Nutrition Per Cup'!A:A,'Milk Types Nutrition Per Cup'!C:C,0)) +(($S100 / 240)  * _xlfn.XLOOKUP($E100,'Milk Types Nutrition Per Cup'!A:A,'Milk Types Nutrition Per Cup'!C:C,0)) +(($T100 / 15)  * _xlfn.XLOOKUP($F100,'Liquid Mix In Nutrition'!A:A,'Liquid Mix In Nutrition'!C:C,0))+(($U100 / 15)  * _xlfn.XLOOKUP($G100,'Liquid Mix In Nutrition'!A:A,'Liquid Mix In Nutrition'!C:C,0))+(($V100 / MAX(1, _xlfn.XLOOKUP($H100,'Solid Mix In Nutrition'!A:A,'Solid Mix In Nutrition'!I:I,1)))  * _xlfn.XLOOKUP($H100,'Solid Mix In Nutrition'!A:A,'Solid Mix In Nutrition'!C:C,0))+(($W100 / MAX(1, _xlfn.XLOOKUP($I100,'Solid Mix In Nutrition'!A:A,'Solid Mix In Nutrition'!I:I,1)))  * _xlfn.XLOOKUP($I100,'Solid Mix In Nutrition'!A:A,'Solid Mix In Nutrition'!C:C,0))+(($X100 / 100)  * _xlfn.XLOOKUP($J100,'Sweetener Mix In Nutrition'!A:A,'Sweetener Mix In Nutrition'!C:C,0))+(($Y100 / 100)  * _xlfn.XLOOKUP($K100,'Sweetener Mix In Nutrition'!A:A,'Sweetener Mix In Nutrition'!C:C,0))</f>
        <v>0</v>
      </c>
      <c r="AF100" s="38" t="e">
        <f>$AE100 / (_xlfn.XLOOKUP($L100,Specs!A:A,Specs!B:B,0))</f>
        <v>#DIV/0!</v>
      </c>
      <c r="AG100" s="37" t="e">
        <f>60* ($AB100 / _xlfn.XLOOKUP($L100,Specs!A:A,Specs!B:B,0))</f>
        <v>#DIV/0!</v>
      </c>
      <c r="AH100" s="37" t="e">
        <f>60* (AC100 / _xlfn.XLOOKUP($L100,Specs!$A:$A,Specs!$B:$B,0))</f>
        <v>#DIV/0!</v>
      </c>
      <c r="AI100" s="37" t="e">
        <f>60* (AE100 / _xlfn.XLOOKUP($L100,Specs!$A:$A,Specs!$B:$B,0))</f>
        <v>#DIV/0!</v>
      </c>
      <c r="AJ100" s="39">
        <f>(($R100 / 240) * _xlfn.XLOOKUP($D100,'Milk Types Nutrition Per Cup'!A:A,'Milk Types Nutrition Per Cup'!F:F,0)) +(($S100 / 240)  * _xlfn.XLOOKUP($E100,'Milk Types Nutrition Per Cup'!A:A,'Milk Types Nutrition Per Cup'!F:F,0)) +(($T100 / 15)  * _xlfn.XLOOKUP($F100,'Liquid Mix In Nutrition'!A:A,'Liquid Mix In Nutrition'!F:F,0))+(($U100 / 15)  * _xlfn.XLOOKUP($G100,'Liquid Mix In Nutrition'!A:A,'Liquid Mix In Nutrition'!F:F,0))+(($V100 / MAX(1, _xlfn.XLOOKUP($H100,'Solid Mix In Nutrition'!A:A,'Solid Mix In Nutrition'!I:I,1)))  * _xlfn.XLOOKUP($H100,'Solid Mix In Nutrition'!A:A,'Solid Mix In Nutrition'!F:F,0))+(($W100 / MAX(1, _xlfn.XLOOKUP($I100,'Solid Mix In Nutrition'!A:A,'Solid Mix In Nutrition'!I:I,1)))  * _xlfn.XLOOKUP($I100,'Solid Mix In Nutrition'!A:A,'Solid Mix In Nutrition'!F:F,0))+(($X100 / 100)  * _xlfn.XLOOKUP($J100,'Sweetener Mix In Nutrition'!A:A,'Sweetener Mix In Nutrition'!F:F,0))+(($Y100 / 100)  * _xlfn.XLOOKUP($K100,'Sweetener Mix In Nutrition'!A:A,'Sweetener Mix In Nutrition'!F:F,0))</f>
        <v>0</v>
      </c>
      <c r="AK100" s="46">
        <f>[2]Sheet1!AG100</f>
        <v>0</v>
      </c>
      <c r="AL100" s="47"/>
      <c r="AM100" s="40">
        <f>IF(ISERROR(((AL100/Specs!$L$3)*Specs!$L$2)*2),0,ROUNDUP((((AL100/Specs!$L$3)*Specs!$L$2)*2),0))</f>
        <v>0</v>
      </c>
      <c r="AN100" s="48">
        <f>ROUNDUP(((AJ100+Specs!$R$2+Specs!$S$2+_xlfn.XLOOKUP($L100,Specs!A:A,Specs!V:V,0))*Specs!$N$2)+AM100,0)</f>
        <v>1</v>
      </c>
      <c r="AO100" s="40">
        <f>ROUNDUP(((AJ100+Specs!$R$2+Specs!$S$2+_xlfn.XLOOKUP($L100,Specs!A:A,Specs!V:V,0))*Specs!$N$2),0)</f>
        <v>1</v>
      </c>
      <c r="AP100" s="30"/>
    </row>
    <row r="101" spans="1:42" x14ac:dyDescent="0.25">
      <c r="A101" s="41" t="str">
        <f>_xlfn.CONCAT(_xlfn.XLOOKUP("What's Your Name?",[1]Sheet1!$1:$1,[1]Sheet1!101:101)," | ",TEXT(_xlfn.XLOOKUP("Completion time",[1]Sheet1!$1:$1,[1]Sheet1!101:101),"dddd, mmm dd, yyyy hh:mm AM/PM"))</f>
        <v xml:space="preserve"> | Saturday, Jan 00, 1900 12:00 AM</v>
      </c>
      <c r="B101" s="76">
        <f>_xlfn.XLOOKUP("What's Your Email Address?",[1]Sheet1!$1:$1,[1]Sheet1!101:101)</f>
        <v>0</v>
      </c>
      <c r="C101" s="31">
        <f>IF(ISBLANK(_xlfn.XLOOKUP("Which Flavor? (Pint Price | Quart Price | Half Gallon Price) (NOTE: Prices may fluctuate based on market conditions)",[1]Sheet1!$1:$1,[1]Sheet1!101:101)),_xlfn.XLOOKUP("Name Your Ice Cream!",[1]Sheet1!$1:$1,[1]Sheet1!101:101),IF(ISNUMBER(FIND("(", _xlfn.XLOOKUP("Which Flavor? (Pint Price | Quart Price | Half Gallon Price) (NOTE: Prices may fluctuate based on market conditions)",[1]Sheet1!$1:$1,[1]Sheet1!101:101))), LEFT(_xlfn.XLOOKUP("Which Flavor? (Pint Price | Quart Price | Half Gallon Price) (NOTE: Prices may fluctuate based on market conditions)",[1]Sheet1!$1:$1,[1]Sheet1!101:101), FIND("(", _xlfn.XLOOKUP("Which Flavor? (Pint Price | Quart Price | Half Gallon Price) (NOTE: Prices may fluctuate based on market conditions)",[1]Sheet1!$1:$1,[1]Sheet1!101:101)) - 1), _xlfn.XLOOKUP("Which Flavor? (Pint Price | Quart Price | Half Gallon Price) (NOTE: Prices may fluctuate based on market conditions)",[1]Sheet1!$1:$1,[1]Sheet1!101:101)))</f>
        <v>0</v>
      </c>
      <c r="D101" s="31">
        <f>IF(COUNTIF('Premade Flavors'!$A:$A, $C101) &gt; 0,IF(ISBLANK(_xlfn.XLOOKUP("What Ice Cream Base Do You Want To Change It To?",[1]Sheet1!$1:$1,[1]Sheet1!101:101)),_xlfn.XLOOKUP($C101,'Premade Flavors'!$A:$A,'Premade Flavors'!B:B),_xlfn.XLOOKUP("What Ice Cream Base Do You Want To Change It To?",[1]Sheet1!$1:$1,[1]Sheet1!101:101)),_xlfn.XLOOKUP(_xlfn.XLOOKUP("What Kind Of Ice Cream Base Do You Want? ",[1]Sheet1!$1:$1,[1]Sheet1!101:101),'Milk Types Nutrition Per Cup'!O:O,'Milk Types Nutrition Per Cup'!P:P,""))</f>
        <v>0</v>
      </c>
      <c r="E101" s="31">
        <f>IF(COUNTIF('Premade Flavors'!$A:$A, $C101) &gt; 0,IF(ISBLANK(_xlfn.XLOOKUP("What Ice Cream Base Do You Want To Change It To?",[1]Sheet1!$1:$1,[1]Sheet1!101:101)),_xlfn.XLOOKUP($C101,'Premade Flavors'!$A:$A,'Premade Flavors'!C:C),_xlfn.XLOOKUP("What Ice Cream Base Do You Want To Change It To?",[1]Sheet1!$1:$1,[1]Sheet1!101:101)),_xlfn.XLOOKUP(_xlfn.XLOOKUP("What Kind Of Ice Cream Base Do You Want? ",[1]Sheet1!$1:$1,[1]Sheet1!101:101),'Milk Types Nutrition Per Cup'!$O:$O,'Milk Types Nutrition Per Cup'!$Q:$Q,""))</f>
        <v>0</v>
      </c>
      <c r="F101" s="31">
        <f>IF(COUNTIF('Premade Flavors'!$A:$A, $C101) &gt; 0,_xlfn.XLOOKUP($C101,'Premade Flavors'!$A:$A,'Premade Flavors'!E:E),_xlfn.XLOOKUP("What's The First Flavor You Want? ",[1]Sheet1!$1:$1,[1]Sheet1!101:101))</f>
        <v>0</v>
      </c>
      <c r="G101" s="31">
        <f>IF(COUNTIF('Premade Flavors'!$A:$A, $C101) &gt; 0,_xlfn.XLOOKUP($C101,'Premade Flavors'!$A:$A,'Premade Flavors'!F:F),_xlfn.XLOOKUP("What's the Second Flavor You Want?",[1]Sheet1!$1:$1,[1]Sheet1!101:101))</f>
        <v>0</v>
      </c>
      <c r="H101" s="31">
        <f>IF(COUNTIF('Premade Flavors'!$A:$A, $C101) &gt; 0,_xlfn.XLOOKUP($C101,'Premade Flavors'!$A:$A,'Premade Flavors'!G:G),_xlfn.XLOOKUP("What's The First Mix In That You Want? ",[1]Sheet1!$1:$1,[1]Sheet1!101:101))</f>
        <v>0</v>
      </c>
      <c r="I101" s="31">
        <f>IF(COUNTIF('Premade Flavors'!$A:$A, $C99) &gt; 0,_xlfn.XLOOKUP($C99,'Premade Flavors'!$A:$A,'Premade Flavors'!H:H),IF([2]Sheet1!W99= 0,,[2]Sheet1!W99))</f>
        <v>0</v>
      </c>
      <c r="J101" s="31">
        <f>IF(COUNTIF('Premade Flavors'!$A:$A,$C101)&gt;0,IF(_xlfn.XLOOKUP("Should It Use Sugar or A Non-Sugar Sweetner?",[1]Sheet1!$1:$1,[1]Sheet1!101:101)="Sugar",_xlfn.XLOOKUP($C101,'Premade Flavors'!$A:$A,'Premade Flavors'!I:I),"Stevia"),_xlfn.XLOOKUP("What Sweetner Do You Want?",[1]Sheet1!$1:$1,[1]Sheet1!101:101))</f>
        <v>0</v>
      </c>
      <c r="K101" s="31"/>
      <c r="L101" s="77">
        <f>_xlfn.XLOOKUP("How Much Ice Cream Do You Want?",[1]Sheet1!$1:$1,[1]Sheet1!101:101)</f>
        <v>0</v>
      </c>
      <c r="M101" s="45">
        <f>IF(COUNTIF('Premade Flavors'!$A:$A, $C101) &gt; 0,_xlfn.XLOOKUP($C101,'Premade Flavors'!$A:$A,'Premade Flavors'!M:M),_xlfn.XLOOKUP("How Strong Do You Want The First Flavor?",[1]Sheet1!$1:$1,[1]Sheet1!101:101))</f>
        <v>0</v>
      </c>
      <c r="N101" s="45">
        <f>IF(COUNTIF('Premade Flavors'!$A:$A, $C101) &gt; 0,_xlfn.XLOOKUP($C101,'Premade Flavors'!$A:$A,'Premade Flavors'!N:N),_xlfn.XLOOKUP("How Strong Do You Want The Second Flavor?",[1]Sheet1!$1:$1,[1]Sheet1!101:101))</f>
        <v>0</v>
      </c>
      <c r="O101" s="45">
        <f>IF(COUNTIF('Premade Flavors'!$A:$A, $C101) &gt; 0,_xlfn.XLOOKUP($C101,'Premade Flavors'!$A:$A,'Premade Flavors'!O:O),_xlfn.XLOOKUP("How Dense Should the Mix Ins Be?",[1]Sheet1!$1:$1,[1]Sheet1!101:101))</f>
        <v>0</v>
      </c>
      <c r="P101" s="45">
        <f>IF(COUNTIF('Premade Flavors'!$A:$A, $C101) &gt; 0,_xlfn.XLOOKUP($C101,'Premade Flavors'!$A:$A,'Premade Flavors'!P:P),_xlfn.XLOOKUP("How Much Of The First Sweetner? ",[1]Sheet1!$1:$1,[1]Sheet1!101:101))</f>
        <v>0</v>
      </c>
      <c r="Q101" s="45">
        <f>IF(COUNTIF('Premade Flavors'!$A:$A, $C101) &gt; 0,_xlfn.XLOOKUP($C101,'Premade Flavors'!$A:$A,'Premade Flavors'!Q:Q),[2]Sheet1!S101)</f>
        <v>0</v>
      </c>
      <c r="R101" s="30">
        <f>(_xlfn.XLOOKUP($L101,Specs!A:A,Specs!B:B,0)-(IF(_xlfn.XLOOKUP($F101,'Liquid Mix In Nutrition'!A:A,'Liquid Mix In Nutrition'!J:J,0)="Yes",0,$T101))-(IF(_xlfn.XLOOKUP($G101,'Liquid Mix In Nutrition'!A:A,'Liquid Mix In Nutrition'!J:J,0)="Yes",0,$U101))-(($V101/MAX(1,_xlfn.XLOOKUP($H101,'Solid Mix In Nutrition'!A:A,'Solid Mix In Nutrition'!I:I,1)))*240)-(($W101/MAX(1,_xlfn.XLOOKUP($I101,'Solid Mix In Nutrition'!A:A,'Solid Mix In Nutrition'!I:I,1)))*240))*0.66</f>
        <v>0</v>
      </c>
      <c r="S101" s="30">
        <f>(_xlfn.XLOOKUP($L101,Specs!A:A,Specs!B:B,0)-(IF(_xlfn.XLOOKUP($F101,'Liquid Mix In Nutrition'!A:A,'Liquid Mix In Nutrition'!J:J,0)="Yes",0,$T101))-(IF(_xlfn.XLOOKUP($G101,'Liquid Mix In Nutrition'!A:A,'Liquid Mix In Nutrition'!J:J,0)="Yes",0,$U101))-(($V101/MAX(1,_xlfn.XLOOKUP($H101,'Solid Mix In Nutrition'!A:A,'Solid Mix In Nutrition'!I:I,1)))*240)-(($W101/MAX(1,_xlfn.XLOOKUP($I101,'Solid Mix In Nutrition'!A:A,'Solid Mix In Nutrition'!I:I,1)))*240))*0.33</f>
        <v>0</v>
      </c>
      <c r="T101" s="30">
        <f>_xlfn.XLOOKUP($M101,Specs!$D:$D,Specs!$E:$E,0)*15*_xlfn.XLOOKUP($L101,Specs!$A:$A,Specs!$C:$C,0)</f>
        <v>0</v>
      </c>
      <c r="U101" s="30">
        <f>_xlfn.XLOOKUP($N101,Specs!$D:$D,Specs!$E:$E,0)*15*_xlfn.XLOOKUP($L101,Specs!$A:$A,Specs!$C:$C,0)</f>
        <v>0</v>
      </c>
      <c r="V101" s="30">
        <f>( ((_xlfn.XLOOKUP($O101,Specs!$H:$H,Specs!$I:$I,0)*_xlfn.XLOOKUP($L101,Specs!$A:$A,Specs!$B:$B,0))/240) *_xlfn.XLOOKUP($H101,'Solid Mix In Nutrition'!A:A,'Solid Mix In Nutrition'!I:I,0)) *IF(AND(NOT($I101=0), COUNTA($I101)),0.5,1)</f>
        <v>0</v>
      </c>
      <c r="W101" s="30">
        <f>( ((_xlfn.XLOOKUP($O101,Specs!$H:$H,Specs!$I:$I,0)*_xlfn.XLOOKUP($L101,Specs!$A:$A,Specs!$B:$B,0))/240) *_xlfn.XLOOKUP($I101,'Solid Mix In Nutrition'!A:A,'Solid Mix In Nutrition'!I:I,0)) *IF(AND(NOT($I101=0), COUNTA($I101)),0.5,0)</f>
        <v>0</v>
      </c>
      <c r="X101" s="30">
        <f>_xlfn.XLOOKUP($P101,Specs!F:F,Specs!G:G,0)*_xlfn.XLOOKUP($J101,'Sweetener Mix In Nutrition'!A:A,'Sweetener Mix In Nutrition'!I:I,0)*_xlfn.XLOOKUP($L101,Specs!A:A,Specs!C:C,0)</f>
        <v>0</v>
      </c>
      <c r="Y101" s="30">
        <f>_xlfn.XLOOKUP($Q101,Specs!F:F,Specs!G:G,0)*_xlfn.XLOOKUP($K101,'Sweetener Mix In Nutrition'!A:A,'Sweetener Mix In Nutrition'!I:I,0)*_xlfn.XLOOKUP($L101,Specs!A:A,Specs!C:C,0)</f>
        <v>0</v>
      </c>
      <c r="Z101" s="34">
        <f t="shared" si="2"/>
        <v>0</v>
      </c>
      <c r="AA101" s="35">
        <f t="shared" si="3"/>
        <v>0</v>
      </c>
      <c r="AB101" s="36">
        <f>(($R101 / 240) * _xlfn.XLOOKUP($D101,'Milk Types Nutrition Per Cup'!A:A,'Milk Types Nutrition Per Cup'!B:B,0)) +(($S101 / 240)  * _xlfn.XLOOKUP($E101,'Milk Types Nutrition Per Cup'!A:A,'Milk Types Nutrition Per Cup'!B:B,0)) +(($T101 / 15)  * _xlfn.XLOOKUP($F101,'Liquid Mix In Nutrition'!A:A,'Liquid Mix In Nutrition'!B:B,0))+(($U101 / 15)  * _xlfn.XLOOKUP($G101,'Liquid Mix In Nutrition'!A:A,'Liquid Mix In Nutrition'!B:B,0))+(($V101 /MAX(1, _xlfn.XLOOKUP($H101,'Solid Mix In Nutrition'!A:A,'Solid Mix In Nutrition'!I:I,1)))  * _xlfn.XLOOKUP($H101,'Solid Mix In Nutrition'!A:A,'Solid Mix In Nutrition'!B:B,0))+(($W101 / MAX(1, _xlfn.XLOOKUP($I101,'Solid Mix In Nutrition'!A:A,'Solid Mix In Nutrition'!I:I,1))))+(($X101 / 100)  * _xlfn.XLOOKUP($J101,'Sweetener Mix In Nutrition'!A:A,'Sweetener Mix In Nutrition'!B:B,0))+(($Y101 / 100)  * _xlfn.XLOOKUP($K101,'Sweetener Mix In Nutrition'!A:A,'Sweetener Mix In Nutrition'!B:B,0))</f>
        <v>0</v>
      </c>
      <c r="AC101" s="36">
        <f>(($R101 / 240) * _xlfn.XLOOKUP($D101,'Milk Types Nutrition Per Cup'!A:A,'Milk Types Nutrition Per Cup'!E:E,0)) +(($S101 / 240)  * _xlfn.XLOOKUP($E101,'Milk Types Nutrition Per Cup'!A:A,'Milk Types Nutrition Per Cup'!E:E,0)) +(($T101 / 15)  * _xlfn.XLOOKUP($F101,'Liquid Mix In Nutrition'!A:A,'Liquid Mix In Nutrition'!E:E,0)) +(($U101 / 15)  * _xlfn.XLOOKUP($G101,'Liquid Mix In Nutrition'!A:A,'Liquid Mix In Nutrition'!E:E,0))+(($V101 / MAX(1, _xlfn.XLOOKUP($H101,'Solid Mix In Nutrition'!A:A,'Solid Mix In Nutrition'!I:I,1)))  * _xlfn.XLOOKUP($H101,'Solid Mix In Nutrition'!A:A,'Solid Mix In Nutrition'!E:E,0))+(($W101 / MAX(1, _xlfn.XLOOKUP($I101,'Solid Mix In Nutrition'!A:A,'Solid Mix In Nutrition'!I:I,1)))  * _xlfn.XLOOKUP($I101,'Solid Mix In Nutrition'!A:A,'Solid Mix In Nutrition'!G:G,0))+(($X101 / 100)  * _xlfn.XLOOKUP($J101,'Sweetener Mix In Nutrition'!A:A,'Sweetener Mix In Nutrition'!E:E,0))+(($Y101 / 100)  * _xlfn.XLOOKUP($K101,'Sweetener Mix In Nutrition'!A:A,'Sweetener Mix In Nutrition'!E:E,0))</f>
        <v>0</v>
      </c>
      <c r="AD101" s="36">
        <f>(($R101 / 240) * _xlfn.XLOOKUP($D101,'Milk Types Nutrition Per Cup'!A:A,'Milk Types Nutrition Per Cup'!E:E,0)) +(($S101 / 240)  * _xlfn.XLOOKUP($E101,'Milk Types Nutrition Per Cup'!A:A,'Milk Types Nutrition Per Cup'!E:E,0)) +(($T101 / 15)  * _xlfn.XLOOKUP($F101,'Liquid Mix In Nutrition'!A:A,'Liquid Mix In Nutrition'!E:E,0)) +(($U101 / 15)  * _xlfn.XLOOKUP($G101,'Liquid Mix In Nutrition'!A:A,'Liquid Mix In Nutrition'!E:E,0))+(($X101 / 100)  * _xlfn.XLOOKUP($J101,'Sweetener Mix In Nutrition'!A:A,'Sweetener Mix In Nutrition'!E:E,0))+(($Y101 / 100)  * _xlfn.XLOOKUP($K101,'Sweetener Mix In Nutrition'!A:A,'Sweetener Mix In Nutrition'!E:E,0))</f>
        <v>0</v>
      </c>
      <c r="AE101" s="37">
        <f>(($R101 / 240) * _xlfn.XLOOKUP($D101,'Milk Types Nutrition Per Cup'!A:A,'Milk Types Nutrition Per Cup'!C:C,0)) +(($S101 / 240)  * _xlfn.XLOOKUP($E101,'Milk Types Nutrition Per Cup'!A:A,'Milk Types Nutrition Per Cup'!C:C,0)) +(($T101 / 15)  * _xlfn.XLOOKUP($F101,'Liquid Mix In Nutrition'!A:A,'Liquid Mix In Nutrition'!C:C,0))+(($U101 / 15)  * _xlfn.XLOOKUP($G101,'Liquid Mix In Nutrition'!A:A,'Liquid Mix In Nutrition'!C:C,0))+(($V101 / MAX(1, _xlfn.XLOOKUP($H101,'Solid Mix In Nutrition'!A:A,'Solid Mix In Nutrition'!I:I,1)))  * _xlfn.XLOOKUP($H101,'Solid Mix In Nutrition'!A:A,'Solid Mix In Nutrition'!C:C,0))+(($W101 / MAX(1, _xlfn.XLOOKUP($I101,'Solid Mix In Nutrition'!A:A,'Solid Mix In Nutrition'!I:I,1)))  * _xlfn.XLOOKUP($I101,'Solid Mix In Nutrition'!A:A,'Solid Mix In Nutrition'!C:C,0))+(($X101 / 100)  * _xlfn.XLOOKUP($J101,'Sweetener Mix In Nutrition'!A:A,'Sweetener Mix In Nutrition'!C:C,0))+(($Y101 / 100)  * _xlfn.XLOOKUP($K101,'Sweetener Mix In Nutrition'!A:A,'Sweetener Mix In Nutrition'!C:C,0))</f>
        <v>0</v>
      </c>
      <c r="AF101" s="38" t="e">
        <f>$AE101 / (_xlfn.XLOOKUP($L101,Specs!A:A,Specs!B:B,0))</f>
        <v>#DIV/0!</v>
      </c>
      <c r="AG101" s="37" t="e">
        <f>60* ($AB101 / _xlfn.XLOOKUP($L101,Specs!A:A,Specs!B:B,0))</f>
        <v>#DIV/0!</v>
      </c>
      <c r="AH101" s="37" t="e">
        <f>60* (AC101 / _xlfn.XLOOKUP($L101,Specs!$A:$A,Specs!$B:$B,0))</f>
        <v>#DIV/0!</v>
      </c>
      <c r="AI101" s="37" t="e">
        <f>60* (AE101 / _xlfn.XLOOKUP($L101,Specs!$A:$A,Specs!$B:$B,0))</f>
        <v>#DIV/0!</v>
      </c>
      <c r="AJ101" s="39">
        <f>(($R101 / 240) * _xlfn.XLOOKUP($D101,'Milk Types Nutrition Per Cup'!A:A,'Milk Types Nutrition Per Cup'!F:F,0)) +(($S101 / 240)  * _xlfn.XLOOKUP($E101,'Milk Types Nutrition Per Cup'!A:A,'Milk Types Nutrition Per Cup'!F:F,0)) +(($T101 / 15)  * _xlfn.XLOOKUP($F101,'Liquid Mix In Nutrition'!A:A,'Liquid Mix In Nutrition'!F:F,0))+(($U101 / 15)  * _xlfn.XLOOKUP($G101,'Liquid Mix In Nutrition'!A:A,'Liquid Mix In Nutrition'!F:F,0))+(($V101 / MAX(1, _xlfn.XLOOKUP($H101,'Solid Mix In Nutrition'!A:A,'Solid Mix In Nutrition'!I:I,1)))  * _xlfn.XLOOKUP($H101,'Solid Mix In Nutrition'!A:A,'Solid Mix In Nutrition'!F:F,0))+(($W101 / MAX(1, _xlfn.XLOOKUP($I101,'Solid Mix In Nutrition'!A:A,'Solid Mix In Nutrition'!I:I,1)))  * _xlfn.XLOOKUP($I101,'Solid Mix In Nutrition'!A:A,'Solid Mix In Nutrition'!F:F,0))+(($X101 / 100)  * _xlfn.XLOOKUP($J101,'Sweetener Mix In Nutrition'!A:A,'Sweetener Mix In Nutrition'!F:F,0))+(($Y101 / 100)  * _xlfn.XLOOKUP($K101,'Sweetener Mix In Nutrition'!A:A,'Sweetener Mix In Nutrition'!F:F,0))</f>
        <v>0</v>
      </c>
      <c r="AK101" s="46">
        <f>[2]Sheet1!AG101</f>
        <v>0</v>
      </c>
      <c r="AL101" s="47"/>
      <c r="AM101" s="40">
        <f>IF(ISERROR(((AL101/Specs!$L$3)*Specs!$L$2)*2),0,ROUNDUP((((AL101/Specs!$L$3)*Specs!$L$2)*2),0))</f>
        <v>0</v>
      </c>
      <c r="AN101" s="48">
        <f>ROUNDUP(((AJ101+Specs!$R$2+Specs!$S$2+_xlfn.XLOOKUP($L101,Specs!A:A,Specs!V:V,0))*Specs!$N$2)+AM101,0)</f>
        <v>1</v>
      </c>
      <c r="AO101" s="40">
        <f>ROUNDUP(((AJ101+Specs!$R$2+Specs!$S$2+_xlfn.XLOOKUP($L101,Specs!A:A,Specs!V:V,0))*Specs!$N$2),0)</f>
        <v>1</v>
      </c>
      <c r="AP101" s="30"/>
    </row>
    <row r="102" spans="1:42" x14ac:dyDescent="0.25">
      <c r="A102" s="41" t="str">
        <f>_xlfn.CONCAT(_xlfn.XLOOKUP("What's Your Name?",[1]Sheet1!$1:$1,[1]Sheet1!102:102)," | ",TEXT(_xlfn.XLOOKUP("Completion time",[1]Sheet1!$1:$1,[1]Sheet1!102:102),"dddd, mmm dd, yyyy hh:mm AM/PM"))</f>
        <v xml:space="preserve"> | Saturday, Jan 00, 1900 12:00 AM</v>
      </c>
      <c r="B102" s="76">
        <f>_xlfn.XLOOKUP("What's Your Email Address?",[1]Sheet1!$1:$1,[1]Sheet1!102:102)</f>
        <v>0</v>
      </c>
      <c r="C102" s="31">
        <f>IF(ISBLANK(_xlfn.XLOOKUP("Which Flavor? (Pint Price | Quart Price | Half Gallon Price) (NOTE: Prices may fluctuate based on market conditions)",[1]Sheet1!$1:$1,[1]Sheet1!102:102)),_xlfn.XLOOKUP("Name Your Ice Cream!",[1]Sheet1!$1:$1,[1]Sheet1!102:102),IF(ISNUMBER(FIND("(", _xlfn.XLOOKUP("Which Flavor? (Pint Price | Quart Price | Half Gallon Price) (NOTE: Prices may fluctuate based on market conditions)",[1]Sheet1!$1:$1,[1]Sheet1!102:102))), LEFT(_xlfn.XLOOKUP("Which Flavor? (Pint Price | Quart Price | Half Gallon Price) (NOTE: Prices may fluctuate based on market conditions)",[1]Sheet1!$1:$1,[1]Sheet1!102:102), FIND("(", _xlfn.XLOOKUP("Which Flavor? (Pint Price | Quart Price | Half Gallon Price) (NOTE: Prices may fluctuate based on market conditions)",[1]Sheet1!$1:$1,[1]Sheet1!102:102)) - 1), _xlfn.XLOOKUP("Which Flavor? (Pint Price | Quart Price | Half Gallon Price) (NOTE: Prices may fluctuate based on market conditions)",[1]Sheet1!$1:$1,[1]Sheet1!102:102)))</f>
        <v>0</v>
      </c>
      <c r="D102" s="31">
        <f>IF(COUNTIF('Premade Flavors'!$A:$A, $C102) &gt; 0,IF(ISBLANK(_xlfn.XLOOKUP("What Ice Cream Base Do You Want To Change It To?",[1]Sheet1!$1:$1,[1]Sheet1!102:102)),_xlfn.XLOOKUP($C102,'Premade Flavors'!$A:$A,'Premade Flavors'!B:B),_xlfn.XLOOKUP("What Ice Cream Base Do You Want To Change It To?",[1]Sheet1!$1:$1,[1]Sheet1!102:102)),_xlfn.XLOOKUP(_xlfn.XLOOKUP("What Kind Of Ice Cream Base Do You Want? ",[1]Sheet1!$1:$1,[1]Sheet1!102:102),'Milk Types Nutrition Per Cup'!O:O,'Milk Types Nutrition Per Cup'!P:P,""))</f>
        <v>0</v>
      </c>
      <c r="E102" s="31">
        <f>IF(COUNTIF('Premade Flavors'!$A:$A, $C102) &gt; 0,IF(ISBLANK(_xlfn.XLOOKUP("What Ice Cream Base Do You Want To Change It To?",[1]Sheet1!$1:$1,[1]Sheet1!102:102)),_xlfn.XLOOKUP($C102,'Premade Flavors'!$A:$A,'Premade Flavors'!C:C),_xlfn.XLOOKUP("What Ice Cream Base Do You Want To Change It To?",[1]Sheet1!$1:$1,[1]Sheet1!102:102)),_xlfn.XLOOKUP(_xlfn.XLOOKUP("What Kind Of Ice Cream Base Do You Want? ",[1]Sheet1!$1:$1,[1]Sheet1!102:102),'Milk Types Nutrition Per Cup'!$O:$O,'Milk Types Nutrition Per Cup'!$Q:$Q,""))</f>
        <v>0</v>
      </c>
      <c r="F102" s="31">
        <f>IF(COUNTIF('Premade Flavors'!$A:$A, $C102) &gt; 0,_xlfn.XLOOKUP($C102,'Premade Flavors'!$A:$A,'Premade Flavors'!E:E),_xlfn.XLOOKUP("What's The First Flavor You Want? ",[1]Sheet1!$1:$1,[1]Sheet1!102:102))</f>
        <v>0</v>
      </c>
      <c r="G102" s="31">
        <f>IF(COUNTIF('Premade Flavors'!$A:$A, $C102) &gt; 0,_xlfn.XLOOKUP($C102,'Premade Flavors'!$A:$A,'Premade Flavors'!F:F),_xlfn.XLOOKUP("What's the Second Flavor You Want?",[1]Sheet1!$1:$1,[1]Sheet1!102:102))</f>
        <v>0</v>
      </c>
      <c r="H102" s="31">
        <f>IF(COUNTIF('Premade Flavors'!$A:$A, $C102) &gt; 0,_xlfn.XLOOKUP($C102,'Premade Flavors'!$A:$A,'Premade Flavors'!G:G),_xlfn.XLOOKUP("What's The First Mix In That You Want? ",[1]Sheet1!$1:$1,[1]Sheet1!102:102))</f>
        <v>0</v>
      </c>
      <c r="I102" s="31">
        <f>IF(COUNTIF('Premade Flavors'!$A:$A, $C100) &gt; 0,_xlfn.XLOOKUP($C100,'Premade Flavors'!$A:$A,'Premade Flavors'!H:H),IF([2]Sheet1!W100= 0,,[2]Sheet1!W100))</f>
        <v>0</v>
      </c>
      <c r="J102" s="31">
        <f>IF(COUNTIF('Premade Flavors'!$A:$A,$C102)&gt;0,IF(_xlfn.XLOOKUP("Should It Use Sugar or A Non-Sugar Sweetner?",[1]Sheet1!$1:$1,[1]Sheet1!102:102)="Sugar",_xlfn.XLOOKUP($C102,'Premade Flavors'!$A:$A,'Premade Flavors'!I:I),"Stevia"),_xlfn.XLOOKUP("What Sweetner Do You Want?",[1]Sheet1!$1:$1,[1]Sheet1!102:102))</f>
        <v>0</v>
      </c>
      <c r="K102" s="31"/>
      <c r="L102" s="77">
        <f>_xlfn.XLOOKUP("How Much Ice Cream Do You Want?",[1]Sheet1!$1:$1,[1]Sheet1!102:102)</f>
        <v>0</v>
      </c>
      <c r="M102" s="45">
        <f>IF(COUNTIF('Premade Flavors'!$A:$A, $C102) &gt; 0,_xlfn.XLOOKUP($C102,'Premade Flavors'!$A:$A,'Premade Flavors'!M:M),_xlfn.XLOOKUP("How Strong Do You Want The First Flavor?",[1]Sheet1!$1:$1,[1]Sheet1!102:102))</f>
        <v>0</v>
      </c>
      <c r="N102" s="45">
        <f>IF(COUNTIF('Premade Flavors'!$A:$A, $C102) &gt; 0,_xlfn.XLOOKUP($C102,'Premade Flavors'!$A:$A,'Premade Flavors'!N:N),_xlfn.XLOOKUP("How Strong Do You Want The Second Flavor?",[1]Sheet1!$1:$1,[1]Sheet1!102:102))</f>
        <v>0</v>
      </c>
      <c r="O102" s="45">
        <f>IF(COUNTIF('Premade Flavors'!$A:$A, $C102) &gt; 0,_xlfn.XLOOKUP($C102,'Premade Flavors'!$A:$A,'Premade Flavors'!O:O),_xlfn.XLOOKUP("How Dense Should the Mix Ins Be?",[1]Sheet1!$1:$1,[1]Sheet1!102:102))</f>
        <v>0</v>
      </c>
      <c r="P102" s="45">
        <f>IF(COUNTIF('Premade Flavors'!$A:$A, $C102) &gt; 0,_xlfn.XLOOKUP($C102,'Premade Flavors'!$A:$A,'Premade Flavors'!P:P),_xlfn.XLOOKUP("How Much Of The First Sweetner? ",[1]Sheet1!$1:$1,[1]Sheet1!102:102))</f>
        <v>0</v>
      </c>
      <c r="Q102" s="45">
        <f>IF(COUNTIF('Premade Flavors'!$A:$A, $C102) &gt; 0,_xlfn.XLOOKUP($C102,'Premade Flavors'!$A:$A,'Premade Flavors'!Q:Q),[2]Sheet1!S102)</f>
        <v>0</v>
      </c>
      <c r="R102" s="30">
        <f>(_xlfn.XLOOKUP($L102,Specs!A:A,Specs!B:B,0)-(IF(_xlfn.XLOOKUP($F102,'Liquid Mix In Nutrition'!A:A,'Liquid Mix In Nutrition'!J:J,0)="Yes",0,$T102))-(IF(_xlfn.XLOOKUP($G102,'Liquid Mix In Nutrition'!A:A,'Liquid Mix In Nutrition'!J:J,0)="Yes",0,$U102))-(($V102/MAX(1,_xlfn.XLOOKUP($H102,'Solid Mix In Nutrition'!A:A,'Solid Mix In Nutrition'!I:I,1)))*240)-(($W102/MAX(1,_xlfn.XLOOKUP($I102,'Solid Mix In Nutrition'!A:A,'Solid Mix In Nutrition'!I:I,1)))*240))*0.66</f>
        <v>0</v>
      </c>
      <c r="S102" s="30">
        <f>(_xlfn.XLOOKUP($L102,Specs!A:A,Specs!B:B,0)-(IF(_xlfn.XLOOKUP($F102,'Liquid Mix In Nutrition'!A:A,'Liquid Mix In Nutrition'!J:J,0)="Yes",0,$T102))-(IF(_xlfn.XLOOKUP($G102,'Liquid Mix In Nutrition'!A:A,'Liquid Mix In Nutrition'!J:J,0)="Yes",0,$U102))-(($V102/MAX(1,_xlfn.XLOOKUP($H102,'Solid Mix In Nutrition'!A:A,'Solid Mix In Nutrition'!I:I,1)))*240)-(($W102/MAX(1,_xlfn.XLOOKUP($I102,'Solid Mix In Nutrition'!A:A,'Solid Mix In Nutrition'!I:I,1)))*240))*0.33</f>
        <v>0</v>
      </c>
      <c r="T102" s="30">
        <f>_xlfn.XLOOKUP($M102,Specs!$D:$D,Specs!$E:$E,0)*15*_xlfn.XLOOKUP($L102,Specs!$A:$A,Specs!$C:$C,0)</f>
        <v>0</v>
      </c>
      <c r="U102" s="30">
        <f>_xlfn.XLOOKUP($N102,Specs!$D:$D,Specs!$E:$E,0)*15*_xlfn.XLOOKUP($L102,Specs!$A:$A,Specs!$C:$C,0)</f>
        <v>0</v>
      </c>
      <c r="V102" s="30">
        <f>( ((_xlfn.XLOOKUP($O102,Specs!$H:$H,Specs!$I:$I,0)*_xlfn.XLOOKUP($L102,Specs!$A:$A,Specs!$B:$B,0))/240) *_xlfn.XLOOKUP($H102,'Solid Mix In Nutrition'!A:A,'Solid Mix In Nutrition'!I:I,0)) *IF(AND(NOT($I102=0), COUNTA($I102)),0.5,1)</f>
        <v>0</v>
      </c>
      <c r="W102" s="30">
        <f>( ((_xlfn.XLOOKUP($O102,Specs!$H:$H,Specs!$I:$I,0)*_xlfn.XLOOKUP($L102,Specs!$A:$A,Specs!$B:$B,0))/240) *_xlfn.XLOOKUP($I102,'Solid Mix In Nutrition'!A:A,'Solid Mix In Nutrition'!I:I,0)) *IF(AND(NOT($I102=0), COUNTA($I102)),0.5,0)</f>
        <v>0</v>
      </c>
      <c r="X102" s="30">
        <f>_xlfn.XLOOKUP($P102,Specs!F:F,Specs!G:G,0)*_xlfn.XLOOKUP($J102,'Sweetener Mix In Nutrition'!A:A,'Sweetener Mix In Nutrition'!I:I,0)*_xlfn.XLOOKUP($L102,Specs!A:A,Specs!C:C,0)</f>
        <v>0</v>
      </c>
      <c r="Y102" s="30">
        <f>_xlfn.XLOOKUP($Q102,Specs!F:F,Specs!G:G,0)*_xlfn.XLOOKUP($K102,'Sweetener Mix In Nutrition'!A:A,'Sweetener Mix In Nutrition'!I:I,0)*_xlfn.XLOOKUP($L102,Specs!A:A,Specs!C:C,0)</f>
        <v>0</v>
      </c>
      <c r="Z102" s="34">
        <f t="shared" ref="Z102:Z165" si="4">($R102+$S102+$T102+$X102+$Y102)*IF(ISNUMBER(SEARCH("Fat Free",$D102)),0.0036,0.0012)</f>
        <v>0</v>
      </c>
      <c r="AA102" s="35">
        <f t="shared" ref="AA102:AA165" si="5">CEILING(CONVERT(($R102+$S102+$T102+$X102+$Y102)*IF(ISNUMBER(SEARCH("Fat Free",$D102)),0.0036,0.0012),"ml","tsp"),0.25)</f>
        <v>0</v>
      </c>
      <c r="AB102" s="36">
        <f>(($R102 / 240) * _xlfn.XLOOKUP($D102,'Milk Types Nutrition Per Cup'!A:A,'Milk Types Nutrition Per Cup'!B:B,0)) +(($S102 / 240)  * _xlfn.XLOOKUP($E102,'Milk Types Nutrition Per Cup'!A:A,'Milk Types Nutrition Per Cup'!B:B,0)) +(($T102 / 15)  * _xlfn.XLOOKUP($F102,'Liquid Mix In Nutrition'!A:A,'Liquid Mix In Nutrition'!B:B,0))+(($U102 / 15)  * _xlfn.XLOOKUP($G102,'Liquid Mix In Nutrition'!A:A,'Liquid Mix In Nutrition'!B:B,0))+(($V102 /MAX(1, _xlfn.XLOOKUP($H102,'Solid Mix In Nutrition'!A:A,'Solid Mix In Nutrition'!I:I,1)))  * _xlfn.XLOOKUP($H102,'Solid Mix In Nutrition'!A:A,'Solid Mix In Nutrition'!B:B,0))+(($W102 / MAX(1, _xlfn.XLOOKUP($I102,'Solid Mix In Nutrition'!A:A,'Solid Mix In Nutrition'!I:I,1))))+(($X102 / 100)  * _xlfn.XLOOKUP($J102,'Sweetener Mix In Nutrition'!A:A,'Sweetener Mix In Nutrition'!B:B,0))+(($Y102 / 100)  * _xlfn.XLOOKUP($K102,'Sweetener Mix In Nutrition'!A:A,'Sweetener Mix In Nutrition'!B:B,0))</f>
        <v>0</v>
      </c>
      <c r="AC102" s="36">
        <f>(($R102 / 240) * _xlfn.XLOOKUP($D102,'Milk Types Nutrition Per Cup'!A:A,'Milk Types Nutrition Per Cup'!E:E,0)) +(($S102 / 240)  * _xlfn.XLOOKUP($E102,'Milk Types Nutrition Per Cup'!A:A,'Milk Types Nutrition Per Cup'!E:E,0)) +(($T102 / 15)  * _xlfn.XLOOKUP($F102,'Liquid Mix In Nutrition'!A:A,'Liquid Mix In Nutrition'!E:E,0)) +(($U102 / 15)  * _xlfn.XLOOKUP($G102,'Liquid Mix In Nutrition'!A:A,'Liquid Mix In Nutrition'!E:E,0))+(($V102 / MAX(1, _xlfn.XLOOKUP($H102,'Solid Mix In Nutrition'!A:A,'Solid Mix In Nutrition'!I:I,1)))  * _xlfn.XLOOKUP($H102,'Solid Mix In Nutrition'!A:A,'Solid Mix In Nutrition'!E:E,0))+(($W102 / MAX(1, _xlfn.XLOOKUP($I102,'Solid Mix In Nutrition'!A:A,'Solid Mix In Nutrition'!I:I,1)))  * _xlfn.XLOOKUP($I102,'Solid Mix In Nutrition'!A:A,'Solid Mix In Nutrition'!G:G,0))+(($X102 / 100)  * _xlfn.XLOOKUP($J102,'Sweetener Mix In Nutrition'!A:A,'Sweetener Mix In Nutrition'!E:E,0))+(($Y102 / 100)  * _xlfn.XLOOKUP($K102,'Sweetener Mix In Nutrition'!A:A,'Sweetener Mix In Nutrition'!E:E,0))</f>
        <v>0</v>
      </c>
      <c r="AD102" s="36">
        <f>(($R102 / 240) * _xlfn.XLOOKUP($D102,'Milk Types Nutrition Per Cup'!A:A,'Milk Types Nutrition Per Cup'!E:E,0)) +(($S102 / 240)  * _xlfn.XLOOKUP($E102,'Milk Types Nutrition Per Cup'!A:A,'Milk Types Nutrition Per Cup'!E:E,0)) +(($T102 / 15)  * _xlfn.XLOOKUP($F102,'Liquid Mix In Nutrition'!A:A,'Liquid Mix In Nutrition'!E:E,0)) +(($U102 / 15)  * _xlfn.XLOOKUP($G102,'Liquid Mix In Nutrition'!A:A,'Liquid Mix In Nutrition'!E:E,0))+(($X102 / 100)  * _xlfn.XLOOKUP($J102,'Sweetener Mix In Nutrition'!A:A,'Sweetener Mix In Nutrition'!E:E,0))+(($Y102 / 100)  * _xlfn.XLOOKUP($K102,'Sweetener Mix In Nutrition'!A:A,'Sweetener Mix In Nutrition'!E:E,0))</f>
        <v>0</v>
      </c>
      <c r="AE102" s="37">
        <f>(($R102 / 240) * _xlfn.XLOOKUP($D102,'Milk Types Nutrition Per Cup'!A:A,'Milk Types Nutrition Per Cup'!C:C,0)) +(($S102 / 240)  * _xlfn.XLOOKUP($E102,'Milk Types Nutrition Per Cup'!A:A,'Milk Types Nutrition Per Cup'!C:C,0)) +(($T102 / 15)  * _xlfn.XLOOKUP($F102,'Liquid Mix In Nutrition'!A:A,'Liquid Mix In Nutrition'!C:C,0))+(($U102 / 15)  * _xlfn.XLOOKUP($G102,'Liquid Mix In Nutrition'!A:A,'Liquid Mix In Nutrition'!C:C,0))+(($V102 / MAX(1, _xlfn.XLOOKUP($H102,'Solid Mix In Nutrition'!A:A,'Solid Mix In Nutrition'!I:I,1)))  * _xlfn.XLOOKUP($H102,'Solid Mix In Nutrition'!A:A,'Solid Mix In Nutrition'!C:C,0))+(($W102 / MAX(1, _xlfn.XLOOKUP($I102,'Solid Mix In Nutrition'!A:A,'Solid Mix In Nutrition'!I:I,1)))  * _xlfn.XLOOKUP($I102,'Solid Mix In Nutrition'!A:A,'Solid Mix In Nutrition'!C:C,0))+(($X102 / 100)  * _xlfn.XLOOKUP($J102,'Sweetener Mix In Nutrition'!A:A,'Sweetener Mix In Nutrition'!C:C,0))+(($Y102 / 100)  * _xlfn.XLOOKUP($K102,'Sweetener Mix In Nutrition'!A:A,'Sweetener Mix In Nutrition'!C:C,0))</f>
        <v>0</v>
      </c>
      <c r="AF102" s="38" t="e">
        <f>$AE102 / (_xlfn.XLOOKUP($L102,Specs!A:A,Specs!B:B,0))</f>
        <v>#DIV/0!</v>
      </c>
      <c r="AG102" s="37" t="e">
        <f>60* ($AB102 / _xlfn.XLOOKUP($L102,Specs!A:A,Specs!B:B,0))</f>
        <v>#DIV/0!</v>
      </c>
      <c r="AH102" s="37" t="e">
        <f>60* (AC102 / _xlfn.XLOOKUP($L102,Specs!$A:$A,Specs!$B:$B,0))</f>
        <v>#DIV/0!</v>
      </c>
      <c r="AI102" s="37" t="e">
        <f>60* (AE102 / _xlfn.XLOOKUP($L102,Specs!$A:$A,Specs!$B:$B,0))</f>
        <v>#DIV/0!</v>
      </c>
      <c r="AJ102" s="39">
        <f>(($R102 / 240) * _xlfn.XLOOKUP($D102,'Milk Types Nutrition Per Cup'!A:A,'Milk Types Nutrition Per Cup'!F:F,0)) +(($S102 / 240)  * _xlfn.XLOOKUP($E102,'Milk Types Nutrition Per Cup'!A:A,'Milk Types Nutrition Per Cup'!F:F,0)) +(($T102 / 15)  * _xlfn.XLOOKUP($F102,'Liquid Mix In Nutrition'!A:A,'Liquid Mix In Nutrition'!F:F,0))+(($U102 / 15)  * _xlfn.XLOOKUP($G102,'Liquid Mix In Nutrition'!A:A,'Liquid Mix In Nutrition'!F:F,0))+(($V102 / MAX(1, _xlfn.XLOOKUP($H102,'Solid Mix In Nutrition'!A:A,'Solid Mix In Nutrition'!I:I,1)))  * _xlfn.XLOOKUP($H102,'Solid Mix In Nutrition'!A:A,'Solid Mix In Nutrition'!F:F,0))+(($W102 / MAX(1, _xlfn.XLOOKUP($I102,'Solid Mix In Nutrition'!A:A,'Solid Mix In Nutrition'!I:I,1)))  * _xlfn.XLOOKUP($I102,'Solid Mix In Nutrition'!A:A,'Solid Mix In Nutrition'!F:F,0))+(($X102 / 100)  * _xlfn.XLOOKUP($J102,'Sweetener Mix In Nutrition'!A:A,'Sweetener Mix In Nutrition'!F:F,0))+(($Y102 / 100)  * _xlfn.XLOOKUP($K102,'Sweetener Mix In Nutrition'!A:A,'Sweetener Mix In Nutrition'!F:F,0))</f>
        <v>0</v>
      </c>
      <c r="AK102" s="46">
        <f>[2]Sheet1!AG102</f>
        <v>0</v>
      </c>
      <c r="AL102" s="47"/>
      <c r="AM102" s="40">
        <f>IF(ISERROR(((AL102/Specs!$L$3)*Specs!$L$2)*2),0,ROUNDUP((((AL102/Specs!$L$3)*Specs!$L$2)*2),0))</f>
        <v>0</v>
      </c>
      <c r="AN102" s="48">
        <f>ROUNDUP(((AJ102+Specs!$R$2+Specs!$S$2+_xlfn.XLOOKUP($L102,Specs!A:A,Specs!V:V,0))*Specs!$N$2)+AM102,0)</f>
        <v>1</v>
      </c>
      <c r="AO102" s="40">
        <f>ROUNDUP(((AJ102+Specs!$R$2+Specs!$S$2+_xlfn.XLOOKUP($L102,Specs!A:A,Specs!V:V,0))*Specs!$N$2),0)</f>
        <v>1</v>
      </c>
      <c r="AP102" s="30"/>
    </row>
    <row r="103" spans="1:42" x14ac:dyDescent="0.25">
      <c r="A103" s="41" t="str">
        <f>_xlfn.CONCAT(_xlfn.XLOOKUP("What's Your Name?",[1]Sheet1!$1:$1,[1]Sheet1!103:103)," | ",TEXT(_xlfn.XLOOKUP("Completion time",[1]Sheet1!$1:$1,[1]Sheet1!103:103),"dddd, mmm dd, yyyy hh:mm AM/PM"))</f>
        <v xml:space="preserve"> | Saturday, Jan 00, 1900 12:00 AM</v>
      </c>
      <c r="B103" s="76">
        <f>_xlfn.XLOOKUP("What's Your Email Address?",[1]Sheet1!$1:$1,[1]Sheet1!103:103)</f>
        <v>0</v>
      </c>
      <c r="C103" s="31">
        <f>IF(ISBLANK(_xlfn.XLOOKUP("Which Flavor? (Pint Price | Quart Price | Half Gallon Price) (NOTE: Prices may fluctuate based on market conditions)",[1]Sheet1!$1:$1,[1]Sheet1!103:103)),_xlfn.XLOOKUP("Name Your Ice Cream!",[1]Sheet1!$1:$1,[1]Sheet1!103:103),IF(ISNUMBER(FIND("(", _xlfn.XLOOKUP("Which Flavor? (Pint Price | Quart Price | Half Gallon Price) (NOTE: Prices may fluctuate based on market conditions)",[1]Sheet1!$1:$1,[1]Sheet1!103:103))), LEFT(_xlfn.XLOOKUP("Which Flavor? (Pint Price | Quart Price | Half Gallon Price) (NOTE: Prices may fluctuate based on market conditions)",[1]Sheet1!$1:$1,[1]Sheet1!103:103), FIND("(", _xlfn.XLOOKUP("Which Flavor? (Pint Price | Quart Price | Half Gallon Price) (NOTE: Prices may fluctuate based on market conditions)",[1]Sheet1!$1:$1,[1]Sheet1!103:103)) - 1), _xlfn.XLOOKUP("Which Flavor? (Pint Price | Quart Price | Half Gallon Price) (NOTE: Prices may fluctuate based on market conditions)",[1]Sheet1!$1:$1,[1]Sheet1!103:103)))</f>
        <v>0</v>
      </c>
      <c r="D103" s="31">
        <f>IF(COUNTIF('Premade Flavors'!$A:$A, $C103) &gt; 0,IF(ISBLANK(_xlfn.XLOOKUP("What Ice Cream Base Do You Want To Change It To?",[1]Sheet1!$1:$1,[1]Sheet1!103:103)),_xlfn.XLOOKUP($C103,'Premade Flavors'!$A:$A,'Premade Flavors'!B:B),_xlfn.XLOOKUP("What Ice Cream Base Do You Want To Change It To?",[1]Sheet1!$1:$1,[1]Sheet1!103:103)),_xlfn.XLOOKUP(_xlfn.XLOOKUP("What Kind Of Ice Cream Base Do You Want? ",[1]Sheet1!$1:$1,[1]Sheet1!103:103),'Milk Types Nutrition Per Cup'!O:O,'Milk Types Nutrition Per Cup'!P:P,""))</f>
        <v>0</v>
      </c>
      <c r="E103" s="31">
        <f>IF(COUNTIF('Premade Flavors'!$A:$A, $C103) &gt; 0,IF(ISBLANK(_xlfn.XLOOKUP("What Ice Cream Base Do You Want To Change It To?",[1]Sheet1!$1:$1,[1]Sheet1!103:103)),_xlfn.XLOOKUP($C103,'Premade Flavors'!$A:$A,'Premade Flavors'!C:C),_xlfn.XLOOKUP("What Ice Cream Base Do You Want To Change It To?",[1]Sheet1!$1:$1,[1]Sheet1!103:103)),_xlfn.XLOOKUP(_xlfn.XLOOKUP("What Kind Of Ice Cream Base Do You Want? ",[1]Sheet1!$1:$1,[1]Sheet1!103:103),'Milk Types Nutrition Per Cup'!$O:$O,'Milk Types Nutrition Per Cup'!$Q:$Q,""))</f>
        <v>0</v>
      </c>
      <c r="F103" s="31">
        <f>IF(COUNTIF('Premade Flavors'!$A:$A, $C103) &gt; 0,_xlfn.XLOOKUP($C103,'Premade Flavors'!$A:$A,'Premade Flavors'!E:E),_xlfn.XLOOKUP("What's The First Flavor You Want? ",[1]Sheet1!$1:$1,[1]Sheet1!103:103))</f>
        <v>0</v>
      </c>
      <c r="G103" s="31">
        <f>IF(COUNTIF('Premade Flavors'!$A:$A, $C103) &gt; 0,_xlfn.XLOOKUP($C103,'Premade Flavors'!$A:$A,'Premade Flavors'!F:F),_xlfn.XLOOKUP("What's the Second Flavor You Want?",[1]Sheet1!$1:$1,[1]Sheet1!103:103))</f>
        <v>0</v>
      </c>
      <c r="H103" s="31">
        <f>IF(COUNTIF('Premade Flavors'!$A:$A, $C103) &gt; 0,_xlfn.XLOOKUP($C103,'Premade Flavors'!$A:$A,'Premade Flavors'!G:G),_xlfn.XLOOKUP("What's The First Mix In That You Want? ",[1]Sheet1!$1:$1,[1]Sheet1!103:103))</f>
        <v>0</v>
      </c>
      <c r="I103" s="31">
        <f>IF(COUNTIF('Premade Flavors'!$A:$A, $C101) &gt; 0,_xlfn.XLOOKUP($C101,'Premade Flavors'!$A:$A,'Premade Flavors'!H:H),IF([2]Sheet1!W101= 0,,[2]Sheet1!W101))</f>
        <v>0</v>
      </c>
      <c r="J103" s="31">
        <f>IF(COUNTIF('Premade Flavors'!$A:$A,$C103)&gt;0,IF(_xlfn.XLOOKUP("Should It Use Sugar or A Non-Sugar Sweetner?",[1]Sheet1!$1:$1,[1]Sheet1!103:103)="Sugar",_xlfn.XLOOKUP($C103,'Premade Flavors'!$A:$A,'Premade Flavors'!I:I),"Stevia"),_xlfn.XLOOKUP("What Sweetner Do You Want?",[1]Sheet1!$1:$1,[1]Sheet1!103:103))</f>
        <v>0</v>
      </c>
      <c r="K103" s="31"/>
      <c r="L103" s="77">
        <f>_xlfn.XLOOKUP("How Much Ice Cream Do You Want?",[1]Sheet1!$1:$1,[1]Sheet1!103:103)</f>
        <v>0</v>
      </c>
      <c r="M103" s="45">
        <f>IF(COUNTIF('Premade Flavors'!$A:$A, $C103) &gt; 0,_xlfn.XLOOKUP($C103,'Premade Flavors'!$A:$A,'Premade Flavors'!M:M),_xlfn.XLOOKUP("How Strong Do You Want The First Flavor?",[1]Sheet1!$1:$1,[1]Sheet1!103:103))</f>
        <v>0</v>
      </c>
      <c r="N103" s="45">
        <f>IF(COUNTIF('Premade Flavors'!$A:$A, $C103) &gt; 0,_xlfn.XLOOKUP($C103,'Premade Flavors'!$A:$A,'Premade Flavors'!N:N),_xlfn.XLOOKUP("How Strong Do You Want The Second Flavor?",[1]Sheet1!$1:$1,[1]Sheet1!103:103))</f>
        <v>0</v>
      </c>
      <c r="O103" s="45">
        <f>IF(COUNTIF('Premade Flavors'!$A:$A, $C103) &gt; 0,_xlfn.XLOOKUP($C103,'Premade Flavors'!$A:$A,'Premade Flavors'!O:O),_xlfn.XLOOKUP("How Dense Should the Mix Ins Be?",[1]Sheet1!$1:$1,[1]Sheet1!103:103))</f>
        <v>0</v>
      </c>
      <c r="P103" s="45">
        <f>IF(COUNTIF('Premade Flavors'!$A:$A, $C103) &gt; 0,_xlfn.XLOOKUP($C103,'Premade Flavors'!$A:$A,'Premade Flavors'!P:P),_xlfn.XLOOKUP("How Much Of The First Sweetner? ",[1]Sheet1!$1:$1,[1]Sheet1!103:103))</f>
        <v>0</v>
      </c>
      <c r="Q103" s="45">
        <f>IF(COUNTIF('Premade Flavors'!$A:$A, $C103) &gt; 0,_xlfn.XLOOKUP($C103,'Premade Flavors'!$A:$A,'Premade Flavors'!Q:Q),[2]Sheet1!S103)</f>
        <v>0</v>
      </c>
      <c r="R103" s="30">
        <f>(_xlfn.XLOOKUP($L103,Specs!A:A,Specs!B:B,0)-(IF(_xlfn.XLOOKUP($F103,'Liquid Mix In Nutrition'!A:A,'Liquid Mix In Nutrition'!J:J,0)="Yes",0,$T103))-(IF(_xlfn.XLOOKUP($G103,'Liquid Mix In Nutrition'!A:A,'Liquid Mix In Nutrition'!J:J,0)="Yes",0,$U103))-(($V103/MAX(1,_xlfn.XLOOKUP($H103,'Solid Mix In Nutrition'!A:A,'Solid Mix In Nutrition'!I:I,1)))*240)-(($W103/MAX(1,_xlfn.XLOOKUP($I103,'Solid Mix In Nutrition'!A:A,'Solid Mix In Nutrition'!I:I,1)))*240))*0.66</f>
        <v>0</v>
      </c>
      <c r="S103" s="30">
        <f>(_xlfn.XLOOKUP($L103,Specs!A:A,Specs!B:B,0)-(IF(_xlfn.XLOOKUP($F103,'Liquid Mix In Nutrition'!A:A,'Liquid Mix In Nutrition'!J:J,0)="Yes",0,$T103))-(IF(_xlfn.XLOOKUP($G103,'Liquid Mix In Nutrition'!A:A,'Liquid Mix In Nutrition'!J:J,0)="Yes",0,$U103))-(($V103/MAX(1,_xlfn.XLOOKUP($H103,'Solid Mix In Nutrition'!A:A,'Solid Mix In Nutrition'!I:I,1)))*240)-(($W103/MAX(1,_xlfn.XLOOKUP($I103,'Solid Mix In Nutrition'!A:A,'Solid Mix In Nutrition'!I:I,1)))*240))*0.33</f>
        <v>0</v>
      </c>
      <c r="T103" s="30">
        <f>_xlfn.XLOOKUP($M103,Specs!$D:$D,Specs!$E:$E,0)*15*_xlfn.XLOOKUP($L103,Specs!$A:$A,Specs!$C:$C,0)</f>
        <v>0</v>
      </c>
      <c r="U103" s="30">
        <f>_xlfn.XLOOKUP($N103,Specs!$D:$D,Specs!$E:$E,0)*15*_xlfn.XLOOKUP($L103,Specs!$A:$A,Specs!$C:$C,0)</f>
        <v>0</v>
      </c>
      <c r="V103" s="30">
        <f>( ((_xlfn.XLOOKUP($O103,Specs!$H:$H,Specs!$I:$I,0)*_xlfn.XLOOKUP($L103,Specs!$A:$A,Specs!$B:$B,0))/240) *_xlfn.XLOOKUP($H103,'Solid Mix In Nutrition'!A:A,'Solid Mix In Nutrition'!I:I,0)) *IF(AND(NOT($I103=0), COUNTA($I103)),0.5,1)</f>
        <v>0</v>
      </c>
      <c r="W103" s="30">
        <f>( ((_xlfn.XLOOKUP($O103,Specs!$H:$H,Specs!$I:$I,0)*_xlfn.XLOOKUP($L103,Specs!$A:$A,Specs!$B:$B,0))/240) *_xlfn.XLOOKUP($I103,'Solid Mix In Nutrition'!A:A,'Solid Mix In Nutrition'!I:I,0)) *IF(AND(NOT($I103=0), COUNTA($I103)),0.5,0)</f>
        <v>0</v>
      </c>
      <c r="X103" s="30">
        <f>_xlfn.XLOOKUP($P103,Specs!F:F,Specs!G:G,0)*_xlfn.XLOOKUP($J103,'Sweetener Mix In Nutrition'!A:A,'Sweetener Mix In Nutrition'!I:I,0)*_xlfn.XLOOKUP($L103,Specs!A:A,Specs!C:C,0)</f>
        <v>0</v>
      </c>
      <c r="Y103" s="30">
        <f>_xlfn.XLOOKUP($Q103,Specs!F:F,Specs!G:G,0)*_xlfn.XLOOKUP($K103,'Sweetener Mix In Nutrition'!A:A,'Sweetener Mix In Nutrition'!I:I,0)*_xlfn.XLOOKUP($L103,Specs!A:A,Specs!C:C,0)</f>
        <v>0</v>
      </c>
      <c r="Z103" s="34">
        <f t="shared" si="4"/>
        <v>0</v>
      </c>
      <c r="AA103" s="35">
        <f t="shared" si="5"/>
        <v>0</v>
      </c>
      <c r="AB103" s="36">
        <f>(($R103 / 240) * _xlfn.XLOOKUP($D103,'Milk Types Nutrition Per Cup'!A:A,'Milk Types Nutrition Per Cup'!B:B,0)) +(($S103 / 240)  * _xlfn.XLOOKUP($E103,'Milk Types Nutrition Per Cup'!A:A,'Milk Types Nutrition Per Cup'!B:B,0)) +(($T103 / 15)  * _xlfn.XLOOKUP($F103,'Liquid Mix In Nutrition'!A:A,'Liquid Mix In Nutrition'!B:B,0))+(($U103 / 15)  * _xlfn.XLOOKUP($G103,'Liquid Mix In Nutrition'!A:A,'Liquid Mix In Nutrition'!B:B,0))+(($V103 /MAX(1, _xlfn.XLOOKUP($H103,'Solid Mix In Nutrition'!A:A,'Solid Mix In Nutrition'!I:I,1)))  * _xlfn.XLOOKUP($H103,'Solid Mix In Nutrition'!A:A,'Solid Mix In Nutrition'!B:B,0))+(($W103 / MAX(1, _xlfn.XLOOKUP($I103,'Solid Mix In Nutrition'!A:A,'Solid Mix In Nutrition'!I:I,1))))+(($X103 / 100)  * _xlfn.XLOOKUP($J103,'Sweetener Mix In Nutrition'!A:A,'Sweetener Mix In Nutrition'!B:B,0))+(($Y103 / 100)  * _xlfn.XLOOKUP($K103,'Sweetener Mix In Nutrition'!A:A,'Sweetener Mix In Nutrition'!B:B,0))</f>
        <v>0</v>
      </c>
      <c r="AC103" s="36">
        <f>(($R103 / 240) * _xlfn.XLOOKUP($D103,'Milk Types Nutrition Per Cup'!A:A,'Milk Types Nutrition Per Cup'!E:E,0)) +(($S103 / 240)  * _xlfn.XLOOKUP($E103,'Milk Types Nutrition Per Cup'!A:A,'Milk Types Nutrition Per Cup'!E:E,0)) +(($T103 / 15)  * _xlfn.XLOOKUP($F103,'Liquid Mix In Nutrition'!A:A,'Liquid Mix In Nutrition'!E:E,0)) +(($U103 / 15)  * _xlfn.XLOOKUP($G103,'Liquid Mix In Nutrition'!A:A,'Liquid Mix In Nutrition'!E:E,0))+(($V103 / MAX(1, _xlfn.XLOOKUP($H103,'Solid Mix In Nutrition'!A:A,'Solid Mix In Nutrition'!I:I,1)))  * _xlfn.XLOOKUP($H103,'Solid Mix In Nutrition'!A:A,'Solid Mix In Nutrition'!E:E,0))+(($W103 / MAX(1, _xlfn.XLOOKUP($I103,'Solid Mix In Nutrition'!A:A,'Solid Mix In Nutrition'!I:I,1)))  * _xlfn.XLOOKUP($I103,'Solid Mix In Nutrition'!A:A,'Solid Mix In Nutrition'!G:G,0))+(($X103 / 100)  * _xlfn.XLOOKUP($J103,'Sweetener Mix In Nutrition'!A:A,'Sweetener Mix In Nutrition'!E:E,0))+(($Y103 / 100)  * _xlfn.XLOOKUP($K103,'Sweetener Mix In Nutrition'!A:A,'Sweetener Mix In Nutrition'!E:E,0))</f>
        <v>0</v>
      </c>
      <c r="AD103" s="36">
        <f>(($R103 / 240) * _xlfn.XLOOKUP($D103,'Milk Types Nutrition Per Cup'!A:A,'Milk Types Nutrition Per Cup'!E:E,0)) +(($S103 / 240)  * _xlfn.XLOOKUP($E103,'Milk Types Nutrition Per Cup'!A:A,'Milk Types Nutrition Per Cup'!E:E,0)) +(($T103 / 15)  * _xlfn.XLOOKUP($F103,'Liquid Mix In Nutrition'!A:A,'Liquid Mix In Nutrition'!E:E,0)) +(($U103 / 15)  * _xlfn.XLOOKUP($G103,'Liquid Mix In Nutrition'!A:A,'Liquid Mix In Nutrition'!E:E,0))+(($X103 / 100)  * _xlfn.XLOOKUP($J103,'Sweetener Mix In Nutrition'!A:A,'Sweetener Mix In Nutrition'!E:E,0))+(($Y103 / 100)  * _xlfn.XLOOKUP($K103,'Sweetener Mix In Nutrition'!A:A,'Sweetener Mix In Nutrition'!E:E,0))</f>
        <v>0</v>
      </c>
      <c r="AE103" s="37">
        <f>(($R103 / 240) * _xlfn.XLOOKUP($D103,'Milk Types Nutrition Per Cup'!A:A,'Milk Types Nutrition Per Cup'!C:C,0)) +(($S103 / 240)  * _xlfn.XLOOKUP($E103,'Milk Types Nutrition Per Cup'!A:A,'Milk Types Nutrition Per Cup'!C:C,0)) +(($T103 / 15)  * _xlfn.XLOOKUP($F103,'Liquid Mix In Nutrition'!A:A,'Liquid Mix In Nutrition'!C:C,0))+(($U103 / 15)  * _xlfn.XLOOKUP($G103,'Liquid Mix In Nutrition'!A:A,'Liquid Mix In Nutrition'!C:C,0))+(($V103 / MAX(1, _xlfn.XLOOKUP($H103,'Solid Mix In Nutrition'!A:A,'Solid Mix In Nutrition'!I:I,1)))  * _xlfn.XLOOKUP($H103,'Solid Mix In Nutrition'!A:A,'Solid Mix In Nutrition'!C:C,0))+(($W103 / MAX(1, _xlfn.XLOOKUP($I103,'Solid Mix In Nutrition'!A:A,'Solid Mix In Nutrition'!I:I,1)))  * _xlfn.XLOOKUP($I103,'Solid Mix In Nutrition'!A:A,'Solid Mix In Nutrition'!C:C,0))+(($X103 / 100)  * _xlfn.XLOOKUP($J103,'Sweetener Mix In Nutrition'!A:A,'Sweetener Mix In Nutrition'!C:C,0))+(($Y103 / 100)  * _xlfn.XLOOKUP($K103,'Sweetener Mix In Nutrition'!A:A,'Sweetener Mix In Nutrition'!C:C,0))</f>
        <v>0</v>
      </c>
      <c r="AF103" s="38" t="e">
        <f>$AE103 / (_xlfn.XLOOKUP($L103,Specs!A:A,Specs!B:B,0))</f>
        <v>#DIV/0!</v>
      </c>
      <c r="AG103" s="37" t="e">
        <f>60* ($AB103 / _xlfn.XLOOKUP($L103,Specs!A:A,Specs!B:B,0))</f>
        <v>#DIV/0!</v>
      </c>
      <c r="AH103" s="37" t="e">
        <f>60* (AC103 / _xlfn.XLOOKUP($L103,Specs!$A:$A,Specs!$B:$B,0))</f>
        <v>#DIV/0!</v>
      </c>
      <c r="AI103" s="37" t="e">
        <f>60* (AE103 / _xlfn.XLOOKUP($L103,Specs!$A:$A,Specs!$B:$B,0))</f>
        <v>#DIV/0!</v>
      </c>
      <c r="AJ103" s="39">
        <f>(($R103 / 240) * _xlfn.XLOOKUP($D103,'Milk Types Nutrition Per Cup'!A:A,'Milk Types Nutrition Per Cup'!F:F,0)) +(($S103 / 240)  * _xlfn.XLOOKUP($E103,'Milk Types Nutrition Per Cup'!A:A,'Milk Types Nutrition Per Cup'!F:F,0)) +(($T103 / 15)  * _xlfn.XLOOKUP($F103,'Liquid Mix In Nutrition'!A:A,'Liquid Mix In Nutrition'!F:F,0))+(($U103 / 15)  * _xlfn.XLOOKUP($G103,'Liquid Mix In Nutrition'!A:A,'Liquid Mix In Nutrition'!F:F,0))+(($V103 / MAX(1, _xlfn.XLOOKUP($H103,'Solid Mix In Nutrition'!A:A,'Solid Mix In Nutrition'!I:I,1)))  * _xlfn.XLOOKUP($H103,'Solid Mix In Nutrition'!A:A,'Solid Mix In Nutrition'!F:F,0))+(($W103 / MAX(1, _xlfn.XLOOKUP($I103,'Solid Mix In Nutrition'!A:A,'Solid Mix In Nutrition'!I:I,1)))  * _xlfn.XLOOKUP($I103,'Solid Mix In Nutrition'!A:A,'Solid Mix In Nutrition'!F:F,0))+(($X103 / 100)  * _xlfn.XLOOKUP($J103,'Sweetener Mix In Nutrition'!A:A,'Sweetener Mix In Nutrition'!F:F,0))+(($Y103 / 100)  * _xlfn.XLOOKUP($K103,'Sweetener Mix In Nutrition'!A:A,'Sweetener Mix In Nutrition'!F:F,0))</f>
        <v>0</v>
      </c>
      <c r="AK103" s="46">
        <f>[2]Sheet1!AG103</f>
        <v>0</v>
      </c>
      <c r="AL103" s="47"/>
      <c r="AM103" s="40">
        <f>IF(ISERROR(((AL103/Specs!$L$3)*Specs!$L$2)*2),0,ROUNDUP((((AL103/Specs!$L$3)*Specs!$L$2)*2),0))</f>
        <v>0</v>
      </c>
      <c r="AN103" s="48">
        <f>ROUNDUP(((AJ103+Specs!$R$2+Specs!$S$2+_xlfn.XLOOKUP($L103,Specs!A:A,Specs!V:V,0))*Specs!$N$2)+AM103,0)</f>
        <v>1</v>
      </c>
      <c r="AO103" s="40">
        <f>ROUNDUP(((AJ103+Specs!$R$2+Specs!$S$2+_xlfn.XLOOKUP($L103,Specs!A:A,Specs!V:V,0))*Specs!$N$2),0)</f>
        <v>1</v>
      </c>
      <c r="AP103" s="30"/>
    </row>
    <row r="104" spans="1:42" x14ac:dyDescent="0.25">
      <c r="A104" s="41" t="str">
        <f>_xlfn.CONCAT(_xlfn.XLOOKUP("What's Your Name?",[1]Sheet1!$1:$1,[1]Sheet1!104:104)," | ",TEXT(_xlfn.XLOOKUP("Completion time",[1]Sheet1!$1:$1,[1]Sheet1!104:104),"dddd, mmm dd, yyyy hh:mm AM/PM"))</f>
        <v xml:space="preserve"> | Saturday, Jan 00, 1900 12:00 AM</v>
      </c>
      <c r="B104" s="76">
        <f>_xlfn.XLOOKUP("What's Your Email Address?",[1]Sheet1!$1:$1,[1]Sheet1!104:104)</f>
        <v>0</v>
      </c>
      <c r="C104" s="31">
        <f>IF(ISBLANK(_xlfn.XLOOKUP("Which Flavor? (Pint Price | Quart Price | Half Gallon Price) (NOTE: Prices may fluctuate based on market conditions)",[1]Sheet1!$1:$1,[1]Sheet1!104:104)),_xlfn.XLOOKUP("Name Your Ice Cream!",[1]Sheet1!$1:$1,[1]Sheet1!104:104),IF(ISNUMBER(FIND("(", _xlfn.XLOOKUP("Which Flavor? (Pint Price | Quart Price | Half Gallon Price) (NOTE: Prices may fluctuate based on market conditions)",[1]Sheet1!$1:$1,[1]Sheet1!104:104))), LEFT(_xlfn.XLOOKUP("Which Flavor? (Pint Price | Quart Price | Half Gallon Price) (NOTE: Prices may fluctuate based on market conditions)",[1]Sheet1!$1:$1,[1]Sheet1!104:104), FIND("(", _xlfn.XLOOKUP("Which Flavor? (Pint Price | Quart Price | Half Gallon Price) (NOTE: Prices may fluctuate based on market conditions)",[1]Sheet1!$1:$1,[1]Sheet1!104:104)) - 1), _xlfn.XLOOKUP("Which Flavor? (Pint Price | Quart Price | Half Gallon Price) (NOTE: Prices may fluctuate based on market conditions)",[1]Sheet1!$1:$1,[1]Sheet1!104:104)))</f>
        <v>0</v>
      </c>
      <c r="D104" s="31">
        <f>IF(COUNTIF('Premade Flavors'!$A:$A, $C104) &gt; 0,IF(ISBLANK(_xlfn.XLOOKUP("What Ice Cream Base Do You Want To Change It To?",[1]Sheet1!$1:$1,[1]Sheet1!104:104)),_xlfn.XLOOKUP($C104,'Premade Flavors'!$A:$A,'Premade Flavors'!B:B),_xlfn.XLOOKUP("What Ice Cream Base Do You Want To Change It To?",[1]Sheet1!$1:$1,[1]Sheet1!104:104)),_xlfn.XLOOKUP(_xlfn.XLOOKUP("What Kind Of Ice Cream Base Do You Want? ",[1]Sheet1!$1:$1,[1]Sheet1!104:104),'Milk Types Nutrition Per Cup'!O:O,'Milk Types Nutrition Per Cup'!P:P,""))</f>
        <v>0</v>
      </c>
      <c r="E104" s="31">
        <f>IF(COUNTIF('Premade Flavors'!$A:$A, $C104) &gt; 0,IF(ISBLANK(_xlfn.XLOOKUP("What Ice Cream Base Do You Want To Change It To?",[1]Sheet1!$1:$1,[1]Sheet1!104:104)),_xlfn.XLOOKUP($C104,'Premade Flavors'!$A:$A,'Premade Flavors'!C:C),_xlfn.XLOOKUP("What Ice Cream Base Do You Want To Change It To?",[1]Sheet1!$1:$1,[1]Sheet1!104:104)),_xlfn.XLOOKUP(_xlfn.XLOOKUP("What Kind Of Ice Cream Base Do You Want? ",[1]Sheet1!$1:$1,[1]Sheet1!104:104),'Milk Types Nutrition Per Cup'!$O:$O,'Milk Types Nutrition Per Cup'!$Q:$Q,""))</f>
        <v>0</v>
      </c>
      <c r="F104" s="31">
        <f>IF(COUNTIF('Premade Flavors'!$A:$A, $C104) &gt; 0,_xlfn.XLOOKUP($C104,'Premade Flavors'!$A:$A,'Premade Flavors'!E:E),_xlfn.XLOOKUP("What's The First Flavor You Want? ",[1]Sheet1!$1:$1,[1]Sheet1!104:104))</f>
        <v>0</v>
      </c>
      <c r="G104" s="31">
        <f>IF(COUNTIF('Premade Flavors'!$A:$A, $C104) &gt; 0,_xlfn.XLOOKUP($C104,'Premade Flavors'!$A:$A,'Premade Flavors'!F:F),_xlfn.XLOOKUP("What's the Second Flavor You Want?",[1]Sheet1!$1:$1,[1]Sheet1!104:104))</f>
        <v>0</v>
      </c>
      <c r="H104" s="31">
        <f>IF(COUNTIF('Premade Flavors'!$A:$A, $C104) &gt; 0,_xlfn.XLOOKUP($C104,'Premade Flavors'!$A:$A,'Premade Flavors'!G:G),_xlfn.XLOOKUP("What's The First Mix In That You Want? ",[1]Sheet1!$1:$1,[1]Sheet1!104:104))</f>
        <v>0</v>
      </c>
      <c r="I104" s="31">
        <f>IF(COUNTIF('Premade Flavors'!$A:$A, $C102) &gt; 0,_xlfn.XLOOKUP($C102,'Premade Flavors'!$A:$A,'Premade Flavors'!H:H),IF([2]Sheet1!W102= 0,,[2]Sheet1!W102))</f>
        <v>0</v>
      </c>
      <c r="J104" s="31">
        <f>IF(COUNTIF('Premade Flavors'!$A:$A,$C104)&gt;0,IF(_xlfn.XLOOKUP("Should It Use Sugar or A Non-Sugar Sweetner?",[1]Sheet1!$1:$1,[1]Sheet1!104:104)="Sugar",_xlfn.XLOOKUP($C104,'Premade Flavors'!$A:$A,'Premade Flavors'!I:I),"Stevia"),_xlfn.XLOOKUP("What Sweetner Do You Want?",[1]Sheet1!$1:$1,[1]Sheet1!104:104))</f>
        <v>0</v>
      </c>
      <c r="K104" s="31"/>
      <c r="L104" s="77">
        <f>_xlfn.XLOOKUP("How Much Ice Cream Do You Want?",[1]Sheet1!$1:$1,[1]Sheet1!104:104)</f>
        <v>0</v>
      </c>
      <c r="M104" s="45">
        <f>IF(COUNTIF('Premade Flavors'!$A:$A, $C104) &gt; 0,_xlfn.XLOOKUP($C104,'Premade Flavors'!$A:$A,'Premade Flavors'!M:M),_xlfn.XLOOKUP("How Strong Do You Want The First Flavor?",[1]Sheet1!$1:$1,[1]Sheet1!104:104))</f>
        <v>0</v>
      </c>
      <c r="N104" s="45">
        <f>IF(COUNTIF('Premade Flavors'!$A:$A, $C104) &gt; 0,_xlfn.XLOOKUP($C104,'Premade Flavors'!$A:$A,'Premade Flavors'!N:N),_xlfn.XLOOKUP("How Strong Do You Want The Second Flavor?",[1]Sheet1!$1:$1,[1]Sheet1!104:104))</f>
        <v>0</v>
      </c>
      <c r="O104" s="45">
        <f>IF(COUNTIF('Premade Flavors'!$A:$A, $C104) &gt; 0,_xlfn.XLOOKUP($C104,'Premade Flavors'!$A:$A,'Premade Flavors'!O:O),_xlfn.XLOOKUP("How Dense Should the Mix Ins Be?",[1]Sheet1!$1:$1,[1]Sheet1!104:104))</f>
        <v>0</v>
      </c>
      <c r="P104" s="45">
        <f>IF(COUNTIF('Premade Flavors'!$A:$A, $C104) &gt; 0,_xlfn.XLOOKUP($C104,'Premade Flavors'!$A:$A,'Premade Flavors'!P:P),_xlfn.XLOOKUP("How Much Of The First Sweetner? ",[1]Sheet1!$1:$1,[1]Sheet1!104:104))</f>
        <v>0</v>
      </c>
      <c r="Q104" s="45">
        <f>IF(COUNTIF('Premade Flavors'!$A:$A, $C104) &gt; 0,_xlfn.XLOOKUP($C104,'Premade Flavors'!$A:$A,'Premade Flavors'!Q:Q),[2]Sheet1!S104)</f>
        <v>0</v>
      </c>
      <c r="R104" s="30">
        <f>(_xlfn.XLOOKUP($L104,Specs!A:A,Specs!B:B,0)-(IF(_xlfn.XLOOKUP($F104,'Liquid Mix In Nutrition'!A:A,'Liquid Mix In Nutrition'!J:J,0)="Yes",0,$T104))-(IF(_xlfn.XLOOKUP($G104,'Liquid Mix In Nutrition'!A:A,'Liquid Mix In Nutrition'!J:J,0)="Yes",0,$U104))-(($V104/MAX(1,_xlfn.XLOOKUP($H104,'Solid Mix In Nutrition'!A:A,'Solid Mix In Nutrition'!I:I,1)))*240)-(($W104/MAX(1,_xlfn.XLOOKUP($I104,'Solid Mix In Nutrition'!A:A,'Solid Mix In Nutrition'!I:I,1)))*240))*0.66</f>
        <v>0</v>
      </c>
      <c r="S104" s="30">
        <f>(_xlfn.XLOOKUP($L104,Specs!A:A,Specs!B:B,0)-(IF(_xlfn.XLOOKUP($F104,'Liquid Mix In Nutrition'!A:A,'Liquid Mix In Nutrition'!J:J,0)="Yes",0,$T104))-(IF(_xlfn.XLOOKUP($G104,'Liquid Mix In Nutrition'!A:A,'Liquid Mix In Nutrition'!J:J,0)="Yes",0,$U104))-(($V104/MAX(1,_xlfn.XLOOKUP($H104,'Solid Mix In Nutrition'!A:A,'Solid Mix In Nutrition'!I:I,1)))*240)-(($W104/MAX(1,_xlfn.XLOOKUP($I104,'Solid Mix In Nutrition'!A:A,'Solid Mix In Nutrition'!I:I,1)))*240))*0.33</f>
        <v>0</v>
      </c>
      <c r="T104" s="30">
        <f>_xlfn.XLOOKUP($M104,Specs!$D:$D,Specs!$E:$E,0)*15*_xlfn.XLOOKUP($L104,Specs!$A:$A,Specs!$C:$C,0)</f>
        <v>0</v>
      </c>
      <c r="U104" s="30">
        <f>_xlfn.XLOOKUP($N104,Specs!$D:$D,Specs!$E:$E,0)*15*_xlfn.XLOOKUP($L104,Specs!$A:$A,Specs!$C:$C,0)</f>
        <v>0</v>
      </c>
      <c r="V104" s="30">
        <f>( ((_xlfn.XLOOKUP($O104,Specs!$H:$H,Specs!$I:$I,0)*_xlfn.XLOOKUP($L104,Specs!$A:$A,Specs!$B:$B,0))/240) *_xlfn.XLOOKUP($H104,'Solid Mix In Nutrition'!A:A,'Solid Mix In Nutrition'!I:I,0)) *IF(AND(NOT($I104=0), COUNTA($I104)),0.5,1)</f>
        <v>0</v>
      </c>
      <c r="W104" s="30">
        <f>( ((_xlfn.XLOOKUP($O104,Specs!$H:$H,Specs!$I:$I,0)*_xlfn.XLOOKUP($L104,Specs!$A:$A,Specs!$B:$B,0))/240) *_xlfn.XLOOKUP($I104,'Solid Mix In Nutrition'!A:A,'Solid Mix In Nutrition'!I:I,0)) *IF(AND(NOT($I104=0), COUNTA($I104)),0.5,0)</f>
        <v>0</v>
      </c>
      <c r="X104" s="30">
        <f>_xlfn.XLOOKUP($P104,Specs!F:F,Specs!G:G,0)*_xlfn.XLOOKUP($J104,'Sweetener Mix In Nutrition'!A:A,'Sweetener Mix In Nutrition'!I:I,0)*_xlfn.XLOOKUP($L104,Specs!A:A,Specs!C:C,0)</f>
        <v>0</v>
      </c>
      <c r="Y104" s="30">
        <f>_xlfn.XLOOKUP($Q104,Specs!F:F,Specs!G:G,0)*_xlfn.XLOOKUP($K104,'Sweetener Mix In Nutrition'!A:A,'Sweetener Mix In Nutrition'!I:I,0)*_xlfn.XLOOKUP($L104,Specs!A:A,Specs!C:C,0)</f>
        <v>0</v>
      </c>
      <c r="Z104" s="34">
        <f t="shared" si="4"/>
        <v>0</v>
      </c>
      <c r="AA104" s="35">
        <f t="shared" si="5"/>
        <v>0</v>
      </c>
      <c r="AB104" s="36">
        <f>(($R104 / 240) * _xlfn.XLOOKUP($D104,'Milk Types Nutrition Per Cup'!A:A,'Milk Types Nutrition Per Cup'!B:B,0)) +(($S104 / 240)  * _xlfn.XLOOKUP($E104,'Milk Types Nutrition Per Cup'!A:A,'Milk Types Nutrition Per Cup'!B:B,0)) +(($T104 / 15)  * _xlfn.XLOOKUP($F104,'Liquid Mix In Nutrition'!A:A,'Liquid Mix In Nutrition'!B:B,0))+(($U104 / 15)  * _xlfn.XLOOKUP($G104,'Liquid Mix In Nutrition'!A:A,'Liquid Mix In Nutrition'!B:B,0))+(($V104 /MAX(1, _xlfn.XLOOKUP($H104,'Solid Mix In Nutrition'!A:A,'Solid Mix In Nutrition'!I:I,1)))  * _xlfn.XLOOKUP($H104,'Solid Mix In Nutrition'!A:A,'Solid Mix In Nutrition'!B:B,0))+(($W104 / MAX(1, _xlfn.XLOOKUP($I104,'Solid Mix In Nutrition'!A:A,'Solid Mix In Nutrition'!I:I,1))))+(($X104 / 100)  * _xlfn.XLOOKUP($J104,'Sweetener Mix In Nutrition'!A:A,'Sweetener Mix In Nutrition'!B:B,0))+(($Y104 / 100)  * _xlfn.XLOOKUP($K104,'Sweetener Mix In Nutrition'!A:A,'Sweetener Mix In Nutrition'!B:B,0))</f>
        <v>0</v>
      </c>
      <c r="AC104" s="36">
        <f>(($R104 / 240) * _xlfn.XLOOKUP($D104,'Milk Types Nutrition Per Cup'!A:A,'Milk Types Nutrition Per Cup'!E:E,0)) +(($S104 / 240)  * _xlfn.XLOOKUP($E104,'Milk Types Nutrition Per Cup'!A:A,'Milk Types Nutrition Per Cup'!E:E,0)) +(($T104 / 15)  * _xlfn.XLOOKUP($F104,'Liquid Mix In Nutrition'!A:A,'Liquid Mix In Nutrition'!E:E,0)) +(($U104 / 15)  * _xlfn.XLOOKUP($G104,'Liquid Mix In Nutrition'!A:A,'Liquid Mix In Nutrition'!E:E,0))+(($V104 / MAX(1, _xlfn.XLOOKUP($H104,'Solid Mix In Nutrition'!A:A,'Solid Mix In Nutrition'!I:I,1)))  * _xlfn.XLOOKUP($H104,'Solid Mix In Nutrition'!A:A,'Solid Mix In Nutrition'!E:E,0))+(($W104 / MAX(1, _xlfn.XLOOKUP($I104,'Solid Mix In Nutrition'!A:A,'Solid Mix In Nutrition'!I:I,1)))  * _xlfn.XLOOKUP($I104,'Solid Mix In Nutrition'!A:A,'Solid Mix In Nutrition'!G:G,0))+(($X104 / 100)  * _xlfn.XLOOKUP($J104,'Sweetener Mix In Nutrition'!A:A,'Sweetener Mix In Nutrition'!E:E,0))+(($Y104 / 100)  * _xlfn.XLOOKUP($K104,'Sweetener Mix In Nutrition'!A:A,'Sweetener Mix In Nutrition'!E:E,0))</f>
        <v>0</v>
      </c>
      <c r="AD104" s="36">
        <f>(($R104 / 240) * _xlfn.XLOOKUP($D104,'Milk Types Nutrition Per Cup'!A:A,'Milk Types Nutrition Per Cup'!E:E,0)) +(($S104 / 240)  * _xlfn.XLOOKUP($E104,'Milk Types Nutrition Per Cup'!A:A,'Milk Types Nutrition Per Cup'!E:E,0)) +(($T104 / 15)  * _xlfn.XLOOKUP($F104,'Liquid Mix In Nutrition'!A:A,'Liquid Mix In Nutrition'!E:E,0)) +(($U104 / 15)  * _xlfn.XLOOKUP($G104,'Liquid Mix In Nutrition'!A:A,'Liquid Mix In Nutrition'!E:E,0))+(($X104 / 100)  * _xlfn.XLOOKUP($J104,'Sweetener Mix In Nutrition'!A:A,'Sweetener Mix In Nutrition'!E:E,0))+(($Y104 / 100)  * _xlfn.XLOOKUP($K104,'Sweetener Mix In Nutrition'!A:A,'Sweetener Mix In Nutrition'!E:E,0))</f>
        <v>0</v>
      </c>
      <c r="AE104" s="37">
        <f>(($R104 / 240) * _xlfn.XLOOKUP($D104,'Milk Types Nutrition Per Cup'!A:A,'Milk Types Nutrition Per Cup'!C:C,0)) +(($S104 / 240)  * _xlfn.XLOOKUP($E104,'Milk Types Nutrition Per Cup'!A:A,'Milk Types Nutrition Per Cup'!C:C,0)) +(($T104 / 15)  * _xlfn.XLOOKUP($F104,'Liquid Mix In Nutrition'!A:A,'Liquid Mix In Nutrition'!C:C,0))+(($U104 / 15)  * _xlfn.XLOOKUP($G104,'Liquid Mix In Nutrition'!A:A,'Liquid Mix In Nutrition'!C:C,0))+(($V104 / MAX(1, _xlfn.XLOOKUP($H104,'Solid Mix In Nutrition'!A:A,'Solid Mix In Nutrition'!I:I,1)))  * _xlfn.XLOOKUP($H104,'Solid Mix In Nutrition'!A:A,'Solid Mix In Nutrition'!C:C,0))+(($W104 / MAX(1, _xlfn.XLOOKUP($I104,'Solid Mix In Nutrition'!A:A,'Solid Mix In Nutrition'!I:I,1)))  * _xlfn.XLOOKUP($I104,'Solid Mix In Nutrition'!A:A,'Solid Mix In Nutrition'!C:C,0))+(($X104 / 100)  * _xlfn.XLOOKUP($J104,'Sweetener Mix In Nutrition'!A:A,'Sweetener Mix In Nutrition'!C:C,0))+(($Y104 / 100)  * _xlfn.XLOOKUP($K104,'Sweetener Mix In Nutrition'!A:A,'Sweetener Mix In Nutrition'!C:C,0))</f>
        <v>0</v>
      </c>
      <c r="AF104" s="38" t="e">
        <f>$AE104 / (_xlfn.XLOOKUP($L104,Specs!A:A,Specs!B:B,0))</f>
        <v>#DIV/0!</v>
      </c>
      <c r="AG104" s="37" t="e">
        <f>60* ($AB104 / _xlfn.XLOOKUP($L104,Specs!A:A,Specs!B:B,0))</f>
        <v>#DIV/0!</v>
      </c>
      <c r="AH104" s="37" t="e">
        <f>60* (AC104 / _xlfn.XLOOKUP($L104,Specs!$A:$A,Specs!$B:$B,0))</f>
        <v>#DIV/0!</v>
      </c>
      <c r="AI104" s="37" t="e">
        <f>60* (AE104 / _xlfn.XLOOKUP($L104,Specs!$A:$A,Specs!$B:$B,0))</f>
        <v>#DIV/0!</v>
      </c>
      <c r="AJ104" s="39">
        <f>(($R104 / 240) * _xlfn.XLOOKUP($D104,'Milk Types Nutrition Per Cup'!A:A,'Milk Types Nutrition Per Cup'!F:F,0)) +(($S104 / 240)  * _xlfn.XLOOKUP($E104,'Milk Types Nutrition Per Cup'!A:A,'Milk Types Nutrition Per Cup'!F:F,0)) +(($T104 / 15)  * _xlfn.XLOOKUP($F104,'Liquid Mix In Nutrition'!A:A,'Liquid Mix In Nutrition'!F:F,0))+(($U104 / 15)  * _xlfn.XLOOKUP($G104,'Liquid Mix In Nutrition'!A:A,'Liquid Mix In Nutrition'!F:F,0))+(($V104 / MAX(1, _xlfn.XLOOKUP($H104,'Solid Mix In Nutrition'!A:A,'Solid Mix In Nutrition'!I:I,1)))  * _xlfn.XLOOKUP($H104,'Solid Mix In Nutrition'!A:A,'Solid Mix In Nutrition'!F:F,0))+(($W104 / MAX(1, _xlfn.XLOOKUP($I104,'Solid Mix In Nutrition'!A:A,'Solid Mix In Nutrition'!I:I,1)))  * _xlfn.XLOOKUP($I104,'Solid Mix In Nutrition'!A:A,'Solid Mix In Nutrition'!F:F,0))+(($X104 / 100)  * _xlfn.XLOOKUP($J104,'Sweetener Mix In Nutrition'!A:A,'Sweetener Mix In Nutrition'!F:F,0))+(($Y104 / 100)  * _xlfn.XLOOKUP($K104,'Sweetener Mix In Nutrition'!A:A,'Sweetener Mix In Nutrition'!F:F,0))</f>
        <v>0</v>
      </c>
      <c r="AK104" s="46">
        <f>[2]Sheet1!AG104</f>
        <v>0</v>
      </c>
      <c r="AL104" s="47"/>
      <c r="AM104" s="40">
        <f>IF(ISERROR(((AL104/Specs!$L$3)*Specs!$L$2)*2),0,ROUNDUP((((AL104/Specs!$L$3)*Specs!$L$2)*2),0))</f>
        <v>0</v>
      </c>
      <c r="AN104" s="48">
        <f>ROUNDUP(((AJ104+Specs!$R$2+Specs!$S$2+_xlfn.XLOOKUP($L104,Specs!A:A,Specs!V:V,0))*Specs!$N$2)+AM104,0)</f>
        <v>1</v>
      </c>
      <c r="AO104" s="40">
        <f>ROUNDUP(((AJ104+Specs!$R$2+Specs!$S$2+_xlfn.XLOOKUP($L104,Specs!A:A,Specs!V:V,0))*Specs!$N$2),0)</f>
        <v>1</v>
      </c>
      <c r="AP104" s="30"/>
    </row>
    <row r="105" spans="1:42" x14ac:dyDescent="0.25">
      <c r="A105" s="41" t="str">
        <f>_xlfn.CONCAT(_xlfn.XLOOKUP("What's Your Name?",[1]Sheet1!$1:$1,[1]Sheet1!105:105)," | ",TEXT(_xlfn.XLOOKUP("Completion time",[1]Sheet1!$1:$1,[1]Sheet1!105:105),"dddd, mmm dd, yyyy hh:mm AM/PM"))</f>
        <v xml:space="preserve"> | Saturday, Jan 00, 1900 12:00 AM</v>
      </c>
      <c r="B105" s="76">
        <f>_xlfn.XLOOKUP("What's Your Email Address?",[1]Sheet1!$1:$1,[1]Sheet1!105:105)</f>
        <v>0</v>
      </c>
      <c r="C105" s="31">
        <f>IF(ISBLANK(_xlfn.XLOOKUP("Which Flavor? (Pint Price | Quart Price | Half Gallon Price) (NOTE: Prices may fluctuate based on market conditions)",[1]Sheet1!$1:$1,[1]Sheet1!105:105)),_xlfn.XLOOKUP("Name Your Ice Cream!",[1]Sheet1!$1:$1,[1]Sheet1!105:105),IF(ISNUMBER(FIND("(", _xlfn.XLOOKUP("Which Flavor? (Pint Price | Quart Price | Half Gallon Price) (NOTE: Prices may fluctuate based on market conditions)",[1]Sheet1!$1:$1,[1]Sheet1!105:105))), LEFT(_xlfn.XLOOKUP("Which Flavor? (Pint Price | Quart Price | Half Gallon Price) (NOTE: Prices may fluctuate based on market conditions)",[1]Sheet1!$1:$1,[1]Sheet1!105:105), FIND("(", _xlfn.XLOOKUP("Which Flavor? (Pint Price | Quart Price | Half Gallon Price) (NOTE: Prices may fluctuate based on market conditions)",[1]Sheet1!$1:$1,[1]Sheet1!105:105)) - 1), _xlfn.XLOOKUP("Which Flavor? (Pint Price | Quart Price | Half Gallon Price) (NOTE: Prices may fluctuate based on market conditions)",[1]Sheet1!$1:$1,[1]Sheet1!105:105)))</f>
        <v>0</v>
      </c>
      <c r="D105" s="31">
        <f>IF(COUNTIF('Premade Flavors'!$A:$A, $C105) &gt; 0,IF(ISBLANK(_xlfn.XLOOKUP("What Ice Cream Base Do You Want To Change It To?",[1]Sheet1!$1:$1,[1]Sheet1!105:105)),_xlfn.XLOOKUP($C105,'Premade Flavors'!$A:$A,'Premade Flavors'!B:B),_xlfn.XLOOKUP("What Ice Cream Base Do You Want To Change It To?",[1]Sheet1!$1:$1,[1]Sheet1!105:105)),_xlfn.XLOOKUP(_xlfn.XLOOKUP("What Kind Of Ice Cream Base Do You Want? ",[1]Sheet1!$1:$1,[1]Sheet1!105:105),'Milk Types Nutrition Per Cup'!O:O,'Milk Types Nutrition Per Cup'!P:P,""))</f>
        <v>0</v>
      </c>
      <c r="E105" s="31">
        <f>IF(COUNTIF('Premade Flavors'!$A:$A, $C105) &gt; 0,IF(ISBLANK(_xlfn.XLOOKUP("What Ice Cream Base Do You Want To Change It To?",[1]Sheet1!$1:$1,[1]Sheet1!105:105)),_xlfn.XLOOKUP($C105,'Premade Flavors'!$A:$A,'Premade Flavors'!C:C),_xlfn.XLOOKUP("What Ice Cream Base Do You Want To Change It To?",[1]Sheet1!$1:$1,[1]Sheet1!105:105)),_xlfn.XLOOKUP(_xlfn.XLOOKUP("What Kind Of Ice Cream Base Do You Want? ",[1]Sheet1!$1:$1,[1]Sheet1!105:105),'Milk Types Nutrition Per Cup'!$O:$O,'Milk Types Nutrition Per Cup'!$Q:$Q,""))</f>
        <v>0</v>
      </c>
      <c r="F105" s="31">
        <f>IF(COUNTIF('Premade Flavors'!$A:$A, $C105) &gt; 0,_xlfn.XLOOKUP($C105,'Premade Flavors'!$A:$A,'Premade Flavors'!E:E),_xlfn.XLOOKUP("What's The First Flavor You Want? ",[1]Sheet1!$1:$1,[1]Sheet1!105:105))</f>
        <v>0</v>
      </c>
      <c r="G105" s="31">
        <f>IF(COUNTIF('Premade Flavors'!$A:$A, $C105) &gt; 0,_xlfn.XLOOKUP($C105,'Premade Flavors'!$A:$A,'Premade Flavors'!F:F),_xlfn.XLOOKUP("What's the Second Flavor You Want?",[1]Sheet1!$1:$1,[1]Sheet1!105:105))</f>
        <v>0</v>
      </c>
      <c r="H105" s="31">
        <f>IF(COUNTIF('Premade Flavors'!$A:$A, $C105) &gt; 0,_xlfn.XLOOKUP($C105,'Premade Flavors'!$A:$A,'Premade Flavors'!G:G),_xlfn.XLOOKUP("What's The First Mix In That You Want? ",[1]Sheet1!$1:$1,[1]Sheet1!105:105))</f>
        <v>0</v>
      </c>
      <c r="I105" s="31">
        <f>IF(COUNTIF('Premade Flavors'!$A:$A, $C103) &gt; 0,_xlfn.XLOOKUP($C103,'Premade Flavors'!$A:$A,'Premade Flavors'!H:H),IF([2]Sheet1!W103= 0,,[2]Sheet1!W103))</f>
        <v>0</v>
      </c>
      <c r="J105" s="31">
        <f>IF(COUNTIF('Premade Flavors'!$A:$A,$C105)&gt;0,IF(_xlfn.XLOOKUP("Should It Use Sugar or A Non-Sugar Sweetner?",[1]Sheet1!$1:$1,[1]Sheet1!105:105)="Sugar",_xlfn.XLOOKUP($C105,'Premade Flavors'!$A:$A,'Premade Flavors'!I:I),"Stevia"),_xlfn.XLOOKUP("What Sweetner Do You Want?",[1]Sheet1!$1:$1,[1]Sheet1!105:105))</f>
        <v>0</v>
      </c>
      <c r="K105" s="31"/>
      <c r="L105" s="77">
        <f>_xlfn.XLOOKUP("How Much Ice Cream Do You Want?",[1]Sheet1!$1:$1,[1]Sheet1!105:105)</f>
        <v>0</v>
      </c>
      <c r="M105" s="45">
        <f>IF(COUNTIF('Premade Flavors'!$A:$A, $C105) &gt; 0,_xlfn.XLOOKUP($C105,'Premade Flavors'!$A:$A,'Premade Flavors'!M:M),_xlfn.XLOOKUP("How Strong Do You Want The First Flavor?",[1]Sheet1!$1:$1,[1]Sheet1!105:105))</f>
        <v>0</v>
      </c>
      <c r="N105" s="45">
        <f>IF(COUNTIF('Premade Flavors'!$A:$A, $C105) &gt; 0,_xlfn.XLOOKUP($C105,'Premade Flavors'!$A:$A,'Premade Flavors'!N:N),_xlfn.XLOOKUP("How Strong Do You Want The Second Flavor?",[1]Sheet1!$1:$1,[1]Sheet1!105:105))</f>
        <v>0</v>
      </c>
      <c r="O105" s="45">
        <f>IF(COUNTIF('Premade Flavors'!$A:$A, $C105) &gt; 0,_xlfn.XLOOKUP($C105,'Premade Flavors'!$A:$A,'Premade Flavors'!O:O),_xlfn.XLOOKUP("How Dense Should the Mix Ins Be?",[1]Sheet1!$1:$1,[1]Sheet1!105:105))</f>
        <v>0</v>
      </c>
      <c r="P105" s="45">
        <f>IF(COUNTIF('Premade Flavors'!$A:$A, $C105) &gt; 0,_xlfn.XLOOKUP($C105,'Premade Flavors'!$A:$A,'Premade Flavors'!P:P),_xlfn.XLOOKUP("How Much Of The First Sweetner? ",[1]Sheet1!$1:$1,[1]Sheet1!105:105))</f>
        <v>0</v>
      </c>
      <c r="Q105" s="45">
        <f>IF(COUNTIF('Premade Flavors'!$A:$A, $C105) &gt; 0,_xlfn.XLOOKUP($C105,'Premade Flavors'!$A:$A,'Premade Flavors'!Q:Q),[2]Sheet1!S105)</f>
        <v>0</v>
      </c>
      <c r="R105" s="30">
        <f>(_xlfn.XLOOKUP($L105,Specs!A:A,Specs!B:B,0)-(IF(_xlfn.XLOOKUP($F105,'Liquid Mix In Nutrition'!A:A,'Liquid Mix In Nutrition'!J:J,0)="Yes",0,$T105))-(IF(_xlfn.XLOOKUP($G105,'Liquid Mix In Nutrition'!A:A,'Liquid Mix In Nutrition'!J:J,0)="Yes",0,$U105))-(($V105/MAX(1,_xlfn.XLOOKUP($H105,'Solid Mix In Nutrition'!A:A,'Solid Mix In Nutrition'!I:I,1)))*240)-(($W105/MAX(1,_xlfn.XLOOKUP($I105,'Solid Mix In Nutrition'!A:A,'Solid Mix In Nutrition'!I:I,1)))*240))*0.66</f>
        <v>0</v>
      </c>
      <c r="S105" s="30">
        <f>(_xlfn.XLOOKUP($L105,Specs!A:A,Specs!B:B,0)-(IF(_xlfn.XLOOKUP($F105,'Liquid Mix In Nutrition'!A:A,'Liquid Mix In Nutrition'!J:J,0)="Yes",0,$T105))-(IF(_xlfn.XLOOKUP($G105,'Liquid Mix In Nutrition'!A:A,'Liquid Mix In Nutrition'!J:J,0)="Yes",0,$U105))-(($V105/MAX(1,_xlfn.XLOOKUP($H105,'Solid Mix In Nutrition'!A:A,'Solid Mix In Nutrition'!I:I,1)))*240)-(($W105/MAX(1,_xlfn.XLOOKUP($I105,'Solid Mix In Nutrition'!A:A,'Solid Mix In Nutrition'!I:I,1)))*240))*0.33</f>
        <v>0</v>
      </c>
      <c r="T105" s="30">
        <f>_xlfn.XLOOKUP($M105,Specs!$D:$D,Specs!$E:$E,0)*15*_xlfn.XLOOKUP($L105,Specs!$A:$A,Specs!$C:$C,0)</f>
        <v>0</v>
      </c>
      <c r="U105" s="30">
        <f>_xlfn.XLOOKUP($N105,Specs!$D:$D,Specs!$E:$E,0)*15*_xlfn.XLOOKUP($L105,Specs!$A:$A,Specs!$C:$C,0)</f>
        <v>0</v>
      </c>
      <c r="V105" s="30">
        <f>( ((_xlfn.XLOOKUP($O105,Specs!$H:$H,Specs!$I:$I,0)*_xlfn.XLOOKUP($L105,Specs!$A:$A,Specs!$B:$B,0))/240) *_xlfn.XLOOKUP($H105,'Solid Mix In Nutrition'!A:A,'Solid Mix In Nutrition'!I:I,0)) *IF(AND(NOT($I105=0), COUNTA($I105)),0.5,1)</f>
        <v>0</v>
      </c>
      <c r="W105" s="30">
        <f>( ((_xlfn.XLOOKUP($O105,Specs!$H:$H,Specs!$I:$I,0)*_xlfn.XLOOKUP($L105,Specs!$A:$A,Specs!$B:$B,0))/240) *_xlfn.XLOOKUP($I105,'Solid Mix In Nutrition'!A:A,'Solid Mix In Nutrition'!I:I,0)) *IF(AND(NOT($I105=0), COUNTA($I105)),0.5,0)</f>
        <v>0</v>
      </c>
      <c r="X105" s="30">
        <f>_xlfn.XLOOKUP($P105,Specs!F:F,Specs!G:G,0)*_xlfn.XLOOKUP($J105,'Sweetener Mix In Nutrition'!A:A,'Sweetener Mix In Nutrition'!I:I,0)*_xlfn.XLOOKUP($L105,Specs!A:A,Specs!C:C,0)</f>
        <v>0</v>
      </c>
      <c r="Y105" s="30">
        <f>_xlfn.XLOOKUP($Q105,Specs!F:F,Specs!G:G,0)*_xlfn.XLOOKUP($K105,'Sweetener Mix In Nutrition'!A:A,'Sweetener Mix In Nutrition'!I:I,0)*_xlfn.XLOOKUP($L105,Specs!A:A,Specs!C:C,0)</f>
        <v>0</v>
      </c>
      <c r="Z105" s="34">
        <f t="shared" si="4"/>
        <v>0</v>
      </c>
      <c r="AA105" s="35">
        <f t="shared" si="5"/>
        <v>0</v>
      </c>
      <c r="AB105" s="36">
        <f>(($R105 / 240) * _xlfn.XLOOKUP($D105,'Milk Types Nutrition Per Cup'!A:A,'Milk Types Nutrition Per Cup'!B:B,0)) +(($S105 / 240)  * _xlfn.XLOOKUP($E105,'Milk Types Nutrition Per Cup'!A:A,'Milk Types Nutrition Per Cup'!B:B,0)) +(($T105 / 15)  * _xlfn.XLOOKUP($F105,'Liquid Mix In Nutrition'!A:A,'Liquid Mix In Nutrition'!B:B,0))+(($U105 / 15)  * _xlfn.XLOOKUP($G105,'Liquid Mix In Nutrition'!A:A,'Liquid Mix In Nutrition'!B:B,0))+(($V105 /MAX(1, _xlfn.XLOOKUP($H105,'Solid Mix In Nutrition'!A:A,'Solid Mix In Nutrition'!I:I,1)))  * _xlfn.XLOOKUP($H105,'Solid Mix In Nutrition'!A:A,'Solid Mix In Nutrition'!B:B,0))+(($W105 / MAX(1, _xlfn.XLOOKUP($I105,'Solid Mix In Nutrition'!A:A,'Solid Mix In Nutrition'!I:I,1))))+(($X105 / 100)  * _xlfn.XLOOKUP($J105,'Sweetener Mix In Nutrition'!A:A,'Sweetener Mix In Nutrition'!B:B,0))+(($Y105 / 100)  * _xlfn.XLOOKUP($K105,'Sweetener Mix In Nutrition'!A:A,'Sweetener Mix In Nutrition'!B:B,0))</f>
        <v>0</v>
      </c>
      <c r="AC105" s="36">
        <f>(($R105 / 240) * _xlfn.XLOOKUP($D105,'Milk Types Nutrition Per Cup'!A:A,'Milk Types Nutrition Per Cup'!E:E,0)) +(($S105 / 240)  * _xlfn.XLOOKUP($E105,'Milk Types Nutrition Per Cup'!A:A,'Milk Types Nutrition Per Cup'!E:E,0)) +(($T105 / 15)  * _xlfn.XLOOKUP($F105,'Liquid Mix In Nutrition'!A:A,'Liquid Mix In Nutrition'!E:E,0)) +(($U105 / 15)  * _xlfn.XLOOKUP($G105,'Liquid Mix In Nutrition'!A:A,'Liquid Mix In Nutrition'!E:E,0))+(($V105 / MAX(1, _xlfn.XLOOKUP($H105,'Solid Mix In Nutrition'!A:A,'Solid Mix In Nutrition'!I:I,1)))  * _xlfn.XLOOKUP($H105,'Solid Mix In Nutrition'!A:A,'Solid Mix In Nutrition'!E:E,0))+(($W105 / MAX(1, _xlfn.XLOOKUP($I105,'Solid Mix In Nutrition'!A:A,'Solid Mix In Nutrition'!I:I,1)))  * _xlfn.XLOOKUP($I105,'Solid Mix In Nutrition'!A:A,'Solid Mix In Nutrition'!G:G,0))+(($X105 / 100)  * _xlfn.XLOOKUP($J105,'Sweetener Mix In Nutrition'!A:A,'Sweetener Mix In Nutrition'!E:E,0))+(($Y105 / 100)  * _xlfn.XLOOKUP($K105,'Sweetener Mix In Nutrition'!A:A,'Sweetener Mix In Nutrition'!E:E,0))</f>
        <v>0</v>
      </c>
      <c r="AD105" s="36">
        <f>(($R105 / 240) * _xlfn.XLOOKUP($D105,'Milk Types Nutrition Per Cup'!A:A,'Milk Types Nutrition Per Cup'!E:E,0)) +(($S105 / 240)  * _xlfn.XLOOKUP($E105,'Milk Types Nutrition Per Cup'!A:A,'Milk Types Nutrition Per Cup'!E:E,0)) +(($T105 / 15)  * _xlfn.XLOOKUP($F105,'Liquid Mix In Nutrition'!A:A,'Liquid Mix In Nutrition'!E:E,0)) +(($U105 / 15)  * _xlfn.XLOOKUP($G105,'Liquid Mix In Nutrition'!A:A,'Liquid Mix In Nutrition'!E:E,0))+(($X105 / 100)  * _xlfn.XLOOKUP($J105,'Sweetener Mix In Nutrition'!A:A,'Sweetener Mix In Nutrition'!E:E,0))+(($Y105 / 100)  * _xlfn.XLOOKUP($K105,'Sweetener Mix In Nutrition'!A:A,'Sweetener Mix In Nutrition'!E:E,0))</f>
        <v>0</v>
      </c>
      <c r="AE105" s="37">
        <f>(($R105 / 240) * _xlfn.XLOOKUP($D105,'Milk Types Nutrition Per Cup'!A:A,'Milk Types Nutrition Per Cup'!C:C,0)) +(($S105 / 240)  * _xlfn.XLOOKUP($E105,'Milk Types Nutrition Per Cup'!A:A,'Milk Types Nutrition Per Cup'!C:C,0)) +(($T105 / 15)  * _xlfn.XLOOKUP($F105,'Liquid Mix In Nutrition'!A:A,'Liquid Mix In Nutrition'!C:C,0))+(($U105 / 15)  * _xlfn.XLOOKUP($G105,'Liquid Mix In Nutrition'!A:A,'Liquid Mix In Nutrition'!C:C,0))+(($V105 / MAX(1, _xlfn.XLOOKUP($H105,'Solid Mix In Nutrition'!A:A,'Solid Mix In Nutrition'!I:I,1)))  * _xlfn.XLOOKUP($H105,'Solid Mix In Nutrition'!A:A,'Solid Mix In Nutrition'!C:C,0))+(($W105 / MAX(1, _xlfn.XLOOKUP($I105,'Solid Mix In Nutrition'!A:A,'Solid Mix In Nutrition'!I:I,1)))  * _xlfn.XLOOKUP($I105,'Solid Mix In Nutrition'!A:A,'Solid Mix In Nutrition'!C:C,0))+(($X105 / 100)  * _xlfn.XLOOKUP($J105,'Sweetener Mix In Nutrition'!A:A,'Sweetener Mix In Nutrition'!C:C,0))+(($Y105 / 100)  * _xlfn.XLOOKUP($K105,'Sweetener Mix In Nutrition'!A:A,'Sweetener Mix In Nutrition'!C:C,0))</f>
        <v>0</v>
      </c>
      <c r="AF105" s="38" t="e">
        <f>$AE105 / (_xlfn.XLOOKUP($L105,Specs!A:A,Specs!B:B,0))</f>
        <v>#DIV/0!</v>
      </c>
      <c r="AG105" s="37" t="e">
        <f>60* ($AB105 / _xlfn.XLOOKUP($L105,Specs!A:A,Specs!B:B,0))</f>
        <v>#DIV/0!</v>
      </c>
      <c r="AH105" s="37" t="e">
        <f>60* (AC105 / _xlfn.XLOOKUP($L105,Specs!$A:$A,Specs!$B:$B,0))</f>
        <v>#DIV/0!</v>
      </c>
      <c r="AI105" s="37" t="e">
        <f>60* (AE105 / _xlfn.XLOOKUP($L105,Specs!$A:$A,Specs!$B:$B,0))</f>
        <v>#DIV/0!</v>
      </c>
      <c r="AJ105" s="39">
        <f>(($R105 / 240) * _xlfn.XLOOKUP($D105,'Milk Types Nutrition Per Cup'!A:A,'Milk Types Nutrition Per Cup'!F:F,0)) +(($S105 / 240)  * _xlfn.XLOOKUP($E105,'Milk Types Nutrition Per Cup'!A:A,'Milk Types Nutrition Per Cup'!F:F,0)) +(($T105 / 15)  * _xlfn.XLOOKUP($F105,'Liquid Mix In Nutrition'!A:A,'Liquid Mix In Nutrition'!F:F,0))+(($U105 / 15)  * _xlfn.XLOOKUP($G105,'Liquid Mix In Nutrition'!A:A,'Liquid Mix In Nutrition'!F:F,0))+(($V105 / MAX(1, _xlfn.XLOOKUP($H105,'Solid Mix In Nutrition'!A:A,'Solid Mix In Nutrition'!I:I,1)))  * _xlfn.XLOOKUP($H105,'Solid Mix In Nutrition'!A:A,'Solid Mix In Nutrition'!F:F,0))+(($W105 / MAX(1, _xlfn.XLOOKUP($I105,'Solid Mix In Nutrition'!A:A,'Solid Mix In Nutrition'!I:I,1)))  * _xlfn.XLOOKUP($I105,'Solid Mix In Nutrition'!A:A,'Solid Mix In Nutrition'!F:F,0))+(($X105 / 100)  * _xlfn.XLOOKUP($J105,'Sweetener Mix In Nutrition'!A:A,'Sweetener Mix In Nutrition'!F:F,0))+(($Y105 / 100)  * _xlfn.XLOOKUP($K105,'Sweetener Mix In Nutrition'!A:A,'Sweetener Mix In Nutrition'!F:F,0))</f>
        <v>0</v>
      </c>
      <c r="AK105" s="46">
        <f>[2]Sheet1!AG105</f>
        <v>0</v>
      </c>
      <c r="AL105" s="47"/>
      <c r="AM105" s="40">
        <f>IF(ISERROR(((AL105/Specs!$L$3)*Specs!$L$2)*2),0,ROUNDUP((((AL105/Specs!$L$3)*Specs!$L$2)*2),0))</f>
        <v>0</v>
      </c>
      <c r="AN105" s="48">
        <f>ROUNDUP(((AJ105+Specs!$R$2+Specs!$S$2+_xlfn.XLOOKUP($L105,Specs!A:A,Specs!V:V,0))*Specs!$N$2)+AM105,0)</f>
        <v>1</v>
      </c>
      <c r="AO105" s="40">
        <f>ROUNDUP(((AJ105+Specs!$R$2+Specs!$S$2+_xlfn.XLOOKUP($L105,Specs!A:A,Specs!V:V,0))*Specs!$N$2),0)</f>
        <v>1</v>
      </c>
      <c r="AP105" s="30"/>
    </row>
    <row r="106" spans="1:42" x14ac:dyDescent="0.25">
      <c r="A106" s="41" t="str">
        <f>_xlfn.CONCAT(_xlfn.XLOOKUP("What's Your Name?",[1]Sheet1!$1:$1,[1]Sheet1!106:106)," | ",TEXT(_xlfn.XLOOKUP("Completion time",[1]Sheet1!$1:$1,[1]Sheet1!106:106),"dddd, mmm dd, yyyy hh:mm AM/PM"))</f>
        <v xml:space="preserve"> | Saturday, Jan 00, 1900 12:00 AM</v>
      </c>
      <c r="B106" s="76">
        <f>_xlfn.XLOOKUP("What's Your Email Address?",[1]Sheet1!$1:$1,[1]Sheet1!106:106)</f>
        <v>0</v>
      </c>
      <c r="C106" s="31">
        <f>IF(ISBLANK(_xlfn.XLOOKUP("Which Flavor? (Pint Price | Quart Price | Half Gallon Price) (NOTE: Prices may fluctuate based on market conditions)",[1]Sheet1!$1:$1,[1]Sheet1!106:106)),_xlfn.XLOOKUP("Name Your Ice Cream!",[1]Sheet1!$1:$1,[1]Sheet1!106:106),IF(ISNUMBER(FIND("(", _xlfn.XLOOKUP("Which Flavor? (Pint Price | Quart Price | Half Gallon Price) (NOTE: Prices may fluctuate based on market conditions)",[1]Sheet1!$1:$1,[1]Sheet1!106:106))), LEFT(_xlfn.XLOOKUP("Which Flavor? (Pint Price | Quart Price | Half Gallon Price) (NOTE: Prices may fluctuate based on market conditions)",[1]Sheet1!$1:$1,[1]Sheet1!106:106), FIND("(", _xlfn.XLOOKUP("Which Flavor? (Pint Price | Quart Price | Half Gallon Price) (NOTE: Prices may fluctuate based on market conditions)",[1]Sheet1!$1:$1,[1]Sheet1!106:106)) - 1), _xlfn.XLOOKUP("Which Flavor? (Pint Price | Quart Price | Half Gallon Price) (NOTE: Prices may fluctuate based on market conditions)",[1]Sheet1!$1:$1,[1]Sheet1!106:106)))</f>
        <v>0</v>
      </c>
      <c r="D106" s="31">
        <f>IF(COUNTIF('Premade Flavors'!$A:$A, $C106) &gt; 0,IF(ISBLANK(_xlfn.XLOOKUP("What Ice Cream Base Do You Want To Change It To?",[1]Sheet1!$1:$1,[1]Sheet1!106:106)),_xlfn.XLOOKUP($C106,'Premade Flavors'!$A:$A,'Premade Flavors'!B:B),_xlfn.XLOOKUP("What Ice Cream Base Do You Want To Change It To?",[1]Sheet1!$1:$1,[1]Sheet1!106:106)),_xlfn.XLOOKUP(_xlfn.XLOOKUP("What Kind Of Ice Cream Base Do You Want? ",[1]Sheet1!$1:$1,[1]Sheet1!106:106),'Milk Types Nutrition Per Cup'!O:O,'Milk Types Nutrition Per Cup'!P:P,""))</f>
        <v>0</v>
      </c>
      <c r="E106" s="31">
        <f>IF(COUNTIF('Premade Flavors'!$A:$A, $C106) &gt; 0,IF(ISBLANK(_xlfn.XLOOKUP("What Ice Cream Base Do You Want To Change It To?",[1]Sheet1!$1:$1,[1]Sheet1!106:106)),_xlfn.XLOOKUP($C106,'Premade Flavors'!$A:$A,'Premade Flavors'!C:C),_xlfn.XLOOKUP("What Ice Cream Base Do You Want To Change It To?",[1]Sheet1!$1:$1,[1]Sheet1!106:106)),_xlfn.XLOOKUP(_xlfn.XLOOKUP("What Kind Of Ice Cream Base Do You Want? ",[1]Sheet1!$1:$1,[1]Sheet1!106:106),'Milk Types Nutrition Per Cup'!$O:$O,'Milk Types Nutrition Per Cup'!$Q:$Q,""))</f>
        <v>0</v>
      </c>
      <c r="F106" s="31">
        <f>IF(COUNTIF('Premade Flavors'!$A:$A, $C106) &gt; 0,_xlfn.XLOOKUP($C106,'Premade Flavors'!$A:$A,'Premade Flavors'!E:E),_xlfn.XLOOKUP("What's The First Flavor You Want? ",[1]Sheet1!$1:$1,[1]Sheet1!106:106))</f>
        <v>0</v>
      </c>
      <c r="G106" s="31">
        <f>IF(COUNTIF('Premade Flavors'!$A:$A, $C106) &gt; 0,_xlfn.XLOOKUP($C106,'Premade Flavors'!$A:$A,'Premade Flavors'!F:F),_xlfn.XLOOKUP("What's the Second Flavor You Want?",[1]Sheet1!$1:$1,[1]Sheet1!106:106))</f>
        <v>0</v>
      </c>
      <c r="H106" s="31">
        <f>IF(COUNTIF('Premade Flavors'!$A:$A, $C106) &gt; 0,_xlfn.XLOOKUP($C106,'Premade Flavors'!$A:$A,'Premade Flavors'!G:G),_xlfn.XLOOKUP("What's The First Mix In That You Want? ",[1]Sheet1!$1:$1,[1]Sheet1!106:106))</f>
        <v>0</v>
      </c>
      <c r="I106" s="31">
        <f>IF(COUNTIF('Premade Flavors'!$A:$A, $C104) &gt; 0,_xlfn.XLOOKUP($C104,'Premade Flavors'!$A:$A,'Premade Flavors'!H:H),IF([2]Sheet1!W104= 0,,[2]Sheet1!W104))</f>
        <v>0</v>
      </c>
      <c r="J106" s="31">
        <f>IF(COUNTIF('Premade Flavors'!$A:$A,$C106)&gt;0,IF(_xlfn.XLOOKUP("Should It Use Sugar or A Non-Sugar Sweetner?",[1]Sheet1!$1:$1,[1]Sheet1!106:106)="Sugar",_xlfn.XLOOKUP($C106,'Premade Flavors'!$A:$A,'Premade Flavors'!I:I),"Stevia"),_xlfn.XLOOKUP("What Sweetner Do You Want?",[1]Sheet1!$1:$1,[1]Sheet1!106:106))</f>
        <v>0</v>
      </c>
      <c r="K106" s="31"/>
      <c r="L106" s="77">
        <f>_xlfn.XLOOKUP("How Much Ice Cream Do You Want?",[1]Sheet1!$1:$1,[1]Sheet1!106:106)</f>
        <v>0</v>
      </c>
      <c r="M106" s="45">
        <f>IF(COUNTIF('Premade Flavors'!$A:$A, $C106) &gt; 0,_xlfn.XLOOKUP($C106,'Premade Flavors'!$A:$A,'Premade Flavors'!M:M),_xlfn.XLOOKUP("How Strong Do You Want The First Flavor?",[1]Sheet1!$1:$1,[1]Sheet1!106:106))</f>
        <v>0</v>
      </c>
      <c r="N106" s="45">
        <f>IF(COUNTIF('Premade Flavors'!$A:$A, $C106) &gt; 0,_xlfn.XLOOKUP($C106,'Premade Flavors'!$A:$A,'Premade Flavors'!N:N),_xlfn.XLOOKUP("How Strong Do You Want The Second Flavor?",[1]Sheet1!$1:$1,[1]Sheet1!106:106))</f>
        <v>0</v>
      </c>
      <c r="O106" s="45">
        <f>IF(COUNTIF('Premade Flavors'!$A:$A, $C106) &gt; 0,_xlfn.XLOOKUP($C106,'Premade Flavors'!$A:$A,'Premade Flavors'!O:O),_xlfn.XLOOKUP("How Dense Should the Mix Ins Be?",[1]Sheet1!$1:$1,[1]Sheet1!106:106))</f>
        <v>0</v>
      </c>
      <c r="P106" s="45">
        <f>IF(COUNTIF('Premade Flavors'!$A:$A, $C106) &gt; 0,_xlfn.XLOOKUP($C106,'Premade Flavors'!$A:$A,'Premade Flavors'!P:P),_xlfn.XLOOKUP("How Much Of The First Sweetner? ",[1]Sheet1!$1:$1,[1]Sheet1!106:106))</f>
        <v>0</v>
      </c>
      <c r="Q106" s="45">
        <f>IF(COUNTIF('Premade Flavors'!$A:$A, $C106) &gt; 0,_xlfn.XLOOKUP($C106,'Premade Flavors'!$A:$A,'Premade Flavors'!Q:Q),[2]Sheet1!S106)</f>
        <v>0</v>
      </c>
      <c r="R106" s="30">
        <f>(_xlfn.XLOOKUP($L106,Specs!A:A,Specs!B:B,0)-(IF(_xlfn.XLOOKUP($F106,'Liquid Mix In Nutrition'!A:A,'Liquid Mix In Nutrition'!J:J,0)="Yes",0,$T106))-(IF(_xlfn.XLOOKUP($G106,'Liquid Mix In Nutrition'!A:A,'Liquid Mix In Nutrition'!J:J,0)="Yes",0,$U106))-(($V106/MAX(1,_xlfn.XLOOKUP($H106,'Solid Mix In Nutrition'!A:A,'Solid Mix In Nutrition'!I:I,1)))*240)-(($W106/MAX(1,_xlfn.XLOOKUP($I106,'Solid Mix In Nutrition'!A:A,'Solid Mix In Nutrition'!I:I,1)))*240))*0.66</f>
        <v>0</v>
      </c>
      <c r="S106" s="30">
        <f>(_xlfn.XLOOKUP($L106,Specs!A:A,Specs!B:B,0)-(IF(_xlfn.XLOOKUP($F106,'Liquid Mix In Nutrition'!A:A,'Liquid Mix In Nutrition'!J:J,0)="Yes",0,$T106))-(IF(_xlfn.XLOOKUP($G106,'Liquid Mix In Nutrition'!A:A,'Liquid Mix In Nutrition'!J:J,0)="Yes",0,$U106))-(($V106/MAX(1,_xlfn.XLOOKUP($H106,'Solid Mix In Nutrition'!A:A,'Solid Mix In Nutrition'!I:I,1)))*240)-(($W106/MAX(1,_xlfn.XLOOKUP($I106,'Solid Mix In Nutrition'!A:A,'Solid Mix In Nutrition'!I:I,1)))*240))*0.33</f>
        <v>0</v>
      </c>
      <c r="T106" s="30">
        <f>_xlfn.XLOOKUP($M106,Specs!$D:$D,Specs!$E:$E,0)*15*_xlfn.XLOOKUP($L106,Specs!$A:$A,Specs!$C:$C,0)</f>
        <v>0</v>
      </c>
      <c r="U106" s="30">
        <f>_xlfn.XLOOKUP($N106,Specs!$D:$D,Specs!$E:$E,0)*15*_xlfn.XLOOKUP($L106,Specs!$A:$A,Specs!$C:$C,0)</f>
        <v>0</v>
      </c>
      <c r="V106" s="30">
        <f>( ((_xlfn.XLOOKUP($O106,Specs!$H:$H,Specs!$I:$I,0)*_xlfn.XLOOKUP($L106,Specs!$A:$A,Specs!$B:$B,0))/240) *_xlfn.XLOOKUP($H106,'Solid Mix In Nutrition'!A:A,'Solid Mix In Nutrition'!I:I,0)) *IF(AND(NOT($I106=0), COUNTA($I106)),0.5,1)</f>
        <v>0</v>
      </c>
      <c r="W106" s="30">
        <f>( ((_xlfn.XLOOKUP($O106,Specs!$H:$H,Specs!$I:$I,0)*_xlfn.XLOOKUP($L106,Specs!$A:$A,Specs!$B:$B,0))/240) *_xlfn.XLOOKUP($I106,'Solid Mix In Nutrition'!A:A,'Solid Mix In Nutrition'!I:I,0)) *IF(AND(NOT($I106=0), COUNTA($I106)),0.5,0)</f>
        <v>0</v>
      </c>
      <c r="X106" s="30">
        <f>_xlfn.XLOOKUP($P106,Specs!F:F,Specs!G:G,0)*_xlfn.XLOOKUP($J106,'Sweetener Mix In Nutrition'!A:A,'Sweetener Mix In Nutrition'!I:I,0)*_xlfn.XLOOKUP($L106,Specs!A:A,Specs!C:C,0)</f>
        <v>0</v>
      </c>
      <c r="Y106" s="30">
        <f>_xlfn.XLOOKUP($Q106,Specs!F:F,Specs!G:G,0)*_xlfn.XLOOKUP($K106,'Sweetener Mix In Nutrition'!A:A,'Sweetener Mix In Nutrition'!I:I,0)*_xlfn.XLOOKUP($L106,Specs!A:A,Specs!C:C,0)</f>
        <v>0</v>
      </c>
      <c r="Z106" s="34">
        <f t="shared" si="4"/>
        <v>0</v>
      </c>
      <c r="AA106" s="35">
        <f t="shared" si="5"/>
        <v>0</v>
      </c>
      <c r="AB106" s="36">
        <f>(($R106 / 240) * _xlfn.XLOOKUP($D106,'Milk Types Nutrition Per Cup'!A:A,'Milk Types Nutrition Per Cup'!B:B,0)) +(($S106 / 240)  * _xlfn.XLOOKUP($E106,'Milk Types Nutrition Per Cup'!A:A,'Milk Types Nutrition Per Cup'!B:B,0)) +(($T106 / 15)  * _xlfn.XLOOKUP($F106,'Liquid Mix In Nutrition'!A:A,'Liquid Mix In Nutrition'!B:B,0))+(($U106 / 15)  * _xlfn.XLOOKUP($G106,'Liquid Mix In Nutrition'!A:A,'Liquid Mix In Nutrition'!B:B,0))+(($V106 /MAX(1, _xlfn.XLOOKUP($H106,'Solid Mix In Nutrition'!A:A,'Solid Mix In Nutrition'!I:I,1)))  * _xlfn.XLOOKUP($H106,'Solid Mix In Nutrition'!A:A,'Solid Mix In Nutrition'!B:B,0))+(($W106 / MAX(1, _xlfn.XLOOKUP($I106,'Solid Mix In Nutrition'!A:A,'Solid Mix In Nutrition'!I:I,1))))+(($X106 / 100)  * _xlfn.XLOOKUP($J106,'Sweetener Mix In Nutrition'!A:A,'Sweetener Mix In Nutrition'!B:B,0))+(($Y106 / 100)  * _xlfn.XLOOKUP($K106,'Sweetener Mix In Nutrition'!A:A,'Sweetener Mix In Nutrition'!B:B,0))</f>
        <v>0</v>
      </c>
      <c r="AC106" s="36">
        <f>(($R106 / 240) * _xlfn.XLOOKUP($D106,'Milk Types Nutrition Per Cup'!A:A,'Milk Types Nutrition Per Cup'!E:E,0)) +(($S106 / 240)  * _xlfn.XLOOKUP($E106,'Milk Types Nutrition Per Cup'!A:A,'Milk Types Nutrition Per Cup'!E:E,0)) +(($T106 / 15)  * _xlfn.XLOOKUP($F106,'Liquid Mix In Nutrition'!A:A,'Liquid Mix In Nutrition'!E:E,0)) +(($U106 / 15)  * _xlfn.XLOOKUP($G106,'Liquid Mix In Nutrition'!A:A,'Liquid Mix In Nutrition'!E:E,0))+(($V106 / MAX(1, _xlfn.XLOOKUP($H106,'Solid Mix In Nutrition'!A:A,'Solid Mix In Nutrition'!I:I,1)))  * _xlfn.XLOOKUP($H106,'Solid Mix In Nutrition'!A:A,'Solid Mix In Nutrition'!E:E,0))+(($W106 / MAX(1, _xlfn.XLOOKUP($I106,'Solid Mix In Nutrition'!A:A,'Solid Mix In Nutrition'!I:I,1)))  * _xlfn.XLOOKUP($I106,'Solid Mix In Nutrition'!A:A,'Solid Mix In Nutrition'!G:G,0))+(($X106 / 100)  * _xlfn.XLOOKUP($J106,'Sweetener Mix In Nutrition'!A:A,'Sweetener Mix In Nutrition'!E:E,0))+(($Y106 / 100)  * _xlfn.XLOOKUP($K106,'Sweetener Mix In Nutrition'!A:A,'Sweetener Mix In Nutrition'!E:E,0))</f>
        <v>0</v>
      </c>
      <c r="AD106" s="36">
        <f>(($R106 / 240) * _xlfn.XLOOKUP($D106,'Milk Types Nutrition Per Cup'!A:A,'Milk Types Nutrition Per Cup'!E:E,0)) +(($S106 / 240)  * _xlfn.XLOOKUP($E106,'Milk Types Nutrition Per Cup'!A:A,'Milk Types Nutrition Per Cup'!E:E,0)) +(($T106 / 15)  * _xlfn.XLOOKUP($F106,'Liquid Mix In Nutrition'!A:A,'Liquid Mix In Nutrition'!E:E,0)) +(($U106 / 15)  * _xlfn.XLOOKUP($G106,'Liquid Mix In Nutrition'!A:A,'Liquid Mix In Nutrition'!E:E,0))+(($X106 / 100)  * _xlfn.XLOOKUP($J106,'Sweetener Mix In Nutrition'!A:A,'Sweetener Mix In Nutrition'!E:E,0))+(($Y106 / 100)  * _xlfn.XLOOKUP($K106,'Sweetener Mix In Nutrition'!A:A,'Sweetener Mix In Nutrition'!E:E,0))</f>
        <v>0</v>
      </c>
      <c r="AE106" s="37">
        <f>(($R106 / 240) * _xlfn.XLOOKUP($D106,'Milk Types Nutrition Per Cup'!A:A,'Milk Types Nutrition Per Cup'!C:C,0)) +(($S106 / 240)  * _xlfn.XLOOKUP($E106,'Milk Types Nutrition Per Cup'!A:A,'Milk Types Nutrition Per Cup'!C:C,0)) +(($T106 / 15)  * _xlfn.XLOOKUP($F106,'Liquid Mix In Nutrition'!A:A,'Liquid Mix In Nutrition'!C:C,0))+(($U106 / 15)  * _xlfn.XLOOKUP($G106,'Liquid Mix In Nutrition'!A:A,'Liquid Mix In Nutrition'!C:C,0))+(($V106 / MAX(1, _xlfn.XLOOKUP($H106,'Solid Mix In Nutrition'!A:A,'Solid Mix In Nutrition'!I:I,1)))  * _xlfn.XLOOKUP($H106,'Solid Mix In Nutrition'!A:A,'Solid Mix In Nutrition'!C:C,0))+(($W106 / MAX(1, _xlfn.XLOOKUP($I106,'Solid Mix In Nutrition'!A:A,'Solid Mix In Nutrition'!I:I,1)))  * _xlfn.XLOOKUP($I106,'Solid Mix In Nutrition'!A:A,'Solid Mix In Nutrition'!C:C,0))+(($X106 / 100)  * _xlfn.XLOOKUP($J106,'Sweetener Mix In Nutrition'!A:A,'Sweetener Mix In Nutrition'!C:C,0))+(($Y106 / 100)  * _xlfn.XLOOKUP($K106,'Sweetener Mix In Nutrition'!A:A,'Sweetener Mix In Nutrition'!C:C,0))</f>
        <v>0</v>
      </c>
      <c r="AF106" s="38" t="e">
        <f>$AE106 / (_xlfn.XLOOKUP($L106,Specs!A:A,Specs!B:B,0))</f>
        <v>#DIV/0!</v>
      </c>
      <c r="AG106" s="37" t="e">
        <f>60* ($AB106 / _xlfn.XLOOKUP($L106,Specs!A:A,Specs!B:B,0))</f>
        <v>#DIV/0!</v>
      </c>
      <c r="AH106" s="37" t="e">
        <f>60* (AC106 / _xlfn.XLOOKUP($L106,Specs!$A:$A,Specs!$B:$B,0))</f>
        <v>#DIV/0!</v>
      </c>
      <c r="AI106" s="37" t="e">
        <f>60* (AE106 / _xlfn.XLOOKUP($L106,Specs!$A:$A,Specs!$B:$B,0))</f>
        <v>#DIV/0!</v>
      </c>
      <c r="AJ106" s="39">
        <f>(($R106 / 240) * _xlfn.XLOOKUP($D106,'Milk Types Nutrition Per Cup'!A:A,'Milk Types Nutrition Per Cup'!F:F,0)) +(($S106 / 240)  * _xlfn.XLOOKUP($E106,'Milk Types Nutrition Per Cup'!A:A,'Milk Types Nutrition Per Cup'!F:F,0)) +(($T106 / 15)  * _xlfn.XLOOKUP($F106,'Liquid Mix In Nutrition'!A:A,'Liquid Mix In Nutrition'!F:F,0))+(($U106 / 15)  * _xlfn.XLOOKUP($G106,'Liquid Mix In Nutrition'!A:A,'Liquid Mix In Nutrition'!F:F,0))+(($V106 / MAX(1, _xlfn.XLOOKUP($H106,'Solid Mix In Nutrition'!A:A,'Solid Mix In Nutrition'!I:I,1)))  * _xlfn.XLOOKUP($H106,'Solid Mix In Nutrition'!A:A,'Solid Mix In Nutrition'!F:F,0))+(($W106 / MAX(1, _xlfn.XLOOKUP($I106,'Solid Mix In Nutrition'!A:A,'Solid Mix In Nutrition'!I:I,1)))  * _xlfn.XLOOKUP($I106,'Solid Mix In Nutrition'!A:A,'Solid Mix In Nutrition'!F:F,0))+(($X106 / 100)  * _xlfn.XLOOKUP($J106,'Sweetener Mix In Nutrition'!A:A,'Sweetener Mix In Nutrition'!F:F,0))+(($Y106 / 100)  * _xlfn.XLOOKUP($K106,'Sweetener Mix In Nutrition'!A:A,'Sweetener Mix In Nutrition'!F:F,0))</f>
        <v>0</v>
      </c>
      <c r="AK106" s="46">
        <f>[2]Sheet1!AG106</f>
        <v>0</v>
      </c>
      <c r="AL106" s="47"/>
      <c r="AM106" s="40">
        <f>IF(ISERROR(((AL106/Specs!$L$3)*Specs!$L$2)*2),0,ROUNDUP((((AL106/Specs!$L$3)*Specs!$L$2)*2),0))</f>
        <v>0</v>
      </c>
      <c r="AN106" s="48">
        <f>ROUNDUP(((AJ106+Specs!$R$2+Specs!$S$2+_xlfn.XLOOKUP($L106,Specs!A:A,Specs!V:V,0))*Specs!$N$2)+AM106,0)</f>
        <v>1</v>
      </c>
      <c r="AO106" s="40">
        <f>ROUNDUP(((AJ106+Specs!$R$2+Specs!$S$2+_xlfn.XLOOKUP($L106,Specs!A:A,Specs!V:V,0))*Specs!$N$2),0)</f>
        <v>1</v>
      </c>
      <c r="AP106" s="30"/>
    </row>
    <row r="107" spans="1:42" x14ac:dyDescent="0.25">
      <c r="A107" s="41" t="str">
        <f>_xlfn.CONCAT(_xlfn.XLOOKUP("What's Your Name?",[1]Sheet1!$1:$1,[1]Sheet1!107:107)," | ",TEXT(_xlfn.XLOOKUP("Completion time",[1]Sheet1!$1:$1,[1]Sheet1!107:107),"dddd, mmm dd, yyyy hh:mm AM/PM"))</f>
        <v xml:space="preserve"> | Saturday, Jan 00, 1900 12:00 AM</v>
      </c>
      <c r="B107" s="76">
        <f>_xlfn.XLOOKUP("What's Your Email Address?",[1]Sheet1!$1:$1,[1]Sheet1!107:107)</f>
        <v>0</v>
      </c>
      <c r="C107" s="31">
        <f>IF(ISBLANK(_xlfn.XLOOKUP("Which Flavor? (Pint Price | Quart Price | Half Gallon Price) (NOTE: Prices may fluctuate based on market conditions)",[1]Sheet1!$1:$1,[1]Sheet1!107:107)),_xlfn.XLOOKUP("Name Your Ice Cream!",[1]Sheet1!$1:$1,[1]Sheet1!107:107),IF(ISNUMBER(FIND("(", _xlfn.XLOOKUP("Which Flavor? (Pint Price | Quart Price | Half Gallon Price) (NOTE: Prices may fluctuate based on market conditions)",[1]Sheet1!$1:$1,[1]Sheet1!107:107))), LEFT(_xlfn.XLOOKUP("Which Flavor? (Pint Price | Quart Price | Half Gallon Price) (NOTE: Prices may fluctuate based on market conditions)",[1]Sheet1!$1:$1,[1]Sheet1!107:107), FIND("(", _xlfn.XLOOKUP("Which Flavor? (Pint Price | Quart Price | Half Gallon Price) (NOTE: Prices may fluctuate based on market conditions)",[1]Sheet1!$1:$1,[1]Sheet1!107:107)) - 1), _xlfn.XLOOKUP("Which Flavor? (Pint Price | Quart Price | Half Gallon Price) (NOTE: Prices may fluctuate based on market conditions)",[1]Sheet1!$1:$1,[1]Sheet1!107:107)))</f>
        <v>0</v>
      </c>
      <c r="D107" s="31">
        <f>IF(COUNTIF('Premade Flavors'!$A:$A, $C107) &gt; 0,IF(ISBLANK(_xlfn.XLOOKUP("What Ice Cream Base Do You Want To Change It To?",[1]Sheet1!$1:$1,[1]Sheet1!107:107)),_xlfn.XLOOKUP($C107,'Premade Flavors'!$A:$A,'Premade Flavors'!B:B),_xlfn.XLOOKUP("What Ice Cream Base Do You Want To Change It To?",[1]Sheet1!$1:$1,[1]Sheet1!107:107)),_xlfn.XLOOKUP(_xlfn.XLOOKUP("What Kind Of Ice Cream Base Do You Want? ",[1]Sheet1!$1:$1,[1]Sheet1!107:107),'Milk Types Nutrition Per Cup'!O:O,'Milk Types Nutrition Per Cup'!P:P,""))</f>
        <v>0</v>
      </c>
      <c r="E107" s="31">
        <f>IF(COUNTIF('Premade Flavors'!$A:$A, $C107) &gt; 0,IF(ISBLANK(_xlfn.XLOOKUP("What Ice Cream Base Do You Want To Change It To?",[1]Sheet1!$1:$1,[1]Sheet1!107:107)),_xlfn.XLOOKUP($C107,'Premade Flavors'!$A:$A,'Premade Flavors'!C:C),_xlfn.XLOOKUP("What Ice Cream Base Do You Want To Change It To?",[1]Sheet1!$1:$1,[1]Sheet1!107:107)),_xlfn.XLOOKUP(_xlfn.XLOOKUP("What Kind Of Ice Cream Base Do You Want? ",[1]Sheet1!$1:$1,[1]Sheet1!107:107),'Milk Types Nutrition Per Cup'!$O:$O,'Milk Types Nutrition Per Cup'!$Q:$Q,""))</f>
        <v>0</v>
      </c>
      <c r="F107" s="31">
        <f>IF(COUNTIF('Premade Flavors'!$A:$A, $C107) &gt; 0,_xlfn.XLOOKUP($C107,'Premade Flavors'!$A:$A,'Premade Flavors'!E:E),_xlfn.XLOOKUP("What's The First Flavor You Want? ",[1]Sheet1!$1:$1,[1]Sheet1!107:107))</f>
        <v>0</v>
      </c>
      <c r="G107" s="31">
        <f>IF(COUNTIF('Premade Flavors'!$A:$A, $C107) &gt; 0,_xlfn.XLOOKUP($C107,'Premade Flavors'!$A:$A,'Premade Flavors'!F:F),_xlfn.XLOOKUP("What's the Second Flavor You Want?",[1]Sheet1!$1:$1,[1]Sheet1!107:107))</f>
        <v>0</v>
      </c>
      <c r="H107" s="31">
        <f>IF(COUNTIF('Premade Flavors'!$A:$A, $C107) &gt; 0,_xlfn.XLOOKUP($C107,'Premade Flavors'!$A:$A,'Premade Flavors'!G:G),_xlfn.XLOOKUP("What's The First Mix In That You Want? ",[1]Sheet1!$1:$1,[1]Sheet1!107:107))</f>
        <v>0</v>
      </c>
      <c r="I107" s="31">
        <f>IF(COUNTIF('Premade Flavors'!$A:$A, $C105) &gt; 0,_xlfn.XLOOKUP($C105,'Premade Flavors'!$A:$A,'Premade Flavors'!H:H),IF([2]Sheet1!W105= 0,,[2]Sheet1!W105))</f>
        <v>0</v>
      </c>
      <c r="J107" s="31">
        <f>IF(COUNTIF('Premade Flavors'!$A:$A,$C107)&gt;0,IF(_xlfn.XLOOKUP("Should It Use Sugar or A Non-Sugar Sweetner?",[1]Sheet1!$1:$1,[1]Sheet1!107:107)="Sugar",_xlfn.XLOOKUP($C107,'Premade Flavors'!$A:$A,'Premade Flavors'!I:I),"Stevia"),_xlfn.XLOOKUP("What Sweetner Do You Want?",[1]Sheet1!$1:$1,[1]Sheet1!107:107))</f>
        <v>0</v>
      </c>
      <c r="K107" s="31"/>
      <c r="L107" s="77">
        <f>_xlfn.XLOOKUP("How Much Ice Cream Do You Want?",[1]Sheet1!$1:$1,[1]Sheet1!107:107)</f>
        <v>0</v>
      </c>
      <c r="M107" s="45">
        <f>IF(COUNTIF('Premade Flavors'!$A:$A, $C107) &gt; 0,_xlfn.XLOOKUP($C107,'Premade Flavors'!$A:$A,'Premade Flavors'!M:M),_xlfn.XLOOKUP("How Strong Do You Want The First Flavor?",[1]Sheet1!$1:$1,[1]Sheet1!107:107))</f>
        <v>0</v>
      </c>
      <c r="N107" s="45">
        <f>IF(COUNTIF('Premade Flavors'!$A:$A, $C107) &gt; 0,_xlfn.XLOOKUP($C107,'Premade Flavors'!$A:$A,'Premade Flavors'!N:N),_xlfn.XLOOKUP("How Strong Do You Want The Second Flavor?",[1]Sheet1!$1:$1,[1]Sheet1!107:107))</f>
        <v>0</v>
      </c>
      <c r="O107" s="45">
        <f>IF(COUNTIF('Premade Flavors'!$A:$A, $C107) &gt; 0,_xlfn.XLOOKUP($C107,'Premade Flavors'!$A:$A,'Premade Flavors'!O:O),_xlfn.XLOOKUP("How Dense Should the Mix Ins Be?",[1]Sheet1!$1:$1,[1]Sheet1!107:107))</f>
        <v>0</v>
      </c>
      <c r="P107" s="45">
        <f>IF(COUNTIF('Premade Flavors'!$A:$A, $C107) &gt; 0,_xlfn.XLOOKUP($C107,'Premade Flavors'!$A:$A,'Premade Flavors'!P:P),_xlfn.XLOOKUP("How Much Of The First Sweetner? ",[1]Sheet1!$1:$1,[1]Sheet1!107:107))</f>
        <v>0</v>
      </c>
      <c r="Q107" s="45">
        <f>IF(COUNTIF('Premade Flavors'!$A:$A, $C107) &gt; 0,_xlfn.XLOOKUP($C107,'Premade Flavors'!$A:$A,'Premade Flavors'!Q:Q),[2]Sheet1!S107)</f>
        <v>0</v>
      </c>
      <c r="R107" s="30">
        <f>(_xlfn.XLOOKUP($L107,Specs!A:A,Specs!B:B,0)-(IF(_xlfn.XLOOKUP($F107,'Liquid Mix In Nutrition'!A:A,'Liquid Mix In Nutrition'!J:J,0)="Yes",0,$T107))-(IF(_xlfn.XLOOKUP($G107,'Liquid Mix In Nutrition'!A:A,'Liquid Mix In Nutrition'!J:J,0)="Yes",0,$U107))-(($V107/MAX(1,_xlfn.XLOOKUP($H107,'Solid Mix In Nutrition'!A:A,'Solid Mix In Nutrition'!I:I,1)))*240)-(($W107/MAX(1,_xlfn.XLOOKUP($I107,'Solid Mix In Nutrition'!A:A,'Solid Mix In Nutrition'!I:I,1)))*240))*0.66</f>
        <v>0</v>
      </c>
      <c r="S107" s="30">
        <f>(_xlfn.XLOOKUP($L107,Specs!A:A,Specs!B:B,0)-(IF(_xlfn.XLOOKUP($F107,'Liquid Mix In Nutrition'!A:A,'Liquid Mix In Nutrition'!J:J,0)="Yes",0,$T107))-(IF(_xlfn.XLOOKUP($G107,'Liquid Mix In Nutrition'!A:A,'Liquid Mix In Nutrition'!J:J,0)="Yes",0,$U107))-(($V107/MAX(1,_xlfn.XLOOKUP($H107,'Solid Mix In Nutrition'!A:A,'Solid Mix In Nutrition'!I:I,1)))*240)-(($W107/MAX(1,_xlfn.XLOOKUP($I107,'Solid Mix In Nutrition'!A:A,'Solid Mix In Nutrition'!I:I,1)))*240))*0.33</f>
        <v>0</v>
      </c>
      <c r="T107" s="30">
        <f>_xlfn.XLOOKUP($M107,Specs!$D:$D,Specs!$E:$E,0)*15*_xlfn.XLOOKUP($L107,Specs!$A:$A,Specs!$C:$C,0)</f>
        <v>0</v>
      </c>
      <c r="U107" s="30">
        <f>_xlfn.XLOOKUP($N107,Specs!$D:$D,Specs!$E:$E,0)*15*_xlfn.XLOOKUP($L107,Specs!$A:$A,Specs!$C:$C,0)</f>
        <v>0</v>
      </c>
      <c r="V107" s="30">
        <f>( ((_xlfn.XLOOKUP($O107,Specs!$H:$H,Specs!$I:$I,0)*_xlfn.XLOOKUP($L107,Specs!$A:$A,Specs!$B:$B,0))/240) *_xlfn.XLOOKUP($H107,'Solid Mix In Nutrition'!A:A,'Solid Mix In Nutrition'!I:I,0)) *IF(AND(NOT($I107=0), COUNTA($I107)),0.5,1)</f>
        <v>0</v>
      </c>
      <c r="W107" s="30">
        <f>( ((_xlfn.XLOOKUP($O107,Specs!$H:$H,Specs!$I:$I,0)*_xlfn.XLOOKUP($L107,Specs!$A:$A,Specs!$B:$B,0))/240) *_xlfn.XLOOKUP($I107,'Solid Mix In Nutrition'!A:A,'Solid Mix In Nutrition'!I:I,0)) *IF(AND(NOT($I107=0), COUNTA($I107)),0.5,0)</f>
        <v>0</v>
      </c>
      <c r="X107" s="30">
        <f>_xlfn.XLOOKUP($P107,Specs!F:F,Specs!G:G,0)*_xlfn.XLOOKUP($J107,'Sweetener Mix In Nutrition'!A:A,'Sweetener Mix In Nutrition'!I:I,0)*_xlfn.XLOOKUP($L107,Specs!A:A,Specs!C:C,0)</f>
        <v>0</v>
      </c>
      <c r="Y107" s="30">
        <f>_xlfn.XLOOKUP($Q107,Specs!F:F,Specs!G:G,0)*_xlfn.XLOOKUP($K107,'Sweetener Mix In Nutrition'!A:A,'Sweetener Mix In Nutrition'!I:I,0)*_xlfn.XLOOKUP($L107,Specs!A:A,Specs!C:C,0)</f>
        <v>0</v>
      </c>
      <c r="Z107" s="34">
        <f t="shared" si="4"/>
        <v>0</v>
      </c>
      <c r="AA107" s="35">
        <f t="shared" si="5"/>
        <v>0</v>
      </c>
      <c r="AB107" s="36">
        <f>(($R107 / 240) * _xlfn.XLOOKUP($D107,'Milk Types Nutrition Per Cup'!A:A,'Milk Types Nutrition Per Cup'!B:B,0)) +(($S107 / 240)  * _xlfn.XLOOKUP($E107,'Milk Types Nutrition Per Cup'!A:A,'Milk Types Nutrition Per Cup'!B:B,0)) +(($T107 / 15)  * _xlfn.XLOOKUP($F107,'Liquid Mix In Nutrition'!A:A,'Liquid Mix In Nutrition'!B:B,0))+(($U107 / 15)  * _xlfn.XLOOKUP($G107,'Liquid Mix In Nutrition'!A:A,'Liquid Mix In Nutrition'!B:B,0))+(($V107 /MAX(1, _xlfn.XLOOKUP($H107,'Solid Mix In Nutrition'!A:A,'Solid Mix In Nutrition'!I:I,1)))  * _xlfn.XLOOKUP($H107,'Solid Mix In Nutrition'!A:A,'Solid Mix In Nutrition'!B:B,0))+(($W107 / MAX(1, _xlfn.XLOOKUP($I107,'Solid Mix In Nutrition'!A:A,'Solid Mix In Nutrition'!I:I,1))))+(($X107 / 100)  * _xlfn.XLOOKUP($J107,'Sweetener Mix In Nutrition'!A:A,'Sweetener Mix In Nutrition'!B:B,0))+(($Y107 / 100)  * _xlfn.XLOOKUP($K107,'Sweetener Mix In Nutrition'!A:A,'Sweetener Mix In Nutrition'!B:B,0))</f>
        <v>0</v>
      </c>
      <c r="AC107" s="36">
        <f>(($R107 / 240) * _xlfn.XLOOKUP($D107,'Milk Types Nutrition Per Cup'!A:A,'Milk Types Nutrition Per Cup'!E:E,0)) +(($S107 / 240)  * _xlfn.XLOOKUP($E107,'Milk Types Nutrition Per Cup'!A:A,'Milk Types Nutrition Per Cup'!E:E,0)) +(($T107 / 15)  * _xlfn.XLOOKUP($F107,'Liquid Mix In Nutrition'!A:A,'Liquid Mix In Nutrition'!E:E,0)) +(($U107 / 15)  * _xlfn.XLOOKUP($G107,'Liquid Mix In Nutrition'!A:A,'Liquid Mix In Nutrition'!E:E,0))+(($V107 / MAX(1, _xlfn.XLOOKUP($H107,'Solid Mix In Nutrition'!A:A,'Solid Mix In Nutrition'!I:I,1)))  * _xlfn.XLOOKUP($H107,'Solid Mix In Nutrition'!A:A,'Solid Mix In Nutrition'!E:E,0))+(($W107 / MAX(1, _xlfn.XLOOKUP($I107,'Solid Mix In Nutrition'!A:A,'Solid Mix In Nutrition'!I:I,1)))  * _xlfn.XLOOKUP($I107,'Solid Mix In Nutrition'!A:A,'Solid Mix In Nutrition'!G:G,0))+(($X107 / 100)  * _xlfn.XLOOKUP($J107,'Sweetener Mix In Nutrition'!A:A,'Sweetener Mix In Nutrition'!E:E,0))+(($Y107 / 100)  * _xlfn.XLOOKUP($K107,'Sweetener Mix In Nutrition'!A:A,'Sweetener Mix In Nutrition'!E:E,0))</f>
        <v>0</v>
      </c>
      <c r="AD107" s="36">
        <f>(($R107 / 240) * _xlfn.XLOOKUP($D107,'Milk Types Nutrition Per Cup'!A:A,'Milk Types Nutrition Per Cup'!E:E,0)) +(($S107 / 240)  * _xlfn.XLOOKUP($E107,'Milk Types Nutrition Per Cup'!A:A,'Milk Types Nutrition Per Cup'!E:E,0)) +(($T107 / 15)  * _xlfn.XLOOKUP($F107,'Liquid Mix In Nutrition'!A:A,'Liquid Mix In Nutrition'!E:E,0)) +(($U107 / 15)  * _xlfn.XLOOKUP($G107,'Liquid Mix In Nutrition'!A:A,'Liquid Mix In Nutrition'!E:E,0))+(($X107 / 100)  * _xlfn.XLOOKUP($J107,'Sweetener Mix In Nutrition'!A:A,'Sweetener Mix In Nutrition'!E:E,0))+(($Y107 / 100)  * _xlfn.XLOOKUP($K107,'Sweetener Mix In Nutrition'!A:A,'Sweetener Mix In Nutrition'!E:E,0))</f>
        <v>0</v>
      </c>
      <c r="AE107" s="37">
        <f>(($R107 / 240) * _xlfn.XLOOKUP($D107,'Milk Types Nutrition Per Cup'!A:A,'Milk Types Nutrition Per Cup'!C:C,0)) +(($S107 / 240)  * _xlfn.XLOOKUP($E107,'Milk Types Nutrition Per Cup'!A:A,'Milk Types Nutrition Per Cup'!C:C,0)) +(($T107 / 15)  * _xlfn.XLOOKUP($F107,'Liquid Mix In Nutrition'!A:A,'Liquid Mix In Nutrition'!C:C,0))+(($U107 / 15)  * _xlfn.XLOOKUP($G107,'Liquid Mix In Nutrition'!A:A,'Liquid Mix In Nutrition'!C:C,0))+(($V107 / MAX(1, _xlfn.XLOOKUP($H107,'Solid Mix In Nutrition'!A:A,'Solid Mix In Nutrition'!I:I,1)))  * _xlfn.XLOOKUP($H107,'Solid Mix In Nutrition'!A:A,'Solid Mix In Nutrition'!C:C,0))+(($W107 / MAX(1, _xlfn.XLOOKUP($I107,'Solid Mix In Nutrition'!A:A,'Solid Mix In Nutrition'!I:I,1)))  * _xlfn.XLOOKUP($I107,'Solid Mix In Nutrition'!A:A,'Solid Mix In Nutrition'!C:C,0))+(($X107 / 100)  * _xlfn.XLOOKUP($J107,'Sweetener Mix In Nutrition'!A:A,'Sweetener Mix In Nutrition'!C:C,0))+(($Y107 / 100)  * _xlfn.XLOOKUP($K107,'Sweetener Mix In Nutrition'!A:A,'Sweetener Mix In Nutrition'!C:C,0))</f>
        <v>0</v>
      </c>
      <c r="AF107" s="38" t="e">
        <f>$AE107 / (_xlfn.XLOOKUP($L107,Specs!A:A,Specs!B:B,0))</f>
        <v>#DIV/0!</v>
      </c>
      <c r="AG107" s="37" t="e">
        <f>60* ($AB107 / _xlfn.XLOOKUP($L107,Specs!A:A,Specs!B:B,0))</f>
        <v>#DIV/0!</v>
      </c>
      <c r="AH107" s="37" t="e">
        <f>60* (AC107 / _xlfn.XLOOKUP($L107,Specs!$A:$A,Specs!$B:$B,0))</f>
        <v>#DIV/0!</v>
      </c>
      <c r="AI107" s="37" t="e">
        <f>60* (AE107 / _xlfn.XLOOKUP($L107,Specs!$A:$A,Specs!$B:$B,0))</f>
        <v>#DIV/0!</v>
      </c>
      <c r="AJ107" s="39">
        <f>(($R107 / 240) * _xlfn.XLOOKUP($D107,'Milk Types Nutrition Per Cup'!A:A,'Milk Types Nutrition Per Cup'!F:F,0)) +(($S107 / 240)  * _xlfn.XLOOKUP($E107,'Milk Types Nutrition Per Cup'!A:A,'Milk Types Nutrition Per Cup'!F:F,0)) +(($T107 / 15)  * _xlfn.XLOOKUP($F107,'Liquid Mix In Nutrition'!A:A,'Liquid Mix In Nutrition'!F:F,0))+(($U107 / 15)  * _xlfn.XLOOKUP($G107,'Liquid Mix In Nutrition'!A:A,'Liquid Mix In Nutrition'!F:F,0))+(($V107 / MAX(1, _xlfn.XLOOKUP($H107,'Solid Mix In Nutrition'!A:A,'Solid Mix In Nutrition'!I:I,1)))  * _xlfn.XLOOKUP($H107,'Solid Mix In Nutrition'!A:A,'Solid Mix In Nutrition'!F:F,0))+(($W107 / MAX(1, _xlfn.XLOOKUP($I107,'Solid Mix In Nutrition'!A:A,'Solid Mix In Nutrition'!I:I,1)))  * _xlfn.XLOOKUP($I107,'Solid Mix In Nutrition'!A:A,'Solid Mix In Nutrition'!F:F,0))+(($X107 / 100)  * _xlfn.XLOOKUP($J107,'Sweetener Mix In Nutrition'!A:A,'Sweetener Mix In Nutrition'!F:F,0))+(($Y107 / 100)  * _xlfn.XLOOKUP($K107,'Sweetener Mix In Nutrition'!A:A,'Sweetener Mix In Nutrition'!F:F,0))</f>
        <v>0</v>
      </c>
      <c r="AK107" s="46">
        <f>[2]Sheet1!AG107</f>
        <v>0</v>
      </c>
      <c r="AL107" s="47"/>
      <c r="AM107" s="40">
        <f>IF(ISERROR(((AL107/Specs!$L$3)*Specs!$L$2)*2),0,ROUNDUP((((AL107/Specs!$L$3)*Specs!$L$2)*2),0))</f>
        <v>0</v>
      </c>
      <c r="AN107" s="48">
        <f>ROUNDUP(((AJ107+Specs!$R$2+Specs!$S$2+_xlfn.XLOOKUP($L107,Specs!A:A,Specs!V:V,0))*Specs!$N$2)+AM107,0)</f>
        <v>1</v>
      </c>
      <c r="AO107" s="40">
        <f>ROUNDUP(((AJ107+Specs!$R$2+Specs!$S$2+_xlfn.XLOOKUP($L107,Specs!A:A,Specs!V:V,0))*Specs!$N$2),0)</f>
        <v>1</v>
      </c>
      <c r="AP107" s="30"/>
    </row>
    <row r="108" spans="1:42" x14ac:dyDescent="0.25">
      <c r="A108" s="41" t="str">
        <f>_xlfn.CONCAT(_xlfn.XLOOKUP("What's Your Name?",[1]Sheet1!$1:$1,[1]Sheet1!108:108)," | ",TEXT(_xlfn.XLOOKUP("Completion time",[1]Sheet1!$1:$1,[1]Sheet1!108:108),"dddd, mmm dd, yyyy hh:mm AM/PM"))</f>
        <v xml:space="preserve"> | Saturday, Jan 00, 1900 12:00 AM</v>
      </c>
      <c r="B108" s="76">
        <f>_xlfn.XLOOKUP("What's Your Email Address?",[1]Sheet1!$1:$1,[1]Sheet1!108:108)</f>
        <v>0</v>
      </c>
      <c r="C108" s="31">
        <f>IF(ISBLANK(_xlfn.XLOOKUP("Which Flavor? (Pint Price | Quart Price | Half Gallon Price) (NOTE: Prices may fluctuate based on market conditions)",[1]Sheet1!$1:$1,[1]Sheet1!108:108)),_xlfn.XLOOKUP("Name Your Ice Cream!",[1]Sheet1!$1:$1,[1]Sheet1!108:108),IF(ISNUMBER(FIND("(", _xlfn.XLOOKUP("Which Flavor? (Pint Price | Quart Price | Half Gallon Price) (NOTE: Prices may fluctuate based on market conditions)",[1]Sheet1!$1:$1,[1]Sheet1!108:108))), LEFT(_xlfn.XLOOKUP("Which Flavor? (Pint Price | Quart Price | Half Gallon Price) (NOTE: Prices may fluctuate based on market conditions)",[1]Sheet1!$1:$1,[1]Sheet1!108:108), FIND("(", _xlfn.XLOOKUP("Which Flavor? (Pint Price | Quart Price | Half Gallon Price) (NOTE: Prices may fluctuate based on market conditions)",[1]Sheet1!$1:$1,[1]Sheet1!108:108)) - 1), _xlfn.XLOOKUP("Which Flavor? (Pint Price | Quart Price | Half Gallon Price) (NOTE: Prices may fluctuate based on market conditions)",[1]Sheet1!$1:$1,[1]Sheet1!108:108)))</f>
        <v>0</v>
      </c>
      <c r="D108" s="31">
        <f>IF(COUNTIF('Premade Flavors'!$A:$A, $C108) &gt; 0,IF(ISBLANK(_xlfn.XLOOKUP("What Ice Cream Base Do You Want To Change It To?",[1]Sheet1!$1:$1,[1]Sheet1!108:108)),_xlfn.XLOOKUP($C108,'Premade Flavors'!$A:$A,'Premade Flavors'!B:B),_xlfn.XLOOKUP("What Ice Cream Base Do You Want To Change It To?",[1]Sheet1!$1:$1,[1]Sheet1!108:108)),_xlfn.XLOOKUP(_xlfn.XLOOKUP("What Kind Of Ice Cream Base Do You Want? ",[1]Sheet1!$1:$1,[1]Sheet1!108:108),'Milk Types Nutrition Per Cup'!O:O,'Milk Types Nutrition Per Cup'!P:P,""))</f>
        <v>0</v>
      </c>
      <c r="E108" s="31">
        <f>IF(COUNTIF('Premade Flavors'!$A:$A, $C108) &gt; 0,IF(ISBLANK(_xlfn.XLOOKUP("What Ice Cream Base Do You Want To Change It To?",[1]Sheet1!$1:$1,[1]Sheet1!108:108)),_xlfn.XLOOKUP($C108,'Premade Flavors'!$A:$A,'Premade Flavors'!C:C),_xlfn.XLOOKUP("What Ice Cream Base Do You Want To Change It To?",[1]Sheet1!$1:$1,[1]Sheet1!108:108)),_xlfn.XLOOKUP(_xlfn.XLOOKUP("What Kind Of Ice Cream Base Do You Want? ",[1]Sheet1!$1:$1,[1]Sheet1!108:108),'Milk Types Nutrition Per Cup'!$O:$O,'Milk Types Nutrition Per Cup'!$Q:$Q,""))</f>
        <v>0</v>
      </c>
      <c r="F108" s="31">
        <f>IF(COUNTIF('Premade Flavors'!$A:$A, $C108) &gt; 0,_xlfn.XLOOKUP($C108,'Premade Flavors'!$A:$A,'Premade Flavors'!E:E),_xlfn.XLOOKUP("What's The First Flavor You Want? ",[1]Sheet1!$1:$1,[1]Sheet1!108:108))</f>
        <v>0</v>
      </c>
      <c r="G108" s="31">
        <f>IF(COUNTIF('Premade Flavors'!$A:$A, $C108) &gt; 0,_xlfn.XLOOKUP($C108,'Premade Flavors'!$A:$A,'Premade Flavors'!F:F),_xlfn.XLOOKUP("What's the Second Flavor You Want?",[1]Sheet1!$1:$1,[1]Sheet1!108:108))</f>
        <v>0</v>
      </c>
      <c r="H108" s="31">
        <f>IF(COUNTIF('Premade Flavors'!$A:$A, $C108) &gt; 0,_xlfn.XLOOKUP($C108,'Premade Flavors'!$A:$A,'Premade Flavors'!G:G),_xlfn.XLOOKUP("What's The First Mix In That You Want? ",[1]Sheet1!$1:$1,[1]Sheet1!108:108))</f>
        <v>0</v>
      </c>
      <c r="I108" s="31">
        <f>IF(COUNTIF('Premade Flavors'!$A:$A, $C106) &gt; 0,_xlfn.XLOOKUP($C106,'Premade Flavors'!$A:$A,'Premade Flavors'!H:H),IF([2]Sheet1!W106= 0,,[2]Sheet1!W106))</f>
        <v>0</v>
      </c>
      <c r="J108" s="31">
        <f>IF(COUNTIF('Premade Flavors'!$A:$A,$C108)&gt;0,IF(_xlfn.XLOOKUP("Should It Use Sugar or A Non-Sugar Sweetner?",[1]Sheet1!$1:$1,[1]Sheet1!108:108)="Sugar",_xlfn.XLOOKUP($C108,'Premade Flavors'!$A:$A,'Premade Flavors'!I:I),"Stevia"),_xlfn.XLOOKUP("What Sweetner Do You Want?",[1]Sheet1!$1:$1,[1]Sheet1!108:108))</f>
        <v>0</v>
      </c>
      <c r="K108" s="31"/>
      <c r="L108" s="77">
        <f>_xlfn.XLOOKUP("How Much Ice Cream Do You Want?",[1]Sheet1!$1:$1,[1]Sheet1!108:108)</f>
        <v>0</v>
      </c>
      <c r="M108" s="45">
        <f>IF(COUNTIF('Premade Flavors'!$A:$A, $C108) &gt; 0,_xlfn.XLOOKUP($C108,'Premade Flavors'!$A:$A,'Premade Flavors'!M:M),_xlfn.XLOOKUP("How Strong Do You Want The First Flavor?",[1]Sheet1!$1:$1,[1]Sheet1!108:108))</f>
        <v>0</v>
      </c>
      <c r="N108" s="45">
        <f>IF(COUNTIF('Premade Flavors'!$A:$A, $C108) &gt; 0,_xlfn.XLOOKUP($C108,'Premade Flavors'!$A:$A,'Premade Flavors'!N:N),_xlfn.XLOOKUP("How Strong Do You Want The Second Flavor?",[1]Sheet1!$1:$1,[1]Sheet1!108:108))</f>
        <v>0</v>
      </c>
      <c r="O108" s="45">
        <f>IF(COUNTIF('Premade Flavors'!$A:$A, $C108) &gt; 0,_xlfn.XLOOKUP($C108,'Premade Flavors'!$A:$A,'Premade Flavors'!O:O),_xlfn.XLOOKUP("How Dense Should the Mix Ins Be?",[1]Sheet1!$1:$1,[1]Sheet1!108:108))</f>
        <v>0</v>
      </c>
      <c r="P108" s="45">
        <f>IF(COUNTIF('Premade Flavors'!$A:$A, $C108) &gt; 0,_xlfn.XLOOKUP($C108,'Premade Flavors'!$A:$A,'Premade Flavors'!P:P),_xlfn.XLOOKUP("How Much Of The First Sweetner? ",[1]Sheet1!$1:$1,[1]Sheet1!108:108))</f>
        <v>0</v>
      </c>
      <c r="Q108" s="45">
        <f>IF(COUNTIF('Premade Flavors'!$A:$A, $C108) &gt; 0,_xlfn.XLOOKUP($C108,'Premade Flavors'!$A:$A,'Premade Flavors'!Q:Q),[2]Sheet1!S108)</f>
        <v>0</v>
      </c>
      <c r="R108" s="30">
        <f>(_xlfn.XLOOKUP($L108,Specs!A:A,Specs!B:B,0)-(IF(_xlfn.XLOOKUP($F108,'Liquid Mix In Nutrition'!A:A,'Liquid Mix In Nutrition'!J:J,0)="Yes",0,$T108))-(IF(_xlfn.XLOOKUP($G108,'Liquid Mix In Nutrition'!A:A,'Liquid Mix In Nutrition'!J:J,0)="Yes",0,$U108))-(($V108/MAX(1,_xlfn.XLOOKUP($H108,'Solid Mix In Nutrition'!A:A,'Solid Mix In Nutrition'!I:I,1)))*240)-(($W108/MAX(1,_xlfn.XLOOKUP($I108,'Solid Mix In Nutrition'!A:A,'Solid Mix In Nutrition'!I:I,1)))*240))*0.66</f>
        <v>0</v>
      </c>
      <c r="S108" s="30">
        <f>(_xlfn.XLOOKUP($L108,Specs!A:A,Specs!B:B,0)-(IF(_xlfn.XLOOKUP($F108,'Liquid Mix In Nutrition'!A:A,'Liquid Mix In Nutrition'!J:J,0)="Yes",0,$T108))-(IF(_xlfn.XLOOKUP($G108,'Liquid Mix In Nutrition'!A:A,'Liquid Mix In Nutrition'!J:J,0)="Yes",0,$U108))-(($V108/MAX(1,_xlfn.XLOOKUP($H108,'Solid Mix In Nutrition'!A:A,'Solid Mix In Nutrition'!I:I,1)))*240)-(($W108/MAX(1,_xlfn.XLOOKUP($I108,'Solid Mix In Nutrition'!A:A,'Solid Mix In Nutrition'!I:I,1)))*240))*0.33</f>
        <v>0</v>
      </c>
      <c r="T108" s="30">
        <f>_xlfn.XLOOKUP($M108,Specs!$D:$D,Specs!$E:$E,0)*15*_xlfn.XLOOKUP($L108,Specs!$A:$A,Specs!$C:$C,0)</f>
        <v>0</v>
      </c>
      <c r="U108" s="30">
        <f>_xlfn.XLOOKUP($N108,Specs!$D:$D,Specs!$E:$E,0)*15*_xlfn.XLOOKUP($L108,Specs!$A:$A,Specs!$C:$C,0)</f>
        <v>0</v>
      </c>
      <c r="V108" s="30">
        <f>( ((_xlfn.XLOOKUP($O108,Specs!$H:$H,Specs!$I:$I,0)*_xlfn.XLOOKUP($L108,Specs!$A:$A,Specs!$B:$B,0))/240) *_xlfn.XLOOKUP($H108,'Solid Mix In Nutrition'!A:A,'Solid Mix In Nutrition'!I:I,0)) *IF(AND(NOT($I108=0), COUNTA($I108)),0.5,1)</f>
        <v>0</v>
      </c>
      <c r="W108" s="30">
        <f>( ((_xlfn.XLOOKUP($O108,Specs!$H:$H,Specs!$I:$I,0)*_xlfn.XLOOKUP($L108,Specs!$A:$A,Specs!$B:$B,0))/240) *_xlfn.XLOOKUP($I108,'Solid Mix In Nutrition'!A:A,'Solid Mix In Nutrition'!I:I,0)) *IF(AND(NOT($I108=0), COUNTA($I108)),0.5,0)</f>
        <v>0</v>
      </c>
      <c r="X108" s="30">
        <f>_xlfn.XLOOKUP($P108,Specs!F:F,Specs!G:G,0)*_xlfn.XLOOKUP($J108,'Sweetener Mix In Nutrition'!A:A,'Sweetener Mix In Nutrition'!I:I,0)*_xlfn.XLOOKUP($L108,Specs!A:A,Specs!C:C,0)</f>
        <v>0</v>
      </c>
      <c r="Y108" s="30">
        <f>_xlfn.XLOOKUP($Q108,Specs!F:F,Specs!G:G,0)*_xlfn.XLOOKUP($K108,'Sweetener Mix In Nutrition'!A:A,'Sweetener Mix In Nutrition'!I:I,0)*_xlfn.XLOOKUP($L108,Specs!A:A,Specs!C:C,0)</f>
        <v>0</v>
      </c>
      <c r="Z108" s="34">
        <f t="shared" si="4"/>
        <v>0</v>
      </c>
      <c r="AA108" s="35">
        <f t="shared" si="5"/>
        <v>0</v>
      </c>
      <c r="AB108" s="36">
        <f>(($R108 / 240) * _xlfn.XLOOKUP($D108,'Milk Types Nutrition Per Cup'!A:A,'Milk Types Nutrition Per Cup'!B:B,0)) +(($S108 / 240)  * _xlfn.XLOOKUP($E108,'Milk Types Nutrition Per Cup'!A:A,'Milk Types Nutrition Per Cup'!B:B,0)) +(($T108 / 15)  * _xlfn.XLOOKUP($F108,'Liquid Mix In Nutrition'!A:A,'Liquid Mix In Nutrition'!B:B,0))+(($U108 / 15)  * _xlfn.XLOOKUP($G108,'Liquid Mix In Nutrition'!A:A,'Liquid Mix In Nutrition'!B:B,0))+(($V108 /MAX(1, _xlfn.XLOOKUP($H108,'Solid Mix In Nutrition'!A:A,'Solid Mix In Nutrition'!I:I,1)))  * _xlfn.XLOOKUP($H108,'Solid Mix In Nutrition'!A:A,'Solid Mix In Nutrition'!B:B,0))+(($W108 / MAX(1, _xlfn.XLOOKUP($I108,'Solid Mix In Nutrition'!A:A,'Solid Mix In Nutrition'!I:I,1))))+(($X108 / 100)  * _xlfn.XLOOKUP($J108,'Sweetener Mix In Nutrition'!A:A,'Sweetener Mix In Nutrition'!B:B,0))+(($Y108 / 100)  * _xlfn.XLOOKUP($K108,'Sweetener Mix In Nutrition'!A:A,'Sweetener Mix In Nutrition'!B:B,0))</f>
        <v>0</v>
      </c>
      <c r="AC108" s="36">
        <f>(($R108 / 240) * _xlfn.XLOOKUP($D108,'Milk Types Nutrition Per Cup'!A:A,'Milk Types Nutrition Per Cup'!E:E,0)) +(($S108 / 240)  * _xlfn.XLOOKUP($E108,'Milk Types Nutrition Per Cup'!A:A,'Milk Types Nutrition Per Cup'!E:E,0)) +(($T108 / 15)  * _xlfn.XLOOKUP($F108,'Liquid Mix In Nutrition'!A:A,'Liquid Mix In Nutrition'!E:E,0)) +(($U108 / 15)  * _xlfn.XLOOKUP($G108,'Liquid Mix In Nutrition'!A:A,'Liquid Mix In Nutrition'!E:E,0))+(($V108 / MAX(1, _xlfn.XLOOKUP($H108,'Solid Mix In Nutrition'!A:A,'Solid Mix In Nutrition'!I:I,1)))  * _xlfn.XLOOKUP($H108,'Solid Mix In Nutrition'!A:A,'Solid Mix In Nutrition'!E:E,0))+(($W108 / MAX(1, _xlfn.XLOOKUP($I108,'Solid Mix In Nutrition'!A:A,'Solid Mix In Nutrition'!I:I,1)))  * _xlfn.XLOOKUP($I108,'Solid Mix In Nutrition'!A:A,'Solid Mix In Nutrition'!G:G,0))+(($X108 / 100)  * _xlfn.XLOOKUP($J108,'Sweetener Mix In Nutrition'!A:A,'Sweetener Mix In Nutrition'!E:E,0))+(($Y108 / 100)  * _xlfn.XLOOKUP($K108,'Sweetener Mix In Nutrition'!A:A,'Sweetener Mix In Nutrition'!E:E,0))</f>
        <v>0</v>
      </c>
      <c r="AD108" s="36">
        <f>(($R108 / 240) * _xlfn.XLOOKUP($D108,'Milk Types Nutrition Per Cup'!A:A,'Milk Types Nutrition Per Cup'!E:E,0)) +(($S108 / 240)  * _xlfn.XLOOKUP($E108,'Milk Types Nutrition Per Cup'!A:A,'Milk Types Nutrition Per Cup'!E:E,0)) +(($T108 / 15)  * _xlfn.XLOOKUP($F108,'Liquid Mix In Nutrition'!A:A,'Liquid Mix In Nutrition'!E:E,0)) +(($U108 / 15)  * _xlfn.XLOOKUP($G108,'Liquid Mix In Nutrition'!A:A,'Liquid Mix In Nutrition'!E:E,0))+(($X108 / 100)  * _xlfn.XLOOKUP($J108,'Sweetener Mix In Nutrition'!A:A,'Sweetener Mix In Nutrition'!E:E,0))+(($Y108 / 100)  * _xlfn.XLOOKUP($K108,'Sweetener Mix In Nutrition'!A:A,'Sweetener Mix In Nutrition'!E:E,0))</f>
        <v>0</v>
      </c>
      <c r="AE108" s="37">
        <f>(($R108 / 240) * _xlfn.XLOOKUP($D108,'Milk Types Nutrition Per Cup'!A:A,'Milk Types Nutrition Per Cup'!C:C,0)) +(($S108 / 240)  * _xlfn.XLOOKUP($E108,'Milk Types Nutrition Per Cup'!A:A,'Milk Types Nutrition Per Cup'!C:C,0)) +(($T108 / 15)  * _xlfn.XLOOKUP($F108,'Liquid Mix In Nutrition'!A:A,'Liquid Mix In Nutrition'!C:C,0))+(($U108 / 15)  * _xlfn.XLOOKUP($G108,'Liquid Mix In Nutrition'!A:A,'Liquid Mix In Nutrition'!C:C,0))+(($V108 / MAX(1, _xlfn.XLOOKUP($H108,'Solid Mix In Nutrition'!A:A,'Solid Mix In Nutrition'!I:I,1)))  * _xlfn.XLOOKUP($H108,'Solid Mix In Nutrition'!A:A,'Solid Mix In Nutrition'!C:C,0))+(($W108 / MAX(1, _xlfn.XLOOKUP($I108,'Solid Mix In Nutrition'!A:A,'Solid Mix In Nutrition'!I:I,1)))  * _xlfn.XLOOKUP($I108,'Solid Mix In Nutrition'!A:A,'Solid Mix In Nutrition'!C:C,0))+(($X108 / 100)  * _xlfn.XLOOKUP($J108,'Sweetener Mix In Nutrition'!A:A,'Sweetener Mix In Nutrition'!C:C,0))+(($Y108 / 100)  * _xlfn.XLOOKUP($K108,'Sweetener Mix In Nutrition'!A:A,'Sweetener Mix In Nutrition'!C:C,0))</f>
        <v>0</v>
      </c>
      <c r="AF108" s="38" t="e">
        <f>$AE108 / (_xlfn.XLOOKUP($L108,Specs!A:A,Specs!B:B,0))</f>
        <v>#DIV/0!</v>
      </c>
      <c r="AG108" s="37" t="e">
        <f>60* ($AB108 / _xlfn.XLOOKUP($L108,Specs!A:A,Specs!B:B,0))</f>
        <v>#DIV/0!</v>
      </c>
      <c r="AH108" s="37" t="e">
        <f>60* (AC108 / _xlfn.XLOOKUP($L108,Specs!$A:$A,Specs!$B:$B,0))</f>
        <v>#DIV/0!</v>
      </c>
      <c r="AI108" s="37" t="e">
        <f>60* (AE108 / _xlfn.XLOOKUP($L108,Specs!$A:$A,Specs!$B:$B,0))</f>
        <v>#DIV/0!</v>
      </c>
      <c r="AJ108" s="39">
        <f>(($R108 / 240) * _xlfn.XLOOKUP($D108,'Milk Types Nutrition Per Cup'!A:A,'Milk Types Nutrition Per Cup'!F:F,0)) +(($S108 / 240)  * _xlfn.XLOOKUP($E108,'Milk Types Nutrition Per Cup'!A:A,'Milk Types Nutrition Per Cup'!F:F,0)) +(($T108 / 15)  * _xlfn.XLOOKUP($F108,'Liquid Mix In Nutrition'!A:A,'Liquid Mix In Nutrition'!F:F,0))+(($U108 / 15)  * _xlfn.XLOOKUP($G108,'Liquid Mix In Nutrition'!A:A,'Liquid Mix In Nutrition'!F:F,0))+(($V108 / MAX(1, _xlfn.XLOOKUP($H108,'Solid Mix In Nutrition'!A:A,'Solid Mix In Nutrition'!I:I,1)))  * _xlfn.XLOOKUP($H108,'Solid Mix In Nutrition'!A:A,'Solid Mix In Nutrition'!F:F,0))+(($W108 / MAX(1, _xlfn.XLOOKUP($I108,'Solid Mix In Nutrition'!A:A,'Solid Mix In Nutrition'!I:I,1)))  * _xlfn.XLOOKUP($I108,'Solid Mix In Nutrition'!A:A,'Solid Mix In Nutrition'!F:F,0))+(($X108 / 100)  * _xlfn.XLOOKUP($J108,'Sweetener Mix In Nutrition'!A:A,'Sweetener Mix In Nutrition'!F:F,0))+(($Y108 / 100)  * _xlfn.XLOOKUP($K108,'Sweetener Mix In Nutrition'!A:A,'Sweetener Mix In Nutrition'!F:F,0))</f>
        <v>0</v>
      </c>
      <c r="AK108" s="46">
        <f>[2]Sheet1!AG108</f>
        <v>0</v>
      </c>
      <c r="AL108" s="47"/>
      <c r="AM108" s="40">
        <f>IF(ISERROR(((AL108/Specs!$L$3)*Specs!$L$2)*2),0,ROUNDUP((((AL108/Specs!$L$3)*Specs!$L$2)*2),0))</f>
        <v>0</v>
      </c>
      <c r="AN108" s="48">
        <f>ROUNDUP(((AJ108+Specs!$R$2+Specs!$S$2+_xlfn.XLOOKUP($L108,Specs!A:A,Specs!V:V,0))*Specs!$N$2)+AM108,0)</f>
        <v>1</v>
      </c>
      <c r="AO108" s="40">
        <f>ROUNDUP(((AJ108+Specs!$R$2+Specs!$S$2+_xlfn.XLOOKUP($L108,Specs!A:A,Specs!V:V,0))*Specs!$N$2),0)</f>
        <v>1</v>
      </c>
      <c r="AP108" s="30"/>
    </row>
    <row r="109" spans="1:42" x14ac:dyDescent="0.25">
      <c r="A109" s="41" t="str">
        <f>_xlfn.CONCAT(_xlfn.XLOOKUP("What's Your Name?",[1]Sheet1!$1:$1,[1]Sheet1!109:109)," | ",TEXT(_xlfn.XLOOKUP("Completion time",[1]Sheet1!$1:$1,[1]Sheet1!109:109),"dddd, mmm dd, yyyy hh:mm AM/PM"))</f>
        <v xml:space="preserve"> | Saturday, Jan 00, 1900 12:00 AM</v>
      </c>
      <c r="B109" s="76">
        <f>_xlfn.XLOOKUP("What's Your Email Address?",[1]Sheet1!$1:$1,[1]Sheet1!109:109)</f>
        <v>0</v>
      </c>
      <c r="C109" s="31">
        <f>IF(ISBLANK(_xlfn.XLOOKUP("Which Flavor? (Pint Price | Quart Price | Half Gallon Price) (NOTE: Prices may fluctuate based on market conditions)",[1]Sheet1!$1:$1,[1]Sheet1!109:109)),_xlfn.XLOOKUP("Name Your Ice Cream!",[1]Sheet1!$1:$1,[1]Sheet1!109:109),IF(ISNUMBER(FIND("(", _xlfn.XLOOKUP("Which Flavor? (Pint Price | Quart Price | Half Gallon Price) (NOTE: Prices may fluctuate based on market conditions)",[1]Sheet1!$1:$1,[1]Sheet1!109:109))), LEFT(_xlfn.XLOOKUP("Which Flavor? (Pint Price | Quart Price | Half Gallon Price) (NOTE: Prices may fluctuate based on market conditions)",[1]Sheet1!$1:$1,[1]Sheet1!109:109), FIND("(", _xlfn.XLOOKUP("Which Flavor? (Pint Price | Quart Price | Half Gallon Price) (NOTE: Prices may fluctuate based on market conditions)",[1]Sheet1!$1:$1,[1]Sheet1!109:109)) - 1), _xlfn.XLOOKUP("Which Flavor? (Pint Price | Quart Price | Half Gallon Price) (NOTE: Prices may fluctuate based on market conditions)",[1]Sheet1!$1:$1,[1]Sheet1!109:109)))</f>
        <v>0</v>
      </c>
      <c r="D109" s="31">
        <f>IF(COUNTIF('Premade Flavors'!$A:$A, $C109) &gt; 0,IF(ISBLANK(_xlfn.XLOOKUP("What Ice Cream Base Do You Want To Change It To?",[1]Sheet1!$1:$1,[1]Sheet1!109:109)),_xlfn.XLOOKUP($C109,'Premade Flavors'!$A:$A,'Premade Flavors'!B:B),_xlfn.XLOOKUP("What Ice Cream Base Do You Want To Change It To?",[1]Sheet1!$1:$1,[1]Sheet1!109:109)),_xlfn.XLOOKUP(_xlfn.XLOOKUP("What Kind Of Ice Cream Base Do You Want? ",[1]Sheet1!$1:$1,[1]Sheet1!109:109),'Milk Types Nutrition Per Cup'!O:O,'Milk Types Nutrition Per Cup'!P:P,""))</f>
        <v>0</v>
      </c>
      <c r="E109" s="31">
        <f>IF(COUNTIF('Premade Flavors'!$A:$A, $C109) &gt; 0,IF(ISBLANK(_xlfn.XLOOKUP("What Ice Cream Base Do You Want To Change It To?",[1]Sheet1!$1:$1,[1]Sheet1!109:109)),_xlfn.XLOOKUP($C109,'Premade Flavors'!$A:$A,'Premade Flavors'!C:C),_xlfn.XLOOKUP("What Ice Cream Base Do You Want To Change It To?",[1]Sheet1!$1:$1,[1]Sheet1!109:109)),_xlfn.XLOOKUP(_xlfn.XLOOKUP("What Kind Of Ice Cream Base Do You Want? ",[1]Sheet1!$1:$1,[1]Sheet1!109:109),'Milk Types Nutrition Per Cup'!$O:$O,'Milk Types Nutrition Per Cup'!$Q:$Q,""))</f>
        <v>0</v>
      </c>
      <c r="F109" s="31">
        <f>IF(COUNTIF('Premade Flavors'!$A:$A, $C109) &gt; 0,_xlfn.XLOOKUP($C109,'Premade Flavors'!$A:$A,'Premade Flavors'!E:E),_xlfn.XLOOKUP("What's The First Flavor You Want? ",[1]Sheet1!$1:$1,[1]Sheet1!109:109))</f>
        <v>0</v>
      </c>
      <c r="G109" s="31">
        <f>IF(COUNTIF('Premade Flavors'!$A:$A, $C109) &gt; 0,_xlfn.XLOOKUP($C109,'Premade Flavors'!$A:$A,'Premade Flavors'!F:F),_xlfn.XLOOKUP("What's the Second Flavor You Want?",[1]Sheet1!$1:$1,[1]Sheet1!109:109))</f>
        <v>0</v>
      </c>
      <c r="H109" s="31">
        <f>IF(COUNTIF('Premade Flavors'!$A:$A, $C109) &gt; 0,_xlfn.XLOOKUP($C109,'Premade Flavors'!$A:$A,'Premade Flavors'!G:G),_xlfn.XLOOKUP("What's The First Mix In That You Want? ",[1]Sheet1!$1:$1,[1]Sheet1!109:109))</f>
        <v>0</v>
      </c>
      <c r="I109" s="31">
        <f>IF(COUNTIF('Premade Flavors'!$A:$A, $C107) &gt; 0,_xlfn.XLOOKUP($C107,'Premade Flavors'!$A:$A,'Premade Flavors'!H:H),IF([2]Sheet1!W107= 0,,[2]Sheet1!W107))</f>
        <v>0</v>
      </c>
      <c r="J109" s="31">
        <f>IF(COUNTIF('Premade Flavors'!$A:$A,$C109)&gt;0,IF(_xlfn.XLOOKUP("Should It Use Sugar or A Non-Sugar Sweetner?",[1]Sheet1!$1:$1,[1]Sheet1!109:109)="Sugar",_xlfn.XLOOKUP($C109,'Premade Flavors'!$A:$A,'Premade Flavors'!I:I),"Stevia"),_xlfn.XLOOKUP("What Sweetner Do You Want?",[1]Sheet1!$1:$1,[1]Sheet1!109:109))</f>
        <v>0</v>
      </c>
      <c r="K109" s="31"/>
      <c r="L109" s="77">
        <f>_xlfn.XLOOKUP("How Much Ice Cream Do You Want?",[1]Sheet1!$1:$1,[1]Sheet1!109:109)</f>
        <v>0</v>
      </c>
      <c r="M109" s="45">
        <f>IF(COUNTIF('Premade Flavors'!$A:$A, $C109) &gt; 0,_xlfn.XLOOKUP($C109,'Premade Flavors'!$A:$A,'Premade Flavors'!M:M),_xlfn.XLOOKUP("How Strong Do You Want The First Flavor?",[1]Sheet1!$1:$1,[1]Sheet1!109:109))</f>
        <v>0</v>
      </c>
      <c r="N109" s="45">
        <f>IF(COUNTIF('Premade Flavors'!$A:$A, $C109) &gt; 0,_xlfn.XLOOKUP($C109,'Premade Flavors'!$A:$A,'Premade Flavors'!N:N),_xlfn.XLOOKUP("How Strong Do You Want The Second Flavor?",[1]Sheet1!$1:$1,[1]Sheet1!109:109))</f>
        <v>0</v>
      </c>
      <c r="O109" s="45">
        <f>IF(COUNTIF('Premade Flavors'!$A:$A, $C109) &gt; 0,_xlfn.XLOOKUP($C109,'Premade Flavors'!$A:$A,'Premade Flavors'!O:O),_xlfn.XLOOKUP("How Dense Should the Mix Ins Be?",[1]Sheet1!$1:$1,[1]Sheet1!109:109))</f>
        <v>0</v>
      </c>
      <c r="P109" s="45">
        <f>IF(COUNTIF('Premade Flavors'!$A:$A, $C109) &gt; 0,_xlfn.XLOOKUP($C109,'Premade Flavors'!$A:$A,'Premade Flavors'!P:P),_xlfn.XLOOKUP("How Much Of The First Sweetner? ",[1]Sheet1!$1:$1,[1]Sheet1!109:109))</f>
        <v>0</v>
      </c>
      <c r="Q109" s="45">
        <f>IF(COUNTIF('Premade Flavors'!$A:$A, $C109) &gt; 0,_xlfn.XLOOKUP($C109,'Premade Flavors'!$A:$A,'Premade Flavors'!Q:Q),[2]Sheet1!S109)</f>
        <v>0</v>
      </c>
      <c r="R109" s="30">
        <f>(_xlfn.XLOOKUP($L109,Specs!A:A,Specs!B:B,0)-(IF(_xlfn.XLOOKUP($F109,'Liquid Mix In Nutrition'!A:A,'Liquid Mix In Nutrition'!J:J,0)="Yes",0,$T109))-(IF(_xlfn.XLOOKUP($G109,'Liquid Mix In Nutrition'!A:A,'Liquid Mix In Nutrition'!J:J,0)="Yes",0,$U109))-(($V109/MAX(1,_xlfn.XLOOKUP($H109,'Solid Mix In Nutrition'!A:A,'Solid Mix In Nutrition'!I:I,1)))*240)-(($W109/MAX(1,_xlfn.XLOOKUP($I109,'Solid Mix In Nutrition'!A:A,'Solid Mix In Nutrition'!I:I,1)))*240))*0.66</f>
        <v>0</v>
      </c>
      <c r="S109" s="30">
        <f>(_xlfn.XLOOKUP($L109,Specs!A:A,Specs!B:B,0)-(IF(_xlfn.XLOOKUP($F109,'Liquid Mix In Nutrition'!A:A,'Liquid Mix In Nutrition'!J:J,0)="Yes",0,$T109))-(IF(_xlfn.XLOOKUP($G109,'Liquid Mix In Nutrition'!A:A,'Liquid Mix In Nutrition'!J:J,0)="Yes",0,$U109))-(($V109/MAX(1,_xlfn.XLOOKUP($H109,'Solid Mix In Nutrition'!A:A,'Solid Mix In Nutrition'!I:I,1)))*240)-(($W109/MAX(1,_xlfn.XLOOKUP($I109,'Solid Mix In Nutrition'!A:A,'Solid Mix In Nutrition'!I:I,1)))*240))*0.33</f>
        <v>0</v>
      </c>
      <c r="T109" s="30">
        <f>_xlfn.XLOOKUP($M109,Specs!$D:$D,Specs!$E:$E,0)*15*_xlfn.XLOOKUP($L109,Specs!$A:$A,Specs!$C:$C,0)</f>
        <v>0</v>
      </c>
      <c r="U109" s="30">
        <f>_xlfn.XLOOKUP($N109,Specs!$D:$D,Specs!$E:$E,0)*15*_xlfn.XLOOKUP($L109,Specs!$A:$A,Specs!$C:$C,0)</f>
        <v>0</v>
      </c>
      <c r="V109" s="30">
        <f>( ((_xlfn.XLOOKUP($O109,Specs!$H:$H,Specs!$I:$I,0)*_xlfn.XLOOKUP($L109,Specs!$A:$A,Specs!$B:$B,0))/240) *_xlfn.XLOOKUP($H109,'Solid Mix In Nutrition'!A:A,'Solid Mix In Nutrition'!I:I,0)) *IF(AND(NOT($I109=0), COUNTA($I109)),0.5,1)</f>
        <v>0</v>
      </c>
      <c r="W109" s="30">
        <f>( ((_xlfn.XLOOKUP($O109,Specs!$H:$H,Specs!$I:$I,0)*_xlfn.XLOOKUP($L109,Specs!$A:$A,Specs!$B:$B,0))/240) *_xlfn.XLOOKUP($I109,'Solid Mix In Nutrition'!A:A,'Solid Mix In Nutrition'!I:I,0)) *IF(AND(NOT($I109=0), COUNTA($I109)),0.5,0)</f>
        <v>0</v>
      </c>
      <c r="X109" s="30">
        <f>_xlfn.XLOOKUP($P109,Specs!F:F,Specs!G:G,0)*_xlfn.XLOOKUP($J109,'Sweetener Mix In Nutrition'!A:A,'Sweetener Mix In Nutrition'!I:I,0)*_xlfn.XLOOKUP($L109,Specs!A:A,Specs!C:C,0)</f>
        <v>0</v>
      </c>
      <c r="Y109" s="30">
        <f>_xlfn.XLOOKUP($Q109,Specs!F:F,Specs!G:G,0)*_xlfn.XLOOKUP($K109,'Sweetener Mix In Nutrition'!A:A,'Sweetener Mix In Nutrition'!I:I,0)*_xlfn.XLOOKUP($L109,Specs!A:A,Specs!C:C,0)</f>
        <v>0</v>
      </c>
      <c r="Z109" s="34">
        <f t="shared" si="4"/>
        <v>0</v>
      </c>
      <c r="AA109" s="35">
        <f t="shared" si="5"/>
        <v>0</v>
      </c>
      <c r="AB109" s="36">
        <f>(($R109 / 240) * _xlfn.XLOOKUP($D109,'Milk Types Nutrition Per Cup'!A:A,'Milk Types Nutrition Per Cup'!B:B,0)) +(($S109 / 240)  * _xlfn.XLOOKUP($E109,'Milk Types Nutrition Per Cup'!A:A,'Milk Types Nutrition Per Cup'!B:B,0)) +(($T109 / 15)  * _xlfn.XLOOKUP($F109,'Liquid Mix In Nutrition'!A:A,'Liquid Mix In Nutrition'!B:B,0))+(($U109 / 15)  * _xlfn.XLOOKUP($G109,'Liquid Mix In Nutrition'!A:A,'Liquid Mix In Nutrition'!B:B,0))+(($V109 /MAX(1, _xlfn.XLOOKUP($H109,'Solid Mix In Nutrition'!A:A,'Solid Mix In Nutrition'!I:I,1)))  * _xlfn.XLOOKUP($H109,'Solid Mix In Nutrition'!A:A,'Solid Mix In Nutrition'!B:B,0))+(($W109 / MAX(1, _xlfn.XLOOKUP($I109,'Solid Mix In Nutrition'!A:A,'Solid Mix In Nutrition'!I:I,1))))+(($X109 / 100)  * _xlfn.XLOOKUP($J109,'Sweetener Mix In Nutrition'!A:A,'Sweetener Mix In Nutrition'!B:B,0))+(($Y109 / 100)  * _xlfn.XLOOKUP($K109,'Sweetener Mix In Nutrition'!A:A,'Sweetener Mix In Nutrition'!B:B,0))</f>
        <v>0</v>
      </c>
      <c r="AC109" s="36">
        <f>(($R109 / 240) * _xlfn.XLOOKUP($D109,'Milk Types Nutrition Per Cup'!A:A,'Milk Types Nutrition Per Cup'!E:E,0)) +(($S109 / 240)  * _xlfn.XLOOKUP($E109,'Milk Types Nutrition Per Cup'!A:A,'Milk Types Nutrition Per Cup'!E:E,0)) +(($T109 / 15)  * _xlfn.XLOOKUP($F109,'Liquid Mix In Nutrition'!A:A,'Liquid Mix In Nutrition'!E:E,0)) +(($U109 / 15)  * _xlfn.XLOOKUP($G109,'Liquid Mix In Nutrition'!A:A,'Liquid Mix In Nutrition'!E:E,0))+(($V109 / MAX(1, _xlfn.XLOOKUP($H109,'Solid Mix In Nutrition'!A:A,'Solid Mix In Nutrition'!I:I,1)))  * _xlfn.XLOOKUP($H109,'Solid Mix In Nutrition'!A:A,'Solid Mix In Nutrition'!E:E,0))+(($W109 / MAX(1, _xlfn.XLOOKUP($I109,'Solid Mix In Nutrition'!A:A,'Solid Mix In Nutrition'!I:I,1)))  * _xlfn.XLOOKUP($I109,'Solid Mix In Nutrition'!A:A,'Solid Mix In Nutrition'!G:G,0))+(($X109 / 100)  * _xlfn.XLOOKUP($J109,'Sweetener Mix In Nutrition'!A:A,'Sweetener Mix In Nutrition'!E:E,0))+(($Y109 / 100)  * _xlfn.XLOOKUP($K109,'Sweetener Mix In Nutrition'!A:A,'Sweetener Mix In Nutrition'!E:E,0))</f>
        <v>0</v>
      </c>
      <c r="AD109" s="36">
        <f>(($R109 / 240) * _xlfn.XLOOKUP($D109,'Milk Types Nutrition Per Cup'!A:A,'Milk Types Nutrition Per Cup'!E:E,0)) +(($S109 / 240)  * _xlfn.XLOOKUP($E109,'Milk Types Nutrition Per Cup'!A:A,'Milk Types Nutrition Per Cup'!E:E,0)) +(($T109 / 15)  * _xlfn.XLOOKUP($F109,'Liquid Mix In Nutrition'!A:A,'Liquid Mix In Nutrition'!E:E,0)) +(($U109 / 15)  * _xlfn.XLOOKUP($G109,'Liquid Mix In Nutrition'!A:A,'Liquid Mix In Nutrition'!E:E,0))+(($X109 / 100)  * _xlfn.XLOOKUP($J109,'Sweetener Mix In Nutrition'!A:A,'Sweetener Mix In Nutrition'!E:E,0))+(($Y109 / 100)  * _xlfn.XLOOKUP($K109,'Sweetener Mix In Nutrition'!A:A,'Sweetener Mix In Nutrition'!E:E,0))</f>
        <v>0</v>
      </c>
      <c r="AE109" s="37">
        <f>(($R109 / 240) * _xlfn.XLOOKUP($D109,'Milk Types Nutrition Per Cup'!A:A,'Milk Types Nutrition Per Cup'!C:C,0)) +(($S109 / 240)  * _xlfn.XLOOKUP($E109,'Milk Types Nutrition Per Cup'!A:A,'Milk Types Nutrition Per Cup'!C:C,0)) +(($T109 / 15)  * _xlfn.XLOOKUP($F109,'Liquid Mix In Nutrition'!A:A,'Liquid Mix In Nutrition'!C:C,0))+(($U109 / 15)  * _xlfn.XLOOKUP($G109,'Liquid Mix In Nutrition'!A:A,'Liquid Mix In Nutrition'!C:C,0))+(($V109 / MAX(1, _xlfn.XLOOKUP($H109,'Solid Mix In Nutrition'!A:A,'Solid Mix In Nutrition'!I:I,1)))  * _xlfn.XLOOKUP($H109,'Solid Mix In Nutrition'!A:A,'Solid Mix In Nutrition'!C:C,0))+(($W109 / MAX(1, _xlfn.XLOOKUP($I109,'Solid Mix In Nutrition'!A:A,'Solid Mix In Nutrition'!I:I,1)))  * _xlfn.XLOOKUP($I109,'Solid Mix In Nutrition'!A:A,'Solid Mix In Nutrition'!C:C,0))+(($X109 / 100)  * _xlfn.XLOOKUP($J109,'Sweetener Mix In Nutrition'!A:A,'Sweetener Mix In Nutrition'!C:C,0))+(($Y109 / 100)  * _xlfn.XLOOKUP($K109,'Sweetener Mix In Nutrition'!A:A,'Sweetener Mix In Nutrition'!C:C,0))</f>
        <v>0</v>
      </c>
      <c r="AF109" s="38" t="e">
        <f>$AE109 / (_xlfn.XLOOKUP($L109,Specs!A:A,Specs!B:B,0))</f>
        <v>#DIV/0!</v>
      </c>
      <c r="AG109" s="37" t="e">
        <f>60* ($AB109 / _xlfn.XLOOKUP($L109,Specs!A:A,Specs!B:B,0))</f>
        <v>#DIV/0!</v>
      </c>
      <c r="AH109" s="37" t="e">
        <f>60* (AC109 / _xlfn.XLOOKUP($L109,Specs!$A:$A,Specs!$B:$B,0))</f>
        <v>#DIV/0!</v>
      </c>
      <c r="AI109" s="37" t="e">
        <f>60* (AE109 / _xlfn.XLOOKUP($L109,Specs!$A:$A,Specs!$B:$B,0))</f>
        <v>#DIV/0!</v>
      </c>
      <c r="AJ109" s="39">
        <f>(($R109 / 240) * _xlfn.XLOOKUP($D109,'Milk Types Nutrition Per Cup'!A:A,'Milk Types Nutrition Per Cup'!F:F,0)) +(($S109 / 240)  * _xlfn.XLOOKUP($E109,'Milk Types Nutrition Per Cup'!A:A,'Milk Types Nutrition Per Cup'!F:F,0)) +(($T109 / 15)  * _xlfn.XLOOKUP($F109,'Liquid Mix In Nutrition'!A:A,'Liquid Mix In Nutrition'!F:F,0))+(($U109 / 15)  * _xlfn.XLOOKUP($G109,'Liquid Mix In Nutrition'!A:A,'Liquid Mix In Nutrition'!F:F,0))+(($V109 / MAX(1, _xlfn.XLOOKUP($H109,'Solid Mix In Nutrition'!A:A,'Solid Mix In Nutrition'!I:I,1)))  * _xlfn.XLOOKUP($H109,'Solid Mix In Nutrition'!A:A,'Solid Mix In Nutrition'!F:F,0))+(($W109 / MAX(1, _xlfn.XLOOKUP($I109,'Solid Mix In Nutrition'!A:A,'Solid Mix In Nutrition'!I:I,1)))  * _xlfn.XLOOKUP($I109,'Solid Mix In Nutrition'!A:A,'Solid Mix In Nutrition'!F:F,0))+(($X109 / 100)  * _xlfn.XLOOKUP($J109,'Sweetener Mix In Nutrition'!A:A,'Sweetener Mix In Nutrition'!F:F,0))+(($Y109 / 100)  * _xlfn.XLOOKUP($K109,'Sweetener Mix In Nutrition'!A:A,'Sweetener Mix In Nutrition'!F:F,0))</f>
        <v>0</v>
      </c>
      <c r="AK109" s="46">
        <f>[2]Sheet1!AG109</f>
        <v>0</v>
      </c>
      <c r="AL109" s="47"/>
      <c r="AM109" s="40">
        <f>IF(ISERROR(((AL109/Specs!$L$3)*Specs!$L$2)*2),0,ROUNDUP((((AL109/Specs!$L$3)*Specs!$L$2)*2),0))</f>
        <v>0</v>
      </c>
      <c r="AN109" s="48">
        <f>ROUNDUP(((AJ109+Specs!$R$2+Specs!$S$2+_xlfn.XLOOKUP($L109,Specs!A:A,Specs!V:V,0))*Specs!$N$2)+AM109,0)</f>
        <v>1</v>
      </c>
      <c r="AO109" s="40">
        <f>ROUNDUP(((AJ109+Specs!$R$2+Specs!$S$2+_xlfn.XLOOKUP($L109,Specs!A:A,Specs!V:V,0))*Specs!$N$2),0)</f>
        <v>1</v>
      </c>
      <c r="AP109" s="30"/>
    </row>
    <row r="110" spans="1:42" x14ac:dyDescent="0.25">
      <c r="A110" s="41" t="str">
        <f>_xlfn.CONCAT(_xlfn.XLOOKUP("What's Your Name?",[1]Sheet1!$1:$1,[1]Sheet1!110:110)," | ",TEXT(_xlfn.XLOOKUP("Completion time",[1]Sheet1!$1:$1,[1]Sheet1!110:110),"dddd, mmm dd, yyyy hh:mm AM/PM"))</f>
        <v xml:space="preserve"> | Saturday, Jan 00, 1900 12:00 AM</v>
      </c>
      <c r="B110" s="76">
        <f>_xlfn.XLOOKUP("What's Your Email Address?",[1]Sheet1!$1:$1,[1]Sheet1!110:110)</f>
        <v>0</v>
      </c>
      <c r="C110" s="31">
        <f>IF(ISBLANK(_xlfn.XLOOKUP("Which Flavor? (Pint Price | Quart Price | Half Gallon Price) (NOTE: Prices may fluctuate based on market conditions)",[1]Sheet1!$1:$1,[1]Sheet1!110:110)),_xlfn.XLOOKUP("Name Your Ice Cream!",[1]Sheet1!$1:$1,[1]Sheet1!110:110),IF(ISNUMBER(FIND("(", _xlfn.XLOOKUP("Which Flavor? (Pint Price | Quart Price | Half Gallon Price) (NOTE: Prices may fluctuate based on market conditions)",[1]Sheet1!$1:$1,[1]Sheet1!110:110))), LEFT(_xlfn.XLOOKUP("Which Flavor? (Pint Price | Quart Price | Half Gallon Price) (NOTE: Prices may fluctuate based on market conditions)",[1]Sheet1!$1:$1,[1]Sheet1!110:110), FIND("(", _xlfn.XLOOKUP("Which Flavor? (Pint Price | Quart Price | Half Gallon Price) (NOTE: Prices may fluctuate based on market conditions)",[1]Sheet1!$1:$1,[1]Sheet1!110:110)) - 1), _xlfn.XLOOKUP("Which Flavor? (Pint Price | Quart Price | Half Gallon Price) (NOTE: Prices may fluctuate based on market conditions)",[1]Sheet1!$1:$1,[1]Sheet1!110:110)))</f>
        <v>0</v>
      </c>
      <c r="D110" s="31">
        <f>IF(COUNTIF('Premade Flavors'!$A:$A, $C110) &gt; 0,IF(ISBLANK(_xlfn.XLOOKUP("What Ice Cream Base Do You Want To Change It To?",[1]Sheet1!$1:$1,[1]Sheet1!110:110)),_xlfn.XLOOKUP($C110,'Premade Flavors'!$A:$A,'Premade Flavors'!B:B),_xlfn.XLOOKUP("What Ice Cream Base Do You Want To Change It To?",[1]Sheet1!$1:$1,[1]Sheet1!110:110)),_xlfn.XLOOKUP(_xlfn.XLOOKUP("What Kind Of Ice Cream Base Do You Want? ",[1]Sheet1!$1:$1,[1]Sheet1!110:110),'Milk Types Nutrition Per Cup'!O:O,'Milk Types Nutrition Per Cup'!P:P,""))</f>
        <v>0</v>
      </c>
      <c r="E110" s="31">
        <f>IF(COUNTIF('Premade Flavors'!$A:$A, $C110) &gt; 0,IF(ISBLANK(_xlfn.XLOOKUP("What Ice Cream Base Do You Want To Change It To?",[1]Sheet1!$1:$1,[1]Sheet1!110:110)),_xlfn.XLOOKUP($C110,'Premade Flavors'!$A:$A,'Premade Flavors'!C:C),_xlfn.XLOOKUP("What Ice Cream Base Do You Want To Change It To?",[1]Sheet1!$1:$1,[1]Sheet1!110:110)),_xlfn.XLOOKUP(_xlfn.XLOOKUP("What Kind Of Ice Cream Base Do You Want? ",[1]Sheet1!$1:$1,[1]Sheet1!110:110),'Milk Types Nutrition Per Cup'!$O:$O,'Milk Types Nutrition Per Cup'!$Q:$Q,""))</f>
        <v>0</v>
      </c>
      <c r="F110" s="31">
        <f>IF(COUNTIF('Premade Flavors'!$A:$A, $C110) &gt; 0,_xlfn.XLOOKUP($C110,'Premade Flavors'!$A:$A,'Premade Flavors'!E:E),_xlfn.XLOOKUP("What's The First Flavor You Want? ",[1]Sheet1!$1:$1,[1]Sheet1!110:110))</f>
        <v>0</v>
      </c>
      <c r="G110" s="31">
        <f>IF(COUNTIF('Premade Flavors'!$A:$A, $C110) &gt; 0,_xlfn.XLOOKUP($C110,'Premade Flavors'!$A:$A,'Premade Flavors'!F:F),_xlfn.XLOOKUP("What's the Second Flavor You Want?",[1]Sheet1!$1:$1,[1]Sheet1!110:110))</f>
        <v>0</v>
      </c>
      <c r="H110" s="31">
        <f>IF(COUNTIF('Premade Flavors'!$A:$A, $C110) &gt; 0,_xlfn.XLOOKUP($C110,'Premade Flavors'!$A:$A,'Premade Flavors'!G:G),_xlfn.XLOOKUP("What's The First Mix In That You Want? ",[1]Sheet1!$1:$1,[1]Sheet1!110:110))</f>
        <v>0</v>
      </c>
      <c r="I110" s="31">
        <f>IF(COUNTIF('Premade Flavors'!$A:$A, $C108) &gt; 0,_xlfn.XLOOKUP($C108,'Premade Flavors'!$A:$A,'Premade Flavors'!H:H),IF([2]Sheet1!W108= 0,,[2]Sheet1!W108))</f>
        <v>0</v>
      </c>
      <c r="J110" s="31">
        <f>IF(COUNTIF('Premade Flavors'!$A:$A,$C110)&gt;0,IF(_xlfn.XLOOKUP("Should It Use Sugar or A Non-Sugar Sweetner?",[1]Sheet1!$1:$1,[1]Sheet1!110:110)="Sugar",_xlfn.XLOOKUP($C110,'Premade Flavors'!$A:$A,'Premade Flavors'!I:I),"Stevia"),_xlfn.XLOOKUP("What Sweetner Do You Want?",[1]Sheet1!$1:$1,[1]Sheet1!110:110))</f>
        <v>0</v>
      </c>
      <c r="K110" s="31"/>
      <c r="L110" s="77">
        <f>_xlfn.XLOOKUP("How Much Ice Cream Do You Want?",[1]Sheet1!$1:$1,[1]Sheet1!110:110)</f>
        <v>0</v>
      </c>
      <c r="M110" s="45">
        <f>IF(COUNTIF('Premade Flavors'!$A:$A, $C110) &gt; 0,_xlfn.XLOOKUP($C110,'Premade Flavors'!$A:$A,'Premade Flavors'!M:M),_xlfn.XLOOKUP("How Strong Do You Want The First Flavor?",[1]Sheet1!$1:$1,[1]Sheet1!110:110))</f>
        <v>0</v>
      </c>
      <c r="N110" s="45">
        <f>IF(COUNTIF('Premade Flavors'!$A:$A, $C110) &gt; 0,_xlfn.XLOOKUP($C110,'Premade Flavors'!$A:$A,'Premade Flavors'!N:N),_xlfn.XLOOKUP("How Strong Do You Want The Second Flavor?",[1]Sheet1!$1:$1,[1]Sheet1!110:110))</f>
        <v>0</v>
      </c>
      <c r="O110" s="45">
        <f>IF(COUNTIF('Premade Flavors'!$A:$A, $C110) &gt; 0,_xlfn.XLOOKUP($C110,'Premade Flavors'!$A:$A,'Premade Flavors'!O:O),_xlfn.XLOOKUP("How Dense Should the Mix Ins Be?",[1]Sheet1!$1:$1,[1]Sheet1!110:110))</f>
        <v>0</v>
      </c>
      <c r="P110" s="45">
        <f>IF(COUNTIF('Premade Flavors'!$A:$A, $C110) &gt; 0,_xlfn.XLOOKUP($C110,'Premade Flavors'!$A:$A,'Premade Flavors'!P:P),_xlfn.XLOOKUP("How Much Of The First Sweetner? ",[1]Sheet1!$1:$1,[1]Sheet1!110:110))</f>
        <v>0</v>
      </c>
      <c r="Q110" s="45">
        <f>IF(COUNTIF('Premade Flavors'!$A:$A, $C110) &gt; 0,_xlfn.XLOOKUP($C110,'Premade Flavors'!$A:$A,'Premade Flavors'!Q:Q),[2]Sheet1!S110)</f>
        <v>0</v>
      </c>
      <c r="R110" s="30">
        <f>(_xlfn.XLOOKUP($L110,Specs!A:A,Specs!B:B,0)-(IF(_xlfn.XLOOKUP($F110,'Liquid Mix In Nutrition'!A:A,'Liquid Mix In Nutrition'!J:J,0)="Yes",0,$T110))-(IF(_xlfn.XLOOKUP($G110,'Liquid Mix In Nutrition'!A:A,'Liquid Mix In Nutrition'!J:J,0)="Yes",0,$U110))-(($V110/MAX(1,_xlfn.XLOOKUP($H110,'Solid Mix In Nutrition'!A:A,'Solid Mix In Nutrition'!I:I,1)))*240)-(($W110/MAX(1,_xlfn.XLOOKUP($I110,'Solid Mix In Nutrition'!A:A,'Solid Mix In Nutrition'!I:I,1)))*240))*0.66</f>
        <v>0</v>
      </c>
      <c r="S110" s="30">
        <f>(_xlfn.XLOOKUP($L110,Specs!A:A,Specs!B:B,0)-(IF(_xlfn.XLOOKUP($F110,'Liquid Mix In Nutrition'!A:A,'Liquid Mix In Nutrition'!J:J,0)="Yes",0,$T110))-(IF(_xlfn.XLOOKUP($G110,'Liquid Mix In Nutrition'!A:A,'Liquid Mix In Nutrition'!J:J,0)="Yes",0,$U110))-(($V110/MAX(1,_xlfn.XLOOKUP($H110,'Solid Mix In Nutrition'!A:A,'Solid Mix In Nutrition'!I:I,1)))*240)-(($W110/MAX(1,_xlfn.XLOOKUP($I110,'Solid Mix In Nutrition'!A:A,'Solid Mix In Nutrition'!I:I,1)))*240))*0.33</f>
        <v>0</v>
      </c>
      <c r="T110" s="30">
        <f>_xlfn.XLOOKUP($M110,Specs!$D:$D,Specs!$E:$E,0)*15*_xlfn.XLOOKUP($L110,Specs!$A:$A,Specs!$C:$C,0)</f>
        <v>0</v>
      </c>
      <c r="U110" s="30">
        <f>_xlfn.XLOOKUP($N110,Specs!$D:$D,Specs!$E:$E,0)*15*_xlfn.XLOOKUP($L110,Specs!$A:$A,Specs!$C:$C,0)</f>
        <v>0</v>
      </c>
      <c r="V110" s="30">
        <f>( ((_xlfn.XLOOKUP($O110,Specs!$H:$H,Specs!$I:$I,0)*_xlfn.XLOOKUP($L110,Specs!$A:$A,Specs!$B:$B,0))/240) *_xlfn.XLOOKUP($H110,'Solid Mix In Nutrition'!A:A,'Solid Mix In Nutrition'!I:I,0)) *IF(AND(NOT($I110=0), COUNTA($I110)),0.5,1)</f>
        <v>0</v>
      </c>
      <c r="W110" s="30">
        <f>( ((_xlfn.XLOOKUP($O110,Specs!$H:$H,Specs!$I:$I,0)*_xlfn.XLOOKUP($L110,Specs!$A:$A,Specs!$B:$B,0))/240) *_xlfn.XLOOKUP($I110,'Solid Mix In Nutrition'!A:A,'Solid Mix In Nutrition'!I:I,0)) *IF(AND(NOT($I110=0), COUNTA($I110)),0.5,0)</f>
        <v>0</v>
      </c>
      <c r="X110" s="30">
        <f>_xlfn.XLOOKUP($P110,Specs!F:F,Specs!G:G,0)*_xlfn.XLOOKUP($J110,'Sweetener Mix In Nutrition'!A:A,'Sweetener Mix In Nutrition'!I:I,0)*_xlfn.XLOOKUP($L110,Specs!A:A,Specs!C:C,0)</f>
        <v>0</v>
      </c>
      <c r="Y110" s="30">
        <f>_xlfn.XLOOKUP($Q110,Specs!F:F,Specs!G:G,0)*_xlfn.XLOOKUP($K110,'Sweetener Mix In Nutrition'!A:A,'Sweetener Mix In Nutrition'!I:I,0)*_xlfn.XLOOKUP($L110,Specs!A:A,Specs!C:C,0)</f>
        <v>0</v>
      </c>
      <c r="Z110" s="34">
        <f t="shared" si="4"/>
        <v>0</v>
      </c>
      <c r="AA110" s="35">
        <f t="shared" si="5"/>
        <v>0</v>
      </c>
      <c r="AB110" s="36">
        <f>(($R110 / 240) * _xlfn.XLOOKUP($D110,'Milk Types Nutrition Per Cup'!A:A,'Milk Types Nutrition Per Cup'!B:B,0)) +(($S110 / 240)  * _xlfn.XLOOKUP($E110,'Milk Types Nutrition Per Cup'!A:A,'Milk Types Nutrition Per Cup'!B:B,0)) +(($T110 / 15)  * _xlfn.XLOOKUP($F110,'Liquid Mix In Nutrition'!A:A,'Liquid Mix In Nutrition'!B:B,0))+(($U110 / 15)  * _xlfn.XLOOKUP($G110,'Liquid Mix In Nutrition'!A:A,'Liquid Mix In Nutrition'!B:B,0))+(($V110 /MAX(1, _xlfn.XLOOKUP($H110,'Solid Mix In Nutrition'!A:A,'Solid Mix In Nutrition'!I:I,1)))  * _xlfn.XLOOKUP($H110,'Solid Mix In Nutrition'!A:A,'Solid Mix In Nutrition'!B:B,0))+(($W110 / MAX(1, _xlfn.XLOOKUP($I110,'Solid Mix In Nutrition'!A:A,'Solid Mix In Nutrition'!I:I,1))))+(($X110 / 100)  * _xlfn.XLOOKUP($J110,'Sweetener Mix In Nutrition'!A:A,'Sweetener Mix In Nutrition'!B:B,0))+(($Y110 / 100)  * _xlfn.XLOOKUP($K110,'Sweetener Mix In Nutrition'!A:A,'Sweetener Mix In Nutrition'!B:B,0))</f>
        <v>0</v>
      </c>
      <c r="AC110" s="36">
        <f>(($R110 / 240) * _xlfn.XLOOKUP($D110,'Milk Types Nutrition Per Cup'!A:A,'Milk Types Nutrition Per Cup'!E:E,0)) +(($S110 / 240)  * _xlfn.XLOOKUP($E110,'Milk Types Nutrition Per Cup'!A:A,'Milk Types Nutrition Per Cup'!E:E,0)) +(($T110 / 15)  * _xlfn.XLOOKUP($F110,'Liquid Mix In Nutrition'!A:A,'Liquid Mix In Nutrition'!E:E,0)) +(($U110 / 15)  * _xlfn.XLOOKUP($G110,'Liquid Mix In Nutrition'!A:A,'Liquid Mix In Nutrition'!E:E,0))+(($V110 / MAX(1, _xlfn.XLOOKUP($H110,'Solid Mix In Nutrition'!A:A,'Solid Mix In Nutrition'!I:I,1)))  * _xlfn.XLOOKUP($H110,'Solid Mix In Nutrition'!A:A,'Solid Mix In Nutrition'!E:E,0))+(($W110 / MAX(1, _xlfn.XLOOKUP($I110,'Solid Mix In Nutrition'!A:A,'Solid Mix In Nutrition'!I:I,1)))  * _xlfn.XLOOKUP($I110,'Solid Mix In Nutrition'!A:A,'Solid Mix In Nutrition'!G:G,0))+(($X110 / 100)  * _xlfn.XLOOKUP($J110,'Sweetener Mix In Nutrition'!A:A,'Sweetener Mix In Nutrition'!E:E,0))+(($Y110 / 100)  * _xlfn.XLOOKUP($K110,'Sweetener Mix In Nutrition'!A:A,'Sweetener Mix In Nutrition'!E:E,0))</f>
        <v>0</v>
      </c>
      <c r="AD110" s="36">
        <f>(($R110 / 240) * _xlfn.XLOOKUP($D110,'Milk Types Nutrition Per Cup'!A:A,'Milk Types Nutrition Per Cup'!E:E,0)) +(($S110 / 240)  * _xlfn.XLOOKUP($E110,'Milk Types Nutrition Per Cup'!A:A,'Milk Types Nutrition Per Cup'!E:E,0)) +(($T110 / 15)  * _xlfn.XLOOKUP($F110,'Liquid Mix In Nutrition'!A:A,'Liquid Mix In Nutrition'!E:E,0)) +(($U110 / 15)  * _xlfn.XLOOKUP($G110,'Liquid Mix In Nutrition'!A:A,'Liquid Mix In Nutrition'!E:E,0))+(($X110 / 100)  * _xlfn.XLOOKUP($J110,'Sweetener Mix In Nutrition'!A:A,'Sweetener Mix In Nutrition'!E:E,0))+(($Y110 / 100)  * _xlfn.XLOOKUP($K110,'Sweetener Mix In Nutrition'!A:A,'Sweetener Mix In Nutrition'!E:E,0))</f>
        <v>0</v>
      </c>
      <c r="AE110" s="37">
        <f>(($R110 / 240) * _xlfn.XLOOKUP($D110,'Milk Types Nutrition Per Cup'!A:A,'Milk Types Nutrition Per Cup'!C:C,0)) +(($S110 / 240)  * _xlfn.XLOOKUP($E110,'Milk Types Nutrition Per Cup'!A:A,'Milk Types Nutrition Per Cup'!C:C,0)) +(($T110 / 15)  * _xlfn.XLOOKUP($F110,'Liquid Mix In Nutrition'!A:A,'Liquid Mix In Nutrition'!C:C,0))+(($U110 / 15)  * _xlfn.XLOOKUP($G110,'Liquid Mix In Nutrition'!A:A,'Liquid Mix In Nutrition'!C:C,0))+(($V110 / MAX(1, _xlfn.XLOOKUP($H110,'Solid Mix In Nutrition'!A:A,'Solid Mix In Nutrition'!I:I,1)))  * _xlfn.XLOOKUP($H110,'Solid Mix In Nutrition'!A:A,'Solid Mix In Nutrition'!C:C,0))+(($W110 / MAX(1, _xlfn.XLOOKUP($I110,'Solid Mix In Nutrition'!A:A,'Solid Mix In Nutrition'!I:I,1)))  * _xlfn.XLOOKUP($I110,'Solid Mix In Nutrition'!A:A,'Solid Mix In Nutrition'!C:C,0))+(($X110 / 100)  * _xlfn.XLOOKUP($J110,'Sweetener Mix In Nutrition'!A:A,'Sweetener Mix In Nutrition'!C:C,0))+(($Y110 / 100)  * _xlfn.XLOOKUP($K110,'Sweetener Mix In Nutrition'!A:A,'Sweetener Mix In Nutrition'!C:C,0))</f>
        <v>0</v>
      </c>
      <c r="AF110" s="38" t="e">
        <f>$AE110 / (_xlfn.XLOOKUP($L110,Specs!A:A,Specs!B:B,0))</f>
        <v>#DIV/0!</v>
      </c>
      <c r="AG110" s="37" t="e">
        <f>60* ($AB110 / _xlfn.XLOOKUP($L110,Specs!A:A,Specs!B:B,0))</f>
        <v>#DIV/0!</v>
      </c>
      <c r="AH110" s="37" t="e">
        <f>60* (AC110 / _xlfn.XLOOKUP($L110,Specs!$A:$A,Specs!$B:$B,0))</f>
        <v>#DIV/0!</v>
      </c>
      <c r="AI110" s="37" t="e">
        <f>60* (AE110 / _xlfn.XLOOKUP($L110,Specs!$A:$A,Specs!$B:$B,0))</f>
        <v>#DIV/0!</v>
      </c>
      <c r="AJ110" s="39">
        <f>(($R110 / 240) * _xlfn.XLOOKUP($D110,'Milk Types Nutrition Per Cup'!A:A,'Milk Types Nutrition Per Cup'!F:F,0)) +(($S110 / 240)  * _xlfn.XLOOKUP($E110,'Milk Types Nutrition Per Cup'!A:A,'Milk Types Nutrition Per Cup'!F:F,0)) +(($T110 / 15)  * _xlfn.XLOOKUP($F110,'Liquid Mix In Nutrition'!A:A,'Liquid Mix In Nutrition'!F:F,0))+(($U110 / 15)  * _xlfn.XLOOKUP($G110,'Liquid Mix In Nutrition'!A:A,'Liquid Mix In Nutrition'!F:F,0))+(($V110 / MAX(1, _xlfn.XLOOKUP($H110,'Solid Mix In Nutrition'!A:A,'Solid Mix In Nutrition'!I:I,1)))  * _xlfn.XLOOKUP($H110,'Solid Mix In Nutrition'!A:A,'Solid Mix In Nutrition'!F:F,0))+(($W110 / MAX(1, _xlfn.XLOOKUP($I110,'Solid Mix In Nutrition'!A:A,'Solid Mix In Nutrition'!I:I,1)))  * _xlfn.XLOOKUP($I110,'Solid Mix In Nutrition'!A:A,'Solid Mix In Nutrition'!F:F,0))+(($X110 / 100)  * _xlfn.XLOOKUP($J110,'Sweetener Mix In Nutrition'!A:A,'Sweetener Mix In Nutrition'!F:F,0))+(($Y110 / 100)  * _xlfn.XLOOKUP($K110,'Sweetener Mix In Nutrition'!A:A,'Sweetener Mix In Nutrition'!F:F,0))</f>
        <v>0</v>
      </c>
      <c r="AK110" s="46">
        <f>[2]Sheet1!AG110</f>
        <v>0</v>
      </c>
      <c r="AL110" s="47"/>
      <c r="AM110" s="40">
        <f>IF(ISERROR(((AL110/Specs!$L$3)*Specs!$L$2)*2),0,ROUNDUP((((AL110/Specs!$L$3)*Specs!$L$2)*2),0))</f>
        <v>0</v>
      </c>
      <c r="AN110" s="48">
        <f>ROUNDUP(((AJ110+Specs!$R$2+Specs!$S$2+_xlfn.XLOOKUP($L110,Specs!A:A,Specs!V:V,0))*Specs!$N$2)+AM110,0)</f>
        <v>1</v>
      </c>
      <c r="AO110" s="40">
        <f>ROUNDUP(((AJ110+Specs!$R$2+Specs!$S$2+_xlfn.XLOOKUP($L110,Specs!A:A,Specs!V:V,0))*Specs!$N$2),0)</f>
        <v>1</v>
      </c>
      <c r="AP110" s="30"/>
    </row>
    <row r="111" spans="1:42" x14ac:dyDescent="0.25">
      <c r="A111" s="41" t="str">
        <f>_xlfn.CONCAT(_xlfn.XLOOKUP("What's Your Name?",[1]Sheet1!$1:$1,[1]Sheet1!111:111)," | ",TEXT(_xlfn.XLOOKUP("Completion time",[1]Sheet1!$1:$1,[1]Sheet1!111:111),"dddd, mmm dd, yyyy hh:mm AM/PM"))</f>
        <v xml:space="preserve"> | Saturday, Jan 00, 1900 12:00 AM</v>
      </c>
      <c r="B111" s="76">
        <f>_xlfn.XLOOKUP("What's Your Email Address?",[1]Sheet1!$1:$1,[1]Sheet1!111:111)</f>
        <v>0</v>
      </c>
      <c r="C111" s="31">
        <f>IF(ISBLANK(_xlfn.XLOOKUP("Which Flavor? (Pint Price | Quart Price | Half Gallon Price) (NOTE: Prices may fluctuate based on market conditions)",[1]Sheet1!$1:$1,[1]Sheet1!111:111)),_xlfn.XLOOKUP("Name Your Ice Cream!",[1]Sheet1!$1:$1,[1]Sheet1!111:111),IF(ISNUMBER(FIND("(", _xlfn.XLOOKUP("Which Flavor? (Pint Price | Quart Price | Half Gallon Price) (NOTE: Prices may fluctuate based on market conditions)",[1]Sheet1!$1:$1,[1]Sheet1!111:111))), LEFT(_xlfn.XLOOKUP("Which Flavor? (Pint Price | Quart Price | Half Gallon Price) (NOTE: Prices may fluctuate based on market conditions)",[1]Sheet1!$1:$1,[1]Sheet1!111:111), FIND("(", _xlfn.XLOOKUP("Which Flavor? (Pint Price | Quart Price | Half Gallon Price) (NOTE: Prices may fluctuate based on market conditions)",[1]Sheet1!$1:$1,[1]Sheet1!111:111)) - 1), _xlfn.XLOOKUP("Which Flavor? (Pint Price | Quart Price | Half Gallon Price) (NOTE: Prices may fluctuate based on market conditions)",[1]Sheet1!$1:$1,[1]Sheet1!111:111)))</f>
        <v>0</v>
      </c>
      <c r="D111" s="31">
        <f>IF(COUNTIF('Premade Flavors'!$A:$A, $C111) &gt; 0,IF(ISBLANK(_xlfn.XLOOKUP("What Ice Cream Base Do You Want To Change It To?",[1]Sheet1!$1:$1,[1]Sheet1!111:111)),_xlfn.XLOOKUP($C111,'Premade Flavors'!$A:$A,'Premade Flavors'!B:B),_xlfn.XLOOKUP("What Ice Cream Base Do You Want To Change It To?",[1]Sheet1!$1:$1,[1]Sheet1!111:111)),_xlfn.XLOOKUP(_xlfn.XLOOKUP("What Kind Of Ice Cream Base Do You Want? ",[1]Sheet1!$1:$1,[1]Sheet1!111:111),'Milk Types Nutrition Per Cup'!O:O,'Milk Types Nutrition Per Cup'!P:P,""))</f>
        <v>0</v>
      </c>
      <c r="E111" s="31">
        <f>IF(COUNTIF('Premade Flavors'!$A:$A, $C111) &gt; 0,IF(ISBLANK(_xlfn.XLOOKUP("What Ice Cream Base Do You Want To Change It To?",[1]Sheet1!$1:$1,[1]Sheet1!111:111)),_xlfn.XLOOKUP($C111,'Premade Flavors'!$A:$A,'Premade Flavors'!C:C),_xlfn.XLOOKUP("What Ice Cream Base Do You Want To Change It To?",[1]Sheet1!$1:$1,[1]Sheet1!111:111)),_xlfn.XLOOKUP(_xlfn.XLOOKUP("What Kind Of Ice Cream Base Do You Want? ",[1]Sheet1!$1:$1,[1]Sheet1!111:111),'Milk Types Nutrition Per Cup'!$O:$O,'Milk Types Nutrition Per Cup'!$Q:$Q,""))</f>
        <v>0</v>
      </c>
      <c r="F111" s="31">
        <f>IF(COUNTIF('Premade Flavors'!$A:$A, $C111) &gt; 0,_xlfn.XLOOKUP($C111,'Premade Flavors'!$A:$A,'Premade Flavors'!E:E),_xlfn.XLOOKUP("What's The First Flavor You Want? ",[1]Sheet1!$1:$1,[1]Sheet1!111:111))</f>
        <v>0</v>
      </c>
      <c r="G111" s="31">
        <f>IF(COUNTIF('Premade Flavors'!$A:$A, $C111) &gt; 0,_xlfn.XLOOKUP($C111,'Premade Flavors'!$A:$A,'Premade Flavors'!F:F),_xlfn.XLOOKUP("What's the Second Flavor You Want?",[1]Sheet1!$1:$1,[1]Sheet1!111:111))</f>
        <v>0</v>
      </c>
      <c r="H111" s="31">
        <f>IF(COUNTIF('Premade Flavors'!$A:$A, $C111) &gt; 0,_xlfn.XLOOKUP($C111,'Premade Flavors'!$A:$A,'Premade Flavors'!G:G),_xlfn.XLOOKUP("What's The First Mix In That You Want? ",[1]Sheet1!$1:$1,[1]Sheet1!111:111))</f>
        <v>0</v>
      </c>
      <c r="I111" s="31">
        <f>IF(COUNTIF('Premade Flavors'!$A:$A, $C109) &gt; 0,_xlfn.XLOOKUP($C109,'Premade Flavors'!$A:$A,'Premade Flavors'!H:H),IF([2]Sheet1!W109= 0,,[2]Sheet1!W109))</f>
        <v>0</v>
      </c>
      <c r="J111" s="31">
        <f>IF(COUNTIF('Premade Flavors'!$A:$A,$C111)&gt;0,IF(_xlfn.XLOOKUP("Should It Use Sugar or A Non-Sugar Sweetner?",[1]Sheet1!$1:$1,[1]Sheet1!111:111)="Sugar",_xlfn.XLOOKUP($C111,'Premade Flavors'!$A:$A,'Premade Flavors'!I:I),"Stevia"),_xlfn.XLOOKUP("What Sweetner Do You Want?",[1]Sheet1!$1:$1,[1]Sheet1!111:111))</f>
        <v>0</v>
      </c>
      <c r="K111" s="31"/>
      <c r="L111" s="77">
        <f>_xlfn.XLOOKUP("How Much Ice Cream Do You Want?",[1]Sheet1!$1:$1,[1]Sheet1!111:111)</f>
        <v>0</v>
      </c>
      <c r="M111" s="45">
        <f>IF(COUNTIF('Premade Flavors'!$A:$A, $C111) &gt; 0,_xlfn.XLOOKUP($C111,'Premade Flavors'!$A:$A,'Premade Flavors'!M:M),_xlfn.XLOOKUP("How Strong Do You Want The First Flavor?",[1]Sheet1!$1:$1,[1]Sheet1!111:111))</f>
        <v>0</v>
      </c>
      <c r="N111" s="45">
        <f>IF(COUNTIF('Premade Flavors'!$A:$A, $C111) &gt; 0,_xlfn.XLOOKUP($C111,'Premade Flavors'!$A:$A,'Premade Flavors'!N:N),_xlfn.XLOOKUP("How Strong Do You Want The Second Flavor?",[1]Sheet1!$1:$1,[1]Sheet1!111:111))</f>
        <v>0</v>
      </c>
      <c r="O111" s="45">
        <f>IF(COUNTIF('Premade Flavors'!$A:$A, $C111) &gt; 0,_xlfn.XLOOKUP($C111,'Premade Flavors'!$A:$A,'Premade Flavors'!O:O),_xlfn.XLOOKUP("How Dense Should the Mix Ins Be?",[1]Sheet1!$1:$1,[1]Sheet1!111:111))</f>
        <v>0</v>
      </c>
      <c r="P111" s="45">
        <f>IF(COUNTIF('Premade Flavors'!$A:$A, $C111) &gt; 0,_xlfn.XLOOKUP($C111,'Premade Flavors'!$A:$A,'Premade Flavors'!P:P),_xlfn.XLOOKUP("How Much Of The First Sweetner? ",[1]Sheet1!$1:$1,[1]Sheet1!111:111))</f>
        <v>0</v>
      </c>
      <c r="Q111" s="45">
        <f>IF(COUNTIF('Premade Flavors'!$A:$A, $C111) &gt; 0,_xlfn.XLOOKUP($C111,'Premade Flavors'!$A:$A,'Premade Flavors'!Q:Q),[2]Sheet1!S111)</f>
        <v>0</v>
      </c>
      <c r="R111" s="30">
        <f>(_xlfn.XLOOKUP($L111,Specs!A:A,Specs!B:B,0)-(IF(_xlfn.XLOOKUP($F111,'Liquid Mix In Nutrition'!A:A,'Liquid Mix In Nutrition'!J:J,0)="Yes",0,$T111))-(IF(_xlfn.XLOOKUP($G111,'Liquid Mix In Nutrition'!A:A,'Liquid Mix In Nutrition'!J:J,0)="Yes",0,$U111))-(($V111/MAX(1,_xlfn.XLOOKUP($H111,'Solid Mix In Nutrition'!A:A,'Solid Mix In Nutrition'!I:I,1)))*240)-(($W111/MAX(1,_xlfn.XLOOKUP($I111,'Solid Mix In Nutrition'!A:A,'Solid Mix In Nutrition'!I:I,1)))*240))*0.66</f>
        <v>0</v>
      </c>
      <c r="S111" s="30">
        <f>(_xlfn.XLOOKUP($L111,Specs!A:A,Specs!B:B,0)-(IF(_xlfn.XLOOKUP($F111,'Liquid Mix In Nutrition'!A:A,'Liquid Mix In Nutrition'!J:J,0)="Yes",0,$T111))-(IF(_xlfn.XLOOKUP($G111,'Liquid Mix In Nutrition'!A:A,'Liquid Mix In Nutrition'!J:J,0)="Yes",0,$U111))-(($V111/MAX(1,_xlfn.XLOOKUP($H111,'Solid Mix In Nutrition'!A:A,'Solid Mix In Nutrition'!I:I,1)))*240)-(($W111/MAX(1,_xlfn.XLOOKUP($I111,'Solid Mix In Nutrition'!A:A,'Solid Mix In Nutrition'!I:I,1)))*240))*0.33</f>
        <v>0</v>
      </c>
      <c r="T111" s="30">
        <f>_xlfn.XLOOKUP($M111,Specs!$D:$D,Specs!$E:$E,0)*15*_xlfn.XLOOKUP($L111,Specs!$A:$A,Specs!$C:$C,0)</f>
        <v>0</v>
      </c>
      <c r="U111" s="30">
        <f>_xlfn.XLOOKUP($N111,Specs!$D:$D,Specs!$E:$E,0)*15*_xlfn.XLOOKUP($L111,Specs!$A:$A,Specs!$C:$C,0)</f>
        <v>0</v>
      </c>
      <c r="V111" s="30">
        <f>( ((_xlfn.XLOOKUP($O111,Specs!$H:$H,Specs!$I:$I,0)*_xlfn.XLOOKUP($L111,Specs!$A:$A,Specs!$B:$B,0))/240) *_xlfn.XLOOKUP($H111,'Solid Mix In Nutrition'!A:A,'Solid Mix In Nutrition'!I:I,0)) *IF(AND(NOT($I111=0), COUNTA($I111)),0.5,1)</f>
        <v>0</v>
      </c>
      <c r="W111" s="30">
        <f>( ((_xlfn.XLOOKUP($O111,Specs!$H:$H,Specs!$I:$I,0)*_xlfn.XLOOKUP($L111,Specs!$A:$A,Specs!$B:$B,0))/240) *_xlfn.XLOOKUP($I111,'Solid Mix In Nutrition'!A:A,'Solid Mix In Nutrition'!I:I,0)) *IF(AND(NOT($I111=0), COUNTA($I111)),0.5,0)</f>
        <v>0</v>
      </c>
      <c r="X111" s="30">
        <f>_xlfn.XLOOKUP($P111,Specs!F:F,Specs!G:G,0)*_xlfn.XLOOKUP($J111,'Sweetener Mix In Nutrition'!A:A,'Sweetener Mix In Nutrition'!I:I,0)*_xlfn.XLOOKUP($L111,Specs!A:A,Specs!C:C,0)</f>
        <v>0</v>
      </c>
      <c r="Y111" s="30">
        <f>_xlfn.XLOOKUP($Q111,Specs!F:F,Specs!G:G,0)*_xlfn.XLOOKUP($K111,'Sweetener Mix In Nutrition'!A:A,'Sweetener Mix In Nutrition'!I:I,0)*_xlfn.XLOOKUP($L111,Specs!A:A,Specs!C:C,0)</f>
        <v>0</v>
      </c>
      <c r="Z111" s="34">
        <f t="shared" si="4"/>
        <v>0</v>
      </c>
      <c r="AA111" s="35">
        <f t="shared" si="5"/>
        <v>0</v>
      </c>
      <c r="AB111" s="36">
        <f>(($R111 / 240) * _xlfn.XLOOKUP($D111,'Milk Types Nutrition Per Cup'!A:A,'Milk Types Nutrition Per Cup'!B:B,0)) +(($S111 / 240)  * _xlfn.XLOOKUP($E111,'Milk Types Nutrition Per Cup'!A:A,'Milk Types Nutrition Per Cup'!B:B,0)) +(($T111 / 15)  * _xlfn.XLOOKUP($F111,'Liquid Mix In Nutrition'!A:A,'Liquid Mix In Nutrition'!B:B,0))+(($U111 / 15)  * _xlfn.XLOOKUP($G111,'Liquid Mix In Nutrition'!A:A,'Liquid Mix In Nutrition'!B:B,0))+(($V111 /MAX(1, _xlfn.XLOOKUP($H111,'Solid Mix In Nutrition'!A:A,'Solid Mix In Nutrition'!I:I,1)))  * _xlfn.XLOOKUP($H111,'Solid Mix In Nutrition'!A:A,'Solid Mix In Nutrition'!B:B,0))+(($W111 / MAX(1, _xlfn.XLOOKUP($I111,'Solid Mix In Nutrition'!A:A,'Solid Mix In Nutrition'!I:I,1))))+(($X111 / 100)  * _xlfn.XLOOKUP($J111,'Sweetener Mix In Nutrition'!A:A,'Sweetener Mix In Nutrition'!B:B,0))+(($Y111 / 100)  * _xlfn.XLOOKUP($K111,'Sweetener Mix In Nutrition'!A:A,'Sweetener Mix In Nutrition'!B:B,0))</f>
        <v>0</v>
      </c>
      <c r="AC111" s="36">
        <f>(($R111 / 240) * _xlfn.XLOOKUP($D111,'Milk Types Nutrition Per Cup'!A:A,'Milk Types Nutrition Per Cup'!E:E,0)) +(($S111 / 240)  * _xlfn.XLOOKUP($E111,'Milk Types Nutrition Per Cup'!A:A,'Milk Types Nutrition Per Cup'!E:E,0)) +(($T111 / 15)  * _xlfn.XLOOKUP($F111,'Liquid Mix In Nutrition'!A:A,'Liquid Mix In Nutrition'!E:E,0)) +(($U111 / 15)  * _xlfn.XLOOKUP($G111,'Liquid Mix In Nutrition'!A:A,'Liquid Mix In Nutrition'!E:E,0))+(($V111 / MAX(1, _xlfn.XLOOKUP($H111,'Solid Mix In Nutrition'!A:A,'Solid Mix In Nutrition'!I:I,1)))  * _xlfn.XLOOKUP($H111,'Solid Mix In Nutrition'!A:A,'Solid Mix In Nutrition'!E:E,0))+(($W111 / MAX(1, _xlfn.XLOOKUP($I111,'Solid Mix In Nutrition'!A:A,'Solid Mix In Nutrition'!I:I,1)))  * _xlfn.XLOOKUP($I111,'Solid Mix In Nutrition'!A:A,'Solid Mix In Nutrition'!G:G,0))+(($X111 / 100)  * _xlfn.XLOOKUP($J111,'Sweetener Mix In Nutrition'!A:A,'Sweetener Mix In Nutrition'!E:E,0))+(($Y111 / 100)  * _xlfn.XLOOKUP($K111,'Sweetener Mix In Nutrition'!A:A,'Sweetener Mix In Nutrition'!E:E,0))</f>
        <v>0</v>
      </c>
      <c r="AD111" s="36">
        <f>(($R111 / 240) * _xlfn.XLOOKUP($D111,'Milk Types Nutrition Per Cup'!A:A,'Milk Types Nutrition Per Cup'!E:E,0)) +(($S111 / 240)  * _xlfn.XLOOKUP($E111,'Milk Types Nutrition Per Cup'!A:A,'Milk Types Nutrition Per Cup'!E:E,0)) +(($T111 / 15)  * _xlfn.XLOOKUP($F111,'Liquid Mix In Nutrition'!A:A,'Liquid Mix In Nutrition'!E:E,0)) +(($U111 / 15)  * _xlfn.XLOOKUP($G111,'Liquid Mix In Nutrition'!A:A,'Liquid Mix In Nutrition'!E:E,0))+(($X111 / 100)  * _xlfn.XLOOKUP($J111,'Sweetener Mix In Nutrition'!A:A,'Sweetener Mix In Nutrition'!E:E,0))+(($Y111 / 100)  * _xlfn.XLOOKUP($K111,'Sweetener Mix In Nutrition'!A:A,'Sweetener Mix In Nutrition'!E:E,0))</f>
        <v>0</v>
      </c>
      <c r="AE111" s="37">
        <f>(($R111 / 240) * _xlfn.XLOOKUP($D111,'Milk Types Nutrition Per Cup'!A:A,'Milk Types Nutrition Per Cup'!C:C,0)) +(($S111 / 240)  * _xlfn.XLOOKUP($E111,'Milk Types Nutrition Per Cup'!A:A,'Milk Types Nutrition Per Cup'!C:C,0)) +(($T111 / 15)  * _xlfn.XLOOKUP($F111,'Liquid Mix In Nutrition'!A:A,'Liquid Mix In Nutrition'!C:C,0))+(($U111 / 15)  * _xlfn.XLOOKUP($G111,'Liquid Mix In Nutrition'!A:A,'Liquid Mix In Nutrition'!C:C,0))+(($V111 / MAX(1, _xlfn.XLOOKUP($H111,'Solid Mix In Nutrition'!A:A,'Solid Mix In Nutrition'!I:I,1)))  * _xlfn.XLOOKUP($H111,'Solid Mix In Nutrition'!A:A,'Solid Mix In Nutrition'!C:C,0))+(($W111 / MAX(1, _xlfn.XLOOKUP($I111,'Solid Mix In Nutrition'!A:A,'Solid Mix In Nutrition'!I:I,1)))  * _xlfn.XLOOKUP($I111,'Solid Mix In Nutrition'!A:A,'Solid Mix In Nutrition'!C:C,0))+(($X111 / 100)  * _xlfn.XLOOKUP($J111,'Sweetener Mix In Nutrition'!A:A,'Sweetener Mix In Nutrition'!C:C,0))+(($Y111 / 100)  * _xlfn.XLOOKUP($K111,'Sweetener Mix In Nutrition'!A:A,'Sweetener Mix In Nutrition'!C:C,0))</f>
        <v>0</v>
      </c>
      <c r="AF111" s="38" t="e">
        <f>$AE111 / (_xlfn.XLOOKUP($L111,Specs!A:A,Specs!B:B,0))</f>
        <v>#DIV/0!</v>
      </c>
      <c r="AG111" s="37" t="e">
        <f>60* ($AB111 / _xlfn.XLOOKUP($L111,Specs!A:A,Specs!B:B,0))</f>
        <v>#DIV/0!</v>
      </c>
      <c r="AH111" s="37" t="e">
        <f>60* (AC111 / _xlfn.XLOOKUP($L111,Specs!$A:$A,Specs!$B:$B,0))</f>
        <v>#DIV/0!</v>
      </c>
      <c r="AI111" s="37" t="e">
        <f>60* (AE111 / _xlfn.XLOOKUP($L111,Specs!$A:$A,Specs!$B:$B,0))</f>
        <v>#DIV/0!</v>
      </c>
      <c r="AJ111" s="39">
        <f>(($R111 / 240) * _xlfn.XLOOKUP($D111,'Milk Types Nutrition Per Cup'!A:A,'Milk Types Nutrition Per Cup'!F:F,0)) +(($S111 / 240)  * _xlfn.XLOOKUP($E111,'Milk Types Nutrition Per Cup'!A:A,'Milk Types Nutrition Per Cup'!F:F,0)) +(($T111 / 15)  * _xlfn.XLOOKUP($F111,'Liquid Mix In Nutrition'!A:A,'Liquid Mix In Nutrition'!F:F,0))+(($U111 / 15)  * _xlfn.XLOOKUP($G111,'Liquid Mix In Nutrition'!A:A,'Liquid Mix In Nutrition'!F:F,0))+(($V111 / MAX(1, _xlfn.XLOOKUP($H111,'Solid Mix In Nutrition'!A:A,'Solid Mix In Nutrition'!I:I,1)))  * _xlfn.XLOOKUP($H111,'Solid Mix In Nutrition'!A:A,'Solid Mix In Nutrition'!F:F,0))+(($W111 / MAX(1, _xlfn.XLOOKUP($I111,'Solid Mix In Nutrition'!A:A,'Solid Mix In Nutrition'!I:I,1)))  * _xlfn.XLOOKUP($I111,'Solid Mix In Nutrition'!A:A,'Solid Mix In Nutrition'!F:F,0))+(($X111 / 100)  * _xlfn.XLOOKUP($J111,'Sweetener Mix In Nutrition'!A:A,'Sweetener Mix In Nutrition'!F:F,0))+(($Y111 / 100)  * _xlfn.XLOOKUP($K111,'Sweetener Mix In Nutrition'!A:A,'Sweetener Mix In Nutrition'!F:F,0))</f>
        <v>0</v>
      </c>
      <c r="AK111" s="46">
        <f>[2]Sheet1!AG111</f>
        <v>0</v>
      </c>
      <c r="AL111" s="47"/>
      <c r="AM111" s="40">
        <f>IF(ISERROR(((AL111/Specs!$L$3)*Specs!$L$2)*2),0,ROUNDUP((((AL111/Specs!$L$3)*Specs!$L$2)*2),0))</f>
        <v>0</v>
      </c>
      <c r="AN111" s="48">
        <f>ROUNDUP(((AJ111+Specs!$R$2+Specs!$S$2+_xlfn.XLOOKUP($L111,Specs!A:A,Specs!V:V,0))*Specs!$N$2)+AM111,0)</f>
        <v>1</v>
      </c>
      <c r="AO111" s="40">
        <f>ROUNDUP(((AJ111+Specs!$R$2+Specs!$S$2+_xlfn.XLOOKUP($L111,Specs!A:A,Specs!V:V,0))*Specs!$N$2),0)</f>
        <v>1</v>
      </c>
      <c r="AP111" s="30"/>
    </row>
    <row r="112" spans="1:42" x14ac:dyDescent="0.25">
      <c r="A112" s="41" t="str">
        <f>_xlfn.CONCAT(_xlfn.XLOOKUP("What's Your Name?",[1]Sheet1!$1:$1,[1]Sheet1!112:112)," | ",TEXT(_xlfn.XLOOKUP("Completion time",[1]Sheet1!$1:$1,[1]Sheet1!112:112),"dddd, mmm dd, yyyy hh:mm AM/PM"))</f>
        <v xml:space="preserve"> | Saturday, Jan 00, 1900 12:00 AM</v>
      </c>
      <c r="B112" s="76">
        <f>_xlfn.XLOOKUP("What's Your Email Address?",[1]Sheet1!$1:$1,[1]Sheet1!112:112)</f>
        <v>0</v>
      </c>
      <c r="C112" s="31">
        <f>IF(ISBLANK(_xlfn.XLOOKUP("Which Flavor? (Pint Price | Quart Price | Half Gallon Price) (NOTE: Prices may fluctuate based on market conditions)",[1]Sheet1!$1:$1,[1]Sheet1!112:112)),_xlfn.XLOOKUP("Name Your Ice Cream!",[1]Sheet1!$1:$1,[1]Sheet1!112:112),IF(ISNUMBER(FIND("(", _xlfn.XLOOKUP("Which Flavor? (Pint Price | Quart Price | Half Gallon Price) (NOTE: Prices may fluctuate based on market conditions)",[1]Sheet1!$1:$1,[1]Sheet1!112:112))), LEFT(_xlfn.XLOOKUP("Which Flavor? (Pint Price | Quart Price | Half Gallon Price) (NOTE: Prices may fluctuate based on market conditions)",[1]Sheet1!$1:$1,[1]Sheet1!112:112), FIND("(", _xlfn.XLOOKUP("Which Flavor? (Pint Price | Quart Price | Half Gallon Price) (NOTE: Prices may fluctuate based on market conditions)",[1]Sheet1!$1:$1,[1]Sheet1!112:112)) - 1), _xlfn.XLOOKUP("Which Flavor? (Pint Price | Quart Price | Half Gallon Price) (NOTE: Prices may fluctuate based on market conditions)",[1]Sheet1!$1:$1,[1]Sheet1!112:112)))</f>
        <v>0</v>
      </c>
      <c r="D112" s="31">
        <f>IF(COUNTIF('Premade Flavors'!$A:$A, $C112) &gt; 0,IF(ISBLANK(_xlfn.XLOOKUP("What Ice Cream Base Do You Want To Change It To?",[1]Sheet1!$1:$1,[1]Sheet1!112:112)),_xlfn.XLOOKUP($C112,'Premade Flavors'!$A:$A,'Premade Flavors'!B:B),_xlfn.XLOOKUP("What Ice Cream Base Do You Want To Change It To?",[1]Sheet1!$1:$1,[1]Sheet1!112:112)),_xlfn.XLOOKUP(_xlfn.XLOOKUP("What Kind Of Ice Cream Base Do You Want? ",[1]Sheet1!$1:$1,[1]Sheet1!112:112),'Milk Types Nutrition Per Cup'!O:O,'Milk Types Nutrition Per Cup'!P:P,""))</f>
        <v>0</v>
      </c>
      <c r="E112" s="31">
        <f>IF(COUNTIF('Premade Flavors'!$A:$A, $C112) &gt; 0,IF(ISBLANK(_xlfn.XLOOKUP("What Ice Cream Base Do You Want To Change It To?",[1]Sheet1!$1:$1,[1]Sheet1!112:112)),_xlfn.XLOOKUP($C112,'Premade Flavors'!$A:$A,'Premade Flavors'!C:C),_xlfn.XLOOKUP("What Ice Cream Base Do You Want To Change It To?",[1]Sheet1!$1:$1,[1]Sheet1!112:112)),_xlfn.XLOOKUP(_xlfn.XLOOKUP("What Kind Of Ice Cream Base Do You Want? ",[1]Sheet1!$1:$1,[1]Sheet1!112:112),'Milk Types Nutrition Per Cup'!$O:$O,'Milk Types Nutrition Per Cup'!$Q:$Q,""))</f>
        <v>0</v>
      </c>
      <c r="F112" s="31">
        <f>IF(COUNTIF('Premade Flavors'!$A:$A, $C112) &gt; 0,_xlfn.XLOOKUP($C112,'Premade Flavors'!$A:$A,'Premade Flavors'!E:E),_xlfn.XLOOKUP("What's The First Flavor You Want? ",[1]Sheet1!$1:$1,[1]Sheet1!112:112))</f>
        <v>0</v>
      </c>
      <c r="G112" s="31">
        <f>IF(COUNTIF('Premade Flavors'!$A:$A, $C112) &gt; 0,_xlfn.XLOOKUP($C112,'Premade Flavors'!$A:$A,'Premade Flavors'!F:F),_xlfn.XLOOKUP("What's the Second Flavor You Want?",[1]Sheet1!$1:$1,[1]Sheet1!112:112))</f>
        <v>0</v>
      </c>
      <c r="H112" s="31">
        <f>IF(COUNTIF('Premade Flavors'!$A:$A, $C112) &gt; 0,_xlfn.XLOOKUP($C112,'Premade Flavors'!$A:$A,'Premade Flavors'!G:G),_xlfn.XLOOKUP("What's The First Mix In That You Want? ",[1]Sheet1!$1:$1,[1]Sheet1!112:112))</f>
        <v>0</v>
      </c>
      <c r="I112" s="31">
        <f>IF(COUNTIF('Premade Flavors'!$A:$A, $C110) &gt; 0,_xlfn.XLOOKUP($C110,'Premade Flavors'!$A:$A,'Premade Flavors'!H:H),IF([2]Sheet1!W110= 0,,[2]Sheet1!W110))</f>
        <v>0</v>
      </c>
      <c r="J112" s="31">
        <f>IF(COUNTIF('Premade Flavors'!$A:$A,$C112)&gt;0,IF(_xlfn.XLOOKUP("Should It Use Sugar or A Non-Sugar Sweetner?",[1]Sheet1!$1:$1,[1]Sheet1!112:112)="Sugar",_xlfn.XLOOKUP($C112,'Premade Flavors'!$A:$A,'Premade Flavors'!I:I),"Stevia"),_xlfn.XLOOKUP("What Sweetner Do You Want?",[1]Sheet1!$1:$1,[1]Sheet1!112:112))</f>
        <v>0</v>
      </c>
      <c r="K112" s="31"/>
      <c r="L112" s="77">
        <f>_xlfn.XLOOKUP("How Much Ice Cream Do You Want?",[1]Sheet1!$1:$1,[1]Sheet1!112:112)</f>
        <v>0</v>
      </c>
      <c r="M112" s="45">
        <f>IF(COUNTIF('Premade Flavors'!$A:$A, $C112) &gt; 0,_xlfn.XLOOKUP($C112,'Premade Flavors'!$A:$A,'Premade Flavors'!M:M),_xlfn.XLOOKUP("How Strong Do You Want The First Flavor?",[1]Sheet1!$1:$1,[1]Sheet1!112:112))</f>
        <v>0</v>
      </c>
      <c r="N112" s="45">
        <f>IF(COUNTIF('Premade Flavors'!$A:$A, $C112) &gt; 0,_xlfn.XLOOKUP($C112,'Premade Flavors'!$A:$A,'Premade Flavors'!N:N),_xlfn.XLOOKUP("How Strong Do You Want The Second Flavor?",[1]Sheet1!$1:$1,[1]Sheet1!112:112))</f>
        <v>0</v>
      </c>
      <c r="O112" s="45">
        <f>IF(COUNTIF('Premade Flavors'!$A:$A, $C112) &gt; 0,_xlfn.XLOOKUP($C112,'Premade Flavors'!$A:$A,'Premade Flavors'!O:O),_xlfn.XLOOKUP("How Dense Should the Mix Ins Be?",[1]Sheet1!$1:$1,[1]Sheet1!112:112))</f>
        <v>0</v>
      </c>
      <c r="P112" s="45">
        <f>IF(COUNTIF('Premade Flavors'!$A:$A, $C112) &gt; 0,_xlfn.XLOOKUP($C112,'Premade Flavors'!$A:$A,'Premade Flavors'!P:P),_xlfn.XLOOKUP("How Much Of The First Sweetner? ",[1]Sheet1!$1:$1,[1]Sheet1!112:112))</f>
        <v>0</v>
      </c>
      <c r="Q112" s="45">
        <f>IF(COUNTIF('Premade Flavors'!$A:$A, $C112) &gt; 0,_xlfn.XLOOKUP($C112,'Premade Flavors'!$A:$A,'Premade Flavors'!Q:Q),[2]Sheet1!S112)</f>
        <v>0</v>
      </c>
      <c r="R112" s="30">
        <f>(_xlfn.XLOOKUP($L112,Specs!A:A,Specs!B:B,0)-(IF(_xlfn.XLOOKUP($F112,'Liquid Mix In Nutrition'!A:A,'Liquid Mix In Nutrition'!J:J,0)="Yes",0,$T112))-(IF(_xlfn.XLOOKUP($G112,'Liquid Mix In Nutrition'!A:A,'Liquid Mix In Nutrition'!J:J,0)="Yes",0,$U112))-(($V112/MAX(1,_xlfn.XLOOKUP($H112,'Solid Mix In Nutrition'!A:A,'Solid Mix In Nutrition'!I:I,1)))*240)-(($W112/MAX(1,_xlfn.XLOOKUP($I112,'Solid Mix In Nutrition'!A:A,'Solid Mix In Nutrition'!I:I,1)))*240))*0.66</f>
        <v>0</v>
      </c>
      <c r="S112" s="30">
        <f>(_xlfn.XLOOKUP($L112,Specs!A:A,Specs!B:B,0)-(IF(_xlfn.XLOOKUP($F112,'Liquid Mix In Nutrition'!A:A,'Liquid Mix In Nutrition'!J:J,0)="Yes",0,$T112))-(IF(_xlfn.XLOOKUP($G112,'Liquid Mix In Nutrition'!A:A,'Liquid Mix In Nutrition'!J:J,0)="Yes",0,$U112))-(($V112/MAX(1,_xlfn.XLOOKUP($H112,'Solid Mix In Nutrition'!A:A,'Solid Mix In Nutrition'!I:I,1)))*240)-(($W112/MAX(1,_xlfn.XLOOKUP($I112,'Solid Mix In Nutrition'!A:A,'Solid Mix In Nutrition'!I:I,1)))*240))*0.33</f>
        <v>0</v>
      </c>
      <c r="T112" s="30">
        <f>_xlfn.XLOOKUP($M112,Specs!$D:$D,Specs!$E:$E,0)*15*_xlfn.XLOOKUP($L112,Specs!$A:$A,Specs!$C:$C,0)</f>
        <v>0</v>
      </c>
      <c r="U112" s="30">
        <f>_xlfn.XLOOKUP($N112,Specs!$D:$D,Specs!$E:$E,0)*15*_xlfn.XLOOKUP($L112,Specs!$A:$A,Specs!$C:$C,0)</f>
        <v>0</v>
      </c>
      <c r="V112" s="30">
        <f>( ((_xlfn.XLOOKUP($O112,Specs!$H:$H,Specs!$I:$I,0)*_xlfn.XLOOKUP($L112,Specs!$A:$A,Specs!$B:$B,0))/240) *_xlfn.XLOOKUP($H112,'Solid Mix In Nutrition'!A:A,'Solid Mix In Nutrition'!I:I,0)) *IF(AND(NOT($I112=0), COUNTA($I112)),0.5,1)</f>
        <v>0</v>
      </c>
      <c r="W112" s="30">
        <f>( ((_xlfn.XLOOKUP($O112,Specs!$H:$H,Specs!$I:$I,0)*_xlfn.XLOOKUP($L112,Specs!$A:$A,Specs!$B:$B,0))/240) *_xlfn.XLOOKUP($I112,'Solid Mix In Nutrition'!A:A,'Solid Mix In Nutrition'!I:I,0)) *IF(AND(NOT($I112=0), COUNTA($I112)),0.5,0)</f>
        <v>0</v>
      </c>
      <c r="X112" s="30">
        <f>_xlfn.XLOOKUP($P112,Specs!F:F,Specs!G:G,0)*_xlfn.XLOOKUP($J112,'Sweetener Mix In Nutrition'!A:A,'Sweetener Mix In Nutrition'!I:I,0)*_xlfn.XLOOKUP($L112,Specs!A:A,Specs!C:C,0)</f>
        <v>0</v>
      </c>
      <c r="Y112" s="30">
        <f>_xlfn.XLOOKUP($Q112,Specs!F:F,Specs!G:G,0)*_xlfn.XLOOKUP($K112,'Sweetener Mix In Nutrition'!A:A,'Sweetener Mix In Nutrition'!I:I,0)*_xlfn.XLOOKUP($L112,Specs!A:A,Specs!C:C,0)</f>
        <v>0</v>
      </c>
      <c r="Z112" s="34">
        <f t="shared" si="4"/>
        <v>0</v>
      </c>
      <c r="AA112" s="35">
        <f t="shared" si="5"/>
        <v>0</v>
      </c>
      <c r="AB112" s="36">
        <f>(($R112 / 240) * _xlfn.XLOOKUP($D112,'Milk Types Nutrition Per Cup'!A:A,'Milk Types Nutrition Per Cup'!B:B,0)) +(($S112 / 240)  * _xlfn.XLOOKUP($E112,'Milk Types Nutrition Per Cup'!A:A,'Milk Types Nutrition Per Cup'!B:B,0)) +(($T112 / 15)  * _xlfn.XLOOKUP($F112,'Liquid Mix In Nutrition'!A:A,'Liquid Mix In Nutrition'!B:B,0))+(($U112 / 15)  * _xlfn.XLOOKUP($G112,'Liquid Mix In Nutrition'!A:A,'Liquid Mix In Nutrition'!B:B,0))+(($V112 /MAX(1, _xlfn.XLOOKUP($H112,'Solid Mix In Nutrition'!A:A,'Solid Mix In Nutrition'!I:I,1)))  * _xlfn.XLOOKUP($H112,'Solid Mix In Nutrition'!A:A,'Solid Mix In Nutrition'!B:B,0))+(($W112 / MAX(1, _xlfn.XLOOKUP($I112,'Solid Mix In Nutrition'!A:A,'Solid Mix In Nutrition'!I:I,1))))+(($X112 / 100)  * _xlfn.XLOOKUP($J112,'Sweetener Mix In Nutrition'!A:A,'Sweetener Mix In Nutrition'!B:B,0))+(($Y112 / 100)  * _xlfn.XLOOKUP($K112,'Sweetener Mix In Nutrition'!A:A,'Sweetener Mix In Nutrition'!B:B,0))</f>
        <v>0</v>
      </c>
      <c r="AC112" s="36">
        <f>(($R112 / 240) * _xlfn.XLOOKUP($D112,'Milk Types Nutrition Per Cup'!A:A,'Milk Types Nutrition Per Cup'!E:E,0)) +(($S112 / 240)  * _xlfn.XLOOKUP($E112,'Milk Types Nutrition Per Cup'!A:A,'Milk Types Nutrition Per Cup'!E:E,0)) +(($T112 / 15)  * _xlfn.XLOOKUP($F112,'Liquid Mix In Nutrition'!A:A,'Liquid Mix In Nutrition'!E:E,0)) +(($U112 / 15)  * _xlfn.XLOOKUP($G112,'Liquid Mix In Nutrition'!A:A,'Liquid Mix In Nutrition'!E:E,0))+(($V112 / MAX(1, _xlfn.XLOOKUP($H112,'Solid Mix In Nutrition'!A:A,'Solid Mix In Nutrition'!I:I,1)))  * _xlfn.XLOOKUP($H112,'Solid Mix In Nutrition'!A:A,'Solid Mix In Nutrition'!E:E,0))+(($W112 / MAX(1, _xlfn.XLOOKUP($I112,'Solid Mix In Nutrition'!A:A,'Solid Mix In Nutrition'!I:I,1)))  * _xlfn.XLOOKUP($I112,'Solid Mix In Nutrition'!A:A,'Solid Mix In Nutrition'!G:G,0))+(($X112 / 100)  * _xlfn.XLOOKUP($J112,'Sweetener Mix In Nutrition'!A:A,'Sweetener Mix In Nutrition'!E:E,0))+(($Y112 / 100)  * _xlfn.XLOOKUP($K112,'Sweetener Mix In Nutrition'!A:A,'Sweetener Mix In Nutrition'!E:E,0))</f>
        <v>0</v>
      </c>
      <c r="AD112" s="36">
        <f>(($R112 / 240) * _xlfn.XLOOKUP($D112,'Milk Types Nutrition Per Cup'!A:A,'Milk Types Nutrition Per Cup'!E:E,0)) +(($S112 / 240)  * _xlfn.XLOOKUP($E112,'Milk Types Nutrition Per Cup'!A:A,'Milk Types Nutrition Per Cup'!E:E,0)) +(($T112 / 15)  * _xlfn.XLOOKUP($F112,'Liquid Mix In Nutrition'!A:A,'Liquid Mix In Nutrition'!E:E,0)) +(($U112 / 15)  * _xlfn.XLOOKUP($G112,'Liquid Mix In Nutrition'!A:A,'Liquid Mix In Nutrition'!E:E,0))+(($X112 / 100)  * _xlfn.XLOOKUP($J112,'Sweetener Mix In Nutrition'!A:A,'Sweetener Mix In Nutrition'!E:E,0))+(($Y112 / 100)  * _xlfn.XLOOKUP($K112,'Sweetener Mix In Nutrition'!A:A,'Sweetener Mix In Nutrition'!E:E,0))</f>
        <v>0</v>
      </c>
      <c r="AE112" s="37">
        <f>(($R112 / 240) * _xlfn.XLOOKUP($D112,'Milk Types Nutrition Per Cup'!A:A,'Milk Types Nutrition Per Cup'!C:C,0)) +(($S112 / 240)  * _xlfn.XLOOKUP($E112,'Milk Types Nutrition Per Cup'!A:A,'Milk Types Nutrition Per Cup'!C:C,0)) +(($T112 / 15)  * _xlfn.XLOOKUP($F112,'Liquid Mix In Nutrition'!A:A,'Liquid Mix In Nutrition'!C:C,0))+(($U112 / 15)  * _xlfn.XLOOKUP($G112,'Liquid Mix In Nutrition'!A:A,'Liquid Mix In Nutrition'!C:C,0))+(($V112 / MAX(1, _xlfn.XLOOKUP($H112,'Solid Mix In Nutrition'!A:A,'Solid Mix In Nutrition'!I:I,1)))  * _xlfn.XLOOKUP($H112,'Solid Mix In Nutrition'!A:A,'Solid Mix In Nutrition'!C:C,0))+(($W112 / MAX(1, _xlfn.XLOOKUP($I112,'Solid Mix In Nutrition'!A:A,'Solid Mix In Nutrition'!I:I,1)))  * _xlfn.XLOOKUP($I112,'Solid Mix In Nutrition'!A:A,'Solid Mix In Nutrition'!C:C,0))+(($X112 / 100)  * _xlfn.XLOOKUP($J112,'Sweetener Mix In Nutrition'!A:A,'Sweetener Mix In Nutrition'!C:C,0))+(($Y112 / 100)  * _xlfn.XLOOKUP($K112,'Sweetener Mix In Nutrition'!A:A,'Sweetener Mix In Nutrition'!C:C,0))</f>
        <v>0</v>
      </c>
      <c r="AF112" s="38" t="e">
        <f>$AE112 / (_xlfn.XLOOKUP($L112,Specs!A:A,Specs!B:B,0))</f>
        <v>#DIV/0!</v>
      </c>
      <c r="AG112" s="37" t="e">
        <f>60* ($AB112 / _xlfn.XLOOKUP($L112,Specs!A:A,Specs!B:B,0))</f>
        <v>#DIV/0!</v>
      </c>
      <c r="AH112" s="37" t="e">
        <f>60* (AC112 / _xlfn.XLOOKUP($L112,Specs!$A:$A,Specs!$B:$B,0))</f>
        <v>#DIV/0!</v>
      </c>
      <c r="AI112" s="37" t="e">
        <f>60* (AE112 / _xlfn.XLOOKUP($L112,Specs!$A:$A,Specs!$B:$B,0))</f>
        <v>#DIV/0!</v>
      </c>
      <c r="AJ112" s="39">
        <f>(($R112 / 240) * _xlfn.XLOOKUP($D112,'Milk Types Nutrition Per Cup'!A:A,'Milk Types Nutrition Per Cup'!F:F,0)) +(($S112 / 240)  * _xlfn.XLOOKUP($E112,'Milk Types Nutrition Per Cup'!A:A,'Milk Types Nutrition Per Cup'!F:F,0)) +(($T112 / 15)  * _xlfn.XLOOKUP($F112,'Liquid Mix In Nutrition'!A:A,'Liquid Mix In Nutrition'!F:F,0))+(($U112 / 15)  * _xlfn.XLOOKUP($G112,'Liquid Mix In Nutrition'!A:A,'Liquid Mix In Nutrition'!F:F,0))+(($V112 / MAX(1, _xlfn.XLOOKUP($H112,'Solid Mix In Nutrition'!A:A,'Solid Mix In Nutrition'!I:I,1)))  * _xlfn.XLOOKUP($H112,'Solid Mix In Nutrition'!A:A,'Solid Mix In Nutrition'!F:F,0))+(($W112 / MAX(1, _xlfn.XLOOKUP($I112,'Solid Mix In Nutrition'!A:A,'Solid Mix In Nutrition'!I:I,1)))  * _xlfn.XLOOKUP($I112,'Solid Mix In Nutrition'!A:A,'Solid Mix In Nutrition'!F:F,0))+(($X112 / 100)  * _xlfn.XLOOKUP($J112,'Sweetener Mix In Nutrition'!A:A,'Sweetener Mix In Nutrition'!F:F,0))+(($Y112 / 100)  * _xlfn.XLOOKUP($K112,'Sweetener Mix In Nutrition'!A:A,'Sweetener Mix In Nutrition'!F:F,0))</f>
        <v>0</v>
      </c>
      <c r="AK112" s="46">
        <f>[2]Sheet1!AG112</f>
        <v>0</v>
      </c>
      <c r="AL112" s="47"/>
      <c r="AM112" s="40">
        <f>IF(ISERROR(((AL112/Specs!$L$3)*Specs!$L$2)*2),0,ROUNDUP((((AL112/Specs!$L$3)*Specs!$L$2)*2),0))</f>
        <v>0</v>
      </c>
      <c r="AN112" s="48">
        <f>ROUNDUP(((AJ112+Specs!$R$2+Specs!$S$2+_xlfn.XLOOKUP($L112,Specs!A:A,Specs!V:V,0))*Specs!$N$2)+AM112,0)</f>
        <v>1</v>
      </c>
      <c r="AO112" s="40">
        <f>ROUNDUP(((AJ112+Specs!$R$2+Specs!$S$2+_xlfn.XLOOKUP($L112,Specs!A:A,Specs!V:V,0))*Specs!$N$2),0)</f>
        <v>1</v>
      </c>
      <c r="AP112" s="30"/>
    </row>
    <row r="113" spans="1:42" x14ac:dyDescent="0.25">
      <c r="A113" s="41" t="str">
        <f>_xlfn.CONCAT(_xlfn.XLOOKUP("What's Your Name?",[1]Sheet1!$1:$1,[1]Sheet1!113:113)," | ",TEXT(_xlfn.XLOOKUP("Completion time",[1]Sheet1!$1:$1,[1]Sheet1!113:113),"dddd, mmm dd, yyyy hh:mm AM/PM"))</f>
        <v xml:space="preserve"> | Saturday, Jan 00, 1900 12:00 AM</v>
      </c>
      <c r="B113" s="76">
        <f>_xlfn.XLOOKUP("What's Your Email Address?",[1]Sheet1!$1:$1,[1]Sheet1!113:113)</f>
        <v>0</v>
      </c>
      <c r="C113" s="31">
        <f>IF(ISBLANK(_xlfn.XLOOKUP("Which Flavor? (Pint Price | Quart Price | Half Gallon Price) (NOTE: Prices may fluctuate based on market conditions)",[1]Sheet1!$1:$1,[1]Sheet1!113:113)),_xlfn.XLOOKUP("Name Your Ice Cream!",[1]Sheet1!$1:$1,[1]Sheet1!113:113),IF(ISNUMBER(FIND("(", _xlfn.XLOOKUP("Which Flavor? (Pint Price | Quart Price | Half Gallon Price) (NOTE: Prices may fluctuate based on market conditions)",[1]Sheet1!$1:$1,[1]Sheet1!113:113))), LEFT(_xlfn.XLOOKUP("Which Flavor? (Pint Price | Quart Price | Half Gallon Price) (NOTE: Prices may fluctuate based on market conditions)",[1]Sheet1!$1:$1,[1]Sheet1!113:113), FIND("(", _xlfn.XLOOKUP("Which Flavor? (Pint Price | Quart Price | Half Gallon Price) (NOTE: Prices may fluctuate based on market conditions)",[1]Sheet1!$1:$1,[1]Sheet1!113:113)) - 1), _xlfn.XLOOKUP("Which Flavor? (Pint Price | Quart Price | Half Gallon Price) (NOTE: Prices may fluctuate based on market conditions)",[1]Sheet1!$1:$1,[1]Sheet1!113:113)))</f>
        <v>0</v>
      </c>
      <c r="D113" s="31">
        <f>IF(COUNTIF('Premade Flavors'!$A:$A, $C113) &gt; 0,IF(ISBLANK(_xlfn.XLOOKUP("What Ice Cream Base Do You Want To Change It To?",[1]Sheet1!$1:$1,[1]Sheet1!113:113)),_xlfn.XLOOKUP($C113,'Premade Flavors'!$A:$A,'Premade Flavors'!B:B),_xlfn.XLOOKUP("What Ice Cream Base Do You Want To Change It To?",[1]Sheet1!$1:$1,[1]Sheet1!113:113)),_xlfn.XLOOKUP(_xlfn.XLOOKUP("What Kind Of Ice Cream Base Do You Want? ",[1]Sheet1!$1:$1,[1]Sheet1!113:113),'Milk Types Nutrition Per Cup'!O:O,'Milk Types Nutrition Per Cup'!P:P,""))</f>
        <v>0</v>
      </c>
      <c r="E113" s="31">
        <f>IF(COUNTIF('Premade Flavors'!$A:$A, $C113) &gt; 0,IF(ISBLANK(_xlfn.XLOOKUP("What Ice Cream Base Do You Want To Change It To?",[1]Sheet1!$1:$1,[1]Sheet1!113:113)),_xlfn.XLOOKUP($C113,'Premade Flavors'!$A:$A,'Premade Flavors'!C:C),_xlfn.XLOOKUP("What Ice Cream Base Do You Want To Change It To?",[1]Sheet1!$1:$1,[1]Sheet1!113:113)),_xlfn.XLOOKUP(_xlfn.XLOOKUP("What Kind Of Ice Cream Base Do You Want? ",[1]Sheet1!$1:$1,[1]Sheet1!113:113),'Milk Types Nutrition Per Cup'!$O:$O,'Milk Types Nutrition Per Cup'!$Q:$Q,""))</f>
        <v>0</v>
      </c>
      <c r="F113" s="31">
        <f>IF(COUNTIF('Premade Flavors'!$A:$A, $C113) &gt; 0,_xlfn.XLOOKUP($C113,'Premade Flavors'!$A:$A,'Premade Flavors'!E:E),_xlfn.XLOOKUP("What's The First Flavor You Want? ",[1]Sheet1!$1:$1,[1]Sheet1!113:113))</f>
        <v>0</v>
      </c>
      <c r="G113" s="31">
        <f>IF(COUNTIF('Premade Flavors'!$A:$A, $C113) &gt; 0,_xlfn.XLOOKUP($C113,'Premade Flavors'!$A:$A,'Premade Flavors'!F:F),_xlfn.XLOOKUP("What's the Second Flavor You Want?",[1]Sheet1!$1:$1,[1]Sheet1!113:113))</f>
        <v>0</v>
      </c>
      <c r="H113" s="31">
        <f>IF(COUNTIF('Premade Flavors'!$A:$A, $C113) &gt; 0,_xlfn.XLOOKUP($C113,'Premade Flavors'!$A:$A,'Premade Flavors'!G:G),_xlfn.XLOOKUP("What's The First Mix In That You Want? ",[1]Sheet1!$1:$1,[1]Sheet1!113:113))</f>
        <v>0</v>
      </c>
      <c r="I113" s="31">
        <f>IF(COUNTIF('Premade Flavors'!$A:$A, $C111) &gt; 0,_xlfn.XLOOKUP($C111,'Premade Flavors'!$A:$A,'Premade Flavors'!H:H),IF([2]Sheet1!W111= 0,,[2]Sheet1!W111))</f>
        <v>0</v>
      </c>
      <c r="J113" s="31">
        <f>IF(COUNTIF('Premade Flavors'!$A:$A,$C113)&gt;0,IF(_xlfn.XLOOKUP("Should It Use Sugar or A Non-Sugar Sweetner?",[1]Sheet1!$1:$1,[1]Sheet1!113:113)="Sugar",_xlfn.XLOOKUP($C113,'Premade Flavors'!$A:$A,'Premade Flavors'!I:I),"Stevia"),_xlfn.XLOOKUP("What Sweetner Do You Want?",[1]Sheet1!$1:$1,[1]Sheet1!113:113))</f>
        <v>0</v>
      </c>
      <c r="K113" s="31"/>
      <c r="L113" s="77">
        <f>_xlfn.XLOOKUP("How Much Ice Cream Do You Want?",[1]Sheet1!$1:$1,[1]Sheet1!113:113)</f>
        <v>0</v>
      </c>
      <c r="M113" s="45">
        <f>IF(COUNTIF('Premade Flavors'!$A:$A, $C113) &gt; 0,_xlfn.XLOOKUP($C113,'Premade Flavors'!$A:$A,'Premade Flavors'!M:M),_xlfn.XLOOKUP("How Strong Do You Want The First Flavor?",[1]Sheet1!$1:$1,[1]Sheet1!113:113))</f>
        <v>0</v>
      </c>
      <c r="N113" s="45">
        <f>IF(COUNTIF('Premade Flavors'!$A:$A, $C113) &gt; 0,_xlfn.XLOOKUP($C113,'Premade Flavors'!$A:$A,'Premade Flavors'!N:N),_xlfn.XLOOKUP("How Strong Do You Want The Second Flavor?",[1]Sheet1!$1:$1,[1]Sheet1!113:113))</f>
        <v>0</v>
      </c>
      <c r="O113" s="45">
        <f>IF(COUNTIF('Premade Flavors'!$A:$A, $C113) &gt; 0,_xlfn.XLOOKUP($C113,'Premade Flavors'!$A:$A,'Premade Flavors'!O:O),_xlfn.XLOOKUP("How Dense Should the Mix Ins Be?",[1]Sheet1!$1:$1,[1]Sheet1!113:113))</f>
        <v>0</v>
      </c>
      <c r="P113" s="45">
        <f>IF(COUNTIF('Premade Flavors'!$A:$A, $C113) &gt; 0,_xlfn.XLOOKUP($C113,'Premade Flavors'!$A:$A,'Premade Flavors'!P:P),_xlfn.XLOOKUP("How Much Of The First Sweetner? ",[1]Sheet1!$1:$1,[1]Sheet1!113:113))</f>
        <v>0</v>
      </c>
      <c r="Q113" s="45">
        <f>IF(COUNTIF('Premade Flavors'!$A:$A, $C113) &gt; 0,_xlfn.XLOOKUP($C113,'Premade Flavors'!$A:$A,'Premade Flavors'!Q:Q),[2]Sheet1!S113)</f>
        <v>0</v>
      </c>
      <c r="R113" s="30">
        <f>(_xlfn.XLOOKUP($L113,Specs!A:A,Specs!B:B,0)-(IF(_xlfn.XLOOKUP($F113,'Liquid Mix In Nutrition'!A:A,'Liquid Mix In Nutrition'!J:J,0)="Yes",0,$T113))-(IF(_xlfn.XLOOKUP($G113,'Liquid Mix In Nutrition'!A:A,'Liquid Mix In Nutrition'!J:J,0)="Yes",0,$U113))-(($V113/MAX(1,_xlfn.XLOOKUP($H113,'Solid Mix In Nutrition'!A:A,'Solid Mix In Nutrition'!I:I,1)))*240)-(($W113/MAX(1,_xlfn.XLOOKUP($I113,'Solid Mix In Nutrition'!A:A,'Solid Mix In Nutrition'!I:I,1)))*240))*0.66</f>
        <v>0</v>
      </c>
      <c r="S113" s="30">
        <f>(_xlfn.XLOOKUP($L113,Specs!A:A,Specs!B:B,0)-(IF(_xlfn.XLOOKUP($F113,'Liquid Mix In Nutrition'!A:A,'Liquid Mix In Nutrition'!J:J,0)="Yes",0,$T113))-(IF(_xlfn.XLOOKUP($G113,'Liquid Mix In Nutrition'!A:A,'Liquid Mix In Nutrition'!J:J,0)="Yes",0,$U113))-(($V113/MAX(1,_xlfn.XLOOKUP($H113,'Solid Mix In Nutrition'!A:A,'Solid Mix In Nutrition'!I:I,1)))*240)-(($W113/MAX(1,_xlfn.XLOOKUP($I113,'Solid Mix In Nutrition'!A:A,'Solid Mix In Nutrition'!I:I,1)))*240))*0.33</f>
        <v>0</v>
      </c>
      <c r="T113" s="30">
        <f>_xlfn.XLOOKUP($M113,Specs!$D:$D,Specs!$E:$E,0)*15*_xlfn.XLOOKUP($L113,Specs!$A:$A,Specs!$C:$C,0)</f>
        <v>0</v>
      </c>
      <c r="U113" s="30">
        <f>_xlfn.XLOOKUP($N113,Specs!$D:$D,Specs!$E:$E,0)*15*_xlfn.XLOOKUP($L113,Specs!$A:$A,Specs!$C:$C,0)</f>
        <v>0</v>
      </c>
      <c r="V113" s="30">
        <f>( ((_xlfn.XLOOKUP($O113,Specs!$H:$H,Specs!$I:$I,0)*_xlfn.XLOOKUP($L113,Specs!$A:$A,Specs!$B:$B,0))/240) *_xlfn.XLOOKUP($H113,'Solid Mix In Nutrition'!A:A,'Solid Mix In Nutrition'!I:I,0)) *IF(AND(NOT($I113=0), COUNTA($I113)),0.5,1)</f>
        <v>0</v>
      </c>
      <c r="W113" s="30">
        <f>( ((_xlfn.XLOOKUP($O113,Specs!$H:$H,Specs!$I:$I,0)*_xlfn.XLOOKUP($L113,Specs!$A:$A,Specs!$B:$B,0))/240) *_xlfn.XLOOKUP($I113,'Solid Mix In Nutrition'!A:A,'Solid Mix In Nutrition'!I:I,0)) *IF(AND(NOT($I113=0), COUNTA($I113)),0.5,0)</f>
        <v>0</v>
      </c>
      <c r="X113" s="30">
        <f>_xlfn.XLOOKUP($P113,Specs!F:F,Specs!G:G,0)*_xlfn.XLOOKUP($J113,'Sweetener Mix In Nutrition'!A:A,'Sweetener Mix In Nutrition'!I:I,0)*_xlfn.XLOOKUP($L113,Specs!A:A,Specs!C:C,0)</f>
        <v>0</v>
      </c>
      <c r="Y113" s="30">
        <f>_xlfn.XLOOKUP($Q113,Specs!F:F,Specs!G:G,0)*_xlfn.XLOOKUP($K113,'Sweetener Mix In Nutrition'!A:A,'Sweetener Mix In Nutrition'!I:I,0)*_xlfn.XLOOKUP($L113,Specs!A:A,Specs!C:C,0)</f>
        <v>0</v>
      </c>
      <c r="Z113" s="34">
        <f t="shared" si="4"/>
        <v>0</v>
      </c>
      <c r="AA113" s="35">
        <f t="shared" si="5"/>
        <v>0</v>
      </c>
      <c r="AB113" s="36">
        <f>(($R113 / 240) * _xlfn.XLOOKUP($D113,'Milk Types Nutrition Per Cup'!A:A,'Milk Types Nutrition Per Cup'!B:B,0)) +(($S113 / 240)  * _xlfn.XLOOKUP($E113,'Milk Types Nutrition Per Cup'!A:A,'Milk Types Nutrition Per Cup'!B:B,0)) +(($T113 / 15)  * _xlfn.XLOOKUP($F113,'Liquid Mix In Nutrition'!A:A,'Liquid Mix In Nutrition'!B:B,0))+(($U113 / 15)  * _xlfn.XLOOKUP($G113,'Liquid Mix In Nutrition'!A:A,'Liquid Mix In Nutrition'!B:B,0))+(($V113 /MAX(1, _xlfn.XLOOKUP($H113,'Solid Mix In Nutrition'!A:A,'Solid Mix In Nutrition'!I:I,1)))  * _xlfn.XLOOKUP($H113,'Solid Mix In Nutrition'!A:A,'Solid Mix In Nutrition'!B:B,0))+(($W113 / MAX(1, _xlfn.XLOOKUP($I113,'Solid Mix In Nutrition'!A:A,'Solid Mix In Nutrition'!I:I,1))))+(($X113 / 100)  * _xlfn.XLOOKUP($J113,'Sweetener Mix In Nutrition'!A:A,'Sweetener Mix In Nutrition'!B:B,0))+(($Y113 / 100)  * _xlfn.XLOOKUP($K113,'Sweetener Mix In Nutrition'!A:A,'Sweetener Mix In Nutrition'!B:B,0))</f>
        <v>0</v>
      </c>
      <c r="AC113" s="36">
        <f>(($R113 / 240) * _xlfn.XLOOKUP($D113,'Milk Types Nutrition Per Cup'!A:A,'Milk Types Nutrition Per Cup'!E:E,0)) +(($S113 / 240)  * _xlfn.XLOOKUP($E113,'Milk Types Nutrition Per Cup'!A:A,'Milk Types Nutrition Per Cup'!E:E,0)) +(($T113 / 15)  * _xlfn.XLOOKUP($F113,'Liquid Mix In Nutrition'!A:A,'Liquid Mix In Nutrition'!E:E,0)) +(($U113 / 15)  * _xlfn.XLOOKUP($G113,'Liquid Mix In Nutrition'!A:A,'Liquid Mix In Nutrition'!E:E,0))+(($V113 / MAX(1, _xlfn.XLOOKUP($H113,'Solid Mix In Nutrition'!A:A,'Solid Mix In Nutrition'!I:I,1)))  * _xlfn.XLOOKUP($H113,'Solid Mix In Nutrition'!A:A,'Solid Mix In Nutrition'!E:E,0))+(($W113 / MAX(1, _xlfn.XLOOKUP($I113,'Solid Mix In Nutrition'!A:A,'Solid Mix In Nutrition'!I:I,1)))  * _xlfn.XLOOKUP($I113,'Solid Mix In Nutrition'!A:A,'Solid Mix In Nutrition'!G:G,0))+(($X113 / 100)  * _xlfn.XLOOKUP($J113,'Sweetener Mix In Nutrition'!A:A,'Sweetener Mix In Nutrition'!E:E,0))+(($Y113 / 100)  * _xlfn.XLOOKUP($K113,'Sweetener Mix In Nutrition'!A:A,'Sweetener Mix In Nutrition'!E:E,0))</f>
        <v>0</v>
      </c>
      <c r="AD113" s="36">
        <f>(($R113 / 240) * _xlfn.XLOOKUP($D113,'Milk Types Nutrition Per Cup'!A:A,'Milk Types Nutrition Per Cup'!E:E,0)) +(($S113 / 240)  * _xlfn.XLOOKUP($E113,'Milk Types Nutrition Per Cup'!A:A,'Milk Types Nutrition Per Cup'!E:E,0)) +(($T113 / 15)  * _xlfn.XLOOKUP($F113,'Liquid Mix In Nutrition'!A:A,'Liquid Mix In Nutrition'!E:E,0)) +(($U113 / 15)  * _xlfn.XLOOKUP($G113,'Liquid Mix In Nutrition'!A:A,'Liquid Mix In Nutrition'!E:E,0))+(($X113 / 100)  * _xlfn.XLOOKUP($J113,'Sweetener Mix In Nutrition'!A:A,'Sweetener Mix In Nutrition'!E:E,0))+(($Y113 / 100)  * _xlfn.XLOOKUP($K113,'Sweetener Mix In Nutrition'!A:A,'Sweetener Mix In Nutrition'!E:E,0))</f>
        <v>0</v>
      </c>
      <c r="AE113" s="37">
        <f>(($R113 / 240) * _xlfn.XLOOKUP($D113,'Milk Types Nutrition Per Cup'!A:A,'Milk Types Nutrition Per Cup'!C:C,0)) +(($S113 / 240)  * _xlfn.XLOOKUP($E113,'Milk Types Nutrition Per Cup'!A:A,'Milk Types Nutrition Per Cup'!C:C,0)) +(($T113 / 15)  * _xlfn.XLOOKUP($F113,'Liquid Mix In Nutrition'!A:A,'Liquid Mix In Nutrition'!C:C,0))+(($U113 / 15)  * _xlfn.XLOOKUP($G113,'Liquid Mix In Nutrition'!A:A,'Liquid Mix In Nutrition'!C:C,0))+(($V113 / MAX(1, _xlfn.XLOOKUP($H113,'Solid Mix In Nutrition'!A:A,'Solid Mix In Nutrition'!I:I,1)))  * _xlfn.XLOOKUP($H113,'Solid Mix In Nutrition'!A:A,'Solid Mix In Nutrition'!C:C,0))+(($W113 / MAX(1, _xlfn.XLOOKUP($I113,'Solid Mix In Nutrition'!A:A,'Solid Mix In Nutrition'!I:I,1)))  * _xlfn.XLOOKUP($I113,'Solid Mix In Nutrition'!A:A,'Solid Mix In Nutrition'!C:C,0))+(($X113 / 100)  * _xlfn.XLOOKUP($J113,'Sweetener Mix In Nutrition'!A:A,'Sweetener Mix In Nutrition'!C:C,0))+(($Y113 / 100)  * _xlfn.XLOOKUP($K113,'Sweetener Mix In Nutrition'!A:A,'Sweetener Mix In Nutrition'!C:C,0))</f>
        <v>0</v>
      </c>
      <c r="AF113" s="38" t="e">
        <f>$AE113 / (_xlfn.XLOOKUP($L113,Specs!A:A,Specs!B:B,0))</f>
        <v>#DIV/0!</v>
      </c>
      <c r="AG113" s="37" t="e">
        <f>60* ($AB113 / _xlfn.XLOOKUP($L113,Specs!A:A,Specs!B:B,0))</f>
        <v>#DIV/0!</v>
      </c>
      <c r="AH113" s="37" t="e">
        <f>60* (AC113 / _xlfn.XLOOKUP($L113,Specs!$A:$A,Specs!$B:$B,0))</f>
        <v>#DIV/0!</v>
      </c>
      <c r="AI113" s="37" t="e">
        <f>60* (AE113 / _xlfn.XLOOKUP($L113,Specs!$A:$A,Specs!$B:$B,0))</f>
        <v>#DIV/0!</v>
      </c>
      <c r="AJ113" s="39">
        <f>(($R113 / 240) * _xlfn.XLOOKUP($D113,'Milk Types Nutrition Per Cup'!A:A,'Milk Types Nutrition Per Cup'!F:F,0)) +(($S113 / 240)  * _xlfn.XLOOKUP($E113,'Milk Types Nutrition Per Cup'!A:A,'Milk Types Nutrition Per Cup'!F:F,0)) +(($T113 / 15)  * _xlfn.XLOOKUP($F113,'Liquid Mix In Nutrition'!A:A,'Liquid Mix In Nutrition'!F:F,0))+(($U113 / 15)  * _xlfn.XLOOKUP($G113,'Liquid Mix In Nutrition'!A:A,'Liquid Mix In Nutrition'!F:F,0))+(($V113 / MAX(1, _xlfn.XLOOKUP($H113,'Solid Mix In Nutrition'!A:A,'Solid Mix In Nutrition'!I:I,1)))  * _xlfn.XLOOKUP($H113,'Solid Mix In Nutrition'!A:A,'Solid Mix In Nutrition'!F:F,0))+(($W113 / MAX(1, _xlfn.XLOOKUP($I113,'Solid Mix In Nutrition'!A:A,'Solid Mix In Nutrition'!I:I,1)))  * _xlfn.XLOOKUP($I113,'Solid Mix In Nutrition'!A:A,'Solid Mix In Nutrition'!F:F,0))+(($X113 / 100)  * _xlfn.XLOOKUP($J113,'Sweetener Mix In Nutrition'!A:A,'Sweetener Mix In Nutrition'!F:F,0))+(($Y113 / 100)  * _xlfn.XLOOKUP($K113,'Sweetener Mix In Nutrition'!A:A,'Sweetener Mix In Nutrition'!F:F,0))</f>
        <v>0</v>
      </c>
      <c r="AK113" s="46">
        <f>[2]Sheet1!AG113</f>
        <v>0</v>
      </c>
      <c r="AL113" s="47"/>
      <c r="AM113" s="40">
        <f>IF(ISERROR(((AL113/Specs!$L$3)*Specs!$L$2)*2),0,ROUNDUP((((AL113/Specs!$L$3)*Specs!$L$2)*2),0))</f>
        <v>0</v>
      </c>
      <c r="AN113" s="48">
        <f>ROUNDUP(((AJ113+Specs!$R$2+Specs!$S$2+_xlfn.XLOOKUP($L113,Specs!A:A,Specs!V:V,0))*Specs!$N$2)+AM113,0)</f>
        <v>1</v>
      </c>
      <c r="AO113" s="40">
        <f>ROUNDUP(((AJ113+Specs!$R$2+Specs!$S$2+_xlfn.XLOOKUP($L113,Specs!A:A,Specs!V:V,0))*Specs!$N$2),0)</f>
        <v>1</v>
      </c>
      <c r="AP113" s="30"/>
    </row>
    <row r="114" spans="1:42" x14ac:dyDescent="0.25">
      <c r="A114" s="41" t="str">
        <f>_xlfn.CONCAT(_xlfn.XLOOKUP("What's Your Name?",[1]Sheet1!$1:$1,[1]Sheet1!114:114)," | ",TEXT(_xlfn.XLOOKUP("Completion time",[1]Sheet1!$1:$1,[1]Sheet1!114:114),"dddd, mmm dd, yyyy hh:mm AM/PM"))</f>
        <v xml:space="preserve"> | Saturday, Jan 00, 1900 12:00 AM</v>
      </c>
      <c r="B114" s="76">
        <f>_xlfn.XLOOKUP("What's Your Email Address?",[1]Sheet1!$1:$1,[1]Sheet1!114:114)</f>
        <v>0</v>
      </c>
      <c r="C114" s="31">
        <f>IF(ISBLANK(_xlfn.XLOOKUP("Which Flavor? (Pint Price | Quart Price | Half Gallon Price) (NOTE: Prices may fluctuate based on market conditions)",[1]Sheet1!$1:$1,[1]Sheet1!114:114)),_xlfn.XLOOKUP("Name Your Ice Cream!",[1]Sheet1!$1:$1,[1]Sheet1!114:114),IF(ISNUMBER(FIND("(", _xlfn.XLOOKUP("Which Flavor? (Pint Price | Quart Price | Half Gallon Price) (NOTE: Prices may fluctuate based on market conditions)",[1]Sheet1!$1:$1,[1]Sheet1!114:114))), LEFT(_xlfn.XLOOKUP("Which Flavor? (Pint Price | Quart Price | Half Gallon Price) (NOTE: Prices may fluctuate based on market conditions)",[1]Sheet1!$1:$1,[1]Sheet1!114:114), FIND("(", _xlfn.XLOOKUP("Which Flavor? (Pint Price | Quart Price | Half Gallon Price) (NOTE: Prices may fluctuate based on market conditions)",[1]Sheet1!$1:$1,[1]Sheet1!114:114)) - 1), _xlfn.XLOOKUP("Which Flavor? (Pint Price | Quart Price | Half Gallon Price) (NOTE: Prices may fluctuate based on market conditions)",[1]Sheet1!$1:$1,[1]Sheet1!114:114)))</f>
        <v>0</v>
      </c>
      <c r="D114" s="31">
        <f>IF(COUNTIF('Premade Flavors'!$A:$A, $C114) &gt; 0,IF(ISBLANK(_xlfn.XLOOKUP("What Ice Cream Base Do You Want To Change It To?",[1]Sheet1!$1:$1,[1]Sheet1!114:114)),_xlfn.XLOOKUP($C114,'Premade Flavors'!$A:$A,'Premade Flavors'!B:B),_xlfn.XLOOKUP("What Ice Cream Base Do You Want To Change It To?",[1]Sheet1!$1:$1,[1]Sheet1!114:114)),_xlfn.XLOOKUP(_xlfn.XLOOKUP("What Kind Of Ice Cream Base Do You Want? ",[1]Sheet1!$1:$1,[1]Sheet1!114:114),'Milk Types Nutrition Per Cup'!O:O,'Milk Types Nutrition Per Cup'!P:P,""))</f>
        <v>0</v>
      </c>
      <c r="E114" s="31">
        <f>IF(COUNTIF('Premade Flavors'!$A:$A, $C114) &gt; 0,IF(ISBLANK(_xlfn.XLOOKUP("What Ice Cream Base Do You Want To Change It To?",[1]Sheet1!$1:$1,[1]Sheet1!114:114)),_xlfn.XLOOKUP($C114,'Premade Flavors'!$A:$A,'Premade Flavors'!C:C),_xlfn.XLOOKUP("What Ice Cream Base Do You Want To Change It To?",[1]Sheet1!$1:$1,[1]Sheet1!114:114)),_xlfn.XLOOKUP(_xlfn.XLOOKUP("What Kind Of Ice Cream Base Do You Want? ",[1]Sheet1!$1:$1,[1]Sheet1!114:114),'Milk Types Nutrition Per Cup'!$O:$O,'Milk Types Nutrition Per Cup'!$Q:$Q,""))</f>
        <v>0</v>
      </c>
      <c r="F114" s="31">
        <f>IF(COUNTIF('Premade Flavors'!$A:$A, $C114) &gt; 0,_xlfn.XLOOKUP($C114,'Premade Flavors'!$A:$A,'Premade Flavors'!E:E),_xlfn.XLOOKUP("What's The First Flavor You Want? ",[1]Sheet1!$1:$1,[1]Sheet1!114:114))</f>
        <v>0</v>
      </c>
      <c r="G114" s="31">
        <f>IF(COUNTIF('Premade Flavors'!$A:$A, $C114) &gt; 0,_xlfn.XLOOKUP($C114,'Premade Flavors'!$A:$A,'Premade Flavors'!F:F),_xlfn.XLOOKUP("What's the Second Flavor You Want?",[1]Sheet1!$1:$1,[1]Sheet1!114:114))</f>
        <v>0</v>
      </c>
      <c r="H114" s="31">
        <f>IF(COUNTIF('Premade Flavors'!$A:$A, $C114) &gt; 0,_xlfn.XLOOKUP($C114,'Premade Flavors'!$A:$A,'Premade Flavors'!G:G),_xlfn.XLOOKUP("What's The First Mix In That You Want? ",[1]Sheet1!$1:$1,[1]Sheet1!114:114))</f>
        <v>0</v>
      </c>
      <c r="I114" s="31">
        <f>IF(COUNTIF('Premade Flavors'!$A:$A, $C112) &gt; 0,_xlfn.XLOOKUP($C112,'Premade Flavors'!$A:$A,'Premade Flavors'!H:H),IF([2]Sheet1!W112= 0,,[2]Sheet1!W112))</f>
        <v>0</v>
      </c>
      <c r="J114" s="31">
        <f>IF(COUNTIF('Premade Flavors'!$A:$A,$C114)&gt;0,IF(_xlfn.XLOOKUP("Should It Use Sugar or A Non-Sugar Sweetner?",[1]Sheet1!$1:$1,[1]Sheet1!114:114)="Sugar",_xlfn.XLOOKUP($C114,'Premade Flavors'!$A:$A,'Premade Flavors'!I:I),"Stevia"),_xlfn.XLOOKUP("What Sweetner Do You Want?",[1]Sheet1!$1:$1,[1]Sheet1!114:114))</f>
        <v>0</v>
      </c>
      <c r="K114" s="31"/>
      <c r="L114" s="77">
        <f>_xlfn.XLOOKUP("How Much Ice Cream Do You Want?",[1]Sheet1!$1:$1,[1]Sheet1!114:114)</f>
        <v>0</v>
      </c>
      <c r="M114" s="45">
        <f>IF(COUNTIF('Premade Flavors'!$A:$A, $C114) &gt; 0,_xlfn.XLOOKUP($C114,'Premade Flavors'!$A:$A,'Premade Flavors'!M:M),_xlfn.XLOOKUP("How Strong Do You Want The First Flavor?",[1]Sheet1!$1:$1,[1]Sheet1!114:114))</f>
        <v>0</v>
      </c>
      <c r="N114" s="45">
        <f>IF(COUNTIF('Premade Flavors'!$A:$A, $C114) &gt; 0,_xlfn.XLOOKUP($C114,'Premade Flavors'!$A:$A,'Premade Flavors'!N:N),_xlfn.XLOOKUP("How Strong Do You Want The Second Flavor?",[1]Sheet1!$1:$1,[1]Sheet1!114:114))</f>
        <v>0</v>
      </c>
      <c r="O114" s="45">
        <f>IF(COUNTIF('Premade Flavors'!$A:$A, $C114) &gt; 0,_xlfn.XLOOKUP($C114,'Premade Flavors'!$A:$A,'Premade Flavors'!O:O),_xlfn.XLOOKUP("How Dense Should the Mix Ins Be?",[1]Sheet1!$1:$1,[1]Sheet1!114:114))</f>
        <v>0</v>
      </c>
      <c r="P114" s="45">
        <f>IF(COUNTIF('Premade Flavors'!$A:$A, $C114) &gt; 0,_xlfn.XLOOKUP($C114,'Premade Flavors'!$A:$A,'Premade Flavors'!P:P),_xlfn.XLOOKUP("How Much Of The First Sweetner? ",[1]Sheet1!$1:$1,[1]Sheet1!114:114))</f>
        <v>0</v>
      </c>
      <c r="Q114" s="45">
        <f>IF(COUNTIF('Premade Flavors'!$A:$A, $C114) &gt; 0,_xlfn.XLOOKUP($C114,'Premade Flavors'!$A:$A,'Premade Flavors'!Q:Q),[2]Sheet1!S114)</f>
        <v>0</v>
      </c>
      <c r="R114" s="30">
        <f>(_xlfn.XLOOKUP($L114,Specs!A:A,Specs!B:B,0)-(IF(_xlfn.XLOOKUP($F114,'Liquid Mix In Nutrition'!A:A,'Liquid Mix In Nutrition'!J:J,0)="Yes",0,$T114))-(IF(_xlfn.XLOOKUP($G114,'Liquid Mix In Nutrition'!A:A,'Liquid Mix In Nutrition'!J:J,0)="Yes",0,$U114))-(($V114/MAX(1,_xlfn.XLOOKUP($H114,'Solid Mix In Nutrition'!A:A,'Solid Mix In Nutrition'!I:I,1)))*240)-(($W114/MAX(1,_xlfn.XLOOKUP($I114,'Solid Mix In Nutrition'!A:A,'Solid Mix In Nutrition'!I:I,1)))*240))*0.66</f>
        <v>0</v>
      </c>
      <c r="S114" s="30">
        <f>(_xlfn.XLOOKUP($L114,Specs!A:A,Specs!B:B,0)-(IF(_xlfn.XLOOKUP($F114,'Liquid Mix In Nutrition'!A:A,'Liquid Mix In Nutrition'!J:J,0)="Yes",0,$T114))-(IF(_xlfn.XLOOKUP($G114,'Liquid Mix In Nutrition'!A:A,'Liquid Mix In Nutrition'!J:J,0)="Yes",0,$U114))-(($V114/MAX(1,_xlfn.XLOOKUP($H114,'Solid Mix In Nutrition'!A:A,'Solid Mix In Nutrition'!I:I,1)))*240)-(($W114/MAX(1,_xlfn.XLOOKUP($I114,'Solid Mix In Nutrition'!A:A,'Solid Mix In Nutrition'!I:I,1)))*240))*0.33</f>
        <v>0</v>
      </c>
      <c r="T114" s="30">
        <f>_xlfn.XLOOKUP($M114,Specs!$D:$D,Specs!$E:$E,0)*15*_xlfn.XLOOKUP($L114,Specs!$A:$A,Specs!$C:$C,0)</f>
        <v>0</v>
      </c>
      <c r="U114" s="30">
        <f>_xlfn.XLOOKUP($N114,Specs!$D:$D,Specs!$E:$E,0)*15*_xlfn.XLOOKUP($L114,Specs!$A:$A,Specs!$C:$C,0)</f>
        <v>0</v>
      </c>
      <c r="V114" s="30">
        <f>( ((_xlfn.XLOOKUP($O114,Specs!$H:$H,Specs!$I:$I,0)*_xlfn.XLOOKUP($L114,Specs!$A:$A,Specs!$B:$B,0))/240) *_xlfn.XLOOKUP($H114,'Solid Mix In Nutrition'!A:A,'Solid Mix In Nutrition'!I:I,0)) *IF(AND(NOT($I114=0), COUNTA($I114)),0.5,1)</f>
        <v>0</v>
      </c>
      <c r="W114" s="30">
        <f>( ((_xlfn.XLOOKUP($O114,Specs!$H:$H,Specs!$I:$I,0)*_xlfn.XLOOKUP($L114,Specs!$A:$A,Specs!$B:$B,0))/240) *_xlfn.XLOOKUP($I114,'Solid Mix In Nutrition'!A:A,'Solid Mix In Nutrition'!I:I,0)) *IF(AND(NOT($I114=0), COUNTA($I114)),0.5,0)</f>
        <v>0</v>
      </c>
      <c r="X114" s="30">
        <f>_xlfn.XLOOKUP($P114,Specs!F:F,Specs!G:G,0)*_xlfn.XLOOKUP($J114,'Sweetener Mix In Nutrition'!A:A,'Sweetener Mix In Nutrition'!I:I,0)*_xlfn.XLOOKUP($L114,Specs!A:A,Specs!C:C,0)</f>
        <v>0</v>
      </c>
      <c r="Y114" s="30">
        <f>_xlfn.XLOOKUP($Q114,Specs!F:F,Specs!G:G,0)*_xlfn.XLOOKUP($K114,'Sweetener Mix In Nutrition'!A:A,'Sweetener Mix In Nutrition'!I:I,0)*_xlfn.XLOOKUP($L114,Specs!A:A,Specs!C:C,0)</f>
        <v>0</v>
      </c>
      <c r="Z114" s="34">
        <f t="shared" si="4"/>
        <v>0</v>
      </c>
      <c r="AA114" s="35">
        <f t="shared" si="5"/>
        <v>0</v>
      </c>
      <c r="AB114" s="36">
        <f>(($R114 / 240) * _xlfn.XLOOKUP($D114,'Milk Types Nutrition Per Cup'!A:A,'Milk Types Nutrition Per Cup'!B:B,0)) +(($S114 / 240)  * _xlfn.XLOOKUP($E114,'Milk Types Nutrition Per Cup'!A:A,'Milk Types Nutrition Per Cup'!B:B,0)) +(($T114 / 15)  * _xlfn.XLOOKUP($F114,'Liquid Mix In Nutrition'!A:A,'Liquid Mix In Nutrition'!B:B,0))+(($U114 / 15)  * _xlfn.XLOOKUP($G114,'Liquid Mix In Nutrition'!A:A,'Liquid Mix In Nutrition'!B:B,0))+(($V114 /MAX(1, _xlfn.XLOOKUP($H114,'Solid Mix In Nutrition'!A:A,'Solid Mix In Nutrition'!I:I,1)))  * _xlfn.XLOOKUP($H114,'Solid Mix In Nutrition'!A:A,'Solid Mix In Nutrition'!B:B,0))+(($W114 / MAX(1, _xlfn.XLOOKUP($I114,'Solid Mix In Nutrition'!A:A,'Solid Mix In Nutrition'!I:I,1))))+(($X114 / 100)  * _xlfn.XLOOKUP($J114,'Sweetener Mix In Nutrition'!A:A,'Sweetener Mix In Nutrition'!B:B,0))+(($Y114 / 100)  * _xlfn.XLOOKUP($K114,'Sweetener Mix In Nutrition'!A:A,'Sweetener Mix In Nutrition'!B:B,0))</f>
        <v>0</v>
      </c>
      <c r="AC114" s="36">
        <f>(($R114 / 240) * _xlfn.XLOOKUP($D114,'Milk Types Nutrition Per Cup'!A:A,'Milk Types Nutrition Per Cup'!E:E,0)) +(($S114 / 240)  * _xlfn.XLOOKUP($E114,'Milk Types Nutrition Per Cup'!A:A,'Milk Types Nutrition Per Cup'!E:E,0)) +(($T114 / 15)  * _xlfn.XLOOKUP($F114,'Liquid Mix In Nutrition'!A:A,'Liquid Mix In Nutrition'!E:E,0)) +(($U114 / 15)  * _xlfn.XLOOKUP($G114,'Liquid Mix In Nutrition'!A:A,'Liquid Mix In Nutrition'!E:E,0))+(($V114 / MAX(1, _xlfn.XLOOKUP($H114,'Solid Mix In Nutrition'!A:A,'Solid Mix In Nutrition'!I:I,1)))  * _xlfn.XLOOKUP($H114,'Solid Mix In Nutrition'!A:A,'Solid Mix In Nutrition'!E:E,0))+(($W114 / MAX(1, _xlfn.XLOOKUP($I114,'Solid Mix In Nutrition'!A:A,'Solid Mix In Nutrition'!I:I,1)))  * _xlfn.XLOOKUP($I114,'Solid Mix In Nutrition'!A:A,'Solid Mix In Nutrition'!G:G,0))+(($X114 / 100)  * _xlfn.XLOOKUP($J114,'Sweetener Mix In Nutrition'!A:A,'Sweetener Mix In Nutrition'!E:E,0))+(($Y114 / 100)  * _xlfn.XLOOKUP($K114,'Sweetener Mix In Nutrition'!A:A,'Sweetener Mix In Nutrition'!E:E,0))</f>
        <v>0</v>
      </c>
      <c r="AD114" s="36">
        <f>(($R114 / 240) * _xlfn.XLOOKUP($D114,'Milk Types Nutrition Per Cup'!A:A,'Milk Types Nutrition Per Cup'!E:E,0)) +(($S114 / 240)  * _xlfn.XLOOKUP($E114,'Milk Types Nutrition Per Cup'!A:A,'Milk Types Nutrition Per Cup'!E:E,0)) +(($T114 / 15)  * _xlfn.XLOOKUP($F114,'Liquid Mix In Nutrition'!A:A,'Liquid Mix In Nutrition'!E:E,0)) +(($U114 / 15)  * _xlfn.XLOOKUP($G114,'Liquid Mix In Nutrition'!A:A,'Liquid Mix In Nutrition'!E:E,0))+(($X114 / 100)  * _xlfn.XLOOKUP($J114,'Sweetener Mix In Nutrition'!A:A,'Sweetener Mix In Nutrition'!E:E,0))+(($Y114 / 100)  * _xlfn.XLOOKUP($K114,'Sweetener Mix In Nutrition'!A:A,'Sweetener Mix In Nutrition'!E:E,0))</f>
        <v>0</v>
      </c>
      <c r="AE114" s="37">
        <f>(($R114 / 240) * _xlfn.XLOOKUP($D114,'Milk Types Nutrition Per Cup'!A:A,'Milk Types Nutrition Per Cup'!C:C,0)) +(($S114 / 240)  * _xlfn.XLOOKUP($E114,'Milk Types Nutrition Per Cup'!A:A,'Milk Types Nutrition Per Cup'!C:C,0)) +(($T114 / 15)  * _xlfn.XLOOKUP($F114,'Liquid Mix In Nutrition'!A:A,'Liquid Mix In Nutrition'!C:C,0))+(($U114 / 15)  * _xlfn.XLOOKUP($G114,'Liquid Mix In Nutrition'!A:A,'Liquid Mix In Nutrition'!C:C,0))+(($V114 / MAX(1, _xlfn.XLOOKUP($H114,'Solid Mix In Nutrition'!A:A,'Solid Mix In Nutrition'!I:I,1)))  * _xlfn.XLOOKUP($H114,'Solid Mix In Nutrition'!A:A,'Solid Mix In Nutrition'!C:C,0))+(($W114 / MAX(1, _xlfn.XLOOKUP($I114,'Solid Mix In Nutrition'!A:A,'Solid Mix In Nutrition'!I:I,1)))  * _xlfn.XLOOKUP($I114,'Solid Mix In Nutrition'!A:A,'Solid Mix In Nutrition'!C:C,0))+(($X114 / 100)  * _xlfn.XLOOKUP($J114,'Sweetener Mix In Nutrition'!A:A,'Sweetener Mix In Nutrition'!C:C,0))+(($Y114 / 100)  * _xlfn.XLOOKUP($K114,'Sweetener Mix In Nutrition'!A:A,'Sweetener Mix In Nutrition'!C:C,0))</f>
        <v>0</v>
      </c>
      <c r="AF114" s="38" t="e">
        <f>$AE114 / (_xlfn.XLOOKUP($L114,Specs!A:A,Specs!B:B,0))</f>
        <v>#DIV/0!</v>
      </c>
      <c r="AG114" s="37" t="e">
        <f>60* ($AB114 / _xlfn.XLOOKUP($L114,Specs!A:A,Specs!B:B,0))</f>
        <v>#DIV/0!</v>
      </c>
      <c r="AH114" s="37" t="e">
        <f>60* (AC114 / _xlfn.XLOOKUP($L114,Specs!$A:$A,Specs!$B:$B,0))</f>
        <v>#DIV/0!</v>
      </c>
      <c r="AI114" s="37" t="e">
        <f>60* (AE114 / _xlfn.XLOOKUP($L114,Specs!$A:$A,Specs!$B:$B,0))</f>
        <v>#DIV/0!</v>
      </c>
      <c r="AJ114" s="39">
        <f>(($R114 / 240) * _xlfn.XLOOKUP($D114,'Milk Types Nutrition Per Cup'!A:A,'Milk Types Nutrition Per Cup'!F:F,0)) +(($S114 / 240)  * _xlfn.XLOOKUP($E114,'Milk Types Nutrition Per Cup'!A:A,'Milk Types Nutrition Per Cup'!F:F,0)) +(($T114 / 15)  * _xlfn.XLOOKUP($F114,'Liquid Mix In Nutrition'!A:A,'Liquid Mix In Nutrition'!F:F,0))+(($U114 / 15)  * _xlfn.XLOOKUP($G114,'Liquid Mix In Nutrition'!A:A,'Liquid Mix In Nutrition'!F:F,0))+(($V114 / MAX(1, _xlfn.XLOOKUP($H114,'Solid Mix In Nutrition'!A:A,'Solid Mix In Nutrition'!I:I,1)))  * _xlfn.XLOOKUP($H114,'Solid Mix In Nutrition'!A:A,'Solid Mix In Nutrition'!F:F,0))+(($W114 / MAX(1, _xlfn.XLOOKUP($I114,'Solid Mix In Nutrition'!A:A,'Solid Mix In Nutrition'!I:I,1)))  * _xlfn.XLOOKUP($I114,'Solid Mix In Nutrition'!A:A,'Solid Mix In Nutrition'!F:F,0))+(($X114 / 100)  * _xlfn.XLOOKUP($J114,'Sweetener Mix In Nutrition'!A:A,'Sweetener Mix In Nutrition'!F:F,0))+(($Y114 / 100)  * _xlfn.XLOOKUP($K114,'Sweetener Mix In Nutrition'!A:A,'Sweetener Mix In Nutrition'!F:F,0))</f>
        <v>0</v>
      </c>
      <c r="AK114" s="46">
        <f>[2]Sheet1!AG114</f>
        <v>0</v>
      </c>
      <c r="AL114" s="47"/>
      <c r="AM114" s="40">
        <f>IF(ISERROR(((AL114/Specs!$L$3)*Specs!$L$2)*2),0,ROUNDUP((((AL114/Specs!$L$3)*Specs!$L$2)*2),0))</f>
        <v>0</v>
      </c>
      <c r="AN114" s="48">
        <f>ROUNDUP(((AJ114+Specs!$R$2+Specs!$S$2+_xlfn.XLOOKUP($L114,Specs!A:A,Specs!V:V,0))*Specs!$N$2)+AM114,0)</f>
        <v>1</v>
      </c>
      <c r="AO114" s="40">
        <f>ROUNDUP(((AJ114+Specs!$R$2+Specs!$S$2+_xlfn.XLOOKUP($L114,Specs!A:A,Specs!V:V,0))*Specs!$N$2),0)</f>
        <v>1</v>
      </c>
      <c r="AP114" s="30"/>
    </row>
    <row r="115" spans="1:42" x14ac:dyDescent="0.25">
      <c r="A115" s="41" t="str">
        <f>_xlfn.CONCAT(_xlfn.XLOOKUP("What's Your Name?",[1]Sheet1!$1:$1,[1]Sheet1!115:115)," | ",TEXT(_xlfn.XLOOKUP("Completion time",[1]Sheet1!$1:$1,[1]Sheet1!115:115),"dddd, mmm dd, yyyy hh:mm AM/PM"))</f>
        <v xml:space="preserve"> | Saturday, Jan 00, 1900 12:00 AM</v>
      </c>
      <c r="B115" s="76">
        <f>_xlfn.XLOOKUP("What's Your Email Address?",[1]Sheet1!$1:$1,[1]Sheet1!115:115)</f>
        <v>0</v>
      </c>
      <c r="C115" s="31">
        <f>IF(ISBLANK(_xlfn.XLOOKUP("Which Flavor? (Pint Price | Quart Price | Half Gallon Price) (NOTE: Prices may fluctuate based on market conditions)",[1]Sheet1!$1:$1,[1]Sheet1!115:115)),_xlfn.XLOOKUP("Name Your Ice Cream!",[1]Sheet1!$1:$1,[1]Sheet1!115:115),IF(ISNUMBER(FIND("(", _xlfn.XLOOKUP("Which Flavor? (Pint Price | Quart Price | Half Gallon Price) (NOTE: Prices may fluctuate based on market conditions)",[1]Sheet1!$1:$1,[1]Sheet1!115:115))), LEFT(_xlfn.XLOOKUP("Which Flavor? (Pint Price | Quart Price | Half Gallon Price) (NOTE: Prices may fluctuate based on market conditions)",[1]Sheet1!$1:$1,[1]Sheet1!115:115), FIND("(", _xlfn.XLOOKUP("Which Flavor? (Pint Price | Quart Price | Half Gallon Price) (NOTE: Prices may fluctuate based on market conditions)",[1]Sheet1!$1:$1,[1]Sheet1!115:115)) - 1), _xlfn.XLOOKUP("Which Flavor? (Pint Price | Quart Price | Half Gallon Price) (NOTE: Prices may fluctuate based on market conditions)",[1]Sheet1!$1:$1,[1]Sheet1!115:115)))</f>
        <v>0</v>
      </c>
      <c r="D115" s="31">
        <f>IF(COUNTIF('Premade Flavors'!$A:$A, $C115) &gt; 0,IF(ISBLANK(_xlfn.XLOOKUP("What Ice Cream Base Do You Want To Change It To?",[1]Sheet1!$1:$1,[1]Sheet1!115:115)),_xlfn.XLOOKUP($C115,'Premade Flavors'!$A:$A,'Premade Flavors'!B:B),_xlfn.XLOOKUP("What Ice Cream Base Do You Want To Change It To?",[1]Sheet1!$1:$1,[1]Sheet1!115:115)),_xlfn.XLOOKUP(_xlfn.XLOOKUP("What Kind Of Ice Cream Base Do You Want? ",[1]Sheet1!$1:$1,[1]Sheet1!115:115),'Milk Types Nutrition Per Cup'!O:O,'Milk Types Nutrition Per Cup'!P:P,""))</f>
        <v>0</v>
      </c>
      <c r="E115" s="31">
        <f>IF(COUNTIF('Premade Flavors'!$A:$A, $C115) &gt; 0,IF(ISBLANK(_xlfn.XLOOKUP("What Ice Cream Base Do You Want To Change It To?",[1]Sheet1!$1:$1,[1]Sheet1!115:115)),_xlfn.XLOOKUP($C115,'Premade Flavors'!$A:$A,'Premade Flavors'!C:C),_xlfn.XLOOKUP("What Ice Cream Base Do You Want To Change It To?",[1]Sheet1!$1:$1,[1]Sheet1!115:115)),_xlfn.XLOOKUP(_xlfn.XLOOKUP("What Kind Of Ice Cream Base Do You Want? ",[1]Sheet1!$1:$1,[1]Sheet1!115:115),'Milk Types Nutrition Per Cup'!$O:$O,'Milk Types Nutrition Per Cup'!$Q:$Q,""))</f>
        <v>0</v>
      </c>
      <c r="F115" s="31">
        <f>IF(COUNTIF('Premade Flavors'!$A:$A, $C115) &gt; 0,_xlfn.XLOOKUP($C115,'Premade Flavors'!$A:$A,'Premade Flavors'!E:E),_xlfn.XLOOKUP("What's The First Flavor You Want? ",[1]Sheet1!$1:$1,[1]Sheet1!115:115))</f>
        <v>0</v>
      </c>
      <c r="G115" s="31">
        <f>IF(COUNTIF('Premade Flavors'!$A:$A, $C115) &gt; 0,_xlfn.XLOOKUP($C115,'Premade Flavors'!$A:$A,'Premade Flavors'!F:F),_xlfn.XLOOKUP("What's the Second Flavor You Want?",[1]Sheet1!$1:$1,[1]Sheet1!115:115))</f>
        <v>0</v>
      </c>
      <c r="H115" s="31">
        <f>IF(COUNTIF('Premade Flavors'!$A:$A, $C115) &gt; 0,_xlfn.XLOOKUP($C115,'Premade Flavors'!$A:$A,'Premade Flavors'!G:G),_xlfn.XLOOKUP("What's The First Mix In That You Want? ",[1]Sheet1!$1:$1,[1]Sheet1!115:115))</f>
        <v>0</v>
      </c>
      <c r="I115" s="31">
        <f>IF(COUNTIF('Premade Flavors'!$A:$A, $C113) &gt; 0,_xlfn.XLOOKUP($C113,'Premade Flavors'!$A:$A,'Premade Flavors'!H:H),IF([2]Sheet1!W113= 0,,[2]Sheet1!W113))</f>
        <v>0</v>
      </c>
      <c r="J115" s="31">
        <f>IF(COUNTIF('Premade Flavors'!$A:$A,$C115)&gt;0,IF(_xlfn.XLOOKUP("Should It Use Sugar or A Non-Sugar Sweetner?",[1]Sheet1!$1:$1,[1]Sheet1!115:115)="Sugar",_xlfn.XLOOKUP($C115,'Premade Flavors'!$A:$A,'Premade Flavors'!I:I),"Stevia"),_xlfn.XLOOKUP("What Sweetner Do You Want?",[1]Sheet1!$1:$1,[1]Sheet1!115:115))</f>
        <v>0</v>
      </c>
      <c r="K115" s="31"/>
      <c r="L115" s="77">
        <f>_xlfn.XLOOKUP("How Much Ice Cream Do You Want?",[1]Sheet1!$1:$1,[1]Sheet1!115:115)</f>
        <v>0</v>
      </c>
      <c r="M115" s="45">
        <f>IF(COUNTIF('Premade Flavors'!$A:$A, $C115) &gt; 0,_xlfn.XLOOKUP($C115,'Premade Flavors'!$A:$A,'Premade Flavors'!M:M),_xlfn.XLOOKUP("How Strong Do You Want The First Flavor?",[1]Sheet1!$1:$1,[1]Sheet1!115:115))</f>
        <v>0</v>
      </c>
      <c r="N115" s="45">
        <f>IF(COUNTIF('Premade Flavors'!$A:$A, $C115) &gt; 0,_xlfn.XLOOKUP($C115,'Premade Flavors'!$A:$A,'Premade Flavors'!N:N),_xlfn.XLOOKUP("How Strong Do You Want The Second Flavor?",[1]Sheet1!$1:$1,[1]Sheet1!115:115))</f>
        <v>0</v>
      </c>
      <c r="O115" s="45">
        <f>IF(COUNTIF('Premade Flavors'!$A:$A, $C115) &gt; 0,_xlfn.XLOOKUP($C115,'Premade Flavors'!$A:$A,'Premade Flavors'!O:O),_xlfn.XLOOKUP("How Dense Should the Mix Ins Be?",[1]Sheet1!$1:$1,[1]Sheet1!115:115))</f>
        <v>0</v>
      </c>
      <c r="P115" s="45">
        <f>IF(COUNTIF('Premade Flavors'!$A:$A, $C115) &gt; 0,_xlfn.XLOOKUP($C115,'Premade Flavors'!$A:$A,'Premade Flavors'!P:P),_xlfn.XLOOKUP("How Much Of The First Sweetner? ",[1]Sheet1!$1:$1,[1]Sheet1!115:115))</f>
        <v>0</v>
      </c>
      <c r="Q115" s="45">
        <f>IF(COUNTIF('Premade Flavors'!$A:$A, $C115) &gt; 0,_xlfn.XLOOKUP($C115,'Premade Flavors'!$A:$A,'Premade Flavors'!Q:Q),[2]Sheet1!S115)</f>
        <v>0</v>
      </c>
      <c r="R115" s="30">
        <f>(_xlfn.XLOOKUP($L115,Specs!A:A,Specs!B:B,0)-(IF(_xlfn.XLOOKUP($F115,'Liquid Mix In Nutrition'!A:A,'Liquid Mix In Nutrition'!J:J,0)="Yes",0,$T115))-(IF(_xlfn.XLOOKUP($G115,'Liquid Mix In Nutrition'!A:A,'Liquid Mix In Nutrition'!J:J,0)="Yes",0,$U115))-(($V115/MAX(1,_xlfn.XLOOKUP($H115,'Solid Mix In Nutrition'!A:A,'Solid Mix In Nutrition'!I:I,1)))*240)-(($W115/MAX(1,_xlfn.XLOOKUP($I115,'Solid Mix In Nutrition'!A:A,'Solid Mix In Nutrition'!I:I,1)))*240))*0.66</f>
        <v>0</v>
      </c>
      <c r="S115" s="30">
        <f>(_xlfn.XLOOKUP($L115,Specs!A:A,Specs!B:B,0)-(IF(_xlfn.XLOOKUP($F115,'Liquid Mix In Nutrition'!A:A,'Liquid Mix In Nutrition'!J:J,0)="Yes",0,$T115))-(IF(_xlfn.XLOOKUP($G115,'Liquid Mix In Nutrition'!A:A,'Liquid Mix In Nutrition'!J:J,0)="Yes",0,$U115))-(($V115/MAX(1,_xlfn.XLOOKUP($H115,'Solid Mix In Nutrition'!A:A,'Solid Mix In Nutrition'!I:I,1)))*240)-(($W115/MAX(1,_xlfn.XLOOKUP($I115,'Solid Mix In Nutrition'!A:A,'Solid Mix In Nutrition'!I:I,1)))*240))*0.33</f>
        <v>0</v>
      </c>
      <c r="T115" s="30">
        <f>_xlfn.XLOOKUP($M115,Specs!$D:$D,Specs!$E:$E,0)*15*_xlfn.XLOOKUP($L115,Specs!$A:$A,Specs!$C:$C,0)</f>
        <v>0</v>
      </c>
      <c r="U115" s="30">
        <f>_xlfn.XLOOKUP($N115,Specs!$D:$D,Specs!$E:$E,0)*15*_xlfn.XLOOKUP($L115,Specs!$A:$A,Specs!$C:$C,0)</f>
        <v>0</v>
      </c>
      <c r="V115" s="30">
        <f>( ((_xlfn.XLOOKUP($O115,Specs!$H:$H,Specs!$I:$I,0)*_xlfn.XLOOKUP($L115,Specs!$A:$A,Specs!$B:$B,0))/240) *_xlfn.XLOOKUP($H115,'Solid Mix In Nutrition'!A:A,'Solid Mix In Nutrition'!I:I,0)) *IF(AND(NOT($I115=0), COUNTA($I115)),0.5,1)</f>
        <v>0</v>
      </c>
      <c r="W115" s="30">
        <f>( ((_xlfn.XLOOKUP($O115,Specs!$H:$H,Specs!$I:$I,0)*_xlfn.XLOOKUP($L115,Specs!$A:$A,Specs!$B:$B,0))/240) *_xlfn.XLOOKUP($I115,'Solid Mix In Nutrition'!A:A,'Solid Mix In Nutrition'!I:I,0)) *IF(AND(NOT($I115=0), COUNTA($I115)),0.5,0)</f>
        <v>0</v>
      </c>
      <c r="X115" s="30">
        <f>_xlfn.XLOOKUP($P115,Specs!F:F,Specs!G:G,0)*_xlfn.XLOOKUP($J115,'Sweetener Mix In Nutrition'!A:A,'Sweetener Mix In Nutrition'!I:I,0)*_xlfn.XLOOKUP($L115,Specs!A:A,Specs!C:C,0)</f>
        <v>0</v>
      </c>
      <c r="Y115" s="30">
        <f>_xlfn.XLOOKUP($Q115,Specs!F:F,Specs!G:G,0)*_xlfn.XLOOKUP($K115,'Sweetener Mix In Nutrition'!A:A,'Sweetener Mix In Nutrition'!I:I,0)*_xlfn.XLOOKUP($L115,Specs!A:A,Specs!C:C,0)</f>
        <v>0</v>
      </c>
      <c r="Z115" s="34">
        <f t="shared" si="4"/>
        <v>0</v>
      </c>
      <c r="AA115" s="35">
        <f t="shared" si="5"/>
        <v>0</v>
      </c>
      <c r="AB115" s="36">
        <f>(($R115 / 240) * _xlfn.XLOOKUP($D115,'Milk Types Nutrition Per Cup'!A:A,'Milk Types Nutrition Per Cup'!B:B,0)) +(($S115 / 240)  * _xlfn.XLOOKUP($E115,'Milk Types Nutrition Per Cup'!A:A,'Milk Types Nutrition Per Cup'!B:B,0)) +(($T115 / 15)  * _xlfn.XLOOKUP($F115,'Liquid Mix In Nutrition'!A:A,'Liquid Mix In Nutrition'!B:B,0))+(($U115 / 15)  * _xlfn.XLOOKUP($G115,'Liquid Mix In Nutrition'!A:A,'Liquid Mix In Nutrition'!B:B,0))+(($V115 /MAX(1, _xlfn.XLOOKUP($H115,'Solid Mix In Nutrition'!A:A,'Solid Mix In Nutrition'!I:I,1)))  * _xlfn.XLOOKUP($H115,'Solid Mix In Nutrition'!A:A,'Solid Mix In Nutrition'!B:B,0))+(($W115 / MAX(1, _xlfn.XLOOKUP($I115,'Solid Mix In Nutrition'!A:A,'Solid Mix In Nutrition'!I:I,1))))+(($X115 / 100)  * _xlfn.XLOOKUP($J115,'Sweetener Mix In Nutrition'!A:A,'Sweetener Mix In Nutrition'!B:B,0))+(($Y115 / 100)  * _xlfn.XLOOKUP($K115,'Sweetener Mix In Nutrition'!A:A,'Sweetener Mix In Nutrition'!B:B,0))</f>
        <v>0</v>
      </c>
      <c r="AC115" s="36">
        <f>(($R115 / 240) * _xlfn.XLOOKUP($D115,'Milk Types Nutrition Per Cup'!A:A,'Milk Types Nutrition Per Cup'!E:E,0)) +(($S115 / 240)  * _xlfn.XLOOKUP($E115,'Milk Types Nutrition Per Cup'!A:A,'Milk Types Nutrition Per Cup'!E:E,0)) +(($T115 / 15)  * _xlfn.XLOOKUP($F115,'Liquid Mix In Nutrition'!A:A,'Liquid Mix In Nutrition'!E:E,0)) +(($U115 / 15)  * _xlfn.XLOOKUP($G115,'Liquid Mix In Nutrition'!A:A,'Liquid Mix In Nutrition'!E:E,0))+(($V115 / MAX(1, _xlfn.XLOOKUP($H115,'Solid Mix In Nutrition'!A:A,'Solid Mix In Nutrition'!I:I,1)))  * _xlfn.XLOOKUP($H115,'Solid Mix In Nutrition'!A:A,'Solid Mix In Nutrition'!E:E,0))+(($W115 / MAX(1, _xlfn.XLOOKUP($I115,'Solid Mix In Nutrition'!A:A,'Solid Mix In Nutrition'!I:I,1)))  * _xlfn.XLOOKUP($I115,'Solid Mix In Nutrition'!A:A,'Solid Mix In Nutrition'!G:G,0))+(($X115 / 100)  * _xlfn.XLOOKUP($J115,'Sweetener Mix In Nutrition'!A:A,'Sweetener Mix In Nutrition'!E:E,0))+(($Y115 / 100)  * _xlfn.XLOOKUP($K115,'Sweetener Mix In Nutrition'!A:A,'Sweetener Mix In Nutrition'!E:E,0))</f>
        <v>0</v>
      </c>
      <c r="AD115" s="36">
        <f>(($R115 / 240) * _xlfn.XLOOKUP($D115,'Milk Types Nutrition Per Cup'!A:A,'Milk Types Nutrition Per Cup'!E:E,0)) +(($S115 / 240)  * _xlfn.XLOOKUP($E115,'Milk Types Nutrition Per Cup'!A:A,'Milk Types Nutrition Per Cup'!E:E,0)) +(($T115 / 15)  * _xlfn.XLOOKUP($F115,'Liquid Mix In Nutrition'!A:A,'Liquid Mix In Nutrition'!E:E,0)) +(($U115 / 15)  * _xlfn.XLOOKUP($G115,'Liquid Mix In Nutrition'!A:A,'Liquid Mix In Nutrition'!E:E,0))+(($X115 / 100)  * _xlfn.XLOOKUP($J115,'Sweetener Mix In Nutrition'!A:A,'Sweetener Mix In Nutrition'!E:E,0))+(($Y115 / 100)  * _xlfn.XLOOKUP($K115,'Sweetener Mix In Nutrition'!A:A,'Sweetener Mix In Nutrition'!E:E,0))</f>
        <v>0</v>
      </c>
      <c r="AE115" s="37">
        <f>(($R115 / 240) * _xlfn.XLOOKUP($D115,'Milk Types Nutrition Per Cup'!A:A,'Milk Types Nutrition Per Cup'!C:C,0)) +(($S115 / 240)  * _xlfn.XLOOKUP($E115,'Milk Types Nutrition Per Cup'!A:A,'Milk Types Nutrition Per Cup'!C:C,0)) +(($T115 / 15)  * _xlfn.XLOOKUP($F115,'Liquid Mix In Nutrition'!A:A,'Liquid Mix In Nutrition'!C:C,0))+(($U115 / 15)  * _xlfn.XLOOKUP($G115,'Liquid Mix In Nutrition'!A:A,'Liquid Mix In Nutrition'!C:C,0))+(($V115 / MAX(1, _xlfn.XLOOKUP($H115,'Solid Mix In Nutrition'!A:A,'Solid Mix In Nutrition'!I:I,1)))  * _xlfn.XLOOKUP($H115,'Solid Mix In Nutrition'!A:A,'Solid Mix In Nutrition'!C:C,0))+(($W115 / MAX(1, _xlfn.XLOOKUP($I115,'Solid Mix In Nutrition'!A:A,'Solid Mix In Nutrition'!I:I,1)))  * _xlfn.XLOOKUP($I115,'Solid Mix In Nutrition'!A:A,'Solid Mix In Nutrition'!C:C,0))+(($X115 / 100)  * _xlfn.XLOOKUP($J115,'Sweetener Mix In Nutrition'!A:A,'Sweetener Mix In Nutrition'!C:C,0))+(($Y115 / 100)  * _xlfn.XLOOKUP($K115,'Sweetener Mix In Nutrition'!A:A,'Sweetener Mix In Nutrition'!C:C,0))</f>
        <v>0</v>
      </c>
      <c r="AF115" s="38" t="e">
        <f>$AE115 / (_xlfn.XLOOKUP($L115,Specs!A:A,Specs!B:B,0))</f>
        <v>#DIV/0!</v>
      </c>
      <c r="AG115" s="37" t="e">
        <f>60* ($AB115 / _xlfn.XLOOKUP($L115,Specs!A:A,Specs!B:B,0))</f>
        <v>#DIV/0!</v>
      </c>
      <c r="AH115" s="37" t="e">
        <f>60* (AC115 / _xlfn.XLOOKUP($L115,Specs!$A:$A,Specs!$B:$B,0))</f>
        <v>#DIV/0!</v>
      </c>
      <c r="AI115" s="37" t="e">
        <f>60* (AE115 / _xlfn.XLOOKUP($L115,Specs!$A:$A,Specs!$B:$B,0))</f>
        <v>#DIV/0!</v>
      </c>
      <c r="AJ115" s="39">
        <f>(($R115 / 240) * _xlfn.XLOOKUP($D115,'Milk Types Nutrition Per Cup'!A:A,'Milk Types Nutrition Per Cup'!F:F,0)) +(($S115 / 240)  * _xlfn.XLOOKUP($E115,'Milk Types Nutrition Per Cup'!A:A,'Milk Types Nutrition Per Cup'!F:F,0)) +(($T115 / 15)  * _xlfn.XLOOKUP($F115,'Liquid Mix In Nutrition'!A:A,'Liquid Mix In Nutrition'!F:F,0))+(($U115 / 15)  * _xlfn.XLOOKUP($G115,'Liquid Mix In Nutrition'!A:A,'Liquid Mix In Nutrition'!F:F,0))+(($V115 / MAX(1, _xlfn.XLOOKUP($H115,'Solid Mix In Nutrition'!A:A,'Solid Mix In Nutrition'!I:I,1)))  * _xlfn.XLOOKUP($H115,'Solid Mix In Nutrition'!A:A,'Solid Mix In Nutrition'!F:F,0))+(($W115 / MAX(1, _xlfn.XLOOKUP($I115,'Solid Mix In Nutrition'!A:A,'Solid Mix In Nutrition'!I:I,1)))  * _xlfn.XLOOKUP($I115,'Solid Mix In Nutrition'!A:A,'Solid Mix In Nutrition'!F:F,0))+(($X115 / 100)  * _xlfn.XLOOKUP($J115,'Sweetener Mix In Nutrition'!A:A,'Sweetener Mix In Nutrition'!F:F,0))+(($Y115 / 100)  * _xlfn.XLOOKUP($K115,'Sweetener Mix In Nutrition'!A:A,'Sweetener Mix In Nutrition'!F:F,0))</f>
        <v>0</v>
      </c>
      <c r="AK115" s="46">
        <f>[2]Sheet1!AG115</f>
        <v>0</v>
      </c>
      <c r="AL115" s="47"/>
      <c r="AM115" s="40">
        <f>IF(ISERROR(((AL115/Specs!$L$3)*Specs!$L$2)*2),0,ROUNDUP((((AL115/Specs!$L$3)*Specs!$L$2)*2),0))</f>
        <v>0</v>
      </c>
      <c r="AN115" s="48">
        <f>ROUNDUP(((AJ115+Specs!$R$2+Specs!$S$2+_xlfn.XLOOKUP($L115,Specs!A:A,Specs!V:V,0))*Specs!$N$2)+AM115,0)</f>
        <v>1</v>
      </c>
      <c r="AO115" s="40">
        <f>ROUNDUP(((AJ115+Specs!$R$2+Specs!$S$2+_xlfn.XLOOKUP($L115,Specs!A:A,Specs!V:V,0))*Specs!$N$2),0)</f>
        <v>1</v>
      </c>
      <c r="AP115" s="30"/>
    </row>
    <row r="116" spans="1:42" x14ac:dyDescent="0.25">
      <c r="A116" s="41" t="str">
        <f>_xlfn.CONCAT(_xlfn.XLOOKUP("What's Your Name?",[1]Sheet1!$1:$1,[1]Sheet1!116:116)," | ",TEXT(_xlfn.XLOOKUP("Completion time",[1]Sheet1!$1:$1,[1]Sheet1!116:116),"dddd, mmm dd, yyyy hh:mm AM/PM"))</f>
        <v xml:space="preserve"> | Saturday, Jan 00, 1900 12:00 AM</v>
      </c>
      <c r="B116" s="76">
        <f>_xlfn.XLOOKUP("What's Your Email Address?",[1]Sheet1!$1:$1,[1]Sheet1!116:116)</f>
        <v>0</v>
      </c>
      <c r="C116" s="31">
        <f>IF(ISBLANK(_xlfn.XLOOKUP("Which Flavor? (Pint Price | Quart Price | Half Gallon Price) (NOTE: Prices may fluctuate based on market conditions)",[1]Sheet1!$1:$1,[1]Sheet1!116:116)),_xlfn.XLOOKUP("Name Your Ice Cream!",[1]Sheet1!$1:$1,[1]Sheet1!116:116),IF(ISNUMBER(FIND("(", _xlfn.XLOOKUP("Which Flavor? (Pint Price | Quart Price | Half Gallon Price) (NOTE: Prices may fluctuate based on market conditions)",[1]Sheet1!$1:$1,[1]Sheet1!116:116))), LEFT(_xlfn.XLOOKUP("Which Flavor? (Pint Price | Quart Price | Half Gallon Price) (NOTE: Prices may fluctuate based on market conditions)",[1]Sheet1!$1:$1,[1]Sheet1!116:116), FIND("(", _xlfn.XLOOKUP("Which Flavor? (Pint Price | Quart Price | Half Gallon Price) (NOTE: Prices may fluctuate based on market conditions)",[1]Sheet1!$1:$1,[1]Sheet1!116:116)) - 1), _xlfn.XLOOKUP("Which Flavor? (Pint Price | Quart Price | Half Gallon Price) (NOTE: Prices may fluctuate based on market conditions)",[1]Sheet1!$1:$1,[1]Sheet1!116:116)))</f>
        <v>0</v>
      </c>
      <c r="D116" s="31">
        <f>IF(COUNTIF('Premade Flavors'!$A:$A, $C116) &gt; 0,IF(ISBLANK(_xlfn.XLOOKUP("What Ice Cream Base Do You Want To Change It To?",[1]Sheet1!$1:$1,[1]Sheet1!116:116)),_xlfn.XLOOKUP($C116,'Premade Flavors'!$A:$A,'Premade Flavors'!B:B),_xlfn.XLOOKUP("What Ice Cream Base Do You Want To Change It To?",[1]Sheet1!$1:$1,[1]Sheet1!116:116)),_xlfn.XLOOKUP(_xlfn.XLOOKUP("What Kind Of Ice Cream Base Do You Want? ",[1]Sheet1!$1:$1,[1]Sheet1!116:116),'Milk Types Nutrition Per Cup'!O:O,'Milk Types Nutrition Per Cup'!P:P,""))</f>
        <v>0</v>
      </c>
      <c r="E116" s="31">
        <f>IF(COUNTIF('Premade Flavors'!$A:$A, $C116) &gt; 0,IF(ISBLANK(_xlfn.XLOOKUP("What Ice Cream Base Do You Want To Change It To?",[1]Sheet1!$1:$1,[1]Sheet1!116:116)),_xlfn.XLOOKUP($C116,'Premade Flavors'!$A:$A,'Premade Flavors'!C:C),_xlfn.XLOOKUP("What Ice Cream Base Do You Want To Change It To?",[1]Sheet1!$1:$1,[1]Sheet1!116:116)),_xlfn.XLOOKUP(_xlfn.XLOOKUP("What Kind Of Ice Cream Base Do You Want? ",[1]Sheet1!$1:$1,[1]Sheet1!116:116),'Milk Types Nutrition Per Cup'!$O:$O,'Milk Types Nutrition Per Cup'!$Q:$Q,""))</f>
        <v>0</v>
      </c>
      <c r="F116" s="31">
        <f>IF(COUNTIF('Premade Flavors'!$A:$A, $C116) &gt; 0,_xlfn.XLOOKUP($C116,'Premade Flavors'!$A:$A,'Premade Flavors'!E:E),_xlfn.XLOOKUP("What's The First Flavor You Want? ",[1]Sheet1!$1:$1,[1]Sheet1!116:116))</f>
        <v>0</v>
      </c>
      <c r="G116" s="31">
        <f>IF(COUNTIF('Premade Flavors'!$A:$A, $C116) &gt; 0,_xlfn.XLOOKUP($C116,'Premade Flavors'!$A:$A,'Premade Flavors'!F:F),_xlfn.XLOOKUP("What's the Second Flavor You Want?",[1]Sheet1!$1:$1,[1]Sheet1!116:116))</f>
        <v>0</v>
      </c>
      <c r="H116" s="31">
        <f>IF(COUNTIF('Premade Flavors'!$A:$A, $C116) &gt; 0,_xlfn.XLOOKUP($C116,'Premade Flavors'!$A:$A,'Premade Flavors'!G:G),_xlfn.XLOOKUP("What's The First Mix In That You Want? ",[1]Sheet1!$1:$1,[1]Sheet1!116:116))</f>
        <v>0</v>
      </c>
      <c r="I116" s="31">
        <f>IF(COUNTIF('Premade Flavors'!$A:$A, $C114) &gt; 0,_xlfn.XLOOKUP($C114,'Premade Flavors'!$A:$A,'Premade Flavors'!H:H),IF([2]Sheet1!W114= 0,,[2]Sheet1!W114))</f>
        <v>0</v>
      </c>
      <c r="J116" s="31">
        <f>IF(COUNTIF('Premade Flavors'!$A:$A,$C116)&gt;0,IF(_xlfn.XLOOKUP("Should It Use Sugar or A Non-Sugar Sweetner?",[1]Sheet1!$1:$1,[1]Sheet1!116:116)="Sugar",_xlfn.XLOOKUP($C116,'Premade Flavors'!$A:$A,'Premade Flavors'!I:I),"Stevia"),_xlfn.XLOOKUP("What Sweetner Do You Want?",[1]Sheet1!$1:$1,[1]Sheet1!116:116))</f>
        <v>0</v>
      </c>
      <c r="K116" s="31"/>
      <c r="L116" s="77">
        <f>_xlfn.XLOOKUP("How Much Ice Cream Do You Want?",[1]Sheet1!$1:$1,[1]Sheet1!116:116)</f>
        <v>0</v>
      </c>
      <c r="M116" s="45">
        <f>IF(COUNTIF('Premade Flavors'!$A:$A, $C116) &gt; 0,_xlfn.XLOOKUP($C116,'Premade Flavors'!$A:$A,'Premade Flavors'!M:M),_xlfn.XLOOKUP("How Strong Do You Want The First Flavor?",[1]Sheet1!$1:$1,[1]Sheet1!116:116))</f>
        <v>0</v>
      </c>
      <c r="N116" s="45">
        <f>IF(COUNTIF('Premade Flavors'!$A:$A, $C116) &gt; 0,_xlfn.XLOOKUP($C116,'Premade Flavors'!$A:$A,'Premade Flavors'!N:N),_xlfn.XLOOKUP("How Strong Do You Want The Second Flavor?",[1]Sheet1!$1:$1,[1]Sheet1!116:116))</f>
        <v>0</v>
      </c>
      <c r="O116" s="45">
        <f>IF(COUNTIF('Premade Flavors'!$A:$A, $C116) &gt; 0,_xlfn.XLOOKUP($C116,'Premade Flavors'!$A:$A,'Premade Flavors'!O:O),_xlfn.XLOOKUP("How Dense Should the Mix Ins Be?",[1]Sheet1!$1:$1,[1]Sheet1!116:116))</f>
        <v>0</v>
      </c>
      <c r="P116" s="45">
        <f>IF(COUNTIF('Premade Flavors'!$A:$A, $C116) &gt; 0,_xlfn.XLOOKUP($C116,'Premade Flavors'!$A:$A,'Premade Flavors'!P:P),_xlfn.XLOOKUP("How Much Of The First Sweetner? ",[1]Sheet1!$1:$1,[1]Sheet1!116:116))</f>
        <v>0</v>
      </c>
      <c r="Q116" s="45">
        <f>IF(COUNTIF('Premade Flavors'!$A:$A, $C116) &gt; 0,_xlfn.XLOOKUP($C116,'Premade Flavors'!$A:$A,'Premade Flavors'!Q:Q),[2]Sheet1!S116)</f>
        <v>0</v>
      </c>
      <c r="R116" s="30">
        <f>(_xlfn.XLOOKUP($L116,Specs!A:A,Specs!B:B,0)-(IF(_xlfn.XLOOKUP($F116,'Liquid Mix In Nutrition'!A:A,'Liquid Mix In Nutrition'!J:J,0)="Yes",0,$T116))-(IF(_xlfn.XLOOKUP($G116,'Liquid Mix In Nutrition'!A:A,'Liquid Mix In Nutrition'!J:J,0)="Yes",0,$U116))-(($V116/MAX(1,_xlfn.XLOOKUP($H116,'Solid Mix In Nutrition'!A:A,'Solid Mix In Nutrition'!I:I,1)))*240)-(($W116/MAX(1,_xlfn.XLOOKUP($I116,'Solid Mix In Nutrition'!A:A,'Solid Mix In Nutrition'!I:I,1)))*240))*0.66</f>
        <v>0</v>
      </c>
      <c r="S116" s="30">
        <f>(_xlfn.XLOOKUP($L116,Specs!A:A,Specs!B:B,0)-(IF(_xlfn.XLOOKUP($F116,'Liquid Mix In Nutrition'!A:A,'Liquid Mix In Nutrition'!J:J,0)="Yes",0,$T116))-(IF(_xlfn.XLOOKUP($G116,'Liquid Mix In Nutrition'!A:A,'Liquid Mix In Nutrition'!J:J,0)="Yes",0,$U116))-(($V116/MAX(1,_xlfn.XLOOKUP($H116,'Solid Mix In Nutrition'!A:A,'Solid Mix In Nutrition'!I:I,1)))*240)-(($W116/MAX(1,_xlfn.XLOOKUP($I116,'Solid Mix In Nutrition'!A:A,'Solid Mix In Nutrition'!I:I,1)))*240))*0.33</f>
        <v>0</v>
      </c>
      <c r="T116" s="30">
        <f>_xlfn.XLOOKUP($M116,Specs!$D:$D,Specs!$E:$E,0)*15*_xlfn.XLOOKUP($L116,Specs!$A:$A,Specs!$C:$C,0)</f>
        <v>0</v>
      </c>
      <c r="U116" s="30">
        <f>_xlfn.XLOOKUP($N116,Specs!$D:$D,Specs!$E:$E,0)*15*_xlfn.XLOOKUP($L116,Specs!$A:$A,Specs!$C:$C,0)</f>
        <v>0</v>
      </c>
      <c r="V116" s="30">
        <f>( ((_xlfn.XLOOKUP($O116,Specs!$H:$H,Specs!$I:$I,0)*_xlfn.XLOOKUP($L116,Specs!$A:$A,Specs!$B:$B,0))/240) *_xlfn.XLOOKUP($H116,'Solid Mix In Nutrition'!A:A,'Solid Mix In Nutrition'!I:I,0)) *IF(AND(NOT($I116=0), COUNTA($I116)),0.5,1)</f>
        <v>0</v>
      </c>
      <c r="W116" s="30">
        <f>( ((_xlfn.XLOOKUP($O116,Specs!$H:$H,Specs!$I:$I,0)*_xlfn.XLOOKUP($L116,Specs!$A:$A,Specs!$B:$B,0))/240) *_xlfn.XLOOKUP($I116,'Solid Mix In Nutrition'!A:A,'Solid Mix In Nutrition'!I:I,0)) *IF(AND(NOT($I116=0), COUNTA($I116)),0.5,0)</f>
        <v>0</v>
      </c>
      <c r="X116" s="30">
        <f>_xlfn.XLOOKUP($P116,Specs!F:F,Specs!G:G,0)*_xlfn.XLOOKUP($J116,'Sweetener Mix In Nutrition'!A:A,'Sweetener Mix In Nutrition'!I:I,0)*_xlfn.XLOOKUP($L116,Specs!A:A,Specs!C:C,0)</f>
        <v>0</v>
      </c>
      <c r="Y116" s="30">
        <f>_xlfn.XLOOKUP($Q116,Specs!F:F,Specs!G:G,0)*_xlfn.XLOOKUP($K116,'Sweetener Mix In Nutrition'!A:A,'Sweetener Mix In Nutrition'!I:I,0)*_xlfn.XLOOKUP($L116,Specs!A:A,Specs!C:C,0)</f>
        <v>0</v>
      </c>
      <c r="Z116" s="34">
        <f t="shared" si="4"/>
        <v>0</v>
      </c>
      <c r="AA116" s="35">
        <f t="shared" si="5"/>
        <v>0</v>
      </c>
      <c r="AB116" s="36">
        <f>(($R116 / 240) * _xlfn.XLOOKUP($D116,'Milk Types Nutrition Per Cup'!A:A,'Milk Types Nutrition Per Cup'!B:B,0)) +(($S116 / 240)  * _xlfn.XLOOKUP($E116,'Milk Types Nutrition Per Cup'!A:A,'Milk Types Nutrition Per Cup'!B:B,0)) +(($T116 / 15)  * _xlfn.XLOOKUP($F116,'Liquid Mix In Nutrition'!A:A,'Liquid Mix In Nutrition'!B:B,0))+(($U116 / 15)  * _xlfn.XLOOKUP($G116,'Liquid Mix In Nutrition'!A:A,'Liquid Mix In Nutrition'!B:B,0))+(($V116 /MAX(1, _xlfn.XLOOKUP($H116,'Solid Mix In Nutrition'!A:A,'Solid Mix In Nutrition'!I:I,1)))  * _xlfn.XLOOKUP($H116,'Solid Mix In Nutrition'!A:A,'Solid Mix In Nutrition'!B:B,0))+(($W116 / MAX(1, _xlfn.XLOOKUP($I116,'Solid Mix In Nutrition'!A:A,'Solid Mix In Nutrition'!I:I,1))))+(($X116 / 100)  * _xlfn.XLOOKUP($J116,'Sweetener Mix In Nutrition'!A:A,'Sweetener Mix In Nutrition'!B:B,0))+(($Y116 / 100)  * _xlfn.XLOOKUP($K116,'Sweetener Mix In Nutrition'!A:A,'Sweetener Mix In Nutrition'!B:B,0))</f>
        <v>0</v>
      </c>
      <c r="AC116" s="36">
        <f>(($R116 / 240) * _xlfn.XLOOKUP($D116,'Milk Types Nutrition Per Cup'!A:A,'Milk Types Nutrition Per Cup'!E:E,0)) +(($S116 / 240)  * _xlfn.XLOOKUP($E116,'Milk Types Nutrition Per Cup'!A:A,'Milk Types Nutrition Per Cup'!E:E,0)) +(($T116 / 15)  * _xlfn.XLOOKUP($F116,'Liquid Mix In Nutrition'!A:A,'Liquid Mix In Nutrition'!E:E,0)) +(($U116 / 15)  * _xlfn.XLOOKUP($G116,'Liquid Mix In Nutrition'!A:A,'Liquid Mix In Nutrition'!E:E,0))+(($V116 / MAX(1, _xlfn.XLOOKUP($H116,'Solid Mix In Nutrition'!A:A,'Solid Mix In Nutrition'!I:I,1)))  * _xlfn.XLOOKUP($H116,'Solid Mix In Nutrition'!A:A,'Solid Mix In Nutrition'!E:E,0))+(($W116 / MAX(1, _xlfn.XLOOKUP($I116,'Solid Mix In Nutrition'!A:A,'Solid Mix In Nutrition'!I:I,1)))  * _xlfn.XLOOKUP($I116,'Solid Mix In Nutrition'!A:A,'Solid Mix In Nutrition'!G:G,0))+(($X116 / 100)  * _xlfn.XLOOKUP($J116,'Sweetener Mix In Nutrition'!A:A,'Sweetener Mix In Nutrition'!E:E,0))+(($Y116 / 100)  * _xlfn.XLOOKUP($K116,'Sweetener Mix In Nutrition'!A:A,'Sweetener Mix In Nutrition'!E:E,0))</f>
        <v>0</v>
      </c>
      <c r="AD116" s="36">
        <f>(($R116 / 240) * _xlfn.XLOOKUP($D116,'Milk Types Nutrition Per Cup'!A:A,'Milk Types Nutrition Per Cup'!E:E,0)) +(($S116 / 240)  * _xlfn.XLOOKUP($E116,'Milk Types Nutrition Per Cup'!A:A,'Milk Types Nutrition Per Cup'!E:E,0)) +(($T116 / 15)  * _xlfn.XLOOKUP($F116,'Liquid Mix In Nutrition'!A:A,'Liquid Mix In Nutrition'!E:E,0)) +(($U116 / 15)  * _xlfn.XLOOKUP($G116,'Liquid Mix In Nutrition'!A:A,'Liquid Mix In Nutrition'!E:E,0))+(($X116 / 100)  * _xlfn.XLOOKUP($J116,'Sweetener Mix In Nutrition'!A:A,'Sweetener Mix In Nutrition'!E:E,0))+(($Y116 / 100)  * _xlfn.XLOOKUP($K116,'Sweetener Mix In Nutrition'!A:A,'Sweetener Mix In Nutrition'!E:E,0))</f>
        <v>0</v>
      </c>
      <c r="AE116" s="37">
        <f>(($R116 / 240) * _xlfn.XLOOKUP($D116,'Milk Types Nutrition Per Cup'!A:A,'Milk Types Nutrition Per Cup'!C:C,0)) +(($S116 / 240)  * _xlfn.XLOOKUP($E116,'Milk Types Nutrition Per Cup'!A:A,'Milk Types Nutrition Per Cup'!C:C,0)) +(($T116 / 15)  * _xlfn.XLOOKUP($F116,'Liquid Mix In Nutrition'!A:A,'Liquid Mix In Nutrition'!C:C,0))+(($U116 / 15)  * _xlfn.XLOOKUP($G116,'Liquid Mix In Nutrition'!A:A,'Liquid Mix In Nutrition'!C:C,0))+(($V116 / MAX(1, _xlfn.XLOOKUP($H116,'Solid Mix In Nutrition'!A:A,'Solid Mix In Nutrition'!I:I,1)))  * _xlfn.XLOOKUP($H116,'Solid Mix In Nutrition'!A:A,'Solid Mix In Nutrition'!C:C,0))+(($W116 / MAX(1, _xlfn.XLOOKUP($I116,'Solid Mix In Nutrition'!A:A,'Solid Mix In Nutrition'!I:I,1)))  * _xlfn.XLOOKUP($I116,'Solid Mix In Nutrition'!A:A,'Solid Mix In Nutrition'!C:C,0))+(($X116 / 100)  * _xlfn.XLOOKUP($J116,'Sweetener Mix In Nutrition'!A:A,'Sweetener Mix In Nutrition'!C:C,0))+(($Y116 / 100)  * _xlfn.XLOOKUP($K116,'Sweetener Mix In Nutrition'!A:A,'Sweetener Mix In Nutrition'!C:C,0))</f>
        <v>0</v>
      </c>
      <c r="AF116" s="38" t="e">
        <f>$AE116 / (_xlfn.XLOOKUP($L116,Specs!A:A,Specs!B:B,0))</f>
        <v>#DIV/0!</v>
      </c>
      <c r="AG116" s="37" t="e">
        <f>60* ($AB116 / _xlfn.XLOOKUP($L116,Specs!A:A,Specs!B:B,0))</f>
        <v>#DIV/0!</v>
      </c>
      <c r="AH116" s="37" t="e">
        <f>60* (AC116 / _xlfn.XLOOKUP($L116,Specs!$A:$A,Specs!$B:$B,0))</f>
        <v>#DIV/0!</v>
      </c>
      <c r="AI116" s="37" t="e">
        <f>60* (AE116 / _xlfn.XLOOKUP($L116,Specs!$A:$A,Specs!$B:$B,0))</f>
        <v>#DIV/0!</v>
      </c>
      <c r="AJ116" s="39">
        <f>(($R116 / 240) * _xlfn.XLOOKUP($D116,'Milk Types Nutrition Per Cup'!A:A,'Milk Types Nutrition Per Cup'!F:F,0)) +(($S116 / 240)  * _xlfn.XLOOKUP($E116,'Milk Types Nutrition Per Cup'!A:A,'Milk Types Nutrition Per Cup'!F:F,0)) +(($T116 / 15)  * _xlfn.XLOOKUP($F116,'Liquid Mix In Nutrition'!A:A,'Liquid Mix In Nutrition'!F:F,0))+(($U116 / 15)  * _xlfn.XLOOKUP($G116,'Liquid Mix In Nutrition'!A:A,'Liquid Mix In Nutrition'!F:F,0))+(($V116 / MAX(1, _xlfn.XLOOKUP($H116,'Solid Mix In Nutrition'!A:A,'Solid Mix In Nutrition'!I:I,1)))  * _xlfn.XLOOKUP($H116,'Solid Mix In Nutrition'!A:A,'Solid Mix In Nutrition'!F:F,0))+(($W116 / MAX(1, _xlfn.XLOOKUP($I116,'Solid Mix In Nutrition'!A:A,'Solid Mix In Nutrition'!I:I,1)))  * _xlfn.XLOOKUP($I116,'Solid Mix In Nutrition'!A:A,'Solid Mix In Nutrition'!F:F,0))+(($X116 / 100)  * _xlfn.XLOOKUP($J116,'Sweetener Mix In Nutrition'!A:A,'Sweetener Mix In Nutrition'!F:F,0))+(($Y116 / 100)  * _xlfn.XLOOKUP($K116,'Sweetener Mix In Nutrition'!A:A,'Sweetener Mix In Nutrition'!F:F,0))</f>
        <v>0</v>
      </c>
      <c r="AK116" s="46">
        <f>[2]Sheet1!AG116</f>
        <v>0</v>
      </c>
      <c r="AL116" s="47"/>
      <c r="AM116" s="40">
        <f>IF(ISERROR(((AL116/Specs!$L$3)*Specs!$L$2)*2),0,ROUNDUP((((AL116/Specs!$L$3)*Specs!$L$2)*2),0))</f>
        <v>0</v>
      </c>
      <c r="AN116" s="48">
        <f>ROUNDUP(((AJ116+Specs!$R$2+Specs!$S$2+_xlfn.XLOOKUP($L116,Specs!A:A,Specs!V:V,0))*Specs!$N$2)+AM116,0)</f>
        <v>1</v>
      </c>
      <c r="AO116" s="40">
        <f>ROUNDUP(((AJ116+Specs!$R$2+Specs!$S$2+_xlfn.XLOOKUP($L116,Specs!A:A,Specs!V:V,0))*Specs!$N$2),0)</f>
        <v>1</v>
      </c>
      <c r="AP116" s="30"/>
    </row>
    <row r="117" spans="1:42" x14ac:dyDescent="0.25">
      <c r="A117" s="41" t="str">
        <f>_xlfn.CONCAT(_xlfn.XLOOKUP("What's Your Name?",[1]Sheet1!$1:$1,[1]Sheet1!117:117)," | ",TEXT(_xlfn.XLOOKUP("Completion time",[1]Sheet1!$1:$1,[1]Sheet1!117:117),"dddd, mmm dd, yyyy hh:mm AM/PM"))</f>
        <v xml:space="preserve"> | Saturday, Jan 00, 1900 12:00 AM</v>
      </c>
      <c r="B117" s="76">
        <f>_xlfn.XLOOKUP("What's Your Email Address?",[1]Sheet1!$1:$1,[1]Sheet1!117:117)</f>
        <v>0</v>
      </c>
      <c r="C117" s="31">
        <f>IF(ISBLANK(_xlfn.XLOOKUP("Which Flavor? (Pint Price | Quart Price | Half Gallon Price) (NOTE: Prices may fluctuate based on market conditions)",[1]Sheet1!$1:$1,[1]Sheet1!117:117)),_xlfn.XLOOKUP("Name Your Ice Cream!",[1]Sheet1!$1:$1,[1]Sheet1!117:117),IF(ISNUMBER(FIND("(", _xlfn.XLOOKUP("Which Flavor? (Pint Price | Quart Price | Half Gallon Price) (NOTE: Prices may fluctuate based on market conditions)",[1]Sheet1!$1:$1,[1]Sheet1!117:117))), LEFT(_xlfn.XLOOKUP("Which Flavor? (Pint Price | Quart Price | Half Gallon Price) (NOTE: Prices may fluctuate based on market conditions)",[1]Sheet1!$1:$1,[1]Sheet1!117:117), FIND("(", _xlfn.XLOOKUP("Which Flavor? (Pint Price | Quart Price | Half Gallon Price) (NOTE: Prices may fluctuate based on market conditions)",[1]Sheet1!$1:$1,[1]Sheet1!117:117)) - 1), _xlfn.XLOOKUP("Which Flavor? (Pint Price | Quart Price | Half Gallon Price) (NOTE: Prices may fluctuate based on market conditions)",[1]Sheet1!$1:$1,[1]Sheet1!117:117)))</f>
        <v>0</v>
      </c>
      <c r="D117" s="31">
        <f>IF(COUNTIF('Premade Flavors'!$A:$A, $C117) &gt; 0,IF(ISBLANK(_xlfn.XLOOKUP("What Ice Cream Base Do You Want To Change It To?",[1]Sheet1!$1:$1,[1]Sheet1!117:117)),_xlfn.XLOOKUP($C117,'Premade Flavors'!$A:$A,'Premade Flavors'!B:B),_xlfn.XLOOKUP("What Ice Cream Base Do You Want To Change It To?",[1]Sheet1!$1:$1,[1]Sheet1!117:117)),_xlfn.XLOOKUP(_xlfn.XLOOKUP("What Kind Of Ice Cream Base Do You Want? ",[1]Sheet1!$1:$1,[1]Sheet1!117:117),'Milk Types Nutrition Per Cup'!O:O,'Milk Types Nutrition Per Cup'!P:P,""))</f>
        <v>0</v>
      </c>
      <c r="E117" s="31">
        <f>IF(COUNTIF('Premade Flavors'!$A:$A, $C117) &gt; 0,IF(ISBLANK(_xlfn.XLOOKUP("What Ice Cream Base Do You Want To Change It To?",[1]Sheet1!$1:$1,[1]Sheet1!117:117)),_xlfn.XLOOKUP($C117,'Premade Flavors'!$A:$A,'Premade Flavors'!C:C),_xlfn.XLOOKUP("What Ice Cream Base Do You Want To Change It To?",[1]Sheet1!$1:$1,[1]Sheet1!117:117)),_xlfn.XLOOKUP(_xlfn.XLOOKUP("What Kind Of Ice Cream Base Do You Want? ",[1]Sheet1!$1:$1,[1]Sheet1!117:117),'Milk Types Nutrition Per Cup'!$O:$O,'Milk Types Nutrition Per Cup'!$Q:$Q,""))</f>
        <v>0</v>
      </c>
      <c r="F117" s="31">
        <f>IF(COUNTIF('Premade Flavors'!$A:$A, $C117) &gt; 0,_xlfn.XLOOKUP($C117,'Premade Flavors'!$A:$A,'Premade Flavors'!E:E),_xlfn.XLOOKUP("What's The First Flavor You Want? ",[1]Sheet1!$1:$1,[1]Sheet1!117:117))</f>
        <v>0</v>
      </c>
      <c r="G117" s="31">
        <f>IF(COUNTIF('Premade Flavors'!$A:$A, $C117) &gt; 0,_xlfn.XLOOKUP($C117,'Premade Flavors'!$A:$A,'Premade Flavors'!F:F),_xlfn.XLOOKUP("What's the Second Flavor You Want?",[1]Sheet1!$1:$1,[1]Sheet1!117:117))</f>
        <v>0</v>
      </c>
      <c r="H117" s="31">
        <f>IF(COUNTIF('Premade Flavors'!$A:$A, $C117) &gt; 0,_xlfn.XLOOKUP($C117,'Premade Flavors'!$A:$A,'Premade Flavors'!G:G),_xlfn.XLOOKUP("What's The First Mix In That You Want? ",[1]Sheet1!$1:$1,[1]Sheet1!117:117))</f>
        <v>0</v>
      </c>
      <c r="I117" s="31">
        <f>IF(COUNTIF('Premade Flavors'!$A:$A, $C115) &gt; 0,_xlfn.XLOOKUP($C115,'Premade Flavors'!$A:$A,'Premade Flavors'!H:H),IF([2]Sheet1!W115= 0,,[2]Sheet1!W115))</f>
        <v>0</v>
      </c>
      <c r="J117" s="31">
        <f>IF(COUNTIF('Premade Flavors'!$A:$A,$C117)&gt;0,IF(_xlfn.XLOOKUP("Should It Use Sugar or A Non-Sugar Sweetner?",[1]Sheet1!$1:$1,[1]Sheet1!117:117)="Sugar",_xlfn.XLOOKUP($C117,'Premade Flavors'!$A:$A,'Premade Flavors'!I:I),"Stevia"),_xlfn.XLOOKUP("What Sweetner Do You Want?",[1]Sheet1!$1:$1,[1]Sheet1!117:117))</f>
        <v>0</v>
      </c>
      <c r="K117" s="31"/>
      <c r="L117" s="77">
        <f>_xlfn.XLOOKUP("How Much Ice Cream Do You Want?",[1]Sheet1!$1:$1,[1]Sheet1!117:117)</f>
        <v>0</v>
      </c>
      <c r="M117" s="45">
        <f>IF(COUNTIF('Premade Flavors'!$A:$A, $C117) &gt; 0,_xlfn.XLOOKUP($C117,'Premade Flavors'!$A:$A,'Premade Flavors'!M:M),_xlfn.XLOOKUP("How Strong Do You Want The First Flavor?",[1]Sheet1!$1:$1,[1]Sheet1!117:117))</f>
        <v>0</v>
      </c>
      <c r="N117" s="45">
        <f>IF(COUNTIF('Premade Flavors'!$A:$A, $C117) &gt; 0,_xlfn.XLOOKUP($C117,'Premade Flavors'!$A:$A,'Premade Flavors'!N:N),_xlfn.XLOOKUP("How Strong Do You Want The Second Flavor?",[1]Sheet1!$1:$1,[1]Sheet1!117:117))</f>
        <v>0</v>
      </c>
      <c r="O117" s="45">
        <f>IF(COUNTIF('Premade Flavors'!$A:$A, $C117) &gt; 0,_xlfn.XLOOKUP($C117,'Premade Flavors'!$A:$A,'Premade Flavors'!O:O),_xlfn.XLOOKUP("How Dense Should the Mix Ins Be?",[1]Sheet1!$1:$1,[1]Sheet1!117:117))</f>
        <v>0</v>
      </c>
      <c r="P117" s="45">
        <f>IF(COUNTIF('Premade Flavors'!$A:$A, $C117) &gt; 0,_xlfn.XLOOKUP($C117,'Premade Flavors'!$A:$A,'Premade Flavors'!P:P),_xlfn.XLOOKUP("How Much Of The First Sweetner? ",[1]Sheet1!$1:$1,[1]Sheet1!117:117))</f>
        <v>0</v>
      </c>
      <c r="Q117" s="45">
        <f>IF(COUNTIF('Premade Flavors'!$A:$A, $C117) &gt; 0,_xlfn.XLOOKUP($C117,'Premade Flavors'!$A:$A,'Premade Flavors'!Q:Q),[2]Sheet1!S117)</f>
        <v>0</v>
      </c>
      <c r="R117" s="30">
        <f>(_xlfn.XLOOKUP($L117,Specs!A:A,Specs!B:B,0)-(IF(_xlfn.XLOOKUP($F117,'Liquid Mix In Nutrition'!A:A,'Liquid Mix In Nutrition'!J:J,0)="Yes",0,$T117))-(IF(_xlfn.XLOOKUP($G117,'Liquid Mix In Nutrition'!A:A,'Liquid Mix In Nutrition'!J:J,0)="Yes",0,$U117))-(($V117/MAX(1,_xlfn.XLOOKUP($H117,'Solid Mix In Nutrition'!A:A,'Solid Mix In Nutrition'!I:I,1)))*240)-(($W117/MAX(1,_xlfn.XLOOKUP($I117,'Solid Mix In Nutrition'!A:A,'Solid Mix In Nutrition'!I:I,1)))*240))*0.66</f>
        <v>0</v>
      </c>
      <c r="S117" s="30">
        <f>(_xlfn.XLOOKUP($L117,Specs!A:A,Specs!B:B,0)-(IF(_xlfn.XLOOKUP($F117,'Liquid Mix In Nutrition'!A:A,'Liquid Mix In Nutrition'!J:J,0)="Yes",0,$T117))-(IF(_xlfn.XLOOKUP($G117,'Liquid Mix In Nutrition'!A:A,'Liquid Mix In Nutrition'!J:J,0)="Yes",0,$U117))-(($V117/MAX(1,_xlfn.XLOOKUP($H117,'Solid Mix In Nutrition'!A:A,'Solid Mix In Nutrition'!I:I,1)))*240)-(($W117/MAX(1,_xlfn.XLOOKUP($I117,'Solid Mix In Nutrition'!A:A,'Solid Mix In Nutrition'!I:I,1)))*240))*0.33</f>
        <v>0</v>
      </c>
      <c r="T117" s="30">
        <f>_xlfn.XLOOKUP($M117,Specs!$D:$D,Specs!$E:$E,0)*15*_xlfn.XLOOKUP($L117,Specs!$A:$A,Specs!$C:$C,0)</f>
        <v>0</v>
      </c>
      <c r="U117" s="30">
        <f>_xlfn.XLOOKUP($N117,Specs!$D:$D,Specs!$E:$E,0)*15*_xlfn.XLOOKUP($L117,Specs!$A:$A,Specs!$C:$C,0)</f>
        <v>0</v>
      </c>
      <c r="V117" s="30">
        <f>( ((_xlfn.XLOOKUP($O117,Specs!$H:$H,Specs!$I:$I,0)*_xlfn.XLOOKUP($L117,Specs!$A:$A,Specs!$B:$B,0))/240) *_xlfn.XLOOKUP($H117,'Solid Mix In Nutrition'!A:A,'Solid Mix In Nutrition'!I:I,0)) *IF(AND(NOT($I117=0), COUNTA($I117)),0.5,1)</f>
        <v>0</v>
      </c>
      <c r="W117" s="30">
        <f>( ((_xlfn.XLOOKUP($O117,Specs!$H:$H,Specs!$I:$I,0)*_xlfn.XLOOKUP($L117,Specs!$A:$A,Specs!$B:$B,0))/240) *_xlfn.XLOOKUP($I117,'Solid Mix In Nutrition'!A:A,'Solid Mix In Nutrition'!I:I,0)) *IF(AND(NOT($I117=0), COUNTA($I117)),0.5,0)</f>
        <v>0</v>
      </c>
      <c r="X117" s="30">
        <f>_xlfn.XLOOKUP($P117,Specs!F:F,Specs!G:G,0)*_xlfn.XLOOKUP($J117,'Sweetener Mix In Nutrition'!A:A,'Sweetener Mix In Nutrition'!I:I,0)*_xlfn.XLOOKUP($L117,Specs!A:A,Specs!C:C,0)</f>
        <v>0</v>
      </c>
      <c r="Y117" s="30">
        <f>_xlfn.XLOOKUP($Q117,Specs!F:F,Specs!G:G,0)*_xlfn.XLOOKUP($K117,'Sweetener Mix In Nutrition'!A:A,'Sweetener Mix In Nutrition'!I:I,0)*_xlfn.XLOOKUP($L117,Specs!A:A,Specs!C:C,0)</f>
        <v>0</v>
      </c>
      <c r="Z117" s="34">
        <f t="shared" si="4"/>
        <v>0</v>
      </c>
      <c r="AA117" s="35">
        <f t="shared" si="5"/>
        <v>0</v>
      </c>
      <c r="AB117" s="36">
        <f>(($R117 / 240) * _xlfn.XLOOKUP($D117,'Milk Types Nutrition Per Cup'!A:A,'Milk Types Nutrition Per Cup'!B:B,0)) +(($S117 / 240)  * _xlfn.XLOOKUP($E117,'Milk Types Nutrition Per Cup'!A:A,'Milk Types Nutrition Per Cup'!B:B,0)) +(($T117 / 15)  * _xlfn.XLOOKUP($F117,'Liquid Mix In Nutrition'!A:A,'Liquid Mix In Nutrition'!B:B,0))+(($U117 / 15)  * _xlfn.XLOOKUP($G117,'Liquid Mix In Nutrition'!A:A,'Liquid Mix In Nutrition'!B:B,0))+(($V117 /MAX(1, _xlfn.XLOOKUP($H117,'Solid Mix In Nutrition'!A:A,'Solid Mix In Nutrition'!I:I,1)))  * _xlfn.XLOOKUP($H117,'Solid Mix In Nutrition'!A:A,'Solid Mix In Nutrition'!B:B,0))+(($W117 / MAX(1, _xlfn.XLOOKUP($I117,'Solid Mix In Nutrition'!A:A,'Solid Mix In Nutrition'!I:I,1))))+(($X117 / 100)  * _xlfn.XLOOKUP($J117,'Sweetener Mix In Nutrition'!A:A,'Sweetener Mix In Nutrition'!B:B,0))+(($Y117 / 100)  * _xlfn.XLOOKUP($K117,'Sweetener Mix In Nutrition'!A:A,'Sweetener Mix In Nutrition'!B:B,0))</f>
        <v>0</v>
      </c>
      <c r="AC117" s="36">
        <f>(($R117 / 240) * _xlfn.XLOOKUP($D117,'Milk Types Nutrition Per Cup'!A:A,'Milk Types Nutrition Per Cup'!E:E,0)) +(($S117 / 240)  * _xlfn.XLOOKUP($E117,'Milk Types Nutrition Per Cup'!A:A,'Milk Types Nutrition Per Cup'!E:E,0)) +(($T117 / 15)  * _xlfn.XLOOKUP($F117,'Liquid Mix In Nutrition'!A:A,'Liquid Mix In Nutrition'!E:E,0)) +(($U117 / 15)  * _xlfn.XLOOKUP($G117,'Liquid Mix In Nutrition'!A:A,'Liquid Mix In Nutrition'!E:E,0))+(($V117 / MAX(1, _xlfn.XLOOKUP($H117,'Solid Mix In Nutrition'!A:A,'Solid Mix In Nutrition'!I:I,1)))  * _xlfn.XLOOKUP($H117,'Solid Mix In Nutrition'!A:A,'Solid Mix In Nutrition'!E:E,0))+(($W117 / MAX(1, _xlfn.XLOOKUP($I117,'Solid Mix In Nutrition'!A:A,'Solid Mix In Nutrition'!I:I,1)))  * _xlfn.XLOOKUP($I117,'Solid Mix In Nutrition'!A:A,'Solid Mix In Nutrition'!G:G,0))+(($X117 / 100)  * _xlfn.XLOOKUP($J117,'Sweetener Mix In Nutrition'!A:A,'Sweetener Mix In Nutrition'!E:E,0))+(($Y117 / 100)  * _xlfn.XLOOKUP($K117,'Sweetener Mix In Nutrition'!A:A,'Sweetener Mix In Nutrition'!E:E,0))</f>
        <v>0</v>
      </c>
      <c r="AD117" s="36">
        <f>(($R117 / 240) * _xlfn.XLOOKUP($D117,'Milk Types Nutrition Per Cup'!A:A,'Milk Types Nutrition Per Cup'!E:E,0)) +(($S117 / 240)  * _xlfn.XLOOKUP($E117,'Milk Types Nutrition Per Cup'!A:A,'Milk Types Nutrition Per Cup'!E:E,0)) +(($T117 / 15)  * _xlfn.XLOOKUP($F117,'Liquid Mix In Nutrition'!A:A,'Liquid Mix In Nutrition'!E:E,0)) +(($U117 / 15)  * _xlfn.XLOOKUP($G117,'Liquid Mix In Nutrition'!A:A,'Liquid Mix In Nutrition'!E:E,0))+(($X117 / 100)  * _xlfn.XLOOKUP($J117,'Sweetener Mix In Nutrition'!A:A,'Sweetener Mix In Nutrition'!E:E,0))+(($Y117 / 100)  * _xlfn.XLOOKUP($K117,'Sweetener Mix In Nutrition'!A:A,'Sweetener Mix In Nutrition'!E:E,0))</f>
        <v>0</v>
      </c>
      <c r="AE117" s="37">
        <f>(($R117 / 240) * _xlfn.XLOOKUP($D117,'Milk Types Nutrition Per Cup'!A:A,'Milk Types Nutrition Per Cup'!C:C,0)) +(($S117 / 240)  * _xlfn.XLOOKUP($E117,'Milk Types Nutrition Per Cup'!A:A,'Milk Types Nutrition Per Cup'!C:C,0)) +(($T117 / 15)  * _xlfn.XLOOKUP($F117,'Liquid Mix In Nutrition'!A:A,'Liquid Mix In Nutrition'!C:C,0))+(($U117 / 15)  * _xlfn.XLOOKUP($G117,'Liquid Mix In Nutrition'!A:A,'Liquid Mix In Nutrition'!C:C,0))+(($V117 / MAX(1, _xlfn.XLOOKUP($H117,'Solid Mix In Nutrition'!A:A,'Solid Mix In Nutrition'!I:I,1)))  * _xlfn.XLOOKUP($H117,'Solid Mix In Nutrition'!A:A,'Solid Mix In Nutrition'!C:C,0))+(($W117 / MAX(1, _xlfn.XLOOKUP($I117,'Solid Mix In Nutrition'!A:A,'Solid Mix In Nutrition'!I:I,1)))  * _xlfn.XLOOKUP($I117,'Solid Mix In Nutrition'!A:A,'Solid Mix In Nutrition'!C:C,0))+(($X117 / 100)  * _xlfn.XLOOKUP($J117,'Sweetener Mix In Nutrition'!A:A,'Sweetener Mix In Nutrition'!C:C,0))+(($Y117 / 100)  * _xlfn.XLOOKUP($K117,'Sweetener Mix In Nutrition'!A:A,'Sweetener Mix In Nutrition'!C:C,0))</f>
        <v>0</v>
      </c>
      <c r="AF117" s="38" t="e">
        <f>$AE117 / (_xlfn.XLOOKUP($L117,Specs!A:A,Specs!B:B,0))</f>
        <v>#DIV/0!</v>
      </c>
      <c r="AG117" s="37" t="e">
        <f>60* ($AB117 / _xlfn.XLOOKUP($L117,Specs!A:A,Specs!B:B,0))</f>
        <v>#DIV/0!</v>
      </c>
      <c r="AH117" s="37" t="e">
        <f>60* (AC117 / _xlfn.XLOOKUP($L117,Specs!$A:$A,Specs!$B:$B,0))</f>
        <v>#DIV/0!</v>
      </c>
      <c r="AI117" s="37" t="e">
        <f>60* (AE117 / _xlfn.XLOOKUP($L117,Specs!$A:$A,Specs!$B:$B,0))</f>
        <v>#DIV/0!</v>
      </c>
      <c r="AJ117" s="39">
        <f>(($R117 / 240) * _xlfn.XLOOKUP($D117,'Milk Types Nutrition Per Cup'!A:A,'Milk Types Nutrition Per Cup'!F:F,0)) +(($S117 / 240)  * _xlfn.XLOOKUP($E117,'Milk Types Nutrition Per Cup'!A:A,'Milk Types Nutrition Per Cup'!F:F,0)) +(($T117 / 15)  * _xlfn.XLOOKUP($F117,'Liquid Mix In Nutrition'!A:A,'Liquid Mix In Nutrition'!F:F,0))+(($U117 / 15)  * _xlfn.XLOOKUP($G117,'Liquid Mix In Nutrition'!A:A,'Liquid Mix In Nutrition'!F:F,0))+(($V117 / MAX(1, _xlfn.XLOOKUP($H117,'Solid Mix In Nutrition'!A:A,'Solid Mix In Nutrition'!I:I,1)))  * _xlfn.XLOOKUP($H117,'Solid Mix In Nutrition'!A:A,'Solid Mix In Nutrition'!F:F,0))+(($W117 / MAX(1, _xlfn.XLOOKUP($I117,'Solid Mix In Nutrition'!A:A,'Solid Mix In Nutrition'!I:I,1)))  * _xlfn.XLOOKUP($I117,'Solid Mix In Nutrition'!A:A,'Solid Mix In Nutrition'!F:F,0))+(($X117 / 100)  * _xlfn.XLOOKUP($J117,'Sweetener Mix In Nutrition'!A:A,'Sweetener Mix In Nutrition'!F:F,0))+(($Y117 / 100)  * _xlfn.XLOOKUP($K117,'Sweetener Mix In Nutrition'!A:A,'Sweetener Mix In Nutrition'!F:F,0))</f>
        <v>0</v>
      </c>
      <c r="AK117" s="46">
        <f>[2]Sheet1!AG117</f>
        <v>0</v>
      </c>
      <c r="AL117" s="47"/>
      <c r="AM117" s="40">
        <f>IF(ISERROR(((AL117/Specs!$L$3)*Specs!$L$2)*2),0,ROUNDUP((((AL117/Specs!$L$3)*Specs!$L$2)*2),0))</f>
        <v>0</v>
      </c>
      <c r="AN117" s="48">
        <f>ROUNDUP(((AJ117+Specs!$R$2+Specs!$S$2+_xlfn.XLOOKUP($L117,Specs!A:A,Specs!V:V,0))*Specs!$N$2)+AM117,0)</f>
        <v>1</v>
      </c>
      <c r="AO117" s="40">
        <f>ROUNDUP(((AJ117+Specs!$R$2+Specs!$S$2+_xlfn.XLOOKUP($L117,Specs!A:A,Specs!V:V,0))*Specs!$N$2),0)</f>
        <v>1</v>
      </c>
      <c r="AP117" s="30"/>
    </row>
    <row r="118" spans="1:42" x14ac:dyDescent="0.25">
      <c r="A118" s="41" t="str">
        <f>_xlfn.CONCAT(_xlfn.XLOOKUP("What's Your Name?",[1]Sheet1!$1:$1,[1]Sheet1!118:118)," | ",TEXT(_xlfn.XLOOKUP("Completion time",[1]Sheet1!$1:$1,[1]Sheet1!118:118),"dddd, mmm dd, yyyy hh:mm AM/PM"))</f>
        <v xml:space="preserve"> | Saturday, Jan 00, 1900 12:00 AM</v>
      </c>
      <c r="B118" s="76">
        <f>_xlfn.XLOOKUP("What's Your Email Address?",[1]Sheet1!$1:$1,[1]Sheet1!118:118)</f>
        <v>0</v>
      </c>
      <c r="C118" s="31">
        <f>IF(ISBLANK(_xlfn.XLOOKUP("Which Flavor? (Pint Price | Quart Price | Half Gallon Price) (NOTE: Prices may fluctuate based on market conditions)",[1]Sheet1!$1:$1,[1]Sheet1!118:118)),_xlfn.XLOOKUP("Name Your Ice Cream!",[1]Sheet1!$1:$1,[1]Sheet1!118:118),IF(ISNUMBER(FIND("(", _xlfn.XLOOKUP("Which Flavor? (Pint Price | Quart Price | Half Gallon Price) (NOTE: Prices may fluctuate based on market conditions)",[1]Sheet1!$1:$1,[1]Sheet1!118:118))), LEFT(_xlfn.XLOOKUP("Which Flavor? (Pint Price | Quart Price | Half Gallon Price) (NOTE: Prices may fluctuate based on market conditions)",[1]Sheet1!$1:$1,[1]Sheet1!118:118), FIND("(", _xlfn.XLOOKUP("Which Flavor? (Pint Price | Quart Price | Half Gallon Price) (NOTE: Prices may fluctuate based on market conditions)",[1]Sheet1!$1:$1,[1]Sheet1!118:118)) - 1), _xlfn.XLOOKUP("Which Flavor? (Pint Price | Quart Price | Half Gallon Price) (NOTE: Prices may fluctuate based on market conditions)",[1]Sheet1!$1:$1,[1]Sheet1!118:118)))</f>
        <v>0</v>
      </c>
      <c r="D118" s="31">
        <f>IF(COUNTIF('Premade Flavors'!$A:$A, $C118) &gt; 0,IF(ISBLANK(_xlfn.XLOOKUP("What Ice Cream Base Do You Want To Change It To?",[1]Sheet1!$1:$1,[1]Sheet1!118:118)),_xlfn.XLOOKUP($C118,'Premade Flavors'!$A:$A,'Premade Flavors'!B:B),_xlfn.XLOOKUP("What Ice Cream Base Do You Want To Change It To?",[1]Sheet1!$1:$1,[1]Sheet1!118:118)),_xlfn.XLOOKUP(_xlfn.XLOOKUP("What Kind Of Ice Cream Base Do You Want? ",[1]Sheet1!$1:$1,[1]Sheet1!118:118),'Milk Types Nutrition Per Cup'!O:O,'Milk Types Nutrition Per Cup'!P:P,""))</f>
        <v>0</v>
      </c>
      <c r="E118" s="31">
        <f>IF(COUNTIF('Premade Flavors'!$A:$A, $C118) &gt; 0,IF(ISBLANK(_xlfn.XLOOKUP("What Ice Cream Base Do You Want To Change It To?",[1]Sheet1!$1:$1,[1]Sheet1!118:118)),_xlfn.XLOOKUP($C118,'Premade Flavors'!$A:$A,'Premade Flavors'!C:C),_xlfn.XLOOKUP("What Ice Cream Base Do You Want To Change It To?",[1]Sheet1!$1:$1,[1]Sheet1!118:118)),_xlfn.XLOOKUP(_xlfn.XLOOKUP("What Kind Of Ice Cream Base Do You Want? ",[1]Sheet1!$1:$1,[1]Sheet1!118:118),'Milk Types Nutrition Per Cup'!$O:$O,'Milk Types Nutrition Per Cup'!$Q:$Q,""))</f>
        <v>0</v>
      </c>
      <c r="F118" s="31">
        <f>IF(COUNTIF('Premade Flavors'!$A:$A, $C118) &gt; 0,_xlfn.XLOOKUP($C118,'Premade Flavors'!$A:$A,'Premade Flavors'!E:E),_xlfn.XLOOKUP("What's The First Flavor You Want? ",[1]Sheet1!$1:$1,[1]Sheet1!118:118))</f>
        <v>0</v>
      </c>
      <c r="G118" s="31">
        <f>IF(COUNTIF('Premade Flavors'!$A:$A, $C118) &gt; 0,_xlfn.XLOOKUP($C118,'Premade Flavors'!$A:$A,'Premade Flavors'!F:F),_xlfn.XLOOKUP("What's the Second Flavor You Want?",[1]Sheet1!$1:$1,[1]Sheet1!118:118))</f>
        <v>0</v>
      </c>
      <c r="H118" s="31">
        <f>IF(COUNTIF('Premade Flavors'!$A:$A, $C118) &gt; 0,_xlfn.XLOOKUP($C118,'Premade Flavors'!$A:$A,'Premade Flavors'!G:G),_xlfn.XLOOKUP("What's The First Mix In That You Want? ",[1]Sheet1!$1:$1,[1]Sheet1!118:118))</f>
        <v>0</v>
      </c>
      <c r="I118" s="31">
        <f>IF(COUNTIF('Premade Flavors'!$A:$A, $C116) &gt; 0,_xlfn.XLOOKUP($C116,'Premade Flavors'!$A:$A,'Premade Flavors'!H:H),IF([2]Sheet1!W116= 0,,[2]Sheet1!W116))</f>
        <v>0</v>
      </c>
      <c r="J118" s="31">
        <f>IF(COUNTIF('Premade Flavors'!$A:$A,$C118)&gt;0,IF(_xlfn.XLOOKUP("Should It Use Sugar or A Non-Sugar Sweetner?",[1]Sheet1!$1:$1,[1]Sheet1!118:118)="Sugar",_xlfn.XLOOKUP($C118,'Premade Flavors'!$A:$A,'Premade Flavors'!I:I),"Stevia"),_xlfn.XLOOKUP("What Sweetner Do You Want?",[1]Sheet1!$1:$1,[1]Sheet1!118:118))</f>
        <v>0</v>
      </c>
      <c r="K118" s="31"/>
      <c r="L118" s="77">
        <f>_xlfn.XLOOKUP("How Much Ice Cream Do You Want?",[1]Sheet1!$1:$1,[1]Sheet1!118:118)</f>
        <v>0</v>
      </c>
      <c r="M118" s="45">
        <f>IF(COUNTIF('Premade Flavors'!$A:$A, $C118) &gt; 0,_xlfn.XLOOKUP($C118,'Premade Flavors'!$A:$A,'Premade Flavors'!M:M),_xlfn.XLOOKUP("How Strong Do You Want The First Flavor?",[1]Sheet1!$1:$1,[1]Sheet1!118:118))</f>
        <v>0</v>
      </c>
      <c r="N118" s="45">
        <f>IF(COUNTIF('Premade Flavors'!$A:$A, $C118) &gt; 0,_xlfn.XLOOKUP($C118,'Premade Flavors'!$A:$A,'Premade Flavors'!N:N),_xlfn.XLOOKUP("How Strong Do You Want The Second Flavor?",[1]Sheet1!$1:$1,[1]Sheet1!118:118))</f>
        <v>0</v>
      </c>
      <c r="O118" s="45">
        <f>IF(COUNTIF('Premade Flavors'!$A:$A, $C118) &gt; 0,_xlfn.XLOOKUP($C118,'Premade Flavors'!$A:$A,'Premade Flavors'!O:O),_xlfn.XLOOKUP("How Dense Should the Mix Ins Be?",[1]Sheet1!$1:$1,[1]Sheet1!118:118))</f>
        <v>0</v>
      </c>
      <c r="P118" s="45">
        <f>IF(COUNTIF('Premade Flavors'!$A:$A, $C118) &gt; 0,_xlfn.XLOOKUP($C118,'Premade Flavors'!$A:$A,'Premade Flavors'!P:P),_xlfn.XLOOKUP("How Much Of The First Sweetner? ",[1]Sheet1!$1:$1,[1]Sheet1!118:118))</f>
        <v>0</v>
      </c>
      <c r="Q118" s="45">
        <f>IF(COUNTIF('Premade Flavors'!$A:$A, $C118) &gt; 0,_xlfn.XLOOKUP($C118,'Premade Flavors'!$A:$A,'Premade Flavors'!Q:Q),[2]Sheet1!S118)</f>
        <v>0</v>
      </c>
      <c r="R118" s="30">
        <f>(_xlfn.XLOOKUP($L118,Specs!A:A,Specs!B:B,0)-(IF(_xlfn.XLOOKUP($F118,'Liquid Mix In Nutrition'!A:A,'Liquid Mix In Nutrition'!J:J,0)="Yes",0,$T118))-(IF(_xlfn.XLOOKUP($G118,'Liquid Mix In Nutrition'!A:A,'Liquid Mix In Nutrition'!J:J,0)="Yes",0,$U118))-(($V118/MAX(1,_xlfn.XLOOKUP($H118,'Solid Mix In Nutrition'!A:A,'Solid Mix In Nutrition'!I:I,1)))*240)-(($W118/MAX(1,_xlfn.XLOOKUP($I118,'Solid Mix In Nutrition'!A:A,'Solid Mix In Nutrition'!I:I,1)))*240))*0.66</f>
        <v>0</v>
      </c>
      <c r="S118" s="30">
        <f>(_xlfn.XLOOKUP($L118,Specs!A:A,Specs!B:B,0)-(IF(_xlfn.XLOOKUP($F118,'Liquid Mix In Nutrition'!A:A,'Liquid Mix In Nutrition'!J:J,0)="Yes",0,$T118))-(IF(_xlfn.XLOOKUP($G118,'Liquid Mix In Nutrition'!A:A,'Liquid Mix In Nutrition'!J:J,0)="Yes",0,$U118))-(($V118/MAX(1,_xlfn.XLOOKUP($H118,'Solid Mix In Nutrition'!A:A,'Solid Mix In Nutrition'!I:I,1)))*240)-(($W118/MAX(1,_xlfn.XLOOKUP($I118,'Solid Mix In Nutrition'!A:A,'Solid Mix In Nutrition'!I:I,1)))*240))*0.33</f>
        <v>0</v>
      </c>
      <c r="T118" s="30">
        <f>_xlfn.XLOOKUP($M118,Specs!$D:$D,Specs!$E:$E,0)*15*_xlfn.XLOOKUP($L118,Specs!$A:$A,Specs!$C:$C,0)</f>
        <v>0</v>
      </c>
      <c r="U118" s="30">
        <f>_xlfn.XLOOKUP($N118,Specs!$D:$D,Specs!$E:$E,0)*15*_xlfn.XLOOKUP($L118,Specs!$A:$A,Specs!$C:$C,0)</f>
        <v>0</v>
      </c>
      <c r="V118" s="30">
        <f>( ((_xlfn.XLOOKUP($O118,Specs!$H:$H,Specs!$I:$I,0)*_xlfn.XLOOKUP($L118,Specs!$A:$A,Specs!$B:$B,0))/240) *_xlfn.XLOOKUP($H118,'Solid Mix In Nutrition'!A:A,'Solid Mix In Nutrition'!I:I,0)) *IF(AND(NOT($I118=0), COUNTA($I118)),0.5,1)</f>
        <v>0</v>
      </c>
      <c r="W118" s="30">
        <f>( ((_xlfn.XLOOKUP($O118,Specs!$H:$H,Specs!$I:$I,0)*_xlfn.XLOOKUP($L118,Specs!$A:$A,Specs!$B:$B,0))/240) *_xlfn.XLOOKUP($I118,'Solid Mix In Nutrition'!A:A,'Solid Mix In Nutrition'!I:I,0)) *IF(AND(NOT($I118=0), COUNTA($I118)),0.5,0)</f>
        <v>0</v>
      </c>
      <c r="X118" s="30">
        <f>_xlfn.XLOOKUP($P118,Specs!F:F,Specs!G:G,0)*_xlfn.XLOOKUP($J118,'Sweetener Mix In Nutrition'!A:A,'Sweetener Mix In Nutrition'!I:I,0)*_xlfn.XLOOKUP($L118,Specs!A:A,Specs!C:C,0)</f>
        <v>0</v>
      </c>
      <c r="Y118" s="30">
        <f>_xlfn.XLOOKUP($Q118,Specs!F:F,Specs!G:G,0)*_xlfn.XLOOKUP($K118,'Sweetener Mix In Nutrition'!A:A,'Sweetener Mix In Nutrition'!I:I,0)*_xlfn.XLOOKUP($L118,Specs!A:A,Specs!C:C,0)</f>
        <v>0</v>
      </c>
      <c r="Z118" s="34">
        <f t="shared" si="4"/>
        <v>0</v>
      </c>
      <c r="AA118" s="35">
        <f t="shared" si="5"/>
        <v>0</v>
      </c>
      <c r="AB118" s="36">
        <f>(($R118 / 240) * _xlfn.XLOOKUP($D118,'Milk Types Nutrition Per Cup'!A:A,'Milk Types Nutrition Per Cup'!B:B,0)) +(($S118 / 240)  * _xlfn.XLOOKUP($E118,'Milk Types Nutrition Per Cup'!A:A,'Milk Types Nutrition Per Cup'!B:B,0)) +(($T118 / 15)  * _xlfn.XLOOKUP($F118,'Liquid Mix In Nutrition'!A:A,'Liquid Mix In Nutrition'!B:B,0))+(($U118 / 15)  * _xlfn.XLOOKUP($G118,'Liquid Mix In Nutrition'!A:A,'Liquid Mix In Nutrition'!B:B,0))+(($V118 /MAX(1, _xlfn.XLOOKUP($H118,'Solid Mix In Nutrition'!A:A,'Solid Mix In Nutrition'!I:I,1)))  * _xlfn.XLOOKUP($H118,'Solid Mix In Nutrition'!A:A,'Solid Mix In Nutrition'!B:B,0))+(($W118 / MAX(1, _xlfn.XLOOKUP($I118,'Solid Mix In Nutrition'!A:A,'Solid Mix In Nutrition'!I:I,1))))+(($X118 / 100)  * _xlfn.XLOOKUP($J118,'Sweetener Mix In Nutrition'!A:A,'Sweetener Mix In Nutrition'!B:B,0))+(($Y118 / 100)  * _xlfn.XLOOKUP($K118,'Sweetener Mix In Nutrition'!A:A,'Sweetener Mix In Nutrition'!B:B,0))</f>
        <v>0</v>
      </c>
      <c r="AC118" s="36">
        <f>(($R118 / 240) * _xlfn.XLOOKUP($D118,'Milk Types Nutrition Per Cup'!A:A,'Milk Types Nutrition Per Cup'!E:E,0)) +(($S118 / 240)  * _xlfn.XLOOKUP($E118,'Milk Types Nutrition Per Cup'!A:A,'Milk Types Nutrition Per Cup'!E:E,0)) +(($T118 / 15)  * _xlfn.XLOOKUP($F118,'Liquid Mix In Nutrition'!A:A,'Liquid Mix In Nutrition'!E:E,0)) +(($U118 / 15)  * _xlfn.XLOOKUP($G118,'Liquid Mix In Nutrition'!A:A,'Liquid Mix In Nutrition'!E:E,0))+(($V118 / MAX(1, _xlfn.XLOOKUP($H118,'Solid Mix In Nutrition'!A:A,'Solid Mix In Nutrition'!I:I,1)))  * _xlfn.XLOOKUP($H118,'Solid Mix In Nutrition'!A:A,'Solid Mix In Nutrition'!E:E,0))+(($W118 / MAX(1, _xlfn.XLOOKUP($I118,'Solid Mix In Nutrition'!A:A,'Solid Mix In Nutrition'!I:I,1)))  * _xlfn.XLOOKUP($I118,'Solid Mix In Nutrition'!A:A,'Solid Mix In Nutrition'!G:G,0))+(($X118 / 100)  * _xlfn.XLOOKUP($J118,'Sweetener Mix In Nutrition'!A:A,'Sweetener Mix In Nutrition'!E:E,0))+(($Y118 / 100)  * _xlfn.XLOOKUP($K118,'Sweetener Mix In Nutrition'!A:A,'Sweetener Mix In Nutrition'!E:E,0))</f>
        <v>0</v>
      </c>
      <c r="AD118" s="36">
        <f>(($R118 / 240) * _xlfn.XLOOKUP($D118,'Milk Types Nutrition Per Cup'!A:A,'Milk Types Nutrition Per Cup'!E:E,0)) +(($S118 / 240)  * _xlfn.XLOOKUP($E118,'Milk Types Nutrition Per Cup'!A:A,'Milk Types Nutrition Per Cup'!E:E,0)) +(($T118 / 15)  * _xlfn.XLOOKUP($F118,'Liquid Mix In Nutrition'!A:A,'Liquid Mix In Nutrition'!E:E,0)) +(($U118 / 15)  * _xlfn.XLOOKUP($G118,'Liquid Mix In Nutrition'!A:A,'Liquid Mix In Nutrition'!E:E,0))+(($X118 / 100)  * _xlfn.XLOOKUP($J118,'Sweetener Mix In Nutrition'!A:A,'Sweetener Mix In Nutrition'!E:E,0))+(($Y118 / 100)  * _xlfn.XLOOKUP($K118,'Sweetener Mix In Nutrition'!A:A,'Sweetener Mix In Nutrition'!E:E,0))</f>
        <v>0</v>
      </c>
      <c r="AE118" s="37">
        <f>(($R118 / 240) * _xlfn.XLOOKUP($D118,'Milk Types Nutrition Per Cup'!A:A,'Milk Types Nutrition Per Cup'!C:C,0)) +(($S118 / 240)  * _xlfn.XLOOKUP($E118,'Milk Types Nutrition Per Cup'!A:A,'Milk Types Nutrition Per Cup'!C:C,0)) +(($T118 / 15)  * _xlfn.XLOOKUP($F118,'Liquid Mix In Nutrition'!A:A,'Liquid Mix In Nutrition'!C:C,0))+(($U118 / 15)  * _xlfn.XLOOKUP($G118,'Liquid Mix In Nutrition'!A:A,'Liquid Mix In Nutrition'!C:C,0))+(($V118 / MAX(1, _xlfn.XLOOKUP($H118,'Solid Mix In Nutrition'!A:A,'Solid Mix In Nutrition'!I:I,1)))  * _xlfn.XLOOKUP($H118,'Solid Mix In Nutrition'!A:A,'Solid Mix In Nutrition'!C:C,0))+(($W118 / MAX(1, _xlfn.XLOOKUP($I118,'Solid Mix In Nutrition'!A:A,'Solid Mix In Nutrition'!I:I,1)))  * _xlfn.XLOOKUP($I118,'Solid Mix In Nutrition'!A:A,'Solid Mix In Nutrition'!C:C,0))+(($X118 / 100)  * _xlfn.XLOOKUP($J118,'Sweetener Mix In Nutrition'!A:A,'Sweetener Mix In Nutrition'!C:C,0))+(($Y118 / 100)  * _xlfn.XLOOKUP($K118,'Sweetener Mix In Nutrition'!A:A,'Sweetener Mix In Nutrition'!C:C,0))</f>
        <v>0</v>
      </c>
      <c r="AF118" s="38" t="e">
        <f>$AE118 / (_xlfn.XLOOKUP($L118,Specs!A:A,Specs!B:B,0))</f>
        <v>#DIV/0!</v>
      </c>
      <c r="AG118" s="37" t="e">
        <f>60* ($AB118 / _xlfn.XLOOKUP($L118,Specs!A:A,Specs!B:B,0))</f>
        <v>#DIV/0!</v>
      </c>
      <c r="AH118" s="37" t="e">
        <f>60* (AC118 / _xlfn.XLOOKUP($L118,Specs!$A:$A,Specs!$B:$B,0))</f>
        <v>#DIV/0!</v>
      </c>
      <c r="AI118" s="37" t="e">
        <f>60* (AE118 / _xlfn.XLOOKUP($L118,Specs!$A:$A,Specs!$B:$B,0))</f>
        <v>#DIV/0!</v>
      </c>
      <c r="AJ118" s="39">
        <f>(($R118 / 240) * _xlfn.XLOOKUP($D118,'Milk Types Nutrition Per Cup'!A:A,'Milk Types Nutrition Per Cup'!F:F,0)) +(($S118 / 240)  * _xlfn.XLOOKUP($E118,'Milk Types Nutrition Per Cup'!A:A,'Milk Types Nutrition Per Cup'!F:F,0)) +(($T118 / 15)  * _xlfn.XLOOKUP($F118,'Liquid Mix In Nutrition'!A:A,'Liquid Mix In Nutrition'!F:F,0))+(($U118 / 15)  * _xlfn.XLOOKUP($G118,'Liquid Mix In Nutrition'!A:A,'Liquid Mix In Nutrition'!F:F,0))+(($V118 / MAX(1, _xlfn.XLOOKUP($H118,'Solid Mix In Nutrition'!A:A,'Solid Mix In Nutrition'!I:I,1)))  * _xlfn.XLOOKUP($H118,'Solid Mix In Nutrition'!A:A,'Solid Mix In Nutrition'!F:F,0))+(($W118 / MAX(1, _xlfn.XLOOKUP($I118,'Solid Mix In Nutrition'!A:A,'Solid Mix In Nutrition'!I:I,1)))  * _xlfn.XLOOKUP($I118,'Solid Mix In Nutrition'!A:A,'Solid Mix In Nutrition'!F:F,0))+(($X118 / 100)  * _xlfn.XLOOKUP($J118,'Sweetener Mix In Nutrition'!A:A,'Sweetener Mix In Nutrition'!F:F,0))+(($Y118 / 100)  * _xlfn.XLOOKUP($K118,'Sweetener Mix In Nutrition'!A:A,'Sweetener Mix In Nutrition'!F:F,0))</f>
        <v>0</v>
      </c>
      <c r="AK118" s="46">
        <f>[2]Sheet1!AG118</f>
        <v>0</v>
      </c>
      <c r="AL118" s="47"/>
      <c r="AM118" s="40">
        <f>IF(ISERROR(((AL118/Specs!$L$3)*Specs!$L$2)*2),0,ROUNDUP((((AL118/Specs!$L$3)*Specs!$L$2)*2),0))</f>
        <v>0</v>
      </c>
      <c r="AN118" s="48">
        <f>ROUNDUP(((AJ118+Specs!$R$2+Specs!$S$2+_xlfn.XLOOKUP($L118,Specs!A:A,Specs!V:V,0))*Specs!$N$2)+AM118,0)</f>
        <v>1</v>
      </c>
      <c r="AO118" s="40">
        <f>ROUNDUP(((AJ118+Specs!$R$2+Specs!$S$2+_xlfn.XLOOKUP($L118,Specs!A:A,Specs!V:V,0))*Specs!$N$2),0)</f>
        <v>1</v>
      </c>
      <c r="AP118" s="30"/>
    </row>
    <row r="119" spans="1:42" x14ac:dyDescent="0.25">
      <c r="A119" s="41" t="str">
        <f>_xlfn.CONCAT(_xlfn.XLOOKUP("What's Your Name?",[1]Sheet1!$1:$1,[1]Sheet1!119:119)," | ",TEXT(_xlfn.XLOOKUP("Completion time",[1]Sheet1!$1:$1,[1]Sheet1!119:119),"dddd, mmm dd, yyyy hh:mm AM/PM"))</f>
        <v xml:space="preserve"> | Saturday, Jan 00, 1900 12:00 AM</v>
      </c>
      <c r="B119" s="76">
        <f>_xlfn.XLOOKUP("What's Your Email Address?",[1]Sheet1!$1:$1,[1]Sheet1!119:119)</f>
        <v>0</v>
      </c>
      <c r="C119" s="31">
        <f>IF(ISBLANK(_xlfn.XLOOKUP("Which Flavor? (Pint Price | Quart Price | Half Gallon Price) (NOTE: Prices may fluctuate based on market conditions)",[1]Sheet1!$1:$1,[1]Sheet1!119:119)),_xlfn.XLOOKUP("Name Your Ice Cream!",[1]Sheet1!$1:$1,[1]Sheet1!119:119),IF(ISNUMBER(FIND("(", _xlfn.XLOOKUP("Which Flavor? (Pint Price | Quart Price | Half Gallon Price) (NOTE: Prices may fluctuate based on market conditions)",[1]Sheet1!$1:$1,[1]Sheet1!119:119))), LEFT(_xlfn.XLOOKUP("Which Flavor? (Pint Price | Quart Price | Half Gallon Price) (NOTE: Prices may fluctuate based on market conditions)",[1]Sheet1!$1:$1,[1]Sheet1!119:119), FIND("(", _xlfn.XLOOKUP("Which Flavor? (Pint Price | Quart Price | Half Gallon Price) (NOTE: Prices may fluctuate based on market conditions)",[1]Sheet1!$1:$1,[1]Sheet1!119:119)) - 1), _xlfn.XLOOKUP("Which Flavor? (Pint Price | Quart Price | Half Gallon Price) (NOTE: Prices may fluctuate based on market conditions)",[1]Sheet1!$1:$1,[1]Sheet1!119:119)))</f>
        <v>0</v>
      </c>
      <c r="D119" s="31">
        <f>IF(COUNTIF('Premade Flavors'!$A:$A, $C119) &gt; 0,IF(ISBLANK(_xlfn.XLOOKUP("What Ice Cream Base Do You Want To Change It To?",[1]Sheet1!$1:$1,[1]Sheet1!119:119)),_xlfn.XLOOKUP($C119,'Premade Flavors'!$A:$A,'Premade Flavors'!B:B),_xlfn.XLOOKUP("What Ice Cream Base Do You Want To Change It To?",[1]Sheet1!$1:$1,[1]Sheet1!119:119)),_xlfn.XLOOKUP(_xlfn.XLOOKUP("What Kind Of Ice Cream Base Do You Want? ",[1]Sheet1!$1:$1,[1]Sheet1!119:119),'Milk Types Nutrition Per Cup'!O:O,'Milk Types Nutrition Per Cup'!P:P,""))</f>
        <v>0</v>
      </c>
      <c r="E119" s="31">
        <f>IF(COUNTIF('Premade Flavors'!$A:$A, $C119) &gt; 0,IF(ISBLANK(_xlfn.XLOOKUP("What Ice Cream Base Do You Want To Change It To?",[1]Sheet1!$1:$1,[1]Sheet1!119:119)),_xlfn.XLOOKUP($C119,'Premade Flavors'!$A:$A,'Premade Flavors'!C:C),_xlfn.XLOOKUP("What Ice Cream Base Do You Want To Change It To?",[1]Sheet1!$1:$1,[1]Sheet1!119:119)),_xlfn.XLOOKUP(_xlfn.XLOOKUP("What Kind Of Ice Cream Base Do You Want? ",[1]Sheet1!$1:$1,[1]Sheet1!119:119),'Milk Types Nutrition Per Cup'!$O:$O,'Milk Types Nutrition Per Cup'!$Q:$Q,""))</f>
        <v>0</v>
      </c>
      <c r="F119" s="31">
        <f>IF(COUNTIF('Premade Flavors'!$A:$A, $C119) &gt; 0,_xlfn.XLOOKUP($C119,'Premade Flavors'!$A:$A,'Premade Flavors'!E:E),_xlfn.XLOOKUP("What's The First Flavor You Want? ",[1]Sheet1!$1:$1,[1]Sheet1!119:119))</f>
        <v>0</v>
      </c>
      <c r="G119" s="31">
        <f>IF(COUNTIF('Premade Flavors'!$A:$A, $C119) &gt; 0,_xlfn.XLOOKUP($C119,'Premade Flavors'!$A:$A,'Premade Flavors'!F:F),_xlfn.XLOOKUP("What's the Second Flavor You Want?",[1]Sheet1!$1:$1,[1]Sheet1!119:119))</f>
        <v>0</v>
      </c>
      <c r="H119" s="31">
        <f>IF(COUNTIF('Premade Flavors'!$A:$A, $C119) &gt; 0,_xlfn.XLOOKUP($C119,'Premade Flavors'!$A:$A,'Premade Flavors'!G:G),_xlfn.XLOOKUP("What's The First Mix In That You Want? ",[1]Sheet1!$1:$1,[1]Sheet1!119:119))</f>
        <v>0</v>
      </c>
      <c r="I119" s="31">
        <f>IF(COUNTIF('Premade Flavors'!$A:$A, $C117) &gt; 0,_xlfn.XLOOKUP($C117,'Premade Flavors'!$A:$A,'Premade Flavors'!H:H),IF([2]Sheet1!W117= 0,,[2]Sheet1!W117))</f>
        <v>0</v>
      </c>
      <c r="J119" s="31">
        <f>IF(COUNTIF('Premade Flavors'!$A:$A,$C119)&gt;0,IF(_xlfn.XLOOKUP("Should It Use Sugar or A Non-Sugar Sweetner?",[1]Sheet1!$1:$1,[1]Sheet1!119:119)="Sugar",_xlfn.XLOOKUP($C119,'Premade Flavors'!$A:$A,'Premade Flavors'!I:I),"Stevia"),_xlfn.XLOOKUP("What Sweetner Do You Want?",[1]Sheet1!$1:$1,[1]Sheet1!119:119))</f>
        <v>0</v>
      </c>
      <c r="K119" s="31"/>
      <c r="L119" s="77">
        <f>_xlfn.XLOOKUP("How Much Ice Cream Do You Want?",[1]Sheet1!$1:$1,[1]Sheet1!119:119)</f>
        <v>0</v>
      </c>
      <c r="M119" s="45">
        <f>IF(COUNTIF('Premade Flavors'!$A:$A, $C119) &gt; 0,_xlfn.XLOOKUP($C119,'Premade Flavors'!$A:$A,'Premade Flavors'!M:M),_xlfn.XLOOKUP("How Strong Do You Want The First Flavor?",[1]Sheet1!$1:$1,[1]Sheet1!119:119))</f>
        <v>0</v>
      </c>
      <c r="N119" s="45">
        <f>IF(COUNTIF('Premade Flavors'!$A:$A, $C119) &gt; 0,_xlfn.XLOOKUP($C119,'Premade Flavors'!$A:$A,'Premade Flavors'!N:N),_xlfn.XLOOKUP("How Strong Do You Want The Second Flavor?",[1]Sheet1!$1:$1,[1]Sheet1!119:119))</f>
        <v>0</v>
      </c>
      <c r="O119" s="45">
        <f>IF(COUNTIF('Premade Flavors'!$A:$A, $C119) &gt; 0,_xlfn.XLOOKUP($C119,'Premade Flavors'!$A:$A,'Premade Flavors'!O:O),_xlfn.XLOOKUP("How Dense Should the Mix Ins Be?",[1]Sheet1!$1:$1,[1]Sheet1!119:119))</f>
        <v>0</v>
      </c>
      <c r="P119" s="45">
        <f>IF(COUNTIF('Premade Flavors'!$A:$A, $C119) &gt; 0,_xlfn.XLOOKUP($C119,'Premade Flavors'!$A:$A,'Premade Flavors'!P:P),_xlfn.XLOOKUP("How Much Of The First Sweetner? ",[1]Sheet1!$1:$1,[1]Sheet1!119:119))</f>
        <v>0</v>
      </c>
      <c r="Q119" s="45">
        <f>IF(COUNTIF('Premade Flavors'!$A:$A, $C119) &gt; 0,_xlfn.XLOOKUP($C119,'Premade Flavors'!$A:$A,'Premade Flavors'!Q:Q),[2]Sheet1!S119)</f>
        <v>0</v>
      </c>
      <c r="R119" s="30">
        <f>(_xlfn.XLOOKUP($L119,Specs!A:A,Specs!B:B,0)-(IF(_xlfn.XLOOKUP($F119,'Liquid Mix In Nutrition'!A:A,'Liquid Mix In Nutrition'!J:J,0)="Yes",0,$T119))-(IF(_xlfn.XLOOKUP($G119,'Liquid Mix In Nutrition'!A:A,'Liquid Mix In Nutrition'!J:J,0)="Yes",0,$U119))-(($V119/MAX(1,_xlfn.XLOOKUP($H119,'Solid Mix In Nutrition'!A:A,'Solid Mix In Nutrition'!I:I,1)))*240)-(($W119/MAX(1,_xlfn.XLOOKUP($I119,'Solid Mix In Nutrition'!A:A,'Solid Mix In Nutrition'!I:I,1)))*240))*0.66</f>
        <v>0</v>
      </c>
      <c r="S119" s="30">
        <f>(_xlfn.XLOOKUP($L119,Specs!A:A,Specs!B:B,0)-(IF(_xlfn.XLOOKUP($F119,'Liquid Mix In Nutrition'!A:A,'Liquid Mix In Nutrition'!J:J,0)="Yes",0,$T119))-(IF(_xlfn.XLOOKUP($G119,'Liquid Mix In Nutrition'!A:A,'Liquid Mix In Nutrition'!J:J,0)="Yes",0,$U119))-(($V119/MAX(1,_xlfn.XLOOKUP($H119,'Solid Mix In Nutrition'!A:A,'Solid Mix In Nutrition'!I:I,1)))*240)-(($W119/MAX(1,_xlfn.XLOOKUP($I119,'Solid Mix In Nutrition'!A:A,'Solid Mix In Nutrition'!I:I,1)))*240))*0.33</f>
        <v>0</v>
      </c>
      <c r="T119" s="30">
        <f>_xlfn.XLOOKUP($M119,Specs!$D:$D,Specs!$E:$E,0)*15*_xlfn.XLOOKUP($L119,Specs!$A:$A,Specs!$C:$C,0)</f>
        <v>0</v>
      </c>
      <c r="U119" s="30">
        <f>_xlfn.XLOOKUP($N119,Specs!$D:$D,Specs!$E:$E,0)*15*_xlfn.XLOOKUP($L119,Specs!$A:$A,Specs!$C:$C,0)</f>
        <v>0</v>
      </c>
      <c r="V119" s="30">
        <f>( ((_xlfn.XLOOKUP($O119,Specs!$H:$H,Specs!$I:$I,0)*_xlfn.XLOOKUP($L119,Specs!$A:$A,Specs!$B:$B,0))/240) *_xlfn.XLOOKUP($H119,'Solid Mix In Nutrition'!A:A,'Solid Mix In Nutrition'!I:I,0)) *IF(AND(NOT($I119=0), COUNTA($I119)),0.5,1)</f>
        <v>0</v>
      </c>
      <c r="W119" s="30">
        <f>( ((_xlfn.XLOOKUP($O119,Specs!$H:$H,Specs!$I:$I,0)*_xlfn.XLOOKUP($L119,Specs!$A:$A,Specs!$B:$B,0))/240) *_xlfn.XLOOKUP($I119,'Solid Mix In Nutrition'!A:A,'Solid Mix In Nutrition'!I:I,0)) *IF(AND(NOT($I119=0), COUNTA($I119)),0.5,0)</f>
        <v>0</v>
      </c>
      <c r="X119" s="30">
        <f>_xlfn.XLOOKUP($P119,Specs!F:F,Specs!G:G,0)*_xlfn.XLOOKUP($J119,'Sweetener Mix In Nutrition'!A:A,'Sweetener Mix In Nutrition'!I:I,0)*_xlfn.XLOOKUP($L119,Specs!A:A,Specs!C:C,0)</f>
        <v>0</v>
      </c>
      <c r="Y119" s="30">
        <f>_xlfn.XLOOKUP($Q119,Specs!F:F,Specs!G:G,0)*_xlfn.XLOOKUP($K119,'Sweetener Mix In Nutrition'!A:A,'Sweetener Mix In Nutrition'!I:I,0)*_xlfn.XLOOKUP($L119,Specs!A:A,Specs!C:C,0)</f>
        <v>0</v>
      </c>
      <c r="Z119" s="34">
        <f t="shared" si="4"/>
        <v>0</v>
      </c>
      <c r="AA119" s="35">
        <f t="shared" si="5"/>
        <v>0</v>
      </c>
      <c r="AB119" s="36">
        <f>(($R119 / 240) * _xlfn.XLOOKUP($D119,'Milk Types Nutrition Per Cup'!A:A,'Milk Types Nutrition Per Cup'!B:B,0)) +(($S119 / 240)  * _xlfn.XLOOKUP($E119,'Milk Types Nutrition Per Cup'!A:A,'Milk Types Nutrition Per Cup'!B:B,0)) +(($T119 / 15)  * _xlfn.XLOOKUP($F119,'Liquid Mix In Nutrition'!A:A,'Liquid Mix In Nutrition'!B:B,0))+(($U119 / 15)  * _xlfn.XLOOKUP($G119,'Liquid Mix In Nutrition'!A:A,'Liquid Mix In Nutrition'!B:B,0))+(($V119 /MAX(1, _xlfn.XLOOKUP($H119,'Solid Mix In Nutrition'!A:A,'Solid Mix In Nutrition'!I:I,1)))  * _xlfn.XLOOKUP($H119,'Solid Mix In Nutrition'!A:A,'Solid Mix In Nutrition'!B:B,0))+(($W119 / MAX(1, _xlfn.XLOOKUP($I119,'Solid Mix In Nutrition'!A:A,'Solid Mix In Nutrition'!I:I,1))))+(($X119 / 100)  * _xlfn.XLOOKUP($J119,'Sweetener Mix In Nutrition'!A:A,'Sweetener Mix In Nutrition'!B:B,0))+(($Y119 / 100)  * _xlfn.XLOOKUP($K119,'Sweetener Mix In Nutrition'!A:A,'Sweetener Mix In Nutrition'!B:B,0))</f>
        <v>0</v>
      </c>
      <c r="AC119" s="36">
        <f>(($R119 / 240) * _xlfn.XLOOKUP($D119,'Milk Types Nutrition Per Cup'!A:A,'Milk Types Nutrition Per Cup'!E:E,0)) +(($S119 / 240)  * _xlfn.XLOOKUP($E119,'Milk Types Nutrition Per Cup'!A:A,'Milk Types Nutrition Per Cup'!E:E,0)) +(($T119 / 15)  * _xlfn.XLOOKUP($F119,'Liquid Mix In Nutrition'!A:A,'Liquid Mix In Nutrition'!E:E,0)) +(($U119 / 15)  * _xlfn.XLOOKUP($G119,'Liquid Mix In Nutrition'!A:A,'Liquid Mix In Nutrition'!E:E,0))+(($V119 / MAX(1, _xlfn.XLOOKUP($H119,'Solid Mix In Nutrition'!A:A,'Solid Mix In Nutrition'!I:I,1)))  * _xlfn.XLOOKUP($H119,'Solid Mix In Nutrition'!A:A,'Solid Mix In Nutrition'!E:E,0))+(($W119 / MAX(1, _xlfn.XLOOKUP($I119,'Solid Mix In Nutrition'!A:A,'Solid Mix In Nutrition'!I:I,1)))  * _xlfn.XLOOKUP($I119,'Solid Mix In Nutrition'!A:A,'Solid Mix In Nutrition'!G:G,0))+(($X119 / 100)  * _xlfn.XLOOKUP($J119,'Sweetener Mix In Nutrition'!A:A,'Sweetener Mix In Nutrition'!E:E,0))+(($Y119 / 100)  * _xlfn.XLOOKUP($K119,'Sweetener Mix In Nutrition'!A:A,'Sweetener Mix In Nutrition'!E:E,0))</f>
        <v>0</v>
      </c>
      <c r="AD119" s="36">
        <f>(($R119 / 240) * _xlfn.XLOOKUP($D119,'Milk Types Nutrition Per Cup'!A:A,'Milk Types Nutrition Per Cup'!E:E,0)) +(($S119 / 240)  * _xlfn.XLOOKUP($E119,'Milk Types Nutrition Per Cup'!A:A,'Milk Types Nutrition Per Cup'!E:E,0)) +(($T119 / 15)  * _xlfn.XLOOKUP($F119,'Liquid Mix In Nutrition'!A:A,'Liquid Mix In Nutrition'!E:E,0)) +(($U119 / 15)  * _xlfn.XLOOKUP($G119,'Liquid Mix In Nutrition'!A:A,'Liquid Mix In Nutrition'!E:E,0))+(($X119 / 100)  * _xlfn.XLOOKUP($J119,'Sweetener Mix In Nutrition'!A:A,'Sweetener Mix In Nutrition'!E:E,0))+(($Y119 / 100)  * _xlfn.XLOOKUP($K119,'Sweetener Mix In Nutrition'!A:A,'Sweetener Mix In Nutrition'!E:E,0))</f>
        <v>0</v>
      </c>
      <c r="AE119" s="37">
        <f>(($R119 / 240) * _xlfn.XLOOKUP($D119,'Milk Types Nutrition Per Cup'!A:A,'Milk Types Nutrition Per Cup'!C:C,0)) +(($S119 / 240)  * _xlfn.XLOOKUP($E119,'Milk Types Nutrition Per Cup'!A:A,'Milk Types Nutrition Per Cup'!C:C,0)) +(($T119 / 15)  * _xlfn.XLOOKUP($F119,'Liquid Mix In Nutrition'!A:A,'Liquid Mix In Nutrition'!C:C,0))+(($U119 / 15)  * _xlfn.XLOOKUP($G119,'Liquid Mix In Nutrition'!A:A,'Liquid Mix In Nutrition'!C:C,0))+(($V119 / MAX(1, _xlfn.XLOOKUP($H119,'Solid Mix In Nutrition'!A:A,'Solid Mix In Nutrition'!I:I,1)))  * _xlfn.XLOOKUP($H119,'Solid Mix In Nutrition'!A:A,'Solid Mix In Nutrition'!C:C,0))+(($W119 / MAX(1, _xlfn.XLOOKUP($I119,'Solid Mix In Nutrition'!A:A,'Solid Mix In Nutrition'!I:I,1)))  * _xlfn.XLOOKUP($I119,'Solid Mix In Nutrition'!A:A,'Solid Mix In Nutrition'!C:C,0))+(($X119 / 100)  * _xlfn.XLOOKUP($J119,'Sweetener Mix In Nutrition'!A:A,'Sweetener Mix In Nutrition'!C:C,0))+(($Y119 / 100)  * _xlfn.XLOOKUP($K119,'Sweetener Mix In Nutrition'!A:A,'Sweetener Mix In Nutrition'!C:C,0))</f>
        <v>0</v>
      </c>
      <c r="AF119" s="38" t="e">
        <f>$AE119 / (_xlfn.XLOOKUP($L119,Specs!A:A,Specs!B:B,0))</f>
        <v>#DIV/0!</v>
      </c>
      <c r="AG119" s="37" t="e">
        <f>60* ($AB119 / _xlfn.XLOOKUP($L119,Specs!A:A,Specs!B:B,0))</f>
        <v>#DIV/0!</v>
      </c>
      <c r="AH119" s="37" t="e">
        <f>60* (AC119 / _xlfn.XLOOKUP($L119,Specs!$A:$A,Specs!$B:$B,0))</f>
        <v>#DIV/0!</v>
      </c>
      <c r="AI119" s="37" t="e">
        <f>60* (AE119 / _xlfn.XLOOKUP($L119,Specs!$A:$A,Specs!$B:$B,0))</f>
        <v>#DIV/0!</v>
      </c>
      <c r="AJ119" s="39">
        <f>(($R119 / 240) * _xlfn.XLOOKUP($D119,'Milk Types Nutrition Per Cup'!A:A,'Milk Types Nutrition Per Cup'!F:F,0)) +(($S119 / 240)  * _xlfn.XLOOKUP($E119,'Milk Types Nutrition Per Cup'!A:A,'Milk Types Nutrition Per Cup'!F:F,0)) +(($T119 / 15)  * _xlfn.XLOOKUP($F119,'Liquid Mix In Nutrition'!A:A,'Liquid Mix In Nutrition'!F:F,0))+(($U119 / 15)  * _xlfn.XLOOKUP($G119,'Liquid Mix In Nutrition'!A:A,'Liquid Mix In Nutrition'!F:F,0))+(($V119 / MAX(1, _xlfn.XLOOKUP($H119,'Solid Mix In Nutrition'!A:A,'Solid Mix In Nutrition'!I:I,1)))  * _xlfn.XLOOKUP($H119,'Solid Mix In Nutrition'!A:A,'Solid Mix In Nutrition'!F:F,0))+(($W119 / MAX(1, _xlfn.XLOOKUP($I119,'Solid Mix In Nutrition'!A:A,'Solid Mix In Nutrition'!I:I,1)))  * _xlfn.XLOOKUP($I119,'Solid Mix In Nutrition'!A:A,'Solid Mix In Nutrition'!F:F,0))+(($X119 / 100)  * _xlfn.XLOOKUP($J119,'Sweetener Mix In Nutrition'!A:A,'Sweetener Mix In Nutrition'!F:F,0))+(($Y119 / 100)  * _xlfn.XLOOKUP($K119,'Sweetener Mix In Nutrition'!A:A,'Sweetener Mix In Nutrition'!F:F,0))</f>
        <v>0</v>
      </c>
      <c r="AK119" s="46">
        <f>[2]Sheet1!AG119</f>
        <v>0</v>
      </c>
      <c r="AL119" s="47"/>
      <c r="AM119" s="40">
        <f>IF(ISERROR(((AL119/Specs!$L$3)*Specs!$L$2)*2),0,ROUNDUP((((AL119/Specs!$L$3)*Specs!$L$2)*2),0))</f>
        <v>0</v>
      </c>
      <c r="AN119" s="48">
        <f>ROUNDUP(((AJ119+Specs!$R$2+Specs!$S$2+_xlfn.XLOOKUP($L119,Specs!A:A,Specs!V:V,0))*Specs!$N$2)+AM119,0)</f>
        <v>1</v>
      </c>
      <c r="AO119" s="40">
        <f>ROUNDUP(((AJ119+Specs!$R$2+Specs!$S$2+_xlfn.XLOOKUP($L119,Specs!A:A,Specs!V:V,0))*Specs!$N$2),0)</f>
        <v>1</v>
      </c>
      <c r="AP119" s="30"/>
    </row>
    <row r="120" spans="1:42" x14ac:dyDescent="0.25">
      <c r="A120" s="41" t="str">
        <f>_xlfn.CONCAT(_xlfn.XLOOKUP("What's Your Name?",[1]Sheet1!$1:$1,[1]Sheet1!120:120)," | ",TEXT(_xlfn.XLOOKUP("Completion time",[1]Sheet1!$1:$1,[1]Sheet1!120:120),"dddd, mmm dd, yyyy hh:mm AM/PM"))</f>
        <v xml:space="preserve"> | Saturday, Jan 00, 1900 12:00 AM</v>
      </c>
      <c r="B120" s="76">
        <f>_xlfn.XLOOKUP("What's Your Email Address?",[1]Sheet1!$1:$1,[1]Sheet1!120:120)</f>
        <v>0</v>
      </c>
      <c r="C120" s="31">
        <f>IF(ISBLANK(_xlfn.XLOOKUP("Which Flavor? (Pint Price | Quart Price | Half Gallon Price) (NOTE: Prices may fluctuate based on market conditions)",[1]Sheet1!$1:$1,[1]Sheet1!120:120)),_xlfn.XLOOKUP("Name Your Ice Cream!",[1]Sheet1!$1:$1,[1]Sheet1!120:120),IF(ISNUMBER(FIND("(", _xlfn.XLOOKUP("Which Flavor? (Pint Price | Quart Price | Half Gallon Price) (NOTE: Prices may fluctuate based on market conditions)",[1]Sheet1!$1:$1,[1]Sheet1!120:120))), LEFT(_xlfn.XLOOKUP("Which Flavor? (Pint Price | Quart Price | Half Gallon Price) (NOTE: Prices may fluctuate based on market conditions)",[1]Sheet1!$1:$1,[1]Sheet1!120:120), FIND("(", _xlfn.XLOOKUP("Which Flavor? (Pint Price | Quart Price | Half Gallon Price) (NOTE: Prices may fluctuate based on market conditions)",[1]Sheet1!$1:$1,[1]Sheet1!120:120)) - 1), _xlfn.XLOOKUP("Which Flavor? (Pint Price | Quart Price | Half Gallon Price) (NOTE: Prices may fluctuate based on market conditions)",[1]Sheet1!$1:$1,[1]Sheet1!120:120)))</f>
        <v>0</v>
      </c>
      <c r="D120" s="31">
        <f>IF(COUNTIF('Premade Flavors'!$A:$A, $C120) &gt; 0,IF(ISBLANK(_xlfn.XLOOKUP("What Ice Cream Base Do You Want To Change It To?",[1]Sheet1!$1:$1,[1]Sheet1!120:120)),_xlfn.XLOOKUP($C120,'Premade Flavors'!$A:$A,'Premade Flavors'!B:B),_xlfn.XLOOKUP("What Ice Cream Base Do You Want To Change It To?",[1]Sheet1!$1:$1,[1]Sheet1!120:120)),_xlfn.XLOOKUP(_xlfn.XLOOKUP("What Kind Of Ice Cream Base Do You Want? ",[1]Sheet1!$1:$1,[1]Sheet1!120:120),'Milk Types Nutrition Per Cup'!O:O,'Milk Types Nutrition Per Cup'!P:P,""))</f>
        <v>0</v>
      </c>
      <c r="E120" s="31">
        <f>IF(COUNTIF('Premade Flavors'!$A:$A, $C120) &gt; 0,IF(ISBLANK(_xlfn.XLOOKUP("What Ice Cream Base Do You Want To Change It To?",[1]Sheet1!$1:$1,[1]Sheet1!120:120)),_xlfn.XLOOKUP($C120,'Premade Flavors'!$A:$A,'Premade Flavors'!C:C),_xlfn.XLOOKUP("What Ice Cream Base Do You Want To Change It To?",[1]Sheet1!$1:$1,[1]Sheet1!120:120)),_xlfn.XLOOKUP(_xlfn.XLOOKUP("What Kind Of Ice Cream Base Do You Want? ",[1]Sheet1!$1:$1,[1]Sheet1!120:120),'Milk Types Nutrition Per Cup'!$O:$O,'Milk Types Nutrition Per Cup'!$Q:$Q,""))</f>
        <v>0</v>
      </c>
      <c r="F120" s="31">
        <f>IF(COUNTIF('Premade Flavors'!$A:$A, $C120) &gt; 0,_xlfn.XLOOKUP($C120,'Premade Flavors'!$A:$A,'Premade Flavors'!E:E),_xlfn.XLOOKUP("What's The First Flavor You Want? ",[1]Sheet1!$1:$1,[1]Sheet1!120:120))</f>
        <v>0</v>
      </c>
      <c r="G120" s="31">
        <f>IF(COUNTIF('Premade Flavors'!$A:$A, $C120) &gt; 0,_xlfn.XLOOKUP($C120,'Premade Flavors'!$A:$A,'Premade Flavors'!F:F),_xlfn.XLOOKUP("What's the Second Flavor You Want?",[1]Sheet1!$1:$1,[1]Sheet1!120:120))</f>
        <v>0</v>
      </c>
      <c r="H120" s="31">
        <f>IF(COUNTIF('Premade Flavors'!$A:$A, $C120) &gt; 0,_xlfn.XLOOKUP($C120,'Premade Flavors'!$A:$A,'Premade Flavors'!G:G),_xlfn.XLOOKUP("What's The First Mix In That You Want? ",[1]Sheet1!$1:$1,[1]Sheet1!120:120))</f>
        <v>0</v>
      </c>
      <c r="I120" s="31">
        <f>IF(COUNTIF('Premade Flavors'!$A:$A, $C118) &gt; 0,_xlfn.XLOOKUP($C118,'Premade Flavors'!$A:$A,'Premade Flavors'!H:H),IF([2]Sheet1!W118= 0,,[2]Sheet1!W118))</f>
        <v>0</v>
      </c>
      <c r="J120" s="31">
        <f>IF(COUNTIF('Premade Flavors'!$A:$A,$C120)&gt;0,IF(_xlfn.XLOOKUP("Should It Use Sugar or A Non-Sugar Sweetner?",[1]Sheet1!$1:$1,[1]Sheet1!120:120)="Sugar",_xlfn.XLOOKUP($C120,'Premade Flavors'!$A:$A,'Premade Flavors'!I:I),"Stevia"),_xlfn.XLOOKUP("What Sweetner Do You Want?",[1]Sheet1!$1:$1,[1]Sheet1!120:120))</f>
        <v>0</v>
      </c>
      <c r="K120" s="31"/>
      <c r="L120" s="77">
        <f>_xlfn.XLOOKUP("How Much Ice Cream Do You Want?",[1]Sheet1!$1:$1,[1]Sheet1!120:120)</f>
        <v>0</v>
      </c>
      <c r="M120" s="45">
        <f>IF(COUNTIF('Premade Flavors'!$A:$A, $C120) &gt; 0,_xlfn.XLOOKUP($C120,'Premade Flavors'!$A:$A,'Premade Flavors'!M:M),_xlfn.XLOOKUP("How Strong Do You Want The First Flavor?",[1]Sheet1!$1:$1,[1]Sheet1!120:120))</f>
        <v>0</v>
      </c>
      <c r="N120" s="45">
        <f>IF(COUNTIF('Premade Flavors'!$A:$A, $C120) &gt; 0,_xlfn.XLOOKUP($C120,'Premade Flavors'!$A:$A,'Premade Flavors'!N:N),_xlfn.XLOOKUP("How Strong Do You Want The Second Flavor?",[1]Sheet1!$1:$1,[1]Sheet1!120:120))</f>
        <v>0</v>
      </c>
      <c r="O120" s="45">
        <f>IF(COUNTIF('Premade Flavors'!$A:$A, $C120) &gt; 0,_xlfn.XLOOKUP($C120,'Premade Flavors'!$A:$A,'Premade Flavors'!O:O),_xlfn.XLOOKUP("How Dense Should the Mix Ins Be?",[1]Sheet1!$1:$1,[1]Sheet1!120:120))</f>
        <v>0</v>
      </c>
      <c r="P120" s="45">
        <f>IF(COUNTIF('Premade Flavors'!$A:$A, $C120) &gt; 0,_xlfn.XLOOKUP($C120,'Premade Flavors'!$A:$A,'Premade Flavors'!P:P),_xlfn.XLOOKUP("How Much Of The First Sweetner? ",[1]Sheet1!$1:$1,[1]Sheet1!120:120))</f>
        <v>0</v>
      </c>
      <c r="Q120" s="45">
        <f>IF(COUNTIF('Premade Flavors'!$A:$A, $C120) &gt; 0,_xlfn.XLOOKUP($C120,'Premade Flavors'!$A:$A,'Premade Flavors'!Q:Q),[2]Sheet1!S120)</f>
        <v>0</v>
      </c>
      <c r="R120" s="30">
        <f>(_xlfn.XLOOKUP($L120,Specs!A:A,Specs!B:B,0)-(IF(_xlfn.XLOOKUP($F120,'Liquid Mix In Nutrition'!A:A,'Liquid Mix In Nutrition'!J:J,0)="Yes",0,$T120))-(IF(_xlfn.XLOOKUP($G120,'Liquid Mix In Nutrition'!A:A,'Liquid Mix In Nutrition'!J:J,0)="Yes",0,$U120))-(($V120/MAX(1,_xlfn.XLOOKUP($H120,'Solid Mix In Nutrition'!A:A,'Solid Mix In Nutrition'!I:I,1)))*240)-(($W120/MAX(1,_xlfn.XLOOKUP($I120,'Solid Mix In Nutrition'!A:A,'Solid Mix In Nutrition'!I:I,1)))*240))*0.66</f>
        <v>0</v>
      </c>
      <c r="S120" s="30">
        <f>(_xlfn.XLOOKUP($L120,Specs!A:A,Specs!B:B,0)-(IF(_xlfn.XLOOKUP($F120,'Liquid Mix In Nutrition'!A:A,'Liquid Mix In Nutrition'!J:J,0)="Yes",0,$T120))-(IF(_xlfn.XLOOKUP($G120,'Liquid Mix In Nutrition'!A:A,'Liquid Mix In Nutrition'!J:J,0)="Yes",0,$U120))-(($V120/MAX(1,_xlfn.XLOOKUP($H120,'Solid Mix In Nutrition'!A:A,'Solid Mix In Nutrition'!I:I,1)))*240)-(($W120/MAX(1,_xlfn.XLOOKUP($I120,'Solid Mix In Nutrition'!A:A,'Solid Mix In Nutrition'!I:I,1)))*240))*0.33</f>
        <v>0</v>
      </c>
      <c r="T120" s="30">
        <f>_xlfn.XLOOKUP($M120,Specs!$D:$D,Specs!$E:$E,0)*15*_xlfn.XLOOKUP($L120,Specs!$A:$A,Specs!$C:$C,0)</f>
        <v>0</v>
      </c>
      <c r="U120" s="30">
        <f>_xlfn.XLOOKUP($N120,Specs!$D:$D,Specs!$E:$E,0)*15*_xlfn.XLOOKUP($L120,Specs!$A:$A,Specs!$C:$C,0)</f>
        <v>0</v>
      </c>
      <c r="V120" s="30">
        <f>( ((_xlfn.XLOOKUP($O120,Specs!$H:$H,Specs!$I:$I,0)*_xlfn.XLOOKUP($L120,Specs!$A:$A,Specs!$B:$B,0))/240) *_xlfn.XLOOKUP($H120,'Solid Mix In Nutrition'!A:A,'Solid Mix In Nutrition'!I:I,0)) *IF(AND(NOT($I120=0), COUNTA($I120)),0.5,1)</f>
        <v>0</v>
      </c>
      <c r="W120" s="30">
        <f>( ((_xlfn.XLOOKUP($O120,Specs!$H:$H,Specs!$I:$I,0)*_xlfn.XLOOKUP($L120,Specs!$A:$A,Specs!$B:$B,0))/240) *_xlfn.XLOOKUP($I120,'Solid Mix In Nutrition'!A:A,'Solid Mix In Nutrition'!I:I,0)) *IF(AND(NOT($I120=0), COUNTA($I120)),0.5,0)</f>
        <v>0</v>
      </c>
      <c r="X120" s="30">
        <f>_xlfn.XLOOKUP($P120,Specs!F:F,Specs!G:G,0)*_xlfn.XLOOKUP($J120,'Sweetener Mix In Nutrition'!A:A,'Sweetener Mix In Nutrition'!I:I,0)*_xlfn.XLOOKUP($L120,Specs!A:A,Specs!C:C,0)</f>
        <v>0</v>
      </c>
      <c r="Y120" s="30">
        <f>_xlfn.XLOOKUP($Q120,Specs!F:F,Specs!G:G,0)*_xlfn.XLOOKUP($K120,'Sweetener Mix In Nutrition'!A:A,'Sweetener Mix In Nutrition'!I:I,0)*_xlfn.XLOOKUP($L120,Specs!A:A,Specs!C:C,0)</f>
        <v>0</v>
      </c>
      <c r="Z120" s="34">
        <f t="shared" si="4"/>
        <v>0</v>
      </c>
      <c r="AA120" s="35">
        <f t="shared" si="5"/>
        <v>0</v>
      </c>
      <c r="AB120" s="36">
        <f>(($R120 / 240) * _xlfn.XLOOKUP($D120,'Milk Types Nutrition Per Cup'!A:A,'Milk Types Nutrition Per Cup'!B:B,0)) +(($S120 / 240)  * _xlfn.XLOOKUP($E120,'Milk Types Nutrition Per Cup'!A:A,'Milk Types Nutrition Per Cup'!B:B,0)) +(($T120 / 15)  * _xlfn.XLOOKUP($F120,'Liquid Mix In Nutrition'!A:A,'Liquid Mix In Nutrition'!B:B,0))+(($U120 / 15)  * _xlfn.XLOOKUP($G120,'Liquid Mix In Nutrition'!A:A,'Liquid Mix In Nutrition'!B:B,0))+(($V120 /MAX(1, _xlfn.XLOOKUP($H120,'Solid Mix In Nutrition'!A:A,'Solid Mix In Nutrition'!I:I,1)))  * _xlfn.XLOOKUP($H120,'Solid Mix In Nutrition'!A:A,'Solid Mix In Nutrition'!B:B,0))+(($W120 / MAX(1, _xlfn.XLOOKUP($I120,'Solid Mix In Nutrition'!A:A,'Solid Mix In Nutrition'!I:I,1))))+(($X120 / 100)  * _xlfn.XLOOKUP($J120,'Sweetener Mix In Nutrition'!A:A,'Sweetener Mix In Nutrition'!B:B,0))+(($Y120 / 100)  * _xlfn.XLOOKUP($K120,'Sweetener Mix In Nutrition'!A:A,'Sweetener Mix In Nutrition'!B:B,0))</f>
        <v>0</v>
      </c>
      <c r="AC120" s="36">
        <f>(($R120 / 240) * _xlfn.XLOOKUP($D120,'Milk Types Nutrition Per Cup'!A:A,'Milk Types Nutrition Per Cup'!E:E,0)) +(($S120 / 240)  * _xlfn.XLOOKUP($E120,'Milk Types Nutrition Per Cup'!A:A,'Milk Types Nutrition Per Cup'!E:E,0)) +(($T120 / 15)  * _xlfn.XLOOKUP($F120,'Liquid Mix In Nutrition'!A:A,'Liquid Mix In Nutrition'!E:E,0)) +(($U120 / 15)  * _xlfn.XLOOKUP($G120,'Liquid Mix In Nutrition'!A:A,'Liquid Mix In Nutrition'!E:E,0))+(($V120 / MAX(1, _xlfn.XLOOKUP($H120,'Solid Mix In Nutrition'!A:A,'Solid Mix In Nutrition'!I:I,1)))  * _xlfn.XLOOKUP($H120,'Solid Mix In Nutrition'!A:A,'Solid Mix In Nutrition'!E:E,0))+(($W120 / MAX(1, _xlfn.XLOOKUP($I120,'Solid Mix In Nutrition'!A:A,'Solid Mix In Nutrition'!I:I,1)))  * _xlfn.XLOOKUP($I120,'Solid Mix In Nutrition'!A:A,'Solid Mix In Nutrition'!G:G,0))+(($X120 / 100)  * _xlfn.XLOOKUP($J120,'Sweetener Mix In Nutrition'!A:A,'Sweetener Mix In Nutrition'!E:E,0))+(($Y120 / 100)  * _xlfn.XLOOKUP($K120,'Sweetener Mix In Nutrition'!A:A,'Sweetener Mix In Nutrition'!E:E,0))</f>
        <v>0</v>
      </c>
      <c r="AD120" s="36">
        <f>(($R120 / 240) * _xlfn.XLOOKUP($D120,'Milk Types Nutrition Per Cup'!A:A,'Milk Types Nutrition Per Cup'!E:E,0)) +(($S120 / 240)  * _xlfn.XLOOKUP($E120,'Milk Types Nutrition Per Cup'!A:A,'Milk Types Nutrition Per Cup'!E:E,0)) +(($T120 / 15)  * _xlfn.XLOOKUP($F120,'Liquid Mix In Nutrition'!A:A,'Liquid Mix In Nutrition'!E:E,0)) +(($U120 / 15)  * _xlfn.XLOOKUP($G120,'Liquid Mix In Nutrition'!A:A,'Liquid Mix In Nutrition'!E:E,0))+(($X120 / 100)  * _xlfn.XLOOKUP($J120,'Sweetener Mix In Nutrition'!A:A,'Sweetener Mix In Nutrition'!E:E,0))+(($Y120 / 100)  * _xlfn.XLOOKUP($K120,'Sweetener Mix In Nutrition'!A:A,'Sweetener Mix In Nutrition'!E:E,0))</f>
        <v>0</v>
      </c>
      <c r="AE120" s="37">
        <f>(($R120 / 240) * _xlfn.XLOOKUP($D120,'Milk Types Nutrition Per Cup'!A:A,'Milk Types Nutrition Per Cup'!C:C,0)) +(($S120 / 240)  * _xlfn.XLOOKUP($E120,'Milk Types Nutrition Per Cup'!A:A,'Milk Types Nutrition Per Cup'!C:C,0)) +(($T120 / 15)  * _xlfn.XLOOKUP($F120,'Liquid Mix In Nutrition'!A:A,'Liquid Mix In Nutrition'!C:C,0))+(($U120 / 15)  * _xlfn.XLOOKUP($G120,'Liquid Mix In Nutrition'!A:A,'Liquid Mix In Nutrition'!C:C,0))+(($V120 / MAX(1, _xlfn.XLOOKUP($H120,'Solid Mix In Nutrition'!A:A,'Solid Mix In Nutrition'!I:I,1)))  * _xlfn.XLOOKUP($H120,'Solid Mix In Nutrition'!A:A,'Solid Mix In Nutrition'!C:C,0))+(($W120 / MAX(1, _xlfn.XLOOKUP($I120,'Solid Mix In Nutrition'!A:A,'Solid Mix In Nutrition'!I:I,1)))  * _xlfn.XLOOKUP($I120,'Solid Mix In Nutrition'!A:A,'Solid Mix In Nutrition'!C:C,0))+(($X120 / 100)  * _xlfn.XLOOKUP($J120,'Sweetener Mix In Nutrition'!A:A,'Sweetener Mix In Nutrition'!C:C,0))+(($Y120 / 100)  * _xlfn.XLOOKUP($K120,'Sweetener Mix In Nutrition'!A:A,'Sweetener Mix In Nutrition'!C:C,0))</f>
        <v>0</v>
      </c>
      <c r="AF120" s="38" t="e">
        <f>$AE120 / (_xlfn.XLOOKUP($L120,Specs!A:A,Specs!B:B,0))</f>
        <v>#DIV/0!</v>
      </c>
      <c r="AG120" s="37" t="e">
        <f>60* ($AB120 / _xlfn.XLOOKUP($L120,Specs!A:A,Specs!B:B,0))</f>
        <v>#DIV/0!</v>
      </c>
      <c r="AH120" s="37" t="e">
        <f>60* (AC120 / _xlfn.XLOOKUP($L120,Specs!$A:$A,Specs!$B:$B,0))</f>
        <v>#DIV/0!</v>
      </c>
      <c r="AI120" s="37" t="e">
        <f>60* (AE120 / _xlfn.XLOOKUP($L120,Specs!$A:$A,Specs!$B:$B,0))</f>
        <v>#DIV/0!</v>
      </c>
      <c r="AJ120" s="39">
        <f>(($R120 / 240) * _xlfn.XLOOKUP($D120,'Milk Types Nutrition Per Cup'!A:A,'Milk Types Nutrition Per Cup'!F:F,0)) +(($S120 / 240)  * _xlfn.XLOOKUP($E120,'Milk Types Nutrition Per Cup'!A:A,'Milk Types Nutrition Per Cup'!F:F,0)) +(($T120 / 15)  * _xlfn.XLOOKUP($F120,'Liquid Mix In Nutrition'!A:A,'Liquid Mix In Nutrition'!F:F,0))+(($U120 / 15)  * _xlfn.XLOOKUP($G120,'Liquid Mix In Nutrition'!A:A,'Liquid Mix In Nutrition'!F:F,0))+(($V120 / MAX(1, _xlfn.XLOOKUP($H120,'Solid Mix In Nutrition'!A:A,'Solid Mix In Nutrition'!I:I,1)))  * _xlfn.XLOOKUP($H120,'Solid Mix In Nutrition'!A:A,'Solid Mix In Nutrition'!F:F,0))+(($W120 / MAX(1, _xlfn.XLOOKUP($I120,'Solid Mix In Nutrition'!A:A,'Solid Mix In Nutrition'!I:I,1)))  * _xlfn.XLOOKUP($I120,'Solid Mix In Nutrition'!A:A,'Solid Mix In Nutrition'!F:F,0))+(($X120 / 100)  * _xlfn.XLOOKUP($J120,'Sweetener Mix In Nutrition'!A:A,'Sweetener Mix In Nutrition'!F:F,0))+(($Y120 / 100)  * _xlfn.XLOOKUP($K120,'Sweetener Mix In Nutrition'!A:A,'Sweetener Mix In Nutrition'!F:F,0))</f>
        <v>0</v>
      </c>
      <c r="AK120" s="46">
        <f>[2]Sheet1!AG120</f>
        <v>0</v>
      </c>
      <c r="AL120" s="47"/>
      <c r="AM120" s="40">
        <f>IF(ISERROR(((AL120/Specs!$L$3)*Specs!$L$2)*2),0,ROUNDUP((((AL120/Specs!$L$3)*Specs!$L$2)*2),0))</f>
        <v>0</v>
      </c>
      <c r="AN120" s="48">
        <f>ROUNDUP(((AJ120+Specs!$R$2+Specs!$S$2+_xlfn.XLOOKUP($L120,Specs!A:A,Specs!V:V,0))*Specs!$N$2)+AM120,0)</f>
        <v>1</v>
      </c>
      <c r="AO120" s="40">
        <f>ROUNDUP(((AJ120+Specs!$R$2+Specs!$S$2+_xlfn.XLOOKUP($L120,Specs!A:A,Specs!V:V,0))*Specs!$N$2),0)</f>
        <v>1</v>
      </c>
      <c r="AP120" s="30"/>
    </row>
    <row r="121" spans="1:42" x14ac:dyDescent="0.25">
      <c r="A121" s="41" t="str">
        <f>_xlfn.CONCAT(_xlfn.XLOOKUP("What's Your Name?",[1]Sheet1!$1:$1,[1]Sheet1!121:121)," | ",TEXT(_xlfn.XLOOKUP("Completion time",[1]Sheet1!$1:$1,[1]Sheet1!121:121),"dddd, mmm dd, yyyy hh:mm AM/PM"))</f>
        <v xml:space="preserve"> | Saturday, Jan 00, 1900 12:00 AM</v>
      </c>
      <c r="B121" s="76">
        <f>_xlfn.XLOOKUP("What's Your Email Address?",[1]Sheet1!$1:$1,[1]Sheet1!121:121)</f>
        <v>0</v>
      </c>
      <c r="C121" s="31">
        <f>IF(ISBLANK(_xlfn.XLOOKUP("Which Flavor? (Pint Price | Quart Price | Half Gallon Price) (NOTE: Prices may fluctuate based on market conditions)",[1]Sheet1!$1:$1,[1]Sheet1!121:121)),_xlfn.XLOOKUP("Name Your Ice Cream!",[1]Sheet1!$1:$1,[1]Sheet1!121:121),IF(ISNUMBER(FIND("(", _xlfn.XLOOKUP("Which Flavor? (Pint Price | Quart Price | Half Gallon Price) (NOTE: Prices may fluctuate based on market conditions)",[1]Sheet1!$1:$1,[1]Sheet1!121:121))), LEFT(_xlfn.XLOOKUP("Which Flavor? (Pint Price | Quart Price | Half Gallon Price) (NOTE: Prices may fluctuate based on market conditions)",[1]Sheet1!$1:$1,[1]Sheet1!121:121), FIND("(", _xlfn.XLOOKUP("Which Flavor? (Pint Price | Quart Price | Half Gallon Price) (NOTE: Prices may fluctuate based on market conditions)",[1]Sheet1!$1:$1,[1]Sheet1!121:121)) - 1), _xlfn.XLOOKUP("Which Flavor? (Pint Price | Quart Price | Half Gallon Price) (NOTE: Prices may fluctuate based on market conditions)",[1]Sheet1!$1:$1,[1]Sheet1!121:121)))</f>
        <v>0</v>
      </c>
      <c r="D121" s="31">
        <f>IF(COUNTIF('Premade Flavors'!$A:$A, $C121) &gt; 0,IF(ISBLANK(_xlfn.XLOOKUP("What Ice Cream Base Do You Want To Change It To?",[1]Sheet1!$1:$1,[1]Sheet1!121:121)),_xlfn.XLOOKUP($C121,'Premade Flavors'!$A:$A,'Premade Flavors'!B:B),_xlfn.XLOOKUP("What Ice Cream Base Do You Want To Change It To?",[1]Sheet1!$1:$1,[1]Sheet1!121:121)),_xlfn.XLOOKUP(_xlfn.XLOOKUP("What Kind Of Ice Cream Base Do You Want? ",[1]Sheet1!$1:$1,[1]Sheet1!121:121),'Milk Types Nutrition Per Cup'!O:O,'Milk Types Nutrition Per Cup'!P:P,""))</f>
        <v>0</v>
      </c>
      <c r="E121" s="31">
        <f>IF(COUNTIF('Premade Flavors'!$A:$A, $C121) &gt; 0,IF(ISBLANK(_xlfn.XLOOKUP("What Ice Cream Base Do You Want To Change It To?",[1]Sheet1!$1:$1,[1]Sheet1!121:121)),_xlfn.XLOOKUP($C121,'Premade Flavors'!$A:$A,'Premade Flavors'!C:C),_xlfn.XLOOKUP("What Ice Cream Base Do You Want To Change It To?",[1]Sheet1!$1:$1,[1]Sheet1!121:121)),_xlfn.XLOOKUP(_xlfn.XLOOKUP("What Kind Of Ice Cream Base Do You Want? ",[1]Sheet1!$1:$1,[1]Sheet1!121:121),'Milk Types Nutrition Per Cup'!$O:$O,'Milk Types Nutrition Per Cup'!$Q:$Q,""))</f>
        <v>0</v>
      </c>
      <c r="F121" s="31">
        <f>IF(COUNTIF('Premade Flavors'!$A:$A, $C121) &gt; 0,_xlfn.XLOOKUP($C121,'Premade Flavors'!$A:$A,'Premade Flavors'!E:E),_xlfn.XLOOKUP("What's The First Flavor You Want? ",[1]Sheet1!$1:$1,[1]Sheet1!121:121))</f>
        <v>0</v>
      </c>
      <c r="G121" s="31">
        <f>IF(COUNTIF('Premade Flavors'!$A:$A, $C121) &gt; 0,_xlfn.XLOOKUP($C121,'Premade Flavors'!$A:$A,'Premade Flavors'!F:F),_xlfn.XLOOKUP("What's the Second Flavor You Want?",[1]Sheet1!$1:$1,[1]Sheet1!121:121))</f>
        <v>0</v>
      </c>
      <c r="H121" s="31">
        <f>IF(COUNTIF('Premade Flavors'!$A:$A, $C121) &gt; 0,_xlfn.XLOOKUP($C121,'Premade Flavors'!$A:$A,'Premade Flavors'!G:G),_xlfn.XLOOKUP("What's The First Mix In That You Want? ",[1]Sheet1!$1:$1,[1]Sheet1!121:121))</f>
        <v>0</v>
      </c>
      <c r="I121" s="31">
        <f>IF(COUNTIF('Premade Flavors'!$A:$A, $C119) &gt; 0,_xlfn.XLOOKUP($C119,'Premade Flavors'!$A:$A,'Premade Flavors'!H:H),IF([2]Sheet1!W119= 0,,[2]Sheet1!W119))</f>
        <v>0</v>
      </c>
      <c r="J121" s="31">
        <f>IF(COUNTIF('Premade Flavors'!$A:$A,$C121)&gt;0,IF(_xlfn.XLOOKUP("Should It Use Sugar or A Non-Sugar Sweetner?",[1]Sheet1!$1:$1,[1]Sheet1!121:121)="Sugar",_xlfn.XLOOKUP($C121,'Premade Flavors'!$A:$A,'Premade Flavors'!I:I),"Stevia"),_xlfn.XLOOKUP("What Sweetner Do You Want?",[1]Sheet1!$1:$1,[1]Sheet1!121:121))</f>
        <v>0</v>
      </c>
      <c r="K121" s="31"/>
      <c r="L121" s="77">
        <f>_xlfn.XLOOKUP("How Much Ice Cream Do You Want?",[1]Sheet1!$1:$1,[1]Sheet1!121:121)</f>
        <v>0</v>
      </c>
      <c r="M121" s="45">
        <f>IF(COUNTIF('Premade Flavors'!$A:$A, $C121) &gt; 0,_xlfn.XLOOKUP($C121,'Premade Flavors'!$A:$A,'Premade Flavors'!M:M),_xlfn.XLOOKUP("How Strong Do You Want The First Flavor?",[1]Sheet1!$1:$1,[1]Sheet1!121:121))</f>
        <v>0</v>
      </c>
      <c r="N121" s="45">
        <f>IF(COUNTIF('Premade Flavors'!$A:$A, $C121) &gt; 0,_xlfn.XLOOKUP($C121,'Premade Flavors'!$A:$A,'Premade Flavors'!N:N),_xlfn.XLOOKUP("How Strong Do You Want The Second Flavor?",[1]Sheet1!$1:$1,[1]Sheet1!121:121))</f>
        <v>0</v>
      </c>
      <c r="O121" s="45">
        <f>IF(COUNTIF('Premade Flavors'!$A:$A, $C121) &gt; 0,_xlfn.XLOOKUP($C121,'Premade Flavors'!$A:$A,'Premade Flavors'!O:O),_xlfn.XLOOKUP("How Dense Should the Mix Ins Be?",[1]Sheet1!$1:$1,[1]Sheet1!121:121))</f>
        <v>0</v>
      </c>
      <c r="P121" s="45">
        <f>IF(COUNTIF('Premade Flavors'!$A:$A, $C121) &gt; 0,_xlfn.XLOOKUP($C121,'Premade Flavors'!$A:$A,'Premade Flavors'!P:P),_xlfn.XLOOKUP("How Much Of The First Sweetner? ",[1]Sheet1!$1:$1,[1]Sheet1!121:121))</f>
        <v>0</v>
      </c>
      <c r="Q121" s="45">
        <f>IF(COUNTIF('Premade Flavors'!$A:$A, $C121) &gt; 0,_xlfn.XLOOKUP($C121,'Premade Flavors'!$A:$A,'Premade Flavors'!Q:Q),[2]Sheet1!S121)</f>
        <v>0</v>
      </c>
      <c r="R121" s="30">
        <f>(_xlfn.XLOOKUP($L121,Specs!A:A,Specs!B:B,0)-(IF(_xlfn.XLOOKUP($F121,'Liquid Mix In Nutrition'!A:A,'Liquid Mix In Nutrition'!J:J,0)="Yes",0,$T121))-(IF(_xlfn.XLOOKUP($G121,'Liquid Mix In Nutrition'!A:A,'Liquid Mix In Nutrition'!J:J,0)="Yes",0,$U121))-(($V121/MAX(1,_xlfn.XLOOKUP($H121,'Solid Mix In Nutrition'!A:A,'Solid Mix In Nutrition'!I:I,1)))*240)-(($W121/MAX(1,_xlfn.XLOOKUP($I121,'Solid Mix In Nutrition'!A:A,'Solid Mix In Nutrition'!I:I,1)))*240))*0.66</f>
        <v>0</v>
      </c>
      <c r="S121" s="30">
        <f>(_xlfn.XLOOKUP($L121,Specs!A:A,Specs!B:B,0)-(IF(_xlfn.XLOOKUP($F121,'Liquid Mix In Nutrition'!A:A,'Liquid Mix In Nutrition'!J:J,0)="Yes",0,$T121))-(IF(_xlfn.XLOOKUP($G121,'Liquid Mix In Nutrition'!A:A,'Liquid Mix In Nutrition'!J:J,0)="Yes",0,$U121))-(($V121/MAX(1,_xlfn.XLOOKUP($H121,'Solid Mix In Nutrition'!A:A,'Solid Mix In Nutrition'!I:I,1)))*240)-(($W121/MAX(1,_xlfn.XLOOKUP($I121,'Solid Mix In Nutrition'!A:A,'Solid Mix In Nutrition'!I:I,1)))*240))*0.33</f>
        <v>0</v>
      </c>
      <c r="T121" s="30">
        <f>_xlfn.XLOOKUP($M121,Specs!$D:$D,Specs!$E:$E,0)*15*_xlfn.XLOOKUP($L121,Specs!$A:$A,Specs!$C:$C,0)</f>
        <v>0</v>
      </c>
      <c r="U121" s="30">
        <f>_xlfn.XLOOKUP($N121,Specs!$D:$D,Specs!$E:$E,0)*15*_xlfn.XLOOKUP($L121,Specs!$A:$A,Specs!$C:$C,0)</f>
        <v>0</v>
      </c>
      <c r="V121" s="30">
        <f>( ((_xlfn.XLOOKUP($O121,Specs!$H:$H,Specs!$I:$I,0)*_xlfn.XLOOKUP($L121,Specs!$A:$A,Specs!$B:$B,0))/240) *_xlfn.XLOOKUP($H121,'Solid Mix In Nutrition'!A:A,'Solid Mix In Nutrition'!I:I,0)) *IF(AND(NOT($I121=0), COUNTA($I121)),0.5,1)</f>
        <v>0</v>
      </c>
      <c r="W121" s="30">
        <f>( ((_xlfn.XLOOKUP($O121,Specs!$H:$H,Specs!$I:$I,0)*_xlfn.XLOOKUP($L121,Specs!$A:$A,Specs!$B:$B,0))/240) *_xlfn.XLOOKUP($I121,'Solid Mix In Nutrition'!A:A,'Solid Mix In Nutrition'!I:I,0)) *IF(AND(NOT($I121=0), COUNTA($I121)),0.5,0)</f>
        <v>0</v>
      </c>
      <c r="X121" s="30">
        <f>_xlfn.XLOOKUP($P121,Specs!F:F,Specs!G:G,0)*_xlfn.XLOOKUP($J121,'Sweetener Mix In Nutrition'!A:A,'Sweetener Mix In Nutrition'!I:I,0)*_xlfn.XLOOKUP($L121,Specs!A:A,Specs!C:C,0)</f>
        <v>0</v>
      </c>
      <c r="Y121" s="30">
        <f>_xlfn.XLOOKUP($Q121,Specs!F:F,Specs!G:G,0)*_xlfn.XLOOKUP($K121,'Sweetener Mix In Nutrition'!A:A,'Sweetener Mix In Nutrition'!I:I,0)*_xlfn.XLOOKUP($L121,Specs!A:A,Specs!C:C,0)</f>
        <v>0</v>
      </c>
      <c r="Z121" s="34">
        <f t="shared" si="4"/>
        <v>0</v>
      </c>
      <c r="AA121" s="35">
        <f t="shared" si="5"/>
        <v>0</v>
      </c>
      <c r="AB121" s="36">
        <f>(($R121 / 240) * _xlfn.XLOOKUP($D121,'Milk Types Nutrition Per Cup'!A:A,'Milk Types Nutrition Per Cup'!B:B,0)) +(($S121 / 240)  * _xlfn.XLOOKUP($E121,'Milk Types Nutrition Per Cup'!A:A,'Milk Types Nutrition Per Cup'!B:B,0)) +(($T121 / 15)  * _xlfn.XLOOKUP($F121,'Liquid Mix In Nutrition'!A:A,'Liquid Mix In Nutrition'!B:B,0))+(($U121 / 15)  * _xlfn.XLOOKUP($G121,'Liquid Mix In Nutrition'!A:A,'Liquid Mix In Nutrition'!B:B,0))+(($V121 /MAX(1, _xlfn.XLOOKUP($H121,'Solid Mix In Nutrition'!A:A,'Solid Mix In Nutrition'!I:I,1)))  * _xlfn.XLOOKUP($H121,'Solid Mix In Nutrition'!A:A,'Solid Mix In Nutrition'!B:B,0))+(($W121 / MAX(1, _xlfn.XLOOKUP($I121,'Solid Mix In Nutrition'!A:A,'Solid Mix In Nutrition'!I:I,1))))+(($X121 / 100)  * _xlfn.XLOOKUP($J121,'Sweetener Mix In Nutrition'!A:A,'Sweetener Mix In Nutrition'!B:B,0))+(($Y121 / 100)  * _xlfn.XLOOKUP($K121,'Sweetener Mix In Nutrition'!A:A,'Sweetener Mix In Nutrition'!B:B,0))</f>
        <v>0</v>
      </c>
      <c r="AC121" s="36">
        <f>(($R121 / 240) * _xlfn.XLOOKUP($D121,'Milk Types Nutrition Per Cup'!A:A,'Milk Types Nutrition Per Cup'!E:E,0)) +(($S121 / 240)  * _xlfn.XLOOKUP($E121,'Milk Types Nutrition Per Cup'!A:A,'Milk Types Nutrition Per Cup'!E:E,0)) +(($T121 / 15)  * _xlfn.XLOOKUP($F121,'Liquid Mix In Nutrition'!A:A,'Liquid Mix In Nutrition'!E:E,0)) +(($U121 / 15)  * _xlfn.XLOOKUP($G121,'Liquid Mix In Nutrition'!A:A,'Liquid Mix In Nutrition'!E:E,0))+(($V121 / MAX(1, _xlfn.XLOOKUP($H121,'Solid Mix In Nutrition'!A:A,'Solid Mix In Nutrition'!I:I,1)))  * _xlfn.XLOOKUP($H121,'Solid Mix In Nutrition'!A:A,'Solid Mix In Nutrition'!E:E,0))+(($W121 / MAX(1, _xlfn.XLOOKUP($I121,'Solid Mix In Nutrition'!A:A,'Solid Mix In Nutrition'!I:I,1)))  * _xlfn.XLOOKUP($I121,'Solid Mix In Nutrition'!A:A,'Solid Mix In Nutrition'!G:G,0))+(($X121 / 100)  * _xlfn.XLOOKUP($J121,'Sweetener Mix In Nutrition'!A:A,'Sweetener Mix In Nutrition'!E:E,0))+(($Y121 / 100)  * _xlfn.XLOOKUP($K121,'Sweetener Mix In Nutrition'!A:A,'Sweetener Mix In Nutrition'!E:E,0))</f>
        <v>0</v>
      </c>
      <c r="AD121" s="36">
        <f>(($R121 / 240) * _xlfn.XLOOKUP($D121,'Milk Types Nutrition Per Cup'!A:A,'Milk Types Nutrition Per Cup'!E:E,0)) +(($S121 / 240)  * _xlfn.XLOOKUP($E121,'Milk Types Nutrition Per Cup'!A:A,'Milk Types Nutrition Per Cup'!E:E,0)) +(($T121 / 15)  * _xlfn.XLOOKUP($F121,'Liquid Mix In Nutrition'!A:A,'Liquid Mix In Nutrition'!E:E,0)) +(($U121 / 15)  * _xlfn.XLOOKUP($G121,'Liquid Mix In Nutrition'!A:A,'Liquid Mix In Nutrition'!E:E,0))+(($X121 / 100)  * _xlfn.XLOOKUP($J121,'Sweetener Mix In Nutrition'!A:A,'Sweetener Mix In Nutrition'!E:E,0))+(($Y121 / 100)  * _xlfn.XLOOKUP($K121,'Sweetener Mix In Nutrition'!A:A,'Sweetener Mix In Nutrition'!E:E,0))</f>
        <v>0</v>
      </c>
      <c r="AE121" s="37">
        <f>(($R121 / 240) * _xlfn.XLOOKUP($D121,'Milk Types Nutrition Per Cup'!A:A,'Milk Types Nutrition Per Cup'!C:C,0)) +(($S121 / 240)  * _xlfn.XLOOKUP($E121,'Milk Types Nutrition Per Cup'!A:A,'Milk Types Nutrition Per Cup'!C:C,0)) +(($T121 / 15)  * _xlfn.XLOOKUP($F121,'Liquid Mix In Nutrition'!A:A,'Liquid Mix In Nutrition'!C:C,0))+(($U121 / 15)  * _xlfn.XLOOKUP($G121,'Liquid Mix In Nutrition'!A:A,'Liquid Mix In Nutrition'!C:C,0))+(($V121 / MAX(1, _xlfn.XLOOKUP($H121,'Solid Mix In Nutrition'!A:A,'Solid Mix In Nutrition'!I:I,1)))  * _xlfn.XLOOKUP($H121,'Solid Mix In Nutrition'!A:A,'Solid Mix In Nutrition'!C:C,0))+(($W121 / MAX(1, _xlfn.XLOOKUP($I121,'Solid Mix In Nutrition'!A:A,'Solid Mix In Nutrition'!I:I,1)))  * _xlfn.XLOOKUP($I121,'Solid Mix In Nutrition'!A:A,'Solid Mix In Nutrition'!C:C,0))+(($X121 / 100)  * _xlfn.XLOOKUP($J121,'Sweetener Mix In Nutrition'!A:A,'Sweetener Mix In Nutrition'!C:C,0))+(($Y121 / 100)  * _xlfn.XLOOKUP($K121,'Sweetener Mix In Nutrition'!A:A,'Sweetener Mix In Nutrition'!C:C,0))</f>
        <v>0</v>
      </c>
      <c r="AF121" s="38" t="e">
        <f>$AE121 / (_xlfn.XLOOKUP($L121,Specs!A:A,Specs!B:B,0))</f>
        <v>#DIV/0!</v>
      </c>
      <c r="AG121" s="37" t="e">
        <f>60* ($AB121 / _xlfn.XLOOKUP($L121,Specs!A:A,Specs!B:B,0))</f>
        <v>#DIV/0!</v>
      </c>
      <c r="AH121" s="37" t="e">
        <f>60* (AC121 / _xlfn.XLOOKUP($L121,Specs!$A:$A,Specs!$B:$B,0))</f>
        <v>#DIV/0!</v>
      </c>
      <c r="AI121" s="37" t="e">
        <f>60* (AE121 / _xlfn.XLOOKUP($L121,Specs!$A:$A,Specs!$B:$B,0))</f>
        <v>#DIV/0!</v>
      </c>
      <c r="AJ121" s="39">
        <f>(($R121 / 240) * _xlfn.XLOOKUP($D121,'Milk Types Nutrition Per Cup'!A:A,'Milk Types Nutrition Per Cup'!F:F,0)) +(($S121 / 240)  * _xlfn.XLOOKUP($E121,'Milk Types Nutrition Per Cup'!A:A,'Milk Types Nutrition Per Cup'!F:F,0)) +(($T121 / 15)  * _xlfn.XLOOKUP($F121,'Liquid Mix In Nutrition'!A:A,'Liquid Mix In Nutrition'!F:F,0))+(($U121 / 15)  * _xlfn.XLOOKUP($G121,'Liquid Mix In Nutrition'!A:A,'Liquid Mix In Nutrition'!F:F,0))+(($V121 / MAX(1, _xlfn.XLOOKUP($H121,'Solid Mix In Nutrition'!A:A,'Solid Mix In Nutrition'!I:I,1)))  * _xlfn.XLOOKUP($H121,'Solid Mix In Nutrition'!A:A,'Solid Mix In Nutrition'!F:F,0))+(($W121 / MAX(1, _xlfn.XLOOKUP($I121,'Solid Mix In Nutrition'!A:A,'Solid Mix In Nutrition'!I:I,1)))  * _xlfn.XLOOKUP($I121,'Solid Mix In Nutrition'!A:A,'Solid Mix In Nutrition'!F:F,0))+(($X121 / 100)  * _xlfn.XLOOKUP($J121,'Sweetener Mix In Nutrition'!A:A,'Sweetener Mix In Nutrition'!F:F,0))+(($Y121 / 100)  * _xlfn.XLOOKUP($K121,'Sweetener Mix In Nutrition'!A:A,'Sweetener Mix In Nutrition'!F:F,0))</f>
        <v>0</v>
      </c>
      <c r="AK121" s="46">
        <f>[2]Sheet1!AG121</f>
        <v>0</v>
      </c>
      <c r="AL121" s="47"/>
      <c r="AM121" s="40">
        <f>IF(ISERROR(((AL121/Specs!$L$3)*Specs!$L$2)*2),0,ROUNDUP((((AL121/Specs!$L$3)*Specs!$L$2)*2),0))</f>
        <v>0</v>
      </c>
      <c r="AN121" s="48">
        <f>ROUNDUP(((AJ121+Specs!$R$2+Specs!$S$2+_xlfn.XLOOKUP($L121,Specs!A:A,Specs!V:V,0))*Specs!$N$2)+AM121,0)</f>
        <v>1</v>
      </c>
      <c r="AO121" s="40">
        <f>ROUNDUP(((AJ121+Specs!$R$2+Specs!$S$2+_xlfn.XLOOKUP($L121,Specs!A:A,Specs!V:V,0))*Specs!$N$2),0)</f>
        <v>1</v>
      </c>
      <c r="AP121" s="30"/>
    </row>
    <row r="122" spans="1:42" x14ac:dyDescent="0.25">
      <c r="A122" s="41" t="str">
        <f>_xlfn.CONCAT(_xlfn.XLOOKUP("What's Your Name?",[1]Sheet1!$1:$1,[1]Sheet1!122:122)," | ",TEXT(_xlfn.XLOOKUP("Completion time",[1]Sheet1!$1:$1,[1]Sheet1!122:122),"dddd, mmm dd, yyyy hh:mm AM/PM"))</f>
        <v xml:space="preserve"> | Saturday, Jan 00, 1900 12:00 AM</v>
      </c>
      <c r="B122" s="76">
        <f>_xlfn.XLOOKUP("What's Your Email Address?",[1]Sheet1!$1:$1,[1]Sheet1!122:122)</f>
        <v>0</v>
      </c>
      <c r="C122" s="31">
        <f>IF(ISBLANK(_xlfn.XLOOKUP("Which Flavor? (Pint Price | Quart Price | Half Gallon Price) (NOTE: Prices may fluctuate based on market conditions)",[1]Sheet1!$1:$1,[1]Sheet1!122:122)),_xlfn.XLOOKUP("Name Your Ice Cream!",[1]Sheet1!$1:$1,[1]Sheet1!122:122),IF(ISNUMBER(FIND("(", _xlfn.XLOOKUP("Which Flavor? (Pint Price | Quart Price | Half Gallon Price) (NOTE: Prices may fluctuate based on market conditions)",[1]Sheet1!$1:$1,[1]Sheet1!122:122))), LEFT(_xlfn.XLOOKUP("Which Flavor? (Pint Price | Quart Price | Half Gallon Price) (NOTE: Prices may fluctuate based on market conditions)",[1]Sheet1!$1:$1,[1]Sheet1!122:122), FIND("(", _xlfn.XLOOKUP("Which Flavor? (Pint Price | Quart Price | Half Gallon Price) (NOTE: Prices may fluctuate based on market conditions)",[1]Sheet1!$1:$1,[1]Sheet1!122:122)) - 1), _xlfn.XLOOKUP("Which Flavor? (Pint Price | Quart Price | Half Gallon Price) (NOTE: Prices may fluctuate based on market conditions)",[1]Sheet1!$1:$1,[1]Sheet1!122:122)))</f>
        <v>0</v>
      </c>
      <c r="D122" s="31">
        <f>IF(COUNTIF('Premade Flavors'!$A:$A, $C122) &gt; 0,IF(ISBLANK(_xlfn.XLOOKUP("What Ice Cream Base Do You Want To Change It To?",[1]Sheet1!$1:$1,[1]Sheet1!122:122)),_xlfn.XLOOKUP($C122,'Premade Flavors'!$A:$A,'Premade Flavors'!B:B),_xlfn.XLOOKUP("What Ice Cream Base Do You Want To Change It To?",[1]Sheet1!$1:$1,[1]Sheet1!122:122)),_xlfn.XLOOKUP(_xlfn.XLOOKUP("What Kind Of Ice Cream Base Do You Want? ",[1]Sheet1!$1:$1,[1]Sheet1!122:122),'Milk Types Nutrition Per Cup'!O:O,'Milk Types Nutrition Per Cup'!P:P,""))</f>
        <v>0</v>
      </c>
      <c r="E122" s="31">
        <f>IF(COUNTIF('Premade Flavors'!$A:$A, $C122) &gt; 0,IF(ISBLANK(_xlfn.XLOOKUP("What Ice Cream Base Do You Want To Change It To?",[1]Sheet1!$1:$1,[1]Sheet1!122:122)),_xlfn.XLOOKUP($C122,'Premade Flavors'!$A:$A,'Premade Flavors'!C:C),_xlfn.XLOOKUP("What Ice Cream Base Do You Want To Change It To?",[1]Sheet1!$1:$1,[1]Sheet1!122:122)),_xlfn.XLOOKUP(_xlfn.XLOOKUP("What Kind Of Ice Cream Base Do You Want? ",[1]Sheet1!$1:$1,[1]Sheet1!122:122),'Milk Types Nutrition Per Cup'!$O:$O,'Milk Types Nutrition Per Cup'!$Q:$Q,""))</f>
        <v>0</v>
      </c>
      <c r="F122" s="31">
        <f>IF(COUNTIF('Premade Flavors'!$A:$A, $C122) &gt; 0,_xlfn.XLOOKUP($C122,'Premade Flavors'!$A:$A,'Premade Flavors'!E:E),_xlfn.XLOOKUP("What's The First Flavor You Want? ",[1]Sheet1!$1:$1,[1]Sheet1!122:122))</f>
        <v>0</v>
      </c>
      <c r="G122" s="31">
        <f>IF(COUNTIF('Premade Flavors'!$A:$A, $C122) &gt; 0,_xlfn.XLOOKUP($C122,'Premade Flavors'!$A:$A,'Premade Flavors'!F:F),_xlfn.XLOOKUP("What's the Second Flavor You Want?",[1]Sheet1!$1:$1,[1]Sheet1!122:122))</f>
        <v>0</v>
      </c>
      <c r="H122" s="31">
        <f>IF(COUNTIF('Premade Flavors'!$A:$A, $C122) &gt; 0,_xlfn.XLOOKUP($C122,'Premade Flavors'!$A:$A,'Premade Flavors'!G:G),_xlfn.XLOOKUP("What's The First Mix In That You Want? ",[1]Sheet1!$1:$1,[1]Sheet1!122:122))</f>
        <v>0</v>
      </c>
      <c r="I122" s="31">
        <f>IF(COUNTIF('Premade Flavors'!$A:$A, $C120) &gt; 0,_xlfn.XLOOKUP($C120,'Premade Flavors'!$A:$A,'Premade Flavors'!H:H),IF([2]Sheet1!W120= 0,,[2]Sheet1!W120))</f>
        <v>0</v>
      </c>
      <c r="J122" s="31">
        <f>IF(COUNTIF('Premade Flavors'!$A:$A,$C122)&gt;0,IF(_xlfn.XLOOKUP("Should It Use Sugar or A Non-Sugar Sweetner?",[1]Sheet1!$1:$1,[1]Sheet1!122:122)="Sugar",_xlfn.XLOOKUP($C122,'Premade Flavors'!$A:$A,'Premade Flavors'!I:I),"Stevia"),_xlfn.XLOOKUP("What Sweetner Do You Want?",[1]Sheet1!$1:$1,[1]Sheet1!122:122))</f>
        <v>0</v>
      </c>
      <c r="K122" s="31"/>
      <c r="L122" s="77">
        <f>_xlfn.XLOOKUP("How Much Ice Cream Do You Want?",[1]Sheet1!$1:$1,[1]Sheet1!122:122)</f>
        <v>0</v>
      </c>
      <c r="M122" s="45">
        <f>IF(COUNTIF('Premade Flavors'!$A:$A, $C122) &gt; 0,_xlfn.XLOOKUP($C122,'Premade Flavors'!$A:$A,'Premade Flavors'!M:M),_xlfn.XLOOKUP("How Strong Do You Want The First Flavor?",[1]Sheet1!$1:$1,[1]Sheet1!122:122))</f>
        <v>0</v>
      </c>
      <c r="N122" s="45">
        <f>IF(COUNTIF('Premade Flavors'!$A:$A, $C122) &gt; 0,_xlfn.XLOOKUP($C122,'Premade Flavors'!$A:$A,'Premade Flavors'!N:N),_xlfn.XLOOKUP("How Strong Do You Want The Second Flavor?",[1]Sheet1!$1:$1,[1]Sheet1!122:122))</f>
        <v>0</v>
      </c>
      <c r="O122" s="45">
        <f>IF(COUNTIF('Premade Flavors'!$A:$A, $C122) &gt; 0,_xlfn.XLOOKUP($C122,'Premade Flavors'!$A:$A,'Premade Flavors'!O:O),_xlfn.XLOOKUP("How Dense Should the Mix Ins Be?",[1]Sheet1!$1:$1,[1]Sheet1!122:122))</f>
        <v>0</v>
      </c>
      <c r="P122" s="45">
        <f>IF(COUNTIF('Premade Flavors'!$A:$A, $C122) &gt; 0,_xlfn.XLOOKUP($C122,'Premade Flavors'!$A:$A,'Premade Flavors'!P:P),_xlfn.XLOOKUP("How Much Of The First Sweetner? ",[1]Sheet1!$1:$1,[1]Sheet1!122:122))</f>
        <v>0</v>
      </c>
      <c r="Q122" s="45">
        <f>IF(COUNTIF('Premade Flavors'!$A:$A, $C122) &gt; 0,_xlfn.XLOOKUP($C122,'Premade Flavors'!$A:$A,'Premade Flavors'!Q:Q),[2]Sheet1!S122)</f>
        <v>0</v>
      </c>
      <c r="R122" s="30">
        <f>(_xlfn.XLOOKUP($L122,Specs!A:A,Specs!B:B,0)-(IF(_xlfn.XLOOKUP($F122,'Liquid Mix In Nutrition'!A:A,'Liquid Mix In Nutrition'!J:J,0)="Yes",0,$T122))-(IF(_xlfn.XLOOKUP($G122,'Liquid Mix In Nutrition'!A:A,'Liquid Mix In Nutrition'!J:J,0)="Yes",0,$U122))-(($V122/MAX(1,_xlfn.XLOOKUP($H122,'Solid Mix In Nutrition'!A:A,'Solid Mix In Nutrition'!I:I,1)))*240)-(($W122/MAX(1,_xlfn.XLOOKUP($I122,'Solid Mix In Nutrition'!A:A,'Solid Mix In Nutrition'!I:I,1)))*240))*0.66</f>
        <v>0</v>
      </c>
      <c r="S122" s="30">
        <f>(_xlfn.XLOOKUP($L122,Specs!A:A,Specs!B:B,0)-(IF(_xlfn.XLOOKUP($F122,'Liquid Mix In Nutrition'!A:A,'Liquid Mix In Nutrition'!J:J,0)="Yes",0,$T122))-(IF(_xlfn.XLOOKUP($G122,'Liquid Mix In Nutrition'!A:A,'Liquid Mix In Nutrition'!J:J,0)="Yes",0,$U122))-(($V122/MAX(1,_xlfn.XLOOKUP($H122,'Solid Mix In Nutrition'!A:A,'Solid Mix In Nutrition'!I:I,1)))*240)-(($W122/MAX(1,_xlfn.XLOOKUP($I122,'Solid Mix In Nutrition'!A:A,'Solid Mix In Nutrition'!I:I,1)))*240))*0.33</f>
        <v>0</v>
      </c>
      <c r="T122" s="30">
        <f>_xlfn.XLOOKUP($M122,Specs!$D:$D,Specs!$E:$E,0)*15*_xlfn.XLOOKUP($L122,Specs!$A:$A,Specs!$C:$C,0)</f>
        <v>0</v>
      </c>
      <c r="U122" s="30">
        <f>_xlfn.XLOOKUP($N122,Specs!$D:$D,Specs!$E:$E,0)*15*_xlfn.XLOOKUP($L122,Specs!$A:$A,Specs!$C:$C,0)</f>
        <v>0</v>
      </c>
      <c r="V122" s="30">
        <f>( ((_xlfn.XLOOKUP($O122,Specs!$H:$H,Specs!$I:$I,0)*_xlfn.XLOOKUP($L122,Specs!$A:$A,Specs!$B:$B,0))/240) *_xlfn.XLOOKUP($H122,'Solid Mix In Nutrition'!A:A,'Solid Mix In Nutrition'!I:I,0)) *IF(AND(NOT($I122=0), COUNTA($I122)),0.5,1)</f>
        <v>0</v>
      </c>
      <c r="W122" s="30">
        <f>( ((_xlfn.XLOOKUP($O122,Specs!$H:$H,Specs!$I:$I,0)*_xlfn.XLOOKUP($L122,Specs!$A:$A,Specs!$B:$B,0))/240) *_xlfn.XLOOKUP($I122,'Solid Mix In Nutrition'!A:A,'Solid Mix In Nutrition'!I:I,0)) *IF(AND(NOT($I122=0), COUNTA($I122)),0.5,0)</f>
        <v>0</v>
      </c>
      <c r="X122" s="30">
        <f>_xlfn.XLOOKUP($P122,Specs!F:F,Specs!G:G,0)*_xlfn.XLOOKUP($J122,'Sweetener Mix In Nutrition'!A:A,'Sweetener Mix In Nutrition'!I:I,0)*_xlfn.XLOOKUP($L122,Specs!A:A,Specs!C:C,0)</f>
        <v>0</v>
      </c>
      <c r="Y122" s="30">
        <f>_xlfn.XLOOKUP($Q122,Specs!F:F,Specs!G:G,0)*_xlfn.XLOOKUP($K122,'Sweetener Mix In Nutrition'!A:A,'Sweetener Mix In Nutrition'!I:I,0)*_xlfn.XLOOKUP($L122,Specs!A:A,Specs!C:C,0)</f>
        <v>0</v>
      </c>
      <c r="Z122" s="34">
        <f t="shared" si="4"/>
        <v>0</v>
      </c>
      <c r="AA122" s="35">
        <f t="shared" si="5"/>
        <v>0</v>
      </c>
      <c r="AB122" s="36">
        <f>(($R122 / 240) * _xlfn.XLOOKUP($D122,'Milk Types Nutrition Per Cup'!A:A,'Milk Types Nutrition Per Cup'!B:B,0)) +(($S122 / 240)  * _xlfn.XLOOKUP($E122,'Milk Types Nutrition Per Cup'!A:A,'Milk Types Nutrition Per Cup'!B:B,0)) +(($T122 / 15)  * _xlfn.XLOOKUP($F122,'Liquid Mix In Nutrition'!A:A,'Liquid Mix In Nutrition'!B:B,0))+(($U122 / 15)  * _xlfn.XLOOKUP($G122,'Liquid Mix In Nutrition'!A:A,'Liquid Mix In Nutrition'!B:B,0))+(($V122 /MAX(1, _xlfn.XLOOKUP($H122,'Solid Mix In Nutrition'!A:A,'Solid Mix In Nutrition'!I:I,1)))  * _xlfn.XLOOKUP($H122,'Solid Mix In Nutrition'!A:A,'Solid Mix In Nutrition'!B:B,0))+(($W122 / MAX(1, _xlfn.XLOOKUP($I122,'Solid Mix In Nutrition'!A:A,'Solid Mix In Nutrition'!I:I,1))))+(($X122 / 100)  * _xlfn.XLOOKUP($J122,'Sweetener Mix In Nutrition'!A:A,'Sweetener Mix In Nutrition'!B:B,0))+(($Y122 / 100)  * _xlfn.XLOOKUP($K122,'Sweetener Mix In Nutrition'!A:A,'Sweetener Mix In Nutrition'!B:B,0))</f>
        <v>0</v>
      </c>
      <c r="AC122" s="36">
        <f>(($R122 / 240) * _xlfn.XLOOKUP($D122,'Milk Types Nutrition Per Cup'!A:A,'Milk Types Nutrition Per Cup'!E:E,0)) +(($S122 / 240)  * _xlfn.XLOOKUP($E122,'Milk Types Nutrition Per Cup'!A:A,'Milk Types Nutrition Per Cup'!E:E,0)) +(($T122 / 15)  * _xlfn.XLOOKUP($F122,'Liquid Mix In Nutrition'!A:A,'Liquid Mix In Nutrition'!E:E,0)) +(($U122 / 15)  * _xlfn.XLOOKUP($G122,'Liquid Mix In Nutrition'!A:A,'Liquid Mix In Nutrition'!E:E,0))+(($V122 / MAX(1, _xlfn.XLOOKUP($H122,'Solid Mix In Nutrition'!A:A,'Solid Mix In Nutrition'!I:I,1)))  * _xlfn.XLOOKUP($H122,'Solid Mix In Nutrition'!A:A,'Solid Mix In Nutrition'!E:E,0))+(($W122 / MAX(1, _xlfn.XLOOKUP($I122,'Solid Mix In Nutrition'!A:A,'Solid Mix In Nutrition'!I:I,1)))  * _xlfn.XLOOKUP($I122,'Solid Mix In Nutrition'!A:A,'Solid Mix In Nutrition'!G:G,0))+(($X122 / 100)  * _xlfn.XLOOKUP($J122,'Sweetener Mix In Nutrition'!A:A,'Sweetener Mix In Nutrition'!E:E,0))+(($Y122 / 100)  * _xlfn.XLOOKUP($K122,'Sweetener Mix In Nutrition'!A:A,'Sweetener Mix In Nutrition'!E:E,0))</f>
        <v>0</v>
      </c>
      <c r="AD122" s="36">
        <f>(($R122 / 240) * _xlfn.XLOOKUP($D122,'Milk Types Nutrition Per Cup'!A:A,'Milk Types Nutrition Per Cup'!E:E,0)) +(($S122 / 240)  * _xlfn.XLOOKUP($E122,'Milk Types Nutrition Per Cup'!A:A,'Milk Types Nutrition Per Cup'!E:E,0)) +(($T122 / 15)  * _xlfn.XLOOKUP($F122,'Liquid Mix In Nutrition'!A:A,'Liquid Mix In Nutrition'!E:E,0)) +(($U122 / 15)  * _xlfn.XLOOKUP($G122,'Liquid Mix In Nutrition'!A:A,'Liquid Mix In Nutrition'!E:E,0))+(($X122 / 100)  * _xlfn.XLOOKUP($J122,'Sweetener Mix In Nutrition'!A:A,'Sweetener Mix In Nutrition'!E:E,0))+(($Y122 / 100)  * _xlfn.XLOOKUP($K122,'Sweetener Mix In Nutrition'!A:A,'Sweetener Mix In Nutrition'!E:E,0))</f>
        <v>0</v>
      </c>
      <c r="AE122" s="37">
        <f>(($R122 / 240) * _xlfn.XLOOKUP($D122,'Milk Types Nutrition Per Cup'!A:A,'Milk Types Nutrition Per Cup'!C:C,0)) +(($S122 / 240)  * _xlfn.XLOOKUP($E122,'Milk Types Nutrition Per Cup'!A:A,'Milk Types Nutrition Per Cup'!C:C,0)) +(($T122 / 15)  * _xlfn.XLOOKUP($F122,'Liquid Mix In Nutrition'!A:A,'Liquid Mix In Nutrition'!C:C,0))+(($U122 / 15)  * _xlfn.XLOOKUP($G122,'Liquid Mix In Nutrition'!A:A,'Liquid Mix In Nutrition'!C:C,0))+(($V122 / MAX(1, _xlfn.XLOOKUP($H122,'Solid Mix In Nutrition'!A:A,'Solid Mix In Nutrition'!I:I,1)))  * _xlfn.XLOOKUP($H122,'Solid Mix In Nutrition'!A:A,'Solid Mix In Nutrition'!C:C,0))+(($W122 / MAX(1, _xlfn.XLOOKUP($I122,'Solid Mix In Nutrition'!A:A,'Solid Mix In Nutrition'!I:I,1)))  * _xlfn.XLOOKUP($I122,'Solid Mix In Nutrition'!A:A,'Solid Mix In Nutrition'!C:C,0))+(($X122 / 100)  * _xlfn.XLOOKUP($J122,'Sweetener Mix In Nutrition'!A:A,'Sweetener Mix In Nutrition'!C:C,0))+(($Y122 / 100)  * _xlfn.XLOOKUP($K122,'Sweetener Mix In Nutrition'!A:A,'Sweetener Mix In Nutrition'!C:C,0))</f>
        <v>0</v>
      </c>
      <c r="AF122" s="38" t="e">
        <f>$AE122 / (_xlfn.XLOOKUP($L122,Specs!A:A,Specs!B:B,0))</f>
        <v>#DIV/0!</v>
      </c>
      <c r="AG122" s="37" t="e">
        <f>60* ($AB122 / _xlfn.XLOOKUP($L122,Specs!A:A,Specs!B:B,0))</f>
        <v>#DIV/0!</v>
      </c>
      <c r="AH122" s="37" t="e">
        <f>60* (AC122 / _xlfn.XLOOKUP($L122,Specs!$A:$A,Specs!$B:$B,0))</f>
        <v>#DIV/0!</v>
      </c>
      <c r="AI122" s="37" t="e">
        <f>60* (AE122 / _xlfn.XLOOKUP($L122,Specs!$A:$A,Specs!$B:$B,0))</f>
        <v>#DIV/0!</v>
      </c>
      <c r="AJ122" s="39">
        <f>(($R122 / 240) * _xlfn.XLOOKUP($D122,'Milk Types Nutrition Per Cup'!A:A,'Milk Types Nutrition Per Cup'!F:F,0)) +(($S122 / 240)  * _xlfn.XLOOKUP($E122,'Milk Types Nutrition Per Cup'!A:A,'Milk Types Nutrition Per Cup'!F:F,0)) +(($T122 / 15)  * _xlfn.XLOOKUP($F122,'Liquid Mix In Nutrition'!A:A,'Liquid Mix In Nutrition'!F:F,0))+(($U122 / 15)  * _xlfn.XLOOKUP($G122,'Liquid Mix In Nutrition'!A:A,'Liquid Mix In Nutrition'!F:F,0))+(($V122 / MAX(1, _xlfn.XLOOKUP($H122,'Solid Mix In Nutrition'!A:A,'Solid Mix In Nutrition'!I:I,1)))  * _xlfn.XLOOKUP($H122,'Solid Mix In Nutrition'!A:A,'Solid Mix In Nutrition'!F:F,0))+(($W122 / MAX(1, _xlfn.XLOOKUP($I122,'Solid Mix In Nutrition'!A:A,'Solid Mix In Nutrition'!I:I,1)))  * _xlfn.XLOOKUP($I122,'Solid Mix In Nutrition'!A:A,'Solid Mix In Nutrition'!F:F,0))+(($X122 / 100)  * _xlfn.XLOOKUP($J122,'Sweetener Mix In Nutrition'!A:A,'Sweetener Mix In Nutrition'!F:F,0))+(($Y122 / 100)  * _xlfn.XLOOKUP($K122,'Sweetener Mix In Nutrition'!A:A,'Sweetener Mix In Nutrition'!F:F,0))</f>
        <v>0</v>
      </c>
      <c r="AK122" s="46">
        <f>[2]Sheet1!AG122</f>
        <v>0</v>
      </c>
      <c r="AL122" s="47"/>
      <c r="AM122" s="40">
        <f>IF(ISERROR(((AL122/Specs!$L$3)*Specs!$L$2)*2),0,ROUNDUP((((AL122/Specs!$L$3)*Specs!$L$2)*2),0))</f>
        <v>0</v>
      </c>
      <c r="AN122" s="48">
        <f>ROUNDUP(((AJ122+Specs!$R$2+Specs!$S$2+_xlfn.XLOOKUP($L122,Specs!A:A,Specs!V:V,0))*Specs!$N$2)+AM122,0)</f>
        <v>1</v>
      </c>
      <c r="AO122" s="40">
        <f>ROUNDUP(((AJ122+Specs!$R$2+Specs!$S$2+_xlfn.XLOOKUP($L122,Specs!A:A,Specs!V:V,0))*Specs!$N$2),0)</f>
        <v>1</v>
      </c>
      <c r="AP122" s="30"/>
    </row>
    <row r="123" spans="1:42" x14ac:dyDescent="0.25">
      <c r="A123" s="41" t="str">
        <f>_xlfn.CONCAT(_xlfn.XLOOKUP("What's Your Name?",[1]Sheet1!$1:$1,[1]Sheet1!123:123)," | ",TEXT(_xlfn.XLOOKUP("Completion time",[1]Sheet1!$1:$1,[1]Sheet1!123:123),"dddd, mmm dd, yyyy hh:mm AM/PM"))</f>
        <v xml:space="preserve"> | Saturday, Jan 00, 1900 12:00 AM</v>
      </c>
      <c r="B123" s="76">
        <f>_xlfn.XLOOKUP("What's Your Email Address?",[1]Sheet1!$1:$1,[1]Sheet1!123:123)</f>
        <v>0</v>
      </c>
      <c r="C123" s="31">
        <f>IF(ISBLANK(_xlfn.XLOOKUP("Which Flavor? (Pint Price | Quart Price | Half Gallon Price) (NOTE: Prices may fluctuate based on market conditions)",[1]Sheet1!$1:$1,[1]Sheet1!123:123)),_xlfn.XLOOKUP("Name Your Ice Cream!",[1]Sheet1!$1:$1,[1]Sheet1!123:123),IF(ISNUMBER(FIND("(", _xlfn.XLOOKUP("Which Flavor? (Pint Price | Quart Price | Half Gallon Price) (NOTE: Prices may fluctuate based on market conditions)",[1]Sheet1!$1:$1,[1]Sheet1!123:123))), LEFT(_xlfn.XLOOKUP("Which Flavor? (Pint Price | Quart Price | Half Gallon Price) (NOTE: Prices may fluctuate based on market conditions)",[1]Sheet1!$1:$1,[1]Sheet1!123:123), FIND("(", _xlfn.XLOOKUP("Which Flavor? (Pint Price | Quart Price | Half Gallon Price) (NOTE: Prices may fluctuate based on market conditions)",[1]Sheet1!$1:$1,[1]Sheet1!123:123)) - 1), _xlfn.XLOOKUP("Which Flavor? (Pint Price | Quart Price | Half Gallon Price) (NOTE: Prices may fluctuate based on market conditions)",[1]Sheet1!$1:$1,[1]Sheet1!123:123)))</f>
        <v>0</v>
      </c>
      <c r="D123" s="31">
        <f>IF(COUNTIF('Premade Flavors'!$A:$A, $C123) &gt; 0,IF(ISBLANK(_xlfn.XLOOKUP("What Ice Cream Base Do You Want To Change It To?",[1]Sheet1!$1:$1,[1]Sheet1!123:123)),_xlfn.XLOOKUP($C123,'Premade Flavors'!$A:$A,'Premade Flavors'!B:B),_xlfn.XLOOKUP("What Ice Cream Base Do You Want To Change It To?",[1]Sheet1!$1:$1,[1]Sheet1!123:123)),_xlfn.XLOOKUP(_xlfn.XLOOKUP("What Kind Of Ice Cream Base Do You Want? ",[1]Sheet1!$1:$1,[1]Sheet1!123:123),'Milk Types Nutrition Per Cup'!O:O,'Milk Types Nutrition Per Cup'!P:P,""))</f>
        <v>0</v>
      </c>
      <c r="E123" s="31">
        <f>IF(COUNTIF('Premade Flavors'!$A:$A, $C123) &gt; 0,IF(ISBLANK(_xlfn.XLOOKUP("What Ice Cream Base Do You Want To Change It To?",[1]Sheet1!$1:$1,[1]Sheet1!123:123)),_xlfn.XLOOKUP($C123,'Premade Flavors'!$A:$A,'Premade Flavors'!C:C),_xlfn.XLOOKUP("What Ice Cream Base Do You Want To Change It To?",[1]Sheet1!$1:$1,[1]Sheet1!123:123)),_xlfn.XLOOKUP(_xlfn.XLOOKUP("What Kind Of Ice Cream Base Do You Want? ",[1]Sheet1!$1:$1,[1]Sheet1!123:123),'Milk Types Nutrition Per Cup'!$O:$O,'Milk Types Nutrition Per Cup'!$Q:$Q,""))</f>
        <v>0</v>
      </c>
      <c r="F123" s="31">
        <f>IF(COUNTIF('Premade Flavors'!$A:$A, $C123) &gt; 0,_xlfn.XLOOKUP($C123,'Premade Flavors'!$A:$A,'Premade Flavors'!E:E),_xlfn.XLOOKUP("What's The First Flavor You Want? ",[1]Sheet1!$1:$1,[1]Sheet1!123:123))</f>
        <v>0</v>
      </c>
      <c r="G123" s="31">
        <f>IF(COUNTIF('Premade Flavors'!$A:$A, $C123) &gt; 0,_xlfn.XLOOKUP($C123,'Premade Flavors'!$A:$A,'Premade Flavors'!F:F),_xlfn.XLOOKUP("What's the Second Flavor You Want?",[1]Sheet1!$1:$1,[1]Sheet1!123:123))</f>
        <v>0</v>
      </c>
      <c r="H123" s="31">
        <f>IF(COUNTIF('Premade Flavors'!$A:$A, $C123) &gt; 0,_xlfn.XLOOKUP($C123,'Premade Flavors'!$A:$A,'Premade Flavors'!G:G),_xlfn.XLOOKUP("What's The First Mix In That You Want? ",[1]Sheet1!$1:$1,[1]Sheet1!123:123))</f>
        <v>0</v>
      </c>
      <c r="I123" s="31">
        <f>IF(COUNTIF('Premade Flavors'!$A:$A, $C121) &gt; 0,_xlfn.XLOOKUP($C121,'Premade Flavors'!$A:$A,'Premade Flavors'!H:H),IF([2]Sheet1!W121= 0,,[2]Sheet1!W121))</f>
        <v>0</v>
      </c>
      <c r="J123" s="31">
        <f>IF(COUNTIF('Premade Flavors'!$A:$A,$C123)&gt;0,IF(_xlfn.XLOOKUP("Should It Use Sugar or A Non-Sugar Sweetner?",[1]Sheet1!$1:$1,[1]Sheet1!123:123)="Sugar",_xlfn.XLOOKUP($C123,'Premade Flavors'!$A:$A,'Premade Flavors'!I:I),"Stevia"),_xlfn.XLOOKUP("What Sweetner Do You Want?",[1]Sheet1!$1:$1,[1]Sheet1!123:123))</f>
        <v>0</v>
      </c>
      <c r="K123" s="31"/>
      <c r="L123" s="77">
        <f>_xlfn.XLOOKUP("How Much Ice Cream Do You Want?",[1]Sheet1!$1:$1,[1]Sheet1!123:123)</f>
        <v>0</v>
      </c>
      <c r="M123" s="45">
        <f>IF(COUNTIF('Premade Flavors'!$A:$A, $C123) &gt; 0,_xlfn.XLOOKUP($C123,'Premade Flavors'!$A:$A,'Premade Flavors'!M:M),_xlfn.XLOOKUP("How Strong Do You Want The First Flavor?",[1]Sheet1!$1:$1,[1]Sheet1!123:123))</f>
        <v>0</v>
      </c>
      <c r="N123" s="45">
        <f>IF(COUNTIF('Premade Flavors'!$A:$A, $C123) &gt; 0,_xlfn.XLOOKUP($C123,'Premade Flavors'!$A:$A,'Premade Flavors'!N:N),_xlfn.XLOOKUP("How Strong Do You Want The Second Flavor?",[1]Sheet1!$1:$1,[1]Sheet1!123:123))</f>
        <v>0</v>
      </c>
      <c r="O123" s="45">
        <f>IF(COUNTIF('Premade Flavors'!$A:$A, $C123) &gt; 0,_xlfn.XLOOKUP($C123,'Premade Flavors'!$A:$A,'Premade Flavors'!O:O),_xlfn.XLOOKUP("How Dense Should the Mix Ins Be?",[1]Sheet1!$1:$1,[1]Sheet1!123:123))</f>
        <v>0</v>
      </c>
      <c r="P123" s="45">
        <f>IF(COUNTIF('Premade Flavors'!$A:$A, $C123) &gt; 0,_xlfn.XLOOKUP($C123,'Premade Flavors'!$A:$A,'Premade Flavors'!P:P),_xlfn.XLOOKUP("How Much Of The First Sweetner? ",[1]Sheet1!$1:$1,[1]Sheet1!123:123))</f>
        <v>0</v>
      </c>
      <c r="Q123" s="45">
        <f>IF(COUNTIF('Premade Flavors'!$A:$A, $C123) &gt; 0,_xlfn.XLOOKUP($C123,'Premade Flavors'!$A:$A,'Premade Flavors'!Q:Q),[2]Sheet1!S123)</f>
        <v>0</v>
      </c>
      <c r="R123" s="30">
        <f>(_xlfn.XLOOKUP($L123,Specs!A:A,Specs!B:B,0)-(IF(_xlfn.XLOOKUP($F123,'Liquid Mix In Nutrition'!A:A,'Liquid Mix In Nutrition'!J:J,0)="Yes",0,$T123))-(IF(_xlfn.XLOOKUP($G123,'Liquid Mix In Nutrition'!A:A,'Liquid Mix In Nutrition'!J:J,0)="Yes",0,$U123))-(($V123/MAX(1,_xlfn.XLOOKUP($H123,'Solid Mix In Nutrition'!A:A,'Solid Mix In Nutrition'!I:I,1)))*240)-(($W123/MAX(1,_xlfn.XLOOKUP($I123,'Solid Mix In Nutrition'!A:A,'Solid Mix In Nutrition'!I:I,1)))*240))*0.66</f>
        <v>0</v>
      </c>
      <c r="S123" s="30">
        <f>(_xlfn.XLOOKUP($L123,Specs!A:A,Specs!B:B,0)-(IF(_xlfn.XLOOKUP($F123,'Liquid Mix In Nutrition'!A:A,'Liquid Mix In Nutrition'!J:J,0)="Yes",0,$T123))-(IF(_xlfn.XLOOKUP($G123,'Liquid Mix In Nutrition'!A:A,'Liquid Mix In Nutrition'!J:J,0)="Yes",0,$U123))-(($V123/MAX(1,_xlfn.XLOOKUP($H123,'Solid Mix In Nutrition'!A:A,'Solid Mix In Nutrition'!I:I,1)))*240)-(($W123/MAX(1,_xlfn.XLOOKUP($I123,'Solid Mix In Nutrition'!A:A,'Solid Mix In Nutrition'!I:I,1)))*240))*0.33</f>
        <v>0</v>
      </c>
      <c r="T123" s="30">
        <f>_xlfn.XLOOKUP($M123,Specs!$D:$D,Specs!$E:$E,0)*15*_xlfn.XLOOKUP($L123,Specs!$A:$A,Specs!$C:$C,0)</f>
        <v>0</v>
      </c>
      <c r="U123" s="30">
        <f>_xlfn.XLOOKUP($N123,Specs!$D:$D,Specs!$E:$E,0)*15*_xlfn.XLOOKUP($L123,Specs!$A:$A,Specs!$C:$C,0)</f>
        <v>0</v>
      </c>
      <c r="V123" s="30">
        <f>( ((_xlfn.XLOOKUP($O123,Specs!$H:$H,Specs!$I:$I,0)*_xlfn.XLOOKUP($L123,Specs!$A:$A,Specs!$B:$B,0))/240) *_xlfn.XLOOKUP($H123,'Solid Mix In Nutrition'!A:A,'Solid Mix In Nutrition'!I:I,0)) *IF(AND(NOT($I123=0), COUNTA($I123)),0.5,1)</f>
        <v>0</v>
      </c>
      <c r="W123" s="30">
        <f>( ((_xlfn.XLOOKUP($O123,Specs!$H:$H,Specs!$I:$I,0)*_xlfn.XLOOKUP($L123,Specs!$A:$A,Specs!$B:$B,0))/240) *_xlfn.XLOOKUP($I123,'Solid Mix In Nutrition'!A:A,'Solid Mix In Nutrition'!I:I,0)) *IF(AND(NOT($I123=0), COUNTA($I123)),0.5,0)</f>
        <v>0</v>
      </c>
      <c r="X123" s="30">
        <f>_xlfn.XLOOKUP($P123,Specs!F:F,Specs!G:G,0)*_xlfn.XLOOKUP($J123,'Sweetener Mix In Nutrition'!A:A,'Sweetener Mix In Nutrition'!I:I,0)*_xlfn.XLOOKUP($L123,Specs!A:A,Specs!C:C,0)</f>
        <v>0</v>
      </c>
      <c r="Y123" s="30">
        <f>_xlfn.XLOOKUP($Q123,Specs!F:F,Specs!G:G,0)*_xlfn.XLOOKUP($K123,'Sweetener Mix In Nutrition'!A:A,'Sweetener Mix In Nutrition'!I:I,0)*_xlfn.XLOOKUP($L123,Specs!A:A,Specs!C:C,0)</f>
        <v>0</v>
      </c>
      <c r="Z123" s="34">
        <f t="shared" si="4"/>
        <v>0</v>
      </c>
      <c r="AA123" s="35">
        <f t="shared" si="5"/>
        <v>0</v>
      </c>
      <c r="AB123" s="36">
        <f>(($R123 / 240) * _xlfn.XLOOKUP($D123,'Milk Types Nutrition Per Cup'!A:A,'Milk Types Nutrition Per Cup'!B:B,0)) +(($S123 / 240)  * _xlfn.XLOOKUP($E123,'Milk Types Nutrition Per Cup'!A:A,'Milk Types Nutrition Per Cup'!B:B,0)) +(($T123 / 15)  * _xlfn.XLOOKUP($F123,'Liquid Mix In Nutrition'!A:A,'Liquid Mix In Nutrition'!B:B,0))+(($U123 / 15)  * _xlfn.XLOOKUP($G123,'Liquid Mix In Nutrition'!A:A,'Liquid Mix In Nutrition'!B:B,0))+(($V123 /MAX(1, _xlfn.XLOOKUP($H123,'Solid Mix In Nutrition'!A:A,'Solid Mix In Nutrition'!I:I,1)))  * _xlfn.XLOOKUP($H123,'Solid Mix In Nutrition'!A:A,'Solid Mix In Nutrition'!B:B,0))+(($W123 / MAX(1, _xlfn.XLOOKUP($I123,'Solid Mix In Nutrition'!A:A,'Solid Mix In Nutrition'!I:I,1))))+(($X123 / 100)  * _xlfn.XLOOKUP($J123,'Sweetener Mix In Nutrition'!A:A,'Sweetener Mix In Nutrition'!B:B,0))+(($Y123 / 100)  * _xlfn.XLOOKUP($K123,'Sweetener Mix In Nutrition'!A:A,'Sweetener Mix In Nutrition'!B:B,0))</f>
        <v>0</v>
      </c>
      <c r="AC123" s="36">
        <f>(($R123 / 240) * _xlfn.XLOOKUP($D123,'Milk Types Nutrition Per Cup'!A:A,'Milk Types Nutrition Per Cup'!E:E,0)) +(($S123 / 240)  * _xlfn.XLOOKUP($E123,'Milk Types Nutrition Per Cup'!A:A,'Milk Types Nutrition Per Cup'!E:E,0)) +(($T123 / 15)  * _xlfn.XLOOKUP($F123,'Liquid Mix In Nutrition'!A:A,'Liquid Mix In Nutrition'!E:E,0)) +(($U123 / 15)  * _xlfn.XLOOKUP($G123,'Liquid Mix In Nutrition'!A:A,'Liquid Mix In Nutrition'!E:E,0))+(($V123 / MAX(1, _xlfn.XLOOKUP($H123,'Solid Mix In Nutrition'!A:A,'Solid Mix In Nutrition'!I:I,1)))  * _xlfn.XLOOKUP($H123,'Solid Mix In Nutrition'!A:A,'Solid Mix In Nutrition'!E:E,0))+(($W123 / MAX(1, _xlfn.XLOOKUP($I123,'Solid Mix In Nutrition'!A:A,'Solid Mix In Nutrition'!I:I,1)))  * _xlfn.XLOOKUP($I123,'Solid Mix In Nutrition'!A:A,'Solid Mix In Nutrition'!G:G,0))+(($X123 / 100)  * _xlfn.XLOOKUP($J123,'Sweetener Mix In Nutrition'!A:A,'Sweetener Mix In Nutrition'!E:E,0))+(($Y123 / 100)  * _xlfn.XLOOKUP($K123,'Sweetener Mix In Nutrition'!A:A,'Sweetener Mix In Nutrition'!E:E,0))</f>
        <v>0</v>
      </c>
      <c r="AD123" s="36">
        <f>(($R123 / 240) * _xlfn.XLOOKUP($D123,'Milk Types Nutrition Per Cup'!A:A,'Milk Types Nutrition Per Cup'!E:E,0)) +(($S123 / 240)  * _xlfn.XLOOKUP($E123,'Milk Types Nutrition Per Cup'!A:A,'Milk Types Nutrition Per Cup'!E:E,0)) +(($T123 / 15)  * _xlfn.XLOOKUP($F123,'Liquid Mix In Nutrition'!A:A,'Liquid Mix In Nutrition'!E:E,0)) +(($U123 / 15)  * _xlfn.XLOOKUP($G123,'Liquid Mix In Nutrition'!A:A,'Liquid Mix In Nutrition'!E:E,0))+(($X123 / 100)  * _xlfn.XLOOKUP($J123,'Sweetener Mix In Nutrition'!A:A,'Sweetener Mix In Nutrition'!E:E,0))+(($Y123 / 100)  * _xlfn.XLOOKUP($K123,'Sweetener Mix In Nutrition'!A:A,'Sweetener Mix In Nutrition'!E:E,0))</f>
        <v>0</v>
      </c>
      <c r="AE123" s="37">
        <f>(($R123 / 240) * _xlfn.XLOOKUP($D123,'Milk Types Nutrition Per Cup'!A:A,'Milk Types Nutrition Per Cup'!C:C,0)) +(($S123 / 240)  * _xlfn.XLOOKUP($E123,'Milk Types Nutrition Per Cup'!A:A,'Milk Types Nutrition Per Cup'!C:C,0)) +(($T123 / 15)  * _xlfn.XLOOKUP($F123,'Liquid Mix In Nutrition'!A:A,'Liquid Mix In Nutrition'!C:C,0))+(($U123 / 15)  * _xlfn.XLOOKUP($G123,'Liquid Mix In Nutrition'!A:A,'Liquid Mix In Nutrition'!C:C,0))+(($V123 / MAX(1, _xlfn.XLOOKUP($H123,'Solid Mix In Nutrition'!A:A,'Solid Mix In Nutrition'!I:I,1)))  * _xlfn.XLOOKUP($H123,'Solid Mix In Nutrition'!A:A,'Solid Mix In Nutrition'!C:C,0))+(($W123 / MAX(1, _xlfn.XLOOKUP($I123,'Solid Mix In Nutrition'!A:A,'Solid Mix In Nutrition'!I:I,1)))  * _xlfn.XLOOKUP($I123,'Solid Mix In Nutrition'!A:A,'Solid Mix In Nutrition'!C:C,0))+(($X123 / 100)  * _xlfn.XLOOKUP($J123,'Sweetener Mix In Nutrition'!A:A,'Sweetener Mix In Nutrition'!C:C,0))+(($Y123 / 100)  * _xlfn.XLOOKUP($K123,'Sweetener Mix In Nutrition'!A:A,'Sweetener Mix In Nutrition'!C:C,0))</f>
        <v>0</v>
      </c>
      <c r="AF123" s="38" t="e">
        <f>$AE123 / (_xlfn.XLOOKUP($L123,Specs!A:A,Specs!B:B,0))</f>
        <v>#DIV/0!</v>
      </c>
      <c r="AG123" s="37" t="e">
        <f>60* ($AB123 / _xlfn.XLOOKUP($L123,Specs!A:A,Specs!B:B,0))</f>
        <v>#DIV/0!</v>
      </c>
      <c r="AH123" s="37" t="e">
        <f>60* (AC123 / _xlfn.XLOOKUP($L123,Specs!$A:$A,Specs!$B:$B,0))</f>
        <v>#DIV/0!</v>
      </c>
      <c r="AI123" s="37" t="e">
        <f>60* (AE123 / _xlfn.XLOOKUP($L123,Specs!$A:$A,Specs!$B:$B,0))</f>
        <v>#DIV/0!</v>
      </c>
      <c r="AJ123" s="39">
        <f>(($R123 / 240) * _xlfn.XLOOKUP($D123,'Milk Types Nutrition Per Cup'!A:A,'Milk Types Nutrition Per Cup'!F:F,0)) +(($S123 / 240)  * _xlfn.XLOOKUP($E123,'Milk Types Nutrition Per Cup'!A:A,'Milk Types Nutrition Per Cup'!F:F,0)) +(($T123 / 15)  * _xlfn.XLOOKUP($F123,'Liquid Mix In Nutrition'!A:A,'Liquid Mix In Nutrition'!F:F,0))+(($U123 / 15)  * _xlfn.XLOOKUP($G123,'Liquid Mix In Nutrition'!A:A,'Liquid Mix In Nutrition'!F:F,0))+(($V123 / MAX(1, _xlfn.XLOOKUP($H123,'Solid Mix In Nutrition'!A:A,'Solid Mix In Nutrition'!I:I,1)))  * _xlfn.XLOOKUP($H123,'Solid Mix In Nutrition'!A:A,'Solid Mix In Nutrition'!F:F,0))+(($W123 / MAX(1, _xlfn.XLOOKUP($I123,'Solid Mix In Nutrition'!A:A,'Solid Mix In Nutrition'!I:I,1)))  * _xlfn.XLOOKUP($I123,'Solid Mix In Nutrition'!A:A,'Solid Mix In Nutrition'!F:F,0))+(($X123 / 100)  * _xlfn.XLOOKUP($J123,'Sweetener Mix In Nutrition'!A:A,'Sweetener Mix In Nutrition'!F:F,0))+(($Y123 / 100)  * _xlfn.XLOOKUP($K123,'Sweetener Mix In Nutrition'!A:A,'Sweetener Mix In Nutrition'!F:F,0))</f>
        <v>0</v>
      </c>
      <c r="AK123" s="46">
        <f>[2]Sheet1!AG123</f>
        <v>0</v>
      </c>
      <c r="AL123" s="47"/>
      <c r="AM123" s="40">
        <f>IF(ISERROR(((AL123/Specs!$L$3)*Specs!$L$2)*2),0,ROUNDUP((((AL123/Specs!$L$3)*Specs!$L$2)*2),0))</f>
        <v>0</v>
      </c>
      <c r="AN123" s="48">
        <f>ROUNDUP(((AJ123+Specs!$R$2+Specs!$S$2+_xlfn.XLOOKUP($L123,Specs!A:A,Specs!V:V,0))*Specs!$N$2)+AM123,0)</f>
        <v>1</v>
      </c>
      <c r="AO123" s="40">
        <f>ROUNDUP(((AJ123+Specs!$R$2+Specs!$S$2+_xlfn.XLOOKUP($L123,Specs!A:A,Specs!V:V,0))*Specs!$N$2),0)</f>
        <v>1</v>
      </c>
      <c r="AP123" s="30"/>
    </row>
    <row r="124" spans="1:42" x14ac:dyDescent="0.25">
      <c r="A124" s="41" t="str">
        <f>_xlfn.CONCAT(_xlfn.XLOOKUP("What's Your Name?",[1]Sheet1!$1:$1,[1]Sheet1!124:124)," | ",TEXT(_xlfn.XLOOKUP("Completion time",[1]Sheet1!$1:$1,[1]Sheet1!124:124),"dddd, mmm dd, yyyy hh:mm AM/PM"))</f>
        <v xml:space="preserve"> | Saturday, Jan 00, 1900 12:00 AM</v>
      </c>
      <c r="B124" s="76">
        <f>_xlfn.XLOOKUP("What's Your Email Address?",[1]Sheet1!$1:$1,[1]Sheet1!124:124)</f>
        <v>0</v>
      </c>
      <c r="C124" s="31">
        <f>IF(ISBLANK(_xlfn.XLOOKUP("Which Flavor? (Pint Price | Quart Price | Half Gallon Price) (NOTE: Prices may fluctuate based on market conditions)",[1]Sheet1!$1:$1,[1]Sheet1!124:124)),_xlfn.XLOOKUP("Name Your Ice Cream!",[1]Sheet1!$1:$1,[1]Sheet1!124:124),IF(ISNUMBER(FIND("(", _xlfn.XLOOKUP("Which Flavor? (Pint Price | Quart Price | Half Gallon Price) (NOTE: Prices may fluctuate based on market conditions)",[1]Sheet1!$1:$1,[1]Sheet1!124:124))), LEFT(_xlfn.XLOOKUP("Which Flavor? (Pint Price | Quart Price | Half Gallon Price) (NOTE: Prices may fluctuate based on market conditions)",[1]Sheet1!$1:$1,[1]Sheet1!124:124), FIND("(", _xlfn.XLOOKUP("Which Flavor? (Pint Price | Quart Price | Half Gallon Price) (NOTE: Prices may fluctuate based on market conditions)",[1]Sheet1!$1:$1,[1]Sheet1!124:124)) - 1), _xlfn.XLOOKUP("Which Flavor? (Pint Price | Quart Price | Half Gallon Price) (NOTE: Prices may fluctuate based on market conditions)",[1]Sheet1!$1:$1,[1]Sheet1!124:124)))</f>
        <v>0</v>
      </c>
      <c r="D124" s="31">
        <f>IF(COUNTIF('Premade Flavors'!$A:$A, $C124) &gt; 0,IF(ISBLANK(_xlfn.XLOOKUP("What Ice Cream Base Do You Want To Change It To?",[1]Sheet1!$1:$1,[1]Sheet1!124:124)),_xlfn.XLOOKUP($C124,'Premade Flavors'!$A:$A,'Premade Flavors'!B:B),_xlfn.XLOOKUP("What Ice Cream Base Do You Want To Change It To?",[1]Sheet1!$1:$1,[1]Sheet1!124:124)),_xlfn.XLOOKUP(_xlfn.XLOOKUP("What Kind Of Ice Cream Base Do You Want? ",[1]Sheet1!$1:$1,[1]Sheet1!124:124),'Milk Types Nutrition Per Cup'!O:O,'Milk Types Nutrition Per Cup'!P:P,""))</f>
        <v>0</v>
      </c>
      <c r="E124" s="31">
        <f>IF(COUNTIF('Premade Flavors'!$A:$A, $C124) &gt; 0,IF(ISBLANK(_xlfn.XLOOKUP("What Ice Cream Base Do You Want To Change It To?",[1]Sheet1!$1:$1,[1]Sheet1!124:124)),_xlfn.XLOOKUP($C124,'Premade Flavors'!$A:$A,'Premade Flavors'!C:C),_xlfn.XLOOKUP("What Ice Cream Base Do You Want To Change It To?",[1]Sheet1!$1:$1,[1]Sheet1!124:124)),_xlfn.XLOOKUP(_xlfn.XLOOKUP("What Kind Of Ice Cream Base Do You Want? ",[1]Sheet1!$1:$1,[1]Sheet1!124:124),'Milk Types Nutrition Per Cup'!$O:$O,'Milk Types Nutrition Per Cup'!$Q:$Q,""))</f>
        <v>0</v>
      </c>
      <c r="F124" s="31">
        <f>IF(COUNTIF('Premade Flavors'!$A:$A, $C124) &gt; 0,_xlfn.XLOOKUP($C124,'Premade Flavors'!$A:$A,'Premade Flavors'!E:E),_xlfn.XLOOKUP("What's The First Flavor You Want? ",[1]Sheet1!$1:$1,[1]Sheet1!124:124))</f>
        <v>0</v>
      </c>
      <c r="G124" s="31">
        <f>IF(COUNTIF('Premade Flavors'!$A:$A, $C124) &gt; 0,_xlfn.XLOOKUP($C124,'Premade Flavors'!$A:$A,'Premade Flavors'!F:F),_xlfn.XLOOKUP("What's the Second Flavor You Want?",[1]Sheet1!$1:$1,[1]Sheet1!124:124))</f>
        <v>0</v>
      </c>
      <c r="H124" s="31">
        <f>IF(COUNTIF('Premade Flavors'!$A:$A, $C124) &gt; 0,_xlfn.XLOOKUP($C124,'Premade Flavors'!$A:$A,'Premade Flavors'!G:G),_xlfn.XLOOKUP("What's The First Mix In That You Want? ",[1]Sheet1!$1:$1,[1]Sheet1!124:124))</f>
        <v>0</v>
      </c>
      <c r="I124" s="31">
        <f>IF(COUNTIF('Premade Flavors'!$A:$A, $C122) &gt; 0,_xlfn.XLOOKUP($C122,'Premade Flavors'!$A:$A,'Premade Flavors'!H:H),IF([2]Sheet1!W122= 0,,[2]Sheet1!W122))</f>
        <v>0</v>
      </c>
      <c r="J124" s="31">
        <f>IF(COUNTIF('Premade Flavors'!$A:$A,$C124)&gt;0,IF(_xlfn.XLOOKUP("Should It Use Sugar or A Non-Sugar Sweetner?",[1]Sheet1!$1:$1,[1]Sheet1!124:124)="Sugar",_xlfn.XLOOKUP($C124,'Premade Flavors'!$A:$A,'Premade Flavors'!I:I),"Stevia"),_xlfn.XLOOKUP("What Sweetner Do You Want?",[1]Sheet1!$1:$1,[1]Sheet1!124:124))</f>
        <v>0</v>
      </c>
      <c r="K124" s="31"/>
      <c r="L124" s="77">
        <f>_xlfn.XLOOKUP("How Much Ice Cream Do You Want?",[1]Sheet1!$1:$1,[1]Sheet1!124:124)</f>
        <v>0</v>
      </c>
      <c r="M124" s="45">
        <f>IF(COUNTIF('Premade Flavors'!$A:$A, $C124) &gt; 0,_xlfn.XLOOKUP($C124,'Premade Flavors'!$A:$A,'Premade Flavors'!M:M),_xlfn.XLOOKUP("How Strong Do You Want The First Flavor?",[1]Sheet1!$1:$1,[1]Sheet1!124:124))</f>
        <v>0</v>
      </c>
      <c r="N124" s="45">
        <f>IF(COUNTIF('Premade Flavors'!$A:$A, $C124) &gt; 0,_xlfn.XLOOKUP($C124,'Premade Flavors'!$A:$A,'Premade Flavors'!N:N),_xlfn.XLOOKUP("How Strong Do You Want The Second Flavor?",[1]Sheet1!$1:$1,[1]Sheet1!124:124))</f>
        <v>0</v>
      </c>
      <c r="O124" s="45">
        <f>IF(COUNTIF('Premade Flavors'!$A:$A, $C124) &gt; 0,_xlfn.XLOOKUP($C124,'Premade Flavors'!$A:$A,'Premade Flavors'!O:O),_xlfn.XLOOKUP("How Dense Should the Mix Ins Be?",[1]Sheet1!$1:$1,[1]Sheet1!124:124))</f>
        <v>0</v>
      </c>
      <c r="P124" s="45">
        <f>IF(COUNTIF('Premade Flavors'!$A:$A, $C124) &gt; 0,_xlfn.XLOOKUP($C124,'Premade Flavors'!$A:$A,'Premade Flavors'!P:P),_xlfn.XLOOKUP("How Much Of The First Sweetner? ",[1]Sheet1!$1:$1,[1]Sheet1!124:124))</f>
        <v>0</v>
      </c>
      <c r="Q124" s="45">
        <f>IF(COUNTIF('Premade Flavors'!$A:$A, $C124) &gt; 0,_xlfn.XLOOKUP($C124,'Premade Flavors'!$A:$A,'Premade Flavors'!Q:Q),[2]Sheet1!S124)</f>
        <v>0</v>
      </c>
      <c r="R124" s="30">
        <f>(_xlfn.XLOOKUP($L124,Specs!A:A,Specs!B:B,0)-(IF(_xlfn.XLOOKUP($F124,'Liquid Mix In Nutrition'!A:A,'Liquid Mix In Nutrition'!J:J,0)="Yes",0,$T124))-(IF(_xlfn.XLOOKUP($G124,'Liquid Mix In Nutrition'!A:A,'Liquid Mix In Nutrition'!J:J,0)="Yes",0,$U124))-(($V124/MAX(1,_xlfn.XLOOKUP($H124,'Solid Mix In Nutrition'!A:A,'Solid Mix In Nutrition'!I:I,1)))*240)-(($W124/MAX(1,_xlfn.XLOOKUP($I124,'Solid Mix In Nutrition'!A:A,'Solid Mix In Nutrition'!I:I,1)))*240))*0.66</f>
        <v>0</v>
      </c>
      <c r="S124" s="30">
        <f>(_xlfn.XLOOKUP($L124,Specs!A:A,Specs!B:B,0)-(IF(_xlfn.XLOOKUP($F124,'Liquid Mix In Nutrition'!A:A,'Liquid Mix In Nutrition'!J:J,0)="Yes",0,$T124))-(IF(_xlfn.XLOOKUP($G124,'Liquid Mix In Nutrition'!A:A,'Liquid Mix In Nutrition'!J:J,0)="Yes",0,$U124))-(($V124/MAX(1,_xlfn.XLOOKUP($H124,'Solid Mix In Nutrition'!A:A,'Solid Mix In Nutrition'!I:I,1)))*240)-(($W124/MAX(1,_xlfn.XLOOKUP($I124,'Solid Mix In Nutrition'!A:A,'Solid Mix In Nutrition'!I:I,1)))*240))*0.33</f>
        <v>0</v>
      </c>
      <c r="T124" s="30">
        <f>_xlfn.XLOOKUP($M124,Specs!$D:$D,Specs!$E:$E,0)*15*_xlfn.XLOOKUP($L124,Specs!$A:$A,Specs!$C:$C,0)</f>
        <v>0</v>
      </c>
      <c r="U124" s="30">
        <f>_xlfn.XLOOKUP($N124,Specs!$D:$D,Specs!$E:$E,0)*15*_xlfn.XLOOKUP($L124,Specs!$A:$A,Specs!$C:$C,0)</f>
        <v>0</v>
      </c>
      <c r="V124" s="30">
        <f>( ((_xlfn.XLOOKUP($O124,Specs!$H:$H,Specs!$I:$I,0)*_xlfn.XLOOKUP($L124,Specs!$A:$A,Specs!$B:$B,0))/240) *_xlfn.XLOOKUP($H124,'Solid Mix In Nutrition'!A:A,'Solid Mix In Nutrition'!I:I,0)) *IF(AND(NOT($I124=0), COUNTA($I124)),0.5,1)</f>
        <v>0</v>
      </c>
      <c r="W124" s="30">
        <f>( ((_xlfn.XLOOKUP($O124,Specs!$H:$H,Specs!$I:$I,0)*_xlfn.XLOOKUP($L124,Specs!$A:$A,Specs!$B:$B,0))/240) *_xlfn.XLOOKUP($I124,'Solid Mix In Nutrition'!A:A,'Solid Mix In Nutrition'!I:I,0)) *IF(AND(NOT($I124=0), COUNTA($I124)),0.5,0)</f>
        <v>0</v>
      </c>
      <c r="X124" s="30">
        <f>_xlfn.XLOOKUP($P124,Specs!F:F,Specs!G:G,0)*_xlfn.XLOOKUP($J124,'Sweetener Mix In Nutrition'!A:A,'Sweetener Mix In Nutrition'!I:I,0)*_xlfn.XLOOKUP($L124,Specs!A:A,Specs!C:C,0)</f>
        <v>0</v>
      </c>
      <c r="Y124" s="30">
        <f>_xlfn.XLOOKUP($Q124,Specs!F:F,Specs!G:G,0)*_xlfn.XLOOKUP($K124,'Sweetener Mix In Nutrition'!A:A,'Sweetener Mix In Nutrition'!I:I,0)*_xlfn.XLOOKUP($L124,Specs!A:A,Specs!C:C,0)</f>
        <v>0</v>
      </c>
      <c r="Z124" s="34">
        <f t="shared" si="4"/>
        <v>0</v>
      </c>
      <c r="AA124" s="35">
        <f t="shared" si="5"/>
        <v>0</v>
      </c>
      <c r="AB124" s="36">
        <f>(($R124 / 240) * _xlfn.XLOOKUP($D124,'Milk Types Nutrition Per Cup'!A:A,'Milk Types Nutrition Per Cup'!B:B,0)) +(($S124 / 240)  * _xlfn.XLOOKUP($E124,'Milk Types Nutrition Per Cup'!A:A,'Milk Types Nutrition Per Cup'!B:B,0)) +(($T124 / 15)  * _xlfn.XLOOKUP($F124,'Liquid Mix In Nutrition'!A:A,'Liquid Mix In Nutrition'!B:B,0))+(($U124 / 15)  * _xlfn.XLOOKUP($G124,'Liquid Mix In Nutrition'!A:A,'Liquid Mix In Nutrition'!B:B,0))+(($V124 /MAX(1, _xlfn.XLOOKUP($H124,'Solid Mix In Nutrition'!A:A,'Solid Mix In Nutrition'!I:I,1)))  * _xlfn.XLOOKUP($H124,'Solid Mix In Nutrition'!A:A,'Solid Mix In Nutrition'!B:B,0))+(($W124 / MAX(1, _xlfn.XLOOKUP($I124,'Solid Mix In Nutrition'!A:A,'Solid Mix In Nutrition'!I:I,1))))+(($X124 / 100)  * _xlfn.XLOOKUP($J124,'Sweetener Mix In Nutrition'!A:A,'Sweetener Mix In Nutrition'!B:B,0))+(($Y124 / 100)  * _xlfn.XLOOKUP($K124,'Sweetener Mix In Nutrition'!A:A,'Sweetener Mix In Nutrition'!B:B,0))</f>
        <v>0</v>
      </c>
      <c r="AC124" s="36">
        <f>(($R124 / 240) * _xlfn.XLOOKUP($D124,'Milk Types Nutrition Per Cup'!A:A,'Milk Types Nutrition Per Cup'!E:E,0)) +(($S124 / 240)  * _xlfn.XLOOKUP($E124,'Milk Types Nutrition Per Cup'!A:A,'Milk Types Nutrition Per Cup'!E:E,0)) +(($T124 / 15)  * _xlfn.XLOOKUP($F124,'Liquid Mix In Nutrition'!A:A,'Liquid Mix In Nutrition'!E:E,0)) +(($U124 / 15)  * _xlfn.XLOOKUP($G124,'Liquid Mix In Nutrition'!A:A,'Liquid Mix In Nutrition'!E:E,0))+(($V124 / MAX(1, _xlfn.XLOOKUP($H124,'Solid Mix In Nutrition'!A:A,'Solid Mix In Nutrition'!I:I,1)))  * _xlfn.XLOOKUP($H124,'Solid Mix In Nutrition'!A:A,'Solid Mix In Nutrition'!E:E,0))+(($W124 / MAX(1, _xlfn.XLOOKUP($I124,'Solid Mix In Nutrition'!A:A,'Solid Mix In Nutrition'!I:I,1)))  * _xlfn.XLOOKUP($I124,'Solid Mix In Nutrition'!A:A,'Solid Mix In Nutrition'!G:G,0))+(($X124 / 100)  * _xlfn.XLOOKUP($J124,'Sweetener Mix In Nutrition'!A:A,'Sweetener Mix In Nutrition'!E:E,0))+(($Y124 / 100)  * _xlfn.XLOOKUP($K124,'Sweetener Mix In Nutrition'!A:A,'Sweetener Mix In Nutrition'!E:E,0))</f>
        <v>0</v>
      </c>
      <c r="AD124" s="36">
        <f>(($R124 / 240) * _xlfn.XLOOKUP($D124,'Milk Types Nutrition Per Cup'!A:A,'Milk Types Nutrition Per Cup'!E:E,0)) +(($S124 / 240)  * _xlfn.XLOOKUP($E124,'Milk Types Nutrition Per Cup'!A:A,'Milk Types Nutrition Per Cup'!E:E,0)) +(($T124 / 15)  * _xlfn.XLOOKUP($F124,'Liquid Mix In Nutrition'!A:A,'Liquid Mix In Nutrition'!E:E,0)) +(($U124 / 15)  * _xlfn.XLOOKUP($G124,'Liquid Mix In Nutrition'!A:A,'Liquid Mix In Nutrition'!E:E,0))+(($X124 / 100)  * _xlfn.XLOOKUP($J124,'Sweetener Mix In Nutrition'!A:A,'Sweetener Mix In Nutrition'!E:E,0))+(($Y124 / 100)  * _xlfn.XLOOKUP($K124,'Sweetener Mix In Nutrition'!A:A,'Sweetener Mix In Nutrition'!E:E,0))</f>
        <v>0</v>
      </c>
      <c r="AE124" s="37">
        <f>(($R124 / 240) * _xlfn.XLOOKUP($D124,'Milk Types Nutrition Per Cup'!A:A,'Milk Types Nutrition Per Cup'!C:C,0)) +(($S124 / 240)  * _xlfn.XLOOKUP($E124,'Milk Types Nutrition Per Cup'!A:A,'Milk Types Nutrition Per Cup'!C:C,0)) +(($T124 / 15)  * _xlfn.XLOOKUP($F124,'Liquid Mix In Nutrition'!A:A,'Liquid Mix In Nutrition'!C:C,0))+(($U124 / 15)  * _xlfn.XLOOKUP($G124,'Liquid Mix In Nutrition'!A:A,'Liquid Mix In Nutrition'!C:C,0))+(($V124 / MAX(1, _xlfn.XLOOKUP($H124,'Solid Mix In Nutrition'!A:A,'Solid Mix In Nutrition'!I:I,1)))  * _xlfn.XLOOKUP($H124,'Solid Mix In Nutrition'!A:A,'Solid Mix In Nutrition'!C:C,0))+(($W124 / MAX(1, _xlfn.XLOOKUP($I124,'Solid Mix In Nutrition'!A:A,'Solid Mix In Nutrition'!I:I,1)))  * _xlfn.XLOOKUP($I124,'Solid Mix In Nutrition'!A:A,'Solid Mix In Nutrition'!C:C,0))+(($X124 / 100)  * _xlfn.XLOOKUP($J124,'Sweetener Mix In Nutrition'!A:A,'Sweetener Mix In Nutrition'!C:C,0))+(($Y124 / 100)  * _xlfn.XLOOKUP($K124,'Sweetener Mix In Nutrition'!A:A,'Sweetener Mix In Nutrition'!C:C,0))</f>
        <v>0</v>
      </c>
      <c r="AF124" s="38" t="e">
        <f>$AE124 / (_xlfn.XLOOKUP($L124,Specs!A:A,Specs!B:B,0))</f>
        <v>#DIV/0!</v>
      </c>
      <c r="AG124" s="37" t="e">
        <f>60* ($AB124 / _xlfn.XLOOKUP($L124,Specs!A:A,Specs!B:B,0))</f>
        <v>#DIV/0!</v>
      </c>
      <c r="AH124" s="37" t="e">
        <f>60* (AC124 / _xlfn.XLOOKUP($L124,Specs!$A:$A,Specs!$B:$B,0))</f>
        <v>#DIV/0!</v>
      </c>
      <c r="AI124" s="37" t="e">
        <f>60* (AE124 / _xlfn.XLOOKUP($L124,Specs!$A:$A,Specs!$B:$B,0))</f>
        <v>#DIV/0!</v>
      </c>
      <c r="AJ124" s="39">
        <f>(($R124 / 240) * _xlfn.XLOOKUP($D124,'Milk Types Nutrition Per Cup'!A:A,'Milk Types Nutrition Per Cup'!F:F,0)) +(($S124 / 240)  * _xlfn.XLOOKUP($E124,'Milk Types Nutrition Per Cup'!A:A,'Milk Types Nutrition Per Cup'!F:F,0)) +(($T124 / 15)  * _xlfn.XLOOKUP($F124,'Liquid Mix In Nutrition'!A:A,'Liquid Mix In Nutrition'!F:F,0))+(($U124 / 15)  * _xlfn.XLOOKUP($G124,'Liquid Mix In Nutrition'!A:A,'Liquid Mix In Nutrition'!F:F,0))+(($V124 / MAX(1, _xlfn.XLOOKUP($H124,'Solid Mix In Nutrition'!A:A,'Solid Mix In Nutrition'!I:I,1)))  * _xlfn.XLOOKUP($H124,'Solid Mix In Nutrition'!A:A,'Solid Mix In Nutrition'!F:F,0))+(($W124 / MAX(1, _xlfn.XLOOKUP($I124,'Solid Mix In Nutrition'!A:A,'Solid Mix In Nutrition'!I:I,1)))  * _xlfn.XLOOKUP($I124,'Solid Mix In Nutrition'!A:A,'Solid Mix In Nutrition'!F:F,0))+(($X124 / 100)  * _xlfn.XLOOKUP($J124,'Sweetener Mix In Nutrition'!A:A,'Sweetener Mix In Nutrition'!F:F,0))+(($Y124 / 100)  * _xlfn.XLOOKUP($K124,'Sweetener Mix In Nutrition'!A:A,'Sweetener Mix In Nutrition'!F:F,0))</f>
        <v>0</v>
      </c>
      <c r="AK124" s="46">
        <f>[2]Sheet1!AG124</f>
        <v>0</v>
      </c>
      <c r="AL124" s="47"/>
      <c r="AM124" s="40">
        <f>IF(ISERROR(((AL124/Specs!$L$3)*Specs!$L$2)*2),0,ROUNDUP((((AL124/Specs!$L$3)*Specs!$L$2)*2),0))</f>
        <v>0</v>
      </c>
      <c r="AN124" s="48">
        <f>ROUNDUP(((AJ124+Specs!$R$2+Specs!$S$2+_xlfn.XLOOKUP($L124,Specs!A:A,Specs!V:V,0))*Specs!$N$2)+AM124,0)</f>
        <v>1</v>
      </c>
      <c r="AO124" s="40">
        <f>ROUNDUP(((AJ124+Specs!$R$2+Specs!$S$2+_xlfn.XLOOKUP($L124,Specs!A:A,Specs!V:V,0))*Specs!$N$2),0)</f>
        <v>1</v>
      </c>
      <c r="AP124" s="30"/>
    </row>
    <row r="125" spans="1:42" x14ac:dyDescent="0.25">
      <c r="A125" s="41" t="str">
        <f>_xlfn.CONCAT(_xlfn.XLOOKUP("What's Your Name?",[1]Sheet1!$1:$1,[1]Sheet1!125:125)," | ",TEXT(_xlfn.XLOOKUP("Completion time",[1]Sheet1!$1:$1,[1]Sheet1!125:125),"dddd, mmm dd, yyyy hh:mm AM/PM"))</f>
        <v xml:space="preserve"> | Saturday, Jan 00, 1900 12:00 AM</v>
      </c>
      <c r="B125" s="76">
        <f>_xlfn.XLOOKUP("What's Your Email Address?",[1]Sheet1!$1:$1,[1]Sheet1!125:125)</f>
        <v>0</v>
      </c>
      <c r="C125" s="31">
        <f>IF(ISBLANK(_xlfn.XLOOKUP("Which Flavor? (Pint Price | Quart Price | Half Gallon Price) (NOTE: Prices may fluctuate based on market conditions)",[1]Sheet1!$1:$1,[1]Sheet1!125:125)),_xlfn.XLOOKUP("Name Your Ice Cream!",[1]Sheet1!$1:$1,[1]Sheet1!125:125),IF(ISNUMBER(FIND("(", _xlfn.XLOOKUP("Which Flavor? (Pint Price | Quart Price | Half Gallon Price) (NOTE: Prices may fluctuate based on market conditions)",[1]Sheet1!$1:$1,[1]Sheet1!125:125))), LEFT(_xlfn.XLOOKUP("Which Flavor? (Pint Price | Quart Price | Half Gallon Price) (NOTE: Prices may fluctuate based on market conditions)",[1]Sheet1!$1:$1,[1]Sheet1!125:125), FIND("(", _xlfn.XLOOKUP("Which Flavor? (Pint Price | Quart Price | Half Gallon Price) (NOTE: Prices may fluctuate based on market conditions)",[1]Sheet1!$1:$1,[1]Sheet1!125:125)) - 1), _xlfn.XLOOKUP("Which Flavor? (Pint Price | Quart Price | Half Gallon Price) (NOTE: Prices may fluctuate based on market conditions)",[1]Sheet1!$1:$1,[1]Sheet1!125:125)))</f>
        <v>0</v>
      </c>
      <c r="D125" s="31">
        <f>IF(COUNTIF('Premade Flavors'!$A:$A, $C125) &gt; 0,IF(ISBLANK(_xlfn.XLOOKUP("What Ice Cream Base Do You Want To Change It To?",[1]Sheet1!$1:$1,[1]Sheet1!125:125)),_xlfn.XLOOKUP($C125,'Premade Flavors'!$A:$A,'Premade Flavors'!B:B),_xlfn.XLOOKUP("What Ice Cream Base Do You Want To Change It To?",[1]Sheet1!$1:$1,[1]Sheet1!125:125)),_xlfn.XLOOKUP(_xlfn.XLOOKUP("What Kind Of Ice Cream Base Do You Want? ",[1]Sheet1!$1:$1,[1]Sheet1!125:125),'Milk Types Nutrition Per Cup'!O:O,'Milk Types Nutrition Per Cup'!P:P,""))</f>
        <v>0</v>
      </c>
      <c r="E125" s="31">
        <f>IF(COUNTIF('Premade Flavors'!$A:$A, $C125) &gt; 0,IF(ISBLANK(_xlfn.XLOOKUP("What Ice Cream Base Do You Want To Change It To?",[1]Sheet1!$1:$1,[1]Sheet1!125:125)),_xlfn.XLOOKUP($C125,'Premade Flavors'!$A:$A,'Premade Flavors'!C:C),_xlfn.XLOOKUP("What Ice Cream Base Do You Want To Change It To?",[1]Sheet1!$1:$1,[1]Sheet1!125:125)),_xlfn.XLOOKUP(_xlfn.XLOOKUP("What Kind Of Ice Cream Base Do You Want? ",[1]Sheet1!$1:$1,[1]Sheet1!125:125),'Milk Types Nutrition Per Cup'!$O:$O,'Milk Types Nutrition Per Cup'!$Q:$Q,""))</f>
        <v>0</v>
      </c>
      <c r="F125" s="31">
        <f>IF(COUNTIF('Premade Flavors'!$A:$A, $C125) &gt; 0,_xlfn.XLOOKUP($C125,'Premade Flavors'!$A:$A,'Premade Flavors'!E:E),_xlfn.XLOOKUP("What's The First Flavor You Want? ",[1]Sheet1!$1:$1,[1]Sheet1!125:125))</f>
        <v>0</v>
      </c>
      <c r="G125" s="31">
        <f>IF(COUNTIF('Premade Flavors'!$A:$A, $C125) &gt; 0,_xlfn.XLOOKUP($C125,'Premade Flavors'!$A:$A,'Premade Flavors'!F:F),_xlfn.XLOOKUP("What's the Second Flavor You Want?",[1]Sheet1!$1:$1,[1]Sheet1!125:125))</f>
        <v>0</v>
      </c>
      <c r="H125" s="31">
        <f>IF(COUNTIF('Premade Flavors'!$A:$A, $C125) &gt; 0,_xlfn.XLOOKUP($C125,'Premade Flavors'!$A:$A,'Premade Flavors'!G:G),_xlfn.XLOOKUP("What's The First Mix In That You Want? ",[1]Sheet1!$1:$1,[1]Sheet1!125:125))</f>
        <v>0</v>
      </c>
      <c r="I125" s="31">
        <f>IF(COUNTIF('Premade Flavors'!$A:$A, $C123) &gt; 0,_xlfn.XLOOKUP($C123,'Premade Flavors'!$A:$A,'Premade Flavors'!H:H),IF([2]Sheet1!W123= 0,,[2]Sheet1!W123))</f>
        <v>0</v>
      </c>
      <c r="J125" s="31">
        <f>IF(COUNTIF('Premade Flavors'!$A:$A,$C125)&gt;0,IF(_xlfn.XLOOKUP("Should It Use Sugar or A Non-Sugar Sweetner?",[1]Sheet1!$1:$1,[1]Sheet1!125:125)="Sugar",_xlfn.XLOOKUP($C125,'Premade Flavors'!$A:$A,'Premade Flavors'!I:I),"Stevia"),_xlfn.XLOOKUP("What Sweetner Do You Want?",[1]Sheet1!$1:$1,[1]Sheet1!125:125))</f>
        <v>0</v>
      </c>
      <c r="K125" s="31"/>
      <c r="L125" s="77">
        <f>_xlfn.XLOOKUP("How Much Ice Cream Do You Want?",[1]Sheet1!$1:$1,[1]Sheet1!125:125)</f>
        <v>0</v>
      </c>
      <c r="M125" s="45">
        <f>IF(COUNTIF('Premade Flavors'!$A:$A, $C125) &gt; 0,_xlfn.XLOOKUP($C125,'Premade Flavors'!$A:$A,'Premade Flavors'!M:M),_xlfn.XLOOKUP("How Strong Do You Want The First Flavor?",[1]Sheet1!$1:$1,[1]Sheet1!125:125))</f>
        <v>0</v>
      </c>
      <c r="N125" s="45">
        <f>IF(COUNTIF('Premade Flavors'!$A:$A, $C125) &gt; 0,_xlfn.XLOOKUP($C125,'Premade Flavors'!$A:$A,'Premade Flavors'!N:N),_xlfn.XLOOKUP("How Strong Do You Want The Second Flavor?",[1]Sheet1!$1:$1,[1]Sheet1!125:125))</f>
        <v>0</v>
      </c>
      <c r="O125" s="45">
        <f>IF(COUNTIF('Premade Flavors'!$A:$A, $C125) &gt; 0,_xlfn.XLOOKUP($C125,'Premade Flavors'!$A:$A,'Premade Flavors'!O:O),_xlfn.XLOOKUP("How Dense Should the Mix Ins Be?",[1]Sheet1!$1:$1,[1]Sheet1!125:125))</f>
        <v>0</v>
      </c>
      <c r="P125" s="45">
        <f>IF(COUNTIF('Premade Flavors'!$A:$A, $C125) &gt; 0,_xlfn.XLOOKUP($C125,'Premade Flavors'!$A:$A,'Premade Flavors'!P:P),_xlfn.XLOOKUP("How Much Of The First Sweetner? ",[1]Sheet1!$1:$1,[1]Sheet1!125:125))</f>
        <v>0</v>
      </c>
      <c r="Q125" s="45">
        <f>IF(COUNTIF('Premade Flavors'!$A:$A, $C125) &gt; 0,_xlfn.XLOOKUP($C125,'Premade Flavors'!$A:$A,'Premade Flavors'!Q:Q),[2]Sheet1!S125)</f>
        <v>0</v>
      </c>
      <c r="R125" s="30">
        <f>(_xlfn.XLOOKUP($L125,Specs!A:A,Specs!B:B,0)-(IF(_xlfn.XLOOKUP($F125,'Liquid Mix In Nutrition'!A:A,'Liquid Mix In Nutrition'!J:J,0)="Yes",0,$T125))-(IF(_xlfn.XLOOKUP($G125,'Liquid Mix In Nutrition'!A:A,'Liquid Mix In Nutrition'!J:J,0)="Yes",0,$U125))-(($V125/MAX(1,_xlfn.XLOOKUP($H125,'Solid Mix In Nutrition'!A:A,'Solid Mix In Nutrition'!I:I,1)))*240)-(($W125/MAX(1,_xlfn.XLOOKUP($I125,'Solid Mix In Nutrition'!A:A,'Solid Mix In Nutrition'!I:I,1)))*240))*0.66</f>
        <v>0</v>
      </c>
      <c r="S125" s="30">
        <f>(_xlfn.XLOOKUP($L125,Specs!A:A,Specs!B:B,0)-(IF(_xlfn.XLOOKUP($F125,'Liquid Mix In Nutrition'!A:A,'Liquid Mix In Nutrition'!J:J,0)="Yes",0,$T125))-(IF(_xlfn.XLOOKUP($G125,'Liquid Mix In Nutrition'!A:A,'Liquid Mix In Nutrition'!J:J,0)="Yes",0,$U125))-(($V125/MAX(1,_xlfn.XLOOKUP($H125,'Solid Mix In Nutrition'!A:A,'Solid Mix In Nutrition'!I:I,1)))*240)-(($W125/MAX(1,_xlfn.XLOOKUP($I125,'Solid Mix In Nutrition'!A:A,'Solid Mix In Nutrition'!I:I,1)))*240))*0.33</f>
        <v>0</v>
      </c>
      <c r="T125" s="30">
        <f>_xlfn.XLOOKUP($M125,Specs!$D:$D,Specs!$E:$E,0)*15*_xlfn.XLOOKUP($L125,Specs!$A:$A,Specs!$C:$C,0)</f>
        <v>0</v>
      </c>
      <c r="U125" s="30">
        <f>_xlfn.XLOOKUP($N125,Specs!$D:$D,Specs!$E:$E,0)*15*_xlfn.XLOOKUP($L125,Specs!$A:$A,Specs!$C:$C,0)</f>
        <v>0</v>
      </c>
      <c r="V125" s="30">
        <f>( ((_xlfn.XLOOKUP($O125,Specs!$H:$H,Specs!$I:$I,0)*_xlfn.XLOOKUP($L125,Specs!$A:$A,Specs!$B:$B,0))/240) *_xlfn.XLOOKUP($H125,'Solid Mix In Nutrition'!A:A,'Solid Mix In Nutrition'!I:I,0)) *IF(AND(NOT($I125=0), COUNTA($I125)),0.5,1)</f>
        <v>0</v>
      </c>
      <c r="W125" s="30">
        <f>( ((_xlfn.XLOOKUP($O125,Specs!$H:$H,Specs!$I:$I,0)*_xlfn.XLOOKUP($L125,Specs!$A:$A,Specs!$B:$B,0))/240) *_xlfn.XLOOKUP($I125,'Solid Mix In Nutrition'!A:A,'Solid Mix In Nutrition'!I:I,0)) *IF(AND(NOT($I125=0), COUNTA($I125)),0.5,0)</f>
        <v>0</v>
      </c>
      <c r="X125" s="30">
        <f>_xlfn.XLOOKUP($P125,Specs!F:F,Specs!G:G,0)*_xlfn.XLOOKUP($J125,'Sweetener Mix In Nutrition'!A:A,'Sweetener Mix In Nutrition'!I:I,0)*_xlfn.XLOOKUP($L125,Specs!A:A,Specs!C:C,0)</f>
        <v>0</v>
      </c>
      <c r="Y125" s="30">
        <f>_xlfn.XLOOKUP($Q125,Specs!F:F,Specs!G:G,0)*_xlfn.XLOOKUP($K125,'Sweetener Mix In Nutrition'!A:A,'Sweetener Mix In Nutrition'!I:I,0)*_xlfn.XLOOKUP($L125,Specs!A:A,Specs!C:C,0)</f>
        <v>0</v>
      </c>
      <c r="Z125" s="34">
        <f t="shared" si="4"/>
        <v>0</v>
      </c>
      <c r="AA125" s="35">
        <f t="shared" si="5"/>
        <v>0</v>
      </c>
      <c r="AB125" s="36">
        <f>(($R125 / 240) * _xlfn.XLOOKUP($D125,'Milk Types Nutrition Per Cup'!A:A,'Milk Types Nutrition Per Cup'!B:B,0)) +(($S125 / 240)  * _xlfn.XLOOKUP($E125,'Milk Types Nutrition Per Cup'!A:A,'Milk Types Nutrition Per Cup'!B:B,0)) +(($T125 / 15)  * _xlfn.XLOOKUP($F125,'Liquid Mix In Nutrition'!A:A,'Liquid Mix In Nutrition'!B:B,0))+(($U125 / 15)  * _xlfn.XLOOKUP($G125,'Liquid Mix In Nutrition'!A:A,'Liquid Mix In Nutrition'!B:B,0))+(($V125 /MAX(1, _xlfn.XLOOKUP($H125,'Solid Mix In Nutrition'!A:A,'Solid Mix In Nutrition'!I:I,1)))  * _xlfn.XLOOKUP($H125,'Solid Mix In Nutrition'!A:A,'Solid Mix In Nutrition'!B:B,0))+(($W125 / MAX(1, _xlfn.XLOOKUP($I125,'Solid Mix In Nutrition'!A:A,'Solid Mix In Nutrition'!I:I,1))))+(($X125 / 100)  * _xlfn.XLOOKUP($J125,'Sweetener Mix In Nutrition'!A:A,'Sweetener Mix In Nutrition'!B:B,0))+(($Y125 / 100)  * _xlfn.XLOOKUP($K125,'Sweetener Mix In Nutrition'!A:A,'Sweetener Mix In Nutrition'!B:B,0))</f>
        <v>0</v>
      </c>
      <c r="AC125" s="36">
        <f>(($R125 / 240) * _xlfn.XLOOKUP($D125,'Milk Types Nutrition Per Cup'!A:A,'Milk Types Nutrition Per Cup'!E:E,0)) +(($S125 / 240)  * _xlfn.XLOOKUP($E125,'Milk Types Nutrition Per Cup'!A:A,'Milk Types Nutrition Per Cup'!E:E,0)) +(($T125 / 15)  * _xlfn.XLOOKUP($F125,'Liquid Mix In Nutrition'!A:A,'Liquid Mix In Nutrition'!E:E,0)) +(($U125 / 15)  * _xlfn.XLOOKUP($G125,'Liquid Mix In Nutrition'!A:A,'Liquid Mix In Nutrition'!E:E,0))+(($V125 / MAX(1, _xlfn.XLOOKUP($H125,'Solid Mix In Nutrition'!A:A,'Solid Mix In Nutrition'!I:I,1)))  * _xlfn.XLOOKUP($H125,'Solid Mix In Nutrition'!A:A,'Solid Mix In Nutrition'!E:E,0))+(($W125 / MAX(1, _xlfn.XLOOKUP($I125,'Solid Mix In Nutrition'!A:A,'Solid Mix In Nutrition'!I:I,1)))  * _xlfn.XLOOKUP($I125,'Solid Mix In Nutrition'!A:A,'Solid Mix In Nutrition'!G:G,0))+(($X125 / 100)  * _xlfn.XLOOKUP($J125,'Sweetener Mix In Nutrition'!A:A,'Sweetener Mix In Nutrition'!E:E,0))+(($Y125 / 100)  * _xlfn.XLOOKUP($K125,'Sweetener Mix In Nutrition'!A:A,'Sweetener Mix In Nutrition'!E:E,0))</f>
        <v>0</v>
      </c>
      <c r="AD125" s="36">
        <f>(($R125 / 240) * _xlfn.XLOOKUP($D125,'Milk Types Nutrition Per Cup'!A:A,'Milk Types Nutrition Per Cup'!E:E,0)) +(($S125 / 240)  * _xlfn.XLOOKUP($E125,'Milk Types Nutrition Per Cup'!A:A,'Milk Types Nutrition Per Cup'!E:E,0)) +(($T125 / 15)  * _xlfn.XLOOKUP($F125,'Liquid Mix In Nutrition'!A:A,'Liquid Mix In Nutrition'!E:E,0)) +(($U125 / 15)  * _xlfn.XLOOKUP($G125,'Liquid Mix In Nutrition'!A:A,'Liquid Mix In Nutrition'!E:E,0))+(($X125 / 100)  * _xlfn.XLOOKUP($J125,'Sweetener Mix In Nutrition'!A:A,'Sweetener Mix In Nutrition'!E:E,0))+(($Y125 / 100)  * _xlfn.XLOOKUP($K125,'Sweetener Mix In Nutrition'!A:A,'Sweetener Mix In Nutrition'!E:E,0))</f>
        <v>0</v>
      </c>
      <c r="AE125" s="37">
        <f>(($R125 / 240) * _xlfn.XLOOKUP($D125,'Milk Types Nutrition Per Cup'!A:A,'Milk Types Nutrition Per Cup'!C:C,0)) +(($S125 / 240)  * _xlfn.XLOOKUP($E125,'Milk Types Nutrition Per Cup'!A:A,'Milk Types Nutrition Per Cup'!C:C,0)) +(($T125 / 15)  * _xlfn.XLOOKUP($F125,'Liquid Mix In Nutrition'!A:A,'Liquid Mix In Nutrition'!C:C,0))+(($U125 / 15)  * _xlfn.XLOOKUP($G125,'Liquid Mix In Nutrition'!A:A,'Liquid Mix In Nutrition'!C:C,0))+(($V125 / MAX(1, _xlfn.XLOOKUP($H125,'Solid Mix In Nutrition'!A:A,'Solid Mix In Nutrition'!I:I,1)))  * _xlfn.XLOOKUP($H125,'Solid Mix In Nutrition'!A:A,'Solid Mix In Nutrition'!C:C,0))+(($W125 / MAX(1, _xlfn.XLOOKUP($I125,'Solid Mix In Nutrition'!A:A,'Solid Mix In Nutrition'!I:I,1)))  * _xlfn.XLOOKUP($I125,'Solid Mix In Nutrition'!A:A,'Solid Mix In Nutrition'!C:C,0))+(($X125 / 100)  * _xlfn.XLOOKUP($J125,'Sweetener Mix In Nutrition'!A:A,'Sweetener Mix In Nutrition'!C:C,0))+(($Y125 / 100)  * _xlfn.XLOOKUP($K125,'Sweetener Mix In Nutrition'!A:A,'Sweetener Mix In Nutrition'!C:C,0))</f>
        <v>0</v>
      </c>
      <c r="AF125" s="38" t="e">
        <f>$AE125 / (_xlfn.XLOOKUP($L125,Specs!A:A,Specs!B:B,0))</f>
        <v>#DIV/0!</v>
      </c>
      <c r="AG125" s="37" t="e">
        <f>60* ($AB125 / _xlfn.XLOOKUP($L125,Specs!A:A,Specs!B:B,0))</f>
        <v>#DIV/0!</v>
      </c>
      <c r="AH125" s="37" t="e">
        <f>60* (AC125 / _xlfn.XLOOKUP($L125,Specs!$A:$A,Specs!$B:$B,0))</f>
        <v>#DIV/0!</v>
      </c>
      <c r="AI125" s="37" t="e">
        <f>60* (AE125 / _xlfn.XLOOKUP($L125,Specs!$A:$A,Specs!$B:$B,0))</f>
        <v>#DIV/0!</v>
      </c>
      <c r="AJ125" s="39">
        <f>(($R125 / 240) * _xlfn.XLOOKUP($D125,'Milk Types Nutrition Per Cup'!A:A,'Milk Types Nutrition Per Cup'!F:F,0)) +(($S125 / 240)  * _xlfn.XLOOKUP($E125,'Milk Types Nutrition Per Cup'!A:A,'Milk Types Nutrition Per Cup'!F:F,0)) +(($T125 / 15)  * _xlfn.XLOOKUP($F125,'Liquid Mix In Nutrition'!A:A,'Liquid Mix In Nutrition'!F:F,0))+(($U125 / 15)  * _xlfn.XLOOKUP($G125,'Liquid Mix In Nutrition'!A:A,'Liquid Mix In Nutrition'!F:F,0))+(($V125 / MAX(1, _xlfn.XLOOKUP($H125,'Solid Mix In Nutrition'!A:A,'Solid Mix In Nutrition'!I:I,1)))  * _xlfn.XLOOKUP($H125,'Solid Mix In Nutrition'!A:A,'Solid Mix In Nutrition'!F:F,0))+(($W125 / MAX(1, _xlfn.XLOOKUP($I125,'Solid Mix In Nutrition'!A:A,'Solid Mix In Nutrition'!I:I,1)))  * _xlfn.XLOOKUP($I125,'Solid Mix In Nutrition'!A:A,'Solid Mix In Nutrition'!F:F,0))+(($X125 / 100)  * _xlfn.XLOOKUP($J125,'Sweetener Mix In Nutrition'!A:A,'Sweetener Mix In Nutrition'!F:F,0))+(($Y125 / 100)  * _xlfn.XLOOKUP($K125,'Sweetener Mix In Nutrition'!A:A,'Sweetener Mix In Nutrition'!F:F,0))</f>
        <v>0</v>
      </c>
      <c r="AK125" s="46">
        <f>[2]Sheet1!AG125</f>
        <v>0</v>
      </c>
      <c r="AL125" s="47"/>
      <c r="AM125" s="40">
        <f>IF(ISERROR(((AL125/Specs!$L$3)*Specs!$L$2)*2),0,ROUNDUP((((AL125/Specs!$L$3)*Specs!$L$2)*2),0))</f>
        <v>0</v>
      </c>
      <c r="AN125" s="48">
        <f>ROUNDUP(((AJ125+Specs!$R$2+Specs!$S$2+_xlfn.XLOOKUP($L125,Specs!A:A,Specs!V:V,0))*Specs!$N$2)+AM125,0)</f>
        <v>1</v>
      </c>
      <c r="AO125" s="40">
        <f>ROUNDUP(((AJ125+Specs!$R$2+Specs!$S$2+_xlfn.XLOOKUP($L125,Specs!A:A,Specs!V:V,0))*Specs!$N$2),0)</f>
        <v>1</v>
      </c>
      <c r="AP125" s="30"/>
    </row>
    <row r="126" spans="1:42" x14ac:dyDescent="0.25">
      <c r="A126" s="41" t="str">
        <f>_xlfn.CONCAT(_xlfn.XLOOKUP("What's Your Name?",[1]Sheet1!$1:$1,[1]Sheet1!126:126)," | ",TEXT(_xlfn.XLOOKUP("Completion time",[1]Sheet1!$1:$1,[1]Sheet1!126:126),"dddd, mmm dd, yyyy hh:mm AM/PM"))</f>
        <v xml:space="preserve"> | Saturday, Jan 00, 1900 12:00 AM</v>
      </c>
      <c r="B126" s="76">
        <f>_xlfn.XLOOKUP("What's Your Email Address?",[1]Sheet1!$1:$1,[1]Sheet1!126:126)</f>
        <v>0</v>
      </c>
      <c r="C126" s="31">
        <f>IF(ISBLANK(_xlfn.XLOOKUP("Which Flavor? (Pint Price | Quart Price | Half Gallon Price) (NOTE: Prices may fluctuate based on market conditions)",[1]Sheet1!$1:$1,[1]Sheet1!126:126)),_xlfn.XLOOKUP("Name Your Ice Cream!",[1]Sheet1!$1:$1,[1]Sheet1!126:126),IF(ISNUMBER(FIND("(", _xlfn.XLOOKUP("Which Flavor? (Pint Price | Quart Price | Half Gallon Price) (NOTE: Prices may fluctuate based on market conditions)",[1]Sheet1!$1:$1,[1]Sheet1!126:126))), LEFT(_xlfn.XLOOKUP("Which Flavor? (Pint Price | Quart Price | Half Gallon Price) (NOTE: Prices may fluctuate based on market conditions)",[1]Sheet1!$1:$1,[1]Sheet1!126:126), FIND("(", _xlfn.XLOOKUP("Which Flavor? (Pint Price | Quart Price | Half Gallon Price) (NOTE: Prices may fluctuate based on market conditions)",[1]Sheet1!$1:$1,[1]Sheet1!126:126)) - 1), _xlfn.XLOOKUP("Which Flavor? (Pint Price | Quart Price | Half Gallon Price) (NOTE: Prices may fluctuate based on market conditions)",[1]Sheet1!$1:$1,[1]Sheet1!126:126)))</f>
        <v>0</v>
      </c>
      <c r="D126" s="31">
        <f>IF(COUNTIF('Premade Flavors'!$A:$A, $C126) &gt; 0,IF(ISBLANK(_xlfn.XLOOKUP("What Ice Cream Base Do You Want To Change It To?",[1]Sheet1!$1:$1,[1]Sheet1!126:126)),_xlfn.XLOOKUP($C126,'Premade Flavors'!$A:$A,'Premade Flavors'!B:B),_xlfn.XLOOKUP("What Ice Cream Base Do You Want To Change It To?",[1]Sheet1!$1:$1,[1]Sheet1!126:126)),_xlfn.XLOOKUP(_xlfn.XLOOKUP("What Kind Of Ice Cream Base Do You Want? ",[1]Sheet1!$1:$1,[1]Sheet1!126:126),'Milk Types Nutrition Per Cup'!O:O,'Milk Types Nutrition Per Cup'!P:P,""))</f>
        <v>0</v>
      </c>
      <c r="E126" s="31">
        <f>IF(COUNTIF('Premade Flavors'!$A:$A, $C126) &gt; 0,IF(ISBLANK(_xlfn.XLOOKUP("What Ice Cream Base Do You Want To Change It To?",[1]Sheet1!$1:$1,[1]Sheet1!126:126)),_xlfn.XLOOKUP($C126,'Premade Flavors'!$A:$A,'Premade Flavors'!C:C),_xlfn.XLOOKUP("What Ice Cream Base Do You Want To Change It To?",[1]Sheet1!$1:$1,[1]Sheet1!126:126)),_xlfn.XLOOKUP(_xlfn.XLOOKUP("What Kind Of Ice Cream Base Do You Want? ",[1]Sheet1!$1:$1,[1]Sheet1!126:126),'Milk Types Nutrition Per Cup'!$O:$O,'Milk Types Nutrition Per Cup'!$Q:$Q,""))</f>
        <v>0</v>
      </c>
      <c r="F126" s="31">
        <f>IF(COUNTIF('Premade Flavors'!$A:$A, $C126) &gt; 0,_xlfn.XLOOKUP($C126,'Premade Flavors'!$A:$A,'Premade Flavors'!E:E),_xlfn.XLOOKUP("What's The First Flavor You Want? ",[1]Sheet1!$1:$1,[1]Sheet1!126:126))</f>
        <v>0</v>
      </c>
      <c r="G126" s="31">
        <f>IF(COUNTIF('Premade Flavors'!$A:$A, $C126) &gt; 0,_xlfn.XLOOKUP($C126,'Premade Flavors'!$A:$A,'Premade Flavors'!F:F),_xlfn.XLOOKUP("What's the Second Flavor You Want?",[1]Sheet1!$1:$1,[1]Sheet1!126:126))</f>
        <v>0</v>
      </c>
      <c r="H126" s="31">
        <f>IF(COUNTIF('Premade Flavors'!$A:$A, $C126) &gt; 0,_xlfn.XLOOKUP($C126,'Premade Flavors'!$A:$A,'Premade Flavors'!G:G),_xlfn.XLOOKUP("What's The First Mix In That You Want? ",[1]Sheet1!$1:$1,[1]Sheet1!126:126))</f>
        <v>0</v>
      </c>
      <c r="I126" s="31">
        <f>IF(COUNTIF('Premade Flavors'!$A:$A, $C124) &gt; 0,_xlfn.XLOOKUP($C124,'Premade Flavors'!$A:$A,'Premade Flavors'!H:H),IF([2]Sheet1!W124= 0,,[2]Sheet1!W124))</f>
        <v>0</v>
      </c>
      <c r="J126" s="31">
        <f>IF(COUNTIF('Premade Flavors'!$A:$A,$C126)&gt;0,IF(_xlfn.XLOOKUP("Should It Use Sugar or A Non-Sugar Sweetner?",[1]Sheet1!$1:$1,[1]Sheet1!126:126)="Sugar",_xlfn.XLOOKUP($C126,'Premade Flavors'!$A:$A,'Premade Flavors'!I:I),"Stevia"),_xlfn.XLOOKUP("What Sweetner Do You Want?",[1]Sheet1!$1:$1,[1]Sheet1!126:126))</f>
        <v>0</v>
      </c>
      <c r="K126" s="31"/>
      <c r="L126" s="77">
        <f>_xlfn.XLOOKUP("How Much Ice Cream Do You Want?",[1]Sheet1!$1:$1,[1]Sheet1!126:126)</f>
        <v>0</v>
      </c>
      <c r="M126" s="45">
        <f>IF(COUNTIF('Premade Flavors'!$A:$A, $C126) &gt; 0,_xlfn.XLOOKUP($C126,'Premade Flavors'!$A:$A,'Premade Flavors'!M:M),_xlfn.XLOOKUP("How Strong Do You Want The First Flavor?",[1]Sheet1!$1:$1,[1]Sheet1!126:126))</f>
        <v>0</v>
      </c>
      <c r="N126" s="45">
        <f>IF(COUNTIF('Premade Flavors'!$A:$A, $C126) &gt; 0,_xlfn.XLOOKUP($C126,'Premade Flavors'!$A:$A,'Premade Flavors'!N:N),_xlfn.XLOOKUP("How Strong Do You Want The Second Flavor?",[1]Sheet1!$1:$1,[1]Sheet1!126:126))</f>
        <v>0</v>
      </c>
      <c r="O126" s="45">
        <f>IF(COUNTIF('Premade Flavors'!$A:$A, $C126) &gt; 0,_xlfn.XLOOKUP($C126,'Premade Flavors'!$A:$A,'Premade Flavors'!O:O),_xlfn.XLOOKUP("How Dense Should the Mix Ins Be?",[1]Sheet1!$1:$1,[1]Sheet1!126:126))</f>
        <v>0</v>
      </c>
      <c r="P126" s="45">
        <f>IF(COUNTIF('Premade Flavors'!$A:$A, $C126) &gt; 0,_xlfn.XLOOKUP($C126,'Premade Flavors'!$A:$A,'Premade Flavors'!P:P),_xlfn.XLOOKUP("How Much Of The First Sweetner? ",[1]Sheet1!$1:$1,[1]Sheet1!126:126))</f>
        <v>0</v>
      </c>
      <c r="Q126" s="45">
        <f>IF(COUNTIF('Premade Flavors'!$A:$A, $C126) &gt; 0,_xlfn.XLOOKUP($C126,'Premade Flavors'!$A:$A,'Premade Flavors'!Q:Q),[2]Sheet1!S126)</f>
        <v>0</v>
      </c>
      <c r="R126" s="30">
        <f>(_xlfn.XLOOKUP($L126,Specs!A:A,Specs!B:B,0)-(IF(_xlfn.XLOOKUP($F126,'Liquid Mix In Nutrition'!A:A,'Liquid Mix In Nutrition'!J:J,0)="Yes",0,$T126))-(IF(_xlfn.XLOOKUP($G126,'Liquid Mix In Nutrition'!A:A,'Liquid Mix In Nutrition'!J:J,0)="Yes",0,$U126))-(($V126/MAX(1,_xlfn.XLOOKUP($H126,'Solid Mix In Nutrition'!A:A,'Solid Mix In Nutrition'!I:I,1)))*240)-(($W126/MAX(1,_xlfn.XLOOKUP($I126,'Solid Mix In Nutrition'!A:A,'Solid Mix In Nutrition'!I:I,1)))*240))*0.66</f>
        <v>0</v>
      </c>
      <c r="S126" s="30">
        <f>(_xlfn.XLOOKUP($L126,Specs!A:A,Specs!B:B,0)-(IF(_xlfn.XLOOKUP($F126,'Liquid Mix In Nutrition'!A:A,'Liquid Mix In Nutrition'!J:J,0)="Yes",0,$T126))-(IF(_xlfn.XLOOKUP($G126,'Liquid Mix In Nutrition'!A:A,'Liquid Mix In Nutrition'!J:J,0)="Yes",0,$U126))-(($V126/MAX(1,_xlfn.XLOOKUP($H126,'Solid Mix In Nutrition'!A:A,'Solid Mix In Nutrition'!I:I,1)))*240)-(($W126/MAX(1,_xlfn.XLOOKUP($I126,'Solid Mix In Nutrition'!A:A,'Solid Mix In Nutrition'!I:I,1)))*240))*0.33</f>
        <v>0</v>
      </c>
      <c r="T126" s="30">
        <f>_xlfn.XLOOKUP($M126,Specs!$D:$D,Specs!$E:$E,0)*15*_xlfn.XLOOKUP($L126,Specs!$A:$A,Specs!$C:$C,0)</f>
        <v>0</v>
      </c>
      <c r="U126" s="30">
        <f>_xlfn.XLOOKUP($N126,Specs!$D:$D,Specs!$E:$E,0)*15*_xlfn.XLOOKUP($L126,Specs!$A:$A,Specs!$C:$C,0)</f>
        <v>0</v>
      </c>
      <c r="V126" s="30">
        <f>( ((_xlfn.XLOOKUP($O126,Specs!$H:$H,Specs!$I:$I,0)*_xlfn.XLOOKUP($L126,Specs!$A:$A,Specs!$B:$B,0))/240) *_xlfn.XLOOKUP($H126,'Solid Mix In Nutrition'!A:A,'Solid Mix In Nutrition'!I:I,0)) *IF(AND(NOT($I126=0), COUNTA($I126)),0.5,1)</f>
        <v>0</v>
      </c>
      <c r="W126" s="30">
        <f>( ((_xlfn.XLOOKUP($O126,Specs!$H:$H,Specs!$I:$I,0)*_xlfn.XLOOKUP($L126,Specs!$A:$A,Specs!$B:$B,0))/240) *_xlfn.XLOOKUP($I126,'Solid Mix In Nutrition'!A:A,'Solid Mix In Nutrition'!I:I,0)) *IF(AND(NOT($I126=0), COUNTA($I126)),0.5,0)</f>
        <v>0</v>
      </c>
      <c r="X126" s="30">
        <f>_xlfn.XLOOKUP($P126,Specs!F:F,Specs!G:G,0)*_xlfn.XLOOKUP($J126,'Sweetener Mix In Nutrition'!A:A,'Sweetener Mix In Nutrition'!I:I,0)*_xlfn.XLOOKUP($L126,Specs!A:A,Specs!C:C,0)</f>
        <v>0</v>
      </c>
      <c r="Y126" s="30">
        <f>_xlfn.XLOOKUP($Q126,Specs!F:F,Specs!G:G,0)*_xlfn.XLOOKUP($K126,'Sweetener Mix In Nutrition'!A:A,'Sweetener Mix In Nutrition'!I:I,0)*_xlfn.XLOOKUP($L126,Specs!A:A,Specs!C:C,0)</f>
        <v>0</v>
      </c>
      <c r="Z126" s="34">
        <f t="shared" si="4"/>
        <v>0</v>
      </c>
      <c r="AA126" s="35">
        <f t="shared" si="5"/>
        <v>0</v>
      </c>
      <c r="AB126" s="36">
        <f>(($R126 / 240) * _xlfn.XLOOKUP($D126,'Milk Types Nutrition Per Cup'!A:A,'Milk Types Nutrition Per Cup'!B:B,0)) +(($S126 / 240)  * _xlfn.XLOOKUP($E126,'Milk Types Nutrition Per Cup'!A:A,'Milk Types Nutrition Per Cup'!B:B,0)) +(($T126 / 15)  * _xlfn.XLOOKUP($F126,'Liquid Mix In Nutrition'!A:A,'Liquid Mix In Nutrition'!B:B,0))+(($U126 / 15)  * _xlfn.XLOOKUP($G126,'Liquid Mix In Nutrition'!A:A,'Liquid Mix In Nutrition'!B:B,0))+(($V126 /MAX(1, _xlfn.XLOOKUP($H126,'Solid Mix In Nutrition'!A:A,'Solid Mix In Nutrition'!I:I,1)))  * _xlfn.XLOOKUP($H126,'Solid Mix In Nutrition'!A:A,'Solid Mix In Nutrition'!B:B,0))+(($W126 / MAX(1, _xlfn.XLOOKUP($I126,'Solid Mix In Nutrition'!A:A,'Solid Mix In Nutrition'!I:I,1))))+(($X126 / 100)  * _xlfn.XLOOKUP($J126,'Sweetener Mix In Nutrition'!A:A,'Sweetener Mix In Nutrition'!B:B,0))+(($Y126 / 100)  * _xlfn.XLOOKUP($K126,'Sweetener Mix In Nutrition'!A:A,'Sweetener Mix In Nutrition'!B:B,0))</f>
        <v>0</v>
      </c>
      <c r="AC126" s="36">
        <f>(($R126 / 240) * _xlfn.XLOOKUP($D126,'Milk Types Nutrition Per Cup'!A:A,'Milk Types Nutrition Per Cup'!E:E,0)) +(($S126 / 240)  * _xlfn.XLOOKUP($E126,'Milk Types Nutrition Per Cup'!A:A,'Milk Types Nutrition Per Cup'!E:E,0)) +(($T126 / 15)  * _xlfn.XLOOKUP($F126,'Liquid Mix In Nutrition'!A:A,'Liquid Mix In Nutrition'!E:E,0)) +(($U126 / 15)  * _xlfn.XLOOKUP($G126,'Liquid Mix In Nutrition'!A:A,'Liquid Mix In Nutrition'!E:E,0))+(($V126 / MAX(1, _xlfn.XLOOKUP($H126,'Solid Mix In Nutrition'!A:A,'Solid Mix In Nutrition'!I:I,1)))  * _xlfn.XLOOKUP($H126,'Solid Mix In Nutrition'!A:A,'Solid Mix In Nutrition'!E:E,0))+(($W126 / MAX(1, _xlfn.XLOOKUP($I126,'Solid Mix In Nutrition'!A:A,'Solid Mix In Nutrition'!I:I,1)))  * _xlfn.XLOOKUP($I126,'Solid Mix In Nutrition'!A:A,'Solid Mix In Nutrition'!G:G,0))+(($X126 / 100)  * _xlfn.XLOOKUP($J126,'Sweetener Mix In Nutrition'!A:A,'Sweetener Mix In Nutrition'!E:E,0))+(($Y126 / 100)  * _xlfn.XLOOKUP($K126,'Sweetener Mix In Nutrition'!A:A,'Sweetener Mix In Nutrition'!E:E,0))</f>
        <v>0</v>
      </c>
      <c r="AD126" s="36">
        <f>(($R126 / 240) * _xlfn.XLOOKUP($D126,'Milk Types Nutrition Per Cup'!A:A,'Milk Types Nutrition Per Cup'!E:E,0)) +(($S126 / 240)  * _xlfn.XLOOKUP($E126,'Milk Types Nutrition Per Cup'!A:A,'Milk Types Nutrition Per Cup'!E:E,0)) +(($T126 / 15)  * _xlfn.XLOOKUP($F126,'Liquid Mix In Nutrition'!A:A,'Liquid Mix In Nutrition'!E:E,0)) +(($U126 / 15)  * _xlfn.XLOOKUP($G126,'Liquid Mix In Nutrition'!A:A,'Liquid Mix In Nutrition'!E:E,0))+(($X126 / 100)  * _xlfn.XLOOKUP($J126,'Sweetener Mix In Nutrition'!A:A,'Sweetener Mix In Nutrition'!E:E,0))+(($Y126 / 100)  * _xlfn.XLOOKUP($K126,'Sweetener Mix In Nutrition'!A:A,'Sweetener Mix In Nutrition'!E:E,0))</f>
        <v>0</v>
      </c>
      <c r="AE126" s="37">
        <f>(($R126 / 240) * _xlfn.XLOOKUP($D126,'Milk Types Nutrition Per Cup'!A:A,'Milk Types Nutrition Per Cup'!C:C,0)) +(($S126 / 240)  * _xlfn.XLOOKUP($E126,'Milk Types Nutrition Per Cup'!A:A,'Milk Types Nutrition Per Cup'!C:C,0)) +(($T126 / 15)  * _xlfn.XLOOKUP($F126,'Liquid Mix In Nutrition'!A:A,'Liquid Mix In Nutrition'!C:C,0))+(($U126 / 15)  * _xlfn.XLOOKUP($G126,'Liquid Mix In Nutrition'!A:A,'Liquid Mix In Nutrition'!C:C,0))+(($V126 / MAX(1, _xlfn.XLOOKUP($H126,'Solid Mix In Nutrition'!A:A,'Solid Mix In Nutrition'!I:I,1)))  * _xlfn.XLOOKUP($H126,'Solid Mix In Nutrition'!A:A,'Solid Mix In Nutrition'!C:C,0))+(($W126 / MAX(1, _xlfn.XLOOKUP($I126,'Solid Mix In Nutrition'!A:A,'Solid Mix In Nutrition'!I:I,1)))  * _xlfn.XLOOKUP($I126,'Solid Mix In Nutrition'!A:A,'Solid Mix In Nutrition'!C:C,0))+(($X126 / 100)  * _xlfn.XLOOKUP($J126,'Sweetener Mix In Nutrition'!A:A,'Sweetener Mix In Nutrition'!C:C,0))+(($Y126 / 100)  * _xlfn.XLOOKUP($K126,'Sweetener Mix In Nutrition'!A:A,'Sweetener Mix In Nutrition'!C:C,0))</f>
        <v>0</v>
      </c>
      <c r="AF126" s="38" t="e">
        <f>$AE126 / (_xlfn.XLOOKUP($L126,Specs!A:A,Specs!B:B,0))</f>
        <v>#DIV/0!</v>
      </c>
      <c r="AG126" s="37" t="e">
        <f>60* ($AB126 / _xlfn.XLOOKUP($L126,Specs!A:A,Specs!B:B,0))</f>
        <v>#DIV/0!</v>
      </c>
      <c r="AH126" s="37" t="e">
        <f>60* (AC126 / _xlfn.XLOOKUP($L126,Specs!$A:$A,Specs!$B:$B,0))</f>
        <v>#DIV/0!</v>
      </c>
      <c r="AI126" s="37" t="e">
        <f>60* (AE126 / _xlfn.XLOOKUP($L126,Specs!$A:$A,Specs!$B:$B,0))</f>
        <v>#DIV/0!</v>
      </c>
      <c r="AJ126" s="39">
        <f>(($R126 / 240) * _xlfn.XLOOKUP($D126,'Milk Types Nutrition Per Cup'!A:A,'Milk Types Nutrition Per Cup'!F:F,0)) +(($S126 / 240)  * _xlfn.XLOOKUP($E126,'Milk Types Nutrition Per Cup'!A:A,'Milk Types Nutrition Per Cup'!F:F,0)) +(($T126 / 15)  * _xlfn.XLOOKUP($F126,'Liquid Mix In Nutrition'!A:A,'Liquid Mix In Nutrition'!F:F,0))+(($U126 / 15)  * _xlfn.XLOOKUP($G126,'Liquid Mix In Nutrition'!A:A,'Liquid Mix In Nutrition'!F:F,0))+(($V126 / MAX(1, _xlfn.XLOOKUP($H126,'Solid Mix In Nutrition'!A:A,'Solid Mix In Nutrition'!I:I,1)))  * _xlfn.XLOOKUP($H126,'Solid Mix In Nutrition'!A:A,'Solid Mix In Nutrition'!F:F,0))+(($W126 / MAX(1, _xlfn.XLOOKUP($I126,'Solid Mix In Nutrition'!A:A,'Solid Mix In Nutrition'!I:I,1)))  * _xlfn.XLOOKUP($I126,'Solid Mix In Nutrition'!A:A,'Solid Mix In Nutrition'!F:F,0))+(($X126 / 100)  * _xlfn.XLOOKUP($J126,'Sweetener Mix In Nutrition'!A:A,'Sweetener Mix In Nutrition'!F:F,0))+(($Y126 / 100)  * _xlfn.XLOOKUP($K126,'Sweetener Mix In Nutrition'!A:A,'Sweetener Mix In Nutrition'!F:F,0))</f>
        <v>0</v>
      </c>
      <c r="AK126" s="46">
        <f>[2]Sheet1!AG126</f>
        <v>0</v>
      </c>
      <c r="AL126" s="47"/>
      <c r="AM126" s="40">
        <f>IF(ISERROR(((AL126/Specs!$L$3)*Specs!$L$2)*2),0,ROUNDUP((((AL126/Specs!$L$3)*Specs!$L$2)*2),0))</f>
        <v>0</v>
      </c>
      <c r="AN126" s="48">
        <f>ROUNDUP(((AJ126+Specs!$R$2+Specs!$S$2+_xlfn.XLOOKUP($L126,Specs!A:A,Specs!V:V,0))*Specs!$N$2)+AM126,0)</f>
        <v>1</v>
      </c>
      <c r="AO126" s="40">
        <f>ROUNDUP(((AJ126+Specs!$R$2+Specs!$S$2+_xlfn.XLOOKUP($L126,Specs!A:A,Specs!V:V,0))*Specs!$N$2),0)</f>
        <v>1</v>
      </c>
      <c r="AP126" s="30"/>
    </row>
    <row r="127" spans="1:42" x14ac:dyDescent="0.25">
      <c r="A127" s="41" t="str">
        <f>_xlfn.CONCAT(_xlfn.XLOOKUP("What's Your Name?",[1]Sheet1!$1:$1,[1]Sheet1!127:127)," | ",TEXT(_xlfn.XLOOKUP("Completion time",[1]Sheet1!$1:$1,[1]Sheet1!127:127),"dddd, mmm dd, yyyy hh:mm AM/PM"))</f>
        <v xml:space="preserve"> | Saturday, Jan 00, 1900 12:00 AM</v>
      </c>
      <c r="B127" s="76">
        <f>_xlfn.XLOOKUP("What's Your Email Address?",[1]Sheet1!$1:$1,[1]Sheet1!127:127)</f>
        <v>0</v>
      </c>
      <c r="C127" s="31">
        <f>IF(ISBLANK(_xlfn.XLOOKUP("Which Flavor? (Pint Price | Quart Price | Half Gallon Price) (NOTE: Prices may fluctuate based on market conditions)",[1]Sheet1!$1:$1,[1]Sheet1!127:127)),_xlfn.XLOOKUP("Name Your Ice Cream!",[1]Sheet1!$1:$1,[1]Sheet1!127:127),IF(ISNUMBER(FIND("(", _xlfn.XLOOKUP("Which Flavor? (Pint Price | Quart Price | Half Gallon Price) (NOTE: Prices may fluctuate based on market conditions)",[1]Sheet1!$1:$1,[1]Sheet1!127:127))), LEFT(_xlfn.XLOOKUP("Which Flavor? (Pint Price | Quart Price | Half Gallon Price) (NOTE: Prices may fluctuate based on market conditions)",[1]Sheet1!$1:$1,[1]Sheet1!127:127), FIND("(", _xlfn.XLOOKUP("Which Flavor? (Pint Price | Quart Price | Half Gallon Price) (NOTE: Prices may fluctuate based on market conditions)",[1]Sheet1!$1:$1,[1]Sheet1!127:127)) - 1), _xlfn.XLOOKUP("Which Flavor? (Pint Price | Quart Price | Half Gallon Price) (NOTE: Prices may fluctuate based on market conditions)",[1]Sheet1!$1:$1,[1]Sheet1!127:127)))</f>
        <v>0</v>
      </c>
      <c r="D127" s="31">
        <f>IF(COUNTIF('Premade Flavors'!$A:$A, $C127) &gt; 0,IF(ISBLANK(_xlfn.XLOOKUP("What Ice Cream Base Do You Want To Change It To?",[1]Sheet1!$1:$1,[1]Sheet1!127:127)),_xlfn.XLOOKUP($C127,'Premade Flavors'!$A:$A,'Premade Flavors'!B:B),_xlfn.XLOOKUP("What Ice Cream Base Do You Want To Change It To?",[1]Sheet1!$1:$1,[1]Sheet1!127:127)),_xlfn.XLOOKUP(_xlfn.XLOOKUP("What Kind Of Ice Cream Base Do You Want? ",[1]Sheet1!$1:$1,[1]Sheet1!127:127),'Milk Types Nutrition Per Cup'!O:O,'Milk Types Nutrition Per Cup'!P:P,""))</f>
        <v>0</v>
      </c>
      <c r="E127" s="31">
        <f>IF(COUNTIF('Premade Flavors'!$A:$A, $C127) &gt; 0,IF(ISBLANK(_xlfn.XLOOKUP("What Ice Cream Base Do You Want To Change It To?",[1]Sheet1!$1:$1,[1]Sheet1!127:127)),_xlfn.XLOOKUP($C127,'Premade Flavors'!$A:$A,'Premade Flavors'!C:C),_xlfn.XLOOKUP("What Ice Cream Base Do You Want To Change It To?",[1]Sheet1!$1:$1,[1]Sheet1!127:127)),_xlfn.XLOOKUP(_xlfn.XLOOKUP("What Kind Of Ice Cream Base Do You Want? ",[1]Sheet1!$1:$1,[1]Sheet1!127:127),'Milk Types Nutrition Per Cup'!$O:$O,'Milk Types Nutrition Per Cup'!$Q:$Q,""))</f>
        <v>0</v>
      </c>
      <c r="F127" s="31">
        <f>IF(COUNTIF('Premade Flavors'!$A:$A, $C127) &gt; 0,_xlfn.XLOOKUP($C127,'Premade Flavors'!$A:$A,'Premade Flavors'!E:E),_xlfn.XLOOKUP("What's The First Flavor You Want? ",[1]Sheet1!$1:$1,[1]Sheet1!127:127))</f>
        <v>0</v>
      </c>
      <c r="G127" s="31">
        <f>IF(COUNTIF('Premade Flavors'!$A:$A, $C127) &gt; 0,_xlfn.XLOOKUP($C127,'Premade Flavors'!$A:$A,'Premade Flavors'!F:F),_xlfn.XLOOKUP("What's the Second Flavor You Want?",[1]Sheet1!$1:$1,[1]Sheet1!127:127))</f>
        <v>0</v>
      </c>
      <c r="H127" s="31">
        <f>IF(COUNTIF('Premade Flavors'!$A:$A, $C127) &gt; 0,_xlfn.XLOOKUP($C127,'Premade Flavors'!$A:$A,'Premade Flavors'!G:G),_xlfn.XLOOKUP("What's The First Mix In That You Want? ",[1]Sheet1!$1:$1,[1]Sheet1!127:127))</f>
        <v>0</v>
      </c>
      <c r="I127" s="31">
        <f>IF(COUNTIF('Premade Flavors'!$A:$A, $C125) &gt; 0,_xlfn.XLOOKUP($C125,'Premade Flavors'!$A:$A,'Premade Flavors'!H:H),IF([2]Sheet1!W125= 0,,[2]Sheet1!W125))</f>
        <v>0</v>
      </c>
      <c r="J127" s="31">
        <f>IF(COUNTIF('Premade Flavors'!$A:$A,$C127)&gt;0,IF(_xlfn.XLOOKUP("Should It Use Sugar or A Non-Sugar Sweetner?",[1]Sheet1!$1:$1,[1]Sheet1!127:127)="Sugar",_xlfn.XLOOKUP($C127,'Premade Flavors'!$A:$A,'Premade Flavors'!I:I),"Stevia"),_xlfn.XLOOKUP("What Sweetner Do You Want?",[1]Sheet1!$1:$1,[1]Sheet1!127:127))</f>
        <v>0</v>
      </c>
      <c r="K127" s="31"/>
      <c r="L127" s="77">
        <f>_xlfn.XLOOKUP("How Much Ice Cream Do You Want?",[1]Sheet1!$1:$1,[1]Sheet1!127:127)</f>
        <v>0</v>
      </c>
      <c r="M127" s="45">
        <f>IF(COUNTIF('Premade Flavors'!$A:$A, $C127) &gt; 0,_xlfn.XLOOKUP($C127,'Premade Flavors'!$A:$A,'Premade Flavors'!M:M),_xlfn.XLOOKUP("How Strong Do You Want The First Flavor?",[1]Sheet1!$1:$1,[1]Sheet1!127:127))</f>
        <v>0</v>
      </c>
      <c r="N127" s="45">
        <f>IF(COUNTIF('Premade Flavors'!$A:$A, $C127) &gt; 0,_xlfn.XLOOKUP($C127,'Premade Flavors'!$A:$A,'Premade Flavors'!N:N),_xlfn.XLOOKUP("How Strong Do You Want The Second Flavor?",[1]Sheet1!$1:$1,[1]Sheet1!127:127))</f>
        <v>0</v>
      </c>
      <c r="O127" s="45">
        <f>IF(COUNTIF('Premade Flavors'!$A:$A, $C127) &gt; 0,_xlfn.XLOOKUP($C127,'Premade Flavors'!$A:$A,'Premade Flavors'!O:O),_xlfn.XLOOKUP("How Dense Should the Mix Ins Be?",[1]Sheet1!$1:$1,[1]Sheet1!127:127))</f>
        <v>0</v>
      </c>
      <c r="P127" s="45">
        <f>IF(COUNTIF('Premade Flavors'!$A:$A, $C127) &gt; 0,_xlfn.XLOOKUP($C127,'Premade Flavors'!$A:$A,'Premade Flavors'!P:P),_xlfn.XLOOKUP("How Much Of The First Sweetner? ",[1]Sheet1!$1:$1,[1]Sheet1!127:127))</f>
        <v>0</v>
      </c>
      <c r="Q127" s="45">
        <f>IF(COUNTIF('Premade Flavors'!$A:$A, $C127) &gt; 0,_xlfn.XLOOKUP($C127,'Premade Flavors'!$A:$A,'Premade Flavors'!Q:Q),[2]Sheet1!S127)</f>
        <v>0</v>
      </c>
      <c r="R127" s="30">
        <f>(_xlfn.XLOOKUP($L127,Specs!A:A,Specs!B:B,0)-(IF(_xlfn.XLOOKUP($F127,'Liquid Mix In Nutrition'!A:A,'Liquid Mix In Nutrition'!J:J,0)="Yes",0,$T127))-(IF(_xlfn.XLOOKUP($G127,'Liquid Mix In Nutrition'!A:A,'Liquid Mix In Nutrition'!J:J,0)="Yes",0,$U127))-(($V127/MAX(1,_xlfn.XLOOKUP($H127,'Solid Mix In Nutrition'!A:A,'Solid Mix In Nutrition'!I:I,1)))*240)-(($W127/MAX(1,_xlfn.XLOOKUP($I127,'Solid Mix In Nutrition'!A:A,'Solid Mix In Nutrition'!I:I,1)))*240))*0.66</f>
        <v>0</v>
      </c>
      <c r="S127" s="30">
        <f>(_xlfn.XLOOKUP($L127,Specs!A:A,Specs!B:B,0)-(IF(_xlfn.XLOOKUP($F127,'Liquid Mix In Nutrition'!A:A,'Liquid Mix In Nutrition'!J:J,0)="Yes",0,$T127))-(IF(_xlfn.XLOOKUP($G127,'Liquid Mix In Nutrition'!A:A,'Liquid Mix In Nutrition'!J:J,0)="Yes",0,$U127))-(($V127/MAX(1,_xlfn.XLOOKUP($H127,'Solid Mix In Nutrition'!A:A,'Solid Mix In Nutrition'!I:I,1)))*240)-(($W127/MAX(1,_xlfn.XLOOKUP($I127,'Solid Mix In Nutrition'!A:A,'Solid Mix In Nutrition'!I:I,1)))*240))*0.33</f>
        <v>0</v>
      </c>
      <c r="T127" s="30">
        <f>_xlfn.XLOOKUP($M127,Specs!$D:$D,Specs!$E:$E,0)*15*_xlfn.XLOOKUP($L127,Specs!$A:$A,Specs!$C:$C,0)</f>
        <v>0</v>
      </c>
      <c r="U127" s="30">
        <f>_xlfn.XLOOKUP($N127,Specs!$D:$D,Specs!$E:$E,0)*15*_xlfn.XLOOKUP($L127,Specs!$A:$A,Specs!$C:$C,0)</f>
        <v>0</v>
      </c>
      <c r="V127" s="30">
        <f>( ((_xlfn.XLOOKUP($O127,Specs!$H:$H,Specs!$I:$I,0)*_xlfn.XLOOKUP($L127,Specs!$A:$A,Specs!$B:$B,0))/240) *_xlfn.XLOOKUP($H127,'Solid Mix In Nutrition'!A:A,'Solid Mix In Nutrition'!I:I,0)) *IF(AND(NOT($I127=0), COUNTA($I127)),0.5,1)</f>
        <v>0</v>
      </c>
      <c r="W127" s="30">
        <f>( ((_xlfn.XLOOKUP($O127,Specs!$H:$H,Specs!$I:$I,0)*_xlfn.XLOOKUP($L127,Specs!$A:$A,Specs!$B:$B,0))/240) *_xlfn.XLOOKUP($I127,'Solid Mix In Nutrition'!A:A,'Solid Mix In Nutrition'!I:I,0)) *IF(AND(NOT($I127=0), COUNTA($I127)),0.5,0)</f>
        <v>0</v>
      </c>
      <c r="X127" s="30">
        <f>_xlfn.XLOOKUP($P127,Specs!F:F,Specs!G:G,0)*_xlfn.XLOOKUP($J127,'Sweetener Mix In Nutrition'!A:A,'Sweetener Mix In Nutrition'!I:I,0)*_xlfn.XLOOKUP($L127,Specs!A:A,Specs!C:C,0)</f>
        <v>0</v>
      </c>
      <c r="Y127" s="30">
        <f>_xlfn.XLOOKUP($Q127,Specs!F:F,Specs!G:G,0)*_xlfn.XLOOKUP($K127,'Sweetener Mix In Nutrition'!A:A,'Sweetener Mix In Nutrition'!I:I,0)*_xlfn.XLOOKUP($L127,Specs!A:A,Specs!C:C,0)</f>
        <v>0</v>
      </c>
      <c r="Z127" s="34">
        <f t="shared" si="4"/>
        <v>0</v>
      </c>
      <c r="AA127" s="35">
        <f t="shared" si="5"/>
        <v>0</v>
      </c>
      <c r="AB127" s="36">
        <f>(($R127 / 240) * _xlfn.XLOOKUP($D127,'Milk Types Nutrition Per Cup'!A:A,'Milk Types Nutrition Per Cup'!B:B,0)) +(($S127 / 240)  * _xlfn.XLOOKUP($E127,'Milk Types Nutrition Per Cup'!A:A,'Milk Types Nutrition Per Cup'!B:B,0)) +(($T127 / 15)  * _xlfn.XLOOKUP($F127,'Liquid Mix In Nutrition'!A:A,'Liquid Mix In Nutrition'!B:B,0))+(($U127 / 15)  * _xlfn.XLOOKUP($G127,'Liquid Mix In Nutrition'!A:A,'Liquid Mix In Nutrition'!B:B,0))+(($V127 /MAX(1, _xlfn.XLOOKUP($H127,'Solid Mix In Nutrition'!A:A,'Solid Mix In Nutrition'!I:I,1)))  * _xlfn.XLOOKUP($H127,'Solid Mix In Nutrition'!A:A,'Solid Mix In Nutrition'!B:B,0))+(($W127 / MAX(1, _xlfn.XLOOKUP($I127,'Solid Mix In Nutrition'!A:A,'Solid Mix In Nutrition'!I:I,1))))+(($X127 / 100)  * _xlfn.XLOOKUP($J127,'Sweetener Mix In Nutrition'!A:A,'Sweetener Mix In Nutrition'!B:B,0))+(($Y127 / 100)  * _xlfn.XLOOKUP($K127,'Sweetener Mix In Nutrition'!A:A,'Sweetener Mix In Nutrition'!B:B,0))</f>
        <v>0</v>
      </c>
      <c r="AC127" s="36">
        <f>(($R127 / 240) * _xlfn.XLOOKUP($D127,'Milk Types Nutrition Per Cup'!A:A,'Milk Types Nutrition Per Cup'!E:E,0)) +(($S127 / 240)  * _xlfn.XLOOKUP($E127,'Milk Types Nutrition Per Cup'!A:A,'Milk Types Nutrition Per Cup'!E:E,0)) +(($T127 / 15)  * _xlfn.XLOOKUP($F127,'Liquid Mix In Nutrition'!A:A,'Liquid Mix In Nutrition'!E:E,0)) +(($U127 / 15)  * _xlfn.XLOOKUP($G127,'Liquid Mix In Nutrition'!A:A,'Liquid Mix In Nutrition'!E:E,0))+(($V127 / MAX(1, _xlfn.XLOOKUP($H127,'Solid Mix In Nutrition'!A:A,'Solid Mix In Nutrition'!I:I,1)))  * _xlfn.XLOOKUP($H127,'Solid Mix In Nutrition'!A:A,'Solid Mix In Nutrition'!E:E,0))+(($W127 / MAX(1, _xlfn.XLOOKUP($I127,'Solid Mix In Nutrition'!A:A,'Solid Mix In Nutrition'!I:I,1)))  * _xlfn.XLOOKUP($I127,'Solid Mix In Nutrition'!A:A,'Solid Mix In Nutrition'!G:G,0))+(($X127 / 100)  * _xlfn.XLOOKUP($J127,'Sweetener Mix In Nutrition'!A:A,'Sweetener Mix In Nutrition'!E:E,0))+(($Y127 / 100)  * _xlfn.XLOOKUP($K127,'Sweetener Mix In Nutrition'!A:A,'Sweetener Mix In Nutrition'!E:E,0))</f>
        <v>0</v>
      </c>
      <c r="AD127" s="36">
        <f>(($R127 / 240) * _xlfn.XLOOKUP($D127,'Milk Types Nutrition Per Cup'!A:A,'Milk Types Nutrition Per Cup'!E:E,0)) +(($S127 / 240)  * _xlfn.XLOOKUP($E127,'Milk Types Nutrition Per Cup'!A:A,'Milk Types Nutrition Per Cup'!E:E,0)) +(($T127 / 15)  * _xlfn.XLOOKUP($F127,'Liquid Mix In Nutrition'!A:A,'Liquid Mix In Nutrition'!E:E,0)) +(($U127 / 15)  * _xlfn.XLOOKUP($G127,'Liquid Mix In Nutrition'!A:A,'Liquid Mix In Nutrition'!E:E,0))+(($X127 / 100)  * _xlfn.XLOOKUP($J127,'Sweetener Mix In Nutrition'!A:A,'Sweetener Mix In Nutrition'!E:E,0))+(($Y127 / 100)  * _xlfn.XLOOKUP($K127,'Sweetener Mix In Nutrition'!A:A,'Sweetener Mix In Nutrition'!E:E,0))</f>
        <v>0</v>
      </c>
      <c r="AE127" s="37">
        <f>(($R127 / 240) * _xlfn.XLOOKUP($D127,'Milk Types Nutrition Per Cup'!A:A,'Milk Types Nutrition Per Cup'!C:C,0)) +(($S127 / 240)  * _xlfn.XLOOKUP($E127,'Milk Types Nutrition Per Cup'!A:A,'Milk Types Nutrition Per Cup'!C:C,0)) +(($T127 / 15)  * _xlfn.XLOOKUP($F127,'Liquid Mix In Nutrition'!A:A,'Liquid Mix In Nutrition'!C:C,0))+(($U127 / 15)  * _xlfn.XLOOKUP($G127,'Liquid Mix In Nutrition'!A:A,'Liquid Mix In Nutrition'!C:C,0))+(($V127 / MAX(1, _xlfn.XLOOKUP($H127,'Solid Mix In Nutrition'!A:A,'Solid Mix In Nutrition'!I:I,1)))  * _xlfn.XLOOKUP($H127,'Solid Mix In Nutrition'!A:A,'Solid Mix In Nutrition'!C:C,0))+(($W127 / MAX(1, _xlfn.XLOOKUP($I127,'Solid Mix In Nutrition'!A:A,'Solid Mix In Nutrition'!I:I,1)))  * _xlfn.XLOOKUP($I127,'Solid Mix In Nutrition'!A:A,'Solid Mix In Nutrition'!C:C,0))+(($X127 / 100)  * _xlfn.XLOOKUP($J127,'Sweetener Mix In Nutrition'!A:A,'Sweetener Mix In Nutrition'!C:C,0))+(($Y127 / 100)  * _xlfn.XLOOKUP($K127,'Sweetener Mix In Nutrition'!A:A,'Sweetener Mix In Nutrition'!C:C,0))</f>
        <v>0</v>
      </c>
      <c r="AF127" s="38" t="e">
        <f>$AE127 / (_xlfn.XLOOKUP($L127,Specs!A:A,Specs!B:B,0))</f>
        <v>#DIV/0!</v>
      </c>
      <c r="AG127" s="37" t="e">
        <f>60* ($AB127 / _xlfn.XLOOKUP($L127,Specs!A:A,Specs!B:B,0))</f>
        <v>#DIV/0!</v>
      </c>
      <c r="AH127" s="37" t="e">
        <f>60* (AC127 / _xlfn.XLOOKUP($L127,Specs!$A:$A,Specs!$B:$B,0))</f>
        <v>#DIV/0!</v>
      </c>
      <c r="AI127" s="37" t="e">
        <f>60* (AE127 / _xlfn.XLOOKUP($L127,Specs!$A:$A,Specs!$B:$B,0))</f>
        <v>#DIV/0!</v>
      </c>
      <c r="AJ127" s="39">
        <f>(($R127 / 240) * _xlfn.XLOOKUP($D127,'Milk Types Nutrition Per Cup'!A:A,'Milk Types Nutrition Per Cup'!F:F,0)) +(($S127 / 240)  * _xlfn.XLOOKUP($E127,'Milk Types Nutrition Per Cup'!A:A,'Milk Types Nutrition Per Cup'!F:F,0)) +(($T127 / 15)  * _xlfn.XLOOKUP($F127,'Liquid Mix In Nutrition'!A:A,'Liquid Mix In Nutrition'!F:F,0))+(($U127 / 15)  * _xlfn.XLOOKUP($G127,'Liquid Mix In Nutrition'!A:A,'Liquid Mix In Nutrition'!F:F,0))+(($V127 / MAX(1, _xlfn.XLOOKUP($H127,'Solid Mix In Nutrition'!A:A,'Solid Mix In Nutrition'!I:I,1)))  * _xlfn.XLOOKUP($H127,'Solid Mix In Nutrition'!A:A,'Solid Mix In Nutrition'!F:F,0))+(($W127 / MAX(1, _xlfn.XLOOKUP($I127,'Solid Mix In Nutrition'!A:A,'Solid Mix In Nutrition'!I:I,1)))  * _xlfn.XLOOKUP($I127,'Solid Mix In Nutrition'!A:A,'Solid Mix In Nutrition'!F:F,0))+(($X127 / 100)  * _xlfn.XLOOKUP($J127,'Sweetener Mix In Nutrition'!A:A,'Sweetener Mix In Nutrition'!F:F,0))+(($Y127 / 100)  * _xlfn.XLOOKUP($K127,'Sweetener Mix In Nutrition'!A:A,'Sweetener Mix In Nutrition'!F:F,0))</f>
        <v>0</v>
      </c>
      <c r="AK127" s="46">
        <f>[2]Sheet1!AG127</f>
        <v>0</v>
      </c>
      <c r="AL127" s="47"/>
      <c r="AM127" s="40">
        <f>IF(ISERROR(((AL127/Specs!$L$3)*Specs!$L$2)*2),0,ROUNDUP((((AL127/Specs!$L$3)*Specs!$L$2)*2),0))</f>
        <v>0</v>
      </c>
      <c r="AN127" s="48">
        <f>ROUNDUP(((AJ127+Specs!$R$2+Specs!$S$2+_xlfn.XLOOKUP($L127,Specs!A:A,Specs!V:V,0))*Specs!$N$2)+AM127,0)</f>
        <v>1</v>
      </c>
      <c r="AO127" s="40">
        <f>ROUNDUP(((AJ127+Specs!$R$2+Specs!$S$2+_xlfn.XLOOKUP($L127,Specs!A:A,Specs!V:V,0))*Specs!$N$2),0)</f>
        <v>1</v>
      </c>
      <c r="AP127" s="30"/>
    </row>
    <row r="128" spans="1:42" x14ac:dyDescent="0.25">
      <c r="A128" s="41" t="str">
        <f>_xlfn.CONCAT(_xlfn.XLOOKUP("What's Your Name?",[1]Sheet1!$1:$1,[1]Sheet1!128:128)," | ",TEXT(_xlfn.XLOOKUP("Completion time",[1]Sheet1!$1:$1,[1]Sheet1!128:128),"dddd, mmm dd, yyyy hh:mm AM/PM"))</f>
        <v xml:space="preserve"> | Saturday, Jan 00, 1900 12:00 AM</v>
      </c>
      <c r="B128" s="76">
        <f>_xlfn.XLOOKUP("What's Your Email Address?",[1]Sheet1!$1:$1,[1]Sheet1!128:128)</f>
        <v>0</v>
      </c>
      <c r="C128" s="31">
        <f>IF(ISBLANK(_xlfn.XLOOKUP("Which Flavor? (Pint Price | Quart Price | Half Gallon Price) (NOTE: Prices may fluctuate based on market conditions)",[1]Sheet1!$1:$1,[1]Sheet1!128:128)),_xlfn.XLOOKUP("Name Your Ice Cream!",[1]Sheet1!$1:$1,[1]Sheet1!128:128),IF(ISNUMBER(FIND("(", _xlfn.XLOOKUP("Which Flavor? (Pint Price | Quart Price | Half Gallon Price) (NOTE: Prices may fluctuate based on market conditions)",[1]Sheet1!$1:$1,[1]Sheet1!128:128))), LEFT(_xlfn.XLOOKUP("Which Flavor? (Pint Price | Quart Price | Half Gallon Price) (NOTE: Prices may fluctuate based on market conditions)",[1]Sheet1!$1:$1,[1]Sheet1!128:128), FIND("(", _xlfn.XLOOKUP("Which Flavor? (Pint Price | Quart Price | Half Gallon Price) (NOTE: Prices may fluctuate based on market conditions)",[1]Sheet1!$1:$1,[1]Sheet1!128:128)) - 1), _xlfn.XLOOKUP("Which Flavor? (Pint Price | Quart Price | Half Gallon Price) (NOTE: Prices may fluctuate based on market conditions)",[1]Sheet1!$1:$1,[1]Sheet1!128:128)))</f>
        <v>0</v>
      </c>
      <c r="D128" s="31">
        <f>IF(COUNTIF('Premade Flavors'!$A:$A, $C128) &gt; 0,IF(ISBLANK(_xlfn.XLOOKUP("What Ice Cream Base Do You Want To Change It To?",[1]Sheet1!$1:$1,[1]Sheet1!128:128)),_xlfn.XLOOKUP($C128,'Premade Flavors'!$A:$A,'Premade Flavors'!B:B),_xlfn.XLOOKUP("What Ice Cream Base Do You Want To Change It To?",[1]Sheet1!$1:$1,[1]Sheet1!128:128)),_xlfn.XLOOKUP(_xlfn.XLOOKUP("What Kind Of Ice Cream Base Do You Want? ",[1]Sheet1!$1:$1,[1]Sheet1!128:128),'Milk Types Nutrition Per Cup'!O:O,'Milk Types Nutrition Per Cup'!P:P,""))</f>
        <v>0</v>
      </c>
      <c r="E128" s="31">
        <f>IF(COUNTIF('Premade Flavors'!$A:$A, $C128) &gt; 0,IF(ISBLANK(_xlfn.XLOOKUP("What Ice Cream Base Do You Want To Change It To?",[1]Sheet1!$1:$1,[1]Sheet1!128:128)),_xlfn.XLOOKUP($C128,'Premade Flavors'!$A:$A,'Premade Flavors'!C:C),_xlfn.XLOOKUP("What Ice Cream Base Do You Want To Change It To?",[1]Sheet1!$1:$1,[1]Sheet1!128:128)),_xlfn.XLOOKUP(_xlfn.XLOOKUP("What Kind Of Ice Cream Base Do You Want? ",[1]Sheet1!$1:$1,[1]Sheet1!128:128),'Milk Types Nutrition Per Cup'!$O:$O,'Milk Types Nutrition Per Cup'!$Q:$Q,""))</f>
        <v>0</v>
      </c>
      <c r="F128" s="31">
        <f>IF(COUNTIF('Premade Flavors'!$A:$A, $C128) &gt; 0,_xlfn.XLOOKUP($C128,'Premade Flavors'!$A:$A,'Premade Flavors'!E:E),_xlfn.XLOOKUP("What's The First Flavor You Want? ",[1]Sheet1!$1:$1,[1]Sheet1!128:128))</f>
        <v>0</v>
      </c>
      <c r="G128" s="31">
        <f>IF(COUNTIF('Premade Flavors'!$A:$A, $C128) &gt; 0,_xlfn.XLOOKUP($C128,'Premade Flavors'!$A:$A,'Premade Flavors'!F:F),_xlfn.XLOOKUP("What's the Second Flavor You Want?",[1]Sheet1!$1:$1,[1]Sheet1!128:128))</f>
        <v>0</v>
      </c>
      <c r="H128" s="31">
        <f>IF(COUNTIF('Premade Flavors'!$A:$A, $C128) &gt; 0,_xlfn.XLOOKUP($C128,'Premade Flavors'!$A:$A,'Premade Flavors'!G:G),_xlfn.XLOOKUP("What's The First Mix In That You Want? ",[1]Sheet1!$1:$1,[1]Sheet1!128:128))</f>
        <v>0</v>
      </c>
      <c r="I128" s="31">
        <f>IF(COUNTIF('Premade Flavors'!$A:$A, $C126) &gt; 0,_xlfn.XLOOKUP($C126,'Premade Flavors'!$A:$A,'Premade Flavors'!H:H),IF([2]Sheet1!W126= 0,,[2]Sheet1!W126))</f>
        <v>0</v>
      </c>
      <c r="J128" s="31">
        <f>IF(COUNTIF('Premade Flavors'!$A:$A,$C128)&gt;0,IF(_xlfn.XLOOKUP("Should It Use Sugar or A Non-Sugar Sweetner?",[1]Sheet1!$1:$1,[1]Sheet1!128:128)="Sugar",_xlfn.XLOOKUP($C128,'Premade Flavors'!$A:$A,'Premade Flavors'!I:I),"Stevia"),_xlfn.XLOOKUP("What Sweetner Do You Want?",[1]Sheet1!$1:$1,[1]Sheet1!128:128))</f>
        <v>0</v>
      </c>
      <c r="K128" s="31"/>
      <c r="L128" s="77">
        <f>_xlfn.XLOOKUP("How Much Ice Cream Do You Want?",[1]Sheet1!$1:$1,[1]Sheet1!128:128)</f>
        <v>0</v>
      </c>
      <c r="M128" s="45">
        <f>IF(COUNTIF('Premade Flavors'!$A:$A, $C128) &gt; 0,_xlfn.XLOOKUP($C128,'Premade Flavors'!$A:$A,'Premade Flavors'!M:M),_xlfn.XLOOKUP("How Strong Do You Want The First Flavor?",[1]Sheet1!$1:$1,[1]Sheet1!128:128))</f>
        <v>0</v>
      </c>
      <c r="N128" s="45">
        <f>IF(COUNTIF('Premade Flavors'!$A:$A, $C128) &gt; 0,_xlfn.XLOOKUP($C128,'Premade Flavors'!$A:$A,'Premade Flavors'!N:N),_xlfn.XLOOKUP("How Strong Do You Want The Second Flavor?",[1]Sheet1!$1:$1,[1]Sheet1!128:128))</f>
        <v>0</v>
      </c>
      <c r="O128" s="45">
        <f>IF(COUNTIF('Premade Flavors'!$A:$A, $C128) &gt; 0,_xlfn.XLOOKUP($C128,'Premade Flavors'!$A:$A,'Premade Flavors'!O:O),_xlfn.XLOOKUP("How Dense Should the Mix Ins Be?",[1]Sheet1!$1:$1,[1]Sheet1!128:128))</f>
        <v>0</v>
      </c>
      <c r="P128" s="45">
        <f>IF(COUNTIF('Premade Flavors'!$A:$A, $C128) &gt; 0,_xlfn.XLOOKUP($C128,'Premade Flavors'!$A:$A,'Premade Flavors'!P:P),_xlfn.XLOOKUP("How Much Of The First Sweetner? ",[1]Sheet1!$1:$1,[1]Sheet1!128:128))</f>
        <v>0</v>
      </c>
      <c r="Q128" s="45">
        <f>IF(COUNTIF('Premade Flavors'!$A:$A, $C128) &gt; 0,_xlfn.XLOOKUP($C128,'Premade Flavors'!$A:$A,'Premade Flavors'!Q:Q),[2]Sheet1!S128)</f>
        <v>0</v>
      </c>
      <c r="R128" s="30">
        <f>(_xlfn.XLOOKUP($L128,Specs!A:A,Specs!B:B,0)-(IF(_xlfn.XLOOKUP($F128,'Liquid Mix In Nutrition'!A:A,'Liquid Mix In Nutrition'!J:J,0)="Yes",0,$T128))-(IF(_xlfn.XLOOKUP($G128,'Liquid Mix In Nutrition'!A:A,'Liquid Mix In Nutrition'!J:J,0)="Yes",0,$U128))-(($V128/MAX(1,_xlfn.XLOOKUP($H128,'Solid Mix In Nutrition'!A:A,'Solid Mix In Nutrition'!I:I,1)))*240)-(($W128/MAX(1,_xlfn.XLOOKUP($I128,'Solid Mix In Nutrition'!A:A,'Solid Mix In Nutrition'!I:I,1)))*240))*0.66</f>
        <v>0</v>
      </c>
      <c r="S128" s="30">
        <f>(_xlfn.XLOOKUP($L128,Specs!A:A,Specs!B:B,0)-(IF(_xlfn.XLOOKUP($F128,'Liquid Mix In Nutrition'!A:A,'Liquid Mix In Nutrition'!J:J,0)="Yes",0,$T128))-(IF(_xlfn.XLOOKUP($G128,'Liquid Mix In Nutrition'!A:A,'Liquid Mix In Nutrition'!J:J,0)="Yes",0,$U128))-(($V128/MAX(1,_xlfn.XLOOKUP($H128,'Solid Mix In Nutrition'!A:A,'Solid Mix In Nutrition'!I:I,1)))*240)-(($W128/MAX(1,_xlfn.XLOOKUP($I128,'Solid Mix In Nutrition'!A:A,'Solid Mix In Nutrition'!I:I,1)))*240))*0.33</f>
        <v>0</v>
      </c>
      <c r="T128" s="30">
        <f>_xlfn.XLOOKUP($M128,Specs!$D:$D,Specs!$E:$E,0)*15*_xlfn.XLOOKUP($L128,Specs!$A:$A,Specs!$C:$C,0)</f>
        <v>0</v>
      </c>
      <c r="U128" s="30">
        <f>_xlfn.XLOOKUP($N128,Specs!$D:$D,Specs!$E:$E,0)*15*_xlfn.XLOOKUP($L128,Specs!$A:$A,Specs!$C:$C,0)</f>
        <v>0</v>
      </c>
      <c r="V128" s="30">
        <f>( ((_xlfn.XLOOKUP($O128,Specs!$H:$H,Specs!$I:$I,0)*_xlfn.XLOOKUP($L128,Specs!$A:$A,Specs!$B:$B,0))/240) *_xlfn.XLOOKUP($H128,'Solid Mix In Nutrition'!A:A,'Solid Mix In Nutrition'!I:I,0)) *IF(AND(NOT($I128=0), COUNTA($I128)),0.5,1)</f>
        <v>0</v>
      </c>
      <c r="W128" s="30">
        <f>( ((_xlfn.XLOOKUP($O128,Specs!$H:$H,Specs!$I:$I,0)*_xlfn.XLOOKUP($L128,Specs!$A:$A,Specs!$B:$B,0))/240) *_xlfn.XLOOKUP($I128,'Solid Mix In Nutrition'!A:A,'Solid Mix In Nutrition'!I:I,0)) *IF(AND(NOT($I128=0), COUNTA($I128)),0.5,0)</f>
        <v>0</v>
      </c>
      <c r="X128" s="30">
        <f>_xlfn.XLOOKUP($P128,Specs!F:F,Specs!G:G,0)*_xlfn.XLOOKUP($J128,'Sweetener Mix In Nutrition'!A:A,'Sweetener Mix In Nutrition'!I:I,0)*_xlfn.XLOOKUP($L128,Specs!A:A,Specs!C:C,0)</f>
        <v>0</v>
      </c>
      <c r="Y128" s="30">
        <f>_xlfn.XLOOKUP($Q128,Specs!F:F,Specs!G:G,0)*_xlfn.XLOOKUP($K128,'Sweetener Mix In Nutrition'!A:A,'Sweetener Mix In Nutrition'!I:I,0)*_xlfn.XLOOKUP($L128,Specs!A:A,Specs!C:C,0)</f>
        <v>0</v>
      </c>
      <c r="Z128" s="34">
        <f t="shared" si="4"/>
        <v>0</v>
      </c>
      <c r="AA128" s="35">
        <f t="shared" si="5"/>
        <v>0</v>
      </c>
      <c r="AB128" s="36">
        <f>(($R128 / 240) * _xlfn.XLOOKUP($D128,'Milk Types Nutrition Per Cup'!A:A,'Milk Types Nutrition Per Cup'!B:B,0)) +(($S128 / 240)  * _xlfn.XLOOKUP($E128,'Milk Types Nutrition Per Cup'!A:A,'Milk Types Nutrition Per Cup'!B:B,0)) +(($T128 / 15)  * _xlfn.XLOOKUP($F128,'Liquid Mix In Nutrition'!A:A,'Liquid Mix In Nutrition'!B:B,0))+(($U128 / 15)  * _xlfn.XLOOKUP($G128,'Liquid Mix In Nutrition'!A:A,'Liquid Mix In Nutrition'!B:B,0))+(($V128 /MAX(1, _xlfn.XLOOKUP($H128,'Solid Mix In Nutrition'!A:A,'Solid Mix In Nutrition'!I:I,1)))  * _xlfn.XLOOKUP($H128,'Solid Mix In Nutrition'!A:A,'Solid Mix In Nutrition'!B:B,0))+(($W128 / MAX(1, _xlfn.XLOOKUP($I128,'Solid Mix In Nutrition'!A:A,'Solid Mix In Nutrition'!I:I,1))))+(($X128 / 100)  * _xlfn.XLOOKUP($J128,'Sweetener Mix In Nutrition'!A:A,'Sweetener Mix In Nutrition'!B:B,0))+(($Y128 / 100)  * _xlfn.XLOOKUP($K128,'Sweetener Mix In Nutrition'!A:A,'Sweetener Mix In Nutrition'!B:B,0))</f>
        <v>0</v>
      </c>
      <c r="AC128" s="36">
        <f>(($R128 / 240) * _xlfn.XLOOKUP($D128,'Milk Types Nutrition Per Cup'!A:A,'Milk Types Nutrition Per Cup'!E:E,0)) +(($S128 / 240)  * _xlfn.XLOOKUP($E128,'Milk Types Nutrition Per Cup'!A:A,'Milk Types Nutrition Per Cup'!E:E,0)) +(($T128 / 15)  * _xlfn.XLOOKUP($F128,'Liquid Mix In Nutrition'!A:A,'Liquid Mix In Nutrition'!E:E,0)) +(($U128 / 15)  * _xlfn.XLOOKUP($G128,'Liquid Mix In Nutrition'!A:A,'Liquid Mix In Nutrition'!E:E,0))+(($V128 / MAX(1, _xlfn.XLOOKUP($H128,'Solid Mix In Nutrition'!A:A,'Solid Mix In Nutrition'!I:I,1)))  * _xlfn.XLOOKUP($H128,'Solid Mix In Nutrition'!A:A,'Solid Mix In Nutrition'!E:E,0))+(($W128 / MAX(1, _xlfn.XLOOKUP($I128,'Solid Mix In Nutrition'!A:A,'Solid Mix In Nutrition'!I:I,1)))  * _xlfn.XLOOKUP($I128,'Solid Mix In Nutrition'!A:A,'Solid Mix In Nutrition'!G:G,0))+(($X128 / 100)  * _xlfn.XLOOKUP($J128,'Sweetener Mix In Nutrition'!A:A,'Sweetener Mix In Nutrition'!E:E,0))+(($Y128 / 100)  * _xlfn.XLOOKUP($K128,'Sweetener Mix In Nutrition'!A:A,'Sweetener Mix In Nutrition'!E:E,0))</f>
        <v>0</v>
      </c>
      <c r="AD128" s="36">
        <f>(($R128 / 240) * _xlfn.XLOOKUP($D128,'Milk Types Nutrition Per Cup'!A:A,'Milk Types Nutrition Per Cup'!E:E,0)) +(($S128 / 240)  * _xlfn.XLOOKUP($E128,'Milk Types Nutrition Per Cup'!A:A,'Milk Types Nutrition Per Cup'!E:E,0)) +(($T128 / 15)  * _xlfn.XLOOKUP($F128,'Liquid Mix In Nutrition'!A:A,'Liquid Mix In Nutrition'!E:E,0)) +(($U128 / 15)  * _xlfn.XLOOKUP($G128,'Liquid Mix In Nutrition'!A:A,'Liquid Mix In Nutrition'!E:E,0))+(($X128 / 100)  * _xlfn.XLOOKUP($J128,'Sweetener Mix In Nutrition'!A:A,'Sweetener Mix In Nutrition'!E:E,0))+(($Y128 / 100)  * _xlfn.XLOOKUP($K128,'Sweetener Mix In Nutrition'!A:A,'Sweetener Mix In Nutrition'!E:E,0))</f>
        <v>0</v>
      </c>
      <c r="AE128" s="37">
        <f>(($R128 / 240) * _xlfn.XLOOKUP($D128,'Milk Types Nutrition Per Cup'!A:A,'Milk Types Nutrition Per Cup'!C:C,0)) +(($S128 / 240)  * _xlfn.XLOOKUP($E128,'Milk Types Nutrition Per Cup'!A:A,'Milk Types Nutrition Per Cup'!C:C,0)) +(($T128 / 15)  * _xlfn.XLOOKUP($F128,'Liquid Mix In Nutrition'!A:A,'Liquid Mix In Nutrition'!C:C,0))+(($U128 / 15)  * _xlfn.XLOOKUP($G128,'Liquid Mix In Nutrition'!A:A,'Liquid Mix In Nutrition'!C:C,0))+(($V128 / MAX(1, _xlfn.XLOOKUP($H128,'Solid Mix In Nutrition'!A:A,'Solid Mix In Nutrition'!I:I,1)))  * _xlfn.XLOOKUP($H128,'Solid Mix In Nutrition'!A:A,'Solid Mix In Nutrition'!C:C,0))+(($W128 / MAX(1, _xlfn.XLOOKUP($I128,'Solid Mix In Nutrition'!A:A,'Solid Mix In Nutrition'!I:I,1)))  * _xlfn.XLOOKUP($I128,'Solid Mix In Nutrition'!A:A,'Solid Mix In Nutrition'!C:C,0))+(($X128 / 100)  * _xlfn.XLOOKUP($J128,'Sweetener Mix In Nutrition'!A:A,'Sweetener Mix In Nutrition'!C:C,0))+(($Y128 / 100)  * _xlfn.XLOOKUP($K128,'Sweetener Mix In Nutrition'!A:A,'Sweetener Mix In Nutrition'!C:C,0))</f>
        <v>0</v>
      </c>
      <c r="AF128" s="38" t="e">
        <f>$AE128 / (_xlfn.XLOOKUP($L128,Specs!A:A,Specs!B:B,0))</f>
        <v>#DIV/0!</v>
      </c>
      <c r="AG128" s="37" t="e">
        <f>60* ($AB128 / _xlfn.XLOOKUP($L128,Specs!A:A,Specs!B:B,0))</f>
        <v>#DIV/0!</v>
      </c>
      <c r="AH128" s="37" t="e">
        <f>60* (AC128 / _xlfn.XLOOKUP($L128,Specs!$A:$A,Specs!$B:$B,0))</f>
        <v>#DIV/0!</v>
      </c>
      <c r="AI128" s="37" t="e">
        <f>60* (AE128 / _xlfn.XLOOKUP($L128,Specs!$A:$A,Specs!$B:$B,0))</f>
        <v>#DIV/0!</v>
      </c>
      <c r="AJ128" s="39">
        <f>(($R128 / 240) * _xlfn.XLOOKUP($D128,'Milk Types Nutrition Per Cup'!A:A,'Milk Types Nutrition Per Cup'!F:F,0)) +(($S128 / 240)  * _xlfn.XLOOKUP($E128,'Milk Types Nutrition Per Cup'!A:A,'Milk Types Nutrition Per Cup'!F:F,0)) +(($T128 / 15)  * _xlfn.XLOOKUP($F128,'Liquid Mix In Nutrition'!A:A,'Liquid Mix In Nutrition'!F:F,0))+(($U128 / 15)  * _xlfn.XLOOKUP($G128,'Liquid Mix In Nutrition'!A:A,'Liquid Mix In Nutrition'!F:F,0))+(($V128 / MAX(1, _xlfn.XLOOKUP($H128,'Solid Mix In Nutrition'!A:A,'Solid Mix In Nutrition'!I:I,1)))  * _xlfn.XLOOKUP($H128,'Solid Mix In Nutrition'!A:A,'Solid Mix In Nutrition'!F:F,0))+(($W128 / MAX(1, _xlfn.XLOOKUP($I128,'Solid Mix In Nutrition'!A:A,'Solid Mix In Nutrition'!I:I,1)))  * _xlfn.XLOOKUP($I128,'Solid Mix In Nutrition'!A:A,'Solid Mix In Nutrition'!F:F,0))+(($X128 / 100)  * _xlfn.XLOOKUP($J128,'Sweetener Mix In Nutrition'!A:A,'Sweetener Mix In Nutrition'!F:F,0))+(($Y128 / 100)  * _xlfn.XLOOKUP($K128,'Sweetener Mix In Nutrition'!A:A,'Sweetener Mix In Nutrition'!F:F,0))</f>
        <v>0</v>
      </c>
      <c r="AK128" s="46">
        <f>[2]Sheet1!AG128</f>
        <v>0</v>
      </c>
      <c r="AL128" s="47"/>
      <c r="AM128" s="40">
        <f>IF(ISERROR(((AL128/Specs!$L$3)*Specs!$L$2)*2),0,ROUNDUP((((AL128/Specs!$L$3)*Specs!$L$2)*2),0))</f>
        <v>0</v>
      </c>
      <c r="AN128" s="48">
        <f>ROUNDUP(((AJ128+Specs!$R$2+Specs!$S$2+_xlfn.XLOOKUP($L128,Specs!A:A,Specs!V:V,0))*Specs!$N$2)+AM128,0)</f>
        <v>1</v>
      </c>
      <c r="AO128" s="40">
        <f>ROUNDUP(((AJ128+Specs!$R$2+Specs!$S$2+_xlfn.XLOOKUP($L128,Specs!A:A,Specs!V:V,0))*Specs!$N$2),0)</f>
        <v>1</v>
      </c>
      <c r="AP128" s="30"/>
    </row>
    <row r="129" spans="1:42" x14ac:dyDescent="0.25">
      <c r="A129" s="41" t="str">
        <f>_xlfn.CONCAT(_xlfn.XLOOKUP("What's Your Name?",[1]Sheet1!$1:$1,[1]Sheet1!129:129)," | ",TEXT(_xlfn.XLOOKUP("Completion time",[1]Sheet1!$1:$1,[1]Sheet1!129:129),"dddd, mmm dd, yyyy hh:mm AM/PM"))</f>
        <v xml:space="preserve"> | Saturday, Jan 00, 1900 12:00 AM</v>
      </c>
      <c r="B129" s="76">
        <f>_xlfn.XLOOKUP("What's Your Email Address?",[1]Sheet1!$1:$1,[1]Sheet1!129:129)</f>
        <v>0</v>
      </c>
      <c r="C129" s="31">
        <f>IF(ISBLANK(_xlfn.XLOOKUP("Which Flavor? (Pint Price | Quart Price | Half Gallon Price) (NOTE: Prices may fluctuate based on market conditions)",[1]Sheet1!$1:$1,[1]Sheet1!129:129)),_xlfn.XLOOKUP("Name Your Ice Cream!",[1]Sheet1!$1:$1,[1]Sheet1!129:129),IF(ISNUMBER(FIND("(", _xlfn.XLOOKUP("Which Flavor? (Pint Price | Quart Price | Half Gallon Price) (NOTE: Prices may fluctuate based on market conditions)",[1]Sheet1!$1:$1,[1]Sheet1!129:129))), LEFT(_xlfn.XLOOKUP("Which Flavor? (Pint Price | Quart Price | Half Gallon Price) (NOTE: Prices may fluctuate based on market conditions)",[1]Sheet1!$1:$1,[1]Sheet1!129:129), FIND("(", _xlfn.XLOOKUP("Which Flavor? (Pint Price | Quart Price | Half Gallon Price) (NOTE: Prices may fluctuate based on market conditions)",[1]Sheet1!$1:$1,[1]Sheet1!129:129)) - 1), _xlfn.XLOOKUP("Which Flavor? (Pint Price | Quart Price | Half Gallon Price) (NOTE: Prices may fluctuate based on market conditions)",[1]Sheet1!$1:$1,[1]Sheet1!129:129)))</f>
        <v>0</v>
      </c>
      <c r="D129" s="31">
        <f>IF(COUNTIF('Premade Flavors'!$A:$A, $C129) &gt; 0,IF(ISBLANK(_xlfn.XLOOKUP("What Ice Cream Base Do You Want To Change It To?",[1]Sheet1!$1:$1,[1]Sheet1!129:129)),_xlfn.XLOOKUP($C129,'Premade Flavors'!$A:$A,'Premade Flavors'!B:B),_xlfn.XLOOKUP("What Ice Cream Base Do You Want To Change It To?",[1]Sheet1!$1:$1,[1]Sheet1!129:129)),_xlfn.XLOOKUP(_xlfn.XLOOKUP("What Kind Of Ice Cream Base Do You Want? ",[1]Sheet1!$1:$1,[1]Sheet1!129:129),'Milk Types Nutrition Per Cup'!O:O,'Milk Types Nutrition Per Cup'!P:P,""))</f>
        <v>0</v>
      </c>
      <c r="E129" s="31">
        <f>IF(COUNTIF('Premade Flavors'!$A:$A, $C129) &gt; 0,IF(ISBLANK(_xlfn.XLOOKUP("What Ice Cream Base Do You Want To Change It To?",[1]Sheet1!$1:$1,[1]Sheet1!129:129)),_xlfn.XLOOKUP($C129,'Premade Flavors'!$A:$A,'Premade Flavors'!C:C),_xlfn.XLOOKUP("What Ice Cream Base Do You Want To Change It To?",[1]Sheet1!$1:$1,[1]Sheet1!129:129)),_xlfn.XLOOKUP(_xlfn.XLOOKUP("What Kind Of Ice Cream Base Do You Want? ",[1]Sheet1!$1:$1,[1]Sheet1!129:129),'Milk Types Nutrition Per Cup'!$O:$O,'Milk Types Nutrition Per Cup'!$Q:$Q,""))</f>
        <v>0</v>
      </c>
      <c r="F129" s="31">
        <f>IF(COUNTIF('Premade Flavors'!$A:$A, $C129) &gt; 0,_xlfn.XLOOKUP($C129,'Premade Flavors'!$A:$A,'Premade Flavors'!E:E),_xlfn.XLOOKUP("What's The First Flavor You Want? ",[1]Sheet1!$1:$1,[1]Sheet1!129:129))</f>
        <v>0</v>
      </c>
      <c r="G129" s="31">
        <f>IF(COUNTIF('Premade Flavors'!$A:$A, $C129) &gt; 0,_xlfn.XLOOKUP($C129,'Premade Flavors'!$A:$A,'Premade Flavors'!F:F),_xlfn.XLOOKUP("What's the Second Flavor You Want?",[1]Sheet1!$1:$1,[1]Sheet1!129:129))</f>
        <v>0</v>
      </c>
      <c r="H129" s="31">
        <f>IF(COUNTIF('Premade Flavors'!$A:$A, $C129) &gt; 0,_xlfn.XLOOKUP($C129,'Premade Flavors'!$A:$A,'Premade Flavors'!G:G),_xlfn.XLOOKUP("What's The First Mix In That You Want? ",[1]Sheet1!$1:$1,[1]Sheet1!129:129))</f>
        <v>0</v>
      </c>
      <c r="I129" s="31">
        <f>IF(COUNTIF('Premade Flavors'!$A:$A, $C127) &gt; 0,_xlfn.XLOOKUP($C127,'Premade Flavors'!$A:$A,'Premade Flavors'!H:H),IF([2]Sheet1!W127= 0,,[2]Sheet1!W127))</f>
        <v>0</v>
      </c>
      <c r="J129" s="31">
        <f>IF(COUNTIF('Premade Flavors'!$A:$A,$C129)&gt;0,IF(_xlfn.XLOOKUP("Should It Use Sugar or A Non-Sugar Sweetner?",[1]Sheet1!$1:$1,[1]Sheet1!129:129)="Sugar",_xlfn.XLOOKUP($C129,'Premade Flavors'!$A:$A,'Premade Flavors'!I:I),"Stevia"),_xlfn.XLOOKUP("What Sweetner Do You Want?",[1]Sheet1!$1:$1,[1]Sheet1!129:129))</f>
        <v>0</v>
      </c>
      <c r="K129" s="31"/>
      <c r="L129" s="77">
        <f>_xlfn.XLOOKUP("How Much Ice Cream Do You Want?",[1]Sheet1!$1:$1,[1]Sheet1!129:129)</f>
        <v>0</v>
      </c>
      <c r="M129" s="45">
        <f>IF(COUNTIF('Premade Flavors'!$A:$A, $C129) &gt; 0,_xlfn.XLOOKUP($C129,'Premade Flavors'!$A:$A,'Premade Flavors'!M:M),_xlfn.XLOOKUP("How Strong Do You Want The First Flavor?",[1]Sheet1!$1:$1,[1]Sheet1!129:129))</f>
        <v>0</v>
      </c>
      <c r="N129" s="45">
        <f>IF(COUNTIF('Premade Flavors'!$A:$A, $C129) &gt; 0,_xlfn.XLOOKUP($C129,'Premade Flavors'!$A:$A,'Premade Flavors'!N:N),_xlfn.XLOOKUP("How Strong Do You Want The Second Flavor?",[1]Sheet1!$1:$1,[1]Sheet1!129:129))</f>
        <v>0</v>
      </c>
      <c r="O129" s="45">
        <f>IF(COUNTIF('Premade Flavors'!$A:$A, $C129) &gt; 0,_xlfn.XLOOKUP($C129,'Premade Flavors'!$A:$A,'Premade Flavors'!O:O),_xlfn.XLOOKUP("How Dense Should the Mix Ins Be?",[1]Sheet1!$1:$1,[1]Sheet1!129:129))</f>
        <v>0</v>
      </c>
      <c r="P129" s="45">
        <f>IF(COUNTIF('Premade Flavors'!$A:$A, $C129) &gt; 0,_xlfn.XLOOKUP($C129,'Premade Flavors'!$A:$A,'Premade Flavors'!P:P),_xlfn.XLOOKUP("How Much Of The First Sweetner? ",[1]Sheet1!$1:$1,[1]Sheet1!129:129))</f>
        <v>0</v>
      </c>
      <c r="Q129" s="45">
        <f>IF(COUNTIF('Premade Flavors'!$A:$A, $C129) &gt; 0,_xlfn.XLOOKUP($C129,'Premade Flavors'!$A:$A,'Premade Flavors'!Q:Q),[2]Sheet1!S129)</f>
        <v>0</v>
      </c>
      <c r="R129" s="30">
        <f>(_xlfn.XLOOKUP($L129,Specs!A:A,Specs!B:B,0)-(IF(_xlfn.XLOOKUP($F129,'Liquid Mix In Nutrition'!A:A,'Liquid Mix In Nutrition'!J:J,0)="Yes",0,$T129))-(IF(_xlfn.XLOOKUP($G129,'Liquid Mix In Nutrition'!A:A,'Liquid Mix In Nutrition'!J:J,0)="Yes",0,$U129))-(($V129/MAX(1,_xlfn.XLOOKUP($H129,'Solid Mix In Nutrition'!A:A,'Solid Mix In Nutrition'!I:I,1)))*240)-(($W129/MAX(1,_xlfn.XLOOKUP($I129,'Solid Mix In Nutrition'!A:A,'Solid Mix In Nutrition'!I:I,1)))*240))*0.66</f>
        <v>0</v>
      </c>
      <c r="S129" s="30">
        <f>(_xlfn.XLOOKUP($L129,Specs!A:A,Specs!B:B,0)-(IF(_xlfn.XLOOKUP($F129,'Liquid Mix In Nutrition'!A:A,'Liquid Mix In Nutrition'!J:J,0)="Yes",0,$T129))-(IF(_xlfn.XLOOKUP($G129,'Liquid Mix In Nutrition'!A:A,'Liquid Mix In Nutrition'!J:J,0)="Yes",0,$U129))-(($V129/MAX(1,_xlfn.XLOOKUP($H129,'Solid Mix In Nutrition'!A:A,'Solid Mix In Nutrition'!I:I,1)))*240)-(($W129/MAX(1,_xlfn.XLOOKUP($I129,'Solid Mix In Nutrition'!A:A,'Solid Mix In Nutrition'!I:I,1)))*240))*0.33</f>
        <v>0</v>
      </c>
      <c r="T129" s="30">
        <f>_xlfn.XLOOKUP($M129,Specs!$D:$D,Specs!$E:$E,0)*15*_xlfn.XLOOKUP($L129,Specs!$A:$A,Specs!$C:$C,0)</f>
        <v>0</v>
      </c>
      <c r="U129" s="30">
        <f>_xlfn.XLOOKUP($N129,Specs!$D:$D,Specs!$E:$E,0)*15*_xlfn.XLOOKUP($L129,Specs!$A:$A,Specs!$C:$C,0)</f>
        <v>0</v>
      </c>
      <c r="V129" s="30">
        <f>( ((_xlfn.XLOOKUP($O129,Specs!$H:$H,Specs!$I:$I,0)*_xlfn.XLOOKUP($L129,Specs!$A:$A,Specs!$B:$B,0))/240) *_xlfn.XLOOKUP($H129,'Solid Mix In Nutrition'!A:A,'Solid Mix In Nutrition'!I:I,0)) *IF(AND(NOT($I129=0), COUNTA($I129)),0.5,1)</f>
        <v>0</v>
      </c>
      <c r="W129" s="30">
        <f>( ((_xlfn.XLOOKUP($O129,Specs!$H:$H,Specs!$I:$I,0)*_xlfn.XLOOKUP($L129,Specs!$A:$A,Specs!$B:$B,0))/240) *_xlfn.XLOOKUP($I129,'Solid Mix In Nutrition'!A:A,'Solid Mix In Nutrition'!I:I,0)) *IF(AND(NOT($I129=0), COUNTA($I129)),0.5,0)</f>
        <v>0</v>
      </c>
      <c r="X129" s="30">
        <f>_xlfn.XLOOKUP($P129,Specs!F:F,Specs!G:G,0)*_xlfn.XLOOKUP($J129,'Sweetener Mix In Nutrition'!A:A,'Sweetener Mix In Nutrition'!I:I,0)*_xlfn.XLOOKUP($L129,Specs!A:A,Specs!C:C,0)</f>
        <v>0</v>
      </c>
      <c r="Y129" s="30">
        <f>_xlfn.XLOOKUP($Q129,Specs!F:F,Specs!G:G,0)*_xlfn.XLOOKUP($K129,'Sweetener Mix In Nutrition'!A:A,'Sweetener Mix In Nutrition'!I:I,0)*_xlfn.XLOOKUP($L129,Specs!A:A,Specs!C:C,0)</f>
        <v>0</v>
      </c>
      <c r="Z129" s="34">
        <f t="shared" si="4"/>
        <v>0</v>
      </c>
      <c r="AA129" s="35">
        <f t="shared" si="5"/>
        <v>0</v>
      </c>
      <c r="AB129" s="36">
        <f>(($R129 / 240) * _xlfn.XLOOKUP($D129,'Milk Types Nutrition Per Cup'!A:A,'Milk Types Nutrition Per Cup'!B:B,0)) +(($S129 / 240)  * _xlfn.XLOOKUP($E129,'Milk Types Nutrition Per Cup'!A:A,'Milk Types Nutrition Per Cup'!B:B,0)) +(($T129 / 15)  * _xlfn.XLOOKUP($F129,'Liquid Mix In Nutrition'!A:A,'Liquid Mix In Nutrition'!B:B,0))+(($U129 / 15)  * _xlfn.XLOOKUP($G129,'Liquid Mix In Nutrition'!A:A,'Liquid Mix In Nutrition'!B:B,0))+(($V129 /MAX(1, _xlfn.XLOOKUP($H129,'Solid Mix In Nutrition'!A:A,'Solid Mix In Nutrition'!I:I,1)))  * _xlfn.XLOOKUP($H129,'Solid Mix In Nutrition'!A:A,'Solid Mix In Nutrition'!B:B,0))+(($W129 / MAX(1, _xlfn.XLOOKUP($I129,'Solid Mix In Nutrition'!A:A,'Solid Mix In Nutrition'!I:I,1))))+(($X129 / 100)  * _xlfn.XLOOKUP($J129,'Sweetener Mix In Nutrition'!A:A,'Sweetener Mix In Nutrition'!B:B,0))+(($Y129 / 100)  * _xlfn.XLOOKUP($K129,'Sweetener Mix In Nutrition'!A:A,'Sweetener Mix In Nutrition'!B:B,0))</f>
        <v>0</v>
      </c>
      <c r="AC129" s="36">
        <f>(($R129 / 240) * _xlfn.XLOOKUP($D129,'Milk Types Nutrition Per Cup'!A:A,'Milk Types Nutrition Per Cup'!E:E,0)) +(($S129 / 240)  * _xlfn.XLOOKUP($E129,'Milk Types Nutrition Per Cup'!A:A,'Milk Types Nutrition Per Cup'!E:E,0)) +(($T129 / 15)  * _xlfn.XLOOKUP($F129,'Liquid Mix In Nutrition'!A:A,'Liquid Mix In Nutrition'!E:E,0)) +(($U129 / 15)  * _xlfn.XLOOKUP($G129,'Liquid Mix In Nutrition'!A:A,'Liquid Mix In Nutrition'!E:E,0))+(($V129 / MAX(1, _xlfn.XLOOKUP($H129,'Solid Mix In Nutrition'!A:A,'Solid Mix In Nutrition'!I:I,1)))  * _xlfn.XLOOKUP($H129,'Solid Mix In Nutrition'!A:A,'Solid Mix In Nutrition'!E:E,0))+(($W129 / MAX(1, _xlfn.XLOOKUP($I129,'Solid Mix In Nutrition'!A:A,'Solid Mix In Nutrition'!I:I,1)))  * _xlfn.XLOOKUP($I129,'Solid Mix In Nutrition'!A:A,'Solid Mix In Nutrition'!G:G,0))+(($X129 / 100)  * _xlfn.XLOOKUP($J129,'Sweetener Mix In Nutrition'!A:A,'Sweetener Mix In Nutrition'!E:E,0))+(($Y129 / 100)  * _xlfn.XLOOKUP($K129,'Sweetener Mix In Nutrition'!A:A,'Sweetener Mix In Nutrition'!E:E,0))</f>
        <v>0</v>
      </c>
      <c r="AD129" s="36">
        <f>(($R129 / 240) * _xlfn.XLOOKUP($D129,'Milk Types Nutrition Per Cup'!A:A,'Milk Types Nutrition Per Cup'!E:E,0)) +(($S129 / 240)  * _xlfn.XLOOKUP($E129,'Milk Types Nutrition Per Cup'!A:A,'Milk Types Nutrition Per Cup'!E:E,0)) +(($T129 / 15)  * _xlfn.XLOOKUP($F129,'Liquid Mix In Nutrition'!A:A,'Liquid Mix In Nutrition'!E:E,0)) +(($U129 / 15)  * _xlfn.XLOOKUP($G129,'Liquid Mix In Nutrition'!A:A,'Liquid Mix In Nutrition'!E:E,0))+(($X129 / 100)  * _xlfn.XLOOKUP($J129,'Sweetener Mix In Nutrition'!A:A,'Sweetener Mix In Nutrition'!E:E,0))+(($Y129 / 100)  * _xlfn.XLOOKUP($K129,'Sweetener Mix In Nutrition'!A:A,'Sweetener Mix In Nutrition'!E:E,0))</f>
        <v>0</v>
      </c>
      <c r="AE129" s="37">
        <f>(($R129 / 240) * _xlfn.XLOOKUP($D129,'Milk Types Nutrition Per Cup'!A:A,'Milk Types Nutrition Per Cup'!C:C,0)) +(($S129 / 240)  * _xlfn.XLOOKUP($E129,'Milk Types Nutrition Per Cup'!A:A,'Milk Types Nutrition Per Cup'!C:C,0)) +(($T129 / 15)  * _xlfn.XLOOKUP($F129,'Liquid Mix In Nutrition'!A:A,'Liquid Mix In Nutrition'!C:C,0))+(($U129 / 15)  * _xlfn.XLOOKUP($G129,'Liquid Mix In Nutrition'!A:A,'Liquid Mix In Nutrition'!C:C,0))+(($V129 / MAX(1, _xlfn.XLOOKUP($H129,'Solid Mix In Nutrition'!A:A,'Solid Mix In Nutrition'!I:I,1)))  * _xlfn.XLOOKUP($H129,'Solid Mix In Nutrition'!A:A,'Solid Mix In Nutrition'!C:C,0))+(($W129 / MAX(1, _xlfn.XLOOKUP($I129,'Solid Mix In Nutrition'!A:A,'Solid Mix In Nutrition'!I:I,1)))  * _xlfn.XLOOKUP($I129,'Solid Mix In Nutrition'!A:A,'Solid Mix In Nutrition'!C:C,0))+(($X129 / 100)  * _xlfn.XLOOKUP($J129,'Sweetener Mix In Nutrition'!A:A,'Sweetener Mix In Nutrition'!C:C,0))+(($Y129 / 100)  * _xlfn.XLOOKUP($K129,'Sweetener Mix In Nutrition'!A:A,'Sweetener Mix In Nutrition'!C:C,0))</f>
        <v>0</v>
      </c>
      <c r="AF129" s="38" t="e">
        <f>$AE129 / (_xlfn.XLOOKUP($L129,Specs!A:A,Specs!B:B,0))</f>
        <v>#DIV/0!</v>
      </c>
      <c r="AG129" s="37" t="e">
        <f>60* ($AB129 / _xlfn.XLOOKUP($L129,Specs!A:A,Specs!B:B,0))</f>
        <v>#DIV/0!</v>
      </c>
      <c r="AH129" s="37" t="e">
        <f>60* (AC129 / _xlfn.XLOOKUP($L129,Specs!$A:$A,Specs!$B:$B,0))</f>
        <v>#DIV/0!</v>
      </c>
      <c r="AI129" s="37" t="e">
        <f>60* (AE129 / _xlfn.XLOOKUP($L129,Specs!$A:$A,Specs!$B:$B,0))</f>
        <v>#DIV/0!</v>
      </c>
      <c r="AJ129" s="39">
        <f>(($R129 / 240) * _xlfn.XLOOKUP($D129,'Milk Types Nutrition Per Cup'!A:A,'Milk Types Nutrition Per Cup'!F:F,0)) +(($S129 / 240)  * _xlfn.XLOOKUP($E129,'Milk Types Nutrition Per Cup'!A:A,'Milk Types Nutrition Per Cup'!F:F,0)) +(($T129 / 15)  * _xlfn.XLOOKUP($F129,'Liquid Mix In Nutrition'!A:A,'Liquid Mix In Nutrition'!F:F,0))+(($U129 / 15)  * _xlfn.XLOOKUP($G129,'Liquid Mix In Nutrition'!A:A,'Liquid Mix In Nutrition'!F:F,0))+(($V129 / MAX(1, _xlfn.XLOOKUP($H129,'Solid Mix In Nutrition'!A:A,'Solid Mix In Nutrition'!I:I,1)))  * _xlfn.XLOOKUP($H129,'Solid Mix In Nutrition'!A:A,'Solid Mix In Nutrition'!F:F,0))+(($W129 / MAX(1, _xlfn.XLOOKUP($I129,'Solid Mix In Nutrition'!A:A,'Solid Mix In Nutrition'!I:I,1)))  * _xlfn.XLOOKUP($I129,'Solid Mix In Nutrition'!A:A,'Solid Mix In Nutrition'!F:F,0))+(($X129 / 100)  * _xlfn.XLOOKUP($J129,'Sweetener Mix In Nutrition'!A:A,'Sweetener Mix In Nutrition'!F:F,0))+(($Y129 / 100)  * _xlfn.XLOOKUP($K129,'Sweetener Mix In Nutrition'!A:A,'Sweetener Mix In Nutrition'!F:F,0))</f>
        <v>0</v>
      </c>
      <c r="AK129" s="46">
        <f>[2]Sheet1!AG129</f>
        <v>0</v>
      </c>
      <c r="AL129" s="47"/>
      <c r="AM129" s="40">
        <f>IF(ISERROR(((AL129/Specs!$L$3)*Specs!$L$2)*2),0,ROUNDUP((((AL129/Specs!$L$3)*Specs!$L$2)*2),0))</f>
        <v>0</v>
      </c>
      <c r="AN129" s="48">
        <f>ROUNDUP(((AJ129+Specs!$R$2+Specs!$S$2+_xlfn.XLOOKUP($L129,Specs!A:A,Specs!V:V,0))*Specs!$N$2)+AM129,0)</f>
        <v>1</v>
      </c>
      <c r="AO129" s="40">
        <f>ROUNDUP(((AJ129+Specs!$R$2+Specs!$S$2+_xlfn.XLOOKUP($L129,Specs!A:A,Specs!V:V,0))*Specs!$N$2),0)</f>
        <v>1</v>
      </c>
      <c r="AP129" s="30"/>
    </row>
    <row r="130" spans="1:42" x14ac:dyDescent="0.25">
      <c r="A130" s="41" t="str">
        <f>_xlfn.CONCAT(_xlfn.XLOOKUP("What's Your Name?",[1]Sheet1!$1:$1,[1]Sheet1!130:130)," | ",TEXT(_xlfn.XLOOKUP("Completion time",[1]Sheet1!$1:$1,[1]Sheet1!130:130),"dddd, mmm dd, yyyy hh:mm AM/PM"))</f>
        <v xml:space="preserve"> | Saturday, Jan 00, 1900 12:00 AM</v>
      </c>
      <c r="B130" s="76">
        <f>_xlfn.XLOOKUP("What's Your Email Address?",[1]Sheet1!$1:$1,[1]Sheet1!130:130)</f>
        <v>0</v>
      </c>
      <c r="C130" s="31">
        <f>IF(ISBLANK(_xlfn.XLOOKUP("Which Flavor? (Pint Price | Quart Price | Half Gallon Price) (NOTE: Prices may fluctuate based on market conditions)",[1]Sheet1!$1:$1,[1]Sheet1!130:130)),_xlfn.XLOOKUP("Name Your Ice Cream!",[1]Sheet1!$1:$1,[1]Sheet1!130:130),IF(ISNUMBER(FIND("(", _xlfn.XLOOKUP("Which Flavor? (Pint Price | Quart Price | Half Gallon Price) (NOTE: Prices may fluctuate based on market conditions)",[1]Sheet1!$1:$1,[1]Sheet1!130:130))), LEFT(_xlfn.XLOOKUP("Which Flavor? (Pint Price | Quart Price | Half Gallon Price) (NOTE: Prices may fluctuate based on market conditions)",[1]Sheet1!$1:$1,[1]Sheet1!130:130), FIND("(", _xlfn.XLOOKUP("Which Flavor? (Pint Price | Quart Price | Half Gallon Price) (NOTE: Prices may fluctuate based on market conditions)",[1]Sheet1!$1:$1,[1]Sheet1!130:130)) - 1), _xlfn.XLOOKUP("Which Flavor? (Pint Price | Quart Price | Half Gallon Price) (NOTE: Prices may fluctuate based on market conditions)",[1]Sheet1!$1:$1,[1]Sheet1!130:130)))</f>
        <v>0</v>
      </c>
      <c r="D130" s="31">
        <f>IF(COUNTIF('Premade Flavors'!$A:$A, $C130) &gt; 0,IF(ISBLANK(_xlfn.XLOOKUP("What Ice Cream Base Do You Want To Change It To?",[1]Sheet1!$1:$1,[1]Sheet1!130:130)),_xlfn.XLOOKUP($C130,'Premade Flavors'!$A:$A,'Premade Flavors'!B:B),_xlfn.XLOOKUP("What Ice Cream Base Do You Want To Change It To?",[1]Sheet1!$1:$1,[1]Sheet1!130:130)),_xlfn.XLOOKUP(_xlfn.XLOOKUP("What Kind Of Ice Cream Base Do You Want? ",[1]Sheet1!$1:$1,[1]Sheet1!130:130),'Milk Types Nutrition Per Cup'!O:O,'Milk Types Nutrition Per Cup'!P:P,""))</f>
        <v>0</v>
      </c>
      <c r="E130" s="31">
        <f>IF(COUNTIF('Premade Flavors'!$A:$A, $C130) &gt; 0,IF(ISBLANK(_xlfn.XLOOKUP("What Ice Cream Base Do You Want To Change It To?",[1]Sheet1!$1:$1,[1]Sheet1!130:130)),_xlfn.XLOOKUP($C130,'Premade Flavors'!$A:$A,'Premade Flavors'!C:C),_xlfn.XLOOKUP("What Ice Cream Base Do You Want To Change It To?",[1]Sheet1!$1:$1,[1]Sheet1!130:130)),_xlfn.XLOOKUP(_xlfn.XLOOKUP("What Kind Of Ice Cream Base Do You Want? ",[1]Sheet1!$1:$1,[1]Sheet1!130:130),'Milk Types Nutrition Per Cup'!$O:$O,'Milk Types Nutrition Per Cup'!$Q:$Q,""))</f>
        <v>0</v>
      </c>
      <c r="F130" s="31">
        <f>IF(COUNTIF('Premade Flavors'!$A:$A, $C130) &gt; 0,_xlfn.XLOOKUP($C130,'Premade Flavors'!$A:$A,'Premade Flavors'!E:E),_xlfn.XLOOKUP("What's The First Flavor You Want? ",[1]Sheet1!$1:$1,[1]Sheet1!130:130))</f>
        <v>0</v>
      </c>
      <c r="G130" s="31">
        <f>IF(COUNTIF('Premade Flavors'!$A:$A, $C130) &gt; 0,_xlfn.XLOOKUP($C130,'Premade Flavors'!$A:$A,'Premade Flavors'!F:F),_xlfn.XLOOKUP("What's the Second Flavor You Want?",[1]Sheet1!$1:$1,[1]Sheet1!130:130))</f>
        <v>0</v>
      </c>
      <c r="H130" s="31">
        <f>IF(COUNTIF('Premade Flavors'!$A:$A, $C130) &gt; 0,_xlfn.XLOOKUP($C130,'Premade Flavors'!$A:$A,'Premade Flavors'!G:G),_xlfn.XLOOKUP("What's The First Mix In That You Want? ",[1]Sheet1!$1:$1,[1]Sheet1!130:130))</f>
        <v>0</v>
      </c>
      <c r="I130" s="31">
        <f>IF(COUNTIF('Premade Flavors'!$A:$A, $C128) &gt; 0,_xlfn.XLOOKUP($C128,'Premade Flavors'!$A:$A,'Premade Flavors'!H:H),IF([2]Sheet1!W128= 0,,[2]Sheet1!W128))</f>
        <v>0</v>
      </c>
      <c r="J130" s="31">
        <f>IF(COUNTIF('Premade Flavors'!$A:$A,$C130)&gt;0,IF(_xlfn.XLOOKUP("Should It Use Sugar or A Non-Sugar Sweetner?",[1]Sheet1!$1:$1,[1]Sheet1!130:130)="Sugar",_xlfn.XLOOKUP($C130,'Premade Flavors'!$A:$A,'Premade Flavors'!I:I),"Stevia"),_xlfn.XLOOKUP("What Sweetner Do You Want?",[1]Sheet1!$1:$1,[1]Sheet1!130:130))</f>
        <v>0</v>
      </c>
      <c r="K130" s="31"/>
      <c r="L130" s="77">
        <f>_xlfn.XLOOKUP("How Much Ice Cream Do You Want?",[1]Sheet1!$1:$1,[1]Sheet1!130:130)</f>
        <v>0</v>
      </c>
      <c r="M130" s="45">
        <f>IF(COUNTIF('Premade Flavors'!$A:$A, $C130) &gt; 0,_xlfn.XLOOKUP($C130,'Premade Flavors'!$A:$A,'Premade Flavors'!M:M),_xlfn.XLOOKUP("How Strong Do You Want The First Flavor?",[1]Sheet1!$1:$1,[1]Sheet1!130:130))</f>
        <v>0</v>
      </c>
      <c r="N130" s="45">
        <f>IF(COUNTIF('Premade Flavors'!$A:$A, $C130) &gt; 0,_xlfn.XLOOKUP($C130,'Premade Flavors'!$A:$A,'Premade Flavors'!N:N),_xlfn.XLOOKUP("How Strong Do You Want The Second Flavor?",[1]Sheet1!$1:$1,[1]Sheet1!130:130))</f>
        <v>0</v>
      </c>
      <c r="O130" s="45">
        <f>IF(COUNTIF('Premade Flavors'!$A:$A, $C130) &gt; 0,_xlfn.XLOOKUP($C130,'Premade Flavors'!$A:$A,'Premade Flavors'!O:O),_xlfn.XLOOKUP("How Dense Should the Mix Ins Be?",[1]Sheet1!$1:$1,[1]Sheet1!130:130))</f>
        <v>0</v>
      </c>
      <c r="P130" s="45">
        <f>IF(COUNTIF('Premade Flavors'!$A:$A, $C130) &gt; 0,_xlfn.XLOOKUP($C130,'Premade Flavors'!$A:$A,'Premade Flavors'!P:P),_xlfn.XLOOKUP("How Much Of The First Sweetner? ",[1]Sheet1!$1:$1,[1]Sheet1!130:130))</f>
        <v>0</v>
      </c>
      <c r="Q130" s="45">
        <f>IF(COUNTIF('Premade Flavors'!$A:$A, $C130) &gt; 0,_xlfn.XLOOKUP($C130,'Premade Flavors'!$A:$A,'Premade Flavors'!Q:Q),[2]Sheet1!S130)</f>
        <v>0</v>
      </c>
      <c r="R130" s="30">
        <f>(_xlfn.XLOOKUP($L130,Specs!A:A,Specs!B:B,0)-(IF(_xlfn.XLOOKUP($F130,'Liquid Mix In Nutrition'!A:A,'Liquid Mix In Nutrition'!J:J,0)="Yes",0,$T130))-(IF(_xlfn.XLOOKUP($G130,'Liquid Mix In Nutrition'!A:A,'Liquid Mix In Nutrition'!J:J,0)="Yes",0,$U130))-(($V130/MAX(1,_xlfn.XLOOKUP($H130,'Solid Mix In Nutrition'!A:A,'Solid Mix In Nutrition'!I:I,1)))*240)-(($W130/MAX(1,_xlfn.XLOOKUP($I130,'Solid Mix In Nutrition'!A:A,'Solid Mix In Nutrition'!I:I,1)))*240))*0.66</f>
        <v>0</v>
      </c>
      <c r="S130" s="30">
        <f>(_xlfn.XLOOKUP($L130,Specs!A:A,Specs!B:B,0)-(IF(_xlfn.XLOOKUP($F130,'Liquid Mix In Nutrition'!A:A,'Liquid Mix In Nutrition'!J:J,0)="Yes",0,$T130))-(IF(_xlfn.XLOOKUP($G130,'Liquid Mix In Nutrition'!A:A,'Liquid Mix In Nutrition'!J:J,0)="Yes",0,$U130))-(($V130/MAX(1,_xlfn.XLOOKUP($H130,'Solid Mix In Nutrition'!A:A,'Solid Mix In Nutrition'!I:I,1)))*240)-(($W130/MAX(1,_xlfn.XLOOKUP($I130,'Solid Mix In Nutrition'!A:A,'Solid Mix In Nutrition'!I:I,1)))*240))*0.33</f>
        <v>0</v>
      </c>
      <c r="T130" s="30">
        <f>_xlfn.XLOOKUP($M130,Specs!$D:$D,Specs!$E:$E,0)*15*_xlfn.XLOOKUP($L130,Specs!$A:$A,Specs!$C:$C,0)</f>
        <v>0</v>
      </c>
      <c r="U130" s="30">
        <f>_xlfn.XLOOKUP($N130,Specs!$D:$D,Specs!$E:$E,0)*15*_xlfn.XLOOKUP($L130,Specs!$A:$A,Specs!$C:$C,0)</f>
        <v>0</v>
      </c>
      <c r="V130" s="30">
        <f>( ((_xlfn.XLOOKUP($O130,Specs!$H:$H,Specs!$I:$I,0)*_xlfn.XLOOKUP($L130,Specs!$A:$A,Specs!$B:$B,0))/240) *_xlfn.XLOOKUP($H130,'Solid Mix In Nutrition'!A:A,'Solid Mix In Nutrition'!I:I,0)) *IF(AND(NOT($I130=0), COUNTA($I130)),0.5,1)</f>
        <v>0</v>
      </c>
      <c r="W130" s="30">
        <f>( ((_xlfn.XLOOKUP($O130,Specs!$H:$H,Specs!$I:$I,0)*_xlfn.XLOOKUP($L130,Specs!$A:$A,Specs!$B:$B,0))/240) *_xlfn.XLOOKUP($I130,'Solid Mix In Nutrition'!A:A,'Solid Mix In Nutrition'!I:I,0)) *IF(AND(NOT($I130=0), COUNTA($I130)),0.5,0)</f>
        <v>0</v>
      </c>
      <c r="X130" s="30">
        <f>_xlfn.XLOOKUP($P130,Specs!F:F,Specs!G:G,0)*_xlfn.XLOOKUP($J130,'Sweetener Mix In Nutrition'!A:A,'Sweetener Mix In Nutrition'!I:I,0)*_xlfn.XLOOKUP($L130,Specs!A:A,Specs!C:C,0)</f>
        <v>0</v>
      </c>
      <c r="Y130" s="30">
        <f>_xlfn.XLOOKUP($Q130,Specs!F:F,Specs!G:G,0)*_xlfn.XLOOKUP($K130,'Sweetener Mix In Nutrition'!A:A,'Sweetener Mix In Nutrition'!I:I,0)*_xlfn.XLOOKUP($L130,Specs!A:A,Specs!C:C,0)</f>
        <v>0</v>
      </c>
      <c r="Z130" s="34">
        <f t="shared" si="4"/>
        <v>0</v>
      </c>
      <c r="AA130" s="35">
        <f t="shared" si="5"/>
        <v>0</v>
      </c>
      <c r="AB130" s="36">
        <f>(($R130 / 240) * _xlfn.XLOOKUP($D130,'Milk Types Nutrition Per Cup'!A:A,'Milk Types Nutrition Per Cup'!B:B,0)) +(($S130 / 240)  * _xlfn.XLOOKUP($E130,'Milk Types Nutrition Per Cup'!A:A,'Milk Types Nutrition Per Cup'!B:B,0)) +(($T130 / 15)  * _xlfn.XLOOKUP($F130,'Liquid Mix In Nutrition'!A:A,'Liquid Mix In Nutrition'!B:B,0))+(($U130 / 15)  * _xlfn.XLOOKUP($G130,'Liquid Mix In Nutrition'!A:A,'Liquid Mix In Nutrition'!B:B,0))+(($V130 /MAX(1, _xlfn.XLOOKUP($H130,'Solid Mix In Nutrition'!A:A,'Solid Mix In Nutrition'!I:I,1)))  * _xlfn.XLOOKUP($H130,'Solid Mix In Nutrition'!A:A,'Solid Mix In Nutrition'!B:B,0))+(($W130 / MAX(1, _xlfn.XLOOKUP($I130,'Solid Mix In Nutrition'!A:A,'Solid Mix In Nutrition'!I:I,1))))+(($X130 / 100)  * _xlfn.XLOOKUP($J130,'Sweetener Mix In Nutrition'!A:A,'Sweetener Mix In Nutrition'!B:B,0))+(($Y130 / 100)  * _xlfn.XLOOKUP($K130,'Sweetener Mix In Nutrition'!A:A,'Sweetener Mix In Nutrition'!B:B,0))</f>
        <v>0</v>
      </c>
      <c r="AC130" s="36">
        <f>(($R130 / 240) * _xlfn.XLOOKUP($D130,'Milk Types Nutrition Per Cup'!A:A,'Milk Types Nutrition Per Cup'!E:E,0)) +(($S130 / 240)  * _xlfn.XLOOKUP($E130,'Milk Types Nutrition Per Cup'!A:A,'Milk Types Nutrition Per Cup'!E:E,0)) +(($T130 / 15)  * _xlfn.XLOOKUP($F130,'Liquid Mix In Nutrition'!A:A,'Liquid Mix In Nutrition'!E:E,0)) +(($U130 / 15)  * _xlfn.XLOOKUP($G130,'Liquid Mix In Nutrition'!A:A,'Liquid Mix In Nutrition'!E:E,0))+(($V130 / MAX(1, _xlfn.XLOOKUP($H130,'Solid Mix In Nutrition'!A:A,'Solid Mix In Nutrition'!I:I,1)))  * _xlfn.XLOOKUP($H130,'Solid Mix In Nutrition'!A:A,'Solid Mix In Nutrition'!E:E,0))+(($W130 / MAX(1, _xlfn.XLOOKUP($I130,'Solid Mix In Nutrition'!A:A,'Solid Mix In Nutrition'!I:I,1)))  * _xlfn.XLOOKUP($I130,'Solid Mix In Nutrition'!A:A,'Solid Mix In Nutrition'!G:G,0))+(($X130 / 100)  * _xlfn.XLOOKUP($J130,'Sweetener Mix In Nutrition'!A:A,'Sweetener Mix In Nutrition'!E:E,0))+(($Y130 / 100)  * _xlfn.XLOOKUP($K130,'Sweetener Mix In Nutrition'!A:A,'Sweetener Mix In Nutrition'!E:E,0))</f>
        <v>0</v>
      </c>
      <c r="AD130" s="36">
        <f>(($R130 / 240) * _xlfn.XLOOKUP($D130,'Milk Types Nutrition Per Cup'!A:A,'Milk Types Nutrition Per Cup'!E:E,0)) +(($S130 / 240)  * _xlfn.XLOOKUP($E130,'Milk Types Nutrition Per Cup'!A:A,'Milk Types Nutrition Per Cup'!E:E,0)) +(($T130 / 15)  * _xlfn.XLOOKUP($F130,'Liquid Mix In Nutrition'!A:A,'Liquid Mix In Nutrition'!E:E,0)) +(($U130 / 15)  * _xlfn.XLOOKUP($G130,'Liquid Mix In Nutrition'!A:A,'Liquid Mix In Nutrition'!E:E,0))+(($X130 / 100)  * _xlfn.XLOOKUP($J130,'Sweetener Mix In Nutrition'!A:A,'Sweetener Mix In Nutrition'!E:E,0))+(($Y130 / 100)  * _xlfn.XLOOKUP($K130,'Sweetener Mix In Nutrition'!A:A,'Sweetener Mix In Nutrition'!E:E,0))</f>
        <v>0</v>
      </c>
      <c r="AE130" s="37">
        <f>(($R130 / 240) * _xlfn.XLOOKUP($D130,'Milk Types Nutrition Per Cup'!A:A,'Milk Types Nutrition Per Cup'!C:C,0)) +(($S130 / 240)  * _xlfn.XLOOKUP($E130,'Milk Types Nutrition Per Cup'!A:A,'Milk Types Nutrition Per Cup'!C:C,0)) +(($T130 / 15)  * _xlfn.XLOOKUP($F130,'Liquid Mix In Nutrition'!A:A,'Liquid Mix In Nutrition'!C:C,0))+(($U130 / 15)  * _xlfn.XLOOKUP($G130,'Liquid Mix In Nutrition'!A:A,'Liquid Mix In Nutrition'!C:C,0))+(($V130 / MAX(1, _xlfn.XLOOKUP($H130,'Solid Mix In Nutrition'!A:A,'Solid Mix In Nutrition'!I:I,1)))  * _xlfn.XLOOKUP($H130,'Solid Mix In Nutrition'!A:A,'Solid Mix In Nutrition'!C:C,0))+(($W130 / MAX(1, _xlfn.XLOOKUP($I130,'Solid Mix In Nutrition'!A:A,'Solid Mix In Nutrition'!I:I,1)))  * _xlfn.XLOOKUP($I130,'Solid Mix In Nutrition'!A:A,'Solid Mix In Nutrition'!C:C,0))+(($X130 / 100)  * _xlfn.XLOOKUP($J130,'Sweetener Mix In Nutrition'!A:A,'Sweetener Mix In Nutrition'!C:C,0))+(($Y130 / 100)  * _xlfn.XLOOKUP($K130,'Sweetener Mix In Nutrition'!A:A,'Sweetener Mix In Nutrition'!C:C,0))</f>
        <v>0</v>
      </c>
      <c r="AF130" s="38" t="e">
        <f>$AE130 / (_xlfn.XLOOKUP($L130,Specs!A:A,Specs!B:B,0))</f>
        <v>#DIV/0!</v>
      </c>
      <c r="AG130" s="37" t="e">
        <f>60* ($AB130 / _xlfn.XLOOKUP($L130,Specs!A:A,Specs!B:B,0))</f>
        <v>#DIV/0!</v>
      </c>
      <c r="AH130" s="37" t="e">
        <f>60* (AC130 / _xlfn.XLOOKUP($L130,Specs!$A:$A,Specs!$B:$B,0))</f>
        <v>#DIV/0!</v>
      </c>
      <c r="AI130" s="37" t="e">
        <f>60* (AE130 / _xlfn.XLOOKUP($L130,Specs!$A:$A,Specs!$B:$B,0))</f>
        <v>#DIV/0!</v>
      </c>
      <c r="AJ130" s="39">
        <f>(($R130 / 240) * _xlfn.XLOOKUP($D130,'Milk Types Nutrition Per Cup'!A:A,'Milk Types Nutrition Per Cup'!F:F,0)) +(($S130 / 240)  * _xlfn.XLOOKUP($E130,'Milk Types Nutrition Per Cup'!A:A,'Milk Types Nutrition Per Cup'!F:F,0)) +(($T130 / 15)  * _xlfn.XLOOKUP($F130,'Liquid Mix In Nutrition'!A:A,'Liquid Mix In Nutrition'!F:F,0))+(($U130 / 15)  * _xlfn.XLOOKUP($G130,'Liquid Mix In Nutrition'!A:A,'Liquid Mix In Nutrition'!F:F,0))+(($V130 / MAX(1, _xlfn.XLOOKUP($H130,'Solid Mix In Nutrition'!A:A,'Solid Mix In Nutrition'!I:I,1)))  * _xlfn.XLOOKUP($H130,'Solid Mix In Nutrition'!A:A,'Solid Mix In Nutrition'!F:F,0))+(($W130 / MAX(1, _xlfn.XLOOKUP($I130,'Solid Mix In Nutrition'!A:A,'Solid Mix In Nutrition'!I:I,1)))  * _xlfn.XLOOKUP($I130,'Solid Mix In Nutrition'!A:A,'Solid Mix In Nutrition'!F:F,0))+(($X130 / 100)  * _xlfn.XLOOKUP($J130,'Sweetener Mix In Nutrition'!A:A,'Sweetener Mix In Nutrition'!F:F,0))+(($Y130 / 100)  * _xlfn.XLOOKUP($K130,'Sweetener Mix In Nutrition'!A:A,'Sweetener Mix In Nutrition'!F:F,0))</f>
        <v>0</v>
      </c>
      <c r="AK130" s="46">
        <f>[2]Sheet1!AG130</f>
        <v>0</v>
      </c>
      <c r="AL130" s="47"/>
      <c r="AM130" s="40">
        <f>IF(ISERROR(((AL130/Specs!$L$3)*Specs!$L$2)*2),0,ROUNDUP((((AL130/Specs!$L$3)*Specs!$L$2)*2),0))</f>
        <v>0</v>
      </c>
      <c r="AN130" s="48">
        <f>ROUNDUP(((AJ130+Specs!$R$2+Specs!$S$2+_xlfn.XLOOKUP($L130,Specs!A:A,Specs!V:V,0))*Specs!$N$2)+AM130,0)</f>
        <v>1</v>
      </c>
      <c r="AO130" s="40">
        <f>ROUNDUP(((AJ130+Specs!$R$2+Specs!$S$2+_xlfn.XLOOKUP($L130,Specs!A:A,Specs!V:V,0))*Specs!$N$2),0)</f>
        <v>1</v>
      </c>
      <c r="AP130" s="30"/>
    </row>
    <row r="131" spans="1:42" x14ac:dyDescent="0.25">
      <c r="A131" s="41" t="str">
        <f>_xlfn.CONCAT(_xlfn.XLOOKUP("What's Your Name?",[1]Sheet1!$1:$1,[1]Sheet1!131:131)," | ",TEXT(_xlfn.XLOOKUP("Completion time",[1]Sheet1!$1:$1,[1]Sheet1!131:131),"dddd, mmm dd, yyyy hh:mm AM/PM"))</f>
        <v xml:space="preserve"> | Saturday, Jan 00, 1900 12:00 AM</v>
      </c>
      <c r="B131" s="76">
        <f>_xlfn.XLOOKUP("What's Your Email Address?",[1]Sheet1!$1:$1,[1]Sheet1!131:131)</f>
        <v>0</v>
      </c>
      <c r="C131" s="31">
        <f>IF(ISBLANK(_xlfn.XLOOKUP("Which Flavor? (Pint Price | Quart Price | Half Gallon Price) (NOTE: Prices may fluctuate based on market conditions)",[1]Sheet1!$1:$1,[1]Sheet1!131:131)),_xlfn.XLOOKUP("Name Your Ice Cream!",[1]Sheet1!$1:$1,[1]Sheet1!131:131),IF(ISNUMBER(FIND("(", _xlfn.XLOOKUP("Which Flavor? (Pint Price | Quart Price | Half Gallon Price) (NOTE: Prices may fluctuate based on market conditions)",[1]Sheet1!$1:$1,[1]Sheet1!131:131))), LEFT(_xlfn.XLOOKUP("Which Flavor? (Pint Price | Quart Price | Half Gallon Price) (NOTE: Prices may fluctuate based on market conditions)",[1]Sheet1!$1:$1,[1]Sheet1!131:131), FIND("(", _xlfn.XLOOKUP("Which Flavor? (Pint Price | Quart Price | Half Gallon Price) (NOTE: Prices may fluctuate based on market conditions)",[1]Sheet1!$1:$1,[1]Sheet1!131:131)) - 1), _xlfn.XLOOKUP("Which Flavor? (Pint Price | Quart Price | Half Gallon Price) (NOTE: Prices may fluctuate based on market conditions)",[1]Sheet1!$1:$1,[1]Sheet1!131:131)))</f>
        <v>0</v>
      </c>
      <c r="D131" s="31">
        <f>IF(COUNTIF('Premade Flavors'!$A:$A, $C131) &gt; 0,IF(ISBLANK(_xlfn.XLOOKUP("What Ice Cream Base Do You Want To Change It To?",[1]Sheet1!$1:$1,[1]Sheet1!131:131)),_xlfn.XLOOKUP($C131,'Premade Flavors'!$A:$A,'Premade Flavors'!B:B),_xlfn.XLOOKUP("What Ice Cream Base Do You Want To Change It To?",[1]Sheet1!$1:$1,[1]Sheet1!131:131)),_xlfn.XLOOKUP(_xlfn.XLOOKUP("What Kind Of Ice Cream Base Do You Want? ",[1]Sheet1!$1:$1,[1]Sheet1!131:131),'Milk Types Nutrition Per Cup'!O:O,'Milk Types Nutrition Per Cup'!P:P,""))</f>
        <v>0</v>
      </c>
      <c r="E131" s="31">
        <f>IF(COUNTIF('Premade Flavors'!$A:$A, $C131) &gt; 0,IF(ISBLANK(_xlfn.XLOOKUP("What Ice Cream Base Do You Want To Change It To?",[1]Sheet1!$1:$1,[1]Sheet1!131:131)),_xlfn.XLOOKUP($C131,'Premade Flavors'!$A:$A,'Premade Flavors'!C:C),_xlfn.XLOOKUP("What Ice Cream Base Do You Want To Change It To?",[1]Sheet1!$1:$1,[1]Sheet1!131:131)),_xlfn.XLOOKUP(_xlfn.XLOOKUP("What Kind Of Ice Cream Base Do You Want? ",[1]Sheet1!$1:$1,[1]Sheet1!131:131),'Milk Types Nutrition Per Cup'!$O:$O,'Milk Types Nutrition Per Cup'!$Q:$Q,""))</f>
        <v>0</v>
      </c>
      <c r="F131" s="31">
        <f>IF(COUNTIF('Premade Flavors'!$A:$A, $C131) &gt; 0,_xlfn.XLOOKUP($C131,'Premade Flavors'!$A:$A,'Premade Flavors'!E:E),_xlfn.XLOOKUP("What's The First Flavor You Want? ",[1]Sheet1!$1:$1,[1]Sheet1!131:131))</f>
        <v>0</v>
      </c>
      <c r="G131" s="31">
        <f>IF(COUNTIF('Premade Flavors'!$A:$A, $C131) &gt; 0,_xlfn.XLOOKUP($C131,'Premade Flavors'!$A:$A,'Premade Flavors'!F:F),_xlfn.XLOOKUP("What's the Second Flavor You Want?",[1]Sheet1!$1:$1,[1]Sheet1!131:131))</f>
        <v>0</v>
      </c>
      <c r="H131" s="31">
        <f>IF(COUNTIF('Premade Flavors'!$A:$A, $C131) &gt; 0,_xlfn.XLOOKUP($C131,'Premade Flavors'!$A:$A,'Premade Flavors'!G:G),_xlfn.XLOOKUP("What's The First Mix In That You Want? ",[1]Sheet1!$1:$1,[1]Sheet1!131:131))</f>
        <v>0</v>
      </c>
      <c r="I131" s="31">
        <f>IF(COUNTIF('Premade Flavors'!$A:$A, $C129) &gt; 0,_xlfn.XLOOKUP($C129,'Premade Flavors'!$A:$A,'Premade Flavors'!H:H),IF([2]Sheet1!W129= 0,,[2]Sheet1!W129))</f>
        <v>0</v>
      </c>
      <c r="J131" s="31">
        <f>IF(COUNTIF('Premade Flavors'!$A:$A,$C131)&gt;0,IF(_xlfn.XLOOKUP("Should It Use Sugar or A Non-Sugar Sweetner?",[1]Sheet1!$1:$1,[1]Sheet1!131:131)="Sugar",_xlfn.XLOOKUP($C131,'Premade Flavors'!$A:$A,'Premade Flavors'!I:I),"Stevia"),_xlfn.XLOOKUP("What Sweetner Do You Want?",[1]Sheet1!$1:$1,[1]Sheet1!131:131))</f>
        <v>0</v>
      </c>
      <c r="K131" s="31"/>
      <c r="L131" s="77">
        <f>_xlfn.XLOOKUP("How Much Ice Cream Do You Want?",[1]Sheet1!$1:$1,[1]Sheet1!131:131)</f>
        <v>0</v>
      </c>
      <c r="M131" s="45">
        <f>IF(COUNTIF('Premade Flavors'!$A:$A, $C131) &gt; 0,_xlfn.XLOOKUP($C131,'Premade Flavors'!$A:$A,'Premade Flavors'!M:M),_xlfn.XLOOKUP("How Strong Do You Want The First Flavor?",[1]Sheet1!$1:$1,[1]Sheet1!131:131))</f>
        <v>0</v>
      </c>
      <c r="N131" s="45">
        <f>IF(COUNTIF('Premade Flavors'!$A:$A, $C131) &gt; 0,_xlfn.XLOOKUP($C131,'Premade Flavors'!$A:$A,'Premade Flavors'!N:N),_xlfn.XLOOKUP("How Strong Do You Want The Second Flavor?",[1]Sheet1!$1:$1,[1]Sheet1!131:131))</f>
        <v>0</v>
      </c>
      <c r="O131" s="45">
        <f>IF(COUNTIF('Premade Flavors'!$A:$A, $C131) &gt; 0,_xlfn.XLOOKUP($C131,'Premade Flavors'!$A:$A,'Premade Flavors'!O:O),_xlfn.XLOOKUP("How Dense Should the Mix Ins Be?",[1]Sheet1!$1:$1,[1]Sheet1!131:131))</f>
        <v>0</v>
      </c>
      <c r="P131" s="45">
        <f>IF(COUNTIF('Premade Flavors'!$A:$A, $C131) &gt; 0,_xlfn.XLOOKUP($C131,'Premade Flavors'!$A:$A,'Premade Flavors'!P:P),_xlfn.XLOOKUP("How Much Of The First Sweetner? ",[1]Sheet1!$1:$1,[1]Sheet1!131:131))</f>
        <v>0</v>
      </c>
      <c r="Q131" s="45">
        <f>IF(COUNTIF('Premade Flavors'!$A:$A, $C131) &gt; 0,_xlfn.XLOOKUP($C131,'Premade Flavors'!$A:$A,'Premade Flavors'!Q:Q),[2]Sheet1!S131)</f>
        <v>0</v>
      </c>
      <c r="R131" s="30">
        <f>(_xlfn.XLOOKUP($L131,Specs!A:A,Specs!B:B,0)-(IF(_xlfn.XLOOKUP($F131,'Liquid Mix In Nutrition'!A:A,'Liquid Mix In Nutrition'!J:J,0)="Yes",0,$T131))-(IF(_xlfn.XLOOKUP($G131,'Liquid Mix In Nutrition'!A:A,'Liquid Mix In Nutrition'!J:J,0)="Yes",0,$U131))-(($V131/MAX(1,_xlfn.XLOOKUP($H131,'Solid Mix In Nutrition'!A:A,'Solid Mix In Nutrition'!I:I,1)))*240)-(($W131/MAX(1,_xlfn.XLOOKUP($I131,'Solid Mix In Nutrition'!A:A,'Solid Mix In Nutrition'!I:I,1)))*240))*0.66</f>
        <v>0</v>
      </c>
      <c r="S131" s="30">
        <f>(_xlfn.XLOOKUP($L131,Specs!A:A,Specs!B:B,0)-(IF(_xlfn.XLOOKUP($F131,'Liquid Mix In Nutrition'!A:A,'Liquid Mix In Nutrition'!J:J,0)="Yes",0,$T131))-(IF(_xlfn.XLOOKUP($G131,'Liquid Mix In Nutrition'!A:A,'Liquid Mix In Nutrition'!J:J,0)="Yes",0,$U131))-(($V131/MAX(1,_xlfn.XLOOKUP($H131,'Solid Mix In Nutrition'!A:A,'Solid Mix In Nutrition'!I:I,1)))*240)-(($W131/MAX(1,_xlfn.XLOOKUP($I131,'Solid Mix In Nutrition'!A:A,'Solid Mix In Nutrition'!I:I,1)))*240))*0.33</f>
        <v>0</v>
      </c>
      <c r="T131" s="30">
        <f>_xlfn.XLOOKUP($M131,Specs!$D:$D,Specs!$E:$E,0)*15*_xlfn.XLOOKUP($L131,Specs!$A:$A,Specs!$C:$C,0)</f>
        <v>0</v>
      </c>
      <c r="U131" s="30">
        <f>_xlfn.XLOOKUP($N131,Specs!$D:$D,Specs!$E:$E,0)*15*_xlfn.XLOOKUP($L131,Specs!$A:$A,Specs!$C:$C,0)</f>
        <v>0</v>
      </c>
      <c r="V131" s="30">
        <f>( ((_xlfn.XLOOKUP($O131,Specs!$H:$H,Specs!$I:$I,0)*_xlfn.XLOOKUP($L131,Specs!$A:$A,Specs!$B:$B,0))/240) *_xlfn.XLOOKUP($H131,'Solid Mix In Nutrition'!A:A,'Solid Mix In Nutrition'!I:I,0)) *IF(AND(NOT($I131=0), COUNTA($I131)),0.5,1)</f>
        <v>0</v>
      </c>
      <c r="W131" s="30">
        <f>( ((_xlfn.XLOOKUP($O131,Specs!$H:$H,Specs!$I:$I,0)*_xlfn.XLOOKUP($L131,Specs!$A:$A,Specs!$B:$B,0))/240) *_xlfn.XLOOKUP($I131,'Solid Mix In Nutrition'!A:A,'Solid Mix In Nutrition'!I:I,0)) *IF(AND(NOT($I131=0), COUNTA($I131)),0.5,0)</f>
        <v>0</v>
      </c>
      <c r="X131" s="30">
        <f>_xlfn.XLOOKUP($P131,Specs!F:F,Specs!G:G,0)*_xlfn.XLOOKUP($J131,'Sweetener Mix In Nutrition'!A:A,'Sweetener Mix In Nutrition'!I:I,0)*_xlfn.XLOOKUP($L131,Specs!A:A,Specs!C:C,0)</f>
        <v>0</v>
      </c>
      <c r="Y131" s="30">
        <f>_xlfn.XLOOKUP($Q131,Specs!F:F,Specs!G:G,0)*_xlfn.XLOOKUP($K131,'Sweetener Mix In Nutrition'!A:A,'Sweetener Mix In Nutrition'!I:I,0)*_xlfn.XLOOKUP($L131,Specs!A:A,Specs!C:C,0)</f>
        <v>0</v>
      </c>
      <c r="Z131" s="34">
        <f t="shared" si="4"/>
        <v>0</v>
      </c>
      <c r="AA131" s="35">
        <f t="shared" si="5"/>
        <v>0</v>
      </c>
      <c r="AB131" s="36">
        <f>(($R131 / 240) * _xlfn.XLOOKUP($D131,'Milk Types Nutrition Per Cup'!A:A,'Milk Types Nutrition Per Cup'!B:B,0)) +(($S131 / 240)  * _xlfn.XLOOKUP($E131,'Milk Types Nutrition Per Cup'!A:A,'Milk Types Nutrition Per Cup'!B:B,0)) +(($T131 / 15)  * _xlfn.XLOOKUP($F131,'Liquid Mix In Nutrition'!A:A,'Liquid Mix In Nutrition'!B:B,0))+(($U131 / 15)  * _xlfn.XLOOKUP($G131,'Liquid Mix In Nutrition'!A:A,'Liquid Mix In Nutrition'!B:B,0))+(($V131 /MAX(1, _xlfn.XLOOKUP($H131,'Solid Mix In Nutrition'!A:A,'Solid Mix In Nutrition'!I:I,1)))  * _xlfn.XLOOKUP($H131,'Solid Mix In Nutrition'!A:A,'Solid Mix In Nutrition'!B:B,0))+(($W131 / MAX(1, _xlfn.XLOOKUP($I131,'Solid Mix In Nutrition'!A:A,'Solid Mix In Nutrition'!I:I,1))))+(($X131 / 100)  * _xlfn.XLOOKUP($J131,'Sweetener Mix In Nutrition'!A:A,'Sweetener Mix In Nutrition'!B:B,0))+(($Y131 / 100)  * _xlfn.XLOOKUP($K131,'Sweetener Mix In Nutrition'!A:A,'Sweetener Mix In Nutrition'!B:B,0))</f>
        <v>0</v>
      </c>
      <c r="AC131" s="36">
        <f>(($R131 / 240) * _xlfn.XLOOKUP($D131,'Milk Types Nutrition Per Cup'!A:A,'Milk Types Nutrition Per Cup'!E:E,0)) +(($S131 / 240)  * _xlfn.XLOOKUP($E131,'Milk Types Nutrition Per Cup'!A:A,'Milk Types Nutrition Per Cup'!E:E,0)) +(($T131 / 15)  * _xlfn.XLOOKUP($F131,'Liquid Mix In Nutrition'!A:A,'Liquid Mix In Nutrition'!E:E,0)) +(($U131 / 15)  * _xlfn.XLOOKUP($G131,'Liquid Mix In Nutrition'!A:A,'Liquid Mix In Nutrition'!E:E,0))+(($V131 / MAX(1, _xlfn.XLOOKUP($H131,'Solid Mix In Nutrition'!A:A,'Solid Mix In Nutrition'!I:I,1)))  * _xlfn.XLOOKUP($H131,'Solid Mix In Nutrition'!A:A,'Solid Mix In Nutrition'!E:E,0))+(($W131 / MAX(1, _xlfn.XLOOKUP($I131,'Solid Mix In Nutrition'!A:A,'Solid Mix In Nutrition'!I:I,1)))  * _xlfn.XLOOKUP($I131,'Solid Mix In Nutrition'!A:A,'Solid Mix In Nutrition'!G:G,0))+(($X131 / 100)  * _xlfn.XLOOKUP($J131,'Sweetener Mix In Nutrition'!A:A,'Sweetener Mix In Nutrition'!E:E,0))+(($Y131 / 100)  * _xlfn.XLOOKUP($K131,'Sweetener Mix In Nutrition'!A:A,'Sweetener Mix In Nutrition'!E:E,0))</f>
        <v>0</v>
      </c>
      <c r="AD131" s="36">
        <f>(($R131 / 240) * _xlfn.XLOOKUP($D131,'Milk Types Nutrition Per Cup'!A:A,'Milk Types Nutrition Per Cup'!E:E,0)) +(($S131 / 240)  * _xlfn.XLOOKUP($E131,'Milk Types Nutrition Per Cup'!A:A,'Milk Types Nutrition Per Cup'!E:E,0)) +(($T131 / 15)  * _xlfn.XLOOKUP($F131,'Liquid Mix In Nutrition'!A:A,'Liquid Mix In Nutrition'!E:E,0)) +(($U131 / 15)  * _xlfn.XLOOKUP($G131,'Liquid Mix In Nutrition'!A:A,'Liquid Mix In Nutrition'!E:E,0))+(($X131 / 100)  * _xlfn.XLOOKUP($J131,'Sweetener Mix In Nutrition'!A:A,'Sweetener Mix In Nutrition'!E:E,0))+(($Y131 / 100)  * _xlfn.XLOOKUP($K131,'Sweetener Mix In Nutrition'!A:A,'Sweetener Mix In Nutrition'!E:E,0))</f>
        <v>0</v>
      </c>
      <c r="AE131" s="37">
        <f>(($R131 / 240) * _xlfn.XLOOKUP($D131,'Milk Types Nutrition Per Cup'!A:A,'Milk Types Nutrition Per Cup'!C:C,0)) +(($S131 / 240)  * _xlfn.XLOOKUP($E131,'Milk Types Nutrition Per Cup'!A:A,'Milk Types Nutrition Per Cup'!C:C,0)) +(($T131 / 15)  * _xlfn.XLOOKUP($F131,'Liquid Mix In Nutrition'!A:A,'Liquid Mix In Nutrition'!C:C,0))+(($U131 / 15)  * _xlfn.XLOOKUP($G131,'Liquid Mix In Nutrition'!A:A,'Liquid Mix In Nutrition'!C:C,0))+(($V131 / MAX(1, _xlfn.XLOOKUP($H131,'Solid Mix In Nutrition'!A:A,'Solid Mix In Nutrition'!I:I,1)))  * _xlfn.XLOOKUP($H131,'Solid Mix In Nutrition'!A:A,'Solid Mix In Nutrition'!C:C,0))+(($W131 / MAX(1, _xlfn.XLOOKUP($I131,'Solid Mix In Nutrition'!A:A,'Solid Mix In Nutrition'!I:I,1)))  * _xlfn.XLOOKUP($I131,'Solid Mix In Nutrition'!A:A,'Solid Mix In Nutrition'!C:C,0))+(($X131 / 100)  * _xlfn.XLOOKUP($J131,'Sweetener Mix In Nutrition'!A:A,'Sweetener Mix In Nutrition'!C:C,0))+(($Y131 / 100)  * _xlfn.XLOOKUP($K131,'Sweetener Mix In Nutrition'!A:A,'Sweetener Mix In Nutrition'!C:C,0))</f>
        <v>0</v>
      </c>
      <c r="AF131" s="38" t="e">
        <f>$AE131 / (_xlfn.XLOOKUP($L131,Specs!A:A,Specs!B:B,0))</f>
        <v>#DIV/0!</v>
      </c>
      <c r="AG131" s="37" t="e">
        <f>60* ($AB131 / _xlfn.XLOOKUP($L131,Specs!A:A,Specs!B:B,0))</f>
        <v>#DIV/0!</v>
      </c>
      <c r="AH131" s="37" t="e">
        <f>60* (AC131 / _xlfn.XLOOKUP($L131,Specs!$A:$A,Specs!$B:$B,0))</f>
        <v>#DIV/0!</v>
      </c>
      <c r="AI131" s="37" t="e">
        <f>60* (AE131 / _xlfn.XLOOKUP($L131,Specs!$A:$A,Specs!$B:$B,0))</f>
        <v>#DIV/0!</v>
      </c>
      <c r="AJ131" s="39">
        <f>(($R131 / 240) * _xlfn.XLOOKUP($D131,'Milk Types Nutrition Per Cup'!A:A,'Milk Types Nutrition Per Cup'!F:F,0)) +(($S131 / 240)  * _xlfn.XLOOKUP($E131,'Milk Types Nutrition Per Cup'!A:A,'Milk Types Nutrition Per Cup'!F:F,0)) +(($T131 / 15)  * _xlfn.XLOOKUP($F131,'Liquid Mix In Nutrition'!A:A,'Liquid Mix In Nutrition'!F:F,0))+(($U131 / 15)  * _xlfn.XLOOKUP($G131,'Liquid Mix In Nutrition'!A:A,'Liquid Mix In Nutrition'!F:F,0))+(($V131 / MAX(1, _xlfn.XLOOKUP($H131,'Solid Mix In Nutrition'!A:A,'Solid Mix In Nutrition'!I:I,1)))  * _xlfn.XLOOKUP($H131,'Solid Mix In Nutrition'!A:A,'Solid Mix In Nutrition'!F:F,0))+(($W131 / MAX(1, _xlfn.XLOOKUP($I131,'Solid Mix In Nutrition'!A:A,'Solid Mix In Nutrition'!I:I,1)))  * _xlfn.XLOOKUP($I131,'Solid Mix In Nutrition'!A:A,'Solid Mix In Nutrition'!F:F,0))+(($X131 / 100)  * _xlfn.XLOOKUP($J131,'Sweetener Mix In Nutrition'!A:A,'Sweetener Mix In Nutrition'!F:F,0))+(($Y131 / 100)  * _xlfn.XLOOKUP($K131,'Sweetener Mix In Nutrition'!A:A,'Sweetener Mix In Nutrition'!F:F,0))</f>
        <v>0</v>
      </c>
      <c r="AK131" s="46">
        <f>[2]Sheet1!AG131</f>
        <v>0</v>
      </c>
      <c r="AL131" s="47"/>
      <c r="AM131" s="40">
        <f>IF(ISERROR(((AL131/Specs!$L$3)*Specs!$L$2)*2),0,ROUNDUP((((AL131/Specs!$L$3)*Specs!$L$2)*2),0))</f>
        <v>0</v>
      </c>
      <c r="AN131" s="48">
        <f>ROUNDUP(((AJ131+Specs!$R$2+Specs!$S$2+_xlfn.XLOOKUP($L131,Specs!A:A,Specs!V:V,0))*Specs!$N$2)+AM131,0)</f>
        <v>1</v>
      </c>
      <c r="AO131" s="40">
        <f>ROUNDUP(((AJ131+Specs!$R$2+Specs!$S$2+_xlfn.XLOOKUP($L131,Specs!A:A,Specs!V:V,0))*Specs!$N$2),0)</f>
        <v>1</v>
      </c>
      <c r="AP131" s="30"/>
    </row>
    <row r="132" spans="1:42" x14ac:dyDescent="0.25">
      <c r="A132" s="41" t="str">
        <f>_xlfn.CONCAT(_xlfn.XLOOKUP("What's Your Name?",[1]Sheet1!$1:$1,[1]Sheet1!132:132)," | ",TEXT(_xlfn.XLOOKUP("Completion time",[1]Sheet1!$1:$1,[1]Sheet1!132:132),"dddd, mmm dd, yyyy hh:mm AM/PM"))</f>
        <v xml:space="preserve"> | Saturday, Jan 00, 1900 12:00 AM</v>
      </c>
      <c r="B132" s="76">
        <f>_xlfn.XLOOKUP("What's Your Email Address?",[1]Sheet1!$1:$1,[1]Sheet1!132:132)</f>
        <v>0</v>
      </c>
      <c r="C132" s="31">
        <f>IF(ISBLANK(_xlfn.XLOOKUP("Which Flavor? (Pint Price | Quart Price | Half Gallon Price) (NOTE: Prices may fluctuate based on market conditions)",[1]Sheet1!$1:$1,[1]Sheet1!132:132)),_xlfn.XLOOKUP("Name Your Ice Cream!",[1]Sheet1!$1:$1,[1]Sheet1!132:132),IF(ISNUMBER(FIND("(", _xlfn.XLOOKUP("Which Flavor? (Pint Price | Quart Price | Half Gallon Price) (NOTE: Prices may fluctuate based on market conditions)",[1]Sheet1!$1:$1,[1]Sheet1!132:132))), LEFT(_xlfn.XLOOKUP("Which Flavor? (Pint Price | Quart Price | Half Gallon Price) (NOTE: Prices may fluctuate based on market conditions)",[1]Sheet1!$1:$1,[1]Sheet1!132:132), FIND("(", _xlfn.XLOOKUP("Which Flavor? (Pint Price | Quart Price | Half Gallon Price) (NOTE: Prices may fluctuate based on market conditions)",[1]Sheet1!$1:$1,[1]Sheet1!132:132)) - 1), _xlfn.XLOOKUP("Which Flavor? (Pint Price | Quart Price | Half Gallon Price) (NOTE: Prices may fluctuate based on market conditions)",[1]Sheet1!$1:$1,[1]Sheet1!132:132)))</f>
        <v>0</v>
      </c>
      <c r="D132" s="31">
        <f>IF(COUNTIF('Premade Flavors'!$A:$A, $C132) &gt; 0,IF(ISBLANK(_xlfn.XLOOKUP("What Ice Cream Base Do You Want To Change It To?",[1]Sheet1!$1:$1,[1]Sheet1!132:132)),_xlfn.XLOOKUP($C132,'Premade Flavors'!$A:$A,'Premade Flavors'!B:B),_xlfn.XLOOKUP("What Ice Cream Base Do You Want To Change It To?",[1]Sheet1!$1:$1,[1]Sheet1!132:132)),_xlfn.XLOOKUP(_xlfn.XLOOKUP("What Kind Of Ice Cream Base Do You Want? ",[1]Sheet1!$1:$1,[1]Sheet1!132:132),'Milk Types Nutrition Per Cup'!O:O,'Milk Types Nutrition Per Cup'!P:P,""))</f>
        <v>0</v>
      </c>
      <c r="E132" s="31">
        <f>IF(COUNTIF('Premade Flavors'!$A:$A, $C132) &gt; 0,IF(ISBLANK(_xlfn.XLOOKUP("What Ice Cream Base Do You Want To Change It To?",[1]Sheet1!$1:$1,[1]Sheet1!132:132)),_xlfn.XLOOKUP($C132,'Premade Flavors'!$A:$A,'Premade Flavors'!C:C),_xlfn.XLOOKUP("What Ice Cream Base Do You Want To Change It To?",[1]Sheet1!$1:$1,[1]Sheet1!132:132)),_xlfn.XLOOKUP(_xlfn.XLOOKUP("What Kind Of Ice Cream Base Do You Want? ",[1]Sheet1!$1:$1,[1]Sheet1!132:132),'Milk Types Nutrition Per Cup'!$O:$O,'Milk Types Nutrition Per Cup'!$Q:$Q,""))</f>
        <v>0</v>
      </c>
      <c r="F132" s="31">
        <f>IF(COUNTIF('Premade Flavors'!$A:$A, $C132) &gt; 0,_xlfn.XLOOKUP($C132,'Premade Flavors'!$A:$A,'Premade Flavors'!E:E),_xlfn.XLOOKUP("What's The First Flavor You Want? ",[1]Sheet1!$1:$1,[1]Sheet1!132:132))</f>
        <v>0</v>
      </c>
      <c r="G132" s="31">
        <f>IF(COUNTIF('Premade Flavors'!$A:$A, $C132) &gt; 0,_xlfn.XLOOKUP($C132,'Premade Flavors'!$A:$A,'Premade Flavors'!F:F),_xlfn.XLOOKUP("What's the Second Flavor You Want?",[1]Sheet1!$1:$1,[1]Sheet1!132:132))</f>
        <v>0</v>
      </c>
      <c r="H132" s="31">
        <f>IF(COUNTIF('Premade Flavors'!$A:$A, $C132) &gt; 0,_xlfn.XLOOKUP($C132,'Premade Flavors'!$A:$A,'Premade Flavors'!G:G),_xlfn.XLOOKUP("What's The First Mix In That You Want? ",[1]Sheet1!$1:$1,[1]Sheet1!132:132))</f>
        <v>0</v>
      </c>
      <c r="I132" s="31">
        <f>IF(COUNTIF('Premade Flavors'!$A:$A, $C130) &gt; 0,_xlfn.XLOOKUP($C130,'Premade Flavors'!$A:$A,'Premade Flavors'!H:H),IF([2]Sheet1!W130= 0,,[2]Sheet1!W130))</f>
        <v>0</v>
      </c>
      <c r="J132" s="31">
        <f>IF(COUNTIF('Premade Flavors'!$A:$A,$C132)&gt;0,IF(_xlfn.XLOOKUP("Should It Use Sugar or A Non-Sugar Sweetner?",[1]Sheet1!$1:$1,[1]Sheet1!132:132)="Sugar",_xlfn.XLOOKUP($C132,'Premade Flavors'!$A:$A,'Premade Flavors'!I:I),"Stevia"),_xlfn.XLOOKUP("What Sweetner Do You Want?",[1]Sheet1!$1:$1,[1]Sheet1!132:132))</f>
        <v>0</v>
      </c>
      <c r="K132" s="31"/>
      <c r="L132" s="77">
        <f>_xlfn.XLOOKUP("How Much Ice Cream Do You Want?",[1]Sheet1!$1:$1,[1]Sheet1!132:132)</f>
        <v>0</v>
      </c>
      <c r="M132" s="45">
        <f>IF(COUNTIF('Premade Flavors'!$A:$A, $C132) &gt; 0,_xlfn.XLOOKUP($C132,'Premade Flavors'!$A:$A,'Premade Flavors'!M:M),_xlfn.XLOOKUP("How Strong Do You Want The First Flavor?",[1]Sheet1!$1:$1,[1]Sheet1!132:132))</f>
        <v>0</v>
      </c>
      <c r="N132" s="45">
        <f>IF(COUNTIF('Premade Flavors'!$A:$A, $C132) &gt; 0,_xlfn.XLOOKUP($C132,'Premade Flavors'!$A:$A,'Premade Flavors'!N:N),_xlfn.XLOOKUP("How Strong Do You Want The Second Flavor?",[1]Sheet1!$1:$1,[1]Sheet1!132:132))</f>
        <v>0</v>
      </c>
      <c r="O132" s="45">
        <f>IF(COUNTIF('Premade Flavors'!$A:$A, $C132) &gt; 0,_xlfn.XLOOKUP($C132,'Premade Flavors'!$A:$A,'Premade Flavors'!O:O),_xlfn.XLOOKUP("How Dense Should the Mix Ins Be?",[1]Sheet1!$1:$1,[1]Sheet1!132:132))</f>
        <v>0</v>
      </c>
      <c r="P132" s="45">
        <f>IF(COUNTIF('Premade Flavors'!$A:$A, $C132) &gt; 0,_xlfn.XLOOKUP($C132,'Premade Flavors'!$A:$A,'Premade Flavors'!P:P),_xlfn.XLOOKUP("How Much Of The First Sweetner? ",[1]Sheet1!$1:$1,[1]Sheet1!132:132))</f>
        <v>0</v>
      </c>
      <c r="Q132" s="45">
        <f>IF(COUNTIF('Premade Flavors'!$A:$A, $C132) &gt; 0,_xlfn.XLOOKUP($C132,'Premade Flavors'!$A:$A,'Premade Flavors'!Q:Q),[2]Sheet1!S132)</f>
        <v>0</v>
      </c>
      <c r="R132" s="30">
        <f>(_xlfn.XLOOKUP($L132,Specs!A:A,Specs!B:B,0)-(IF(_xlfn.XLOOKUP($F132,'Liquid Mix In Nutrition'!A:A,'Liquid Mix In Nutrition'!J:J,0)="Yes",0,$T132))-(IF(_xlfn.XLOOKUP($G132,'Liquid Mix In Nutrition'!A:A,'Liquid Mix In Nutrition'!J:J,0)="Yes",0,$U132))-(($V132/MAX(1,_xlfn.XLOOKUP($H132,'Solid Mix In Nutrition'!A:A,'Solid Mix In Nutrition'!I:I,1)))*240)-(($W132/MAX(1,_xlfn.XLOOKUP($I132,'Solid Mix In Nutrition'!A:A,'Solid Mix In Nutrition'!I:I,1)))*240))*0.66</f>
        <v>0</v>
      </c>
      <c r="S132" s="30">
        <f>(_xlfn.XLOOKUP($L132,Specs!A:A,Specs!B:B,0)-(IF(_xlfn.XLOOKUP($F132,'Liquid Mix In Nutrition'!A:A,'Liquid Mix In Nutrition'!J:J,0)="Yes",0,$T132))-(IF(_xlfn.XLOOKUP($G132,'Liquid Mix In Nutrition'!A:A,'Liquid Mix In Nutrition'!J:J,0)="Yes",0,$U132))-(($V132/MAX(1,_xlfn.XLOOKUP($H132,'Solid Mix In Nutrition'!A:A,'Solid Mix In Nutrition'!I:I,1)))*240)-(($W132/MAX(1,_xlfn.XLOOKUP($I132,'Solid Mix In Nutrition'!A:A,'Solid Mix In Nutrition'!I:I,1)))*240))*0.33</f>
        <v>0</v>
      </c>
      <c r="T132" s="30">
        <f>_xlfn.XLOOKUP($M132,Specs!$D:$D,Specs!$E:$E,0)*15*_xlfn.XLOOKUP($L132,Specs!$A:$A,Specs!$C:$C,0)</f>
        <v>0</v>
      </c>
      <c r="U132" s="30">
        <f>_xlfn.XLOOKUP($N132,Specs!$D:$D,Specs!$E:$E,0)*15*_xlfn.XLOOKUP($L132,Specs!$A:$A,Specs!$C:$C,0)</f>
        <v>0</v>
      </c>
      <c r="V132" s="30">
        <f>( ((_xlfn.XLOOKUP($O132,Specs!$H:$H,Specs!$I:$I,0)*_xlfn.XLOOKUP($L132,Specs!$A:$A,Specs!$B:$B,0))/240) *_xlfn.XLOOKUP($H132,'Solid Mix In Nutrition'!A:A,'Solid Mix In Nutrition'!I:I,0)) *IF(AND(NOT($I132=0), COUNTA($I132)),0.5,1)</f>
        <v>0</v>
      </c>
      <c r="W132" s="30">
        <f>( ((_xlfn.XLOOKUP($O132,Specs!$H:$H,Specs!$I:$I,0)*_xlfn.XLOOKUP($L132,Specs!$A:$A,Specs!$B:$B,0))/240) *_xlfn.XLOOKUP($I132,'Solid Mix In Nutrition'!A:A,'Solid Mix In Nutrition'!I:I,0)) *IF(AND(NOT($I132=0), COUNTA($I132)),0.5,0)</f>
        <v>0</v>
      </c>
      <c r="X132" s="30">
        <f>_xlfn.XLOOKUP($P132,Specs!F:F,Specs!G:G,0)*_xlfn.XLOOKUP($J132,'Sweetener Mix In Nutrition'!A:A,'Sweetener Mix In Nutrition'!I:I,0)*_xlfn.XLOOKUP($L132,Specs!A:A,Specs!C:C,0)</f>
        <v>0</v>
      </c>
      <c r="Y132" s="30">
        <f>_xlfn.XLOOKUP($Q132,Specs!F:F,Specs!G:G,0)*_xlfn.XLOOKUP($K132,'Sweetener Mix In Nutrition'!A:A,'Sweetener Mix In Nutrition'!I:I,0)*_xlfn.XLOOKUP($L132,Specs!A:A,Specs!C:C,0)</f>
        <v>0</v>
      </c>
      <c r="Z132" s="34">
        <f t="shared" si="4"/>
        <v>0</v>
      </c>
      <c r="AA132" s="35">
        <f t="shared" si="5"/>
        <v>0</v>
      </c>
      <c r="AB132" s="36">
        <f>(($R132 / 240) * _xlfn.XLOOKUP($D132,'Milk Types Nutrition Per Cup'!A:A,'Milk Types Nutrition Per Cup'!B:B,0)) +(($S132 / 240)  * _xlfn.XLOOKUP($E132,'Milk Types Nutrition Per Cup'!A:A,'Milk Types Nutrition Per Cup'!B:B,0)) +(($T132 / 15)  * _xlfn.XLOOKUP($F132,'Liquid Mix In Nutrition'!A:A,'Liquid Mix In Nutrition'!B:B,0))+(($U132 / 15)  * _xlfn.XLOOKUP($G132,'Liquid Mix In Nutrition'!A:A,'Liquid Mix In Nutrition'!B:B,0))+(($V132 /MAX(1, _xlfn.XLOOKUP($H132,'Solid Mix In Nutrition'!A:A,'Solid Mix In Nutrition'!I:I,1)))  * _xlfn.XLOOKUP($H132,'Solid Mix In Nutrition'!A:A,'Solid Mix In Nutrition'!B:B,0))+(($W132 / MAX(1, _xlfn.XLOOKUP($I132,'Solid Mix In Nutrition'!A:A,'Solid Mix In Nutrition'!I:I,1))))+(($X132 / 100)  * _xlfn.XLOOKUP($J132,'Sweetener Mix In Nutrition'!A:A,'Sweetener Mix In Nutrition'!B:B,0))+(($Y132 / 100)  * _xlfn.XLOOKUP($K132,'Sweetener Mix In Nutrition'!A:A,'Sweetener Mix In Nutrition'!B:B,0))</f>
        <v>0</v>
      </c>
      <c r="AC132" s="36">
        <f>(($R132 / 240) * _xlfn.XLOOKUP($D132,'Milk Types Nutrition Per Cup'!A:A,'Milk Types Nutrition Per Cup'!E:E,0)) +(($S132 / 240)  * _xlfn.XLOOKUP($E132,'Milk Types Nutrition Per Cup'!A:A,'Milk Types Nutrition Per Cup'!E:E,0)) +(($T132 / 15)  * _xlfn.XLOOKUP($F132,'Liquid Mix In Nutrition'!A:A,'Liquid Mix In Nutrition'!E:E,0)) +(($U132 / 15)  * _xlfn.XLOOKUP($G132,'Liquid Mix In Nutrition'!A:A,'Liquid Mix In Nutrition'!E:E,0))+(($V132 / MAX(1, _xlfn.XLOOKUP($H132,'Solid Mix In Nutrition'!A:A,'Solid Mix In Nutrition'!I:I,1)))  * _xlfn.XLOOKUP($H132,'Solid Mix In Nutrition'!A:A,'Solid Mix In Nutrition'!E:E,0))+(($W132 / MAX(1, _xlfn.XLOOKUP($I132,'Solid Mix In Nutrition'!A:A,'Solid Mix In Nutrition'!I:I,1)))  * _xlfn.XLOOKUP($I132,'Solid Mix In Nutrition'!A:A,'Solid Mix In Nutrition'!G:G,0))+(($X132 / 100)  * _xlfn.XLOOKUP($J132,'Sweetener Mix In Nutrition'!A:A,'Sweetener Mix In Nutrition'!E:E,0))+(($Y132 / 100)  * _xlfn.XLOOKUP($K132,'Sweetener Mix In Nutrition'!A:A,'Sweetener Mix In Nutrition'!E:E,0))</f>
        <v>0</v>
      </c>
      <c r="AD132" s="36">
        <f>(($R132 / 240) * _xlfn.XLOOKUP($D132,'Milk Types Nutrition Per Cup'!A:A,'Milk Types Nutrition Per Cup'!E:E,0)) +(($S132 / 240)  * _xlfn.XLOOKUP($E132,'Milk Types Nutrition Per Cup'!A:A,'Milk Types Nutrition Per Cup'!E:E,0)) +(($T132 / 15)  * _xlfn.XLOOKUP($F132,'Liquid Mix In Nutrition'!A:A,'Liquid Mix In Nutrition'!E:E,0)) +(($U132 / 15)  * _xlfn.XLOOKUP($G132,'Liquid Mix In Nutrition'!A:A,'Liquid Mix In Nutrition'!E:E,0))+(($X132 / 100)  * _xlfn.XLOOKUP($J132,'Sweetener Mix In Nutrition'!A:A,'Sweetener Mix In Nutrition'!E:E,0))+(($Y132 / 100)  * _xlfn.XLOOKUP($K132,'Sweetener Mix In Nutrition'!A:A,'Sweetener Mix In Nutrition'!E:E,0))</f>
        <v>0</v>
      </c>
      <c r="AE132" s="37">
        <f>(($R132 / 240) * _xlfn.XLOOKUP($D132,'Milk Types Nutrition Per Cup'!A:A,'Milk Types Nutrition Per Cup'!C:C,0)) +(($S132 / 240)  * _xlfn.XLOOKUP($E132,'Milk Types Nutrition Per Cup'!A:A,'Milk Types Nutrition Per Cup'!C:C,0)) +(($T132 / 15)  * _xlfn.XLOOKUP($F132,'Liquid Mix In Nutrition'!A:A,'Liquid Mix In Nutrition'!C:C,0))+(($U132 / 15)  * _xlfn.XLOOKUP($G132,'Liquid Mix In Nutrition'!A:A,'Liquid Mix In Nutrition'!C:C,0))+(($V132 / MAX(1, _xlfn.XLOOKUP($H132,'Solid Mix In Nutrition'!A:A,'Solid Mix In Nutrition'!I:I,1)))  * _xlfn.XLOOKUP($H132,'Solid Mix In Nutrition'!A:A,'Solid Mix In Nutrition'!C:C,0))+(($W132 / MAX(1, _xlfn.XLOOKUP($I132,'Solid Mix In Nutrition'!A:A,'Solid Mix In Nutrition'!I:I,1)))  * _xlfn.XLOOKUP($I132,'Solid Mix In Nutrition'!A:A,'Solid Mix In Nutrition'!C:C,0))+(($X132 / 100)  * _xlfn.XLOOKUP($J132,'Sweetener Mix In Nutrition'!A:A,'Sweetener Mix In Nutrition'!C:C,0))+(($Y132 / 100)  * _xlfn.XLOOKUP($K132,'Sweetener Mix In Nutrition'!A:A,'Sweetener Mix In Nutrition'!C:C,0))</f>
        <v>0</v>
      </c>
      <c r="AF132" s="38" t="e">
        <f>$AE132 / (_xlfn.XLOOKUP($L132,Specs!A:A,Specs!B:B,0))</f>
        <v>#DIV/0!</v>
      </c>
      <c r="AG132" s="37" t="e">
        <f>60* ($AB132 / _xlfn.XLOOKUP($L132,Specs!A:A,Specs!B:B,0))</f>
        <v>#DIV/0!</v>
      </c>
      <c r="AH132" s="37" t="e">
        <f>60* (AC132 / _xlfn.XLOOKUP($L132,Specs!$A:$A,Specs!$B:$B,0))</f>
        <v>#DIV/0!</v>
      </c>
      <c r="AI132" s="37" t="e">
        <f>60* (AE132 / _xlfn.XLOOKUP($L132,Specs!$A:$A,Specs!$B:$B,0))</f>
        <v>#DIV/0!</v>
      </c>
      <c r="AJ132" s="39">
        <f>(($R132 / 240) * _xlfn.XLOOKUP($D132,'Milk Types Nutrition Per Cup'!A:A,'Milk Types Nutrition Per Cup'!F:F,0)) +(($S132 / 240)  * _xlfn.XLOOKUP($E132,'Milk Types Nutrition Per Cup'!A:A,'Milk Types Nutrition Per Cup'!F:F,0)) +(($T132 / 15)  * _xlfn.XLOOKUP($F132,'Liquid Mix In Nutrition'!A:A,'Liquid Mix In Nutrition'!F:F,0))+(($U132 / 15)  * _xlfn.XLOOKUP($G132,'Liquid Mix In Nutrition'!A:A,'Liquid Mix In Nutrition'!F:F,0))+(($V132 / MAX(1, _xlfn.XLOOKUP($H132,'Solid Mix In Nutrition'!A:A,'Solid Mix In Nutrition'!I:I,1)))  * _xlfn.XLOOKUP($H132,'Solid Mix In Nutrition'!A:A,'Solid Mix In Nutrition'!F:F,0))+(($W132 / MAX(1, _xlfn.XLOOKUP($I132,'Solid Mix In Nutrition'!A:A,'Solid Mix In Nutrition'!I:I,1)))  * _xlfn.XLOOKUP($I132,'Solid Mix In Nutrition'!A:A,'Solid Mix In Nutrition'!F:F,0))+(($X132 / 100)  * _xlfn.XLOOKUP($J132,'Sweetener Mix In Nutrition'!A:A,'Sweetener Mix In Nutrition'!F:F,0))+(($Y132 / 100)  * _xlfn.XLOOKUP($K132,'Sweetener Mix In Nutrition'!A:A,'Sweetener Mix In Nutrition'!F:F,0))</f>
        <v>0</v>
      </c>
      <c r="AK132" s="46">
        <f>[2]Sheet1!AG132</f>
        <v>0</v>
      </c>
      <c r="AL132" s="47"/>
      <c r="AM132" s="40">
        <f>IF(ISERROR(((AL132/Specs!$L$3)*Specs!$L$2)*2),0,ROUNDUP((((AL132/Specs!$L$3)*Specs!$L$2)*2),0))</f>
        <v>0</v>
      </c>
      <c r="AN132" s="48">
        <f>ROUNDUP(((AJ132+Specs!$R$2+Specs!$S$2+_xlfn.XLOOKUP($L132,Specs!A:A,Specs!V:V,0))*Specs!$N$2)+AM132,0)</f>
        <v>1</v>
      </c>
      <c r="AO132" s="40">
        <f>ROUNDUP(((AJ132+Specs!$R$2+Specs!$S$2+_xlfn.XLOOKUP($L132,Specs!A:A,Specs!V:V,0))*Specs!$N$2),0)</f>
        <v>1</v>
      </c>
      <c r="AP132" s="30"/>
    </row>
    <row r="133" spans="1:42" x14ac:dyDescent="0.25">
      <c r="A133" s="41" t="str">
        <f>_xlfn.CONCAT(_xlfn.XLOOKUP("What's Your Name?",[1]Sheet1!$1:$1,[1]Sheet1!133:133)," | ",TEXT(_xlfn.XLOOKUP("Completion time",[1]Sheet1!$1:$1,[1]Sheet1!133:133),"dddd, mmm dd, yyyy hh:mm AM/PM"))</f>
        <v xml:space="preserve"> | Saturday, Jan 00, 1900 12:00 AM</v>
      </c>
      <c r="B133" s="76">
        <f>_xlfn.XLOOKUP("What's Your Email Address?",[1]Sheet1!$1:$1,[1]Sheet1!133:133)</f>
        <v>0</v>
      </c>
      <c r="C133" s="31">
        <f>IF(ISBLANK(_xlfn.XLOOKUP("Which Flavor? (Pint Price | Quart Price | Half Gallon Price) (NOTE: Prices may fluctuate based on market conditions)",[1]Sheet1!$1:$1,[1]Sheet1!133:133)),_xlfn.XLOOKUP("Name Your Ice Cream!",[1]Sheet1!$1:$1,[1]Sheet1!133:133),IF(ISNUMBER(FIND("(", _xlfn.XLOOKUP("Which Flavor? (Pint Price | Quart Price | Half Gallon Price) (NOTE: Prices may fluctuate based on market conditions)",[1]Sheet1!$1:$1,[1]Sheet1!133:133))), LEFT(_xlfn.XLOOKUP("Which Flavor? (Pint Price | Quart Price | Half Gallon Price) (NOTE: Prices may fluctuate based on market conditions)",[1]Sheet1!$1:$1,[1]Sheet1!133:133), FIND("(", _xlfn.XLOOKUP("Which Flavor? (Pint Price | Quart Price | Half Gallon Price) (NOTE: Prices may fluctuate based on market conditions)",[1]Sheet1!$1:$1,[1]Sheet1!133:133)) - 1), _xlfn.XLOOKUP("Which Flavor? (Pint Price | Quart Price | Half Gallon Price) (NOTE: Prices may fluctuate based on market conditions)",[1]Sheet1!$1:$1,[1]Sheet1!133:133)))</f>
        <v>0</v>
      </c>
      <c r="D133" s="31">
        <f>IF(COUNTIF('Premade Flavors'!$A:$A, $C133) &gt; 0,IF(ISBLANK(_xlfn.XLOOKUP("What Ice Cream Base Do You Want To Change It To?",[1]Sheet1!$1:$1,[1]Sheet1!133:133)),_xlfn.XLOOKUP($C133,'Premade Flavors'!$A:$A,'Premade Flavors'!B:B),_xlfn.XLOOKUP("What Ice Cream Base Do You Want To Change It To?",[1]Sheet1!$1:$1,[1]Sheet1!133:133)),_xlfn.XLOOKUP(_xlfn.XLOOKUP("What Kind Of Ice Cream Base Do You Want? ",[1]Sheet1!$1:$1,[1]Sheet1!133:133),'Milk Types Nutrition Per Cup'!O:O,'Milk Types Nutrition Per Cup'!P:P,""))</f>
        <v>0</v>
      </c>
      <c r="E133" s="31">
        <f>IF(COUNTIF('Premade Flavors'!$A:$A, $C133) &gt; 0,IF(ISBLANK(_xlfn.XLOOKUP("What Ice Cream Base Do You Want To Change It To?",[1]Sheet1!$1:$1,[1]Sheet1!133:133)),_xlfn.XLOOKUP($C133,'Premade Flavors'!$A:$A,'Premade Flavors'!C:C),_xlfn.XLOOKUP("What Ice Cream Base Do You Want To Change It To?",[1]Sheet1!$1:$1,[1]Sheet1!133:133)),_xlfn.XLOOKUP(_xlfn.XLOOKUP("What Kind Of Ice Cream Base Do You Want? ",[1]Sheet1!$1:$1,[1]Sheet1!133:133),'Milk Types Nutrition Per Cup'!$O:$O,'Milk Types Nutrition Per Cup'!$Q:$Q,""))</f>
        <v>0</v>
      </c>
      <c r="F133" s="31">
        <f>IF(COUNTIF('Premade Flavors'!$A:$A, $C133) &gt; 0,_xlfn.XLOOKUP($C133,'Premade Flavors'!$A:$A,'Premade Flavors'!E:E),_xlfn.XLOOKUP("What's The First Flavor You Want? ",[1]Sheet1!$1:$1,[1]Sheet1!133:133))</f>
        <v>0</v>
      </c>
      <c r="G133" s="31">
        <f>IF(COUNTIF('Premade Flavors'!$A:$A, $C133) &gt; 0,_xlfn.XLOOKUP($C133,'Premade Flavors'!$A:$A,'Premade Flavors'!F:F),_xlfn.XLOOKUP("What's the Second Flavor You Want?",[1]Sheet1!$1:$1,[1]Sheet1!133:133))</f>
        <v>0</v>
      </c>
      <c r="H133" s="31">
        <f>IF(COUNTIF('Premade Flavors'!$A:$A, $C133) &gt; 0,_xlfn.XLOOKUP($C133,'Premade Flavors'!$A:$A,'Premade Flavors'!G:G),_xlfn.XLOOKUP("What's The First Mix In That You Want? ",[1]Sheet1!$1:$1,[1]Sheet1!133:133))</f>
        <v>0</v>
      </c>
      <c r="I133" s="31">
        <f>IF(COUNTIF('Premade Flavors'!$A:$A, $C131) &gt; 0,_xlfn.XLOOKUP($C131,'Premade Flavors'!$A:$A,'Premade Flavors'!H:H),IF([2]Sheet1!W131= 0,,[2]Sheet1!W131))</f>
        <v>0</v>
      </c>
      <c r="J133" s="31">
        <f>IF(COUNTIF('Premade Flavors'!$A:$A,$C133)&gt;0,IF(_xlfn.XLOOKUP("Should It Use Sugar or A Non-Sugar Sweetner?",[1]Sheet1!$1:$1,[1]Sheet1!133:133)="Sugar",_xlfn.XLOOKUP($C133,'Premade Flavors'!$A:$A,'Premade Flavors'!I:I),"Stevia"),_xlfn.XLOOKUP("What Sweetner Do You Want?",[1]Sheet1!$1:$1,[1]Sheet1!133:133))</f>
        <v>0</v>
      </c>
      <c r="K133" s="31"/>
      <c r="L133" s="77">
        <f>_xlfn.XLOOKUP("How Much Ice Cream Do You Want?",[1]Sheet1!$1:$1,[1]Sheet1!133:133)</f>
        <v>0</v>
      </c>
      <c r="M133" s="45">
        <f>IF(COUNTIF('Premade Flavors'!$A:$A, $C133) &gt; 0,_xlfn.XLOOKUP($C133,'Premade Flavors'!$A:$A,'Premade Flavors'!M:M),_xlfn.XLOOKUP("How Strong Do You Want The First Flavor?",[1]Sheet1!$1:$1,[1]Sheet1!133:133))</f>
        <v>0</v>
      </c>
      <c r="N133" s="45">
        <f>IF(COUNTIF('Premade Flavors'!$A:$A, $C133) &gt; 0,_xlfn.XLOOKUP($C133,'Premade Flavors'!$A:$A,'Premade Flavors'!N:N),_xlfn.XLOOKUP("How Strong Do You Want The Second Flavor?",[1]Sheet1!$1:$1,[1]Sheet1!133:133))</f>
        <v>0</v>
      </c>
      <c r="O133" s="45">
        <f>IF(COUNTIF('Premade Flavors'!$A:$A, $C133) &gt; 0,_xlfn.XLOOKUP($C133,'Premade Flavors'!$A:$A,'Premade Flavors'!O:O),_xlfn.XLOOKUP("How Dense Should the Mix Ins Be?",[1]Sheet1!$1:$1,[1]Sheet1!133:133))</f>
        <v>0</v>
      </c>
      <c r="P133" s="45">
        <f>IF(COUNTIF('Premade Flavors'!$A:$A, $C133) &gt; 0,_xlfn.XLOOKUP($C133,'Premade Flavors'!$A:$A,'Premade Flavors'!P:P),_xlfn.XLOOKUP("How Much Of The First Sweetner? ",[1]Sheet1!$1:$1,[1]Sheet1!133:133))</f>
        <v>0</v>
      </c>
      <c r="Q133" s="45">
        <f>IF(COUNTIF('Premade Flavors'!$A:$A, $C133) &gt; 0,_xlfn.XLOOKUP($C133,'Premade Flavors'!$A:$A,'Premade Flavors'!Q:Q),[2]Sheet1!S133)</f>
        <v>0</v>
      </c>
      <c r="R133" s="30">
        <f>(_xlfn.XLOOKUP($L133,Specs!A:A,Specs!B:B,0)-(IF(_xlfn.XLOOKUP($F133,'Liquid Mix In Nutrition'!A:A,'Liquid Mix In Nutrition'!J:J,0)="Yes",0,$T133))-(IF(_xlfn.XLOOKUP($G133,'Liquid Mix In Nutrition'!A:A,'Liquid Mix In Nutrition'!J:J,0)="Yes",0,$U133))-(($V133/MAX(1,_xlfn.XLOOKUP($H133,'Solid Mix In Nutrition'!A:A,'Solid Mix In Nutrition'!I:I,1)))*240)-(($W133/MAX(1,_xlfn.XLOOKUP($I133,'Solid Mix In Nutrition'!A:A,'Solid Mix In Nutrition'!I:I,1)))*240))*0.66</f>
        <v>0</v>
      </c>
      <c r="S133" s="30">
        <f>(_xlfn.XLOOKUP($L133,Specs!A:A,Specs!B:B,0)-(IF(_xlfn.XLOOKUP($F133,'Liquid Mix In Nutrition'!A:A,'Liquid Mix In Nutrition'!J:J,0)="Yes",0,$T133))-(IF(_xlfn.XLOOKUP($G133,'Liquid Mix In Nutrition'!A:A,'Liquid Mix In Nutrition'!J:J,0)="Yes",0,$U133))-(($V133/MAX(1,_xlfn.XLOOKUP($H133,'Solid Mix In Nutrition'!A:A,'Solid Mix In Nutrition'!I:I,1)))*240)-(($W133/MAX(1,_xlfn.XLOOKUP($I133,'Solid Mix In Nutrition'!A:A,'Solid Mix In Nutrition'!I:I,1)))*240))*0.33</f>
        <v>0</v>
      </c>
      <c r="T133" s="30">
        <f>_xlfn.XLOOKUP($M133,Specs!$D:$D,Specs!$E:$E,0)*15*_xlfn.XLOOKUP($L133,Specs!$A:$A,Specs!$C:$C,0)</f>
        <v>0</v>
      </c>
      <c r="U133" s="30">
        <f>_xlfn.XLOOKUP($N133,Specs!$D:$D,Specs!$E:$E,0)*15*_xlfn.XLOOKUP($L133,Specs!$A:$A,Specs!$C:$C,0)</f>
        <v>0</v>
      </c>
      <c r="V133" s="30">
        <f>( ((_xlfn.XLOOKUP($O133,Specs!$H:$H,Specs!$I:$I,0)*_xlfn.XLOOKUP($L133,Specs!$A:$A,Specs!$B:$B,0))/240) *_xlfn.XLOOKUP($H133,'Solid Mix In Nutrition'!A:A,'Solid Mix In Nutrition'!I:I,0)) *IF(AND(NOT($I133=0), COUNTA($I133)),0.5,1)</f>
        <v>0</v>
      </c>
      <c r="W133" s="30">
        <f>( ((_xlfn.XLOOKUP($O133,Specs!$H:$H,Specs!$I:$I,0)*_xlfn.XLOOKUP($L133,Specs!$A:$A,Specs!$B:$B,0))/240) *_xlfn.XLOOKUP($I133,'Solid Mix In Nutrition'!A:A,'Solid Mix In Nutrition'!I:I,0)) *IF(AND(NOT($I133=0), COUNTA($I133)),0.5,0)</f>
        <v>0</v>
      </c>
      <c r="X133" s="30">
        <f>_xlfn.XLOOKUP($P133,Specs!F:F,Specs!G:G,0)*_xlfn.XLOOKUP($J133,'Sweetener Mix In Nutrition'!A:A,'Sweetener Mix In Nutrition'!I:I,0)*_xlfn.XLOOKUP($L133,Specs!A:A,Specs!C:C,0)</f>
        <v>0</v>
      </c>
      <c r="Y133" s="30">
        <f>_xlfn.XLOOKUP($Q133,Specs!F:F,Specs!G:G,0)*_xlfn.XLOOKUP($K133,'Sweetener Mix In Nutrition'!A:A,'Sweetener Mix In Nutrition'!I:I,0)*_xlfn.XLOOKUP($L133,Specs!A:A,Specs!C:C,0)</f>
        <v>0</v>
      </c>
      <c r="Z133" s="34">
        <f t="shared" si="4"/>
        <v>0</v>
      </c>
      <c r="AA133" s="35">
        <f t="shared" si="5"/>
        <v>0</v>
      </c>
      <c r="AB133" s="36">
        <f>(($R133 / 240) * _xlfn.XLOOKUP($D133,'Milk Types Nutrition Per Cup'!A:A,'Milk Types Nutrition Per Cup'!B:B,0)) +(($S133 / 240)  * _xlfn.XLOOKUP($E133,'Milk Types Nutrition Per Cup'!A:A,'Milk Types Nutrition Per Cup'!B:B,0)) +(($T133 / 15)  * _xlfn.XLOOKUP($F133,'Liquid Mix In Nutrition'!A:A,'Liquid Mix In Nutrition'!B:B,0))+(($U133 / 15)  * _xlfn.XLOOKUP($G133,'Liquid Mix In Nutrition'!A:A,'Liquid Mix In Nutrition'!B:B,0))+(($V133 /MAX(1, _xlfn.XLOOKUP($H133,'Solid Mix In Nutrition'!A:A,'Solid Mix In Nutrition'!I:I,1)))  * _xlfn.XLOOKUP($H133,'Solid Mix In Nutrition'!A:A,'Solid Mix In Nutrition'!B:B,0))+(($W133 / MAX(1, _xlfn.XLOOKUP($I133,'Solid Mix In Nutrition'!A:A,'Solid Mix In Nutrition'!I:I,1))))+(($X133 / 100)  * _xlfn.XLOOKUP($J133,'Sweetener Mix In Nutrition'!A:A,'Sweetener Mix In Nutrition'!B:B,0))+(($Y133 / 100)  * _xlfn.XLOOKUP($K133,'Sweetener Mix In Nutrition'!A:A,'Sweetener Mix In Nutrition'!B:B,0))</f>
        <v>0</v>
      </c>
      <c r="AC133" s="36">
        <f>(($R133 / 240) * _xlfn.XLOOKUP($D133,'Milk Types Nutrition Per Cup'!A:A,'Milk Types Nutrition Per Cup'!E:E,0)) +(($S133 / 240)  * _xlfn.XLOOKUP($E133,'Milk Types Nutrition Per Cup'!A:A,'Milk Types Nutrition Per Cup'!E:E,0)) +(($T133 / 15)  * _xlfn.XLOOKUP($F133,'Liquid Mix In Nutrition'!A:A,'Liquid Mix In Nutrition'!E:E,0)) +(($U133 / 15)  * _xlfn.XLOOKUP($G133,'Liquid Mix In Nutrition'!A:A,'Liquid Mix In Nutrition'!E:E,0))+(($V133 / MAX(1, _xlfn.XLOOKUP($H133,'Solid Mix In Nutrition'!A:A,'Solid Mix In Nutrition'!I:I,1)))  * _xlfn.XLOOKUP($H133,'Solid Mix In Nutrition'!A:A,'Solid Mix In Nutrition'!E:E,0))+(($W133 / MAX(1, _xlfn.XLOOKUP($I133,'Solid Mix In Nutrition'!A:A,'Solid Mix In Nutrition'!I:I,1)))  * _xlfn.XLOOKUP($I133,'Solid Mix In Nutrition'!A:A,'Solid Mix In Nutrition'!G:G,0))+(($X133 / 100)  * _xlfn.XLOOKUP($J133,'Sweetener Mix In Nutrition'!A:A,'Sweetener Mix In Nutrition'!E:E,0))+(($Y133 / 100)  * _xlfn.XLOOKUP($K133,'Sweetener Mix In Nutrition'!A:A,'Sweetener Mix In Nutrition'!E:E,0))</f>
        <v>0</v>
      </c>
      <c r="AD133" s="36">
        <f>(($R133 / 240) * _xlfn.XLOOKUP($D133,'Milk Types Nutrition Per Cup'!A:A,'Milk Types Nutrition Per Cup'!E:E,0)) +(($S133 / 240)  * _xlfn.XLOOKUP($E133,'Milk Types Nutrition Per Cup'!A:A,'Milk Types Nutrition Per Cup'!E:E,0)) +(($T133 / 15)  * _xlfn.XLOOKUP($F133,'Liquid Mix In Nutrition'!A:A,'Liquid Mix In Nutrition'!E:E,0)) +(($U133 / 15)  * _xlfn.XLOOKUP($G133,'Liquid Mix In Nutrition'!A:A,'Liquid Mix In Nutrition'!E:E,0))+(($X133 / 100)  * _xlfn.XLOOKUP($J133,'Sweetener Mix In Nutrition'!A:A,'Sweetener Mix In Nutrition'!E:E,0))+(($Y133 / 100)  * _xlfn.XLOOKUP($K133,'Sweetener Mix In Nutrition'!A:A,'Sweetener Mix In Nutrition'!E:E,0))</f>
        <v>0</v>
      </c>
      <c r="AE133" s="37">
        <f>(($R133 / 240) * _xlfn.XLOOKUP($D133,'Milk Types Nutrition Per Cup'!A:A,'Milk Types Nutrition Per Cup'!C:C,0)) +(($S133 / 240)  * _xlfn.XLOOKUP($E133,'Milk Types Nutrition Per Cup'!A:A,'Milk Types Nutrition Per Cup'!C:C,0)) +(($T133 / 15)  * _xlfn.XLOOKUP($F133,'Liquid Mix In Nutrition'!A:A,'Liquid Mix In Nutrition'!C:C,0))+(($U133 / 15)  * _xlfn.XLOOKUP($G133,'Liquid Mix In Nutrition'!A:A,'Liquid Mix In Nutrition'!C:C,0))+(($V133 / MAX(1, _xlfn.XLOOKUP($H133,'Solid Mix In Nutrition'!A:A,'Solid Mix In Nutrition'!I:I,1)))  * _xlfn.XLOOKUP($H133,'Solid Mix In Nutrition'!A:A,'Solid Mix In Nutrition'!C:C,0))+(($W133 / MAX(1, _xlfn.XLOOKUP($I133,'Solid Mix In Nutrition'!A:A,'Solid Mix In Nutrition'!I:I,1)))  * _xlfn.XLOOKUP($I133,'Solid Mix In Nutrition'!A:A,'Solid Mix In Nutrition'!C:C,0))+(($X133 / 100)  * _xlfn.XLOOKUP($J133,'Sweetener Mix In Nutrition'!A:A,'Sweetener Mix In Nutrition'!C:C,0))+(($Y133 / 100)  * _xlfn.XLOOKUP($K133,'Sweetener Mix In Nutrition'!A:A,'Sweetener Mix In Nutrition'!C:C,0))</f>
        <v>0</v>
      </c>
      <c r="AF133" s="38" t="e">
        <f>$AE133 / (_xlfn.XLOOKUP($L133,Specs!A:A,Specs!B:B,0))</f>
        <v>#DIV/0!</v>
      </c>
      <c r="AG133" s="37" t="e">
        <f>60* ($AB133 / _xlfn.XLOOKUP($L133,Specs!A:A,Specs!B:B,0))</f>
        <v>#DIV/0!</v>
      </c>
      <c r="AH133" s="37" t="e">
        <f>60* (AC133 / _xlfn.XLOOKUP($L133,Specs!$A:$A,Specs!$B:$B,0))</f>
        <v>#DIV/0!</v>
      </c>
      <c r="AI133" s="37" t="e">
        <f>60* (AE133 / _xlfn.XLOOKUP($L133,Specs!$A:$A,Specs!$B:$B,0))</f>
        <v>#DIV/0!</v>
      </c>
      <c r="AJ133" s="39">
        <f>(($R133 / 240) * _xlfn.XLOOKUP($D133,'Milk Types Nutrition Per Cup'!A:A,'Milk Types Nutrition Per Cup'!F:F,0)) +(($S133 / 240)  * _xlfn.XLOOKUP($E133,'Milk Types Nutrition Per Cup'!A:A,'Milk Types Nutrition Per Cup'!F:F,0)) +(($T133 / 15)  * _xlfn.XLOOKUP($F133,'Liquid Mix In Nutrition'!A:A,'Liquid Mix In Nutrition'!F:F,0))+(($U133 / 15)  * _xlfn.XLOOKUP($G133,'Liquid Mix In Nutrition'!A:A,'Liquid Mix In Nutrition'!F:F,0))+(($V133 / MAX(1, _xlfn.XLOOKUP($H133,'Solid Mix In Nutrition'!A:A,'Solid Mix In Nutrition'!I:I,1)))  * _xlfn.XLOOKUP($H133,'Solid Mix In Nutrition'!A:A,'Solid Mix In Nutrition'!F:F,0))+(($W133 / MAX(1, _xlfn.XLOOKUP($I133,'Solid Mix In Nutrition'!A:A,'Solid Mix In Nutrition'!I:I,1)))  * _xlfn.XLOOKUP($I133,'Solid Mix In Nutrition'!A:A,'Solid Mix In Nutrition'!F:F,0))+(($X133 / 100)  * _xlfn.XLOOKUP($J133,'Sweetener Mix In Nutrition'!A:A,'Sweetener Mix In Nutrition'!F:F,0))+(($Y133 / 100)  * _xlfn.XLOOKUP($K133,'Sweetener Mix In Nutrition'!A:A,'Sweetener Mix In Nutrition'!F:F,0))</f>
        <v>0</v>
      </c>
      <c r="AK133" s="46">
        <f>[2]Sheet1!AG133</f>
        <v>0</v>
      </c>
      <c r="AL133" s="47"/>
      <c r="AM133" s="40">
        <f>IF(ISERROR(((AL133/Specs!$L$3)*Specs!$L$2)*2),0,ROUNDUP((((AL133/Specs!$L$3)*Specs!$L$2)*2),0))</f>
        <v>0</v>
      </c>
      <c r="AN133" s="48">
        <f>ROUNDUP(((AJ133+Specs!$R$2+Specs!$S$2+_xlfn.XLOOKUP($L133,Specs!A:A,Specs!V:V,0))*Specs!$N$2)+AM133,0)</f>
        <v>1</v>
      </c>
      <c r="AO133" s="40">
        <f>ROUNDUP(((AJ133+Specs!$R$2+Specs!$S$2+_xlfn.XLOOKUP($L133,Specs!A:A,Specs!V:V,0))*Specs!$N$2),0)</f>
        <v>1</v>
      </c>
      <c r="AP133" s="30"/>
    </row>
    <row r="134" spans="1:42" x14ac:dyDescent="0.25">
      <c r="A134" s="41" t="str">
        <f>_xlfn.CONCAT(_xlfn.XLOOKUP("What's Your Name?",[1]Sheet1!$1:$1,[1]Sheet1!134:134)," | ",TEXT(_xlfn.XLOOKUP("Completion time",[1]Sheet1!$1:$1,[1]Sheet1!134:134),"dddd, mmm dd, yyyy hh:mm AM/PM"))</f>
        <v xml:space="preserve"> | Saturday, Jan 00, 1900 12:00 AM</v>
      </c>
      <c r="B134" s="76">
        <f>_xlfn.XLOOKUP("What's Your Email Address?",[1]Sheet1!$1:$1,[1]Sheet1!134:134)</f>
        <v>0</v>
      </c>
      <c r="C134" s="31">
        <f>IF(ISBLANK(_xlfn.XLOOKUP("Which Flavor? (Pint Price | Quart Price | Half Gallon Price) (NOTE: Prices may fluctuate based on market conditions)",[1]Sheet1!$1:$1,[1]Sheet1!134:134)),_xlfn.XLOOKUP("Name Your Ice Cream!",[1]Sheet1!$1:$1,[1]Sheet1!134:134),IF(ISNUMBER(FIND("(", _xlfn.XLOOKUP("Which Flavor? (Pint Price | Quart Price | Half Gallon Price) (NOTE: Prices may fluctuate based on market conditions)",[1]Sheet1!$1:$1,[1]Sheet1!134:134))), LEFT(_xlfn.XLOOKUP("Which Flavor? (Pint Price | Quart Price | Half Gallon Price) (NOTE: Prices may fluctuate based on market conditions)",[1]Sheet1!$1:$1,[1]Sheet1!134:134), FIND("(", _xlfn.XLOOKUP("Which Flavor? (Pint Price | Quart Price | Half Gallon Price) (NOTE: Prices may fluctuate based on market conditions)",[1]Sheet1!$1:$1,[1]Sheet1!134:134)) - 1), _xlfn.XLOOKUP("Which Flavor? (Pint Price | Quart Price | Half Gallon Price) (NOTE: Prices may fluctuate based on market conditions)",[1]Sheet1!$1:$1,[1]Sheet1!134:134)))</f>
        <v>0</v>
      </c>
      <c r="D134" s="31">
        <f>IF(COUNTIF('Premade Flavors'!$A:$A, $C134) &gt; 0,IF(ISBLANK(_xlfn.XLOOKUP("What Ice Cream Base Do You Want To Change It To?",[1]Sheet1!$1:$1,[1]Sheet1!134:134)),_xlfn.XLOOKUP($C134,'Premade Flavors'!$A:$A,'Premade Flavors'!B:B),_xlfn.XLOOKUP("What Ice Cream Base Do You Want To Change It To?",[1]Sheet1!$1:$1,[1]Sheet1!134:134)),_xlfn.XLOOKUP(_xlfn.XLOOKUP("What Kind Of Ice Cream Base Do You Want? ",[1]Sheet1!$1:$1,[1]Sheet1!134:134),'Milk Types Nutrition Per Cup'!O:O,'Milk Types Nutrition Per Cup'!P:P,""))</f>
        <v>0</v>
      </c>
      <c r="E134" s="31">
        <f>IF(COUNTIF('Premade Flavors'!$A:$A, $C134) &gt; 0,IF(ISBLANK(_xlfn.XLOOKUP("What Ice Cream Base Do You Want To Change It To?",[1]Sheet1!$1:$1,[1]Sheet1!134:134)),_xlfn.XLOOKUP($C134,'Premade Flavors'!$A:$A,'Premade Flavors'!C:C),_xlfn.XLOOKUP("What Ice Cream Base Do You Want To Change It To?",[1]Sheet1!$1:$1,[1]Sheet1!134:134)),_xlfn.XLOOKUP(_xlfn.XLOOKUP("What Kind Of Ice Cream Base Do You Want? ",[1]Sheet1!$1:$1,[1]Sheet1!134:134),'Milk Types Nutrition Per Cup'!$O:$O,'Milk Types Nutrition Per Cup'!$Q:$Q,""))</f>
        <v>0</v>
      </c>
      <c r="F134" s="31">
        <f>IF(COUNTIF('Premade Flavors'!$A:$A, $C134) &gt; 0,_xlfn.XLOOKUP($C134,'Premade Flavors'!$A:$A,'Premade Flavors'!E:E),_xlfn.XLOOKUP("What's The First Flavor You Want? ",[1]Sheet1!$1:$1,[1]Sheet1!134:134))</f>
        <v>0</v>
      </c>
      <c r="G134" s="31">
        <f>IF(COUNTIF('Premade Flavors'!$A:$A, $C134) &gt; 0,_xlfn.XLOOKUP($C134,'Premade Flavors'!$A:$A,'Premade Flavors'!F:F),_xlfn.XLOOKUP("What's the Second Flavor You Want?",[1]Sheet1!$1:$1,[1]Sheet1!134:134))</f>
        <v>0</v>
      </c>
      <c r="H134" s="31">
        <f>IF(COUNTIF('Premade Flavors'!$A:$A, $C134) &gt; 0,_xlfn.XLOOKUP($C134,'Premade Flavors'!$A:$A,'Premade Flavors'!G:G),_xlfn.XLOOKUP("What's The First Mix In That You Want? ",[1]Sheet1!$1:$1,[1]Sheet1!134:134))</f>
        <v>0</v>
      </c>
      <c r="I134" s="31">
        <f>IF(COUNTIF('Premade Flavors'!$A:$A, $C132) &gt; 0,_xlfn.XLOOKUP($C132,'Premade Flavors'!$A:$A,'Premade Flavors'!H:H),IF([2]Sheet1!W132= 0,,[2]Sheet1!W132))</f>
        <v>0</v>
      </c>
      <c r="J134" s="31">
        <f>IF(COUNTIF('Premade Flavors'!$A:$A,$C134)&gt;0,IF(_xlfn.XLOOKUP("Should It Use Sugar or A Non-Sugar Sweetner?",[1]Sheet1!$1:$1,[1]Sheet1!134:134)="Sugar",_xlfn.XLOOKUP($C134,'Premade Flavors'!$A:$A,'Premade Flavors'!I:I),"Stevia"),_xlfn.XLOOKUP("What Sweetner Do You Want?",[1]Sheet1!$1:$1,[1]Sheet1!134:134))</f>
        <v>0</v>
      </c>
      <c r="K134" s="31"/>
      <c r="L134" s="77">
        <f>_xlfn.XLOOKUP("How Much Ice Cream Do You Want?",[1]Sheet1!$1:$1,[1]Sheet1!134:134)</f>
        <v>0</v>
      </c>
      <c r="M134" s="45">
        <f>IF(COUNTIF('Premade Flavors'!$A:$A, $C134) &gt; 0,_xlfn.XLOOKUP($C134,'Premade Flavors'!$A:$A,'Premade Flavors'!M:M),_xlfn.XLOOKUP("How Strong Do You Want The First Flavor?",[1]Sheet1!$1:$1,[1]Sheet1!134:134))</f>
        <v>0</v>
      </c>
      <c r="N134" s="45">
        <f>IF(COUNTIF('Premade Flavors'!$A:$A, $C134) &gt; 0,_xlfn.XLOOKUP($C134,'Premade Flavors'!$A:$A,'Premade Flavors'!N:N),_xlfn.XLOOKUP("How Strong Do You Want The Second Flavor?",[1]Sheet1!$1:$1,[1]Sheet1!134:134))</f>
        <v>0</v>
      </c>
      <c r="O134" s="45">
        <f>IF(COUNTIF('Premade Flavors'!$A:$A, $C134) &gt; 0,_xlfn.XLOOKUP($C134,'Premade Flavors'!$A:$A,'Premade Flavors'!O:O),_xlfn.XLOOKUP("How Dense Should the Mix Ins Be?",[1]Sheet1!$1:$1,[1]Sheet1!134:134))</f>
        <v>0</v>
      </c>
      <c r="P134" s="45">
        <f>IF(COUNTIF('Premade Flavors'!$A:$A, $C134) &gt; 0,_xlfn.XLOOKUP($C134,'Premade Flavors'!$A:$A,'Premade Flavors'!P:P),_xlfn.XLOOKUP("How Much Of The First Sweetner? ",[1]Sheet1!$1:$1,[1]Sheet1!134:134))</f>
        <v>0</v>
      </c>
      <c r="Q134" s="45">
        <f>IF(COUNTIF('Premade Flavors'!$A:$A, $C134) &gt; 0,_xlfn.XLOOKUP($C134,'Premade Flavors'!$A:$A,'Premade Flavors'!Q:Q),[2]Sheet1!S134)</f>
        <v>0</v>
      </c>
      <c r="R134" s="30">
        <f>(_xlfn.XLOOKUP($L134,Specs!A:A,Specs!B:B,0)-(IF(_xlfn.XLOOKUP($F134,'Liquid Mix In Nutrition'!A:A,'Liquid Mix In Nutrition'!J:J,0)="Yes",0,$T134))-(IF(_xlfn.XLOOKUP($G134,'Liquid Mix In Nutrition'!A:A,'Liquid Mix In Nutrition'!J:J,0)="Yes",0,$U134))-(($V134/MAX(1,_xlfn.XLOOKUP($H134,'Solid Mix In Nutrition'!A:A,'Solid Mix In Nutrition'!I:I,1)))*240)-(($W134/MAX(1,_xlfn.XLOOKUP($I134,'Solid Mix In Nutrition'!A:A,'Solid Mix In Nutrition'!I:I,1)))*240))*0.66</f>
        <v>0</v>
      </c>
      <c r="S134" s="30">
        <f>(_xlfn.XLOOKUP($L134,Specs!A:A,Specs!B:B,0)-(IF(_xlfn.XLOOKUP($F134,'Liquid Mix In Nutrition'!A:A,'Liquid Mix In Nutrition'!J:J,0)="Yes",0,$T134))-(IF(_xlfn.XLOOKUP($G134,'Liquid Mix In Nutrition'!A:A,'Liquid Mix In Nutrition'!J:J,0)="Yes",0,$U134))-(($V134/MAX(1,_xlfn.XLOOKUP($H134,'Solid Mix In Nutrition'!A:A,'Solid Mix In Nutrition'!I:I,1)))*240)-(($W134/MAX(1,_xlfn.XLOOKUP($I134,'Solid Mix In Nutrition'!A:A,'Solid Mix In Nutrition'!I:I,1)))*240))*0.33</f>
        <v>0</v>
      </c>
      <c r="T134" s="30">
        <f>_xlfn.XLOOKUP($M134,Specs!$D:$D,Specs!$E:$E,0)*15*_xlfn.XLOOKUP($L134,Specs!$A:$A,Specs!$C:$C,0)</f>
        <v>0</v>
      </c>
      <c r="U134" s="30">
        <f>_xlfn.XLOOKUP($N134,Specs!$D:$D,Specs!$E:$E,0)*15*_xlfn.XLOOKUP($L134,Specs!$A:$A,Specs!$C:$C,0)</f>
        <v>0</v>
      </c>
      <c r="V134" s="30">
        <f>( ((_xlfn.XLOOKUP($O134,Specs!$H:$H,Specs!$I:$I,0)*_xlfn.XLOOKUP($L134,Specs!$A:$A,Specs!$B:$B,0))/240) *_xlfn.XLOOKUP($H134,'Solid Mix In Nutrition'!A:A,'Solid Mix In Nutrition'!I:I,0)) *IF(AND(NOT($I134=0), COUNTA($I134)),0.5,1)</f>
        <v>0</v>
      </c>
      <c r="W134" s="30">
        <f>( ((_xlfn.XLOOKUP($O134,Specs!$H:$H,Specs!$I:$I,0)*_xlfn.XLOOKUP($L134,Specs!$A:$A,Specs!$B:$B,0))/240) *_xlfn.XLOOKUP($I134,'Solid Mix In Nutrition'!A:A,'Solid Mix In Nutrition'!I:I,0)) *IF(AND(NOT($I134=0), COUNTA($I134)),0.5,0)</f>
        <v>0</v>
      </c>
      <c r="X134" s="30">
        <f>_xlfn.XLOOKUP($P134,Specs!F:F,Specs!G:G,0)*_xlfn.XLOOKUP($J134,'Sweetener Mix In Nutrition'!A:A,'Sweetener Mix In Nutrition'!I:I,0)*_xlfn.XLOOKUP($L134,Specs!A:A,Specs!C:C,0)</f>
        <v>0</v>
      </c>
      <c r="Y134" s="30">
        <f>_xlfn.XLOOKUP($Q134,Specs!F:F,Specs!G:G,0)*_xlfn.XLOOKUP($K134,'Sweetener Mix In Nutrition'!A:A,'Sweetener Mix In Nutrition'!I:I,0)*_xlfn.XLOOKUP($L134,Specs!A:A,Specs!C:C,0)</f>
        <v>0</v>
      </c>
      <c r="Z134" s="34">
        <f t="shared" si="4"/>
        <v>0</v>
      </c>
      <c r="AA134" s="35">
        <f t="shared" si="5"/>
        <v>0</v>
      </c>
      <c r="AB134" s="36">
        <f>(($R134 / 240) * _xlfn.XLOOKUP($D134,'Milk Types Nutrition Per Cup'!A:A,'Milk Types Nutrition Per Cup'!B:B,0)) +(($S134 / 240)  * _xlfn.XLOOKUP($E134,'Milk Types Nutrition Per Cup'!A:A,'Milk Types Nutrition Per Cup'!B:B,0)) +(($T134 / 15)  * _xlfn.XLOOKUP($F134,'Liquid Mix In Nutrition'!A:A,'Liquid Mix In Nutrition'!B:B,0))+(($U134 / 15)  * _xlfn.XLOOKUP($G134,'Liquid Mix In Nutrition'!A:A,'Liquid Mix In Nutrition'!B:B,0))+(($V134 /MAX(1, _xlfn.XLOOKUP($H134,'Solid Mix In Nutrition'!A:A,'Solid Mix In Nutrition'!I:I,1)))  * _xlfn.XLOOKUP($H134,'Solid Mix In Nutrition'!A:A,'Solid Mix In Nutrition'!B:B,0))+(($W134 / MAX(1, _xlfn.XLOOKUP($I134,'Solid Mix In Nutrition'!A:A,'Solid Mix In Nutrition'!I:I,1))))+(($X134 / 100)  * _xlfn.XLOOKUP($J134,'Sweetener Mix In Nutrition'!A:A,'Sweetener Mix In Nutrition'!B:B,0))+(($Y134 / 100)  * _xlfn.XLOOKUP($K134,'Sweetener Mix In Nutrition'!A:A,'Sweetener Mix In Nutrition'!B:B,0))</f>
        <v>0</v>
      </c>
      <c r="AC134" s="36">
        <f>(($R134 / 240) * _xlfn.XLOOKUP($D134,'Milk Types Nutrition Per Cup'!A:A,'Milk Types Nutrition Per Cup'!E:E,0)) +(($S134 / 240)  * _xlfn.XLOOKUP($E134,'Milk Types Nutrition Per Cup'!A:A,'Milk Types Nutrition Per Cup'!E:E,0)) +(($T134 / 15)  * _xlfn.XLOOKUP($F134,'Liquid Mix In Nutrition'!A:A,'Liquid Mix In Nutrition'!E:E,0)) +(($U134 / 15)  * _xlfn.XLOOKUP($G134,'Liquid Mix In Nutrition'!A:A,'Liquid Mix In Nutrition'!E:E,0))+(($V134 / MAX(1, _xlfn.XLOOKUP($H134,'Solid Mix In Nutrition'!A:A,'Solid Mix In Nutrition'!I:I,1)))  * _xlfn.XLOOKUP($H134,'Solid Mix In Nutrition'!A:A,'Solid Mix In Nutrition'!E:E,0))+(($W134 / MAX(1, _xlfn.XLOOKUP($I134,'Solid Mix In Nutrition'!A:A,'Solid Mix In Nutrition'!I:I,1)))  * _xlfn.XLOOKUP($I134,'Solid Mix In Nutrition'!A:A,'Solid Mix In Nutrition'!G:G,0))+(($X134 / 100)  * _xlfn.XLOOKUP($J134,'Sweetener Mix In Nutrition'!A:A,'Sweetener Mix In Nutrition'!E:E,0))+(($Y134 / 100)  * _xlfn.XLOOKUP($K134,'Sweetener Mix In Nutrition'!A:A,'Sweetener Mix In Nutrition'!E:E,0))</f>
        <v>0</v>
      </c>
      <c r="AD134" s="36">
        <f>(($R134 / 240) * _xlfn.XLOOKUP($D134,'Milk Types Nutrition Per Cup'!A:A,'Milk Types Nutrition Per Cup'!E:E,0)) +(($S134 / 240)  * _xlfn.XLOOKUP($E134,'Milk Types Nutrition Per Cup'!A:A,'Milk Types Nutrition Per Cup'!E:E,0)) +(($T134 / 15)  * _xlfn.XLOOKUP($F134,'Liquid Mix In Nutrition'!A:A,'Liquid Mix In Nutrition'!E:E,0)) +(($U134 / 15)  * _xlfn.XLOOKUP($G134,'Liquid Mix In Nutrition'!A:A,'Liquid Mix In Nutrition'!E:E,0))+(($X134 / 100)  * _xlfn.XLOOKUP($J134,'Sweetener Mix In Nutrition'!A:A,'Sweetener Mix In Nutrition'!E:E,0))+(($Y134 / 100)  * _xlfn.XLOOKUP($K134,'Sweetener Mix In Nutrition'!A:A,'Sweetener Mix In Nutrition'!E:E,0))</f>
        <v>0</v>
      </c>
      <c r="AE134" s="37">
        <f>(($R134 / 240) * _xlfn.XLOOKUP($D134,'Milk Types Nutrition Per Cup'!A:A,'Milk Types Nutrition Per Cup'!C:C,0)) +(($S134 / 240)  * _xlfn.XLOOKUP($E134,'Milk Types Nutrition Per Cup'!A:A,'Milk Types Nutrition Per Cup'!C:C,0)) +(($T134 / 15)  * _xlfn.XLOOKUP($F134,'Liquid Mix In Nutrition'!A:A,'Liquid Mix In Nutrition'!C:C,0))+(($U134 / 15)  * _xlfn.XLOOKUP($G134,'Liquid Mix In Nutrition'!A:A,'Liquid Mix In Nutrition'!C:C,0))+(($V134 / MAX(1, _xlfn.XLOOKUP($H134,'Solid Mix In Nutrition'!A:A,'Solid Mix In Nutrition'!I:I,1)))  * _xlfn.XLOOKUP($H134,'Solid Mix In Nutrition'!A:A,'Solid Mix In Nutrition'!C:C,0))+(($W134 / MAX(1, _xlfn.XLOOKUP($I134,'Solid Mix In Nutrition'!A:A,'Solid Mix In Nutrition'!I:I,1)))  * _xlfn.XLOOKUP($I134,'Solid Mix In Nutrition'!A:A,'Solid Mix In Nutrition'!C:C,0))+(($X134 / 100)  * _xlfn.XLOOKUP($J134,'Sweetener Mix In Nutrition'!A:A,'Sweetener Mix In Nutrition'!C:C,0))+(($Y134 / 100)  * _xlfn.XLOOKUP($K134,'Sweetener Mix In Nutrition'!A:A,'Sweetener Mix In Nutrition'!C:C,0))</f>
        <v>0</v>
      </c>
      <c r="AF134" s="38" t="e">
        <f>$AE134 / (_xlfn.XLOOKUP($L134,Specs!A:A,Specs!B:B,0))</f>
        <v>#DIV/0!</v>
      </c>
      <c r="AG134" s="37" t="e">
        <f>60* ($AB134 / _xlfn.XLOOKUP($L134,Specs!A:A,Specs!B:B,0))</f>
        <v>#DIV/0!</v>
      </c>
      <c r="AH134" s="37" t="e">
        <f>60* (AC134 / _xlfn.XLOOKUP($L134,Specs!$A:$A,Specs!$B:$B,0))</f>
        <v>#DIV/0!</v>
      </c>
      <c r="AI134" s="37" t="e">
        <f>60* (AE134 / _xlfn.XLOOKUP($L134,Specs!$A:$A,Specs!$B:$B,0))</f>
        <v>#DIV/0!</v>
      </c>
      <c r="AJ134" s="39">
        <f>(($R134 / 240) * _xlfn.XLOOKUP($D134,'Milk Types Nutrition Per Cup'!A:A,'Milk Types Nutrition Per Cup'!F:F,0)) +(($S134 / 240)  * _xlfn.XLOOKUP($E134,'Milk Types Nutrition Per Cup'!A:A,'Milk Types Nutrition Per Cup'!F:F,0)) +(($T134 / 15)  * _xlfn.XLOOKUP($F134,'Liquid Mix In Nutrition'!A:A,'Liquid Mix In Nutrition'!F:F,0))+(($U134 / 15)  * _xlfn.XLOOKUP($G134,'Liquid Mix In Nutrition'!A:A,'Liquid Mix In Nutrition'!F:F,0))+(($V134 / MAX(1, _xlfn.XLOOKUP($H134,'Solid Mix In Nutrition'!A:A,'Solid Mix In Nutrition'!I:I,1)))  * _xlfn.XLOOKUP($H134,'Solid Mix In Nutrition'!A:A,'Solid Mix In Nutrition'!F:F,0))+(($W134 / MAX(1, _xlfn.XLOOKUP($I134,'Solid Mix In Nutrition'!A:A,'Solid Mix In Nutrition'!I:I,1)))  * _xlfn.XLOOKUP($I134,'Solid Mix In Nutrition'!A:A,'Solid Mix In Nutrition'!F:F,0))+(($X134 / 100)  * _xlfn.XLOOKUP($J134,'Sweetener Mix In Nutrition'!A:A,'Sweetener Mix In Nutrition'!F:F,0))+(($Y134 / 100)  * _xlfn.XLOOKUP($K134,'Sweetener Mix In Nutrition'!A:A,'Sweetener Mix In Nutrition'!F:F,0))</f>
        <v>0</v>
      </c>
      <c r="AK134" s="46">
        <f>[2]Sheet1!AG134</f>
        <v>0</v>
      </c>
      <c r="AL134" s="47"/>
      <c r="AM134" s="40">
        <f>IF(ISERROR(((AL134/Specs!$L$3)*Specs!$L$2)*2),0,ROUNDUP((((AL134/Specs!$L$3)*Specs!$L$2)*2),0))</f>
        <v>0</v>
      </c>
      <c r="AN134" s="48">
        <f>ROUNDUP(((AJ134+Specs!$R$2+Specs!$S$2+_xlfn.XLOOKUP($L134,Specs!A:A,Specs!V:V,0))*Specs!$N$2)+AM134,0)</f>
        <v>1</v>
      </c>
      <c r="AO134" s="40">
        <f>ROUNDUP(((AJ134+Specs!$R$2+Specs!$S$2+_xlfn.XLOOKUP($L134,Specs!A:A,Specs!V:V,0))*Specs!$N$2),0)</f>
        <v>1</v>
      </c>
      <c r="AP134" s="30"/>
    </row>
    <row r="135" spans="1:42" x14ac:dyDescent="0.25">
      <c r="A135" s="41" t="str">
        <f>_xlfn.CONCAT(_xlfn.XLOOKUP("What's Your Name?",[1]Sheet1!$1:$1,[1]Sheet1!135:135)," | ",TEXT(_xlfn.XLOOKUP("Completion time",[1]Sheet1!$1:$1,[1]Sheet1!135:135),"dddd, mmm dd, yyyy hh:mm AM/PM"))</f>
        <v xml:space="preserve"> | Saturday, Jan 00, 1900 12:00 AM</v>
      </c>
      <c r="B135" s="76">
        <f>_xlfn.XLOOKUP("What's Your Email Address?",[1]Sheet1!$1:$1,[1]Sheet1!135:135)</f>
        <v>0</v>
      </c>
      <c r="C135" s="31">
        <f>IF(ISBLANK(_xlfn.XLOOKUP("Which Flavor? (Pint Price | Quart Price | Half Gallon Price) (NOTE: Prices may fluctuate based on market conditions)",[1]Sheet1!$1:$1,[1]Sheet1!135:135)),_xlfn.XLOOKUP("Name Your Ice Cream!",[1]Sheet1!$1:$1,[1]Sheet1!135:135),IF(ISNUMBER(FIND("(", _xlfn.XLOOKUP("Which Flavor? (Pint Price | Quart Price | Half Gallon Price) (NOTE: Prices may fluctuate based on market conditions)",[1]Sheet1!$1:$1,[1]Sheet1!135:135))), LEFT(_xlfn.XLOOKUP("Which Flavor? (Pint Price | Quart Price | Half Gallon Price) (NOTE: Prices may fluctuate based on market conditions)",[1]Sheet1!$1:$1,[1]Sheet1!135:135), FIND("(", _xlfn.XLOOKUP("Which Flavor? (Pint Price | Quart Price | Half Gallon Price) (NOTE: Prices may fluctuate based on market conditions)",[1]Sheet1!$1:$1,[1]Sheet1!135:135)) - 1), _xlfn.XLOOKUP("Which Flavor? (Pint Price | Quart Price | Half Gallon Price) (NOTE: Prices may fluctuate based on market conditions)",[1]Sheet1!$1:$1,[1]Sheet1!135:135)))</f>
        <v>0</v>
      </c>
      <c r="D135" s="31">
        <f>IF(COUNTIF('Premade Flavors'!$A:$A, $C135) &gt; 0,IF(ISBLANK(_xlfn.XLOOKUP("What Ice Cream Base Do You Want To Change It To?",[1]Sheet1!$1:$1,[1]Sheet1!135:135)),_xlfn.XLOOKUP($C135,'Premade Flavors'!$A:$A,'Premade Flavors'!B:B),_xlfn.XLOOKUP("What Ice Cream Base Do You Want To Change It To?",[1]Sheet1!$1:$1,[1]Sheet1!135:135)),_xlfn.XLOOKUP(_xlfn.XLOOKUP("What Kind Of Ice Cream Base Do You Want? ",[1]Sheet1!$1:$1,[1]Sheet1!135:135),'Milk Types Nutrition Per Cup'!O:O,'Milk Types Nutrition Per Cup'!P:P,""))</f>
        <v>0</v>
      </c>
      <c r="E135" s="31">
        <f>IF(COUNTIF('Premade Flavors'!$A:$A, $C135) &gt; 0,IF(ISBLANK(_xlfn.XLOOKUP("What Ice Cream Base Do You Want To Change It To?",[1]Sheet1!$1:$1,[1]Sheet1!135:135)),_xlfn.XLOOKUP($C135,'Premade Flavors'!$A:$A,'Premade Flavors'!C:C),_xlfn.XLOOKUP("What Ice Cream Base Do You Want To Change It To?",[1]Sheet1!$1:$1,[1]Sheet1!135:135)),_xlfn.XLOOKUP(_xlfn.XLOOKUP("What Kind Of Ice Cream Base Do You Want? ",[1]Sheet1!$1:$1,[1]Sheet1!135:135),'Milk Types Nutrition Per Cup'!$O:$O,'Milk Types Nutrition Per Cup'!$Q:$Q,""))</f>
        <v>0</v>
      </c>
      <c r="F135" s="31">
        <f>IF(COUNTIF('Premade Flavors'!$A:$A, $C135) &gt; 0,_xlfn.XLOOKUP($C135,'Premade Flavors'!$A:$A,'Premade Flavors'!E:E),_xlfn.XLOOKUP("What's The First Flavor You Want? ",[1]Sheet1!$1:$1,[1]Sheet1!135:135))</f>
        <v>0</v>
      </c>
      <c r="G135" s="31">
        <f>IF(COUNTIF('Premade Flavors'!$A:$A, $C135) &gt; 0,_xlfn.XLOOKUP($C135,'Premade Flavors'!$A:$A,'Premade Flavors'!F:F),_xlfn.XLOOKUP("What's the Second Flavor You Want?",[1]Sheet1!$1:$1,[1]Sheet1!135:135))</f>
        <v>0</v>
      </c>
      <c r="H135" s="31">
        <f>IF(COUNTIF('Premade Flavors'!$A:$A, $C135) &gt; 0,_xlfn.XLOOKUP($C135,'Premade Flavors'!$A:$A,'Premade Flavors'!G:G),_xlfn.XLOOKUP("What's The First Mix In That You Want? ",[1]Sheet1!$1:$1,[1]Sheet1!135:135))</f>
        <v>0</v>
      </c>
      <c r="I135" s="31">
        <f>IF(COUNTIF('Premade Flavors'!$A:$A, $C133) &gt; 0,_xlfn.XLOOKUP($C133,'Premade Flavors'!$A:$A,'Premade Flavors'!H:H),IF([2]Sheet1!W133= 0,,[2]Sheet1!W133))</f>
        <v>0</v>
      </c>
      <c r="J135" s="31">
        <f>IF(COUNTIF('Premade Flavors'!$A:$A,$C135)&gt;0,IF(_xlfn.XLOOKUP("Should It Use Sugar or A Non-Sugar Sweetner?",[1]Sheet1!$1:$1,[1]Sheet1!135:135)="Sugar",_xlfn.XLOOKUP($C135,'Premade Flavors'!$A:$A,'Premade Flavors'!I:I),"Stevia"),_xlfn.XLOOKUP("What Sweetner Do You Want?",[1]Sheet1!$1:$1,[1]Sheet1!135:135))</f>
        <v>0</v>
      </c>
      <c r="K135" s="31"/>
      <c r="L135" s="77">
        <f>_xlfn.XLOOKUP("How Much Ice Cream Do You Want?",[1]Sheet1!$1:$1,[1]Sheet1!135:135)</f>
        <v>0</v>
      </c>
      <c r="M135" s="45">
        <f>IF(COUNTIF('Premade Flavors'!$A:$A, $C135) &gt; 0,_xlfn.XLOOKUP($C135,'Premade Flavors'!$A:$A,'Premade Flavors'!M:M),_xlfn.XLOOKUP("How Strong Do You Want The First Flavor?",[1]Sheet1!$1:$1,[1]Sheet1!135:135))</f>
        <v>0</v>
      </c>
      <c r="N135" s="45">
        <f>IF(COUNTIF('Premade Flavors'!$A:$A, $C135) &gt; 0,_xlfn.XLOOKUP($C135,'Premade Flavors'!$A:$A,'Premade Flavors'!N:N),_xlfn.XLOOKUP("How Strong Do You Want The Second Flavor?",[1]Sheet1!$1:$1,[1]Sheet1!135:135))</f>
        <v>0</v>
      </c>
      <c r="O135" s="45">
        <f>IF(COUNTIF('Premade Flavors'!$A:$A, $C135) &gt; 0,_xlfn.XLOOKUP($C135,'Premade Flavors'!$A:$A,'Premade Flavors'!O:O),_xlfn.XLOOKUP("How Dense Should the Mix Ins Be?",[1]Sheet1!$1:$1,[1]Sheet1!135:135))</f>
        <v>0</v>
      </c>
      <c r="P135" s="45">
        <f>IF(COUNTIF('Premade Flavors'!$A:$A, $C135) &gt; 0,_xlfn.XLOOKUP($C135,'Premade Flavors'!$A:$A,'Premade Flavors'!P:P),_xlfn.XLOOKUP("How Much Of The First Sweetner? ",[1]Sheet1!$1:$1,[1]Sheet1!135:135))</f>
        <v>0</v>
      </c>
      <c r="Q135" s="45">
        <f>IF(COUNTIF('Premade Flavors'!$A:$A, $C135) &gt; 0,_xlfn.XLOOKUP($C135,'Premade Flavors'!$A:$A,'Premade Flavors'!Q:Q),[2]Sheet1!S135)</f>
        <v>0</v>
      </c>
      <c r="R135" s="30">
        <f>(_xlfn.XLOOKUP($L135,Specs!A:A,Specs!B:B,0)-(IF(_xlfn.XLOOKUP($F135,'Liquid Mix In Nutrition'!A:A,'Liquid Mix In Nutrition'!J:J,0)="Yes",0,$T135))-(IF(_xlfn.XLOOKUP($G135,'Liquid Mix In Nutrition'!A:A,'Liquid Mix In Nutrition'!J:J,0)="Yes",0,$U135))-(($V135/MAX(1,_xlfn.XLOOKUP($H135,'Solid Mix In Nutrition'!A:A,'Solid Mix In Nutrition'!I:I,1)))*240)-(($W135/MAX(1,_xlfn.XLOOKUP($I135,'Solid Mix In Nutrition'!A:A,'Solid Mix In Nutrition'!I:I,1)))*240))*0.66</f>
        <v>0</v>
      </c>
      <c r="S135" s="30">
        <f>(_xlfn.XLOOKUP($L135,Specs!A:A,Specs!B:B,0)-(IF(_xlfn.XLOOKUP($F135,'Liquid Mix In Nutrition'!A:A,'Liquid Mix In Nutrition'!J:J,0)="Yes",0,$T135))-(IF(_xlfn.XLOOKUP($G135,'Liquid Mix In Nutrition'!A:A,'Liquid Mix In Nutrition'!J:J,0)="Yes",0,$U135))-(($V135/MAX(1,_xlfn.XLOOKUP($H135,'Solid Mix In Nutrition'!A:A,'Solid Mix In Nutrition'!I:I,1)))*240)-(($W135/MAX(1,_xlfn.XLOOKUP($I135,'Solid Mix In Nutrition'!A:A,'Solid Mix In Nutrition'!I:I,1)))*240))*0.33</f>
        <v>0</v>
      </c>
      <c r="T135" s="30">
        <f>_xlfn.XLOOKUP($M135,Specs!$D:$D,Specs!$E:$E,0)*15*_xlfn.XLOOKUP($L135,Specs!$A:$A,Specs!$C:$C,0)</f>
        <v>0</v>
      </c>
      <c r="U135" s="30">
        <f>_xlfn.XLOOKUP($N135,Specs!$D:$D,Specs!$E:$E,0)*15*_xlfn.XLOOKUP($L135,Specs!$A:$A,Specs!$C:$C,0)</f>
        <v>0</v>
      </c>
      <c r="V135" s="30">
        <f>( ((_xlfn.XLOOKUP($O135,Specs!$H:$H,Specs!$I:$I,0)*_xlfn.XLOOKUP($L135,Specs!$A:$A,Specs!$B:$B,0))/240) *_xlfn.XLOOKUP($H135,'Solid Mix In Nutrition'!A:A,'Solid Mix In Nutrition'!I:I,0)) *IF(AND(NOT($I135=0), COUNTA($I135)),0.5,1)</f>
        <v>0</v>
      </c>
      <c r="W135" s="30">
        <f>( ((_xlfn.XLOOKUP($O135,Specs!$H:$H,Specs!$I:$I,0)*_xlfn.XLOOKUP($L135,Specs!$A:$A,Specs!$B:$B,0))/240) *_xlfn.XLOOKUP($I135,'Solid Mix In Nutrition'!A:A,'Solid Mix In Nutrition'!I:I,0)) *IF(AND(NOT($I135=0), COUNTA($I135)),0.5,0)</f>
        <v>0</v>
      </c>
      <c r="X135" s="30">
        <f>_xlfn.XLOOKUP($P135,Specs!F:F,Specs!G:G,0)*_xlfn.XLOOKUP($J135,'Sweetener Mix In Nutrition'!A:A,'Sweetener Mix In Nutrition'!I:I,0)*_xlfn.XLOOKUP($L135,Specs!A:A,Specs!C:C,0)</f>
        <v>0</v>
      </c>
      <c r="Y135" s="30">
        <f>_xlfn.XLOOKUP($Q135,Specs!F:F,Specs!G:G,0)*_xlfn.XLOOKUP($K135,'Sweetener Mix In Nutrition'!A:A,'Sweetener Mix In Nutrition'!I:I,0)*_xlfn.XLOOKUP($L135,Specs!A:A,Specs!C:C,0)</f>
        <v>0</v>
      </c>
      <c r="Z135" s="34">
        <f t="shared" si="4"/>
        <v>0</v>
      </c>
      <c r="AA135" s="35">
        <f t="shared" si="5"/>
        <v>0</v>
      </c>
      <c r="AB135" s="36">
        <f>(($R135 / 240) * _xlfn.XLOOKUP($D135,'Milk Types Nutrition Per Cup'!A:A,'Milk Types Nutrition Per Cup'!B:B,0)) +(($S135 / 240)  * _xlfn.XLOOKUP($E135,'Milk Types Nutrition Per Cup'!A:A,'Milk Types Nutrition Per Cup'!B:B,0)) +(($T135 / 15)  * _xlfn.XLOOKUP($F135,'Liquid Mix In Nutrition'!A:A,'Liquid Mix In Nutrition'!B:B,0))+(($U135 / 15)  * _xlfn.XLOOKUP($G135,'Liquid Mix In Nutrition'!A:A,'Liquid Mix In Nutrition'!B:B,0))+(($V135 /MAX(1, _xlfn.XLOOKUP($H135,'Solid Mix In Nutrition'!A:A,'Solid Mix In Nutrition'!I:I,1)))  * _xlfn.XLOOKUP($H135,'Solid Mix In Nutrition'!A:A,'Solid Mix In Nutrition'!B:B,0))+(($W135 / MAX(1, _xlfn.XLOOKUP($I135,'Solid Mix In Nutrition'!A:A,'Solid Mix In Nutrition'!I:I,1))))+(($X135 / 100)  * _xlfn.XLOOKUP($J135,'Sweetener Mix In Nutrition'!A:A,'Sweetener Mix In Nutrition'!B:B,0))+(($Y135 / 100)  * _xlfn.XLOOKUP($K135,'Sweetener Mix In Nutrition'!A:A,'Sweetener Mix In Nutrition'!B:B,0))</f>
        <v>0</v>
      </c>
      <c r="AC135" s="36">
        <f>(($R135 / 240) * _xlfn.XLOOKUP($D135,'Milk Types Nutrition Per Cup'!A:A,'Milk Types Nutrition Per Cup'!E:E,0)) +(($S135 / 240)  * _xlfn.XLOOKUP($E135,'Milk Types Nutrition Per Cup'!A:A,'Milk Types Nutrition Per Cup'!E:E,0)) +(($T135 / 15)  * _xlfn.XLOOKUP($F135,'Liquid Mix In Nutrition'!A:A,'Liquid Mix In Nutrition'!E:E,0)) +(($U135 / 15)  * _xlfn.XLOOKUP($G135,'Liquid Mix In Nutrition'!A:A,'Liquid Mix In Nutrition'!E:E,0))+(($V135 / MAX(1, _xlfn.XLOOKUP($H135,'Solid Mix In Nutrition'!A:A,'Solid Mix In Nutrition'!I:I,1)))  * _xlfn.XLOOKUP($H135,'Solid Mix In Nutrition'!A:A,'Solid Mix In Nutrition'!E:E,0))+(($W135 / MAX(1, _xlfn.XLOOKUP($I135,'Solid Mix In Nutrition'!A:A,'Solid Mix In Nutrition'!I:I,1)))  * _xlfn.XLOOKUP($I135,'Solid Mix In Nutrition'!A:A,'Solid Mix In Nutrition'!G:G,0))+(($X135 / 100)  * _xlfn.XLOOKUP($J135,'Sweetener Mix In Nutrition'!A:A,'Sweetener Mix In Nutrition'!E:E,0))+(($Y135 / 100)  * _xlfn.XLOOKUP($K135,'Sweetener Mix In Nutrition'!A:A,'Sweetener Mix In Nutrition'!E:E,0))</f>
        <v>0</v>
      </c>
      <c r="AD135" s="36">
        <f>(($R135 / 240) * _xlfn.XLOOKUP($D135,'Milk Types Nutrition Per Cup'!A:A,'Milk Types Nutrition Per Cup'!E:E,0)) +(($S135 / 240)  * _xlfn.XLOOKUP($E135,'Milk Types Nutrition Per Cup'!A:A,'Milk Types Nutrition Per Cup'!E:E,0)) +(($T135 / 15)  * _xlfn.XLOOKUP($F135,'Liquid Mix In Nutrition'!A:A,'Liquid Mix In Nutrition'!E:E,0)) +(($U135 / 15)  * _xlfn.XLOOKUP($G135,'Liquid Mix In Nutrition'!A:A,'Liquid Mix In Nutrition'!E:E,0))+(($X135 / 100)  * _xlfn.XLOOKUP($J135,'Sweetener Mix In Nutrition'!A:A,'Sweetener Mix In Nutrition'!E:E,0))+(($Y135 / 100)  * _xlfn.XLOOKUP($K135,'Sweetener Mix In Nutrition'!A:A,'Sweetener Mix In Nutrition'!E:E,0))</f>
        <v>0</v>
      </c>
      <c r="AE135" s="37">
        <f>(($R135 / 240) * _xlfn.XLOOKUP($D135,'Milk Types Nutrition Per Cup'!A:A,'Milk Types Nutrition Per Cup'!C:C,0)) +(($S135 / 240)  * _xlfn.XLOOKUP($E135,'Milk Types Nutrition Per Cup'!A:A,'Milk Types Nutrition Per Cup'!C:C,0)) +(($T135 / 15)  * _xlfn.XLOOKUP($F135,'Liquid Mix In Nutrition'!A:A,'Liquid Mix In Nutrition'!C:C,0))+(($U135 / 15)  * _xlfn.XLOOKUP($G135,'Liquid Mix In Nutrition'!A:A,'Liquid Mix In Nutrition'!C:C,0))+(($V135 / MAX(1, _xlfn.XLOOKUP($H135,'Solid Mix In Nutrition'!A:A,'Solid Mix In Nutrition'!I:I,1)))  * _xlfn.XLOOKUP($H135,'Solid Mix In Nutrition'!A:A,'Solid Mix In Nutrition'!C:C,0))+(($W135 / MAX(1, _xlfn.XLOOKUP($I135,'Solid Mix In Nutrition'!A:A,'Solid Mix In Nutrition'!I:I,1)))  * _xlfn.XLOOKUP($I135,'Solid Mix In Nutrition'!A:A,'Solid Mix In Nutrition'!C:C,0))+(($X135 / 100)  * _xlfn.XLOOKUP($J135,'Sweetener Mix In Nutrition'!A:A,'Sweetener Mix In Nutrition'!C:C,0))+(($Y135 / 100)  * _xlfn.XLOOKUP($K135,'Sweetener Mix In Nutrition'!A:A,'Sweetener Mix In Nutrition'!C:C,0))</f>
        <v>0</v>
      </c>
      <c r="AF135" s="38" t="e">
        <f>$AE135 / (_xlfn.XLOOKUP($L135,Specs!A:A,Specs!B:B,0))</f>
        <v>#DIV/0!</v>
      </c>
      <c r="AG135" s="37" t="e">
        <f>60* ($AB135 / _xlfn.XLOOKUP($L135,Specs!A:A,Specs!B:B,0))</f>
        <v>#DIV/0!</v>
      </c>
      <c r="AH135" s="37" t="e">
        <f>60* (AC135 / _xlfn.XLOOKUP($L135,Specs!$A:$A,Specs!$B:$B,0))</f>
        <v>#DIV/0!</v>
      </c>
      <c r="AI135" s="37" t="e">
        <f>60* (AE135 / _xlfn.XLOOKUP($L135,Specs!$A:$A,Specs!$B:$B,0))</f>
        <v>#DIV/0!</v>
      </c>
      <c r="AJ135" s="39">
        <f>(($R135 / 240) * _xlfn.XLOOKUP($D135,'Milk Types Nutrition Per Cup'!A:A,'Milk Types Nutrition Per Cup'!F:F,0)) +(($S135 / 240)  * _xlfn.XLOOKUP($E135,'Milk Types Nutrition Per Cup'!A:A,'Milk Types Nutrition Per Cup'!F:F,0)) +(($T135 / 15)  * _xlfn.XLOOKUP($F135,'Liquid Mix In Nutrition'!A:A,'Liquid Mix In Nutrition'!F:F,0))+(($U135 / 15)  * _xlfn.XLOOKUP($G135,'Liquid Mix In Nutrition'!A:A,'Liquid Mix In Nutrition'!F:F,0))+(($V135 / MAX(1, _xlfn.XLOOKUP($H135,'Solid Mix In Nutrition'!A:A,'Solid Mix In Nutrition'!I:I,1)))  * _xlfn.XLOOKUP($H135,'Solid Mix In Nutrition'!A:A,'Solid Mix In Nutrition'!F:F,0))+(($W135 / MAX(1, _xlfn.XLOOKUP($I135,'Solid Mix In Nutrition'!A:A,'Solid Mix In Nutrition'!I:I,1)))  * _xlfn.XLOOKUP($I135,'Solid Mix In Nutrition'!A:A,'Solid Mix In Nutrition'!F:F,0))+(($X135 / 100)  * _xlfn.XLOOKUP($J135,'Sweetener Mix In Nutrition'!A:A,'Sweetener Mix In Nutrition'!F:F,0))+(($Y135 / 100)  * _xlfn.XLOOKUP($K135,'Sweetener Mix In Nutrition'!A:A,'Sweetener Mix In Nutrition'!F:F,0))</f>
        <v>0</v>
      </c>
      <c r="AK135" s="46">
        <f>[2]Sheet1!AG135</f>
        <v>0</v>
      </c>
      <c r="AL135" s="47"/>
      <c r="AM135" s="40">
        <f>IF(ISERROR(((AL135/Specs!$L$3)*Specs!$L$2)*2),0,ROUNDUP((((AL135/Specs!$L$3)*Specs!$L$2)*2),0))</f>
        <v>0</v>
      </c>
      <c r="AN135" s="48">
        <f>ROUNDUP(((AJ135+Specs!$R$2+Specs!$S$2+_xlfn.XLOOKUP($L135,Specs!A:A,Specs!V:V,0))*Specs!$N$2)+AM135,0)</f>
        <v>1</v>
      </c>
      <c r="AO135" s="40">
        <f>ROUNDUP(((AJ135+Specs!$R$2+Specs!$S$2+_xlfn.XLOOKUP($L135,Specs!A:A,Specs!V:V,0))*Specs!$N$2),0)</f>
        <v>1</v>
      </c>
      <c r="AP135" s="30"/>
    </row>
    <row r="136" spans="1:42" x14ac:dyDescent="0.25">
      <c r="A136" s="41" t="str">
        <f>_xlfn.CONCAT(_xlfn.XLOOKUP("What's Your Name?",[1]Sheet1!$1:$1,[1]Sheet1!136:136)," | ",TEXT(_xlfn.XLOOKUP("Completion time",[1]Sheet1!$1:$1,[1]Sheet1!136:136),"dddd, mmm dd, yyyy hh:mm AM/PM"))</f>
        <v xml:space="preserve"> | Saturday, Jan 00, 1900 12:00 AM</v>
      </c>
      <c r="B136" s="76">
        <f>_xlfn.XLOOKUP("What's Your Email Address?",[1]Sheet1!$1:$1,[1]Sheet1!136:136)</f>
        <v>0</v>
      </c>
      <c r="C136" s="31">
        <f>IF(ISBLANK(_xlfn.XLOOKUP("Which Flavor? (Pint Price | Quart Price | Half Gallon Price) (NOTE: Prices may fluctuate based on market conditions)",[1]Sheet1!$1:$1,[1]Sheet1!136:136)),_xlfn.XLOOKUP("Name Your Ice Cream!",[1]Sheet1!$1:$1,[1]Sheet1!136:136),IF(ISNUMBER(FIND("(", _xlfn.XLOOKUP("Which Flavor? (Pint Price | Quart Price | Half Gallon Price) (NOTE: Prices may fluctuate based on market conditions)",[1]Sheet1!$1:$1,[1]Sheet1!136:136))), LEFT(_xlfn.XLOOKUP("Which Flavor? (Pint Price | Quart Price | Half Gallon Price) (NOTE: Prices may fluctuate based on market conditions)",[1]Sheet1!$1:$1,[1]Sheet1!136:136), FIND("(", _xlfn.XLOOKUP("Which Flavor? (Pint Price | Quart Price | Half Gallon Price) (NOTE: Prices may fluctuate based on market conditions)",[1]Sheet1!$1:$1,[1]Sheet1!136:136)) - 1), _xlfn.XLOOKUP("Which Flavor? (Pint Price | Quart Price | Half Gallon Price) (NOTE: Prices may fluctuate based on market conditions)",[1]Sheet1!$1:$1,[1]Sheet1!136:136)))</f>
        <v>0</v>
      </c>
      <c r="D136" s="31">
        <f>IF(COUNTIF('Premade Flavors'!$A:$A, $C136) &gt; 0,IF(ISBLANK(_xlfn.XLOOKUP("What Ice Cream Base Do You Want To Change It To?",[1]Sheet1!$1:$1,[1]Sheet1!136:136)),_xlfn.XLOOKUP($C136,'Premade Flavors'!$A:$A,'Premade Flavors'!B:B),_xlfn.XLOOKUP("What Ice Cream Base Do You Want To Change It To?",[1]Sheet1!$1:$1,[1]Sheet1!136:136)),_xlfn.XLOOKUP(_xlfn.XLOOKUP("What Kind Of Ice Cream Base Do You Want? ",[1]Sheet1!$1:$1,[1]Sheet1!136:136),'Milk Types Nutrition Per Cup'!O:O,'Milk Types Nutrition Per Cup'!P:P,""))</f>
        <v>0</v>
      </c>
      <c r="E136" s="31">
        <f>IF(COUNTIF('Premade Flavors'!$A:$A, $C136) &gt; 0,IF(ISBLANK(_xlfn.XLOOKUP("What Ice Cream Base Do You Want To Change It To?",[1]Sheet1!$1:$1,[1]Sheet1!136:136)),_xlfn.XLOOKUP($C136,'Premade Flavors'!$A:$A,'Premade Flavors'!C:C),_xlfn.XLOOKUP("What Ice Cream Base Do You Want To Change It To?",[1]Sheet1!$1:$1,[1]Sheet1!136:136)),_xlfn.XLOOKUP(_xlfn.XLOOKUP("What Kind Of Ice Cream Base Do You Want? ",[1]Sheet1!$1:$1,[1]Sheet1!136:136),'Milk Types Nutrition Per Cup'!$O:$O,'Milk Types Nutrition Per Cup'!$Q:$Q,""))</f>
        <v>0</v>
      </c>
      <c r="F136" s="31">
        <f>IF(COUNTIF('Premade Flavors'!$A:$A, $C136) &gt; 0,_xlfn.XLOOKUP($C136,'Premade Flavors'!$A:$A,'Premade Flavors'!E:E),_xlfn.XLOOKUP("What's The First Flavor You Want? ",[1]Sheet1!$1:$1,[1]Sheet1!136:136))</f>
        <v>0</v>
      </c>
      <c r="G136" s="31">
        <f>IF(COUNTIF('Premade Flavors'!$A:$A, $C136) &gt; 0,_xlfn.XLOOKUP($C136,'Premade Flavors'!$A:$A,'Premade Flavors'!F:F),_xlfn.XLOOKUP("What's the Second Flavor You Want?",[1]Sheet1!$1:$1,[1]Sheet1!136:136))</f>
        <v>0</v>
      </c>
      <c r="H136" s="31">
        <f>IF(COUNTIF('Premade Flavors'!$A:$A, $C136) &gt; 0,_xlfn.XLOOKUP($C136,'Premade Flavors'!$A:$A,'Premade Flavors'!G:G),_xlfn.XLOOKUP("What's The First Mix In That You Want? ",[1]Sheet1!$1:$1,[1]Sheet1!136:136))</f>
        <v>0</v>
      </c>
      <c r="I136" s="31">
        <f>IF(COUNTIF('Premade Flavors'!$A:$A, $C134) &gt; 0,_xlfn.XLOOKUP($C134,'Premade Flavors'!$A:$A,'Premade Flavors'!H:H),IF([2]Sheet1!W134= 0,,[2]Sheet1!W134))</f>
        <v>0</v>
      </c>
      <c r="J136" s="31">
        <f>IF(COUNTIF('Premade Flavors'!$A:$A,$C136)&gt;0,IF(_xlfn.XLOOKUP("Should It Use Sugar or A Non-Sugar Sweetner?",[1]Sheet1!$1:$1,[1]Sheet1!136:136)="Sugar",_xlfn.XLOOKUP($C136,'Premade Flavors'!$A:$A,'Premade Flavors'!I:I),"Stevia"),_xlfn.XLOOKUP("What Sweetner Do You Want?",[1]Sheet1!$1:$1,[1]Sheet1!136:136))</f>
        <v>0</v>
      </c>
      <c r="K136" s="31"/>
      <c r="L136" s="77">
        <f>_xlfn.XLOOKUP("How Much Ice Cream Do You Want?",[1]Sheet1!$1:$1,[1]Sheet1!136:136)</f>
        <v>0</v>
      </c>
      <c r="M136" s="45">
        <f>IF(COUNTIF('Premade Flavors'!$A:$A, $C136) &gt; 0,_xlfn.XLOOKUP($C136,'Premade Flavors'!$A:$A,'Premade Flavors'!M:M),_xlfn.XLOOKUP("How Strong Do You Want The First Flavor?",[1]Sheet1!$1:$1,[1]Sheet1!136:136))</f>
        <v>0</v>
      </c>
      <c r="N136" s="45">
        <f>IF(COUNTIF('Premade Flavors'!$A:$A, $C136) &gt; 0,_xlfn.XLOOKUP($C136,'Premade Flavors'!$A:$A,'Premade Flavors'!N:N),_xlfn.XLOOKUP("How Strong Do You Want The Second Flavor?",[1]Sheet1!$1:$1,[1]Sheet1!136:136))</f>
        <v>0</v>
      </c>
      <c r="O136" s="45">
        <f>IF(COUNTIF('Premade Flavors'!$A:$A, $C136) &gt; 0,_xlfn.XLOOKUP($C136,'Premade Flavors'!$A:$A,'Premade Flavors'!O:O),_xlfn.XLOOKUP("How Dense Should the Mix Ins Be?",[1]Sheet1!$1:$1,[1]Sheet1!136:136))</f>
        <v>0</v>
      </c>
      <c r="P136" s="45">
        <f>IF(COUNTIF('Premade Flavors'!$A:$A, $C136) &gt; 0,_xlfn.XLOOKUP($C136,'Premade Flavors'!$A:$A,'Premade Flavors'!P:P),_xlfn.XLOOKUP("How Much Of The First Sweetner? ",[1]Sheet1!$1:$1,[1]Sheet1!136:136))</f>
        <v>0</v>
      </c>
      <c r="Q136" s="45">
        <f>IF(COUNTIF('Premade Flavors'!$A:$A, $C136) &gt; 0,_xlfn.XLOOKUP($C136,'Premade Flavors'!$A:$A,'Premade Flavors'!Q:Q),[2]Sheet1!S136)</f>
        <v>0</v>
      </c>
      <c r="R136" s="30">
        <f>(_xlfn.XLOOKUP($L136,Specs!A:A,Specs!B:B,0)-(IF(_xlfn.XLOOKUP($F136,'Liquid Mix In Nutrition'!A:A,'Liquid Mix In Nutrition'!J:J,0)="Yes",0,$T136))-(IF(_xlfn.XLOOKUP($G136,'Liquid Mix In Nutrition'!A:A,'Liquid Mix In Nutrition'!J:J,0)="Yes",0,$U136))-(($V136/MAX(1,_xlfn.XLOOKUP($H136,'Solid Mix In Nutrition'!A:A,'Solid Mix In Nutrition'!I:I,1)))*240)-(($W136/MAX(1,_xlfn.XLOOKUP($I136,'Solid Mix In Nutrition'!A:A,'Solid Mix In Nutrition'!I:I,1)))*240))*0.66</f>
        <v>0</v>
      </c>
      <c r="S136" s="30">
        <f>(_xlfn.XLOOKUP($L136,Specs!A:A,Specs!B:B,0)-(IF(_xlfn.XLOOKUP($F136,'Liquid Mix In Nutrition'!A:A,'Liquid Mix In Nutrition'!J:J,0)="Yes",0,$T136))-(IF(_xlfn.XLOOKUP($G136,'Liquid Mix In Nutrition'!A:A,'Liquid Mix In Nutrition'!J:J,0)="Yes",0,$U136))-(($V136/MAX(1,_xlfn.XLOOKUP($H136,'Solid Mix In Nutrition'!A:A,'Solid Mix In Nutrition'!I:I,1)))*240)-(($W136/MAX(1,_xlfn.XLOOKUP($I136,'Solid Mix In Nutrition'!A:A,'Solid Mix In Nutrition'!I:I,1)))*240))*0.33</f>
        <v>0</v>
      </c>
      <c r="T136" s="30">
        <f>_xlfn.XLOOKUP($M136,Specs!$D:$D,Specs!$E:$E,0)*15*_xlfn.XLOOKUP($L136,Specs!$A:$A,Specs!$C:$C,0)</f>
        <v>0</v>
      </c>
      <c r="U136" s="30">
        <f>_xlfn.XLOOKUP($N136,Specs!$D:$D,Specs!$E:$E,0)*15*_xlfn.XLOOKUP($L136,Specs!$A:$A,Specs!$C:$C,0)</f>
        <v>0</v>
      </c>
      <c r="V136" s="30">
        <f>( ((_xlfn.XLOOKUP($O136,Specs!$H:$H,Specs!$I:$I,0)*_xlfn.XLOOKUP($L136,Specs!$A:$A,Specs!$B:$B,0))/240) *_xlfn.XLOOKUP($H136,'Solid Mix In Nutrition'!A:A,'Solid Mix In Nutrition'!I:I,0)) *IF(AND(NOT($I136=0), COUNTA($I136)),0.5,1)</f>
        <v>0</v>
      </c>
      <c r="W136" s="30">
        <f>( ((_xlfn.XLOOKUP($O136,Specs!$H:$H,Specs!$I:$I,0)*_xlfn.XLOOKUP($L136,Specs!$A:$A,Specs!$B:$B,0))/240) *_xlfn.XLOOKUP($I136,'Solid Mix In Nutrition'!A:A,'Solid Mix In Nutrition'!I:I,0)) *IF(AND(NOT($I136=0), COUNTA($I136)),0.5,0)</f>
        <v>0</v>
      </c>
      <c r="X136" s="30">
        <f>_xlfn.XLOOKUP($P136,Specs!F:F,Specs!G:G,0)*_xlfn.XLOOKUP($J136,'Sweetener Mix In Nutrition'!A:A,'Sweetener Mix In Nutrition'!I:I,0)*_xlfn.XLOOKUP($L136,Specs!A:A,Specs!C:C,0)</f>
        <v>0</v>
      </c>
      <c r="Y136" s="30">
        <f>_xlfn.XLOOKUP($Q136,Specs!F:F,Specs!G:G,0)*_xlfn.XLOOKUP($K136,'Sweetener Mix In Nutrition'!A:A,'Sweetener Mix In Nutrition'!I:I,0)*_xlfn.XLOOKUP($L136,Specs!A:A,Specs!C:C,0)</f>
        <v>0</v>
      </c>
      <c r="Z136" s="34">
        <f t="shared" si="4"/>
        <v>0</v>
      </c>
      <c r="AA136" s="35">
        <f t="shared" si="5"/>
        <v>0</v>
      </c>
      <c r="AB136" s="36">
        <f>(($R136 / 240) * _xlfn.XLOOKUP($D136,'Milk Types Nutrition Per Cup'!A:A,'Milk Types Nutrition Per Cup'!B:B,0)) +(($S136 / 240)  * _xlfn.XLOOKUP($E136,'Milk Types Nutrition Per Cup'!A:A,'Milk Types Nutrition Per Cup'!B:B,0)) +(($T136 / 15)  * _xlfn.XLOOKUP($F136,'Liquid Mix In Nutrition'!A:A,'Liquid Mix In Nutrition'!B:B,0))+(($U136 / 15)  * _xlfn.XLOOKUP($G136,'Liquid Mix In Nutrition'!A:A,'Liquid Mix In Nutrition'!B:B,0))+(($V136 /MAX(1, _xlfn.XLOOKUP($H136,'Solid Mix In Nutrition'!A:A,'Solid Mix In Nutrition'!I:I,1)))  * _xlfn.XLOOKUP($H136,'Solid Mix In Nutrition'!A:A,'Solid Mix In Nutrition'!B:B,0))+(($W136 / MAX(1, _xlfn.XLOOKUP($I136,'Solid Mix In Nutrition'!A:A,'Solid Mix In Nutrition'!I:I,1))))+(($X136 / 100)  * _xlfn.XLOOKUP($J136,'Sweetener Mix In Nutrition'!A:A,'Sweetener Mix In Nutrition'!B:B,0))+(($Y136 / 100)  * _xlfn.XLOOKUP($K136,'Sweetener Mix In Nutrition'!A:A,'Sweetener Mix In Nutrition'!B:B,0))</f>
        <v>0</v>
      </c>
      <c r="AC136" s="36">
        <f>(($R136 / 240) * _xlfn.XLOOKUP($D136,'Milk Types Nutrition Per Cup'!A:A,'Milk Types Nutrition Per Cup'!E:E,0)) +(($S136 / 240)  * _xlfn.XLOOKUP($E136,'Milk Types Nutrition Per Cup'!A:A,'Milk Types Nutrition Per Cup'!E:E,0)) +(($T136 / 15)  * _xlfn.XLOOKUP($F136,'Liquid Mix In Nutrition'!A:A,'Liquid Mix In Nutrition'!E:E,0)) +(($U136 / 15)  * _xlfn.XLOOKUP($G136,'Liquid Mix In Nutrition'!A:A,'Liquid Mix In Nutrition'!E:E,0))+(($V136 / MAX(1, _xlfn.XLOOKUP($H136,'Solid Mix In Nutrition'!A:A,'Solid Mix In Nutrition'!I:I,1)))  * _xlfn.XLOOKUP($H136,'Solid Mix In Nutrition'!A:A,'Solid Mix In Nutrition'!E:E,0))+(($W136 / MAX(1, _xlfn.XLOOKUP($I136,'Solid Mix In Nutrition'!A:A,'Solid Mix In Nutrition'!I:I,1)))  * _xlfn.XLOOKUP($I136,'Solid Mix In Nutrition'!A:A,'Solid Mix In Nutrition'!G:G,0))+(($X136 / 100)  * _xlfn.XLOOKUP($J136,'Sweetener Mix In Nutrition'!A:A,'Sweetener Mix In Nutrition'!E:E,0))+(($Y136 / 100)  * _xlfn.XLOOKUP($K136,'Sweetener Mix In Nutrition'!A:A,'Sweetener Mix In Nutrition'!E:E,0))</f>
        <v>0</v>
      </c>
      <c r="AD136" s="36">
        <f>(($R136 / 240) * _xlfn.XLOOKUP($D136,'Milk Types Nutrition Per Cup'!A:A,'Milk Types Nutrition Per Cup'!E:E,0)) +(($S136 / 240)  * _xlfn.XLOOKUP($E136,'Milk Types Nutrition Per Cup'!A:A,'Milk Types Nutrition Per Cup'!E:E,0)) +(($T136 / 15)  * _xlfn.XLOOKUP($F136,'Liquid Mix In Nutrition'!A:A,'Liquid Mix In Nutrition'!E:E,0)) +(($U136 / 15)  * _xlfn.XLOOKUP($G136,'Liquid Mix In Nutrition'!A:A,'Liquid Mix In Nutrition'!E:E,0))+(($X136 / 100)  * _xlfn.XLOOKUP($J136,'Sweetener Mix In Nutrition'!A:A,'Sweetener Mix In Nutrition'!E:E,0))+(($Y136 / 100)  * _xlfn.XLOOKUP($K136,'Sweetener Mix In Nutrition'!A:A,'Sweetener Mix In Nutrition'!E:E,0))</f>
        <v>0</v>
      </c>
      <c r="AE136" s="37">
        <f>(($R136 / 240) * _xlfn.XLOOKUP($D136,'Milk Types Nutrition Per Cup'!A:A,'Milk Types Nutrition Per Cup'!C:C,0)) +(($S136 / 240)  * _xlfn.XLOOKUP($E136,'Milk Types Nutrition Per Cup'!A:A,'Milk Types Nutrition Per Cup'!C:C,0)) +(($T136 / 15)  * _xlfn.XLOOKUP($F136,'Liquid Mix In Nutrition'!A:A,'Liquid Mix In Nutrition'!C:C,0))+(($U136 / 15)  * _xlfn.XLOOKUP($G136,'Liquid Mix In Nutrition'!A:A,'Liquid Mix In Nutrition'!C:C,0))+(($V136 / MAX(1, _xlfn.XLOOKUP($H136,'Solid Mix In Nutrition'!A:A,'Solid Mix In Nutrition'!I:I,1)))  * _xlfn.XLOOKUP($H136,'Solid Mix In Nutrition'!A:A,'Solid Mix In Nutrition'!C:C,0))+(($W136 / MAX(1, _xlfn.XLOOKUP($I136,'Solid Mix In Nutrition'!A:A,'Solid Mix In Nutrition'!I:I,1)))  * _xlfn.XLOOKUP($I136,'Solid Mix In Nutrition'!A:A,'Solid Mix In Nutrition'!C:C,0))+(($X136 / 100)  * _xlfn.XLOOKUP($J136,'Sweetener Mix In Nutrition'!A:A,'Sweetener Mix In Nutrition'!C:C,0))+(($Y136 / 100)  * _xlfn.XLOOKUP($K136,'Sweetener Mix In Nutrition'!A:A,'Sweetener Mix In Nutrition'!C:C,0))</f>
        <v>0</v>
      </c>
      <c r="AF136" s="38" t="e">
        <f>$AE136 / (_xlfn.XLOOKUP($L136,Specs!A:A,Specs!B:B,0))</f>
        <v>#DIV/0!</v>
      </c>
      <c r="AG136" s="37" t="e">
        <f>60* ($AB136 / _xlfn.XLOOKUP($L136,Specs!A:A,Specs!B:B,0))</f>
        <v>#DIV/0!</v>
      </c>
      <c r="AH136" s="37" t="e">
        <f>60* (AC136 / _xlfn.XLOOKUP($L136,Specs!$A:$A,Specs!$B:$B,0))</f>
        <v>#DIV/0!</v>
      </c>
      <c r="AI136" s="37" t="e">
        <f>60* (AE136 / _xlfn.XLOOKUP($L136,Specs!$A:$A,Specs!$B:$B,0))</f>
        <v>#DIV/0!</v>
      </c>
      <c r="AJ136" s="39">
        <f>(($R136 / 240) * _xlfn.XLOOKUP($D136,'Milk Types Nutrition Per Cup'!A:A,'Milk Types Nutrition Per Cup'!F:F,0)) +(($S136 / 240)  * _xlfn.XLOOKUP($E136,'Milk Types Nutrition Per Cup'!A:A,'Milk Types Nutrition Per Cup'!F:F,0)) +(($T136 / 15)  * _xlfn.XLOOKUP($F136,'Liquid Mix In Nutrition'!A:A,'Liquid Mix In Nutrition'!F:F,0))+(($U136 / 15)  * _xlfn.XLOOKUP($G136,'Liquid Mix In Nutrition'!A:A,'Liquid Mix In Nutrition'!F:F,0))+(($V136 / MAX(1, _xlfn.XLOOKUP($H136,'Solid Mix In Nutrition'!A:A,'Solid Mix In Nutrition'!I:I,1)))  * _xlfn.XLOOKUP($H136,'Solid Mix In Nutrition'!A:A,'Solid Mix In Nutrition'!F:F,0))+(($W136 / MAX(1, _xlfn.XLOOKUP($I136,'Solid Mix In Nutrition'!A:A,'Solid Mix In Nutrition'!I:I,1)))  * _xlfn.XLOOKUP($I136,'Solid Mix In Nutrition'!A:A,'Solid Mix In Nutrition'!F:F,0))+(($X136 / 100)  * _xlfn.XLOOKUP($J136,'Sweetener Mix In Nutrition'!A:A,'Sweetener Mix In Nutrition'!F:F,0))+(($Y136 / 100)  * _xlfn.XLOOKUP($K136,'Sweetener Mix In Nutrition'!A:A,'Sweetener Mix In Nutrition'!F:F,0))</f>
        <v>0</v>
      </c>
      <c r="AK136" s="46">
        <f>[2]Sheet1!AG136</f>
        <v>0</v>
      </c>
      <c r="AL136" s="47"/>
      <c r="AM136" s="40">
        <f>IF(ISERROR(((AL136/Specs!$L$3)*Specs!$L$2)*2),0,ROUNDUP((((AL136/Specs!$L$3)*Specs!$L$2)*2),0))</f>
        <v>0</v>
      </c>
      <c r="AN136" s="48">
        <f>ROUNDUP(((AJ136+Specs!$R$2+Specs!$S$2+_xlfn.XLOOKUP($L136,Specs!A:A,Specs!V:V,0))*Specs!$N$2)+AM136,0)</f>
        <v>1</v>
      </c>
      <c r="AO136" s="40">
        <f>ROUNDUP(((AJ136+Specs!$R$2+Specs!$S$2+_xlfn.XLOOKUP($L136,Specs!A:A,Specs!V:V,0))*Specs!$N$2),0)</f>
        <v>1</v>
      </c>
      <c r="AP136" s="30"/>
    </row>
    <row r="137" spans="1:42" x14ac:dyDescent="0.25">
      <c r="A137" s="41" t="str">
        <f>_xlfn.CONCAT(_xlfn.XLOOKUP("What's Your Name?",[1]Sheet1!$1:$1,[1]Sheet1!137:137)," | ",TEXT(_xlfn.XLOOKUP("Completion time",[1]Sheet1!$1:$1,[1]Sheet1!137:137),"dddd, mmm dd, yyyy hh:mm AM/PM"))</f>
        <v xml:space="preserve"> | Saturday, Jan 00, 1900 12:00 AM</v>
      </c>
      <c r="B137" s="76">
        <f>_xlfn.XLOOKUP("What's Your Email Address?",[1]Sheet1!$1:$1,[1]Sheet1!137:137)</f>
        <v>0</v>
      </c>
      <c r="C137" s="31">
        <f>IF(ISBLANK(_xlfn.XLOOKUP("Which Flavor? (Pint Price | Quart Price | Half Gallon Price) (NOTE: Prices may fluctuate based on market conditions)",[1]Sheet1!$1:$1,[1]Sheet1!137:137)),_xlfn.XLOOKUP("Name Your Ice Cream!",[1]Sheet1!$1:$1,[1]Sheet1!137:137),IF(ISNUMBER(FIND("(", _xlfn.XLOOKUP("Which Flavor? (Pint Price | Quart Price | Half Gallon Price) (NOTE: Prices may fluctuate based on market conditions)",[1]Sheet1!$1:$1,[1]Sheet1!137:137))), LEFT(_xlfn.XLOOKUP("Which Flavor? (Pint Price | Quart Price | Half Gallon Price) (NOTE: Prices may fluctuate based on market conditions)",[1]Sheet1!$1:$1,[1]Sheet1!137:137), FIND("(", _xlfn.XLOOKUP("Which Flavor? (Pint Price | Quart Price | Half Gallon Price) (NOTE: Prices may fluctuate based on market conditions)",[1]Sheet1!$1:$1,[1]Sheet1!137:137)) - 1), _xlfn.XLOOKUP("Which Flavor? (Pint Price | Quart Price | Half Gallon Price) (NOTE: Prices may fluctuate based on market conditions)",[1]Sheet1!$1:$1,[1]Sheet1!137:137)))</f>
        <v>0</v>
      </c>
      <c r="D137" s="31">
        <f>IF(COUNTIF('Premade Flavors'!$A:$A, $C137) &gt; 0,IF(ISBLANK(_xlfn.XLOOKUP("What Ice Cream Base Do You Want To Change It To?",[1]Sheet1!$1:$1,[1]Sheet1!137:137)),_xlfn.XLOOKUP($C137,'Premade Flavors'!$A:$A,'Premade Flavors'!B:B),_xlfn.XLOOKUP("What Ice Cream Base Do You Want To Change It To?",[1]Sheet1!$1:$1,[1]Sheet1!137:137)),_xlfn.XLOOKUP(_xlfn.XLOOKUP("What Kind Of Ice Cream Base Do You Want? ",[1]Sheet1!$1:$1,[1]Sheet1!137:137),'Milk Types Nutrition Per Cup'!O:O,'Milk Types Nutrition Per Cup'!P:P,""))</f>
        <v>0</v>
      </c>
      <c r="E137" s="31">
        <f>IF(COUNTIF('Premade Flavors'!$A:$A, $C137) &gt; 0,IF(ISBLANK(_xlfn.XLOOKUP("What Ice Cream Base Do You Want To Change It To?",[1]Sheet1!$1:$1,[1]Sheet1!137:137)),_xlfn.XLOOKUP($C137,'Premade Flavors'!$A:$A,'Premade Flavors'!C:C),_xlfn.XLOOKUP("What Ice Cream Base Do You Want To Change It To?",[1]Sheet1!$1:$1,[1]Sheet1!137:137)),_xlfn.XLOOKUP(_xlfn.XLOOKUP("What Kind Of Ice Cream Base Do You Want? ",[1]Sheet1!$1:$1,[1]Sheet1!137:137),'Milk Types Nutrition Per Cup'!$O:$O,'Milk Types Nutrition Per Cup'!$Q:$Q,""))</f>
        <v>0</v>
      </c>
      <c r="F137" s="31">
        <f>IF(COUNTIF('Premade Flavors'!$A:$A, $C137) &gt; 0,_xlfn.XLOOKUP($C137,'Premade Flavors'!$A:$A,'Premade Flavors'!E:E),_xlfn.XLOOKUP("What's The First Flavor You Want? ",[1]Sheet1!$1:$1,[1]Sheet1!137:137))</f>
        <v>0</v>
      </c>
      <c r="G137" s="31">
        <f>IF(COUNTIF('Premade Flavors'!$A:$A, $C137) &gt; 0,_xlfn.XLOOKUP($C137,'Premade Flavors'!$A:$A,'Premade Flavors'!F:F),_xlfn.XLOOKUP("What's the Second Flavor You Want?",[1]Sheet1!$1:$1,[1]Sheet1!137:137))</f>
        <v>0</v>
      </c>
      <c r="H137" s="31">
        <f>IF(COUNTIF('Premade Flavors'!$A:$A, $C137) &gt; 0,_xlfn.XLOOKUP($C137,'Premade Flavors'!$A:$A,'Premade Flavors'!G:G),_xlfn.XLOOKUP("What's The First Mix In That You Want? ",[1]Sheet1!$1:$1,[1]Sheet1!137:137))</f>
        <v>0</v>
      </c>
      <c r="I137" s="31">
        <f>IF(COUNTIF('Premade Flavors'!$A:$A, $C135) &gt; 0,_xlfn.XLOOKUP($C135,'Premade Flavors'!$A:$A,'Premade Flavors'!H:H),IF([2]Sheet1!W135= 0,,[2]Sheet1!W135))</f>
        <v>0</v>
      </c>
      <c r="J137" s="31">
        <f>IF(COUNTIF('Premade Flavors'!$A:$A,$C137)&gt;0,IF(_xlfn.XLOOKUP("Should It Use Sugar or A Non-Sugar Sweetner?",[1]Sheet1!$1:$1,[1]Sheet1!137:137)="Sugar",_xlfn.XLOOKUP($C137,'Premade Flavors'!$A:$A,'Premade Flavors'!I:I),"Stevia"),_xlfn.XLOOKUP("What Sweetner Do You Want?",[1]Sheet1!$1:$1,[1]Sheet1!137:137))</f>
        <v>0</v>
      </c>
      <c r="K137" s="31"/>
      <c r="L137" s="77">
        <f>_xlfn.XLOOKUP("How Much Ice Cream Do You Want?",[1]Sheet1!$1:$1,[1]Sheet1!137:137)</f>
        <v>0</v>
      </c>
      <c r="M137" s="45">
        <f>IF(COUNTIF('Premade Flavors'!$A:$A, $C137) &gt; 0,_xlfn.XLOOKUP($C137,'Premade Flavors'!$A:$A,'Premade Flavors'!M:M),_xlfn.XLOOKUP("How Strong Do You Want The First Flavor?",[1]Sheet1!$1:$1,[1]Sheet1!137:137))</f>
        <v>0</v>
      </c>
      <c r="N137" s="45">
        <f>IF(COUNTIF('Premade Flavors'!$A:$A, $C137) &gt; 0,_xlfn.XLOOKUP($C137,'Premade Flavors'!$A:$A,'Premade Flavors'!N:N),_xlfn.XLOOKUP("How Strong Do You Want The Second Flavor?",[1]Sheet1!$1:$1,[1]Sheet1!137:137))</f>
        <v>0</v>
      </c>
      <c r="O137" s="45">
        <f>IF(COUNTIF('Premade Flavors'!$A:$A, $C137) &gt; 0,_xlfn.XLOOKUP($C137,'Premade Flavors'!$A:$A,'Premade Flavors'!O:O),_xlfn.XLOOKUP("How Dense Should the Mix Ins Be?",[1]Sheet1!$1:$1,[1]Sheet1!137:137))</f>
        <v>0</v>
      </c>
      <c r="P137" s="45">
        <f>IF(COUNTIF('Premade Flavors'!$A:$A, $C137) &gt; 0,_xlfn.XLOOKUP($C137,'Premade Flavors'!$A:$A,'Premade Flavors'!P:P),_xlfn.XLOOKUP("How Much Of The First Sweetner? ",[1]Sheet1!$1:$1,[1]Sheet1!137:137))</f>
        <v>0</v>
      </c>
      <c r="Q137" s="45">
        <f>IF(COUNTIF('Premade Flavors'!$A:$A, $C137) &gt; 0,_xlfn.XLOOKUP($C137,'Premade Flavors'!$A:$A,'Premade Flavors'!Q:Q),[2]Sheet1!S137)</f>
        <v>0</v>
      </c>
      <c r="R137" s="30">
        <f>(_xlfn.XLOOKUP($L137,Specs!A:A,Specs!B:B,0)-(IF(_xlfn.XLOOKUP($F137,'Liquid Mix In Nutrition'!A:A,'Liquid Mix In Nutrition'!J:J,0)="Yes",0,$T137))-(IF(_xlfn.XLOOKUP($G137,'Liquid Mix In Nutrition'!A:A,'Liquid Mix In Nutrition'!J:J,0)="Yes",0,$U137))-(($V137/MAX(1,_xlfn.XLOOKUP($H137,'Solid Mix In Nutrition'!A:A,'Solid Mix In Nutrition'!I:I,1)))*240)-(($W137/MAX(1,_xlfn.XLOOKUP($I137,'Solid Mix In Nutrition'!A:A,'Solid Mix In Nutrition'!I:I,1)))*240))*0.66</f>
        <v>0</v>
      </c>
      <c r="S137" s="30">
        <f>(_xlfn.XLOOKUP($L137,Specs!A:A,Specs!B:B,0)-(IF(_xlfn.XLOOKUP($F137,'Liquid Mix In Nutrition'!A:A,'Liquid Mix In Nutrition'!J:J,0)="Yes",0,$T137))-(IF(_xlfn.XLOOKUP($G137,'Liquid Mix In Nutrition'!A:A,'Liquid Mix In Nutrition'!J:J,0)="Yes",0,$U137))-(($V137/MAX(1,_xlfn.XLOOKUP($H137,'Solid Mix In Nutrition'!A:A,'Solid Mix In Nutrition'!I:I,1)))*240)-(($W137/MAX(1,_xlfn.XLOOKUP($I137,'Solid Mix In Nutrition'!A:A,'Solid Mix In Nutrition'!I:I,1)))*240))*0.33</f>
        <v>0</v>
      </c>
      <c r="T137" s="30">
        <f>_xlfn.XLOOKUP($M137,Specs!$D:$D,Specs!$E:$E,0)*15*_xlfn.XLOOKUP($L137,Specs!$A:$A,Specs!$C:$C,0)</f>
        <v>0</v>
      </c>
      <c r="U137" s="30">
        <f>_xlfn.XLOOKUP($N137,Specs!$D:$D,Specs!$E:$E,0)*15*_xlfn.XLOOKUP($L137,Specs!$A:$A,Specs!$C:$C,0)</f>
        <v>0</v>
      </c>
      <c r="V137" s="30">
        <f>( ((_xlfn.XLOOKUP($O137,Specs!$H:$H,Specs!$I:$I,0)*_xlfn.XLOOKUP($L137,Specs!$A:$A,Specs!$B:$B,0))/240) *_xlfn.XLOOKUP($H137,'Solid Mix In Nutrition'!A:A,'Solid Mix In Nutrition'!I:I,0)) *IF(AND(NOT($I137=0), COUNTA($I137)),0.5,1)</f>
        <v>0</v>
      </c>
      <c r="W137" s="30">
        <f>( ((_xlfn.XLOOKUP($O137,Specs!$H:$H,Specs!$I:$I,0)*_xlfn.XLOOKUP($L137,Specs!$A:$A,Specs!$B:$B,0))/240) *_xlfn.XLOOKUP($I137,'Solid Mix In Nutrition'!A:A,'Solid Mix In Nutrition'!I:I,0)) *IF(AND(NOT($I137=0), COUNTA($I137)),0.5,0)</f>
        <v>0</v>
      </c>
      <c r="X137" s="30">
        <f>_xlfn.XLOOKUP($P137,Specs!F:F,Specs!G:G,0)*_xlfn.XLOOKUP($J137,'Sweetener Mix In Nutrition'!A:A,'Sweetener Mix In Nutrition'!I:I,0)*_xlfn.XLOOKUP($L137,Specs!A:A,Specs!C:C,0)</f>
        <v>0</v>
      </c>
      <c r="Y137" s="30">
        <f>_xlfn.XLOOKUP($Q137,Specs!F:F,Specs!G:G,0)*_xlfn.XLOOKUP($K137,'Sweetener Mix In Nutrition'!A:A,'Sweetener Mix In Nutrition'!I:I,0)*_xlfn.XLOOKUP($L137,Specs!A:A,Specs!C:C,0)</f>
        <v>0</v>
      </c>
      <c r="Z137" s="34">
        <f t="shared" si="4"/>
        <v>0</v>
      </c>
      <c r="AA137" s="35">
        <f t="shared" si="5"/>
        <v>0</v>
      </c>
      <c r="AB137" s="36">
        <f>(($R137 / 240) * _xlfn.XLOOKUP($D137,'Milk Types Nutrition Per Cup'!A:A,'Milk Types Nutrition Per Cup'!B:B,0)) +(($S137 / 240)  * _xlfn.XLOOKUP($E137,'Milk Types Nutrition Per Cup'!A:A,'Milk Types Nutrition Per Cup'!B:B,0)) +(($T137 / 15)  * _xlfn.XLOOKUP($F137,'Liquid Mix In Nutrition'!A:A,'Liquid Mix In Nutrition'!B:B,0))+(($U137 / 15)  * _xlfn.XLOOKUP($G137,'Liquid Mix In Nutrition'!A:A,'Liquid Mix In Nutrition'!B:B,0))+(($V137 /MAX(1, _xlfn.XLOOKUP($H137,'Solid Mix In Nutrition'!A:A,'Solid Mix In Nutrition'!I:I,1)))  * _xlfn.XLOOKUP($H137,'Solid Mix In Nutrition'!A:A,'Solid Mix In Nutrition'!B:B,0))+(($W137 / MAX(1, _xlfn.XLOOKUP($I137,'Solid Mix In Nutrition'!A:A,'Solid Mix In Nutrition'!I:I,1))))+(($X137 / 100)  * _xlfn.XLOOKUP($J137,'Sweetener Mix In Nutrition'!A:A,'Sweetener Mix In Nutrition'!B:B,0))+(($Y137 / 100)  * _xlfn.XLOOKUP($K137,'Sweetener Mix In Nutrition'!A:A,'Sweetener Mix In Nutrition'!B:B,0))</f>
        <v>0</v>
      </c>
      <c r="AC137" s="36">
        <f>(($R137 / 240) * _xlfn.XLOOKUP($D137,'Milk Types Nutrition Per Cup'!A:A,'Milk Types Nutrition Per Cup'!E:E,0)) +(($S137 / 240)  * _xlfn.XLOOKUP($E137,'Milk Types Nutrition Per Cup'!A:A,'Milk Types Nutrition Per Cup'!E:E,0)) +(($T137 / 15)  * _xlfn.XLOOKUP($F137,'Liquid Mix In Nutrition'!A:A,'Liquid Mix In Nutrition'!E:E,0)) +(($U137 / 15)  * _xlfn.XLOOKUP($G137,'Liquid Mix In Nutrition'!A:A,'Liquid Mix In Nutrition'!E:E,0))+(($V137 / MAX(1, _xlfn.XLOOKUP($H137,'Solid Mix In Nutrition'!A:A,'Solid Mix In Nutrition'!I:I,1)))  * _xlfn.XLOOKUP($H137,'Solid Mix In Nutrition'!A:A,'Solid Mix In Nutrition'!E:E,0))+(($W137 / MAX(1, _xlfn.XLOOKUP($I137,'Solid Mix In Nutrition'!A:A,'Solid Mix In Nutrition'!I:I,1)))  * _xlfn.XLOOKUP($I137,'Solid Mix In Nutrition'!A:A,'Solid Mix In Nutrition'!G:G,0))+(($X137 / 100)  * _xlfn.XLOOKUP($J137,'Sweetener Mix In Nutrition'!A:A,'Sweetener Mix In Nutrition'!E:E,0))+(($Y137 / 100)  * _xlfn.XLOOKUP($K137,'Sweetener Mix In Nutrition'!A:A,'Sweetener Mix In Nutrition'!E:E,0))</f>
        <v>0</v>
      </c>
      <c r="AD137" s="36">
        <f>(($R137 / 240) * _xlfn.XLOOKUP($D137,'Milk Types Nutrition Per Cup'!A:A,'Milk Types Nutrition Per Cup'!E:E,0)) +(($S137 / 240)  * _xlfn.XLOOKUP($E137,'Milk Types Nutrition Per Cup'!A:A,'Milk Types Nutrition Per Cup'!E:E,0)) +(($T137 / 15)  * _xlfn.XLOOKUP($F137,'Liquid Mix In Nutrition'!A:A,'Liquid Mix In Nutrition'!E:E,0)) +(($U137 / 15)  * _xlfn.XLOOKUP($G137,'Liquid Mix In Nutrition'!A:A,'Liquid Mix In Nutrition'!E:E,0))+(($X137 / 100)  * _xlfn.XLOOKUP($J137,'Sweetener Mix In Nutrition'!A:A,'Sweetener Mix In Nutrition'!E:E,0))+(($Y137 / 100)  * _xlfn.XLOOKUP($K137,'Sweetener Mix In Nutrition'!A:A,'Sweetener Mix In Nutrition'!E:E,0))</f>
        <v>0</v>
      </c>
      <c r="AE137" s="37">
        <f>(($R137 / 240) * _xlfn.XLOOKUP($D137,'Milk Types Nutrition Per Cup'!A:A,'Milk Types Nutrition Per Cup'!C:C,0)) +(($S137 / 240)  * _xlfn.XLOOKUP($E137,'Milk Types Nutrition Per Cup'!A:A,'Milk Types Nutrition Per Cup'!C:C,0)) +(($T137 / 15)  * _xlfn.XLOOKUP($F137,'Liquid Mix In Nutrition'!A:A,'Liquid Mix In Nutrition'!C:C,0))+(($U137 / 15)  * _xlfn.XLOOKUP($G137,'Liquid Mix In Nutrition'!A:A,'Liquid Mix In Nutrition'!C:C,0))+(($V137 / MAX(1, _xlfn.XLOOKUP($H137,'Solid Mix In Nutrition'!A:A,'Solid Mix In Nutrition'!I:I,1)))  * _xlfn.XLOOKUP($H137,'Solid Mix In Nutrition'!A:A,'Solid Mix In Nutrition'!C:C,0))+(($W137 / MAX(1, _xlfn.XLOOKUP($I137,'Solid Mix In Nutrition'!A:A,'Solid Mix In Nutrition'!I:I,1)))  * _xlfn.XLOOKUP($I137,'Solid Mix In Nutrition'!A:A,'Solid Mix In Nutrition'!C:C,0))+(($X137 / 100)  * _xlfn.XLOOKUP($J137,'Sweetener Mix In Nutrition'!A:A,'Sweetener Mix In Nutrition'!C:C,0))+(($Y137 / 100)  * _xlfn.XLOOKUP($K137,'Sweetener Mix In Nutrition'!A:A,'Sweetener Mix In Nutrition'!C:C,0))</f>
        <v>0</v>
      </c>
      <c r="AF137" s="38" t="e">
        <f>$AE137 / (_xlfn.XLOOKUP($L137,Specs!A:A,Specs!B:B,0))</f>
        <v>#DIV/0!</v>
      </c>
      <c r="AG137" s="37" t="e">
        <f>60* ($AB137 / _xlfn.XLOOKUP($L137,Specs!A:A,Specs!B:B,0))</f>
        <v>#DIV/0!</v>
      </c>
      <c r="AH137" s="37" t="e">
        <f>60* (AC137 / _xlfn.XLOOKUP($L137,Specs!$A:$A,Specs!$B:$B,0))</f>
        <v>#DIV/0!</v>
      </c>
      <c r="AI137" s="37" t="e">
        <f>60* (AE137 / _xlfn.XLOOKUP($L137,Specs!$A:$A,Specs!$B:$B,0))</f>
        <v>#DIV/0!</v>
      </c>
      <c r="AJ137" s="39">
        <f>(($R137 / 240) * _xlfn.XLOOKUP($D137,'Milk Types Nutrition Per Cup'!A:A,'Milk Types Nutrition Per Cup'!F:F,0)) +(($S137 / 240)  * _xlfn.XLOOKUP($E137,'Milk Types Nutrition Per Cup'!A:A,'Milk Types Nutrition Per Cup'!F:F,0)) +(($T137 / 15)  * _xlfn.XLOOKUP($F137,'Liquid Mix In Nutrition'!A:A,'Liquid Mix In Nutrition'!F:F,0))+(($U137 / 15)  * _xlfn.XLOOKUP($G137,'Liquid Mix In Nutrition'!A:A,'Liquid Mix In Nutrition'!F:F,0))+(($V137 / MAX(1, _xlfn.XLOOKUP($H137,'Solid Mix In Nutrition'!A:A,'Solid Mix In Nutrition'!I:I,1)))  * _xlfn.XLOOKUP($H137,'Solid Mix In Nutrition'!A:A,'Solid Mix In Nutrition'!F:F,0))+(($W137 / MAX(1, _xlfn.XLOOKUP($I137,'Solid Mix In Nutrition'!A:A,'Solid Mix In Nutrition'!I:I,1)))  * _xlfn.XLOOKUP($I137,'Solid Mix In Nutrition'!A:A,'Solid Mix In Nutrition'!F:F,0))+(($X137 / 100)  * _xlfn.XLOOKUP($J137,'Sweetener Mix In Nutrition'!A:A,'Sweetener Mix In Nutrition'!F:F,0))+(($Y137 / 100)  * _xlfn.XLOOKUP($K137,'Sweetener Mix In Nutrition'!A:A,'Sweetener Mix In Nutrition'!F:F,0))</f>
        <v>0</v>
      </c>
      <c r="AK137" s="46">
        <f>[2]Sheet1!AG137</f>
        <v>0</v>
      </c>
      <c r="AL137" s="47"/>
      <c r="AM137" s="40">
        <f>IF(ISERROR(((AL137/Specs!$L$3)*Specs!$L$2)*2),0,ROUNDUP((((AL137/Specs!$L$3)*Specs!$L$2)*2),0))</f>
        <v>0</v>
      </c>
      <c r="AN137" s="48">
        <f>ROUNDUP(((AJ137+Specs!$R$2+Specs!$S$2+_xlfn.XLOOKUP($L137,Specs!A:A,Specs!V:V,0))*Specs!$N$2)+AM137,0)</f>
        <v>1</v>
      </c>
      <c r="AO137" s="40">
        <f>ROUNDUP(((AJ137+Specs!$R$2+Specs!$S$2+_xlfn.XLOOKUP($L137,Specs!A:A,Specs!V:V,0))*Specs!$N$2),0)</f>
        <v>1</v>
      </c>
      <c r="AP137" s="30"/>
    </row>
    <row r="138" spans="1:42" x14ac:dyDescent="0.25">
      <c r="A138" s="41" t="str">
        <f>_xlfn.CONCAT(_xlfn.XLOOKUP("What's Your Name?",[1]Sheet1!$1:$1,[1]Sheet1!138:138)," | ",TEXT(_xlfn.XLOOKUP("Completion time",[1]Sheet1!$1:$1,[1]Sheet1!138:138),"dddd, mmm dd, yyyy hh:mm AM/PM"))</f>
        <v xml:space="preserve"> | Saturday, Jan 00, 1900 12:00 AM</v>
      </c>
      <c r="B138" s="76">
        <f>_xlfn.XLOOKUP("What's Your Email Address?",[1]Sheet1!$1:$1,[1]Sheet1!138:138)</f>
        <v>0</v>
      </c>
      <c r="C138" s="31">
        <f>IF(ISBLANK(_xlfn.XLOOKUP("Which Flavor? (Pint Price | Quart Price | Half Gallon Price) (NOTE: Prices may fluctuate based on market conditions)",[1]Sheet1!$1:$1,[1]Sheet1!138:138)),_xlfn.XLOOKUP("Name Your Ice Cream!",[1]Sheet1!$1:$1,[1]Sheet1!138:138),IF(ISNUMBER(FIND("(", _xlfn.XLOOKUP("Which Flavor? (Pint Price | Quart Price | Half Gallon Price) (NOTE: Prices may fluctuate based on market conditions)",[1]Sheet1!$1:$1,[1]Sheet1!138:138))), LEFT(_xlfn.XLOOKUP("Which Flavor? (Pint Price | Quart Price | Half Gallon Price) (NOTE: Prices may fluctuate based on market conditions)",[1]Sheet1!$1:$1,[1]Sheet1!138:138), FIND("(", _xlfn.XLOOKUP("Which Flavor? (Pint Price | Quart Price | Half Gallon Price) (NOTE: Prices may fluctuate based on market conditions)",[1]Sheet1!$1:$1,[1]Sheet1!138:138)) - 1), _xlfn.XLOOKUP("Which Flavor? (Pint Price | Quart Price | Half Gallon Price) (NOTE: Prices may fluctuate based on market conditions)",[1]Sheet1!$1:$1,[1]Sheet1!138:138)))</f>
        <v>0</v>
      </c>
      <c r="D138" s="31">
        <f>IF(COUNTIF('Premade Flavors'!$A:$A, $C138) &gt; 0,IF(ISBLANK(_xlfn.XLOOKUP("What Ice Cream Base Do You Want To Change It To?",[1]Sheet1!$1:$1,[1]Sheet1!138:138)),_xlfn.XLOOKUP($C138,'Premade Flavors'!$A:$A,'Premade Flavors'!B:B),_xlfn.XLOOKUP("What Ice Cream Base Do You Want To Change It To?",[1]Sheet1!$1:$1,[1]Sheet1!138:138)),_xlfn.XLOOKUP(_xlfn.XLOOKUP("What Kind Of Ice Cream Base Do You Want? ",[1]Sheet1!$1:$1,[1]Sheet1!138:138),'Milk Types Nutrition Per Cup'!O:O,'Milk Types Nutrition Per Cup'!P:P,""))</f>
        <v>0</v>
      </c>
      <c r="E138" s="31">
        <f>IF(COUNTIF('Premade Flavors'!$A:$A, $C138) &gt; 0,IF(ISBLANK(_xlfn.XLOOKUP("What Ice Cream Base Do You Want To Change It To?",[1]Sheet1!$1:$1,[1]Sheet1!138:138)),_xlfn.XLOOKUP($C138,'Premade Flavors'!$A:$A,'Premade Flavors'!C:C),_xlfn.XLOOKUP("What Ice Cream Base Do You Want To Change It To?",[1]Sheet1!$1:$1,[1]Sheet1!138:138)),_xlfn.XLOOKUP(_xlfn.XLOOKUP("What Kind Of Ice Cream Base Do You Want? ",[1]Sheet1!$1:$1,[1]Sheet1!138:138),'Milk Types Nutrition Per Cup'!$O:$O,'Milk Types Nutrition Per Cup'!$Q:$Q,""))</f>
        <v>0</v>
      </c>
      <c r="F138" s="31">
        <f>IF(COUNTIF('Premade Flavors'!$A:$A, $C138) &gt; 0,_xlfn.XLOOKUP($C138,'Premade Flavors'!$A:$A,'Premade Flavors'!E:E),_xlfn.XLOOKUP("What's The First Flavor You Want? ",[1]Sheet1!$1:$1,[1]Sheet1!138:138))</f>
        <v>0</v>
      </c>
      <c r="G138" s="31">
        <f>IF(COUNTIF('Premade Flavors'!$A:$A, $C138) &gt; 0,_xlfn.XLOOKUP($C138,'Premade Flavors'!$A:$A,'Premade Flavors'!F:F),_xlfn.XLOOKUP("What's the Second Flavor You Want?",[1]Sheet1!$1:$1,[1]Sheet1!138:138))</f>
        <v>0</v>
      </c>
      <c r="H138" s="31">
        <f>IF(COUNTIF('Premade Flavors'!$A:$A, $C138) &gt; 0,_xlfn.XLOOKUP($C138,'Premade Flavors'!$A:$A,'Premade Flavors'!G:G),_xlfn.XLOOKUP("What's The First Mix In That You Want? ",[1]Sheet1!$1:$1,[1]Sheet1!138:138))</f>
        <v>0</v>
      </c>
      <c r="I138" s="31">
        <f>IF(COUNTIF('Premade Flavors'!$A:$A, $C136) &gt; 0,_xlfn.XLOOKUP($C136,'Premade Flavors'!$A:$A,'Premade Flavors'!H:H),IF([2]Sheet1!W136= 0,,[2]Sheet1!W136))</f>
        <v>0</v>
      </c>
      <c r="J138" s="31">
        <f>IF(COUNTIF('Premade Flavors'!$A:$A,$C138)&gt;0,IF(_xlfn.XLOOKUP("Should It Use Sugar or A Non-Sugar Sweetner?",[1]Sheet1!$1:$1,[1]Sheet1!138:138)="Sugar",_xlfn.XLOOKUP($C138,'Premade Flavors'!$A:$A,'Premade Flavors'!I:I),"Stevia"),_xlfn.XLOOKUP("What Sweetner Do You Want?",[1]Sheet1!$1:$1,[1]Sheet1!138:138))</f>
        <v>0</v>
      </c>
      <c r="K138" s="31"/>
      <c r="L138" s="77">
        <f>_xlfn.XLOOKUP("How Much Ice Cream Do You Want?",[1]Sheet1!$1:$1,[1]Sheet1!138:138)</f>
        <v>0</v>
      </c>
      <c r="M138" s="45">
        <f>IF(COUNTIF('Premade Flavors'!$A:$A, $C138) &gt; 0,_xlfn.XLOOKUP($C138,'Premade Flavors'!$A:$A,'Premade Flavors'!M:M),_xlfn.XLOOKUP("How Strong Do You Want The First Flavor?",[1]Sheet1!$1:$1,[1]Sheet1!138:138))</f>
        <v>0</v>
      </c>
      <c r="N138" s="45">
        <f>IF(COUNTIF('Premade Flavors'!$A:$A, $C138) &gt; 0,_xlfn.XLOOKUP($C138,'Premade Flavors'!$A:$A,'Premade Flavors'!N:N),_xlfn.XLOOKUP("How Strong Do You Want The Second Flavor?",[1]Sheet1!$1:$1,[1]Sheet1!138:138))</f>
        <v>0</v>
      </c>
      <c r="O138" s="45">
        <f>IF(COUNTIF('Premade Flavors'!$A:$A, $C138) &gt; 0,_xlfn.XLOOKUP($C138,'Premade Flavors'!$A:$A,'Premade Flavors'!O:O),_xlfn.XLOOKUP("How Dense Should the Mix Ins Be?",[1]Sheet1!$1:$1,[1]Sheet1!138:138))</f>
        <v>0</v>
      </c>
      <c r="P138" s="45">
        <f>IF(COUNTIF('Premade Flavors'!$A:$A, $C138) &gt; 0,_xlfn.XLOOKUP($C138,'Premade Flavors'!$A:$A,'Premade Flavors'!P:P),_xlfn.XLOOKUP("How Much Of The First Sweetner? ",[1]Sheet1!$1:$1,[1]Sheet1!138:138))</f>
        <v>0</v>
      </c>
      <c r="Q138" s="45">
        <f>IF(COUNTIF('Premade Flavors'!$A:$A, $C138) &gt; 0,_xlfn.XLOOKUP($C138,'Premade Flavors'!$A:$A,'Premade Flavors'!Q:Q),[2]Sheet1!S138)</f>
        <v>0</v>
      </c>
      <c r="R138" s="30">
        <f>(_xlfn.XLOOKUP($L138,Specs!A:A,Specs!B:B,0)-(IF(_xlfn.XLOOKUP($F138,'Liquid Mix In Nutrition'!A:A,'Liquid Mix In Nutrition'!J:J,0)="Yes",0,$T138))-(IF(_xlfn.XLOOKUP($G138,'Liquid Mix In Nutrition'!A:A,'Liquid Mix In Nutrition'!J:J,0)="Yes",0,$U138))-(($V138/MAX(1,_xlfn.XLOOKUP($H138,'Solid Mix In Nutrition'!A:A,'Solid Mix In Nutrition'!I:I,1)))*240)-(($W138/MAX(1,_xlfn.XLOOKUP($I138,'Solid Mix In Nutrition'!A:A,'Solid Mix In Nutrition'!I:I,1)))*240))*0.66</f>
        <v>0</v>
      </c>
      <c r="S138" s="30">
        <f>(_xlfn.XLOOKUP($L138,Specs!A:A,Specs!B:B,0)-(IF(_xlfn.XLOOKUP($F138,'Liquid Mix In Nutrition'!A:A,'Liquid Mix In Nutrition'!J:J,0)="Yes",0,$T138))-(IF(_xlfn.XLOOKUP($G138,'Liquid Mix In Nutrition'!A:A,'Liquid Mix In Nutrition'!J:J,0)="Yes",0,$U138))-(($V138/MAX(1,_xlfn.XLOOKUP($H138,'Solid Mix In Nutrition'!A:A,'Solid Mix In Nutrition'!I:I,1)))*240)-(($W138/MAX(1,_xlfn.XLOOKUP($I138,'Solid Mix In Nutrition'!A:A,'Solid Mix In Nutrition'!I:I,1)))*240))*0.33</f>
        <v>0</v>
      </c>
      <c r="T138" s="30">
        <f>_xlfn.XLOOKUP($M138,Specs!$D:$D,Specs!$E:$E,0)*15*_xlfn.XLOOKUP($L138,Specs!$A:$A,Specs!$C:$C,0)</f>
        <v>0</v>
      </c>
      <c r="U138" s="30">
        <f>_xlfn.XLOOKUP($N138,Specs!$D:$D,Specs!$E:$E,0)*15*_xlfn.XLOOKUP($L138,Specs!$A:$A,Specs!$C:$C,0)</f>
        <v>0</v>
      </c>
      <c r="V138" s="30">
        <f>( ((_xlfn.XLOOKUP($O138,Specs!$H:$H,Specs!$I:$I,0)*_xlfn.XLOOKUP($L138,Specs!$A:$A,Specs!$B:$B,0))/240) *_xlfn.XLOOKUP($H138,'Solid Mix In Nutrition'!A:A,'Solid Mix In Nutrition'!I:I,0)) *IF(AND(NOT($I138=0), COUNTA($I138)),0.5,1)</f>
        <v>0</v>
      </c>
      <c r="W138" s="30">
        <f>( ((_xlfn.XLOOKUP($O138,Specs!$H:$H,Specs!$I:$I,0)*_xlfn.XLOOKUP($L138,Specs!$A:$A,Specs!$B:$B,0))/240) *_xlfn.XLOOKUP($I138,'Solid Mix In Nutrition'!A:A,'Solid Mix In Nutrition'!I:I,0)) *IF(AND(NOT($I138=0), COUNTA($I138)),0.5,0)</f>
        <v>0</v>
      </c>
      <c r="X138" s="30">
        <f>_xlfn.XLOOKUP($P138,Specs!F:F,Specs!G:G,0)*_xlfn.XLOOKUP($J138,'Sweetener Mix In Nutrition'!A:A,'Sweetener Mix In Nutrition'!I:I,0)*_xlfn.XLOOKUP($L138,Specs!A:A,Specs!C:C,0)</f>
        <v>0</v>
      </c>
      <c r="Y138" s="30">
        <f>_xlfn.XLOOKUP($Q138,Specs!F:F,Specs!G:G,0)*_xlfn.XLOOKUP($K138,'Sweetener Mix In Nutrition'!A:A,'Sweetener Mix In Nutrition'!I:I,0)*_xlfn.XLOOKUP($L138,Specs!A:A,Specs!C:C,0)</f>
        <v>0</v>
      </c>
      <c r="Z138" s="34">
        <f t="shared" si="4"/>
        <v>0</v>
      </c>
      <c r="AA138" s="35">
        <f t="shared" si="5"/>
        <v>0</v>
      </c>
      <c r="AB138" s="36">
        <f>(($R138 / 240) * _xlfn.XLOOKUP($D138,'Milk Types Nutrition Per Cup'!A:A,'Milk Types Nutrition Per Cup'!B:B,0)) +(($S138 / 240)  * _xlfn.XLOOKUP($E138,'Milk Types Nutrition Per Cup'!A:A,'Milk Types Nutrition Per Cup'!B:B,0)) +(($T138 / 15)  * _xlfn.XLOOKUP($F138,'Liquid Mix In Nutrition'!A:A,'Liquid Mix In Nutrition'!B:B,0))+(($U138 / 15)  * _xlfn.XLOOKUP($G138,'Liquid Mix In Nutrition'!A:A,'Liquid Mix In Nutrition'!B:B,0))+(($V138 /MAX(1, _xlfn.XLOOKUP($H138,'Solid Mix In Nutrition'!A:A,'Solid Mix In Nutrition'!I:I,1)))  * _xlfn.XLOOKUP($H138,'Solid Mix In Nutrition'!A:A,'Solid Mix In Nutrition'!B:B,0))+(($W138 / MAX(1, _xlfn.XLOOKUP($I138,'Solid Mix In Nutrition'!A:A,'Solid Mix In Nutrition'!I:I,1))))+(($X138 / 100)  * _xlfn.XLOOKUP($J138,'Sweetener Mix In Nutrition'!A:A,'Sweetener Mix In Nutrition'!B:B,0))+(($Y138 / 100)  * _xlfn.XLOOKUP($K138,'Sweetener Mix In Nutrition'!A:A,'Sweetener Mix In Nutrition'!B:B,0))</f>
        <v>0</v>
      </c>
      <c r="AC138" s="36">
        <f>(($R138 / 240) * _xlfn.XLOOKUP($D138,'Milk Types Nutrition Per Cup'!A:A,'Milk Types Nutrition Per Cup'!E:E,0)) +(($S138 / 240)  * _xlfn.XLOOKUP($E138,'Milk Types Nutrition Per Cup'!A:A,'Milk Types Nutrition Per Cup'!E:E,0)) +(($T138 / 15)  * _xlfn.XLOOKUP($F138,'Liquid Mix In Nutrition'!A:A,'Liquid Mix In Nutrition'!E:E,0)) +(($U138 / 15)  * _xlfn.XLOOKUP($G138,'Liquid Mix In Nutrition'!A:A,'Liquid Mix In Nutrition'!E:E,0))+(($V138 / MAX(1, _xlfn.XLOOKUP($H138,'Solid Mix In Nutrition'!A:A,'Solid Mix In Nutrition'!I:I,1)))  * _xlfn.XLOOKUP($H138,'Solid Mix In Nutrition'!A:A,'Solid Mix In Nutrition'!E:E,0))+(($W138 / MAX(1, _xlfn.XLOOKUP($I138,'Solid Mix In Nutrition'!A:A,'Solid Mix In Nutrition'!I:I,1)))  * _xlfn.XLOOKUP($I138,'Solid Mix In Nutrition'!A:A,'Solid Mix In Nutrition'!G:G,0))+(($X138 / 100)  * _xlfn.XLOOKUP($J138,'Sweetener Mix In Nutrition'!A:A,'Sweetener Mix In Nutrition'!E:E,0))+(($Y138 / 100)  * _xlfn.XLOOKUP($K138,'Sweetener Mix In Nutrition'!A:A,'Sweetener Mix In Nutrition'!E:E,0))</f>
        <v>0</v>
      </c>
      <c r="AD138" s="36">
        <f>(($R138 / 240) * _xlfn.XLOOKUP($D138,'Milk Types Nutrition Per Cup'!A:A,'Milk Types Nutrition Per Cup'!E:E,0)) +(($S138 / 240)  * _xlfn.XLOOKUP($E138,'Milk Types Nutrition Per Cup'!A:A,'Milk Types Nutrition Per Cup'!E:E,0)) +(($T138 / 15)  * _xlfn.XLOOKUP($F138,'Liquid Mix In Nutrition'!A:A,'Liquid Mix In Nutrition'!E:E,0)) +(($U138 / 15)  * _xlfn.XLOOKUP($G138,'Liquid Mix In Nutrition'!A:A,'Liquid Mix In Nutrition'!E:E,0))+(($X138 / 100)  * _xlfn.XLOOKUP($J138,'Sweetener Mix In Nutrition'!A:A,'Sweetener Mix In Nutrition'!E:E,0))+(($Y138 / 100)  * _xlfn.XLOOKUP($K138,'Sweetener Mix In Nutrition'!A:A,'Sweetener Mix In Nutrition'!E:E,0))</f>
        <v>0</v>
      </c>
      <c r="AE138" s="37">
        <f>(($R138 / 240) * _xlfn.XLOOKUP($D138,'Milk Types Nutrition Per Cup'!A:A,'Milk Types Nutrition Per Cup'!C:C,0)) +(($S138 / 240)  * _xlfn.XLOOKUP($E138,'Milk Types Nutrition Per Cup'!A:A,'Milk Types Nutrition Per Cup'!C:C,0)) +(($T138 / 15)  * _xlfn.XLOOKUP($F138,'Liquid Mix In Nutrition'!A:A,'Liquid Mix In Nutrition'!C:C,0))+(($U138 / 15)  * _xlfn.XLOOKUP($G138,'Liquid Mix In Nutrition'!A:A,'Liquid Mix In Nutrition'!C:C,0))+(($V138 / MAX(1, _xlfn.XLOOKUP($H138,'Solid Mix In Nutrition'!A:A,'Solid Mix In Nutrition'!I:I,1)))  * _xlfn.XLOOKUP($H138,'Solid Mix In Nutrition'!A:A,'Solid Mix In Nutrition'!C:C,0))+(($W138 / MAX(1, _xlfn.XLOOKUP($I138,'Solid Mix In Nutrition'!A:A,'Solid Mix In Nutrition'!I:I,1)))  * _xlfn.XLOOKUP($I138,'Solid Mix In Nutrition'!A:A,'Solid Mix In Nutrition'!C:C,0))+(($X138 / 100)  * _xlfn.XLOOKUP($J138,'Sweetener Mix In Nutrition'!A:A,'Sweetener Mix In Nutrition'!C:C,0))+(($Y138 / 100)  * _xlfn.XLOOKUP($K138,'Sweetener Mix In Nutrition'!A:A,'Sweetener Mix In Nutrition'!C:C,0))</f>
        <v>0</v>
      </c>
      <c r="AF138" s="38" t="e">
        <f>$AE138 / (_xlfn.XLOOKUP($L138,Specs!A:A,Specs!B:B,0))</f>
        <v>#DIV/0!</v>
      </c>
      <c r="AG138" s="37" t="e">
        <f>60* ($AB138 / _xlfn.XLOOKUP($L138,Specs!A:A,Specs!B:B,0))</f>
        <v>#DIV/0!</v>
      </c>
      <c r="AH138" s="37" t="e">
        <f>60* (AC138 / _xlfn.XLOOKUP($L138,Specs!$A:$A,Specs!$B:$B,0))</f>
        <v>#DIV/0!</v>
      </c>
      <c r="AI138" s="37" t="e">
        <f>60* (AE138 / _xlfn.XLOOKUP($L138,Specs!$A:$A,Specs!$B:$B,0))</f>
        <v>#DIV/0!</v>
      </c>
      <c r="AJ138" s="39">
        <f>(($R138 / 240) * _xlfn.XLOOKUP($D138,'Milk Types Nutrition Per Cup'!A:A,'Milk Types Nutrition Per Cup'!F:F,0)) +(($S138 / 240)  * _xlfn.XLOOKUP($E138,'Milk Types Nutrition Per Cup'!A:A,'Milk Types Nutrition Per Cup'!F:F,0)) +(($T138 / 15)  * _xlfn.XLOOKUP($F138,'Liquid Mix In Nutrition'!A:A,'Liquid Mix In Nutrition'!F:F,0))+(($U138 / 15)  * _xlfn.XLOOKUP($G138,'Liquid Mix In Nutrition'!A:A,'Liquid Mix In Nutrition'!F:F,0))+(($V138 / MAX(1, _xlfn.XLOOKUP($H138,'Solid Mix In Nutrition'!A:A,'Solid Mix In Nutrition'!I:I,1)))  * _xlfn.XLOOKUP($H138,'Solid Mix In Nutrition'!A:A,'Solid Mix In Nutrition'!F:F,0))+(($W138 / MAX(1, _xlfn.XLOOKUP($I138,'Solid Mix In Nutrition'!A:A,'Solid Mix In Nutrition'!I:I,1)))  * _xlfn.XLOOKUP($I138,'Solid Mix In Nutrition'!A:A,'Solid Mix In Nutrition'!F:F,0))+(($X138 / 100)  * _xlfn.XLOOKUP($J138,'Sweetener Mix In Nutrition'!A:A,'Sweetener Mix In Nutrition'!F:F,0))+(($Y138 / 100)  * _xlfn.XLOOKUP($K138,'Sweetener Mix In Nutrition'!A:A,'Sweetener Mix In Nutrition'!F:F,0))</f>
        <v>0</v>
      </c>
      <c r="AK138" s="46">
        <f>[2]Sheet1!AG138</f>
        <v>0</v>
      </c>
      <c r="AL138" s="47"/>
      <c r="AM138" s="40">
        <f>IF(ISERROR(((AL138/Specs!$L$3)*Specs!$L$2)*2),0,ROUNDUP((((AL138/Specs!$L$3)*Specs!$L$2)*2),0))</f>
        <v>0</v>
      </c>
      <c r="AN138" s="48">
        <f>ROUNDUP(((AJ138+Specs!$R$2+Specs!$S$2+_xlfn.XLOOKUP($L138,Specs!A:A,Specs!V:V,0))*Specs!$N$2)+AM138,0)</f>
        <v>1</v>
      </c>
      <c r="AO138" s="40">
        <f>ROUNDUP(((AJ138+Specs!$R$2+Specs!$S$2+_xlfn.XLOOKUP($L138,Specs!A:A,Specs!V:V,0))*Specs!$N$2),0)</f>
        <v>1</v>
      </c>
      <c r="AP138" s="30"/>
    </row>
    <row r="139" spans="1:42" x14ac:dyDescent="0.25">
      <c r="A139" s="41" t="str">
        <f>_xlfn.CONCAT(_xlfn.XLOOKUP("What's Your Name?",[1]Sheet1!$1:$1,[1]Sheet1!139:139)," | ",TEXT(_xlfn.XLOOKUP("Completion time",[1]Sheet1!$1:$1,[1]Sheet1!139:139),"dddd, mmm dd, yyyy hh:mm AM/PM"))</f>
        <v xml:space="preserve"> | Saturday, Jan 00, 1900 12:00 AM</v>
      </c>
      <c r="B139" s="76">
        <f>_xlfn.XLOOKUP("What's Your Email Address?",[1]Sheet1!$1:$1,[1]Sheet1!139:139)</f>
        <v>0</v>
      </c>
      <c r="C139" s="31">
        <f>IF(ISBLANK(_xlfn.XLOOKUP("Which Flavor? (Pint Price | Quart Price | Half Gallon Price) (NOTE: Prices may fluctuate based on market conditions)",[1]Sheet1!$1:$1,[1]Sheet1!139:139)),_xlfn.XLOOKUP("Name Your Ice Cream!",[1]Sheet1!$1:$1,[1]Sheet1!139:139),IF(ISNUMBER(FIND("(", _xlfn.XLOOKUP("Which Flavor? (Pint Price | Quart Price | Half Gallon Price) (NOTE: Prices may fluctuate based on market conditions)",[1]Sheet1!$1:$1,[1]Sheet1!139:139))), LEFT(_xlfn.XLOOKUP("Which Flavor? (Pint Price | Quart Price | Half Gallon Price) (NOTE: Prices may fluctuate based on market conditions)",[1]Sheet1!$1:$1,[1]Sheet1!139:139), FIND("(", _xlfn.XLOOKUP("Which Flavor? (Pint Price | Quart Price | Half Gallon Price) (NOTE: Prices may fluctuate based on market conditions)",[1]Sheet1!$1:$1,[1]Sheet1!139:139)) - 1), _xlfn.XLOOKUP("Which Flavor? (Pint Price | Quart Price | Half Gallon Price) (NOTE: Prices may fluctuate based on market conditions)",[1]Sheet1!$1:$1,[1]Sheet1!139:139)))</f>
        <v>0</v>
      </c>
      <c r="D139" s="31">
        <f>IF(COUNTIF('Premade Flavors'!$A:$A, $C139) &gt; 0,IF(ISBLANK(_xlfn.XLOOKUP("What Ice Cream Base Do You Want To Change It To?",[1]Sheet1!$1:$1,[1]Sheet1!139:139)),_xlfn.XLOOKUP($C139,'Premade Flavors'!$A:$A,'Premade Flavors'!B:B),_xlfn.XLOOKUP("What Ice Cream Base Do You Want To Change It To?",[1]Sheet1!$1:$1,[1]Sheet1!139:139)),_xlfn.XLOOKUP(_xlfn.XLOOKUP("What Kind Of Ice Cream Base Do You Want? ",[1]Sheet1!$1:$1,[1]Sheet1!139:139),'Milk Types Nutrition Per Cup'!O:O,'Milk Types Nutrition Per Cup'!P:P,""))</f>
        <v>0</v>
      </c>
      <c r="E139" s="31">
        <f>IF(COUNTIF('Premade Flavors'!$A:$A, $C139) &gt; 0,IF(ISBLANK(_xlfn.XLOOKUP("What Ice Cream Base Do You Want To Change It To?",[1]Sheet1!$1:$1,[1]Sheet1!139:139)),_xlfn.XLOOKUP($C139,'Premade Flavors'!$A:$A,'Premade Flavors'!C:C),_xlfn.XLOOKUP("What Ice Cream Base Do You Want To Change It To?",[1]Sheet1!$1:$1,[1]Sheet1!139:139)),_xlfn.XLOOKUP(_xlfn.XLOOKUP("What Kind Of Ice Cream Base Do You Want? ",[1]Sheet1!$1:$1,[1]Sheet1!139:139),'Milk Types Nutrition Per Cup'!$O:$O,'Milk Types Nutrition Per Cup'!$Q:$Q,""))</f>
        <v>0</v>
      </c>
      <c r="F139" s="31">
        <f>IF(COUNTIF('Premade Flavors'!$A:$A, $C139) &gt; 0,_xlfn.XLOOKUP($C139,'Premade Flavors'!$A:$A,'Premade Flavors'!E:E),_xlfn.XLOOKUP("What's The First Flavor You Want? ",[1]Sheet1!$1:$1,[1]Sheet1!139:139))</f>
        <v>0</v>
      </c>
      <c r="G139" s="31">
        <f>IF(COUNTIF('Premade Flavors'!$A:$A, $C139) &gt; 0,_xlfn.XLOOKUP($C139,'Premade Flavors'!$A:$A,'Premade Flavors'!F:F),_xlfn.XLOOKUP("What's the Second Flavor You Want?",[1]Sheet1!$1:$1,[1]Sheet1!139:139))</f>
        <v>0</v>
      </c>
      <c r="H139" s="31">
        <f>IF(COUNTIF('Premade Flavors'!$A:$A, $C139) &gt; 0,_xlfn.XLOOKUP($C139,'Premade Flavors'!$A:$A,'Premade Flavors'!G:G),_xlfn.XLOOKUP("What's The First Mix In That You Want? ",[1]Sheet1!$1:$1,[1]Sheet1!139:139))</f>
        <v>0</v>
      </c>
      <c r="I139" s="31">
        <f>IF(COUNTIF('Premade Flavors'!$A:$A, $C137) &gt; 0,_xlfn.XLOOKUP($C137,'Premade Flavors'!$A:$A,'Premade Flavors'!H:H),IF([2]Sheet1!W137= 0,,[2]Sheet1!W137))</f>
        <v>0</v>
      </c>
      <c r="J139" s="31">
        <f>IF(COUNTIF('Premade Flavors'!$A:$A,$C139)&gt;0,IF(_xlfn.XLOOKUP("Should It Use Sugar or A Non-Sugar Sweetner?",[1]Sheet1!$1:$1,[1]Sheet1!139:139)="Sugar",_xlfn.XLOOKUP($C139,'Premade Flavors'!$A:$A,'Premade Flavors'!I:I),"Stevia"),_xlfn.XLOOKUP("What Sweetner Do You Want?",[1]Sheet1!$1:$1,[1]Sheet1!139:139))</f>
        <v>0</v>
      </c>
      <c r="K139" s="31"/>
      <c r="L139" s="77">
        <f>_xlfn.XLOOKUP("How Much Ice Cream Do You Want?",[1]Sheet1!$1:$1,[1]Sheet1!139:139)</f>
        <v>0</v>
      </c>
      <c r="M139" s="45">
        <f>IF(COUNTIF('Premade Flavors'!$A:$A, $C139) &gt; 0,_xlfn.XLOOKUP($C139,'Premade Flavors'!$A:$A,'Premade Flavors'!M:M),_xlfn.XLOOKUP("How Strong Do You Want The First Flavor?",[1]Sheet1!$1:$1,[1]Sheet1!139:139))</f>
        <v>0</v>
      </c>
      <c r="N139" s="45">
        <f>IF(COUNTIF('Premade Flavors'!$A:$A, $C139) &gt; 0,_xlfn.XLOOKUP($C139,'Premade Flavors'!$A:$A,'Premade Flavors'!N:N),_xlfn.XLOOKUP("How Strong Do You Want The Second Flavor?",[1]Sheet1!$1:$1,[1]Sheet1!139:139))</f>
        <v>0</v>
      </c>
      <c r="O139" s="45">
        <f>IF(COUNTIF('Premade Flavors'!$A:$A, $C139) &gt; 0,_xlfn.XLOOKUP($C139,'Premade Flavors'!$A:$A,'Premade Flavors'!O:O),_xlfn.XLOOKUP("How Dense Should the Mix Ins Be?",[1]Sheet1!$1:$1,[1]Sheet1!139:139))</f>
        <v>0</v>
      </c>
      <c r="P139" s="45">
        <f>IF(COUNTIF('Premade Flavors'!$A:$A, $C139) &gt; 0,_xlfn.XLOOKUP($C139,'Premade Flavors'!$A:$A,'Premade Flavors'!P:P),_xlfn.XLOOKUP("How Much Of The First Sweetner? ",[1]Sheet1!$1:$1,[1]Sheet1!139:139))</f>
        <v>0</v>
      </c>
      <c r="Q139" s="45">
        <f>IF(COUNTIF('Premade Flavors'!$A:$A, $C139) &gt; 0,_xlfn.XLOOKUP($C139,'Premade Flavors'!$A:$A,'Premade Flavors'!Q:Q),[2]Sheet1!S139)</f>
        <v>0</v>
      </c>
      <c r="R139" s="30">
        <f>(_xlfn.XLOOKUP($L139,Specs!A:A,Specs!B:B,0)-(IF(_xlfn.XLOOKUP($F139,'Liquid Mix In Nutrition'!A:A,'Liquid Mix In Nutrition'!J:J,0)="Yes",0,$T139))-(IF(_xlfn.XLOOKUP($G139,'Liquid Mix In Nutrition'!A:A,'Liquid Mix In Nutrition'!J:J,0)="Yes",0,$U139))-(($V139/MAX(1,_xlfn.XLOOKUP($H139,'Solid Mix In Nutrition'!A:A,'Solid Mix In Nutrition'!I:I,1)))*240)-(($W139/MAX(1,_xlfn.XLOOKUP($I139,'Solid Mix In Nutrition'!A:A,'Solid Mix In Nutrition'!I:I,1)))*240))*0.66</f>
        <v>0</v>
      </c>
      <c r="S139" s="30">
        <f>(_xlfn.XLOOKUP($L139,Specs!A:A,Specs!B:B,0)-(IF(_xlfn.XLOOKUP($F139,'Liquid Mix In Nutrition'!A:A,'Liquid Mix In Nutrition'!J:J,0)="Yes",0,$T139))-(IF(_xlfn.XLOOKUP($G139,'Liquid Mix In Nutrition'!A:A,'Liquid Mix In Nutrition'!J:J,0)="Yes",0,$U139))-(($V139/MAX(1,_xlfn.XLOOKUP($H139,'Solid Mix In Nutrition'!A:A,'Solid Mix In Nutrition'!I:I,1)))*240)-(($W139/MAX(1,_xlfn.XLOOKUP($I139,'Solid Mix In Nutrition'!A:A,'Solid Mix In Nutrition'!I:I,1)))*240))*0.33</f>
        <v>0</v>
      </c>
      <c r="T139" s="30">
        <f>_xlfn.XLOOKUP($M139,Specs!$D:$D,Specs!$E:$E,0)*15*_xlfn.XLOOKUP($L139,Specs!$A:$A,Specs!$C:$C,0)</f>
        <v>0</v>
      </c>
      <c r="U139" s="30">
        <f>_xlfn.XLOOKUP($N139,Specs!$D:$D,Specs!$E:$E,0)*15*_xlfn.XLOOKUP($L139,Specs!$A:$A,Specs!$C:$C,0)</f>
        <v>0</v>
      </c>
      <c r="V139" s="30">
        <f>( ((_xlfn.XLOOKUP($O139,Specs!$H:$H,Specs!$I:$I,0)*_xlfn.XLOOKUP($L139,Specs!$A:$A,Specs!$B:$B,0))/240) *_xlfn.XLOOKUP($H139,'Solid Mix In Nutrition'!A:A,'Solid Mix In Nutrition'!I:I,0)) *IF(AND(NOT($I139=0), COUNTA($I139)),0.5,1)</f>
        <v>0</v>
      </c>
      <c r="W139" s="30">
        <f>( ((_xlfn.XLOOKUP($O139,Specs!$H:$H,Specs!$I:$I,0)*_xlfn.XLOOKUP($L139,Specs!$A:$A,Specs!$B:$B,0))/240) *_xlfn.XLOOKUP($I139,'Solid Mix In Nutrition'!A:A,'Solid Mix In Nutrition'!I:I,0)) *IF(AND(NOT($I139=0), COUNTA($I139)),0.5,0)</f>
        <v>0</v>
      </c>
      <c r="X139" s="30">
        <f>_xlfn.XLOOKUP($P139,Specs!F:F,Specs!G:G,0)*_xlfn.XLOOKUP($J139,'Sweetener Mix In Nutrition'!A:A,'Sweetener Mix In Nutrition'!I:I,0)*_xlfn.XLOOKUP($L139,Specs!A:A,Specs!C:C,0)</f>
        <v>0</v>
      </c>
      <c r="Y139" s="30">
        <f>_xlfn.XLOOKUP($Q139,Specs!F:F,Specs!G:G,0)*_xlfn.XLOOKUP($K139,'Sweetener Mix In Nutrition'!A:A,'Sweetener Mix In Nutrition'!I:I,0)*_xlfn.XLOOKUP($L139,Specs!A:A,Specs!C:C,0)</f>
        <v>0</v>
      </c>
      <c r="Z139" s="34">
        <f t="shared" si="4"/>
        <v>0</v>
      </c>
      <c r="AA139" s="35">
        <f t="shared" si="5"/>
        <v>0</v>
      </c>
      <c r="AB139" s="36">
        <f>(($R139 / 240) * _xlfn.XLOOKUP($D139,'Milk Types Nutrition Per Cup'!A:A,'Milk Types Nutrition Per Cup'!B:B,0)) +(($S139 / 240)  * _xlfn.XLOOKUP($E139,'Milk Types Nutrition Per Cup'!A:A,'Milk Types Nutrition Per Cup'!B:B,0)) +(($T139 / 15)  * _xlfn.XLOOKUP($F139,'Liquid Mix In Nutrition'!A:A,'Liquid Mix In Nutrition'!B:B,0))+(($U139 / 15)  * _xlfn.XLOOKUP($G139,'Liquid Mix In Nutrition'!A:A,'Liquid Mix In Nutrition'!B:B,0))+(($V139 /MAX(1, _xlfn.XLOOKUP($H139,'Solid Mix In Nutrition'!A:A,'Solid Mix In Nutrition'!I:I,1)))  * _xlfn.XLOOKUP($H139,'Solid Mix In Nutrition'!A:A,'Solid Mix In Nutrition'!B:B,0))+(($W139 / MAX(1, _xlfn.XLOOKUP($I139,'Solid Mix In Nutrition'!A:A,'Solid Mix In Nutrition'!I:I,1))))+(($X139 / 100)  * _xlfn.XLOOKUP($J139,'Sweetener Mix In Nutrition'!A:A,'Sweetener Mix In Nutrition'!B:B,0))+(($Y139 / 100)  * _xlfn.XLOOKUP($K139,'Sweetener Mix In Nutrition'!A:A,'Sweetener Mix In Nutrition'!B:B,0))</f>
        <v>0</v>
      </c>
      <c r="AC139" s="36">
        <f>(($R139 / 240) * _xlfn.XLOOKUP($D139,'Milk Types Nutrition Per Cup'!A:A,'Milk Types Nutrition Per Cup'!E:E,0)) +(($S139 / 240)  * _xlfn.XLOOKUP($E139,'Milk Types Nutrition Per Cup'!A:A,'Milk Types Nutrition Per Cup'!E:E,0)) +(($T139 / 15)  * _xlfn.XLOOKUP($F139,'Liquid Mix In Nutrition'!A:A,'Liquid Mix In Nutrition'!E:E,0)) +(($U139 / 15)  * _xlfn.XLOOKUP($G139,'Liquid Mix In Nutrition'!A:A,'Liquid Mix In Nutrition'!E:E,0))+(($V139 / MAX(1, _xlfn.XLOOKUP($H139,'Solid Mix In Nutrition'!A:A,'Solid Mix In Nutrition'!I:I,1)))  * _xlfn.XLOOKUP($H139,'Solid Mix In Nutrition'!A:A,'Solid Mix In Nutrition'!E:E,0))+(($W139 / MAX(1, _xlfn.XLOOKUP($I139,'Solid Mix In Nutrition'!A:A,'Solid Mix In Nutrition'!I:I,1)))  * _xlfn.XLOOKUP($I139,'Solid Mix In Nutrition'!A:A,'Solid Mix In Nutrition'!G:G,0))+(($X139 / 100)  * _xlfn.XLOOKUP($J139,'Sweetener Mix In Nutrition'!A:A,'Sweetener Mix In Nutrition'!E:E,0))+(($Y139 / 100)  * _xlfn.XLOOKUP($K139,'Sweetener Mix In Nutrition'!A:A,'Sweetener Mix In Nutrition'!E:E,0))</f>
        <v>0</v>
      </c>
      <c r="AD139" s="36">
        <f>(($R139 / 240) * _xlfn.XLOOKUP($D139,'Milk Types Nutrition Per Cup'!A:A,'Milk Types Nutrition Per Cup'!E:E,0)) +(($S139 / 240)  * _xlfn.XLOOKUP($E139,'Milk Types Nutrition Per Cup'!A:A,'Milk Types Nutrition Per Cup'!E:E,0)) +(($T139 / 15)  * _xlfn.XLOOKUP($F139,'Liquid Mix In Nutrition'!A:A,'Liquid Mix In Nutrition'!E:E,0)) +(($U139 / 15)  * _xlfn.XLOOKUP($G139,'Liquid Mix In Nutrition'!A:A,'Liquid Mix In Nutrition'!E:E,0))+(($X139 / 100)  * _xlfn.XLOOKUP($J139,'Sweetener Mix In Nutrition'!A:A,'Sweetener Mix In Nutrition'!E:E,0))+(($Y139 / 100)  * _xlfn.XLOOKUP($K139,'Sweetener Mix In Nutrition'!A:A,'Sweetener Mix In Nutrition'!E:E,0))</f>
        <v>0</v>
      </c>
      <c r="AE139" s="37">
        <f>(($R139 / 240) * _xlfn.XLOOKUP($D139,'Milk Types Nutrition Per Cup'!A:A,'Milk Types Nutrition Per Cup'!C:C,0)) +(($S139 / 240)  * _xlfn.XLOOKUP($E139,'Milk Types Nutrition Per Cup'!A:A,'Milk Types Nutrition Per Cup'!C:C,0)) +(($T139 / 15)  * _xlfn.XLOOKUP($F139,'Liquid Mix In Nutrition'!A:A,'Liquid Mix In Nutrition'!C:C,0))+(($U139 / 15)  * _xlfn.XLOOKUP($G139,'Liquid Mix In Nutrition'!A:A,'Liquid Mix In Nutrition'!C:C,0))+(($V139 / MAX(1, _xlfn.XLOOKUP($H139,'Solid Mix In Nutrition'!A:A,'Solid Mix In Nutrition'!I:I,1)))  * _xlfn.XLOOKUP($H139,'Solid Mix In Nutrition'!A:A,'Solid Mix In Nutrition'!C:C,0))+(($W139 / MAX(1, _xlfn.XLOOKUP($I139,'Solid Mix In Nutrition'!A:A,'Solid Mix In Nutrition'!I:I,1)))  * _xlfn.XLOOKUP($I139,'Solid Mix In Nutrition'!A:A,'Solid Mix In Nutrition'!C:C,0))+(($X139 / 100)  * _xlfn.XLOOKUP($J139,'Sweetener Mix In Nutrition'!A:A,'Sweetener Mix In Nutrition'!C:C,0))+(($Y139 / 100)  * _xlfn.XLOOKUP($K139,'Sweetener Mix In Nutrition'!A:A,'Sweetener Mix In Nutrition'!C:C,0))</f>
        <v>0</v>
      </c>
      <c r="AF139" s="38" t="e">
        <f>$AE139 / (_xlfn.XLOOKUP($L139,Specs!A:A,Specs!B:B,0))</f>
        <v>#DIV/0!</v>
      </c>
      <c r="AG139" s="37" t="e">
        <f>60* ($AB139 / _xlfn.XLOOKUP($L139,Specs!A:A,Specs!B:B,0))</f>
        <v>#DIV/0!</v>
      </c>
      <c r="AH139" s="37" t="e">
        <f>60* (AC139 / _xlfn.XLOOKUP($L139,Specs!$A:$A,Specs!$B:$B,0))</f>
        <v>#DIV/0!</v>
      </c>
      <c r="AI139" s="37" t="e">
        <f>60* (AE139 / _xlfn.XLOOKUP($L139,Specs!$A:$A,Specs!$B:$B,0))</f>
        <v>#DIV/0!</v>
      </c>
      <c r="AJ139" s="39">
        <f>(($R139 / 240) * _xlfn.XLOOKUP($D139,'Milk Types Nutrition Per Cup'!A:A,'Milk Types Nutrition Per Cup'!F:F,0)) +(($S139 / 240)  * _xlfn.XLOOKUP($E139,'Milk Types Nutrition Per Cup'!A:A,'Milk Types Nutrition Per Cup'!F:F,0)) +(($T139 / 15)  * _xlfn.XLOOKUP($F139,'Liquid Mix In Nutrition'!A:A,'Liquid Mix In Nutrition'!F:F,0))+(($U139 / 15)  * _xlfn.XLOOKUP($G139,'Liquid Mix In Nutrition'!A:A,'Liquid Mix In Nutrition'!F:F,0))+(($V139 / MAX(1, _xlfn.XLOOKUP($H139,'Solid Mix In Nutrition'!A:A,'Solid Mix In Nutrition'!I:I,1)))  * _xlfn.XLOOKUP($H139,'Solid Mix In Nutrition'!A:A,'Solid Mix In Nutrition'!F:F,0))+(($W139 / MAX(1, _xlfn.XLOOKUP($I139,'Solid Mix In Nutrition'!A:A,'Solid Mix In Nutrition'!I:I,1)))  * _xlfn.XLOOKUP($I139,'Solid Mix In Nutrition'!A:A,'Solid Mix In Nutrition'!F:F,0))+(($X139 / 100)  * _xlfn.XLOOKUP($J139,'Sweetener Mix In Nutrition'!A:A,'Sweetener Mix In Nutrition'!F:F,0))+(($Y139 / 100)  * _xlfn.XLOOKUP($K139,'Sweetener Mix In Nutrition'!A:A,'Sweetener Mix In Nutrition'!F:F,0))</f>
        <v>0</v>
      </c>
      <c r="AK139" s="46">
        <f>[2]Sheet1!AG139</f>
        <v>0</v>
      </c>
      <c r="AL139" s="47"/>
      <c r="AM139" s="40">
        <f>IF(ISERROR(((AL139/Specs!$L$3)*Specs!$L$2)*2),0,ROUNDUP((((AL139/Specs!$L$3)*Specs!$L$2)*2),0))</f>
        <v>0</v>
      </c>
      <c r="AN139" s="48">
        <f>ROUNDUP(((AJ139+Specs!$R$2+Specs!$S$2+_xlfn.XLOOKUP($L139,Specs!A:A,Specs!V:V,0))*Specs!$N$2)+AM139,0)</f>
        <v>1</v>
      </c>
      <c r="AO139" s="40">
        <f>ROUNDUP(((AJ139+Specs!$R$2+Specs!$S$2+_xlfn.XLOOKUP($L139,Specs!A:A,Specs!V:V,0))*Specs!$N$2),0)</f>
        <v>1</v>
      </c>
      <c r="AP139" s="30"/>
    </row>
    <row r="140" spans="1:42" x14ac:dyDescent="0.25">
      <c r="A140" s="41" t="str">
        <f>_xlfn.CONCAT(_xlfn.XLOOKUP("What's Your Name?",[1]Sheet1!$1:$1,[1]Sheet1!140:140)," | ",TEXT(_xlfn.XLOOKUP("Completion time",[1]Sheet1!$1:$1,[1]Sheet1!140:140),"dddd, mmm dd, yyyy hh:mm AM/PM"))</f>
        <v xml:space="preserve"> | Saturday, Jan 00, 1900 12:00 AM</v>
      </c>
      <c r="B140" s="76">
        <f>_xlfn.XLOOKUP("What's Your Email Address?",[1]Sheet1!$1:$1,[1]Sheet1!140:140)</f>
        <v>0</v>
      </c>
      <c r="C140" s="31">
        <f>IF(ISBLANK(_xlfn.XLOOKUP("Which Flavor? (Pint Price | Quart Price | Half Gallon Price) (NOTE: Prices may fluctuate based on market conditions)",[1]Sheet1!$1:$1,[1]Sheet1!140:140)),_xlfn.XLOOKUP("Name Your Ice Cream!",[1]Sheet1!$1:$1,[1]Sheet1!140:140),IF(ISNUMBER(FIND("(", _xlfn.XLOOKUP("Which Flavor? (Pint Price | Quart Price | Half Gallon Price) (NOTE: Prices may fluctuate based on market conditions)",[1]Sheet1!$1:$1,[1]Sheet1!140:140))), LEFT(_xlfn.XLOOKUP("Which Flavor? (Pint Price | Quart Price | Half Gallon Price) (NOTE: Prices may fluctuate based on market conditions)",[1]Sheet1!$1:$1,[1]Sheet1!140:140), FIND("(", _xlfn.XLOOKUP("Which Flavor? (Pint Price | Quart Price | Half Gallon Price) (NOTE: Prices may fluctuate based on market conditions)",[1]Sheet1!$1:$1,[1]Sheet1!140:140)) - 1), _xlfn.XLOOKUP("Which Flavor? (Pint Price | Quart Price | Half Gallon Price) (NOTE: Prices may fluctuate based on market conditions)",[1]Sheet1!$1:$1,[1]Sheet1!140:140)))</f>
        <v>0</v>
      </c>
      <c r="D140" s="31">
        <f>IF(COUNTIF('Premade Flavors'!$A:$A, $C140) &gt; 0,IF(ISBLANK(_xlfn.XLOOKUP("What Ice Cream Base Do You Want To Change It To?",[1]Sheet1!$1:$1,[1]Sheet1!140:140)),_xlfn.XLOOKUP($C140,'Premade Flavors'!$A:$A,'Premade Flavors'!B:B),_xlfn.XLOOKUP("What Ice Cream Base Do You Want To Change It To?",[1]Sheet1!$1:$1,[1]Sheet1!140:140)),_xlfn.XLOOKUP(_xlfn.XLOOKUP("What Kind Of Ice Cream Base Do You Want? ",[1]Sheet1!$1:$1,[1]Sheet1!140:140),'Milk Types Nutrition Per Cup'!O:O,'Milk Types Nutrition Per Cup'!P:P,""))</f>
        <v>0</v>
      </c>
      <c r="E140" s="31">
        <f>IF(COUNTIF('Premade Flavors'!$A:$A, $C140) &gt; 0,IF(ISBLANK(_xlfn.XLOOKUP("What Ice Cream Base Do You Want To Change It To?",[1]Sheet1!$1:$1,[1]Sheet1!140:140)),_xlfn.XLOOKUP($C140,'Premade Flavors'!$A:$A,'Premade Flavors'!C:C),_xlfn.XLOOKUP("What Ice Cream Base Do You Want To Change It To?",[1]Sheet1!$1:$1,[1]Sheet1!140:140)),_xlfn.XLOOKUP(_xlfn.XLOOKUP("What Kind Of Ice Cream Base Do You Want? ",[1]Sheet1!$1:$1,[1]Sheet1!140:140),'Milk Types Nutrition Per Cup'!$O:$O,'Milk Types Nutrition Per Cup'!$Q:$Q,""))</f>
        <v>0</v>
      </c>
      <c r="F140" s="31">
        <f>IF(COUNTIF('Premade Flavors'!$A:$A, $C140) &gt; 0,_xlfn.XLOOKUP($C140,'Premade Flavors'!$A:$A,'Premade Flavors'!E:E),_xlfn.XLOOKUP("What's The First Flavor You Want? ",[1]Sheet1!$1:$1,[1]Sheet1!140:140))</f>
        <v>0</v>
      </c>
      <c r="G140" s="31">
        <f>IF(COUNTIF('Premade Flavors'!$A:$A, $C140) &gt; 0,_xlfn.XLOOKUP($C140,'Premade Flavors'!$A:$A,'Premade Flavors'!F:F),_xlfn.XLOOKUP("What's the Second Flavor You Want?",[1]Sheet1!$1:$1,[1]Sheet1!140:140))</f>
        <v>0</v>
      </c>
      <c r="H140" s="31">
        <f>IF(COUNTIF('Premade Flavors'!$A:$A, $C140) &gt; 0,_xlfn.XLOOKUP($C140,'Premade Flavors'!$A:$A,'Premade Flavors'!G:G),_xlfn.XLOOKUP("What's The First Mix In That You Want? ",[1]Sheet1!$1:$1,[1]Sheet1!140:140))</f>
        <v>0</v>
      </c>
      <c r="I140" s="31">
        <f>IF(COUNTIF('Premade Flavors'!$A:$A, $C138) &gt; 0,_xlfn.XLOOKUP($C138,'Premade Flavors'!$A:$A,'Premade Flavors'!H:H),IF([2]Sheet1!W138= 0,,[2]Sheet1!W138))</f>
        <v>0</v>
      </c>
      <c r="J140" s="31">
        <f>IF(COUNTIF('Premade Flavors'!$A:$A,$C140)&gt;0,IF(_xlfn.XLOOKUP("Should It Use Sugar or A Non-Sugar Sweetner?",[1]Sheet1!$1:$1,[1]Sheet1!140:140)="Sugar",_xlfn.XLOOKUP($C140,'Premade Flavors'!$A:$A,'Premade Flavors'!I:I),"Stevia"),_xlfn.XLOOKUP("What Sweetner Do You Want?",[1]Sheet1!$1:$1,[1]Sheet1!140:140))</f>
        <v>0</v>
      </c>
      <c r="K140" s="31"/>
      <c r="L140" s="77">
        <f>_xlfn.XLOOKUP("How Much Ice Cream Do You Want?",[1]Sheet1!$1:$1,[1]Sheet1!140:140)</f>
        <v>0</v>
      </c>
      <c r="M140" s="45">
        <f>IF(COUNTIF('Premade Flavors'!$A:$A, $C140) &gt; 0,_xlfn.XLOOKUP($C140,'Premade Flavors'!$A:$A,'Premade Flavors'!M:M),_xlfn.XLOOKUP("How Strong Do You Want The First Flavor?",[1]Sheet1!$1:$1,[1]Sheet1!140:140))</f>
        <v>0</v>
      </c>
      <c r="N140" s="45">
        <f>IF(COUNTIF('Premade Flavors'!$A:$A, $C140) &gt; 0,_xlfn.XLOOKUP($C140,'Premade Flavors'!$A:$A,'Premade Flavors'!N:N),_xlfn.XLOOKUP("How Strong Do You Want The Second Flavor?",[1]Sheet1!$1:$1,[1]Sheet1!140:140))</f>
        <v>0</v>
      </c>
      <c r="O140" s="45">
        <f>IF(COUNTIF('Premade Flavors'!$A:$A, $C140) &gt; 0,_xlfn.XLOOKUP($C140,'Premade Flavors'!$A:$A,'Premade Flavors'!O:O),_xlfn.XLOOKUP("How Dense Should the Mix Ins Be?",[1]Sheet1!$1:$1,[1]Sheet1!140:140))</f>
        <v>0</v>
      </c>
      <c r="P140" s="45">
        <f>IF(COUNTIF('Premade Flavors'!$A:$A, $C140) &gt; 0,_xlfn.XLOOKUP($C140,'Premade Flavors'!$A:$A,'Premade Flavors'!P:P),_xlfn.XLOOKUP("How Much Of The First Sweetner? ",[1]Sheet1!$1:$1,[1]Sheet1!140:140))</f>
        <v>0</v>
      </c>
      <c r="Q140" s="45">
        <f>IF(COUNTIF('Premade Flavors'!$A:$A, $C140) &gt; 0,_xlfn.XLOOKUP($C140,'Premade Flavors'!$A:$A,'Premade Flavors'!Q:Q),[2]Sheet1!S140)</f>
        <v>0</v>
      </c>
      <c r="R140" s="30">
        <f>(_xlfn.XLOOKUP($L140,Specs!A:A,Specs!B:B,0)-(IF(_xlfn.XLOOKUP($F140,'Liquid Mix In Nutrition'!A:A,'Liquid Mix In Nutrition'!J:J,0)="Yes",0,$T140))-(IF(_xlfn.XLOOKUP($G140,'Liquid Mix In Nutrition'!A:A,'Liquid Mix In Nutrition'!J:J,0)="Yes",0,$U140))-(($V140/MAX(1,_xlfn.XLOOKUP($H140,'Solid Mix In Nutrition'!A:A,'Solid Mix In Nutrition'!I:I,1)))*240)-(($W140/MAX(1,_xlfn.XLOOKUP($I140,'Solid Mix In Nutrition'!A:A,'Solid Mix In Nutrition'!I:I,1)))*240))*0.66</f>
        <v>0</v>
      </c>
      <c r="S140" s="30">
        <f>(_xlfn.XLOOKUP($L140,Specs!A:A,Specs!B:B,0)-(IF(_xlfn.XLOOKUP($F140,'Liquid Mix In Nutrition'!A:A,'Liquid Mix In Nutrition'!J:J,0)="Yes",0,$T140))-(IF(_xlfn.XLOOKUP($G140,'Liquid Mix In Nutrition'!A:A,'Liquid Mix In Nutrition'!J:J,0)="Yes",0,$U140))-(($V140/MAX(1,_xlfn.XLOOKUP($H140,'Solid Mix In Nutrition'!A:A,'Solid Mix In Nutrition'!I:I,1)))*240)-(($W140/MAX(1,_xlfn.XLOOKUP($I140,'Solid Mix In Nutrition'!A:A,'Solid Mix In Nutrition'!I:I,1)))*240))*0.33</f>
        <v>0</v>
      </c>
      <c r="T140" s="30">
        <f>_xlfn.XLOOKUP($M140,Specs!$D:$D,Specs!$E:$E,0)*15*_xlfn.XLOOKUP($L140,Specs!$A:$A,Specs!$C:$C,0)</f>
        <v>0</v>
      </c>
      <c r="U140" s="30">
        <f>_xlfn.XLOOKUP($N140,Specs!$D:$D,Specs!$E:$E,0)*15*_xlfn.XLOOKUP($L140,Specs!$A:$A,Specs!$C:$C,0)</f>
        <v>0</v>
      </c>
      <c r="V140" s="30">
        <f>( ((_xlfn.XLOOKUP($O140,Specs!$H:$H,Specs!$I:$I,0)*_xlfn.XLOOKUP($L140,Specs!$A:$A,Specs!$B:$B,0))/240) *_xlfn.XLOOKUP($H140,'Solid Mix In Nutrition'!A:A,'Solid Mix In Nutrition'!I:I,0)) *IF(AND(NOT($I140=0), COUNTA($I140)),0.5,1)</f>
        <v>0</v>
      </c>
      <c r="W140" s="30">
        <f>( ((_xlfn.XLOOKUP($O140,Specs!$H:$H,Specs!$I:$I,0)*_xlfn.XLOOKUP($L140,Specs!$A:$A,Specs!$B:$B,0))/240) *_xlfn.XLOOKUP($I140,'Solid Mix In Nutrition'!A:A,'Solid Mix In Nutrition'!I:I,0)) *IF(AND(NOT($I140=0), COUNTA($I140)),0.5,0)</f>
        <v>0</v>
      </c>
      <c r="X140" s="30">
        <f>_xlfn.XLOOKUP($P140,Specs!F:F,Specs!G:G,0)*_xlfn.XLOOKUP($J140,'Sweetener Mix In Nutrition'!A:A,'Sweetener Mix In Nutrition'!I:I,0)*_xlfn.XLOOKUP($L140,Specs!A:A,Specs!C:C,0)</f>
        <v>0</v>
      </c>
      <c r="Y140" s="30">
        <f>_xlfn.XLOOKUP($Q140,Specs!F:F,Specs!G:G,0)*_xlfn.XLOOKUP($K140,'Sweetener Mix In Nutrition'!A:A,'Sweetener Mix In Nutrition'!I:I,0)*_xlfn.XLOOKUP($L140,Specs!A:A,Specs!C:C,0)</f>
        <v>0</v>
      </c>
      <c r="Z140" s="34">
        <f t="shared" si="4"/>
        <v>0</v>
      </c>
      <c r="AA140" s="35">
        <f t="shared" si="5"/>
        <v>0</v>
      </c>
      <c r="AB140" s="36">
        <f>(($R140 / 240) * _xlfn.XLOOKUP($D140,'Milk Types Nutrition Per Cup'!A:A,'Milk Types Nutrition Per Cup'!B:B,0)) +(($S140 / 240)  * _xlfn.XLOOKUP($E140,'Milk Types Nutrition Per Cup'!A:A,'Milk Types Nutrition Per Cup'!B:B,0)) +(($T140 / 15)  * _xlfn.XLOOKUP($F140,'Liquid Mix In Nutrition'!A:A,'Liquid Mix In Nutrition'!B:B,0))+(($U140 / 15)  * _xlfn.XLOOKUP($G140,'Liquid Mix In Nutrition'!A:A,'Liquid Mix In Nutrition'!B:B,0))+(($V140 /MAX(1, _xlfn.XLOOKUP($H140,'Solid Mix In Nutrition'!A:A,'Solid Mix In Nutrition'!I:I,1)))  * _xlfn.XLOOKUP($H140,'Solid Mix In Nutrition'!A:A,'Solid Mix In Nutrition'!B:B,0))+(($W140 / MAX(1, _xlfn.XLOOKUP($I140,'Solid Mix In Nutrition'!A:A,'Solid Mix In Nutrition'!I:I,1))))+(($X140 / 100)  * _xlfn.XLOOKUP($J140,'Sweetener Mix In Nutrition'!A:A,'Sweetener Mix In Nutrition'!B:B,0))+(($Y140 / 100)  * _xlfn.XLOOKUP($K140,'Sweetener Mix In Nutrition'!A:A,'Sweetener Mix In Nutrition'!B:B,0))</f>
        <v>0</v>
      </c>
      <c r="AC140" s="36">
        <f>(($R140 / 240) * _xlfn.XLOOKUP($D140,'Milk Types Nutrition Per Cup'!A:A,'Milk Types Nutrition Per Cup'!E:E,0)) +(($S140 / 240)  * _xlfn.XLOOKUP($E140,'Milk Types Nutrition Per Cup'!A:A,'Milk Types Nutrition Per Cup'!E:E,0)) +(($T140 / 15)  * _xlfn.XLOOKUP($F140,'Liquid Mix In Nutrition'!A:A,'Liquid Mix In Nutrition'!E:E,0)) +(($U140 / 15)  * _xlfn.XLOOKUP($G140,'Liquid Mix In Nutrition'!A:A,'Liquid Mix In Nutrition'!E:E,0))+(($V140 / MAX(1, _xlfn.XLOOKUP($H140,'Solid Mix In Nutrition'!A:A,'Solid Mix In Nutrition'!I:I,1)))  * _xlfn.XLOOKUP($H140,'Solid Mix In Nutrition'!A:A,'Solid Mix In Nutrition'!E:E,0))+(($W140 / MAX(1, _xlfn.XLOOKUP($I140,'Solid Mix In Nutrition'!A:A,'Solid Mix In Nutrition'!I:I,1)))  * _xlfn.XLOOKUP($I140,'Solid Mix In Nutrition'!A:A,'Solid Mix In Nutrition'!G:G,0))+(($X140 / 100)  * _xlfn.XLOOKUP($J140,'Sweetener Mix In Nutrition'!A:A,'Sweetener Mix In Nutrition'!E:E,0))+(($Y140 / 100)  * _xlfn.XLOOKUP($K140,'Sweetener Mix In Nutrition'!A:A,'Sweetener Mix In Nutrition'!E:E,0))</f>
        <v>0</v>
      </c>
      <c r="AD140" s="36">
        <f>(($R140 / 240) * _xlfn.XLOOKUP($D140,'Milk Types Nutrition Per Cup'!A:A,'Milk Types Nutrition Per Cup'!E:E,0)) +(($S140 / 240)  * _xlfn.XLOOKUP($E140,'Milk Types Nutrition Per Cup'!A:A,'Milk Types Nutrition Per Cup'!E:E,0)) +(($T140 / 15)  * _xlfn.XLOOKUP($F140,'Liquid Mix In Nutrition'!A:A,'Liquid Mix In Nutrition'!E:E,0)) +(($U140 / 15)  * _xlfn.XLOOKUP($G140,'Liquid Mix In Nutrition'!A:A,'Liquid Mix In Nutrition'!E:E,0))+(($X140 / 100)  * _xlfn.XLOOKUP($J140,'Sweetener Mix In Nutrition'!A:A,'Sweetener Mix In Nutrition'!E:E,0))+(($Y140 / 100)  * _xlfn.XLOOKUP($K140,'Sweetener Mix In Nutrition'!A:A,'Sweetener Mix In Nutrition'!E:E,0))</f>
        <v>0</v>
      </c>
      <c r="AE140" s="37">
        <f>(($R140 / 240) * _xlfn.XLOOKUP($D140,'Milk Types Nutrition Per Cup'!A:A,'Milk Types Nutrition Per Cup'!C:C,0)) +(($S140 / 240)  * _xlfn.XLOOKUP($E140,'Milk Types Nutrition Per Cup'!A:A,'Milk Types Nutrition Per Cup'!C:C,0)) +(($T140 / 15)  * _xlfn.XLOOKUP($F140,'Liquid Mix In Nutrition'!A:A,'Liquid Mix In Nutrition'!C:C,0))+(($U140 / 15)  * _xlfn.XLOOKUP($G140,'Liquid Mix In Nutrition'!A:A,'Liquid Mix In Nutrition'!C:C,0))+(($V140 / MAX(1, _xlfn.XLOOKUP($H140,'Solid Mix In Nutrition'!A:A,'Solid Mix In Nutrition'!I:I,1)))  * _xlfn.XLOOKUP($H140,'Solid Mix In Nutrition'!A:A,'Solid Mix In Nutrition'!C:C,0))+(($W140 / MAX(1, _xlfn.XLOOKUP($I140,'Solid Mix In Nutrition'!A:A,'Solid Mix In Nutrition'!I:I,1)))  * _xlfn.XLOOKUP($I140,'Solid Mix In Nutrition'!A:A,'Solid Mix In Nutrition'!C:C,0))+(($X140 / 100)  * _xlfn.XLOOKUP($J140,'Sweetener Mix In Nutrition'!A:A,'Sweetener Mix In Nutrition'!C:C,0))+(($Y140 / 100)  * _xlfn.XLOOKUP($K140,'Sweetener Mix In Nutrition'!A:A,'Sweetener Mix In Nutrition'!C:C,0))</f>
        <v>0</v>
      </c>
      <c r="AF140" s="38" t="e">
        <f>$AE140 / (_xlfn.XLOOKUP($L140,Specs!A:A,Specs!B:B,0))</f>
        <v>#DIV/0!</v>
      </c>
      <c r="AG140" s="37" t="e">
        <f>60* ($AB140 / _xlfn.XLOOKUP($L140,Specs!A:A,Specs!B:B,0))</f>
        <v>#DIV/0!</v>
      </c>
      <c r="AH140" s="37" t="e">
        <f>60* (AC140 / _xlfn.XLOOKUP($L140,Specs!$A:$A,Specs!$B:$B,0))</f>
        <v>#DIV/0!</v>
      </c>
      <c r="AI140" s="37" t="e">
        <f>60* (AE140 / _xlfn.XLOOKUP($L140,Specs!$A:$A,Specs!$B:$B,0))</f>
        <v>#DIV/0!</v>
      </c>
      <c r="AJ140" s="39">
        <f>(($R140 / 240) * _xlfn.XLOOKUP($D140,'Milk Types Nutrition Per Cup'!A:A,'Milk Types Nutrition Per Cup'!F:F,0)) +(($S140 / 240)  * _xlfn.XLOOKUP($E140,'Milk Types Nutrition Per Cup'!A:A,'Milk Types Nutrition Per Cup'!F:F,0)) +(($T140 / 15)  * _xlfn.XLOOKUP($F140,'Liquid Mix In Nutrition'!A:A,'Liquid Mix In Nutrition'!F:F,0))+(($U140 / 15)  * _xlfn.XLOOKUP($G140,'Liquid Mix In Nutrition'!A:A,'Liquid Mix In Nutrition'!F:F,0))+(($V140 / MAX(1, _xlfn.XLOOKUP($H140,'Solid Mix In Nutrition'!A:A,'Solid Mix In Nutrition'!I:I,1)))  * _xlfn.XLOOKUP($H140,'Solid Mix In Nutrition'!A:A,'Solid Mix In Nutrition'!F:F,0))+(($W140 / MAX(1, _xlfn.XLOOKUP($I140,'Solid Mix In Nutrition'!A:A,'Solid Mix In Nutrition'!I:I,1)))  * _xlfn.XLOOKUP($I140,'Solid Mix In Nutrition'!A:A,'Solid Mix In Nutrition'!F:F,0))+(($X140 / 100)  * _xlfn.XLOOKUP($J140,'Sweetener Mix In Nutrition'!A:A,'Sweetener Mix In Nutrition'!F:F,0))+(($Y140 / 100)  * _xlfn.XLOOKUP($K140,'Sweetener Mix In Nutrition'!A:A,'Sweetener Mix In Nutrition'!F:F,0))</f>
        <v>0</v>
      </c>
      <c r="AK140" s="46">
        <f>[2]Sheet1!AG140</f>
        <v>0</v>
      </c>
      <c r="AL140" s="47"/>
      <c r="AM140" s="40">
        <f>IF(ISERROR(((AL140/Specs!$L$3)*Specs!$L$2)*2),0,ROUNDUP((((AL140/Specs!$L$3)*Specs!$L$2)*2),0))</f>
        <v>0</v>
      </c>
      <c r="AN140" s="48">
        <f>ROUNDUP(((AJ140+Specs!$R$2+Specs!$S$2+_xlfn.XLOOKUP($L140,Specs!A:A,Specs!V:V,0))*Specs!$N$2)+AM140,0)</f>
        <v>1</v>
      </c>
      <c r="AO140" s="40">
        <f>ROUNDUP(((AJ140+Specs!$R$2+Specs!$S$2+_xlfn.XLOOKUP($L140,Specs!A:A,Specs!V:V,0))*Specs!$N$2),0)</f>
        <v>1</v>
      </c>
      <c r="AP140" s="30"/>
    </row>
    <row r="141" spans="1:42" x14ac:dyDescent="0.25">
      <c r="A141" s="41" t="str">
        <f>_xlfn.CONCAT(_xlfn.XLOOKUP("What's Your Name?",[1]Sheet1!$1:$1,[1]Sheet1!141:141)," | ",TEXT(_xlfn.XLOOKUP("Completion time",[1]Sheet1!$1:$1,[1]Sheet1!141:141),"dddd, mmm dd, yyyy hh:mm AM/PM"))</f>
        <v xml:space="preserve"> | Saturday, Jan 00, 1900 12:00 AM</v>
      </c>
      <c r="B141" s="76">
        <f>_xlfn.XLOOKUP("What's Your Email Address?",[1]Sheet1!$1:$1,[1]Sheet1!141:141)</f>
        <v>0</v>
      </c>
      <c r="C141" s="31">
        <f>IF(ISBLANK(_xlfn.XLOOKUP("Which Flavor? (Pint Price | Quart Price | Half Gallon Price) (NOTE: Prices may fluctuate based on market conditions)",[1]Sheet1!$1:$1,[1]Sheet1!141:141)),_xlfn.XLOOKUP("Name Your Ice Cream!",[1]Sheet1!$1:$1,[1]Sheet1!141:141),IF(ISNUMBER(FIND("(", _xlfn.XLOOKUP("Which Flavor? (Pint Price | Quart Price | Half Gallon Price) (NOTE: Prices may fluctuate based on market conditions)",[1]Sheet1!$1:$1,[1]Sheet1!141:141))), LEFT(_xlfn.XLOOKUP("Which Flavor? (Pint Price | Quart Price | Half Gallon Price) (NOTE: Prices may fluctuate based on market conditions)",[1]Sheet1!$1:$1,[1]Sheet1!141:141), FIND("(", _xlfn.XLOOKUP("Which Flavor? (Pint Price | Quart Price | Half Gallon Price) (NOTE: Prices may fluctuate based on market conditions)",[1]Sheet1!$1:$1,[1]Sheet1!141:141)) - 1), _xlfn.XLOOKUP("Which Flavor? (Pint Price | Quart Price | Half Gallon Price) (NOTE: Prices may fluctuate based on market conditions)",[1]Sheet1!$1:$1,[1]Sheet1!141:141)))</f>
        <v>0</v>
      </c>
      <c r="D141" s="31">
        <f>IF(COUNTIF('Premade Flavors'!$A:$A, $C141) &gt; 0,IF(ISBLANK(_xlfn.XLOOKUP("What Ice Cream Base Do You Want To Change It To?",[1]Sheet1!$1:$1,[1]Sheet1!141:141)),_xlfn.XLOOKUP($C141,'Premade Flavors'!$A:$A,'Premade Flavors'!B:B),_xlfn.XLOOKUP("What Ice Cream Base Do You Want To Change It To?",[1]Sheet1!$1:$1,[1]Sheet1!141:141)),_xlfn.XLOOKUP(_xlfn.XLOOKUP("What Kind Of Ice Cream Base Do You Want? ",[1]Sheet1!$1:$1,[1]Sheet1!141:141),'Milk Types Nutrition Per Cup'!O:O,'Milk Types Nutrition Per Cup'!P:P,""))</f>
        <v>0</v>
      </c>
      <c r="E141" s="31">
        <f>IF(COUNTIF('Premade Flavors'!$A:$A, $C141) &gt; 0,IF(ISBLANK(_xlfn.XLOOKUP("What Ice Cream Base Do You Want To Change It To?",[1]Sheet1!$1:$1,[1]Sheet1!141:141)),_xlfn.XLOOKUP($C141,'Premade Flavors'!$A:$A,'Premade Flavors'!C:C),_xlfn.XLOOKUP("What Ice Cream Base Do You Want To Change It To?",[1]Sheet1!$1:$1,[1]Sheet1!141:141)),_xlfn.XLOOKUP(_xlfn.XLOOKUP("What Kind Of Ice Cream Base Do You Want? ",[1]Sheet1!$1:$1,[1]Sheet1!141:141),'Milk Types Nutrition Per Cup'!$O:$O,'Milk Types Nutrition Per Cup'!$Q:$Q,""))</f>
        <v>0</v>
      </c>
      <c r="F141" s="31">
        <f>IF(COUNTIF('Premade Flavors'!$A:$A, $C141) &gt; 0,_xlfn.XLOOKUP($C141,'Premade Flavors'!$A:$A,'Premade Flavors'!E:E),_xlfn.XLOOKUP("What's The First Flavor You Want? ",[1]Sheet1!$1:$1,[1]Sheet1!141:141))</f>
        <v>0</v>
      </c>
      <c r="G141" s="31">
        <f>IF(COUNTIF('Premade Flavors'!$A:$A, $C141) &gt; 0,_xlfn.XLOOKUP($C141,'Premade Flavors'!$A:$A,'Premade Flavors'!F:F),_xlfn.XLOOKUP("What's the Second Flavor You Want?",[1]Sheet1!$1:$1,[1]Sheet1!141:141))</f>
        <v>0</v>
      </c>
      <c r="H141" s="31">
        <f>IF(COUNTIF('Premade Flavors'!$A:$A, $C141) &gt; 0,_xlfn.XLOOKUP($C141,'Premade Flavors'!$A:$A,'Premade Flavors'!G:G),_xlfn.XLOOKUP("What's The First Mix In That You Want? ",[1]Sheet1!$1:$1,[1]Sheet1!141:141))</f>
        <v>0</v>
      </c>
      <c r="I141" s="31">
        <f>IF(COUNTIF('Premade Flavors'!$A:$A, $C139) &gt; 0,_xlfn.XLOOKUP($C139,'Premade Flavors'!$A:$A,'Premade Flavors'!H:H),IF([2]Sheet1!W139= 0,,[2]Sheet1!W139))</f>
        <v>0</v>
      </c>
      <c r="J141" s="31">
        <f>IF(COUNTIF('Premade Flavors'!$A:$A,$C141)&gt;0,IF(_xlfn.XLOOKUP("Should It Use Sugar or A Non-Sugar Sweetner?",[1]Sheet1!$1:$1,[1]Sheet1!141:141)="Sugar",_xlfn.XLOOKUP($C141,'Premade Flavors'!$A:$A,'Premade Flavors'!I:I),"Stevia"),_xlfn.XLOOKUP("What Sweetner Do You Want?",[1]Sheet1!$1:$1,[1]Sheet1!141:141))</f>
        <v>0</v>
      </c>
      <c r="K141" s="31"/>
      <c r="L141" s="77">
        <f>_xlfn.XLOOKUP("How Much Ice Cream Do You Want?",[1]Sheet1!$1:$1,[1]Sheet1!141:141)</f>
        <v>0</v>
      </c>
      <c r="M141" s="45">
        <f>IF(COUNTIF('Premade Flavors'!$A:$A, $C141) &gt; 0,_xlfn.XLOOKUP($C141,'Premade Flavors'!$A:$A,'Premade Flavors'!M:M),_xlfn.XLOOKUP("How Strong Do You Want The First Flavor?",[1]Sheet1!$1:$1,[1]Sheet1!141:141))</f>
        <v>0</v>
      </c>
      <c r="N141" s="45">
        <f>IF(COUNTIF('Premade Flavors'!$A:$A, $C141) &gt; 0,_xlfn.XLOOKUP($C141,'Premade Flavors'!$A:$A,'Premade Flavors'!N:N),_xlfn.XLOOKUP("How Strong Do You Want The Second Flavor?",[1]Sheet1!$1:$1,[1]Sheet1!141:141))</f>
        <v>0</v>
      </c>
      <c r="O141" s="45">
        <f>IF(COUNTIF('Premade Flavors'!$A:$A, $C141) &gt; 0,_xlfn.XLOOKUP($C141,'Premade Flavors'!$A:$A,'Premade Flavors'!O:O),_xlfn.XLOOKUP("How Dense Should the Mix Ins Be?",[1]Sheet1!$1:$1,[1]Sheet1!141:141))</f>
        <v>0</v>
      </c>
      <c r="P141" s="45">
        <f>IF(COUNTIF('Premade Flavors'!$A:$A, $C141) &gt; 0,_xlfn.XLOOKUP($C141,'Premade Flavors'!$A:$A,'Premade Flavors'!P:P),_xlfn.XLOOKUP("How Much Of The First Sweetner? ",[1]Sheet1!$1:$1,[1]Sheet1!141:141))</f>
        <v>0</v>
      </c>
      <c r="Q141" s="45">
        <f>IF(COUNTIF('Premade Flavors'!$A:$A, $C141) &gt; 0,_xlfn.XLOOKUP($C141,'Premade Flavors'!$A:$A,'Premade Flavors'!Q:Q),[2]Sheet1!S141)</f>
        <v>0</v>
      </c>
      <c r="R141" s="30">
        <f>(_xlfn.XLOOKUP($L141,Specs!A:A,Specs!B:B,0)-(IF(_xlfn.XLOOKUP($F141,'Liquid Mix In Nutrition'!A:A,'Liquid Mix In Nutrition'!J:J,0)="Yes",0,$T141))-(IF(_xlfn.XLOOKUP($G141,'Liquid Mix In Nutrition'!A:A,'Liquid Mix In Nutrition'!J:J,0)="Yes",0,$U141))-(($V141/MAX(1,_xlfn.XLOOKUP($H141,'Solid Mix In Nutrition'!A:A,'Solid Mix In Nutrition'!I:I,1)))*240)-(($W141/MAX(1,_xlfn.XLOOKUP($I141,'Solid Mix In Nutrition'!A:A,'Solid Mix In Nutrition'!I:I,1)))*240))*0.66</f>
        <v>0</v>
      </c>
      <c r="S141" s="30">
        <f>(_xlfn.XLOOKUP($L141,Specs!A:A,Specs!B:B,0)-(IF(_xlfn.XLOOKUP($F141,'Liquid Mix In Nutrition'!A:A,'Liquid Mix In Nutrition'!J:J,0)="Yes",0,$T141))-(IF(_xlfn.XLOOKUP($G141,'Liquid Mix In Nutrition'!A:A,'Liquid Mix In Nutrition'!J:J,0)="Yes",0,$U141))-(($V141/MAX(1,_xlfn.XLOOKUP($H141,'Solid Mix In Nutrition'!A:A,'Solid Mix In Nutrition'!I:I,1)))*240)-(($W141/MAX(1,_xlfn.XLOOKUP($I141,'Solid Mix In Nutrition'!A:A,'Solid Mix In Nutrition'!I:I,1)))*240))*0.33</f>
        <v>0</v>
      </c>
      <c r="T141" s="30">
        <f>_xlfn.XLOOKUP($M141,Specs!$D:$D,Specs!$E:$E,0)*15*_xlfn.XLOOKUP($L141,Specs!$A:$A,Specs!$C:$C,0)</f>
        <v>0</v>
      </c>
      <c r="U141" s="30">
        <f>_xlfn.XLOOKUP($N141,Specs!$D:$D,Specs!$E:$E,0)*15*_xlfn.XLOOKUP($L141,Specs!$A:$A,Specs!$C:$C,0)</f>
        <v>0</v>
      </c>
      <c r="V141" s="30">
        <f>( ((_xlfn.XLOOKUP($O141,Specs!$H:$H,Specs!$I:$I,0)*_xlfn.XLOOKUP($L141,Specs!$A:$A,Specs!$B:$B,0))/240) *_xlfn.XLOOKUP($H141,'Solid Mix In Nutrition'!A:A,'Solid Mix In Nutrition'!I:I,0)) *IF(AND(NOT($I141=0), COUNTA($I141)),0.5,1)</f>
        <v>0</v>
      </c>
      <c r="W141" s="30">
        <f>( ((_xlfn.XLOOKUP($O141,Specs!$H:$H,Specs!$I:$I,0)*_xlfn.XLOOKUP($L141,Specs!$A:$A,Specs!$B:$B,0))/240) *_xlfn.XLOOKUP($I141,'Solid Mix In Nutrition'!A:A,'Solid Mix In Nutrition'!I:I,0)) *IF(AND(NOT($I141=0), COUNTA($I141)),0.5,0)</f>
        <v>0</v>
      </c>
      <c r="X141" s="30">
        <f>_xlfn.XLOOKUP($P141,Specs!F:F,Specs!G:G,0)*_xlfn.XLOOKUP($J141,'Sweetener Mix In Nutrition'!A:A,'Sweetener Mix In Nutrition'!I:I,0)*_xlfn.XLOOKUP($L141,Specs!A:A,Specs!C:C,0)</f>
        <v>0</v>
      </c>
      <c r="Y141" s="30">
        <f>_xlfn.XLOOKUP($Q141,Specs!F:F,Specs!G:G,0)*_xlfn.XLOOKUP($K141,'Sweetener Mix In Nutrition'!A:A,'Sweetener Mix In Nutrition'!I:I,0)*_xlfn.XLOOKUP($L141,Specs!A:A,Specs!C:C,0)</f>
        <v>0</v>
      </c>
      <c r="Z141" s="34">
        <f t="shared" si="4"/>
        <v>0</v>
      </c>
      <c r="AA141" s="35">
        <f t="shared" si="5"/>
        <v>0</v>
      </c>
      <c r="AB141" s="36">
        <f>(($R141 / 240) * _xlfn.XLOOKUP($D141,'Milk Types Nutrition Per Cup'!A:A,'Milk Types Nutrition Per Cup'!B:B,0)) +(($S141 / 240)  * _xlfn.XLOOKUP($E141,'Milk Types Nutrition Per Cup'!A:A,'Milk Types Nutrition Per Cup'!B:B,0)) +(($T141 / 15)  * _xlfn.XLOOKUP($F141,'Liquid Mix In Nutrition'!A:A,'Liquid Mix In Nutrition'!B:B,0))+(($U141 / 15)  * _xlfn.XLOOKUP($G141,'Liquid Mix In Nutrition'!A:A,'Liquid Mix In Nutrition'!B:B,0))+(($V141 /MAX(1, _xlfn.XLOOKUP($H141,'Solid Mix In Nutrition'!A:A,'Solid Mix In Nutrition'!I:I,1)))  * _xlfn.XLOOKUP($H141,'Solid Mix In Nutrition'!A:A,'Solid Mix In Nutrition'!B:B,0))+(($W141 / MAX(1, _xlfn.XLOOKUP($I141,'Solid Mix In Nutrition'!A:A,'Solid Mix In Nutrition'!I:I,1))))+(($X141 / 100)  * _xlfn.XLOOKUP($J141,'Sweetener Mix In Nutrition'!A:A,'Sweetener Mix In Nutrition'!B:B,0))+(($Y141 / 100)  * _xlfn.XLOOKUP($K141,'Sweetener Mix In Nutrition'!A:A,'Sweetener Mix In Nutrition'!B:B,0))</f>
        <v>0</v>
      </c>
      <c r="AC141" s="36">
        <f>(($R141 / 240) * _xlfn.XLOOKUP($D141,'Milk Types Nutrition Per Cup'!A:A,'Milk Types Nutrition Per Cup'!E:E,0)) +(($S141 / 240)  * _xlfn.XLOOKUP($E141,'Milk Types Nutrition Per Cup'!A:A,'Milk Types Nutrition Per Cup'!E:E,0)) +(($T141 / 15)  * _xlfn.XLOOKUP($F141,'Liquid Mix In Nutrition'!A:A,'Liquid Mix In Nutrition'!E:E,0)) +(($U141 / 15)  * _xlfn.XLOOKUP($G141,'Liquid Mix In Nutrition'!A:A,'Liquid Mix In Nutrition'!E:E,0))+(($V141 / MAX(1, _xlfn.XLOOKUP($H141,'Solid Mix In Nutrition'!A:A,'Solid Mix In Nutrition'!I:I,1)))  * _xlfn.XLOOKUP($H141,'Solid Mix In Nutrition'!A:A,'Solid Mix In Nutrition'!E:E,0))+(($W141 / MAX(1, _xlfn.XLOOKUP($I141,'Solid Mix In Nutrition'!A:A,'Solid Mix In Nutrition'!I:I,1)))  * _xlfn.XLOOKUP($I141,'Solid Mix In Nutrition'!A:A,'Solid Mix In Nutrition'!G:G,0))+(($X141 / 100)  * _xlfn.XLOOKUP($J141,'Sweetener Mix In Nutrition'!A:A,'Sweetener Mix In Nutrition'!E:E,0))+(($Y141 / 100)  * _xlfn.XLOOKUP($K141,'Sweetener Mix In Nutrition'!A:A,'Sweetener Mix In Nutrition'!E:E,0))</f>
        <v>0</v>
      </c>
      <c r="AD141" s="36">
        <f>(($R141 / 240) * _xlfn.XLOOKUP($D141,'Milk Types Nutrition Per Cup'!A:A,'Milk Types Nutrition Per Cup'!E:E,0)) +(($S141 / 240)  * _xlfn.XLOOKUP($E141,'Milk Types Nutrition Per Cup'!A:A,'Milk Types Nutrition Per Cup'!E:E,0)) +(($T141 / 15)  * _xlfn.XLOOKUP($F141,'Liquid Mix In Nutrition'!A:A,'Liquid Mix In Nutrition'!E:E,0)) +(($U141 / 15)  * _xlfn.XLOOKUP($G141,'Liquid Mix In Nutrition'!A:A,'Liquid Mix In Nutrition'!E:E,0))+(($X141 / 100)  * _xlfn.XLOOKUP($J141,'Sweetener Mix In Nutrition'!A:A,'Sweetener Mix In Nutrition'!E:E,0))+(($Y141 / 100)  * _xlfn.XLOOKUP($K141,'Sweetener Mix In Nutrition'!A:A,'Sweetener Mix In Nutrition'!E:E,0))</f>
        <v>0</v>
      </c>
      <c r="AE141" s="37">
        <f>(($R141 / 240) * _xlfn.XLOOKUP($D141,'Milk Types Nutrition Per Cup'!A:A,'Milk Types Nutrition Per Cup'!C:C,0)) +(($S141 / 240)  * _xlfn.XLOOKUP($E141,'Milk Types Nutrition Per Cup'!A:A,'Milk Types Nutrition Per Cup'!C:C,0)) +(($T141 / 15)  * _xlfn.XLOOKUP($F141,'Liquid Mix In Nutrition'!A:A,'Liquid Mix In Nutrition'!C:C,0))+(($U141 / 15)  * _xlfn.XLOOKUP($G141,'Liquid Mix In Nutrition'!A:A,'Liquid Mix In Nutrition'!C:C,0))+(($V141 / MAX(1, _xlfn.XLOOKUP($H141,'Solid Mix In Nutrition'!A:A,'Solid Mix In Nutrition'!I:I,1)))  * _xlfn.XLOOKUP($H141,'Solid Mix In Nutrition'!A:A,'Solid Mix In Nutrition'!C:C,0))+(($W141 / MAX(1, _xlfn.XLOOKUP($I141,'Solid Mix In Nutrition'!A:A,'Solid Mix In Nutrition'!I:I,1)))  * _xlfn.XLOOKUP($I141,'Solid Mix In Nutrition'!A:A,'Solid Mix In Nutrition'!C:C,0))+(($X141 / 100)  * _xlfn.XLOOKUP($J141,'Sweetener Mix In Nutrition'!A:A,'Sweetener Mix In Nutrition'!C:C,0))+(($Y141 / 100)  * _xlfn.XLOOKUP($K141,'Sweetener Mix In Nutrition'!A:A,'Sweetener Mix In Nutrition'!C:C,0))</f>
        <v>0</v>
      </c>
      <c r="AF141" s="38" t="e">
        <f>$AE141 / (_xlfn.XLOOKUP($L141,Specs!A:A,Specs!B:B,0))</f>
        <v>#DIV/0!</v>
      </c>
      <c r="AG141" s="37" t="e">
        <f>60* ($AB141 / _xlfn.XLOOKUP($L141,Specs!A:A,Specs!B:B,0))</f>
        <v>#DIV/0!</v>
      </c>
      <c r="AH141" s="37" t="e">
        <f>60* (AC141 / _xlfn.XLOOKUP($L141,Specs!$A:$A,Specs!$B:$B,0))</f>
        <v>#DIV/0!</v>
      </c>
      <c r="AI141" s="37" t="e">
        <f>60* (AE141 / _xlfn.XLOOKUP($L141,Specs!$A:$A,Specs!$B:$B,0))</f>
        <v>#DIV/0!</v>
      </c>
      <c r="AJ141" s="39">
        <f>(($R141 / 240) * _xlfn.XLOOKUP($D141,'Milk Types Nutrition Per Cup'!A:A,'Milk Types Nutrition Per Cup'!F:F,0)) +(($S141 / 240)  * _xlfn.XLOOKUP($E141,'Milk Types Nutrition Per Cup'!A:A,'Milk Types Nutrition Per Cup'!F:F,0)) +(($T141 / 15)  * _xlfn.XLOOKUP($F141,'Liquid Mix In Nutrition'!A:A,'Liquid Mix In Nutrition'!F:F,0))+(($U141 / 15)  * _xlfn.XLOOKUP($G141,'Liquid Mix In Nutrition'!A:A,'Liquid Mix In Nutrition'!F:F,0))+(($V141 / MAX(1, _xlfn.XLOOKUP($H141,'Solid Mix In Nutrition'!A:A,'Solid Mix In Nutrition'!I:I,1)))  * _xlfn.XLOOKUP($H141,'Solid Mix In Nutrition'!A:A,'Solid Mix In Nutrition'!F:F,0))+(($W141 / MAX(1, _xlfn.XLOOKUP($I141,'Solid Mix In Nutrition'!A:A,'Solid Mix In Nutrition'!I:I,1)))  * _xlfn.XLOOKUP($I141,'Solid Mix In Nutrition'!A:A,'Solid Mix In Nutrition'!F:F,0))+(($X141 / 100)  * _xlfn.XLOOKUP($J141,'Sweetener Mix In Nutrition'!A:A,'Sweetener Mix In Nutrition'!F:F,0))+(($Y141 / 100)  * _xlfn.XLOOKUP($K141,'Sweetener Mix In Nutrition'!A:A,'Sweetener Mix In Nutrition'!F:F,0))</f>
        <v>0</v>
      </c>
      <c r="AK141" s="46">
        <f>[2]Sheet1!AG141</f>
        <v>0</v>
      </c>
      <c r="AL141" s="47"/>
      <c r="AM141" s="40">
        <f>IF(ISERROR(((AL141/Specs!$L$3)*Specs!$L$2)*2),0,ROUNDUP((((AL141/Specs!$L$3)*Specs!$L$2)*2),0))</f>
        <v>0</v>
      </c>
      <c r="AN141" s="48">
        <f>ROUNDUP(((AJ141+Specs!$R$2+Specs!$S$2+_xlfn.XLOOKUP($L141,Specs!A:A,Specs!V:V,0))*Specs!$N$2)+AM141,0)</f>
        <v>1</v>
      </c>
      <c r="AO141" s="40">
        <f>ROUNDUP(((AJ141+Specs!$R$2+Specs!$S$2+_xlfn.XLOOKUP($L141,Specs!A:A,Specs!V:V,0))*Specs!$N$2),0)</f>
        <v>1</v>
      </c>
      <c r="AP141" s="30"/>
    </row>
    <row r="142" spans="1:42" x14ac:dyDescent="0.25">
      <c r="A142" s="41" t="str">
        <f>_xlfn.CONCAT(_xlfn.XLOOKUP("What's Your Name?",[1]Sheet1!$1:$1,[1]Sheet1!142:142)," | ",TEXT(_xlfn.XLOOKUP("Completion time",[1]Sheet1!$1:$1,[1]Sheet1!142:142),"dddd, mmm dd, yyyy hh:mm AM/PM"))</f>
        <v xml:space="preserve"> | Saturday, Jan 00, 1900 12:00 AM</v>
      </c>
      <c r="B142" s="76">
        <f>_xlfn.XLOOKUP("What's Your Email Address?",[1]Sheet1!$1:$1,[1]Sheet1!142:142)</f>
        <v>0</v>
      </c>
      <c r="C142" s="31">
        <f>IF(ISBLANK(_xlfn.XLOOKUP("Which Flavor? (Pint Price | Quart Price | Half Gallon Price) (NOTE: Prices may fluctuate based on market conditions)",[1]Sheet1!$1:$1,[1]Sheet1!142:142)),_xlfn.XLOOKUP("Name Your Ice Cream!",[1]Sheet1!$1:$1,[1]Sheet1!142:142),IF(ISNUMBER(FIND("(", _xlfn.XLOOKUP("Which Flavor? (Pint Price | Quart Price | Half Gallon Price) (NOTE: Prices may fluctuate based on market conditions)",[1]Sheet1!$1:$1,[1]Sheet1!142:142))), LEFT(_xlfn.XLOOKUP("Which Flavor? (Pint Price | Quart Price | Half Gallon Price) (NOTE: Prices may fluctuate based on market conditions)",[1]Sheet1!$1:$1,[1]Sheet1!142:142), FIND("(", _xlfn.XLOOKUP("Which Flavor? (Pint Price | Quart Price | Half Gallon Price) (NOTE: Prices may fluctuate based on market conditions)",[1]Sheet1!$1:$1,[1]Sheet1!142:142)) - 1), _xlfn.XLOOKUP("Which Flavor? (Pint Price | Quart Price | Half Gallon Price) (NOTE: Prices may fluctuate based on market conditions)",[1]Sheet1!$1:$1,[1]Sheet1!142:142)))</f>
        <v>0</v>
      </c>
      <c r="D142" s="31">
        <f>IF(COUNTIF('Premade Flavors'!$A:$A, $C142) &gt; 0,IF(ISBLANK(_xlfn.XLOOKUP("What Ice Cream Base Do You Want To Change It To?",[1]Sheet1!$1:$1,[1]Sheet1!142:142)),_xlfn.XLOOKUP($C142,'Premade Flavors'!$A:$A,'Premade Flavors'!B:B),_xlfn.XLOOKUP("What Ice Cream Base Do You Want To Change It To?",[1]Sheet1!$1:$1,[1]Sheet1!142:142)),_xlfn.XLOOKUP(_xlfn.XLOOKUP("What Kind Of Ice Cream Base Do You Want? ",[1]Sheet1!$1:$1,[1]Sheet1!142:142),'Milk Types Nutrition Per Cup'!O:O,'Milk Types Nutrition Per Cup'!P:P,""))</f>
        <v>0</v>
      </c>
      <c r="E142" s="31">
        <f>IF(COUNTIF('Premade Flavors'!$A:$A, $C142) &gt; 0,IF(ISBLANK(_xlfn.XLOOKUP("What Ice Cream Base Do You Want To Change It To?",[1]Sheet1!$1:$1,[1]Sheet1!142:142)),_xlfn.XLOOKUP($C142,'Premade Flavors'!$A:$A,'Premade Flavors'!C:C),_xlfn.XLOOKUP("What Ice Cream Base Do You Want To Change It To?",[1]Sheet1!$1:$1,[1]Sheet1!142:142)),_xlfn.XLOOKUP(_xlfn.XLOOKUP("What Kind Of Ice Cream Base Do You Want? ",[1]Sheet1!$1:$1,[1]Sheet1!142:142),'Milk Types Nutrition Per Cup'!$O:$O,'Milk Types Nutrition Per Cup'!$Q:$Q,""))</f>
        <v>0</v>
      </c>
      <c r="F142" s="31">
        <f>IF(COUNTIF('Premade Flavors'!$A:$A, $C142) &gt; 0,_xlfn.XLOOKUP($C142,'Premade Flavors'!$A:$A,'Premade Flavors'!E:E),_xlfn.XLOOKUP("What's The First Flavor You Want? ",[1]Sheet1!$1:$1,[1]Sheet1!142:142))</f>
        <v>0</v>
      </c>
      <c r="G142" s="31">
        <f>IF(COUNTIF('Premade Flavors'!$A:$A, $C142) &gt; 0,_xlfn.XLOOKUP($C142,'Premade Flavors'!$A:$A,'Premade Flavors'!F:F),_xlfn.XLOOKUP("What's the Second Flavor You Want?",[1]Sheet1!$1:$1,[1]Sheet1!142:142))</f>
        <v>0</v>
      </c>
      <c r="H142" s="31">
        <f>IF(COUNTIF('Premade Flavors'!$A:$A, $C142) &gt; 0,_xlfn.XLOOKUP($C142,'Premade Flavors'!$A:$A,'Premade Flavors'!G:G),_xlfn.XLOOKUP("What's The First Mix In That You Want? ",[1]Sheet1!$1:$1,[1]Sheet1!142:142))</f>
        <v>0</v>
      </c>
      <c r="I142" s="31">
        <f>IF(COUNTIF('Premade Flavors'!$A:$A, $C140) &gt; 0,_xlfn.XLOOKUP($C140,'Premade Flavors'!$A:$A,'Premade Flavors'!H:H),IF([2]Sheet1!W140= 0,,[2]Sheet1!W140))</f>
        <v>0</v>
      </c>
      <c r="J142" s="31">
        <f>IF(COUNTIF('Premade Flavors'!$A:$A,$C142)&gt;0,IF(_xlfn.XLOOKUP("Should It Use Sugar or A Non-Sugar Sweetner?",[1]Sheet1!$1:$1,[1]Sheet1!142:142)="Sugar",_xlfn.XLOOKUP($C142,'Premade Flavors'!$A:$A,'Premade Flavors'!I:I),"Stevia"),_xlfn.XLOOKUP("What Sweetner Do You Want?",[1]Sheet1!$1:$1,[1]Sheet1!142:142))</f>
        <v>0</v>
      </c>
      <c r="K142" s="31"/>
      <c r="L142" s="77">
        <f>_xlfn.XLOOKUP("How Much Ice Cream Do You Want?",[1]Sheet1!$1:$1,[1]Sheet1!142:142)</f>
        <v>0</v>
      </c>
      <c r="M142" s="45">
        <f>IF(COUNTIF('Premade Flavors'!$A:$A, $C142) &gt; 0,_xlfn.XLOOKUP($C142,'Premade Flavors'!$A:$A,'Premade Flavors'!M:M),_xlfn.XLOOKUP("How Strong Do You Want The First Flavor?",[1]Sheet1!$1:$1,[1]Sheet1!142:142))</f>
        <v>0</v>
      </c>
      <c r="N142" s="45">
        <f>IF(COUNTIF('Premade Flavors'!$A:$A, $C142) &gt; 0,_xlfn.XLOOKUP($C142,'Premade Flavors'!$A:$A,'Premade Flavors'!N:N),_xlfn.XLOOKUP("How Strong Do You Want The Second Flavor?",[1]Sheet1!$1:$1,[1]Sheet1!142:142))</f>
        <v>0</v>
      </c>
      <c r="O142" s="45">
        <f>IF(COUNTIF('Premade Flavors'!$A:$A, $C142) &gt; 0,_xlfn.XLOOKUP($C142,'Premade Flavors'!$A:$A,'Premade Flavors'!O:O),_xlfn.XLOOKUP("How Dense Should the Mix Ins Be?",[1]Sheet1!$1:$1,[1]Sheet1!142:142))</f>
        <v>0</v>
      </c>
      <c r="P142" s="45">
        <f>IF(COUNTIF('Premade Flavors'!$A:$A, $C142) &gt; 0,_xlfn.XLOOKUP($C142,'Premade Flavors'!$A:$A,'Premade Flavors'!P:P),_xlfn.XLOOKUP("How Much Of The First Sweetner? ",[1]Sheet1!$1:$1,[1]Sheet1!142:142))</f>
        <v>0</v>
      </c>
      <c r="Q142" s="45">
        <f>IF(COUNTIF('Premade Flavors'!$A:$A, $C142) &gt; 0,_xlfn.XLOOKUP($C142,'Premade Flavors'!$A:$A,'Premade Flavors'!Q:Q),[2]Sheet1!S142)</f>
        <v>0</v>
      </c>
      <c r="R142" s="30">
        <f>(_xlfn.XLOOKUP($L142,Specs!A:A,Specs!B:B,0)-(IF(_xlfn.XLOOKUP($F142,'Liquid Mix In Nutrition'!A:A,'Liquid Mix In Nutrition'!J:J,0)="Yes",0,$T142))-(IF(_xlfn.XLOOKUP($G142,'Liquid Mix In Nutrition'!A:A,'Liquid Mix In Nutrition'!J:J,0)="Yes",0,$U142))-(($V142/MAX(1,_xlfn.XLOOKUP($H142,'Solid Mix In Nutrition'!A:A,'Solid Mix In Nutrition'!I:I,1)))*240)-(($W142/MAX(1,_xlfn.XLOOKUP($I142,'Solid Mix In Nutrition'!A:A,'Solid Mix In Nutrition'!I:I,1)))*240))*0.66</f>
        <v>0</v>
      </c>
      <c r="S142" s="30">
        <f>(_xlfn.XLOOKUP($L142,Specs!A:A,Specs!B:B,0)-(IF(_xlfn.XLOOKUP($F142,'Liquid Mix In Nutrition'!A:A,'Liquid Mix In Nutrition'!J:J,0)="Yes",0,$T142))-(IF(_xlfn.XLOOKUP($G142,'Liquid Mix In Nutrition'!A:A,'Liquid Mix In Nutrition'!J:J,0)="Yes",0,$U142))-(($V142/MAX(1,_xlfn.XLOOKUP($H142,'Solid Mix In Nutrition'!A:A,'Solid Mix In Nutrition'!I:I,1)))*240)-(($W142/MAX(1,_xlfn.XLOOKUP($I142,'Solid Mix In Nutrition'!A:A,'Solid Mix In Nutrition'!I:I,1)))*240))*0.33</f>
        <v>0</v>
      </c>
      <c r="T142" s="30">
        <f>_xlfn.XLOOKUP($M142,Specs!$D:$D,Specs!$E:$E,0)*15*_xlfn.XLOOKUP($L142,Specs!$A:$A,Specs!$C:$C,0)</f>
        <v>0</v>
      </c>
      <c r="U142" s="30">
        <f>_xlfn.XLOOKUP($N142,Specs!$D:$D,Specs!$E:$E,0)*15*_xlfn.XLOOKUP($L142,Specs!$A:$A,Specs!$C:$C,0)</f>
        <v>0</v>
      </c>
      <c r="V142" s="30">
        <f>( ((_xlfn.XLOOKUP($O142,Specs!$H:$H,Specs!$I:$I,0)*_xlfn.XLOOKUP($L142,Specs!$A:$A,Specs!$B:$B,0))/240) *_xlfn.XLOOKUP($H142,'Solid Mix In Nutrition'!A:A,'Solid Mix In Nutrition'!I:I,0)) *IF(AND(NOT($I142=0), COUNTA($I142)),0.5,1)</f>
        <v>0</v>
      </c>
      <c r="W142" s="30">
        <f>( ((_xlfn.XLOOKUP($O142,Specs!$H:$H,Specs!$I:$I,0)*_xlfn.XLOOKUP($L142,Specs!$A:$A,Specs!$B:$B,0))/240) *_xlfn.XLOOKUP($I142,'Solid Mix In Nutrition'!A:A,'Solid Mix In Nutrition'!I:I,0)) *IF(AND(NOT($I142=0), COUNTA($I142)),0.5,0)</f>
        <v>0</v>
      </c>
      <c r="X142" s="30">
        <f>_xlfn.XLOOKUP($P142,Specs!F:F,Specs!G:G,0)*_xlfn.XLOOKUP($J142,'Sweetener Mix In Nutrition'!A:A,'Sweetener Mix In Nutrition'!I:I,0)*_xlfn.XLOOKUP($L142,Specs!A:A,Specs!C:C,0)</f>
        <v>0</v>
      </c>
      <c r="Y142" s="30">
        <f>_xlfn.XLOOKUP($Q142,Specs!F:F,Specs!G:G,0)*_xlfn.XLOOKUP($K142,'Sweetener Mix In Nutrition'!A:A,'Sweetener Mix In Nutrition'!I:I,0)*_xlfn.XLOOKUP($L142,Specs!A:A,Specs!C:C,0)</f>
        <v>0</v>
      </c>
      <c r="Z142" s="34">
        <f t="shared" si="4"/>
        <v>0</v>
      </c>
      <c r="AA142" s="35">
        <f t="shared" si="5"/>
        <v>0</v>
      </c>
      <c r="AB142" s="36">
        <f>(($R142 / 240) * _xlfn.XLOOKUP($D142,'Milk Types Nutrition Per Cup'!A:A,'Milk Types Nutrition Per Cup'!B:B,0)) +(($S142 / 240)  * _xlfn.XLOOKUP($E142,'Milk Types Nutrition Per Cup'!A:A,'Milk Types Nutrition Per Cup'!B:B,0)) +(($T142 / 15)  * _xlfn.XLOOKUP($F142,'Liquid Mix In Nutrition'!A:A,'Liquid Mix In Nutrition'!B:B,0))+(($U142 / 15)  * _xlfn.XLOOKUP($G142,'Liquid Mix In Nutrition'!A:A,'Liquid Mix In Nutrition'!B:B,0))+(($V142 /MAX(1, _xlfn.XLOOKUP($H142,'Solid Mix In Nutrition'!A:A,'Solid Mix In Nutrition'!I:I,1)))  * _xlfn.XLOOKUP($H142,'Solid Mix In Nutrition'!A:A,'Solid Mix In Nutrition'!B:B,0))+(($W142 / MAX(1, _xlfn.XLOOKUP($I142,'Solid Mix In Nutrition'!A:A,'Solid Mix In Nutrition'!I:I,1))))+(($X142 / 100)  * _xlfn.XLOOKUP($J142,'Sweetener Mix In Nutrition'!A:A,'Sweetener Mix In Nutrition'!B:B,0))+(($Y142 / 100)  * _xlfn.XLOOKUP($K142,'Sweetener Mix In Nutrition'!A:A,'Sweetener Mix In Nutrition'!B:B,0))</f>
        <v>0</v>
      </c>
      <c r="AC142" s="36">
        <f>(($R142 / 240) * _xlfn.XLOOKUP($D142,'Milk Types Nutrition Per Cup'!A:A,'Milk Types Nutrition Per Cup'!E:E,0)) +(($S142 / 240)  * _xlfn.XLOOKUP($E142,'Milk Types Nutrition Per Cup'!A:A,'Milk Types Nutrition Per Cup'!E:E,0)) +(($T142 / 15)  * _xlfn.XLOOKUP($F142,'Liquid Mix In Nutrition'!A:A,'Liquid Mix In Nutrition'!E:E,0)) +(($U142 / 15)  * _xlfn.XLOOKUP($G142,'Liquid Mix In Nutrition'!A:A,'Liquid Mix In Nutrition'!E:E,0))+(($V142 / MAX(1, _xlfn.XLOOKUP($H142,'Solid Mix In Nutrition'!A:A,'Solid Mix In Nutrition'!I:I,1)))  * _xlfn.XLOOKUP($H142,'Solid Mix In Nutrition'!A:A,'Solid Mix In Nutrition'!E:E,0))+(($W142 / MAX(1, _xlfn.XLOOKUP($I142,'Solid Mix In Nutrition'!A:A,'Solid Mix In Nutrition'!I:I,1)))  * _xlfn.XLOOKUP($I142,'Solid Mix In Nutrition'!A:A,'Solid Mix In Nutrition'!G:G,0))+(($X142 / 100)  * _xlfn.XLOOKUP($J142,'Sweetener Mix In Nutrition'!A:A,'Sweetener Mix In Nutrition'!E:E,0))+(($Y142 / 100)  * _xlfn.XLOOKUP($K142,'Sweetener Mix In Nutrition'!A:A,'Sweetener Mix In Nutrition'!E:E,0))</f>
        <v>0</v>
      </c>
      <c r="AD142" s="36">
        <f>(($R142 / 240) * _xlfn.XLOOKUP($D142,'Milk Types Nutrition Per Cup'!A:A,'Milk Types Nutrition Per Cup'!E:E,0)) +(($S142 / 240)  * _xlfn.XLOOKUP($E142,'Milk Types Nutrition Per Cup'!A:A,'Milk Types Nutrition Per Cup'!E:E,0)) +(($T142 / 15)  * _xlfn.XLOOKUP($F142,'Liquid Mix In Nutrition'!A:A,'Liquid Mix In Nutrition'!E:E,0)) +(($U142 / 15)  * _xlfn.XLOOKUP($G142,'Liquid Mix In Nutrition'!A:A,'Liquid Mix In Nutrition'!E:E,0))+(($X142 / 100)  * _xlfn.XLOOKUP($J142,'Sweetener Mix In Nutrition'!A:A,'Sweetener Mix In Nutrition'!E:E,0))+(($Y142 / 100)  * _xlfn.XLOOKUP($K142,'Sweetener Mix In Nutrition'!A:A,'Sweetener Mix In Nutrition'!E:E,0))</f>
        <v>0</v>
      </c>
      <c r="AE142" s="37">
        <f>(($R142 / 240) * _xlfn.XLOOKUP($D142,'Milk Types Nutrition Per Cup'!A:A,'Milk Types Nutrition Per Cup'!C:C,0)) +(($S142 / 240)  * _xlfn.XLOOKUP($E142,'Milk Types Nutrition Per Cup'!A:A,'Milk Types Nutrition Per Cup'!C:C,0)) +(($T142 / 15)  * _xlfn.XLOOKUP($F142,'Liquid Mix In Nutrition'!A:A,'Liquid Mix In Nutrition'!C:C,0))+(($U142 / 15)  * _xlfn.XLOOKUP($G142,'Liquid Mix In Nutrition'!A:A,'Liquid Mix In Nutrition'!C:C,0))+(($V142 / MAX(1, _xlfn.XLOOKUP($H142,'Solid Mix In Nutrition'!A:A,'Solid Mix In Nutrition'!I:I,1)))  * _xlfn.XLOOKUP($H142,'Solid Mix In Nutrition'!A:A,'Solid Mix In Nutrition'!C:C,0))+(($W142 / MAX(1, _xlfn.XLOOKUP($I142,'Solid Mix In Nutrition'!A:A,'Solid Mix In Nutrition'!I:I,1)))  * _xlfn.XLOOKUP($I142,'Solid Mix In Nutrition'!A:A,'Solid Mix In Nutrition'!C:C,0))+(($X142 / 100)  * _xlfn.XLOOKUP($J142,'Sweetener Mix In Nutrition'!A:A,'Sweetener Mix In Nutrition'!C:C,0))+(($Y142 / 100)  * _xlfn.XLOOKUP($K142,'Sweetener Mix In Nutrition'!A:A,'Sweetener Mix In Nutrition'!C:C,0))</f>
        <v>0</v>
      </c>
      <c r="AF142" s="38" t="e">
        <f>$AE142 / (_xlfn.XLOOKUP($L142,Specs!A:A,Specs!B:B,0))</f>
        <v>#DIV/0!</v>
      </c>
      <c r="AG142" s="37" t="e">
        <f>60* ($AB142 / _xlfn.XLOOKUP($L142,Specs!A:A,Specs!B:B,0))</f>
        <v>#DIV/0!</v>
      </c>
      <c r="AH142" s="37" t="e">
        <f>60* (AC142 / _xlfn.XLOOKUP($L142,Specs!$A:$A,Specs!$B:$B,0))</f>
        <v>#DIV/0!</v>
      </c>
      <c r="AI142" s="37" t="e">
        <f>60* (AE142 / _xlfn.XLOOKUP($L142,Specs!$A:$A,Specs!$B:$B,0))</f>
        <v>#DIV/0!</v>
      </c>
      <c r="AJ142" s="39">
        <f>(($R142 / 240) * _xlfn.XLOOKUP($D142,'Milk Types Nutrition Per Cup'!A:A,'Milk Types Nutrition Per Cup'!F:F,0)) +(($S142 / 240)  * _xlfn.XLOOKUP($E142,'Milk Types Nutrition Per Cup'!A:A,'Milk Types Nutrition Per Cup'!F:F,0)) +(($T142 / 15)  * _xlfn.XLOOKUP($F142,'Liquid Mix In Nutrition'!A:A,'Liquid Mix In Nutrition'!F:F,0))+(($U142 / 15)  * _xlfn.XLOOKUP($G142,'Liquid Mix In Nutrition'!A:A,'Liquid Mix In Nutrition'!F:F,0))+(($V142 / MAX(1, _xlfn.XLOOKUP($H142,'Solid Mix In Nutrition'!A:A,'Solid Mix In Nutrition'!I:I,1)))  * _xlfn.XLOOKUP($H142,'Solid Mix In Nutrition'!A:A,'Solid Mix In Nutrition'!F:F,0))+(($W142 / MAX(1, _xlfn.XLOOKUP($I142,'Solid Mix In Nutrition'!A:A,'Solid Mix In Nutrition'!I:I,1)))  * _xlfn.XLOOKUP($I142,'Solid Mix In Nutrition'!A:A,'Solid Mix In Nutrition'!F:F,0))+(($X142 / 100)  * _xlfn.XLOOKUP($J142,'Sweetener Mix In Nutrition'!A:A,'Sweetener Mix In Nutrition'!F:F,0))+(($Y142 / 100)  * _xlfn.XLOOKUP($K142,'Sweetener Mix In Nutrition'!A:A,'Sweetener Mix In Nutrition'!F:F,0))</f>
        <v>0</v>
      </c>
      <c r="AK142" s="46">
        <f>[2]Sheet1!AG142</f>
        <v>0</v>
      </c>
      <c r="AL142" s="47"/>
      <c r="AM142" s="40">
        <f>IF(ISERROR(((AL142/Specs!$L$3)*Specs!$L$2)*2),0,ROUNDUP((((AL142/Specs!$L$3)*Specs!$L$2)*2),0))</f>
        <v>0</v>
      </c>
      <c r="AN142" s="48">
        <f>ROUNDUP(((AJ142+Specs!$R$2+Specs!$S$2+_xlfn.XLOOKUP($L142,Specs!A:A,Specs!V:V,0))*Specs!$N$2)+AM142,0)</f>
        <v>1</v>
      </c>
      <c r="AO142" s="40">
        <f>ROUNDUP(((AJ142+Specs!$R$2+Specs!$S$2+_xlfn.XLOOKUP($L142,Specs!A:A,Specs!V:V,0))*Specs!$N$2),0)</f>
        <v>1</v>
      </c>
      <c r="AP142" s="30"/>
    </row>
    <row r="143" spans="1:42" x14ac:dyDescent="0.25">
      <c r="A143" s="41" t="str">
        <f>_xlfn.CONCAT(_xlfn.XLOOKUP("What's Your Name?",[1]Sheet1!$1:$1,[1]Sheet1!143:143)," | ",TEXT(_xlfn.XLOOKUP("Completion time",[1]Sheet1!$1:$1,[1]Sheet1!143:143),"dddd, mmm dd, yyyy hh:mm AM/PM"))</f>
        <v xml:space="preserve"> | Saturday, Jan 00, 1900 12:00 AM</v>
      </c>
      <c r="B143" s="76">
        <f>_xlfn.XLOOKUP("What's Your Email Address?",[1]Sheet1!$1:$1,[1]Sheet1!143:143)</f>
        <v>0</v>
      </c>
      <c r="C143" s="31">
        <f>IF(ISBLANK(_xlfn.XLOOKUP("Which Flavor? (Pint Price | Quart Price | Half Gallon Price) (NOTE: Prices may fluctuate based on market conditions)",[1]Sheet1!$1:$1,[1]Sheet1!143:143)),_xlfn.XLOOKUP("Name Your Ice Cream!",[1]Sheet1!$1:$1,[1]Sheet1!143:143),IF(ISNUMBER(FIND("(", _xlfn.XLOOKUP("Which Flavor? (Pint Price | Quart Price | Half Gallon Price) (NOTE: Prices may fluctuate based on market conditions)",[1]Sheet1!$1:$1,[1]Sheet1!143:143))), LEFT(_xlfn.XLOOKUP("Which Flavor? (Pint Price | Quart Price | Half Gallon Price) (NOTE: Prices may fluctuate based on market conditions)",[1]Sheet1!$1:$1,[1]Sheet1!143:143), FIND("(", _xlfn.XLOOKUP("Which Flavor? (Pint Price | Quart Price | Half Gallon Price) (NOTE: Prices may fluctuate based on market conditions)",[1]Sheet1!$1:$1,[1]Sheet1!143:143)) - 1), _xlfn.XLOOKUP("Which Flavor? (Pint Price | Quart Price | Half Gallon Price) (NOTE: Prices may fluctuate based on market conditions)",[1]Sheet1!$1:$1,[1]Sheet1!143:143)))</f>
        <v>0</v>
      </c>
      <c r="D143" s="31">
        <f>IF(COUNTIF('Premade Flavors'!$A:$A, $C143) &gt; 0,IF(ISBLANK(_xlfn.XLOOKUP("What Ice Cream Base Do You Want To Change It To?",[1]Sheet1!$1:$1,[1]Sheet1!143:143)),_xlfn.XLOOKUP($C143,'Premade Flavors'!$A:$A,'Premade Flavors'!B:B),_xlfn.XLOOKUP("What Ice Cream Base Do You Want To Change It To?",[1]Sheet1!$1:$1,[1]Sheet1!143:143)),_xlfn.XLOOKUP(_xlfn.XLOOKUP("What Kind Of Ice Cream Base Do You Want? ",[1]Sheet1!$1:$1,[1]Sheet1!143:143),'Milk Types Nutrition Per Cup'!O:O,'Milk Types Nutrition Per Cup'!P:P,""))</f>
        <v>0</v>
      </c>
      <c r="E143" s="31">
        <f>IF(COUNTIF('Premade Flavors'!$A:$A, $C143) &gt; 0,IF(ISBLANK(_xlfn.XLOOKUP("What Ice Cream Base Do You Want To Change It To?",[1]Sheet1!$1:$1,[1]Sheet1!143:143)),_xlfn.XLOOKUP($C143,'Premade Flavors'!$A:$A,'Premade Flavors'!C:C),_xlfn.XLOOKUP("What Ice Cream Base Do You Want To Change It To?",[1]Sheet1!$1:$1,[1]Sheet1!143:143)),_xlfn.XLOOKUP(_xlfn.XLOOKUP("What Kind Of Ice Cream Base Do You Want? ",[1]Sheet1!$1:$1,[1]Sheet1!143:143),'Milk Types Nutrition Per Cup'!$O:$O,'Milk Types Nutrition Per Cup'!$Q:$Q,""))</f>
        <v>0</v>
      </c>
      <c r="F143" s="31">
        <f>IF(COUNTIF('Premade Flavors'!$A:$A, $C143) &gt; 0,_xlfn.XLOOKUP($C143,'Premade Flavors'!$A:$A,'Premade Flavors'!E:E),_xlfn.XLOOKUP("What's The First Flavor You Want? ",[1]Sheet1!$1:$1,[1]Sheet1!143:143))</f>
        <v>0</v>
      </c>
      <c r="G143" s="31">
        <f>IF(COUNTIF('Premade Flavors'!$A:$A, $C143) &gt; 0,_xlfn.XLOOKUP($C143,'Premade Flavors'!$A:$A,'Premade Flavors'!F:F),_xlfn.XLOOKUP("What's the Second Flavor You Want?",[1]Sheet1!$1:$1,[1]Sheet1!143:143))</f>
        <v>0</v>
      </c>
      <c r="H143" s="31">
        <f>IF(COUNTIF('Premade Flavors'!$A:$A, $C143) &gt; 0,_xlfn.XLOOKUP($C143,'Premade Flavors'!$A:$A,'Premade Flavors'!G:G),_xlfn.XLOOKUP("What's The First Mix In That You Want? ",[1]Sheet1!$1:$1,[1]Sheet1!143:143))</f>
        <v>0</v>
      </c>
      <c r="I143" s="31">
        <f>IF(COUNTIF('Premade Flavors'!$A:$A, $C141) &gt; 0,_xlfn.XLOOKUP($C141,'Premade Flavors'!$A:$A,'Premade Flavors'!H:H),IF([2]Sheet1!W141= 0,,[2]Sheet1!W141))</f>
        <v>0</v>
      </c>
      <c r="J143" s="31">
        <f>IF(COUNTIF('Premade Flavors'!$A:$A,$C143)&gt;0,IF(_xlfn.XLOOKUP("Should It Use Sugar or A Non-Sugar Sweetner?",[1]Sheet1!$1:$1,[1]Sheet1!143:143)="Sugar",_xlfn.XLOOKUP($C143,'Premade Flavors'!$A:$A,'Premade Flavors'!I:I),"Stevia"),_xlfn.XLOOKUP("What Sweetner Do You Want?",[1]Sheet1!$1:$1,[1]Sheet1!143:143))</f>
        <v>0</v>
      </c>
      <c r="K143" s="31"/>
      <c r="L143" s="77">
        <f>_xlfn.XLOOKUP("How Much Ice Cream Do You Want?",[1]Sheet1!$1:$1,[1]Sheet1!143:143)</f>
        <v>0</v>
      </c>
      <c r="M143" s="45">
        <f>IF(COUNTIF('Premade Flavors'!$A:$A, $C143) &gt; 0,_xlfn.XLOOKUP($C143,'Premade Flavors'!$A:$A,'Premade Flavors'!M:M),_xlfn.XLOOKUP("How Strong Do You Want The First Flavor?",[1]Sheet1!$1:$1,[1]Sheet1!143:143))</f>
        <v>0</v>
      </c>
      <c r="N143" s="45">
        <f>IF(COUNTIF('Premade Flavors'!$A:$A, $C143) &gt; 0,_xlfn.XLOOKUP($C143,'Premade Flavors'!$A:$A,'Premade Flavors'!N:N),_xlfn.XLOOKUP("How Strong Do You Want The Second Flavor?",[1]Sheet1!$1:$1,[1]Sheet1!143:143))</f>
        <v>0</v>
      </c>
      <c r="O143" s="45">
        <f>IF(COUNTIF('Premade Flavors'!$A:$A, $C143) &gt; 0,_xlfn.XLOOKUP($C143,'Premade Flavors'!$A:$A,'Premade Flavors'!O:O),_xlfn.XLOOKUP("How Dense Should the Mix Ins Be?",[1]Sheet1!$1:$1,[1]Sheet1!143:143))</f>
        <v>0</v>
      </c>
      <c r="P143" s="45">
        <f>IF(COUNTIF('Premade Flavors'!$A:$A, $C143) &gt; 0,_xlfn.XLOOKUP($C143,'Premade Flavors'!$A:$A,'Premade Flavors'!P:P),_xlfn.XLOOKUP("How Much Of The First Sweetner? ",[1]Sheet1!$1:$1,[1]Sheet1!143:143))</f>
        <v>0</v>
      </c>
      <c r="Q143" s="45">
        <f>IF(COUNTIF('Premade Flavors'!$A:$A, $C143) &gt; 0,_xlfn.XLOOKUP($C143,'Premade Flavors'!$A:$A,'Premade Flavors'!Q:Q),[2]Sheet1!S143)</f>
        <v>0</v>
      </c>
      <c r="R143" s="30">
        <f>(_xlfn.XLOOKUP($L143,Specs!A:A,Specs!B:B,0)-(IF(_xlfn.XLOOKUP($F143,'Liquid Mix In Nutrition'!A:A,'Liquid Mix In Nutrition'!J:J,0)="Yes",0,$T143))-(IF(_xlfn.XLOOKUP($G143,'Liquid Mix In Nutrition'!A:A,'Liquid Mix In Nutrition'!J:J,0)="Yes",0,$U143))-(($V143/MAX(1,_xlfn.XLOOKUP($H143,'Solid Mix In Nutrition'!A:A,'Solid Mix In Nutrition'!I:I,1)))*240)-(($W143/MAX(1,_xlfn.XLOOKUP($I143,'Solid Mix In Nutrition'!A:A,'Solid Mix In Nutrition'!I:I,1)))*240))*0.66</f>
        <v>0</v>
      </c>
      <c r="S143" s="30">
        <f>(_xlfn.XLOOKUP($L143,Specs!A:A,Specs!B:B,0)-(IF(_xlfn.XLOOKUP($F143,'Liquid Mix In Nutrition'!A:A,'Liquid Mix In Nutrition'!J:J,0)="Yes",0,$T143))-(IF(_xlfn.XLOOKUP($G143,'Liquid Mix In Nutrition'!A:A,'Liquid Mix In Nutrition'!J:J,0)="Yes",0,$U143))-(($V143/MAX(1,_xlfn.XLOOKUP($H143,'Solid Mix In Nutrition'!A:A,'Solid Mix In Nutrition'!I:I,1)))*240)-(($W143/MAX(1,_xlfn.XLOOKUP($I143,'Solid Mix In Nutrition'!A:A,'Solid Mix In Nutrition'!I:I,1)))*240))*0.33</f>
        <v>0</v>
      </c>
      <c r="T143" s="30">
        <f>_xlfn.XLOOKUP($M143,Specs!$D:$D,Specs!$E:$E,0)*15*_xlfn.XLOOKUP($L143,Specs!$A:$A,Specs!$C:$C,0)</f>
        <v>0</v>
      </c>
      <c r="U143" s="30">
        <f>_xlfn.XLOOKUP($N143,Specs!$D:$D,Specs!$E:$E,0)*15*_xlfn.XLOOKUP($L143,Specs!$A:$A,Specs!$C:$C,0)</f>
        <v>0</v>
      </c>
      <c r="V143" s="30">
        <f>( ((_xlfn.XLOOKUP($O143,Specs!$H:$H,Specs!$I:$I,0)*_xlfn.XLOOKUP($L143,Specs!$A:$A,Specs!$B:$B,0))/240) *_xlfn.XLOOKUP($H143,'Solid Mix In Nutrition'!A:A,'Solid Mix In Nutrition'!I:I,0)) *IF(AND(NOT($I143=0), COUNTA($I143)),0.5,1)</f>
        <v>0</v>
      </c>
      <c r="W143" s="30">
        <f>( ((_xlfn.XLOOKUP($O143,Specs!$H:$H,Specs!$I:$I,0)*_xlfn.XLOOKUP($L143,Specs!$A:$A,Specs!$B:$B,0))/240) *_xlfn.XLOOKUP($I143,'Solid Mix In Nutrition'!A:A,'Solid Mix In Nutrition'!I:I,0)) *IF(AND(NOT($I143=0), COUNTA($I143)),0.5,0)</f>
        <v>0</v>
      </c>
      <c r="X143" s="30">
        <f>_xlfn.XLOOKUP($P143,Specs!F:F,Specs!G:G,0)*_xlfn.XLOOKUP($J143,'Sweetener Mix In Nutrition'!A:A,'Sweetener Mix In Nutrition'!I:I,0)*_xlfn.XLOOKUP($L143,Specs!A:A,Specs!C:C,0)</f>
        <v>0</v>
      </c>
      <c r="Y143" s="30">
        <f>_xlfn.XLOOKUP($Q143,Specs!F:F,Specs!G:G,0)*_xlfn.XLOOKUP($K143,'Sweetener Mix In Nutrition'!A:A,'Sweetener Mix In Nutrition'!I:I,0)*_xlfn.XLOOKUP($L143,Specs!A:A,Specs!C:C,0)</f>
        <v>0</v>
      </c>
      <c r="Z143" s="34">
        <f t="shared" si="4"/>
        <v>0</v>
      </c>
      <c r="AA143" s="35">
        <f t="shared" si="5"/>
        <v>0</v>
      </c>
      <c r="AB143" s="36">
        <f>(($R143 / 240) * _xlfn.XLOOKUP($D143,'Milk Types Nutrition Per Cup'!A:A,'Milk Types Nutrition Per Cup'!B:B,0)) +(($S143 / 240)  * _xlfn.XLOOKUP($E143,'Milk Types Nutrition Per Cup'!A:A,'Milk Types Nutrition Per Cup'!B:B,0)) +(($T143 / 15)  * _xlfn.XLOOKUP($F143,'Liquid Mix In Nutrition'!A:A,'Liquid Mix In Nutrition'!B:B,0))+(($U143 / 15)  * _xlfn.XLOOKUP($G143,'Liquid Mix In Nutrition'!A:A,'Liquid Mix In Nutrition'!B:B,0))+(($V143 /MAX(1, _xlfn.XLOOKUP($H143,'Solid Mix In Nutrition'!A:A,'Solid Mix In Nutrition'!I:I,1)))  * _xlfn.XLOOKUP($H143,'Solid Mix In Nutrition'!A:A,'Solid Mix In Nutrition'!B:B,0))+(($W143 / MAX(1, _xlfn.XLOOKUP($I143,'Solid Mix In Nutrition'!A:A,'Solid Mix In Nutrition'!I:I,1))))+(($X143 / 100)  * _xlfn.XLOOKUP($J143,'Sweetener Mix In Nutrition'!A:A,'Sweetener Mix In Nutrition'!B:B,0))+(($Y143 / 100)  * _xlfn.XLOOKUP($K143,'Sweetener Mix In Nutrition'!A:A,'Sweetener Mix In Nutrition'!B:B,0))</f>
        <v>0</v>
      </c>
      <c r="AC143" s="36">
        <f>(($R143 / 240) * _xlfn.XLOOKUP($D143,'Milk Types Nutrition Per Cup'!A:A,'Milk Types Nutrition Per Cup'!E:E,0)) +(($S143 / 240)  * _xlfn.XLOOKUP($E143,'Milk Types Nutrition Per Cup'!A:A,'Milk Types Nutrition Per Cup'!E:E,0)) +(($T143 / 15)  * _xlfn.XLOOKUP($F143,'Liquid Mix In Nutrition'!A:A,'Liquid Mix In Nutrition'!E:E,0)) +(($U143 / 15)  * _xlfn.XLOOKUP($G143,'Liquid Mix In Nutrition'!A:A,'Liquid Mix In Nutrition'!E:E,0))+(($V143 / MAX(1, _xlfn.XLOOKUP($H143,'Solid Mix In Nutrition'!A:A,'Solid Mix In Nutrition'!I:I,1)))  * _xlfn.XLOOKUP($H143,'Solid Mix In Nutrition'!A:A,'Solid Mix In Nutrition'!E:E,0))+(($W143 / MAX(1, _xlfn.XLOOKUP($I143,'Solid Mix In Nutrition'!A:A,'Solid Mix In Nutrition'!I:I,1)))  * _xlfn.XLOOKUP($I143,'Solid Mix In Nutrition'!A:A,'Solid Mix In Nutrition'!G:G,0))+(($X143 / 100)  * _xlfn.XLOOKUP($J143,'Sweetener Mix In Nutrition'!A:A,'Sweetener Mix In Nutrition'!E:E,0))+(($Y143 / 100)  * _xlfn.XLOOKUP($K143,'Sweetener Mix In Nutrition'!A:A,'Sweetener Mix In Nutrition'!E:E,0))</f>
        <v>0</v>
      </c>
      <c r="AD143" s="36">
        <f>(($R143 / 240) * _xlfn.XLOOKUP($D143,'Milk Types Nutrition Per Cup'!A:A,'Milk Types Nutrition Per Cup'!E:E,0)) +(($S143 / 240)  * _xlfn.XLOOKUP($E143,'Milk Types Nutrition Per Cup'!A:A,'Milk Types Nutrition Per Cup'!E:E,0)) +(($T143 / 15)  * _xlfn.XLOOKUP($F143,'Liquid Mix In Nutrition'!A:A,'Liquid Mix In Nutrition'!E:E,0)) +(($U143 / 15)  * _xlfn.XLOOKUP($G143,'Liquid Mix In Nutrition'!A:A,'Liquid Mix In Nutrition'!E:E,0))+(($X143 / 100)  * _xlfn.XLOOKUP($J143,'Sweetener Mix In Nutrition'!A:A,'Sweetener Mix In Nutrition'!E:E,0))+(($Y143 / 100)  * _xlfn.XLOOKUP($K143,'Sweetener Mix In Nutrition'!A:A,'Sweetener Mix In Nutrition'!E:E,0))</f>
        <v>0</v>
      </c>
      <c r="AE143" s="37">
        <f>(($R143 / 240) * _xlfn.XLOOKUP($D143,'Milk Types Nutrition Per Cup'!A:A,'Milk Types Nutrition Per Cup'!C:C,0)) +(($S143 / 240)  * _xlfn.XLOOKUP($E143,'Milk Types Nutrition Per Cup'!A:A,'Milk Types Nutrition Per Cup'!C:C,0)) +(($T143 / 15)  * _xlfn.XLOOKUP($F143,'Liquid Mix In Nutrition'!A:A,'Liquid Mix In Nutrition'!C:C,0))+(($U143 / 15)  * _xlfn.XLOOKUP($G143,'Liquid Mix In Nutrition'!A:A,'Liquid Mix In Nutrition'!C:C,0))+(($V143 / MAX(1, _xlfn.XLOOKUP($H143,'Solid Mix In Nutrition'!A:A,'Solid Mix In Nutrition'!I:I,1)))  * _xlfn.XLOOKUP($H143,'Solid Mix In Nutrition'!A:A,'Solid Mix In Nutrition'!C:C,0))+(($W143 / MAX(1, _xlfn.XLOOKUP($I143,'Solid Mix In Nutrition'!A:A,'Solid Mix In Nutrition'!I:I,1)))  * _xlfn.XLOOKUP($I143,'Solid Mix In Nutrition'!A:A,'Solid Mix In Nutrition'!C:C,0))+(($X143 / 100)  * _xlfn.XLOOKUP($J143,'Sweetener Mix In Nutrition'!A:A,'Sweetener Mix In Nutrition'!C:C,0))+(($Y143 / 100)  * _xlfn.XLOOKUP($K143,'Sweetener Mix In Nutrition'!A:A,'Sweetener Mix In Nutrition'!C:C,0))</f>
        <v>0</v>
      </c>
      <c r="AF143" s="38" t="e">
        <f>$AE143 / (_xlfn.XLOOKUP($L143,Specs!A:A,Specs!B:B,0))</f>
        <v>#DIV/0!</v>
      </c>
      <c r="AG143" s="37" t="e">
        <f>60* ($AB143 / _xlfn.XLOOKUP($L143,Specs!A:A,Specs!B:B,0))</f>
        <v>#DIV/0!</v>
      </c>
      <c r="AH143" s="37" t="e">
        <f>60* (AC143 / _xlfn.XLOOKUP($L143,Specs!$A:$A,Specs!$B:$B,0))</f>
        <v>#DIV/0!</v>
      </c>
      <c r="AI143" s="37" t="e">
        <f>60* (AE143 / _xlfn.XLOOKUP($L143,Specs!$A:$A,Specs!$B:$B,0))</f>
        <v>#DIV/0!</v>
      </c>
      <c r="AJ143" s="39">
        <f>(($R143 / 240) * _xlfn.XLOOKUP($D143,'Milk Types Nutrition Per Cup'!A:A,'Milk Types Nutrition Per Cup'!F:F,0)) +(($S143 / 240)  * _xlfn.XLOOKUP($E143,'Milk Types Nutrition Per Cup'!A:A,'Milk Types Nutrition Per Cup'!F:F,0)) +(($T143 / 15)  * _xlfn.XLOOKUP($F143,'Liquid Mix In Nutrition'!A:A,'Liquid Mix In Nutrition'!F:F,0))+(($U143 / 15)  * _xlfn.XLOOKUP($G143,'Liquid Mix In Nutrition'!A:A,'Liquid Mix In Nutrition'!F:F,0))+(($V143 / MAX(1, _xlfn.XLOOKUP($H143,'Solid Mix In Nutrition'!A:A,'Solid Mix In Nutrition'!I:I,1)))  * _xlfn.XLOOKUP($H143,'Solid Mix In Nutrition'!A:A,'Solid Mix In Nutrition'!F:F,0))+(($W143 / MAX(1, _xlfn.XLOOKUP($I143,'Solid Mix In Nutrition'!A:A,'Solid Mix In Nutrition'!I:I,1)))  * _xlfn.XLOOKUP($I143,'Solid Mix In Nutrition'!A:A,'Solid Mix In Nutrition'!F:F,0))+(($X143 / 100)  * _xlfn.XLOOKUP($J143,'Sweetener Mix In Nutrition'!A:A,'Sweetener Mix In Nutrition'!F:F,0))+(($Y143 / 100)  * _xlfn.XLOOKUP($K143,'Sweetener Mix In Nutrition'!A:A,'Sweetener Mix In Nutrition'!F:F,0))</f>
        <v>0</v>
      </c>
      <c r="AK143" s="46">
        <f>[2]Sheet1!AG143</f>
        <v>0</v>
      </c>
      <c r="AL143" s="47"/>
      <c r="AM143" s="40">
        <f>IF(ISERROR(((AL143/Specs!$L$3)*Specs!$L$2)*2),0,ROUNDUP((((AL143/Specs!$L$3)*Specs!$L$2)*2),0))</f>
        <v>0</v>
      </c>
      <c r="AN143" s="48">
        <f>ROUNDUP(((AJ143+Specs!$R$2+Specs!$S$2+_xlfn.XLOOKUP($L143,Specs!A:A,Specs!V:V,0))*Specs!$N$2)+AM143,0)</f>
        <v>1</v>
      </c>
      <c r="AO143" s="40">
        <f>ROUNDUP(((AJ143+Specs!$R$2+Specs!$S$2+_xlfn.XLOOKUP($L143,Specs!A:A,Specs!V:V,0))*Specs!$N$2),0)</f>
        <v>1</v>
      </c>
      <c r="AP143" s="30"/>
    </row>
    <row r="144" spans="1:42" x14ac:dyDescent="0.25">
      <c r="A144" s="41" t="str">
        <f>_xlfn.CONCAT(_xlfn.XLOOKUP("What's Your Name?",[1]Sheet1!$1:$1,[1]Sheet1!144:144)," | ",TEXT(_xlfn.XLOOKUP("Completion time",[1]Sheet1!$1:$1,[1]Sheet1!144:144),"dddd, mmm dd, yyyy hh:mm AM/PM"))</f>
        <v xml:space="preserve"> | Saturday, Jan 00, 1900 12:00 AM</v>
      </c>
      <c r="B144" s="76">
        <f>_xlfn.XLOOKUP("What's Your Email Address?",[1]Sheet1!$1:$1,[1]Sheet1!144:144)</f>
        <v>0</v>
      </c>
      <c r="C144" s="31">
        <f>IF(ISBLANK(_xlfn.XLOOKUP("Which Flavor? (Pint Price | Quart Price | Half Gallon Price) (NOTE: Prices may fluctuate based on market conditions)",[1]Sheet1!$1:$1,[1]Sheet1!144:144)),_xlfn.XLOOKUP("Name Your Ice Cream!",[1]Sheet1!$1:$1,[1]Sheet1!144:144),IF(ISNUMBER(FIND("(", _xlfn.XLOOKUP("Which Flavor? (Pint Price | Quart Price | Half Gallon Price) (NOTE: Prices may fluctuate based on market conditions)",[1]Sheet1!$1:$1,[1]Sheet1!144:144))), LEFT(_xlfn.XLOOKUP("Which Flavor? (Pint Price | Quart Price | Half Gallon Price) (NOTE: Prices may fluctuate based on market conditions)",[1]Sheet1!$1:$1,[1]Sheet1!144:144), FIND("(", _xlfn.XLOOKUP("Which Flavor? (Pint Price | Quart Price | Half Gallon Price) (NOTE: Prices may fluctuate based on market conditions)",[1]Sheet1!$1:$1,[1]Sheet1!144:144)) - 1), _xlfn.XLOOKUP("Which Flavor? (Pint Price | Quart Price | Half Gallon Price) (NOTE: Prices may fluctuate based on market conditions)",[1]Sheet1!$1:$1,[1]Sheet1!144:144)))</f>
        <v>0</v>
      </c>
      <c r="D144" s="31">
        <f>IF(COUNTIF('Premade Flavors'!$A:$A, $C144) &gt; 0,IF(ISBLANK(_xlfn.XLOOKUP("What Ice Cream Base Do You Want To Change It To?",[1]Sheet1!$1:$1,[1]Sheet1!144:144)),_xlfn.XLOOKUP($C144,'Premade Flavors'!$A:$A,'Premade Flavors'!B:B),_xlfn.XLOOKUP("What Ice Cream Base Do You Want To Change It To?",[1]Sheet1!$1:$1,[1]Sheet1!144:144)),_xlfn.XLOOKUP(_xlfn.XLOOKUP("What Kind Of Ice Cream Base Do You Want? ",[1]Sheet1!$1:$1,[1]Sheet1!144:144),'Milk Types Nutrition Per Cup'!O:O,'Milk Types Nutrition Per Cup'!P:P,""))</f>
        <v>0</v>
      </c>
      <c r="E144" s="31">
        <f>IF(COUNTIF('Premade Flavors'!$A:$A, $C144) &gt; 0,IF(ISBLANK(_xlfn.XLOOKUP("What Ice Cream Base Do You Want To Change It To?",[1]Sheet1!$1:$1,[1]Sheet1!144:144)),_xlfn.XLOOKUP($C144,'Premade Flavors'!$A:$A,'Premade Flavors'!C:C),_xlfn.XLOOKUP("What Ice Cream Base Do You Want To Change It To?",[1]Sheet1!$1:$1,[1]Sheet1!144:144)),_xlfn.XLOOKUP(_xlfn.XLOOKUP("What Kind Of Ice Cream Base Do You Want? ",[1]Sheet1!$1:$1,[1]Sheet1!144:144),'Milk Types Nutrition Per Cup'!$O:$O,'Milk Types Nutrition Per Cup'!$Q:$Q,""))</f>
        <v>0</v>
      </c>
      <c r="F144" s="31">
        <f>IF(COUNTIF('Premade Flavors'!$A:$A, $C144) &gt; 0,_xlfn.XLOOKUP($C144,'Premade Flavors'!$A:$A,'Premade Flavors'!E:E),_xlfn.XLOOKUP("What's The First Flavor You Want? ",[1]Sheet1!$1:$1,[1]Sheet1!144:144))</f>
        <v>0</v>
      </c>
      <c r="G144" s="31">
        <f>IF(COUNTIF('Premade Flavors'!$A:$A, $C144) &gt; 0,_xlfn.XLOOKUP($C144,'Premade Flavors'!$A:$A,'Premade Flavors'!F:F),_xlfn.XLOOKUP("What's the Second Flavor You Want?",[1]Sheet1!$1:$1,[1]Sheet1!144:144))</f>
        <v>0</v>
      </c>
      <c r="H144" s="31">
        <f>IF(COUNTIF('Premade Flavors'!$A:$A, $C144) &gt; 0,_xlfn.XLOOKUP($C144,'Premade Flavors'!$A:$A,'Premade Flavors'!G:G),_xlfn.XLOOKUP("What's The First Mix In That You Want? ",[1]Sheet1!$1:$1,[1]Sheet1!144:144))</f>
        <v>0</v>
      </c>
      <c r="I144" s="31">
        <f>IF(COUNTIF('Premade Flavors'!$A:$A, $C142) &gt; 0,_xlfn.XLOOKUP($C142,'Premade Flavors'!$A:$A,'Premade Flavors'!H:H),IF([2]Sheet1!W142= 0,,[2]Sheet1!W142))</f>
        <v>0</v>
      </c>
      <c r="J144" s="31">
        <f>IF(COUNTIF('Premade Flavors'!$A:$A,$C144)&gt;0,IF(_xlfn.XLOOKUP("Should It Use Sugar or A Non-Sugar Sweetner?",[1]Sheet1!$1:$1,[1]Sheet1!144:144)="Sugar",_xlfn.XLOOKUP($C144,'Premade Flavors'!$A:$A,'Premade Flavors'!I:I),"Stevia"),_xlfn.XLOOKUP("What Sweetner Do You Want?",[1]Sheet1!$1:$1,[1]Sheet1!144:144))</f>
        <v>0</v>
      </c>
      <c r="K144" s="31"/>
      <c r="L144" s="77">
        <f>_xlfn.XLOOKUP("How Much Ice Cream Do You Want?",[1]Sheet1!$1:$1,[1]Sheet1!144:144)</f>
        <v>0</v>
      </c>
      <c r="M144" s="45">
        <f>IF(COUNTIF('Premade Flavors'!$A:$A, $C144) &gt; 0,_xlfn.XLOOKUP($C144,'Premade Flavors'!$A:$A,'Premade Flavors'!M:M),_xlfn.XLOOKUP("How Strong Do You Want The First Flavor?",[1]Sheet1!$1:$1,[1]Sheet1!144:144))</f>
        <v>0</v>
      </c>
      <c r="N144" s="45">
        <f>IF(COUNTIF('Premade Flavors'!$A:$A, $C144) &gt; 0,_xlfn.XLOOKUP($C144,'Premade Flavors'!$A:$A,'Premade Flavors'!N:N),_xlfn.XLOOKUP("How Strong Do You Want The Second Flavor?",[1]Sheet1!$1:$1,[1]Sheet1!144:144))</f>
        <v>0</v>
      </c>
      <c r="O144" s="45">
        <f>IF(COUNTIF('Premade Flavors'!$A:$A, $C144) &gt; 0,_xlfn.XLOOKUP($C144,'Premade Flavors'!$A:$A,'Premade Flavors'!O:O),_xlfn.XLOOKUP("How Dense Should the Mix Ins Be?",[1]Sheet1!$1:$1,[1]Sheet1!144:144))</f>
        <v>0</v>
      </c>
      <c r="P144" s="45">
        <f>IF(COUNTIF('Premade Flavors'!$A:$A, $C144) &gt; 0,_xlfn.XLOOKUP($C144,'Premade Flavors'!$A:$A,'Premade Flavors'!P:P),_xlfn.XLOOKUP("How Much Of The First Sweetner? ",[1]Sheet1!$1:$1,[1]Sheet1!144:144))</f>
        <v>0</v>
      </c>
      <c r="Q144" s="45">
        <f>IF(COUNTIF('Premade Flavors'!$A:$A, $C144) &gt; 0,_xlfn.XLOOKUP($C144,'Premade Flavors'!$A:$A,'Premade Flavors'!Q:Q),[2]Sheet1!S144)</f>
        <v>0</v>
      </c>
      <c r="R144" s="30">
        <f>(_xlfn.XLOOKUP($L144,Specs!A:A,Specs!B:B,0)-(IF(_xlfn.XLOOKUP($F144,'Liquid Mix In Nutrition'!A:A,'Liquid Mix In Nutrition'!J:J,0)="Yes",0,$T144))-(IF(_xlfn.XLOOKUP($G144,'Liquid Mix In Nutrition'!A:A,'Liquid Mix In Nutrition'!J:J,0)="Yes",0,$U144))-(($V144/MAX(1,_xlfn.XLOOKUP($H144,'Solid Mix In Nutrition'!A:A,'Solid Mix In Nutrition'!I:I,1)))*240)-(($W144/MAX(1,_xlfn.XLOOKUP($I144,'Solid Mix In Nutrition'!A:A,'Solid Mix In Nutrition'!I:I,1)))*240))*0.66</f>
        <v>0</v>
      </c>
      <c r="S144" s="30">
        <f>(_xlfn.XLOOKUP($L144,Specs!A:A,Specs!B:B,0)-(IF(_xlfn.XLOOKUP($F144,'Liquid Mix In Nutrition'!A:A,'Liquid Mix In Nutrition'!J:J,0)="Yes",0,$T144))-(IF(_xlfn.XLOOKUP($G144,'Liquid Mix In Nutrition'!A:A,'Liquid Mix In Nutrition'!J:J,0)="Yes",0,$U144))-(($V144/MAX(1,_xlfn.XLOOKUP($H144,'Solid Mix In Nutrition'!A:A,'Solid Mix In Nutrition'!I:I,1)))*240)-(($W144/MAX(1,_xlfn.XLOOKUP($I144,'Solid Mix In Nutrition'!A:A,'Solid Mix In Nutrition'!I:I,1)))*240))*0.33</f>
        <v>0</v>
      </c>
      <c r="T144" s="30">
        <f>_xlfn.XLOOKUP($M144,Specs!$D:$D,Specs!$E:$E,0)*15*_xlfn.XLOOKUP($L144,Specs!$A:$A,Specs!$C:$C,0)</f>
        <v>0</v>
      </c>
      <c r="U144" s="30">
        <f>_xlfn.XLOOKUP($N144,Specs!$D:$D,Specs!$E:$E,0)*15*_xlfn.XLOOKUP($L144,Specs!$A:$A,Specs!$C:$C,0)</f>
        <v>0</v>
      </c>
      <c r="V144" s="30">
        <f>( ((_xlfn.XLOOKUP($O144,Specs!$H:$H,Specs!$I:$I,0)*_xlfn.XLOOKUP($L144,Specs!$A:$A,Specs!$B:$B,0))/240) *_xlfn.XLOOKUP($H144,'Solid Mix In Nutrition'!A:A,'Solid Mix In Nutrition'!I:I,0)) *IF(AND(NOT($I144=0), COUNTA($I144)),0.5,1)</f>
        <v>0</v>
      </c>
      <c r="W144" s="30">
        <f>( ((_xlfn.XLOOKUP($O144,Specs!$H:$H,Specs!$I:$I,0)*_xlfn.XLOOKUP($L144,Specs!$A:$A,Specs!$B:$B,0))/240) *_xlfn.XLOOKUP($I144,'Solid Mix In Nutrition'!A:A,'Solid Mix In Nutrition'!I:I,0)) *IF(AND(NOT($I144=0), COUNTA($I144)),0.5,0)</f>
        <v>0</v>
      </c>
      <c r="X144" s="30">
        <f>_xlfn.XLOOKUP($P144,Specs!F:F,Specs!G:G,0)*_xlfn.XLOOKUP($J144,'Sweetener Mix In Nutrition'!A:A,'Sweetener Mix In Nutrition'!I:I,0)*_xlfn.XLOOKUP($L144,Specs!A:A,Specs!C:C,0)</f>
        <v>0</v>
      </c>
      <c r="Y144" s="30">
        <f>_xlfn.XLOOKUP($Q144,Specs!F:F,Specs!G:G,0)*_xlfn.XLOOKUP($K144,'Sweetener Mix In Nutrition'!A:A,'Sweetener Mix In Nutrition'!I:I,0)*_xlfn.XLOOKUP($L144,Specs!A:A,Specs!C:C,0)</f>
        <v>0</v>
      </c>
      <c r="Z144" s="34">
        <f t="shared" si="4"/>
        <v>0</v>
      </c>
      <c r="AA144" s="35">
        <f t="shared" si="5"/>
        <v>0</v>
      </c>
      <c r="AB144" s="36">
        <f>(($R144 / 240) * _xlfn.XLOOKUP($D144,'Milk Types Nutrition Per Cup'!A:A,'Milk Types Nutrition Per Cup'!B:B,0)) +(($S144 / 240)  * _xlfn.XLOOKUP($E144,'Milk Types Nutrition Per Cup'!A:A,'Milk Types Nutrition Per Cup'!B:B,0)) +(($T144 / 15)  * _xlfn.XLOOKUP($F144,'Liquid Mix In Nutrition'!A:A,'Liquid Mix In Nutrition'!B:B,0))+(($U144 / 15)  * _xlfn.XLOOKUP($G144,'Liquid Mix In Nutrition'!A:A,'Liquid Mix In Nutrition'!B:B,0))+(($V144 /MAX(1, _xlfn.XLOOKUP($H144,'Solid Mix In Nutrition'!A:A,'Solid Mix In Nutrition'!I:I,1)))  * _xlfn.XLOOKUP($H144,'Solid Mix In Nutrition'!A:A,'Solid Mix In Nutrition'!B:B,0))+(($W144 / MAX(1, _xlfn.XLOOKUP($I144,'Solid Mix In Nutrition'!A:A,'Solid Mix In Nutrition'!I:I,1))))+(($X144 / 100)  * _xlfn.XLOOKUP($J144,'Sweetener Mix In Nutrition'!A:A,'Sweetener Mix In Nutrition'!B:B,0))+(($Y144 / 100)  * _xlfn.XLOOKUP($K144,'Sweetener Mix In Nutrition'!A:A,'Sweetener Mix In Nutrition'!B:B,0))</f>
        <v>0</v>
      </c>
      <c r="AC144" s="36">
        <f>(($R144 / 240) * _xlfn.XLOOKUP($D144,'Milk Types Nutrition Per Cup'!A:A,'Milk Types Nutrition Per Cup'!E:E,0)) +(($S144 / 240)  * _xlfn.XLOOKUP($E144,'Milk Types Nutrition Per Cup'!A:A,'Milk Types Nutrition Per Cup'!E:E,0)) +(($T144 / 15)  * _xlfn.XLOOKUP($F144,'Liquid Mix In Nutrition'!A:A,'Liquid Mix In Nutrition'!E:E,0)) +(($U144 / 15)  * _xlfn.XLOOKUP($G144,'Liquid Mix In Nutrition'!A:A,'Liquid Mix In Nutrition'!E:E,0))+(($V144 / MAX(1, _xlfn.XLOOKUP($H144,'Solid Mix In Nutrition'!A:A,'Solid Mix In Nutrition'!I:I,1)))  * _xlfn.XLOOKUP($H144,'Solid Mix In Nutrition'!A:A,'Solid Mix In Nutrition'!E:E,0))+(($W144 / MAX(1, _xlfn.XLOOKUP($I144,'Solid Mix In Nutrition'!A:A,'Solid Mix In Nutrition'!I:I,1)))  * _xlfn.XLOOKUP($I144,'Solid Mix In Nutrition'!A:A,'Solid Mix In Nutrition'!G:G,0))+(($X144 / 100)  * _xlfn.XLOOKUP($J144,'Sweetener Mix In Nutrition'!A:A,'Sweetener Mix In Nutrition'!E:E,0))+(($Y144 / 100)  * _xlfn.XLOOKUP($K144,'Sweetener Mix In Nutrition'!A:A,'Sweetener Mix In Nutrition'!E:E,0))</f>
        <v>0</v>
      </c>
      <c r="AD144" s="36">
        <f>(($R144 / 240) * _xlfn.XLOOKUP($D144,'Milk Types Nutrition Per Cup'!A:A,'Milk Types Nutrition Per Cup'!E:E,0)) +(($S144 / 240)  * _xlfn.XLOOKUP($E144,'Milk Types Nutrition Per Cup'!A:A,'Milk Types Nutrition Per Cup'!E:E,0)) +(($T144 / 15)  * _xlfn.XLOOKUP($F144,'Liquid Mix In Nutrition'!A:A,'Liquid Mix In Nutrition'!E:E,0)) +(($U144 / 15)  * _xlfn.XLOOKUP($G144,'Liquid Mix In Nutrition'!A:A,'Liquid Mix In Nutrition'!E:E,0))+(($X144 / 100)  * _xlfn.XLOOKUP($J144,'Sweetener Mix In Nutrition'!A:A,'Sweetener Mix In Nutrition'!E:E,0))+(($Y144 / 100)  * _xlfn.XLOOKUP($K144,'Sweetener Mix In Nutrition'!A:A,'Sweetener Mix In Nutrition'!E:E,0))</f>
        <v>0</v>
      </c>
      <c r="AE144" s="37">
        <f>(($R144 / 240) * _xlfn.XLOOKUP($D144,'Milk Types Nutrition Per Cup'!A:A,'Milk Types Nutrition Per Cup'!C:C,0)) +(($S144 / 240)  * _xlfn.XLOOKUP($E144,'Milk Types Nutrition Per Cup'!A:A,'Milk Types Nutrition Per Cup'!C:C,0)) +(($T144 / 15)  * _xlfn.XLOOKUP($F144,'Liquid Mix In Nutrition'!A:A,'Liquid Mix In Nutrition'!C:C,0))+(($U144 / 15)  * _xlfn.XLOOKUP($G144,'Liquid Mix In Nutrition'!A:A,'Liquid Mix In Nutrition'!C:C,0))+(($V144 / MAX(1, _xlfn.XLOOKUP($H144,'Solid Mix In Nutrition'!A:A,'Solid Mix In Nutrition'!I:I,1)))  * _xlfn.XLOOKUP($H144,'Solid Mix In Nutrition'!A:A,'Solid Mix In Nutrition'!C:C,0))+(($W144 / MAX(1, _xlfn.XLOOKUP($I144,'Solid Mix In Nutrition'!A:A,'Solid Mix In Nutrition'!I:I,1)))  * _xlfn.XLOOKUP($I144,'Solid Mix In Nutrition'!A:A,'Solid Mix In Nutrition'!C:C,0))+(($X144 / 100)  * _xlfn.XLOOKUP($J144,'Sweetener Mix In Nutrition'!A:A,'Sweetener Mix In Nutrition'!C:C,0))+(($Y144 / 100)  * _xlfn.XLOOKUP($K144,'Sweetener Mix In Nutrition'!A:A,'Sweetener Mix In Nutrition'!C:C,0))</f>
        <v>0</v>
      </c>
      <c r="AF144" s="38" t="e">
        <f>$AE144 / (_xlfn.XLOOKUP($L144,Specs!A:A,Specs!B:B,0))</f>
        <v>#DIV/0!</v>
      </c>
      <c r="AG144" s="37" t="e">
        <f>60* ($AB144 / _xlfn.XLOOKUP($L144,Specs!A:A,Specs!B:B,0))</f>
        <v>#DIV/0!</v>
      </c>
      <c r="AH144" s="37" t="e">
        <f>60* (AC144 / _xlfn.XLOOKUP($L144,Specs!$A:$A,Specs!$B:$B,0))</f>
        <v>#DIV/0!</v>
      </c>
      <c r="AI144" s="37" t="e">
        <f>60* (AE144 / _xlfn.XLOOKUP($L144,Specs!$A:$A,Specs!$B:$B,0))</f>
        <v>#DIV/0!</v>
      </c>
      <c r="AJ144" s="39">
        <f>(($R144 / 240) * _xlfn.XLOOKUP($D144,'Milk Types Nutrition Per Cup'!A:A,'Milk Types Nutrition Per Cup'!F:F,0)) +(($S144 / 240)  * _xlfn.XLOOKUP($E144,'Milk Types Nutrition Per Cup'!A:A,'Milk Types Nutrition Per Cup'!F:F,0)) +(($T144 / 15)  * _xlfn.XLOOKUP($F144,'Liquid Mix In Nutrition'!A:A,'Liquid Mix In Nutrition'!F:F,0))+(($U144 / 15)  * _xlfn.XLOOKUP($G144,'Liquid Mix In Nutrition'!A:A,'Liquid Mix In Nutrition'!F:F,0))+(($V144 / MAX(1, _xlfn.XLOOKUP($H144,'Solid Mix In Nutrition'!A:A,'Solid Mix In Nutrition'!I:I,1)))  * _xlfn.XLOOKUP($H144,'Solid Mix In Nutrition'!A:A,'Solid Mix In Nutrition'!F:F,0))+(($W144 / MAX(1, _xlfn.XLOOKUP($I144,'Solid Mix In Nutrition'!A:A,'Solid Mix In Nutrition'!I:I,1)))  * _xlfn.XLOOKUP($I144,'Solid Mix In Nutrition'!A:A,'Solid Mix In Nutrition'!F:F,0))+(($X144 / 100)  * _xlfn.XLOOKUP($J144,'Sweetener Mix In Nutrition'!A:A,'Sweetener Mix In Nutrition'!F:F,0))+(($Y144 / 100)  * _xlfn.XLOOKUP($K144,'Sweetener Mix In Nutrition'!A:A,'Sweetener Mix In Nutrition'!F:F,0))</f>
        <v>0</v>
      </c>
      <c r="AK144" s="46">
        <f>[2]Sheet1!AG144</f>
        <v>0</v>
      </c>
      <c r="AL144" s="47"/>
      <c r="AM144" s="40">
        <f>IF(ISERROR(((AL144/Specs!$L$3)*Specs!$L$2)*2),0,ROUNDUP((((AL144/Specs!$L$3)*Specs!$L$2)*2),0))</f>
        <v>0</v>
      </c>
      <c r="AN144" s="48">
        <f>ROUNDUP(((AJ144+Specs!$R$2+Specs!$S$2+_xlfn.XLOOKUP($L144,Specs!A:A,Specs!V:V,0))*Specs!$N$2)+AM144,0)</f>
        <v>1</v>
      </c>
      <c r="AO144" s="40">
        <f>ROUNDUP(((AJ144+Specs!$R$2+Specs!$S$2+_xlfn.XLOOKUP($L144,Specs!A:A,Specs!V:V,0))*Specs!$N$2),0)</f>
        <v>1</v>
      </c>
      <c r="AP144" s="30"/>
    </row>
    <row r="145" spans="1:42" x14ac:dyDescent="0.25">
      <c r="A145" s="41" t="str">
        <f>_xlfn.CONCAT(_xlfn.XLOOKUP("What's Your Name?",[1]Sheet1!$1:$1,[1]Sheet1!145:145)," | ",TEXT(_xlfn.XLOOKUP("Completion time",[1]Sheet1!$1:$1,[1]Sheet1!145:145),"dddd, mmm dd, yyyy hh:mm AM/PM"))</f>
        <v xml:space="preserve"> | Saturday, Jan 00, 1900 12:00 AM</v>
      </c>
      <c r="B145" s="76">
        <f>_xlfn.XLOOKUP("What's Your Email Address?",[1]Sheet1!$1:$1,[1]Sheet1!145:145)</f>
        <v>0</v>
      </c>
      <c r="C145" s="31">
        <f>IF(ISBLANK(_xlfn.XLOOKUP("Which Flavor? (Pint Price | Quart Price | Half Gallon Price) (NOTE: Prices may fluctuate based on market conditions)",[1]Sheet1!$1:$1,[1]Sheet1!145:145)),_xlfn.XLOOKUP("Name Your Ice Cream!",[1]Sheet1!$1:$1,[1]Sheet1!145:145),IF(ISNUMBER(FIND("(", _xlfn.XLOOKUP("Which Flavor? (Pint Price | Quart Price | Half Gallon Price) (NOTE: Prices may fluctuate based on market conditions)",[1]Sheet1!$1:$1,[1]Sheet1!145:145))), LEFT(_xlfn.XLOOKUP("Which Flavor? (Pint Price | Quart Price | Half Gallon Price) (NOTE: Prices may fluctuate based on market conditions)",[1]Sheet1!$1:$1,[1]Sheet1!145:145), FIND("(", _xlfn.XLOOKUP("Which Flavor? (Pint Price | Quart Price | Half Gallon Price) (NOTE: Prices may fluctuate based on market conditions)",[1]Sheet1!$1:$1,[1]Sheet1!145:145)) - 1), _xlfn.XLOOKUP("Which Flavor? (Pint Price | Quart Price | Half Gallon Price) (NOTE: Prices may fluctuate based on market conditions)",[1]Sheet1!$1:$1,[1]Sheet1!145:145)))</f>
        <v>0</v>
      </c>
      <c r="D145" s="31">
        <f>IF(COUNTIF('Premade Flavors'!$A:$A, $C145) &gt; 0,IF(ISBLANK(_xlfn.XLOOKUP("What Ice Cream Base Do You Want To Change It To?",[1]Sheet1!$1:$1,[1]Sheet1!145:145)),_xlfn.XLOOKUP($C145,'Premade Flavors'!$A:$A,'Premade Flavors'!B:B),_xlfn.XLOOKUP("What Ice Cream Base Do You Want To Change It To?",[1]Sheet1!$1:$1,[1]Sheet1!145:145)),_xlfn.XLOOKUP(_xlfn.XLOOKUP("What Kind Of Ice Cream Base Do You Want? ",[1]Sheet1!$1:$1,[1]Sheet1!145:145),'Milk Types Nutrition Per Cup'!O:O,'Milk Types Nutrition Per Cup'!P:P,""))</f>
        <v>0</v>
      </c>
      <c r="E145" s="31">
        <f>IF(COUNTIF('Premade Flavors'!$A:$A, $C145) &gt; 0,IF(ISBLANK(_xlfn.XLOOKUP("What Ice Cream Base Do You Want To Change It To?",[1]Sheet1!$1:$1,[1]Sheet1!145:145)),_xlfn.XLOOKUP($C145,'Premade Flavors'!$A:$A,'Premade Flavors'!C:C),_xlfn.XLOOKUP("What Ice Cream Base Do You Want To Change It To?",[1]Sheet1!$1:$1,[1]Sheet1!145:145)),_xlfn.XLOOKUP(_xlfn.XLOOKUP("What Kind Of Ice Cream Base Do You Want? ",[1]Sheet1!$1:$1,[1]Sheet1!145:145),'Milk Types Nutrition Per Cup'!$O:$O,'Milk Types Nutrition Per Cup'!$Q:$Q,""))</f>
        <v>0</v>
      </c>
      <c r="F145" s="31">
        <f>IF(COUNTIF('Premade Flavors'!$A:$A, $C145) &gt; 0,_xlfn.XLOOKUP($C145,'Premade Flavors'!$A:$A,'Premade Flavors'!E:E),_xlfn.XLOOKUP("What's The First Flavor You Want? ",[1]Sheet1!$1:$1,[1]Sheet1!145:145))</f>
        <v>0</v>
      </c>
      <c r="G145" s="31">
        <f>IF(COUNTIF('Premade Flavors'!$A:$A, $C145) &gt; 0,_xlfn.XLOOKUP($C145,'Premade Flavors'!$A:$A,'Premade Flavors'!F:F),_xlfn.XLOOKUP("What's the Second Flavor You Want?",[1]Sheet1!$1:$1,[1]Sheet1!145:145))</f>
        <v>0</v>
      </c>
      <c r="H145" s="31">
        <f>IF(COUNTIF('Premade Flavors'!$A:$A, $C145) &gt; 0,_xlfn.XLOOKUP($C145,'Premade Flavors'!$A:$A,'Premade Flavors'!G:G),_xlfn.XLOOKUP("What's The First Mix In That You Want? ",[1]Sheet1!$1:$1,[1]Sheet1!145:145))</f>
        <v>0</v>
      </c>
      <c r="I145" s="31">
        <f>IF(COUNTIF('Premade Flavors'!$A:$A, $C143) &gt; 0,_xlfn.XLOOKUP($C143,'Premade Flavors'!$A:$A,'Premade Flavors'!H:H),IF([2]Sheet1!W143= 0,,[2]Sheet1!W143))</f>
        <v>0</v>
      </c>
      <c r="J145" s="31">
        <f>IF(COUNTIF('Premade Flavors'!$A:$A,$C145)&gt;0,IF(_xlfn.XLOOKUP("Should It Use Sugar or A Non-Sugar Sweetner?",[1]Sheet1!$1:$1,[1]Sheet1!145:145)="Sugar",_xlfn.XLOOKUP($C145,'Premade Flavors'!$A:$A,'Premade Flavors'!I:I),"Stevia"),_xlfn.XLOOKUP("What Sweetner Do You Want?",[1]Sheet1!$1:$1,[1]Sheet1!145:145))</f>
        <v>0</v>
      </c>
      <c r="K145" s="31"/>
      <c r="L145" s="77">
        <f>_xlfn.XLOOKUP("How Much Ice Cream Do You Want?",[1]Sheet1!$1:$1,[1]Sheet1!145:145)</f>
        <v>0</v>
      </c>
      <c r="M145" s="45">
        <f>IF(COUNTIF('Premade Flavors'!$A:$A, $C145) &gt; 0,_xlfn.XLOOKUP($C145,'Premade Flavors'!$A:$A,'Premade Flavors'!M:M),_xlfn.XLOOKUP("How Strong Do You Want The First Flavor?",[1]Sheet1!$1:$1,[1]Sheet1!145:145))</f>
        <v>0</v>
      </c>
      <c r="N145" s="45">
        <f>IF(COUNTIF('Premade Flavors'!$A:$A, $C145) &gt; 0,_xlfn.XLOOKUP($C145,'Premade Flavors'!$A:$A,'Premade Flavors'!N:N),_xlfn.XLOOKUP("How Strong Do You Want The Second Flavor?",[1]Sheet1!$1:$1,[1]Sheet1!145:145))</f>
        <v>0</v>
      </c>
      <c r="O145" s="45">
        <f>IF(COUNTIF('Premade Flavors'!$A:$A, $C145) &gt; 0,_xlfn.XLOOKUP($C145,'Premade Flavors'!$A:$A,'Premade Flavors'!O:O),_xlfn.XLOOKUP("How Dense Should the Mix Ins Be?",[1]Sheet1!$1:$1,[1]Sheet1!145:145))</f>
        <v>0</v>
      </c>
      <c r="P145" s="45">
        <f>IF(COUNTIF('Premade Flavors'!$A:$A, $C145) &gt; 0,_xlfn.XLOOKUP($C145,'Premade Flavors'!$A:$A,'Premade Flavors'!P:P),_xlfn.XLOOKUP("How Much Of The First Sweetner? ",[1]Sheet1!$1:$1,[1]Sheet1!145:145))</f>
        <v>0</v>
      </c>
      <c r="Q145" s="45">
        <f>IF(COUNTIF('Premade Flavors'!$A:$A, $C145) &gt; 0,_xlfn.XLOOKUP($C145,'Premade Flavors'!$A:$A,'Premade Flavors'!Q:Q),[2]Sheet1!S145)</f>
        <v>0</v>
      </c>
      <c r="R145" s="30">
        <f>(_xlfn.XLOOKUP($L145,Specs!A:A,Specs!B:B,0)-(IF(_xlfn.XLOOKUP($F145,'Liquid Mix In Nutrition'!A:A,'Liquid Mix In Nutrition'!J:J,0)="Yes",0,$T145))-(IF(_xlfn.XLOOKUP($G145,'Liquid Mix In Nutrition'!A:A,'Liquid Mix In Nutrition'!J:J,0)="Yes",0,$U145))-(($V145/MAX(1,_xlfn.XLOOKUP($H145,'Solid Mix In Nutrition'!A:A,'Solid Mix In Nutrition'!I:I,1)))*240)-(($W145/MAX(1,_xlfn.XLOOKUP($I145,'Solid Mix In Nutrition'!A:A,'Solid Mix In Nutrition'!I:I,1)))*240))*0.66</f>
        <v>0</v>
      </c>
      <c r="S145" s="30">
        <f>(_xlfn.XLOOKUP($L145,Specs!A:A,Specs!B:B,0)-(IF(_xlfn.XLOOKUP($F145,'Liquid Mix In Nutrition'!A:A,'Liquid Mix In Nutrition'!J:J,0)="Yes",0,$T145))-(IF(_xlfn.XLOOKUP($G145,'Liquid Mix In Nutrition'!A:A,'Liquid Mix In Nutrition'!J:J,0)="Yes",0,$U145))-(($V145/MAX(1,_xlfn.XLOOKUP($H145,'Solid Mix In Nutrition'!A:A,'Solid Mix In Nutrition'!I:I,1)))*240)-(($W145/MAX(1,_xlfn.XLOOKUP($I145,'Solid Mix In Nutrition'!A:A,'Solid Mix In Nutrition'!I:I,1)))*240))*0.33</f>
        <v>0</v>
      </c>
      <c r="T145" s="30">
        <f>_xlfn.XLOOKUP($M145,Specs!$D:$D,Specs!$E:$E,0)*15*_xlfn.XLOOKUP($L145,Specs!$A:$A,Specs!$C:$C,0)</f>
        <v>0</v>
      </c>
      <c r="U145" s="30">
        <f>_xlfn.XLOOKUP($N145,Specs!$D:$D,Specs!$E:$E,0)*15*_xlfn.XLOOKUP($L145,Specs!$A:$A,Specs!$C:$C,0)</f>
        <v>0</v>
      </c>
      <c r="V145" s="30">
        <f>( ((_xlfn.XLOOKUP($O145,Specs!$H:$H,Specs!$I:$I,0)*_xlfn.XLOOKUP($L145,Specs!$A:$A,Specs!$B:$B,0))/240) *_xlfn.XLOOKUP($H145,'Solid Mix In Nutrition'!A:A,'Solid Mix In Nutrition'!I:I,0)) *IF(AND(NOT($I145=0), COUNTA($I145)),0.5,1)</f>
        <v>0</v>
      </c>
      <c r="W145" s="30">
        <f>( ((_xlfn.XLOOKUP($O145,Specs!$H:$H,Specs!$I:$I,0)*_xlfn.XLOOKUP($L145,Specs!$A:$A,Specs!$B:$B,0))/240) *_xlfn.XLOOKUP($I145,'Solid Mix In Nutrition'!A:A,'Solid Mix In Nutrition'!I:I,0)) *IF(AND(NOT($I145=0), COUNTA($I145)),0.5,0)</f>
        <v>0</v>
      </c>
      <c r="X145" s="30">
        <f>_xlfn.XLOOKUP($P145,Specs!F:F,Specs!G:G,0)*_xlfn.XLOOKUP($J145,'Sweetener Mix In Nutrition'!A:A,'Sweetener Mix In Nutrition'!I:I,0)*_xlfn.XLOOKUP($L145,Specs!A:A,Specs!C:C,0)</f>
        <v>0</v>
      </c>
      <c r="Y145" s="30">
        <f>_xlfn.XLOOKUP($Q145,Specs!F:F,Specs!G:G,0)*_xlfn.XLOOKUP($K145,'Sweetener Mix In Nutrition'!A:A,'Sweetener Mix In Nutrition'!I:I,0)*_xlfn.XLOOKUP($L145,Specs!A:A,Specs!C:C,0)</f>
        <v>0</v>
      </c>
      <c r="Z145" s="34">
        <f t="shared" si="4"/>
        <v>0</v>
      </c>
      <c r="AA145" s="35">
        <f t="shared" si="5"/>
        <v>0</v>
      </c>
      <c r="AB145" s="36">
        <f>(($R145 / 240) * _xlfn.XLOOKUP($D145,'Milk Types Nutrition Per Cup'!A:A,'Milk Types Nutrition Per Cup'!B:B,0)) +(($S145 / 240)  * _xlfn.XLOOKUP($E145,'Milk Types Nutrition Per Cup'!A:A,'Milk Types Nutrition Per Cup'!B:B,0)) +(($T145 / 15)  * _xlfn.XLOOKUP($F145,'Liquid Mix In Nutrition'!A:A,'Liquid Mix In Nutrition'!B:B,0))+(($U145 / 15)  * _xlfn.XLOOKUP($G145,'Liquid Mix In Nutrition'!A:A,'Liquid Mix In Nutrition'!B:B,0))+(($V145 /MAX(1, _xlfn.XLOOKUP($H145,'Solid Mix In Nutrition'!A:A,'Solid Mix In Nutrition'!I:I,1)))  * _xlfn.XLOOKUP($H145,'Solid Mix In Nutrition'!A:A,'Solid Mix In Nutrition'!B:B,0))+(($W145 / MAX(1, _xlfn.XLOOKUP($I145,'Solid Mix In Nutrition'!A:A,'Solid Mix In Nutrition'!I:I,1))))+(($X145 / 100)  * _xlfn.XLOOKUP($J145,'Sweetener Mix In Nutrition'!A:A,'Sweetener Mix In Nutrition'!B:B,0))+(($Y145 / 100)  * _xlfn.XLOOKUP($K145,'Sweetener Mix In Nutrition'!A:A,'Sweetener Mix In Nutrition'!B:B,0))</f>
        <v>0</v>
      </c>
      <c r="AC145" s="36">
        <f>(($R145 / 240) * _xlfn.XLOOKUP($D145,'Milk Types Nutrition Per Cup'!A:A,'Milk Types Nutrition Per Cup'!E:E,0)) +(($S145 / 240)  * _xlfn.XLOOKUP($E145,'Milk Types Nutrition Per Cup'!A:A,'Milk Types Nutrition Per Cup'!E:E,0)) +(($T145 / 15)  * _xlfn.XLOOKUP($F145,'Liquid Mix In Nutrition'!A:A,'Liquid Mix In Nutrition'!E:E,0)) +(($U145 / 15)  * _xlfn.XLOOKUP($G145,'Liquid Mix In Nutrition'!A:A,'Liquid Mix In Nutrition'!E:E,0))+(($V145 / MAX(1, _xlfn.XLOOKUP($H145,'Solid Mix In Nutrition'!A:A,'Solid Mix In Nutrition'!I:I,1)))  * _xlfn.XLOOKUP($H145,'Solid Mix In Nutrition'!A:A,'Solid Mix In Nutrition'!E:E,0))+(($W145 / MAX(1, _xlfn.XLOOKUP($I145,'Solid Mix In Nutrition'!A:A,'Solid Mix In Nutrition'!I:I,1)))  * _xlfn.XLOOKUP($I145,'Solid Mix In Nutrition'!A:A,'Solid Mix In Nutrition'!G:G,0))+(($X145 / 100)  * _xlfn.XLOOKUP($J145,'Sweetener Mix In Nutrition'!A:A,'Sweetener Mix In Nutrition'!E:E,0))+(($Y145 / 100)  * _xlfn.XLOOKUP($K145,'Sweetener Mix In Nutrition'!A:A,'Sweetener Mix In Nutrition'!E:E,0))</f>
        <v>0</v>
      </c>
      <c r="AD145" s="36">
        <f>(($R145 / 240) * _xlfn.XLOOKUP($D145,'Milk Types Nutrition Per Cup'!A:A,'Milk Types Nutrition Per Cup'!E:E,0)) +(($S145 / 240)  * _xlfn.XLOOKUP($E145,'Milk Types Nutrition Per Cup'!A:A,'Milk Types Nutrition Per Cup'!E:E,0)) +(($T145 / 15)  * _xlfn.XLOOKUP($F145,'Liquid Mix In Nutrition'!A:A,'Liquid Mix In Nutrition'!E:E,0)) +(($U145 / 15)  * _xlfn.XLOOKUP($G145,'Liquid Mix In Nutrition'!A:A,'Liquid Mix In Nutrition'!E:E,0))+(($X145 / 100)  * _xlfn.XLOOKUP($J145,'Sweetener Mix In Nutrition'!A:A,'Sweetener Mix In Nutrition'!E:E,0))+(($Y145 / 100)  * _xlfn.XLOOKUP($K145,'Sweetener Mix In Nutrition'!A:A,'Sweetener Mix In Nutrition'!E:E,0))</f>
        <v>0</v>
      </c>
      <c r="AE145" s="37">
        <f>(($R145 / 240) * _xlfn.XLOOKUP($D145,'Milk Types Nutrition Per Cup'!A:A,'Milk Types Nutrition Per Cup'!C:C,0)) +(($S145 / 240)  * _xlfn.XLOOKUP($E145,'Milk Types Nutrition Per Cup'!A:A,'Milk Types Nutrition Per Cup'!C:C,0)) +(($T145 / 15)  * _xlfn.XLOOKUP($F145,'Liquid Mix In Nutrition'!A:A,'Liquid Mix In Nutrition'!C:C,0))+(($U145 / 15)  * _xlfn.XLOOKUP($G145,'Liquid Mix In Nutrition'!A:A,'Liquid Mix In Nutrition'!C:C,0))+(($V145 / MAX(1, _xlfn.XLOOKUP($H145,'Solid Mix In Nutrition'!A:A,'Solid Mix In Nutrition'!I:I,1)))  * _xlfn.XLOOKUP($H145,'Solid Mix In Nutrition'!A:A,'Solid Mix In Nutrition'!C:C,0))+(($W145 / MAX(1, _xlfn.XLOOKUP($I145,'Solid Mix In Nutrition'!A:A,'Solid Mix In Nutrition'!I:I,1)))  * _xlfn.XLOOKUP($I145,'Solid Mix In Nutrition'!A:A,'Solid Mix In Nutrition'!C:C,0))+(($X145 / 100)  * _xlfn.XLOOKUP($J145,'Sweetener Mix In Nutrition'!A:A,'Sweetener Mix In Nutrition'!C:C,0))+(($Y145 / 100)  * _xlfn.XLOOKUP($K145,'Sweetener Mix In Nutrition'!A:A,'Sweetener Mix In Nutrition'!C:C,0))</f>
        <v>0</v>
      </c>
      <c r="AF145" s="38" t="e">
        <f>$AE145 / (_xlfn.XLOOKUP($L145,Specs!A:A,Specs!B:B,0))</f>
        <v>#DIV/0!</v>
      </c>
      <c r="AG145" s="37" t="e">
        <f>60* ($AB145 / _xlfn.XLOOKUP($L145,Specs!A:A,Specs!B:B,0))</f>
        <v>#DIV/0!</v>
      </c>
      <c r="AH145" s="37" t="e">
        <f>60* (AC145 / _xlfn.XLOOKUP($L145,Specs!$A:$A,Specs!$B:$B,0))</f>
        <v>#DIV/0!</v>
      </c>
      <c r="AI145" s="37" t="e">
        <f>60* (AE145 / _xlfn.XLOOKUP($L145,Specs!$A:$A,Specs!$B:$B,0))</f>
        <v>#DIV/0!</v>
      </c>
      <c r="AJ145" s="39">
        <f>(($R145 / 240) * _xlfn.XLOOKUP($D145,'Milk Types Nutrition Per Cup'!A:A,'Milk Types Nutrition Per Cup'!F:F,0)) +(($S145 / 240)  * _xlfn.XLOOKUP($E145,'Milk Types Nutrition Per Cup'!A:A,'Milk Types Nutrition Per Cup'!F:F,0)) +(($T145 / 15)  * _xlfn.XLOOKUP($F145,'Liquid Mix In Nutrition'!A:A,'Liquid Mix In Nutrition'!F:F,0))+(($U145 / 15)  * _xlfn.XLOOKUP($G145,'Liquid Mix In Nutrition'!A:A,'Liquid Mix In Nutrition'!F:F,0))+(($V145 / MAX(1, _xlfn.XLOOKUP($H145,'Solid Mix In Nutrition'!A:A,'Solid Mix In Nutrition'!I:I,1)))  * _xlfn.XLOOKUP($H145,'Solid Mix In Nutrition'!A:A,'Solid Mix In Nutrition'!F:F,0))+(($W145 / MAX(1, _xlfn.XLOOKUP($I145,'Solid Mix In Nutrition'!A:A,'Solid Mix In Nutrition'!I:I,1)))  * _xlfn.XLOOKUP($I145,'Solid Mix In Nutrition'!A:A,'Solid Mix In Nutrition'!F:F,0))+(($X145 / 100)  * _xlfn.XLOOKUP($J145,'Sweetener Mix In Nutrition'!A:A,'Sweetener Mix In Nutrition'!F:F,0))+(($Y145 / 100)  * _xlfn.XLOOKUP($K145,'Sweetener Mix In Nutrition'!A:A,'Sweetener Mix In Nutrition'!F:F,0))</f>
        <v>0</v>
      </c>
      <c r="AK145" s="46">
        <f>[2]Sheet1!AG145</f>
        <v>0</v>
      </c>
      <c r="AL145" s="47"/>
      <c r="AM145" s="40">
        <f>IF(ISERROR(((AL145/Specs!$L$3)*Specs!$L$2)*2),0,ROUNDUP((((AL145/Specs!$L$3)*Specs!$L$2)*2),0))</f>
        <v>0</v>
      </c>
      <c r="AN145" s="48">
        <f>ROUNDUP(((AJ145+Specs!$R$2+Specs!$S$2+_xlfn.XLOOKUP($L145,Specs!A:A,Specs!V:V,0))*Specs!$N$2)+AM145,0)</f>
        <v>1</v>
      </c>
      <c r="AO145" s="40">
        <f>ROUNDUP(((AJ145+Specs!$R$2+Specs!$S$2+_xlfn.XLOOKUP($L145,Specs!A:A,Specs!V:V,0))*Specs!$N$2),0)</f>
        <v>1</v>
      </c>
      <c r="AP145" s="30"/>
    </row>
    <row r="146" spans="1:42" x14ac:dyDescent="0.25">
      <c r="A146" s="41" t="str">
        <f>_xlfn.CONCAT(_xlfn.XLOOKUP("What's Your Name?",[1]Sheet1!$1:$1,[1]Sheet1!146:146)," | ",TEXT(_xlfn.XLOOKUP("Completion time",[1]Sheet1!$1:$1,[1]Sheet1!146:146),"dddd, mmm dd, yyyy hh:mm AM/PM"))</f>
        <v xml:space="preserve"> | Saturday, Jan 00, 1900 12:00 AM</v>
      </c>
      <c r="B146" s="76">
        <f>_xlfn.XLOOKUP("What's Your Email Address?",[1]Sheet1!$1:$1,[1]Sheet1!146:146)</f>
        <v>0</v>
      </c>
      <c r="C146" s="31">
        <f>IF(ISBLANK(_xlfn.XLOOKUP("Which Flavor? (Pint Price | Quart Price | Half Gallon Price) (NOTE: Prices may fluctuate based on market conditions)",[1]Sheet1!$1:$1,[1]Sheet1!146:146)),_xlfn.XLOOKUP("Name Your Ice Cream!",[1]Sheet1!$1:$1,[1]Sheet1!146:146),IF(ISNUMBER(FIND("(", _xlfn.XLOOKUP("Which Flavor? (Pint Price | Quart Price | Half Gallon Price) (NOTE: Prices may fluctuate based on market conditions)",[1]Sheet1!$1:$1,[1]Sheet1!146:146))), LEFT(_xlfn.XLOOKUP("Which Flavor? (Pint Price | Quart Price | Half Gallon Price) (NOTE: Prices may fluctuate based on market conditions)",[1]Sheet1!$1:$1,[1]Sheet1!146:146), FIND("(", _xlfn.XLOOKUP("Which Flavor? (Pint Price | Quart Price | Half Gallon Price) (NOTE: Prices may fluctuate based on market conditions)",[1]Sheet1!$1:$1,[1]Sheet1!146:146)) - 1), _xlfn.XLOOKUP("Which Flavor? (Pint Price | Quart Price | Half Gallon Price) (NOTE: Prices may fluctuate based on market conditions)",[1]Sheet1!$1:$1,[1]Sheet1!146:146)))</f>
        <v>0</v>
      </c>
      <c r="D146" s="31">
        <f>IF(COUNTIF('Premade Flavors'!$A:$A, $C146) &gt; 0,IF(ISBLANK(_xlfn.XLOOKUP("What Ice Cream Base Do You Want To Change It To?",[1]Sheet1!$1:$1,[1]Sheet1!146:146)),_xlfn.XLOOKUP($C146,'Premade Flavors'!$A:$A,'Premade Flavors'!B:B),_xlfn.XLOOKUP("What Ice Cream Base Do You Want To Change It To?",[1]Sheet1!$1:$1,[1]Sheet1!146:146)),_xlfn.XLOOKUP(_xlfn.XLOOKUP("What Kind Of Ice Cream Base Do You Want? ",[1]Sheet1!$1:$1,[1]Sheet1!146:146),'Milk Types Nutrition Per Cup'!O:O,'Milk Types Nutrition Per Cup'!P:P,""))</f>
        <v>0</v>
      </c>
      <c r="E146" s="31">
        <f>IF(COUNTIF('Premade Flavors'!$A:$A, $C146) &gt; 0,IF(ISBLANK(_xlfn.XLOOKUP("What Ice Cream Base Do You Want To Change It To?",[1]Sheet1!$1:$1,[1]Sheet1!146:146)),_xlfn.XLOOKUP($C146,'Premade Flavors'!$A:$A,'Premade Flavors'!C:C),_xlfn.XLOOKUP("What Ice Cream Base Do You Want To Change It To?",[1]Sheet1!$1:$1,[1]Sheet1!146:146)),_xlfn.XLOOKUP(_xlfn.XLOOKUP("What Kind Of Ice Cream Base Do You Want? ",[1]Sheet1!$1:$1,[1]Sheet1!146:146),'Milk Types Nutrition Per Cup'!$O:$O,'Milk Types Nutrition Per Cup'!$Q:$Q,""))</f>
        <v>0</v>
      </c>
      <c r="F146" s="31">
        <f>IF(COUNTIF('Premade Flavors'!$A:$A, $C146) &gt; 0,_xlfn.XLOOKUP($C146,'Premade Flavors'!$A:$A,'Premade Flavors'!E:E),_xlfn.XLOOKUP("What's The First Flavor You Want? ",[1]Sheet1!$1:$1,[1]Sheet1!146:146))</f>
        <v>0</v>
      </c>
      <c r="G146" s="31">
        <f>IF(COUNTIF('Premade Flavors'!$A:$A, $C146) &gt; 0,_xlfn.XLOOKUP($C146,'Premade Flavors'!$A:$A,'Premade Flavors'!F:F),_xlfn.XLOOKUP("What's the Second Flavor You Want?",[1]Sheet1!$1:$1,[1]Sheet1!146:146))</f>
        <v>0</v>
      </c>
      <c r="H146" s="31">
        <f>IF(COUNTIF('Premade Flavors'!$A:$A, $C146) &gt; 0,_xlfn.XLOOKUP($C146,'Premade Flavors'!$A:$A,'Premade Flavors'!G:G),_xlfn.XLOOKUP("What's The First Mix In That You Want? ",[1]Sheet1!$1:$1,[1]Sheet1!146:146))</f>
        <v>0</v>
      </c>
      <c r="I146" s="31">
        <f>IF(COUNTIF('Premade Flavors'!$A:$A, $C144) &gt; 0,_xlfn.XLOOKUP($C144,'Premade Flavors'!$A:$A,'Premade Flavors'!H:H),IF([2]Sheet1!W144= 0,,[2]Sheet1!W144))</f>
        <v>0</v>
      </c>
      <c r="J146" s="31">
        <f>IF(COUNTIF('Premade Flavors'!$A:$A,$C146)&gt;0,IF(_xlfn.XLOOKUP("Should It Use Sugar or A Non-Sugar Sweetner?",[1]Sheet1!$1:$1,[1]Sheet1!146:146)="Sugar",_xlfn.XLOOKUP($C146,'Premade Flavors'!$A:$A,'Premade Flavors'!I:I),"Stevia"),_xlfn.XLOOKUP("What Sweetner Do You Want?",[1]Sheet1!$1:$1,[1]Sheet1!146:146))</f>
        <v>0</v>
      </c>
      <c r="K146" s="31"/>
      <c r="L146" s="77">
        <f>_xlfn.XLOOKUP("How Much Ice Cream Do You Want?",[1]Sheet1!$1:$1,[1]Sheet1!146:146)</f>
        <v>0</v>
      </c>
      <c r="M146" s="45">
        <f>IF(COUNTIF('Premade Flavors'!$A:$A, $C146) &gt; 0,_xlfn.XLOOKUP($C146,'Premade Flavors'!$A:$A,'Premade Flavors'!M:M),_xlfn.XLOOKUP("How Strong Do You Want The First Flavor?",[1]Sheet1!$1:$1,[1]Sheet1!146:146))</f>
        <v>0</v>
      </c>
      <c r="N146" s="45">
        <f>IF(COUNTIF('Premade Flavors'!$A:$A, $C146) &gt; 0,_xlfn.XLOOKUP($C146,'Premade Flavors'!$A:$A,'Premade Flavors'!N:N),_xlfn.XLOOKUP("How Strong Do You Want The Second Flavor?",[1]Sheet1!$1:$1,[1]Sheet1!146:146))</f>
        <v>0</v>
      </c>
      <c r="O146" s="45">
        <f>IF(COUNTIF('Premade Flavors'!$A:$A, $C146) &gt; 0,_xlfn.XLOOKUP($C146,'Premade Flavors'!$A:$A,'Premade Flavors'!O:O),_xlfn.XLOOKUP("How Dense Should the Mix Ins Be?",[1]Sheet1!$1:$1,[1]Sheet1!146:146))</f>
        <v>0</v>
      </c>
      <c r="P146" s="45">
        <f>IF(COUNTIF('Premade Flavors'!$A:$A, $C146) &gt; 0,_xlfn.XLOOKUP($C146,'Premade Flavors'!$A:$A,'Premade Flavors'!P:P),_xlfn.XLOOKUP("How Much Of The First Sweetner? ",[1]Sheet1!$1:$1,[1]Sheet1!146:146))</f>
        <v>0</v>
      </c>
      <c r="Q146" s="45">
        <f>IF(COUNTIF('Premade Flavors'!$A:$A, $C146) &gt; 0,_xlfn.XLOOKUP($C146,'Premade Flavors'!$A:$A,'Premade Flavors'!Q:Q),[2]Sheet1!S146)</f>
        <v>0</v>
      </c>
      <c r="R146" s="30">
        <f>(_xlfn.XLOOKUP($L146,Specs!A:A,Specs!B:B,0)-(IF(_xlfn.XLOOKUP($F146,'Liquid Mix In Nutrition'!A:A,'Liquid Mix In Nutrition'!J:J,0)="Yes",0,$T146))-(IF(_xlfn.XLOOKUP($G146,'Liquid Mix In Nutrition'!A:A,'Liquid Mix In Nutrition'!J:J,0)="Yes",0,$U146))-(($V146/MAX(1,_xlfn.XLOOKUP($H146,'Solid Mix In Nutrition'!A:A,'Solid Mix In Nutrition'!I:I,1)))*240)-(($W146/MAX(1,_xlfn.XLOOKUP($I146,'Solid Mix In Nutrition'!A:A,'Solid Mix In Nutrition'!I:I,1)))*240))*0.66</f>
        <v>0</v>
      </c>
      <c r="S146" s="30">
        <f>(_xlfn.XLOOKUP($L146,Specs!A:A,Specs!B:B,0)-(IF(_xlfn.XLOOKUP($F146,'Liquid Mix In Nutrition'!A:A,'Liquid Mix In Nutrition'!J:J,0)="Yes",0,$T146))-(IF(_xlfn.XLOOKUP($G146,'Liquid Mix In Nutrition'!A:A,'Liquid Mix In Nutrition'!J:J,0)="Yes",0,$U146))-(($V146/MAX(1,_xlfn.XLOOKUP($H146,'Solid Mix In Nutrition'!A:A,'Solid Mix In Nutrition'!I:I,1)))*240)-(($W146/MAX(1,_xlfn.XLOOKUP($I146,'Solid Mix In Nutrition'!A:A,'Solid Mix In Nutrition'!I:I,1)))*240))*0.33</f>
        <v>0</v>
      </c>
      <c r="T146" s="30">
        <f>_xlfn.XLOOKUP($M146,Specs!$D:$D,Specs!$E:$E,0)*15*_xlfn.XLOOKUP($L146,Specs!$A:$A,Specs!$C:$C,0)</f>
        <v>0</v>
      </c>
      <c r="U146" s="30">
        <f>_xlfn.XLOOKUP($N146,Specs!$D:$D,Specs!$E:$E,0)*15*_xlfn.XLOOKUP($L146,Specs!$A:$A,Specs!$C:$C,0)</f>
        <v>0</v>
      </c>
      <c r="V146" s="30">
        <f>( ((_xlfn.XLOOKUP($O146,Specs!$H:$H,Specs!$I:$I,0)*_xlfn.XLOOKUP($L146,Specs!$A:$A,Specs!$B:$B,0))/240) *_xlfn.XLOOKUP($H146,'Solid Mix In Nutrition'!A:A,'Solid Mix In Nutrition'!I:I,0)) *IF(AND(NOT($I146=0), COUNTA($I146)),0.5,1)</f>
        <v>0</v>
      </c>
      <c r="W146" s="30">
        <f>( ((_xlfn.XLOOKUP($O146,Specs!$H:$H,Specs!$I:$I,0)*_xlfn.XLOOKUP($L146,Specs!$A:$A,Specs!$B:$B,0))/240) *_xlfn.XLOOKUP($I146,'Solid Mix In Nutrition'!A:A,'Solid Mix In Nutrition'!I:I,0)) *IF(AND(NOT($I146=0), COUNTA($I146)),0.5,0)</f>
        <v>0</v>
      </c>
      <c r="X146" s="30">
        <f>_xlfn.XLOOKUP($P146,Specs!F:F,Specs!G:G,0)*_xlfn.XLOOKUP($J146,'Sweetener Mix In Nutrition'!A:A,'Sweetener Mix In Nutrition'!I:I,0)*_xlfn.XLOOKUP($L146,Specs!A:A,Specs!C:C,0)</f>
        <v>0</v>
      </c>
      <c r="Y146" s="30">
        <f>_xlfn.XLOOKUP($Q146,Specs!F:F,Specs!G:G,0)*_xlfn.XLOOKUP($K146,'Sweetener Mix In Nutrition'!A:A,'Sweetener Mix In Nutrition'!I:I,0)*_xlfn.XLOOKUP($L146,Specs!A:A,Specs!C:C,0)</f>
        <v>0</v>
      </c>
      <c r="Z146" s="34">
        <f t="shared" si="4"/>
        <v>0</v>
      </c>
      <c r="AA146" s="35">
        <f t="shared" si="5"/>
        <v>0</v>
      </c>
      <c r="AB146" s="36">
        <f>(($R146 / 240) * _xlfn.XLOOKUP($D146,'Milk Types Nutrition Per Cup'!A:A,'Milk Types Nutrition Per Cup'!B:B,0)) +(($S146 / 240)  * _xlfn.XLOOKUP($E146,'Milk Types Nutrition Per Cup'!A:A,'Milk Types Nutrition Per Cup'!B:B,0)) +(($T146 / 15)  * _xlfn.XLOOKUP($F146,'Liquid Mix In Nutrition'!A:A,'Liquid Mix In Nutrition'!B:B,0))+(($U146 / 15)  * _xlfn.XLOOKUP($G146,'Liquid Mix In Nutrition'!A:A,'Liquid Mix In Nutrition'!B:B,0))+(($V146 /MAX(1, _xlfn.XLOOKUP($H146,'Solid Mix In Nutrition'!A:A,'Solid Mix In Nutrition'!I:I,1)))  * _xlfn.XLOOKUP($H146,'Solid Mix In Nutrition'!A:A,'Solid Mix In Nutrition'!B:B,0))+(($W146 / MAX(1, _xlfn.XLOOKUP($I146,'Solid Mix In Nutrition'!A:A,'Solid Mix In Nutrition'!I:I,1))))+(($X146 / 100)  * _xlfn.XLOOKUP($J146,'Sweetener Mix In Nutrition'!A:A,'Sweetener Mix In Nutrition'!B:B,0))+(($Y146 / 100)  * _xlfn.XLOOKUP($K146,'Sweetener Mix In Nutrition'!A:A,'Sweetener Mix In Nutrition'!B:B,0))</f>
        <v>0</v>
      </c>
      <c r="AC146" s="36">
        <f>(($R146 / 240) * _xlfn.XLOOKUP($D146,'Milk Types Nutrition Per Cup'!A:A,'Milk Types Nutrition Per Cup'!E:E,0)) +(($S146 / 240)  * _xlfn.XLOOKUP($E146,'Milk Types Nutrition Per Cup'!A:A,'Milk Types Nutrition Per Cup'!E:E,0)) +(($T146 / 15)  * _xlfn.XLOOKUP($F146,'Liquid Mix In Nutrition'!A:A,'Liquid Mix In Nutrition'!E:E,0)) +(($U146 / 15)  * _xlfn.XLOOKUP($G146,'Liquid Mix In Nutrition'!A:A,'Liquid Mix In Nutrition'!E:E,0))+(($V146 / MAX(1, _xlfn.XLOOKUP($H146,'Solid Mix In Nutrition'!A:A,'Solid Mix In Nutrition'!I:I,1)))  * _xlfn.XLOOKUP($H146,'Solid Mix In Nutrition'!A:A,'Solid Mix In Nutrition'!E:E,0))+(($W146 / MAX(1, _xlfn.XLOOKUP($I146,'Solid Mix In Nutrition'!A:A,'Solid Mix In Nutrition'!I:I,1)))  * _xlfn.XLOOKUP($I146,'Solid Mix In Nutrition'!A:A,'Solid Mix In Nutrition'!G:G,0))+(($X146 / 100)  * _xlfn.XLOOKUP($J146,'Sweetener Mix In Nutrition'!A:A,'Sweetener Mix In Nutrition'!E:E,0))+(($Y146 / 100)  * _xlfn.XLOOKUP($K146,'Sweetener Mix In Nutrition'!A:A,'Sweetener Mix In Nutrition'!E:E,0))</f>
        <v>0</v>
      </c>
      <c r="AD146" s="36">
        <f>(($R146 / 240) * _xlfn.XLOOKUP($D146,'Milk Types Nutrition Per Cup'!A:A,'Milk Types Nutrition Per Cup'!E:E,0)) +(($S146 / 240)  * _xlfn.XLOOKUP($E146,'Milk Types Nutrition Per Cup'!A:A,'Milk Types Nutrition Per Cup'!E:E,0)) +(($T146 / 15)  * _xlfn.XLOOKUP($F146,'Liquid Mix In Nutrition'!A:A,'Liquid Mix In Nutrition'!E:E,0)) +(($U146 / 15)  * _xlfn.XLOOKUP($G146,'Liquid Mix In Nutrition'!A:A,'Liquid Mix In Nutrition'!E:E,0))+(($X146 / 100)  * _xlfn.XLOOKUP($J146,'Sweetener Mix In Nutrition'!A:A,'Sweetener Mix In Nutrition'!E:E,0))+(($Y146 / 100)  * _xlfn.XLOOKUP($K146,'Sweetener Mix In Nutrition'!A:A,'Sweetener Mix In Nutrition'!E:E,0))</f>
        <v>0</v>
      </c>
      <c r="AE146" s="37">
        <f>(($R146 / 240) * _xlfn.XLOOKUP($D146,'Milk Types Nutrition Per Cup'!A:A,'Milk Types Nutrition Per Cup'!C:C,0)) +(($S146 / 240)  * _xlfn.XLOOKUP($E146,'Milk Types Nutrition Per Cup'!A:A,'Milk Types Nutrition Per Cup'!C:C,0)) +(($T146 / 15)  * _xlfn.XLOOKUP($F146,'Liquid Mix In Nutrition'!A:A,'Liquid Mix In Nutrition'!C:C,0))+(($U146 / 15)  * _xlfn.XLOOKUP($G146,'Liquid Mix In Nutrition'!A:A,'Liquid Mix In Nutrition'!C:C,0))+(($V146 / MAX(1, _xlfn.XLOOKUP($H146,'Solid Mix In Nutrition'!A:A,'Solid Mix In Nutrition'!I:I,1)))  * _xlfn.XLOOKUP($H146,'Solid Mix In Nutrition'!A:A,'Solid Mix In Nutrition'!C:C,0))+(($W146 / MAX(1, _xlfn.XLOOKUP($I146,'Solid Mix In Nutrition'!A:A,'Solid Mix In Nutrition'!I:I,1)))  * _xlfn.XLOOKUP($I146,'Solid Mix In Nutrition'!A:A,'Solid Mix In Nutrition'!C:C,0))+(($X146 / 100)  * _xlfn.XLOOKUP($J146,'Sweetener Mix In Nutrition'!A:A,'Sweetener Mix In Nutrition'!C:C,0))+(($Y146 / 100)  * _xlfn.XLOOKUP($K146,'Sweetener Mix In Nutrition'!A:A,'Sweetener Mix In Nutrition'!C:C,0))</f>
        <v>0</v>
      </c>
      <c r="AF146" s="38" t="e">
        <f>$AE146 / (_xlfn.XLOOKUP($L146,Specs!A:A,Specs!B:B,0))</f>
        <v>#DIV/0!</v>
      </c>
      <c r="AG146" s="37" t="e">
        <f>60* ($AB146 / _xlfn.XLOOKUP($L146,Specs!A:A,Specs!B:B,0))</f>
        <v>#DIV/0!</v>
      </c>
      <c r="AH146" s="37" t="e">
        <f>60* (AC146 / _xlfn.XLOOKUP($L146,Specs!$A:$A,Specs!$B:$B,0))</f>
        <v>#DIV/0!</v>
      </c>
      <c r="AI146" s="37" t="e">
        <f>60* (AE146 / _xlfn.XLOOKUP($L146,Specs!$A:$A,Specs!$B:$B,0))</f>
        <v>#DIV/0!</v>
      </c>
      <c r="AJ146" s="39">
        <f>(($R146 / 240) * _xlfn.XLOOKUP($D146,'Milk Types Nutrition Per Cup'!A:A,'Milk Types Nutrition Per Cup'!F:F,0)) +(($S146 / 240)  * _xlfn.XLOOKUP($E146,'Milk Types Nutrition Per Cup'!A:A,'Milk Types Nutrition Per Cup'!F:F,0)) +(($T146 / 15)  * _xlfn.XLOOKUP($F146,'Liquid Mix In Nutrition'!A:A,'Liquid Mix In Nutrition'!F:F,0))+(($U146 / 15)  * _xlfn.XLOOKUP($G146,'Liquid Mix In Nutrition'!A:A,'Liquid Mix In Nutrition'!F:F,0))+(($V146 / MAX(1, _xlfn.XLOOKUP($H146,'Solid Mix In Nutrition'!A:A,'Solid Mix In Nutrition'!I:I,1)))  * _xlfn.XLOOKUP($H146,'Solid Mix In Nutrition'!A:A,'Solid Mix In Nutrition'!F:F,0))+(($W146 / MAX(1, _xlfn.XLOOKUP($I146,'Solid Mix In Nutrition'!A:A,'Solid Mix In Nutrition'!I:I,1)))  * _xlfn.XLOOKUP($I146,'Solid Mix In Nutrition'!A:A,'Solid Mix In Nutrition'!F:F,0))+(($X146 / 100)  * _xlfn.XLOOKUP($J146,'Sweetener Mix In Nutrition'!A:A,'Sweetener Mix In Nutrition'!F:F,0))+(($Y146 / 100)  * _xlfn.XLOOKUP($K146,'Sweetener Mix In Nutrition'!A:A,'Sweetener Mix In Nutrition'!F:F,0))</f>
        <v>0</v>
      </c>
      <c r="AK146" s="46">
        <f>[2]Sheet1!AG146</f>
        <v>0</v>
      </c>
      <c r="AL146" s="47"/>
      <c r="AM146" s="40">
        <f>IF(ISERROR(((AL146/Specs!$L$3)*Specs!$L$2)*2),0,ROUNDUP((((AL146/Specs!$L$3)*Specs!$L$2)*2),0))</f>
        <v>0</v>
      </c>
      <c r="AN146" s="48">
        <f>ROUNDUP(((AJ146+Specs!$R$2+Specs!$S$2+_xlfn.XLOOKUP($L146,Specs!A:A,Specs!V:V,0))*Specs!$N$2)+AM146,0)</f>
        <v>1</v>
      </c>
      <c r="AO146" s="40">
        <f>ROUNDUP(((AJ146+Specs!$R$2+Specs!$S$2+_xlfn.XLOOKUP($L146,Specs!A:A,Specs!V:V,0))*Specs!$N$2),0)</f>
        <v>1</v>
      </c>
      <c r="AP146" s="30"/>
    </row>
    <row r="147" spans="1:42" x14ac:dyDescent="0.25">
      <c r="A147" s="41" t="str">
        <f>_xlfn.CONCAT(_xlfn.XLOOKUP("What's Your Name?",[1]Sheet1!$1:$1,[1]Sheet1!147:147)," | ",TEXT(_xlfn.XLOOKUP("Completion time",[1]Sheet1!$1:$1,[1]Sheet1!147:147),"dddd, mmm dd, yyyy hh:mm AM/PM"))</f>
        <v xml:space="preserve"> | Saturday, Jan 00, 1900 12:00 AM</v>
      </c>
      <c r="B147" s="76">
        <f>_xlfn.XLOOKUP("What's Your Email Address?",[1]Sheet1!$1:$1,[1]Sheet1!147:147)</f>
        <v>0</v>
      </c>
      <c r="C147" s="31">
        <f>IF(ISBLANK(_xlfn.XLOOKUP("Which Flavor? (Pint Price | Quart Price | Half Gallon Price) (NOTE: Prices may fluctuate based on market conditions)",[1]Sheet1!$1:$1,[1]Sheet1!147:147)),_xlfn.XLOOKUP("Name Your Ice Cream!",[1]Sheet1!$1:$1,[1]Sheet1!147:147),IF(ISNUMBER(FIND("(", _xlfn.XLOOKUP("Which Flavor? (Pint Price | Quart Price | Half Gallon Price) (NOTE: Prices may fluctuate based on market conditions)",[1]Sheet1!$1:$1,[1]Sheet1!147:147))), LEFT(_xlfn.XLOOKUP("Which Flavor? (Pint Price | Quart Price | Half Gallon Price) (NOTE: Prices may fluctuate based on market conditions)",[1]Sheet1!$1:$1,[1]Sheet1!147:147), FIND("(", _xlfn.XLOOKUP("Which Flavor? (Pint Price | Quart Price | Half Gallon Price) (NOTE: Prices may fluctuate based on market conditions)",[1]Sheet1!$1:$1,[1]Sheet1!147:147)) - 1), _xlfn.XLOOKUP("Which Flavor? (Pint Price | Quart Price | Half Gallon Price) (NOTE: Prices may fluctuate based on market conditions)",[1]Sheet1!$1:$1,[1]Sheet1!147:147)))</f>
        <v>0</v>
      </c>
      <c r="D147" s="31">
        <f>IF(COUNTIF('Premade Flavors'!$A:$A, $C147) &gt; 0,IF(ISBLANK(_xlfn.XLOOKUP("What Ice Cream Base Do You Want To Change It To?",[1]Sheet1!$1:$1,[1]Sheet1!147:147)),_xlfn.XLOOKUP($C147,'Premade Flavors'!$A:$A,'Premade Flavors'!B:B),_xlfn.XLOOKUP("What Ice Cream Base Do You Want To Change It To?",[1]Sheet1!$1:$1,[1]Sheet1!147:147)),_xlfn.XLOOKUP(_xlfn.XLOOKUP("What Kind Of Ice Cream Base Do You Want? ",[1]Sheet1!$1:$1,[1]Sheet1!147:147),'Milk Types Nutrition Per Cup'!O:O,'Milk Types Nutrition Per Cup'!P:P,""))</f>
        <v>0</v>
      </c>
      <c r="E147" s="31">
        <f>IF(COUNTIF('Premade Flavors'!$A:$A, $C147) &gt; 0,IF(ISBLANK(_xlfn.XLOOKUP("What Ice Cream Base Do You Want To Change It To?",[1]Sheet1!$1:$1,[1]Sheet1!147:147)),_xlfn.XLOOKUP($C147,'Premade Flavors'!$A:$A,'Premade Flavors'!C:C),_xlfn.XLOOKUP("What Ice Cream Base Do You Want To Change It To?",[1]Sheet1!$1:$1,[1]Sheet1!147:147)),_xlfn.XLOOKUP(_xlfn.XLOOKUP("What Kind Of Ice Cream Base Do You Want? ",[1]Sheet1!$1:$1,[1]Sheet1!147:147),'Milk Types Nutrition Per Cup'!$O:$O,'Milk Types Nutrition Per Cup'!$Q:$Q,""))</f>
        <v>0</v>
      </c>
      <c r="F147" s="31">
        <f>IF(COUNTIF('Premade Flavors'!$A:$A, $C147) &gt; 0,_xlfn.XLOOKUP($C147,'Premade Flavors'!$A:$A,'Premade Flavors'!E:E),_xlfn.XLOOKUP("What's The First Flavor You Want? ",[1]Sheet1!$1:$1,[1]Sheet1!147:147))</f>
        <v>0</v>
      </c>
      <c r="G147" s="31">
        <f>IF(COUNTIF('Premade Flavors'!$A:$A, $C147) &gt; 0,_xlfn.XLOOKUP($C147,'Premade Flavors'!$A:$A,'Premade Flavors'!F:F),_xlfn.XLOOKUP("What's the Second Flavor You Want?",[1]Sheet1!$1:$1,[1]Sheet1!147:147))</f>
        <v>0</v>
      </c>
      <c r="H147" s="31">
        <f>IF(COUNTIF('Premade Flavors'!$A:$A, $C147) &gt; 0,_xlfn.XLOOKUP($C147,'Premade Flavors'!$A:$A,'Premade Flavors'!G:G),_xlfn.XLOOKUP("What's The First Mix In That You Want? ",[1]Sheet1!$1:$1,[1]Sheet1!147:147))</f>
        <v>0</v>
      </c>
      <c r="I147" s="31">
        <f>IF(COUNTIF('Premade Flavors'!$A:$A, $C145) &gt; 0,_xlfn.XLOOKUP($C145,'Premade Flavors'!$A:$A,'Premade Flavors'!H:H),IF([2]Sheet1!W145= 0,,[2]Sheet1!W145))</f>
        <v>0</v>
      </c>
      <c r="J147" s="31">
        <f>IF(COUNTIF('Premade Flavors'!$A:$A,$C147)&gt;0,IF(_xlfn.XLOOKUP("Should It Use Sugar or A Non-Sugar Sweetner?",[1]Sheet1!$1:$1,[1]Sheet1!147:147)="Sugar",_xlfn.XLOOKUP($C147,'Premade Flavors'!$A:$A,'Premade Flavors'!I:I),"Stevia"),_xlfn.XLOOKUP("What Sweetner Do You Want?",[1]Sheet1!$1:$1,[1]Sheet1!147:147))</f>
        <v>0</v>
      </c>
      <c r="K147" s="31"/>
      <c r="L147" s="77">
        <f>_xlfn.XLOOKUP("How Much Ice Cream Do You Want?",[1]Sheet1!$1:$1,[1]Sheet1!147:147)</f>
        <v>0</v>
      </c>
      <c r="M147" s="45">
        <f>IF(COUNTIF('Premade Flavors'!$A:$A, $C147) &gt; 0,_xlfn.XLOOKUP($C147,'Premade Flavors'!$A:$A,'Premade Flavors'!M:M),_xlfn.XLOOKUP("How Strong Do You Want The First Flavor?",[1]Sheet1!$1:$1,[1]Sheet1!147:147))</f>
        <v>0</v>
      </c>
      <c r="N147" s="45">
        <f>IF(COUNTIF('Premade Flavors'!$A:$A, $C147) &gt; 0,_xlfn.XLOOKUP($C147,'Premade Flavors'!$A:$A,'Premade Flavors'!N:N),_xlfn.XLOOKUP("How Strong Do You Want The Second Flavor?",[1]Sheet1!$1:$1,[1]Sheet1!147:147))</f>
        <v>0</v>
      </c>
      <c r="O147" s="45">
        <f>IF(COUNTIF('Premade Flavors'!$A:$A, $C147) &gt; 0,_xlfn.XLOOKUP($C147,'Premade Flavors'!$A:$A,'Premade Flavors'!O:O),_xlfn.XLOOKUP("How Dense Should the Mix Ins Be?",[1]Sheet1!$1:$1,[1]Sheet1!147:147))</f>
        <v>0</v>
      </c>
      <c r="P147" s="45">
        <f>IF(COUNTIF('Premade Flavors'!$A:$A, $C147) &gt; 0,_xlfn.XLOOKUP($C147,'Premade Flavors'!$A:$A,'Premade Flavors'!P:P),_xlfn.XLOOKUP("How Much Of The First Sweetner? ",[1]Sheet1!$1:$1,[1]Sheet1!147:147))</f>
        <v>0</v>
      </c>
      <c r="Q147" s="45">
        <f>IF(COUNTIF('Premade Flavors'!$A:$A, $C147) &gt; 0,_xlfn.XLOOKUP($C147,'Premade Flavors'!$A:$A,'Premade Flavors'!Q:Q),[2]Sheet1!S147)</f>
        <v>0</v>
      </c>
      <c r="R147" s="30">
        <f>(_xlfn.XLOOKUP($L147,Specs!A:A,Specs!B:B,0)-(IF(_xlfn.XLOOKUP($F147,'Liquid Mix In Nutrition'!A:A,'Liquid Mix In Nutrition'!J:J,0)="Yes",0,$T147))-(IF(_xlfn.XLOOKUP($G147,'Liquid Mix In Nutrition'!A:A,'Liquid Mix In Nutrition'!J:J,0)="Yes",0,$U147))-(($V147/MAX(1,_xlfn.XLOOKUP($H147,'Solid Mix In Nutrition'!A:A,'Solid Mix In Nutrition'!I:I,1)))*240)-(($W147/MAX(1,_xlfn.XLOOKUP($I147,'Solid Mix In Nutrition'!A:A,'Solid Mix In Nutrition'!I:I,1)))*240))*0.66</f>
        <v>0</v>
      </c>
      <c r="S147" s="30">
        <f>(_xlfn.XLOOKUP($L147,Specs!A:A,Specs!B:B,0)-(IF(_xlfn.XLOOKUP($F147,'Liquid Mix In Nutrition'!A:A,'Liquid Mix In Nutrition'!J:J,0)="Yes",0,$T147))-(IF(_xlfn.XLOOKUP($G147,'Liquid Mix In Nutrition'!A:A,'Liquid Mix In Nutrition'!J:J,0)="Yes",0,$U147))-(($V147/MAX(1,_xlfn.XLOOKUP($H147,'Solid Mix In Nutrition'!A:A,'Solid Mix In Nutrition'!I:I,1)))*240)-(($W147/MAX(1,_xlfn.XLOOKUP($I147,'Solid Mix In Nutrition'!A:A,'Solid Mix In Nutrition'!I:I,1)))*240))*0.33</f>
        <v>0</v>
      </c>
      <c r="T147" s="30">
        <f>_xlfn.XLOOKUP($M147,Specs!$D:$D,Specs!$E:$E,0)*15*_xlfn.XLOOKUP($L147,Specs!$A:$A,Specs!$C:$C,0)</f>
        <v>0</v>
      </c>
      <c r="U147" s="30">
        <f>_xlfn.XLOOKUP($N147,Specs!$D:$D,Specs!$E:$E,0)*15*_xlfn.XLOOKUP($L147,Specs!$A:$A,Specs!$C:$C,0)</f>
        <v>0</v>
      </c>
      <c r="V147" s="30">
        <f>( ((_xlfn.XLOOKUP($O147,Specs!$H:$H,Specs!$I:$I,0)*_xlfn.XLOOKUP($L147,Specs!$A:$A,Specs!$B:$B,0))/240) *_xlfn.XLOOKUP($H147,'Solid Mix In Nutrition'!A:A,'Solid Mix In Nutrition'!I:I,0)) *IF(AND(NOT($I147=0), COUNTA($I147)),0.5,1)</f>
        <v>0</v>
      </c>
      <c r="W147" s="30">
        <f>( ((_xlfn.XLOOKUP($O147,Specs!$H:$H,Specs!$I:$I,0)*_xlfn.XLOOKUP($L147,Specs!$A:$A,Specs!$B:$B,0))/240) *_xlfn.XLOOKUP($I147,'Solid Mix In Nutrition'!A:A,'Solid Mix In Nutrition'!I:I,0)) *IF(AND(NOT($I147=0), COUNTA($I147)),0.5,0)</f>
        <v>0</v>
      </c>
      <c r="X147" s="30">
        <f>_xlfn.XLOOKUP($P147,Specs!F:F,Specs!G:G,0)*_xlfn.XLOOKUP($J147,'Sweetener Mix In Nutrition'!A:A,'Sweetener Mix In Nutrition'!I:I,0)*_xlfn.XLOOKUP($L147,Specs!A:A,Specs!C:C,0)</f>
        <v>0</v>
      </c>
      <c r="Y147" s="30">
        <f>_xlfn.XLOOKUP($Q147,Specs!F:F,Specs!G:G,0)*_xlfn.XLOOKUP($K147,'Sweetener Mix In Nutrition'!A:A,'Sweetener Mix In Nutrition'!I:I,0)*_xlfn.XLOOKUP($L147,Specs!A:A,Specs!C:C,0)</f>
        <v>0</v>
      </c>
      <c r="Z147" s="34">
        <f t="shared" si="4"/>
        <v>0</v>
      </c>
      <c r="AA147" s="35">
        <f t="shared" si="5"/>
        <v>0</v>
      </c>
      <c r="AB147" s="36">
        <f>(($R147 / 240) * _xlfn.XLOOKUP($D147,'Milk Types Nutrition Per Cup'!A:A,'Milk Types Nutrition Per Cup'!B:B,0)) +(($S147 / 240)  * _xlfn.XLOOKUP($E147,'Milk Types Nutrition Per Cup'!A:A,'Milk Types Nutrition Per Cup'!B:B,0)) +(($T147 / 15)  * _xlfn.XLOOKUP($F147,'Liquid Mix In Nutrition'!A:A,'Liquid Mix In Nutrition'!B:B,0))+(($U147 / 15)  * _xlfn.XLOOKUP($G147,'Liquid Mix In Nutrition'!A:A,'Liquid Mix In Nutrition'!B:B,0))+(($V147 /MAX(1, _xlfn.XLOOKUP($H147,'Solid Mix In Nutrition'!A:A,'Solid Mix In Nutrition'!I:I,1)))  * _xlfn.XLOOKUP($H147,'Solid Mix In Nutrition'!A:A,'Solid Mix In Nutrition'!B:B,0))+(($W147 / MAX(1, _xlfn.XLOOKUP($I147,'Solid Mix In Nutrition'!A:A,'Solid Mix In Nutrition'!I:I,1))))+(($X147 / 100)  * _xlfn.XLOOKUP($J147,'Sweetener Mix In Nutrition'!A:A,'Sweetener Mix In Nutrition'!B:B,0))+(($Y147 / 100)  * _xlfn.XLOOKUP($K147,'Sweetener Mix In Nutrition'!A:A,'Sweetener Mix In Nutrition'!B:B,0))</f>
        <v>0</v>
      </c>
      <c r="AC147" s="36">
        <f>(($R147 / 240) * _xlfn.XLOOKUP($D147,'Milk Types Nutrition Per Cup'!A:A,'Milk Types Nutrition Per Cup'!E:E,0)) +(($S147 / 240)  * _xlfn.XLOOKUP($E147,'Milk Types Nutrition Per Cup'!A:A,'Milk Types Nutrition Per Cup'!E:E,0)) +(($T147 / 15)  * _xlfn.XLOOKUP($F147,'Liquid Mix In Nutrition'!A:A,'Liquid Mix In Nutrition'!E:E,0)) +(($U147 / 15)  * _xlfn.XLOOKUP($G147,'Liquid Mix In Nutrition'!A:A,'Liquid Mix In Nutrition'!E:E,0))+(($V147 / MAX(1, _xlfn.XLOOKUP($H147,'Solid Mix In Nutrition'!A:A,'Solid Mix In Nutrition'!I:I,1)))  * _xlfn.XLOOKUP($H147,'Solid Mix In Nutrition'!A:A,'Solid Mix In Nutrition'!E:E,0))+(($W147 / MAX(1, _xlfn.XLOOKUP($I147,'Solid Mix In Nutrition'!A:A,'Solid Mix In Nutrition'!I:I,1)))  * _xlfn.XLOOKUP($I147,'Solid Mix In Nutrition'!A:A,'Solid Mix In Nutrition'!G:G,0))+(($X147 / 100)  * _xlfn.XLOOKUP($J147,'Sweetener Mix In Nutrition'!A:A,'Sweetener Mix In Nutrition'!E:E,0))+(($Y147 / 100)  * _xlfn.XLOOKUP($K147,'Sweetener Mix In Nutrition'!A:A,'Sweetener Mix In Nutrition'!E:E,0))</f>
        <v>0</v>
      </c>
      <c r="AD147" s="36">
        <f>(($R147 / 240) * _xlfn.XLOOKUP($D147,'Milk Types Nutrition Per Cup'!A:A,'Milk Types Nutrition Per Cup'!E:E,0)) +(($S147 / 240)  * _xlfn.XLOOKUP($E147,'Milk Types Nutrition Per Cup'!A:A,'Milk Types Nutrition Per Cup'!E:E,0)) +(($T147 / 15)  * _xlfn.XLOOKUP($F147,'Liquid Mix In Nutrition'!A:A,'Liquid Mix In Nutrition'!E:E,0)) +(($U147 / 15)  * _xlfn.XLOOKUP($G147,'Liquid Mix In Nutrition'!A:A,'Liquid Mix In Nutrition'!E:E,0))+(($X147 / 100)  * _xlfn.XLOOKUP($J147,'Sweetener Mix In Nutrition'!A:A,'Sweetener Mix In Nutrition'!E:E,0))+(($Y147 / 100)  * _xlfn.XLOOKUP($K147,'Sweetener Mix In Nutrition'!A:A,'Sweetener Mix In Nutrition'!E:E,0))</f>
        <v>0</v>
      </c>
      <c r="AE147" s="37">
        <f>(($R147 / 240) * _xlfn.XLOOKUP($D147,'Milk Types Nutrition Per Cup'!A:A,'Milk Types Nutrition Per Cup'!C:C,0)) +(($S147 / 240)  * _xlfn.XLOOKUP($E147,'Milk Types Nutrition Per Cup'!A:A,'Milk Types Nutrition Per Cup'!C:C,0)) +(($T147 / 15)  * _xlfn.XLOOKUP($F147,'Liquid Mix In Nutrition'!A:A,'Liquid Mix In Nutrition'!C:C,0))+(($U147 / 15)  * _xlfn.XLOOKUP($G147,'Liquid Mix In Nutrition'!A:A,'Liquid Mix In Nutrition'!C:C,0))+(($V147 / MAX(1, _xlfn.XLOOKUP($H147,'Solid Mix In Nutrition'!A:A,'Solid Mix In Nutrition'!I:I,1)))  * _xlfn.XLOOKUP($H147,'Solid Mix In Nutrition'!A:A,'Solid Mix In Nutrition'!C:C,0))+(($W147 / MAX(1, _xlfn.XLOOKUP($I147,'Solid Mix In Nutrition'!A:A,'Solid Mix In Nutrition'!I:I,1)))  * _xlfn.XLOOKUP($I147,'Solid Mix In Nutrition'!A:A,'Solid Mix In Nutrition'!C:C,0))+(($X147 / 100)  * _xlfn.XLOOKUP($J147,'Sweetener Mix In Nutrition'!A:A,'Sweetener Mix In Nutrition'!C:C,0))+(($Y147 / 100)  * _xlfn.XLOOKUP($K147,'Sweetener Mix In Nutrition'!A:A,'Sweetener Mix In Nutrition'!C:C,0))</f>
        <v>0</v>
      </c>
      <c r="AF147" s="38" t="e">
        <f>$AE147 / (_xlfn.XLOOKUP($L147,Specs!A:A,Specs!B:B,0))</f>
        <v>#DIV/0!</v>
      </c>
      <c r="AG147" s="37" t="e">
        <f>60* ($AB147 / _xlfn.XLOOKUP($L147,Specs!A:A,Specs!B:B,0))</f>
        <v>#DIV/0!</v>
      </c>
      <c r="AH147" s="37" t="e">
        <f>60* (AC147 / _xlfn.XLOOKUP($L147,Specs!$A:$A,Specs!$B:$B,0))</f>
        <v>#DIV/0!</v>
      </c>
      <c r="AI147" s="37" t="e">
        <f>60* (AE147 / _xlfn.XLOOKUP($L147,Specs!$A:$A,Specs!$B:$B,0))</f>
        <v>#DIV/0!</v>
      </c>
      <c r="AJ147" s="39">
        <f>(($R147 / 240) * _xlfn.XLOOKUP($D147,'Milk Types Nutrition Per Cup'!A:A,'Milk Types Nutrition Per Cup'!F:F,0)) +(($S147 / 240)  * _xlfn.XLOOKUP($E147,'Milk Types Nutrition Per Cup'!A:A,'Milk Types Nutrition Per Cup'!F:F,0)) +(($T147 / 15)  * _xlfn.XLOOKUP($F147,'Liquid Mix In Nutrition'!A:A,'Liquid Mix In Nutrition'!F:F,0))+(($U147 / 15)  * _xlfn.XLOOKUP($G147,'Liquid Mix In Nutrition'!A:A,'Liquid Mix In Nutrition'!F:F,0))+(($V147 / MAX(1, _xlfn.XLOOKUP($H147,'Solid Mix In Nutrition'!A:A,'Solid Mix In Nutrition'!I:I,1)))  * _xlfn.XLOOKUP($H147,'Solid Mix In Nutrition'!A:A,'Solid Mix In Nutrition'!F:F,0))+(($W147 / MAX(1, _xlfn.XLOOKUP($I147,'Solid Mix In Nutrition'!A:A,'Solid Mix In Nutrition'!I:I,1)))  * _xlfn.XLOOKUP($I147,'Solid Mix In Nutrition'!A:A,'Solid Mix In Nutrition'!F:F,0))+(($X147 / 100)  * _xlfn.XLOOKUP($J147,'Sweetener Mix In Nutrition'!A:A,'Sweetener Mix In Nutrition'!F:F,0))+(($Y147 / 100)  * _xlfn.XLOOKUP($K147,'Sweetener Mix In Nutrition'!A:A,'Sweetener Mix In Nutrition'!F:F,0))</f>
        <v>0</v>
      </c>
      <c r="AK147" s="46">
        <f>[2]Sheet1!AG147</f>
        <v>0</v>
      </c>
      <c r="AL147" s="47"/>
      <c r="AM147" s="40">
        <f>IF(ISERROR(((AL147/Specs!$L$3)*Specs!$L$2)*2),0,ROUNDUP((((AL147/Specs!$L$3)*Specs!$L$2)*2),0))</f>
        <v>0</v>
      </c>
      <c r="AN147" s="48">
        <f>ROUNDUP(((AJ147+Specs!$R$2+Specs!$S$2+_xlfn.XLOOKUP($L147,Specs!A:A,Specs!V:V,0))*Specs!$N$2)+AM147,0)</f>
        <v>1</v>
      </c>
      <c r="AO147" s="40">
        <f>ROUNDUP(((AJ147+Specs!$R$2+Specs!$S$2+_xlfn.XLOOKUP($L147,Specs!A:A,Specs!V:V,0))*Specs!$N$2),0)</f>
        <v>1</v>
      </c>
      <c r="AP147" s="30"/>
    </row>
    <row r="148" spans="1:42" x14ac:dyDescent="0.25">
      <c r="A148" s="41" t="str">
        <f>_xlfn.CONCAT(_xlfn.XLOOKUP("What's Your Name?",[1]Sheet1!$1:$1,[1]Sheet1!148:148)," | ",TEXT(_xlfn.XLOOKUP("Completion time",[1]Sheet1!$1:$1,[1]Sheet1!148:148),"dddd, mmm dd, yyyy hh:mm AM/PM"))</f>
        <v xml:space="preserve"> | Saturday, Jan 00, 1900 12:00 AM</v>
      </c>
      <c r="B148" s="76">
        <f>_xlfn.XLOOKUP("What's Your Email Address?",[1]Sheet1!$1:$1,[1]Sheet1!148:148)</f>
        <v>0</v>
      </c>
      <c r="C148" s="31">
        <f>IF(ISBLANK(_xlfn.XLOOKUP("Which Flavor? (Pint Price | Quart Price | Half Gallon Price) (NOTE: Prices may fluctuate based on market conditions)",[1]Sheet1!$1:$1,[1]Sheet1!148:148)),_xlfn.XLOOKUP("Name Your Ice Cream!",[1]Sheet1!$1:$1,[1]Sheet1!148:148),IF(ISNUMBER(FIND("(", _xlfn.XLOOKUP("Which Flavor? (Pint Price | Quart Price | Half Gallon Price) (NOTE: Prices may fluctuate based on market conditions)",[1]Sheet1!$1:$1,[1]Sheet1!148:148))), LEFT(_xlfn.XLOOKUP("Which Flavor? (Pint Price | Quart Price | Half Gallon Price) (NOTE: Prices may fluctuate based on market conditions)",[1]Sheet1!$1:$1,[1]Sheet1!148:148), FIND("(", _xlfn.XLOOKUP("Which Flavor? (Pint Price | Quart Price | Half Gallon Price) (NOTE: Prices may fluctuate based on market conditions)",[1]Sheet1!$1:$1,[1]Sheet1!148:148)) - 1), _xlfn.XLOOKUP("Which Flavor? (Pint Price | Quart Price | Half Gallon Price) (NOTE: Prices may fluctuate based on market conditions)",[1]Sheet1!$1:$1,[1]Sheet1!148:148)))</f>
        <v>0</v>
      </c>
      <c r="D148" s="31">
        <f>IF(COUNTIF('Premade Flavors'!$A:$A, $C148) &gt; 0,IF(ISBLANK(_xlfn.XLOOKUP("What Ice Cream Base Do You Want To Change It To?",[1]Sheet1!$1:$1,[1]Sheet1!148:148)),_xlfn.XLOOKUP($C148,'Premade Flavors'!$A:$A,'Premade Flavors'!B:B),_xlfn.XLOOKUP("What Ice Cream Base Do You Want To Change It To?",[1]Sheet1!$1:$1,[1]Sheet1!148:148)),_xlfn.XLOOKUP(_xlfn.XLOOKUP("What Kind Of Ice Cream Base Do You Want? ",[1]Sheet1!$1:$1,[1]Sheet1!148:148),'Milk Types Nutrition Per Cup'!O:O,'Milk Types Nutrition Per Cup'!P:P,""))</f>
        <v>0</v>
      </c>
      <c r="E148" s="31">
        <f>IF(COUNTIF('Premade Flavors'!$A:$A, $C148) &gt; 0,IF(ISBLANK(_xlfn.XLOOKUP("What Ice Cream Base Do You Want To Change It To?",[1]Sheet1!$1:$1,[1]Sheet1!148:148)),_xlfn.XLOOKUP($C148,'Premade Flavors'!$A:$A,'Premade Flavors'!C:C),_xlfn.XLOOKUP("What Ice Cream Base Do You Want To Change It To?",[1]Sheet1!$1:$1,[1]Sheet1!148:148)),_xlfn.XLOOKUP(_xlfn.XLOOKUP("What Kind Of Ice Cream Base Do You Want? ",[1]Sheet1!$1:$1,[1]Sheet1!148:148),'Milk Types Nutrition Per Cup'!$O:$O,'Milk Types Nutrition Per Cup'!$Q:$Q,""))</f>
        <v>0</v>
      </c>
      <c r="F148" s="31">
        <f>IF(COUNTIF('Premade Flavors'!$A:$A, $C148) &gt; 0,_xlfn.XLOOKUP($C148,'Premade Flavors'!$A:$A,'Premade Flavors'!E:E),_xlfn.XLOOKUP("What's The First Flavor You Want? ",[1]Sheet1!$1:$1,[1]Sheet1!148:148))</f>
        <v>0</v>
      </c>
      <c r="G148" s="31">
        <f>IF(COUNTIF('Premade Flavors'!$A:$A, $C148) &gt; 0,_xlfn.XLOOKUP($C148,'Premade Flavors'!$A:$A,'Premade Flavors'!F:F),_xlfn.XLOOKUP("What's the Second Flavor You Want?",[1]Sheet1!$1:$1,[1]Sheet1!148:148))</f>
        <v>0</v>
      </c>
      <c r="H148" s="31">
        <f>IF(COUNTIF('Premade Flavors'!$A:$A, $C148) &gt; 0,_xlfn.XLOOKUP($C148,'Premade Flavors'!$A:$A,'Premade Flavors'!G:G),_xlfn.XLOOKUP("What's The First Mix In That You Want? ",[1]Sheet1!$1:$1,[1]Sheet1!148:148))</f>
        <v>0</v>
      </c>
      <c r="I148" s="31">
        <f>IF(COUNTIF('Premade Flavors'!$A:$A, $C146) &gt; 0,_xlfn.XLOOKUP($C146,'Premade Flavors'!$A:$A,'Premade Flavors'!H:H),IF([2]Sheet1!W146= 0,,[2]Sheet1!W146))</f>
        <v>0</v>
      </c>
      <c r="J148" s="31">
        <f>IF(COUNTIF('Premade Flavors'!$A:$A,$C148)&gt;0,IF(_xlfn.XLOOKUP("Should It Use Sugar or A Non-Sugar Sweetner?",[1]Sheet1!$1:$1,[1]Sheet1!148:148)="Sugar",_xlfn.XLOOKUP($C148,'Premade Flavors'!$A:$A,'Premade Flavors'!I:I),"Stevia"),_xlfn.XLOOKUP("What Sweetner Do You Want?",[1]Sheet1!$1:$1,[1]Sheet1!148:148))</f>
        <v>0</v>
      </c>
      <c r="K148" s="31"/>
      <c r="L148" s="77">
        <f>_xlfn.XLOOKUP("How Much Ice Cream Do You Want?",[1]Sheet1!$1:$1,[1]Sheet1!148:148)</f>
        <v>0</v>
      </c>
      <c r="M148" s="45">
        <f>IF(COUNTIF('Premade Flavors'!$A:$A, $C148) &gt; 0,_xlfn.XLOOKUP($C148,'Premade Flavors'!$A:$A,'Premade Flavors'!M:M),_xlfn.XLOOKUP("How Strong Do You Want The First Flavor?",[1]Sheet1!$1:$1,[1]Sheet1!148:148))</f>
        <v>0</v>
      </c>
      <c r="N148" s="45">
        <f>IF(COUNTIF('Premade Flavors'!$A:$A, $C148) &gt; 0,_xlfn.XLOOKUP($C148,'Premade Flavors'!$A:$A,'Premade Flavors'!N:N),_xlfn.XLOOKUP("How Strong Do You Want The Second Flavor?",[1]Sheet1!$1:$1,[1]Sheet1!148:148))</f>
        <v>0</v>
      </c>
      <c r="O148" s="45">
        <f>IF(COUNTIF('Premade Flavors'!$A:$A, $C148) &gt; 0,_xlfn.XLOOKUP($C148,'Premade Flavors'!$A:$A,'Premade Flavors'!O:O),_xlfn.XLOOKUP("How Dense Should the Mix Ins Be?",[1]Sheet1!$1:$1,[1]Sheet1!148:148))</f>
        <v>0</v>
      </c>
      <c r="P148" s="45">
        <f>IF(COUNTIF('Premade Flavors'!$A:$A, $C148) &gt; 0,_xlfn.XLOOKUP($C148,'Premade Flavors'!$A:$A,'Premade Flavors'!P:P),_xlfn.XLOOKUP("How Much Of The First Sweetner? ",[1]Sheet1!$1:$1,[1]Sheet1!148:148))</f>
        <v>0</v>
      </c>
      <c r="Q148" s="45">
        <f>IF(COUNTIF('Premade Flavors'!$A:$A, $C148) &gt; 0,_xlfn.XLOOKUP($C148,'Premade Flavors'!$A:$A,'Premade Flavors'!Q:Q),[2]Sheet1!S148)</f>
        <v>0</v>
      </c>
      <c r="R148" s="30">
        <f>(_xlfn.XLOOKUP($L148,Specs!A:A,Specs!B:B,0)-(IF(_xlfn.XLOOKUP($F148,'Liquid Mix In Nutrition'!A:A,'Liquid Mix In Nutrition'!J:J,0)="Yes",0,$T148))-(IF(_xlfn.XLOOKUP($G148,'Liquid Mix In Nutrition'!A:A,'Liquid Mix In Nutrition'!J:J,0)="Yes",0,$U148))-(($V148/MAX(1,_xlfn.XLOOKUP($H148,'Solid Mix In Nutrition'!A:A,'Solid Mix In Nutrition'!I:I,1)))*240)-(($W148/MAX(1,_xlfn.XLOOKUP($I148,'Solid Mix In Nutrition'!A:A,'Solid Mix In Nutrition'!I:I,1)))*240))*0.66</f>
        <v>0</v>
      </c>
      <c r="S148" s="30">
        <f>(_xlfn.XLOOKUP($L148,Specs!A:A,Specs!B:B,0)-(IF(_xlfn.XLOOKUP($F148,'Liquid Mix In Nutrition'!A:A,'Liquid Mix In Nutrition'!J:J,0)="Yes",0,$T148))-(IF(_xlfn.XLOOKUP($G148,'Liquid Mix In Nutrition'!A:A,'Liquid Mix In Nutrition'!J:J,0)="Yes",0,$U148))-(($V148/MAX(1,_xlfn.XLOOKUP($H148,'Solid Mix In Nutrition'!A:A,'Solid Mix In Nutrition'!I:I,1)))*240)-(($W148/MAX(1,_xlfn.XLOOKUP($I148,'Solid Mix In Nutrition'!A:A,'Solid Mix In Nutrition'!I:I,1)))*240))*0.33</f>
        <v>0</v>
      </c>
      <c r="T148" s="30">
        <f>_xlfn.XLOOKUP($M148,Specs!$D:$D,Specs!$E:$E,0)*15*_xlfn.XLOOKUP($L148,Specs!$A:$A,Specs!$C:$C,0)</f>
        <v>0</v>
      </c>
      <c r="U148" s="30">
        <f>_xlfn.XLOOKUP($N148,Specs!$D:$D,Specs!$E:$E,0)*15*_xlfn.XLOOKUP($L148,Specs!$A:$A,Specs!$C:$C,0)</f>
        <v>0</v>
      </c>
      <c r="V148" s="30">
        <f>( ((_xlfn.XLOOKUP($O148,Specs!$H:$H,Specs!$I:$I,0)*_xlfn.XLOOKUP($L148,Specs!$A:$A,Specs!$B:$B,0))/240) *_xlfn.XLOOKUP($H148,'Solid Mix In Nutrition'!A:A,'Solid Mix In Nutrition'!I:I,0)) *IF(AND(NOT($I148=0), COUNTA($I148)),0.5,1)</f>
        <v>0</v>
      </c>
      <c r="W148" s="30">
        <f>( ((_xlfn.XLOOKUP($O148,Specs!$H:$H,Specs!$I:$I,0)*_xlfn.XLOOKUP($L148,Specs!$A:$A,Specs!$B:$B,0))/240) *_xlfn.XLOOKUP($I148,'Solid Mix In Nutrition'!A:A,'Solid Mix In Nutrition'!I:I,0)) *IF(AND(NOT($I148=0), COUNTA($I148)),0.5,0)</f>
        <v>0</v>
      </c>
      <c r="X148" s="30">
        <f>_xlfn.XLOOKUP($P148,Specs!F:F,Specs!G:G,0)*_xlfn.XLOOKUP($J148,'Sweetener Mix In Nutrition'!A:A,'Sweetener Mix In Nutrition'!I:I,0)*_xlfn.XLOOKUP($L148,Specs!A:A,Specs!C:C,0)</f>
        <v>0</v>
      </c>
      <c r="Y148" s="30">
        <f>_xlfn.XLOOKUP($Q148,Specs!F:F,Specs!G:G,0)*_xlfn.XLOOKUP($K148,'Sweetener Mix In Nutrition'!A:A,'Sweetener Mix In Nutrition'!I:I,0)*_xlfn.XLOOKUP($L148,Specs!A:A,Specs!C:C,0)</f>
        <v>0</v>
      </c>
      <c r="Z148" s="34">
        <f t="shared" si="4"/>
        <v>0</v>
      </c>
      <c r="AA148" s="35">
        <f t="shared" si="5"/>
        <v>0</v>
      </c>
      <c r="AB148" s="36">
        <f>(($R148 / 240) * _xlfn.XLOOKUP($D148,'Milk Types Nutrition Per Cup'!A:A,'Milk Types Nutrition Per Cup'!B:B,0)) +(($S148 / 240)  * _xlfn.XLOOKUP($E148,'Milk Types Nutrition Per Cup'!A:A,'Milk Types Nutrition Per Cup'!B:B,0)) +(($T148 / 15)  * _xlfn.XLOOKUP($F148,'Liquid Mix In Nutrition'!A:A,'Liquid Mix In Nutrition'!B:B,0))+(($U148 / 15)  * _xlfn.XLOOKUP($G148,'Liquid Mix In Nutrition'!A:A,'Liquid Mix In Nutrition'!B:B,0))+(($V148 /MAX(1, _xlfn.XLOOKUP($H148,'Solid Mix In Nutrition'!A:A,'Solid Mix In Nutrition'!I:I,1)))  * _xlfn.XLOOKUP($H148,'Solid Mix In Nutrition'!A:A,'Solid Mix In Nutrition'!B:B,0))+(($W148 / MAX(1, _xlfn.XLOOKUP($I148,'Solid Mix In Nutrition'!A:A,'Solid Mix In Nutrition'!I:I,1))))+(($X148 / 100)  * _xlfn.XLOOKUP($J148,'Sweetener Mix In Nutrition'!A:A,'Sweetener Mix In Nutrition'!B:B,0))+(($Y148 / 100)  * _xlfn.XLOOKUP($K148,'Sweetener Mix In Nutrition'!A:A,'Sweetener Mix In Nutrition'!B:B,0))</f>
        <v>0</v>
      </c>
      <c r="AC148" s="36">
        <f>(($R148 / 240) * _xlfn.XLOOKUP($D148,'Milk Types Nutrition Per Cup'!A:A,'Milk Types Nutrition Per Cup'!E:E,0)) +(($S148 / 240)  * _xlfn.XLOOKUP($E148,'Milk Types Nutrition Per Cup'!A:A,'Milk Types Nutrition Per Cup'!E:E,0)) +(($T148 / 15)  * _xlfn.XLOOKUP($F148,'Liquid Mix In Nutrition'!A:A,'Liquid Mix In Nutrition'!E:E,0)) +(($U148 / 15)  * _xlfn.XLOOKUP($G148,'Liquid Mix In Nutrition'!A:A,'Liquid Mix In Nutrition'!E:E,0))+(($V148 / MAX(1, _xlfn.XLOOKUP($H148,'Solid Mix In Nutrition'!A:A,'Solid Mix In Nutrition'!I:I,1)))  * _xlfn.XLOOKUP($H148,'Solid Mix In Nutrition'!A:A,'Solid Mix In Nutrition'!E:E,0))+(($W148 / MAX(1, _xlfn.XLOOKUP($I148,'Solid Mix In Nutrition'!A:A,'Solid Mix In Nutrition'!I:I,1)))  * _xlfn.XLOOKUP($I148,'Solid Mix In Nutrition'!A:A,'Solid Mix In Nutrition'!G:G,0))+(($X148 / 100)  * _xlfn.XLOOKUP($J148,'Sweetener Mix In Nutrition'!A:A,'Sweetener Mix In Nutrition'!E:E,0))+(($Y148 / 100)  * _xlfn.XLOOKUP($K148,'Sweetener Mix In Nutrition'!A:A,'Sweetener Mix In Nutrition'!E:E,0))</f>
        <v>0</v>
      </c>
      <c r="AD148" s="36">
        <f>(($R148 / 240) * _xlfn.XLOOKUP($D148,'Milk Types Nutrition Per Cup'!A:A,'Milk Types Nutrition Per Cup'!E:E,0)) +(($S148 / 240)  * _xlfn.XLOOKUP($E148,'Milk Types Nutrition Per Cup'!A:A,'Milk Types Nutrition Per Cup'!E:E,0)) +(($T148 / 15)  * _xlfn.XLOOKUP($F148,'Liquid Mix In Nutrition'!A:A,'Liquid Mix In Nutrition'!E:E,0)) +(($U148 / 15)  * _xlfn.XLOOKUP($G148,'Liquid Mix In Nutrition'!A:A,'Liquid Mix In Nutrition'!E:E,0))+(($X148 / 100)  * _xlfn.XLOOKUP($J148,'Sweetener Mix In Nutrition'!A:A,'Sweetener Mix In Nutrition'!E:E,0))+(($Y148 / 100)  * _xlfn.XLOOKUP($K148,'Sweetener Mix In Nutrition'!A:A,'Sweetener Mix In Nutrition'!E:E,0))</f>
        <v>0</v>
      </c>
      <c r="AE148" s="37">
        <f>(($R148 / 240) * _xlfn.XLOOKUP($D148,'Milk Types Nutrition Per Cup'!A:A,'Milk Types Nutrition Per Cup'!C:C,0)) +(($S148 / 240)  * _xlfn.XLOOKUP($E148,'Milk Types Nutrition Per Cup'!A:A,'Milk Types Nutrition Per Cup'!C:C,0)) +(($T148 / 15)  * _xlfn.XLOOKUP($F148,'Liquid Mix In Nutrition'!A:A,'Liquid Mix In Nutrition'!C:C,0))+(($U148 / 15)  * _xlfn.XLOOKUP($G148,'Liquid Mix In Nutrition'!A:A,'Liquid Mix In Nutrition'!C:C,0))+(($V148 / MAX(1, _xlfn.XLOOKUP($H148,'Solid Mix In Nutrition'!A:A,'Solid Mix In Nutrition'!I:I,1)))  * _xlfn.XLOOKUP($H148,'Solid Mix In Nutrition'!A:A,'Solid Mix In Nutrition'!C:C,0))+(($W148 / MAX(1, _xlfn.XLOOKUP($I148,'Solid Mix In Nutrition'!A:A,'Solid Mix In Nutrition'!I:I,1)))  * _xlfn.XLOOKUP($I148,'Solid Mix In Nutrition'!A:A,'Solid Mix In Nutrition'!C:C,0))+(($X148 / 100)  * _xlfn.XLOOKUP($J148,'Sweetener Mix In Nutrition'!A:A,'Sweetener Mix In Nutrition'!C:C,0))+(($Y148 / 100)  * _xlfn.XLOOKUP($K148,'Sweetener Mix In Nutrition'!A:A,'Sweetener Mix In Nutrition'!C:C,0))</f>
        <v>0</v>
      </c>
      <c r="AF148" s="38" t="e">
        <f>$AE148 / (_xlfn.XLOOKUP($L148,Specs!A:A,Specs!B:B,0))</f>
        <v>#DIV/0!</v>
      </c>
      <c r="AG148" s="37" t="e">
        <f>60* ($AB148 / _xlfn.XLOOKUP($L148,Specs!A:A,Specs!B:B,0))</f>
        <v>#DIV/0!</v>
      </c>
      <c r="AH148" s="37" t="e">
        <f>60* (AC148 / _xlfn.XLOOKUP($L148,Specs!$A:$A,Specs!$B:$B,0))</f>
        <v>#DIV/0!</v>
      </c>
      <c r="AI148" s="37" t="e">
        <f>60* (AE148 / _xlfn.XLOOKUP($L148,Specs!$A:$A,Specs!$B:$B,0))</f>
        <v>#DIV/0!</v>
      </c>
      <c r="AJ148" s="39">
        <f>(($R148 / 240) * _xlfn.XLOOKUP($D148,'Milk Types Nutrition Per Cup'!A:A,'Milk Types Nutrition Per Cup'!F:F,0)) +(($S148 / 240)  * _xlfn.XLOOKUP($E148,'Milk Types Nutrition Per Cup'!A:A,'Milk Types Nutrition Per Cup'!F:F,0)) +(($T148 / 15)  * _xlfn.XLOOKUP($F148,'Liquid Mix In Nutrition'!A:A,'Liquid Mix In Nutrition'!F:F,0))+(($U148 / 15)  * _xlfn.XLOOKUP($G148,'Liquid Mix In Nutrition'!A:A,'Liquid Mix In Nutrition'!F:F,0))+(($V148 / MAX(1, _xlfn.XLOOKUP($H148,'Solid Mix In Nutrition'!A:A,'Solid Mix In Nutrition'!I:I,1)))  * _xlfn.XLOOKUP($H148,'Solid Mix In Nutrition'!A:A,'Solid Mix In Nutrition'!F:F,0))+(($W148 / MAX(1, _xlfn.XLOOKUP($I148,'Solid Mix In Nutrition'!A:A,'Solid Mix In Nutrition'!I:I,1)))  * _xlfn.XLOOKUP($I148,'Solid Mix In Nutrition'!A:A,'Solid Mix In Nutrition'!F:F,0))+(($X148 / 100)  * _xlfn.XLOOKUP($J148,'Sweetener Mix In Nutrition'!A:A,'Sweetener Mix In Nutrition'!F:F,0))+(($Y148 / 100)  * _xlfn.XLOOKUP($K148,'Sweetener Mix In Nutrition'!A:A,'Sweetener Mix In Nutrition'!F:F,0))</f>
        <v>0</v>
      </c>
      <c r="AK148" s="46">
        <f>[2]Sheet1!AG148</f>
        <v>0</v>
      </c>
      <c r="AL148" s="47"/>
      <c r="AM148" s="40">
        <f>IF(ISERROR(((AL148/Specs!$L$3)*Specs!$L$2)*2),0,ROUNDUP((((AL148/Specs!$L$3)*Specs!$L$2)*2),0))</f>
        <v>0</v>
      </c>
      <c r="AN148" s="48">
        <f>ROUNDUP(((AJ148+Specs!$R$2+Specs!$S$2+_xlfn.XLOOKUP($L148,Specs!A:A,Specs!V:V,0))*Specs!$N$2)+AM148,0)</f>
        <v>1</v>
      </c>
      <c r="AO148" s="40">
        <f>ROUNDUP(((AJ148+Specs!$R$2+Specs!$S$2+_xlfn.XLOOKUP($L148,Specs!A:A,Specs!V:V,0))*Specs!$N$2),0)</f>
        <v>1</v>
      </c>
      <c r="AP148" s="30"/>
    </row>
    <row r="149" spans="1:42" x14ac:dyDescent="0.25">
      <c r="A149" s="41" t="str">
        <f>_xlfn.CONCAT(_xlfn.XLOOKUP("What's Your Name?",[1]Sheet1!$1:$1,[1]Sheet1!149:149)," | ",TEXT(_xlfn.XLOOKUP("Completion time",[1]Sheet1!$1:$1,[1]Sheet1!149:149),"dddd, mmm dd, yyyy hh:mm AM/PM"))</f>
        <v xml:space="preserve"> | Saturday, Jan 00, 1900 12:00 AM</v>
      </c>
      <c r="B149" s="76">
        <f>_xlfn.XLOOKUP("What's Your Email Address?",[1]Sheet1!$1:$1,[1]Sheet1!149:149)</f>
        <v>0</v>
      </c>
      <c r="C149" s="31">
        <f>IF(ISBLANK(_xlfn.XLOOKUP("Which Flavor? (Pint Price | Quart Price | Half Gallon Price) (NOTE: Prices may fluctuate based on market conditions)",[1]Sheet1!$1:$1,[1]Sheet1!149:149)),_xlfn.XLOOKUP("Name Your Ice Cream!",[1]Sheet1!$1:$1,[1]Sheet1!149:149),IF(ISNUMBER(FIND("(", _xlfn.XLOOKUP("Which Flavor? (Pint Price | Quart Price | Half Gallon Price) (NOTE: Prices may fluctuate based on market conditions)",[1]Sheet1!$1:$1,[1]Sheet1!149:149))), LEFT(_xlfn.XLOOKUP("Which Flavor? (Pint Price | Quart Price | Half Gallon Price) (NOTE: Prices may fluctuate based on market conditions)",[1]Sheet1!$1:$1,[1]Sheet1!149:149), FIND("(", _xlfn.XLOOKUP("Which Flavor? (Pint Price | Quart Price | Half Gallon Price) (NOTE: Prices may fluctuate based on market conditions)",[1]Sheet1!$1:$1,[1]Sheet1!149:149)) - 1), _xlfn.XLOOKUP("Which Flavor? (Pint Price | Quart Price | Half Gallon Price) (NOTE: Prices may fluctuate based on market conditions)",[1]Sheet1!$1:$1,[1]Sheet1!149:149)))</f>
        <v>0</v>
      </c>
      <c r="D149" s="31">
        <f>IF(COUNTIF('Premade Flavors'!$A:$A, $C149) &gt; 0,IF(ISBLANK(_xlfn.XLOOKUP("What Ice Cream Base Do You Want To Change It To?",[1]Sheet1!$1:$1,[1]Sheet1!149:149)),_xlfn.XLOOKUP($C149,'Premade Flavors'!$A:$A,'Premade Flavors'!B:B),_xlfn.XLOOKUP("What Ice Cream Base Do You Want To Change It To?",[1]Sheet1!$1:$1,[1]Sheet1!149:149)),_xlfn.XLOOKUP(_xlfn.XLOOKUP("What Kind Of Ice Cream Base Do You Want? ",[1]Sheet1!$1:$1,[1]Sheet1!149:149),'Milk Types Nutrition Per Cup'!O:O,'Milk Types Nutrition Per Cup'!P:P,""))</f>
        <v>0</v>
      </c>
      <c r="E149" s="31">
        <f>IF(COUNTIF('Premade Flavors'!$A:$A, $C149) &gt; 0,IF(ISBLANK(_xlfn.XLOOKUP("What Ice Cream Base Do You Want To Change It To?",[1]Sheet1!$1:$1,[1]Sheet1!149:149)),_xlfn.XLOOKUP($C149,'Premade Flavors'!$A:$A,'Premade Flavors'!C:C),_xlfn.XLOOKUP("What Ice Cream Base Do You Want To Change It To?",[1]Sheet1!$1:$1,[1]Sheet1!149:149)),_xlfn.XLOOKUP(_xlfn.XLOOKUP("What Kind Of Ice Cream Base Do You Want? ",[1]Sheet1!$1:$1,[1]Sheet1!149:149),'Milk Types Nutrition Per Cup'!$O:$O,'Milk Types Nutrition Per Cup'!$Q:$Q,""))</f>
        <v>0</v>
      </c>
      <c r="F149" s="31">
        <f>IF(COUNTIF('Premade Flavors'!$A:$A, $C149) &gt; 0,_xlfn.XLOOKUP($C149,'Premade Flavors'!$A:$A,'Premade Flavors'!E:E),_xlfn.XLOOKUP("What's The First Flavor You Want? ",[1]Sheet1!$1:$1,[1]Sheet1!149:149))</f>
        <v>0</v>
      </c>
      <c r="G149" s="31">
        <f>IF(COUNTIF('Premade Flavors'!$A:$A, $C149) &gt; 0,_xlfn.XLOOKUP($C149,'Premade Flavors'!$A:$A,'Premade Flavors'!F:F),_xlfn.XLOOKUP("What's the Second Flavor You Want?",[1]Sheet1!$1:$1,[1]Sheet1!149:149))</f>
        <v>0</v>
      </c>
      <c r="H149" s="31">
        <f>IF(COUNTIF('Premade Flavors'!$A:$A, $C149) &gt; 0,_xlfn.XLOOKUP($C149,'Premade Flavors'!$A:$A,'Premade Flavors'!G:G),_xlfn.XLOOKUP("What's The First Mix In That You Want? ",[1]Sheet1!$1:$1,[1]Sheet1!149:149))</f>
        <v>0</v>
      </c>
      <c r="I149" s="31">
        <f>IF(COUNTIF('Premade Flavors'!$A:$A, $C147) &gt; 0,_xlfn.XLOOKUP($C147,'Premade Flavors'!$A:$A,'Premade Flavors'!H:H),IF([2]Sheet1!W147= 0,,[2]Sheet1!W147))</f>
        <v>0</v>
      </c>
      <c r="J149" s="31">
        <f>IF(COUNTIF('Premade Flavors'!$A:$A,$C149)&gt;0,IF(_xlfn.XLOOKUP("Should It Use Sugar or A Non-Sugar Sweetner?",[1]Sheet1!$1:$1,[1]Sheet1!149:149)="Sugar",_xlfn.XLOOKUP($C149,'Premade Flavors'!$A:$A,'Premade Flavors'!I:I),"Stevia"),_xlfn.XLOOKUP("What Sweetner Do You Want?",[1]Sheet1!$1:$1,[1]Sheet1!149:149))</f>
        <v>0</v>
      </c>
      <c r="K149" s="31"/>
      <c r="L149" s="77">
        <f>_xlfn.XLOOKUP("How Much Ice Cream Do You Want?",[1]Sheet1!$1:$1,[1]Sheet1!149:149)</f>
        <v>0</v>
      </c>
      <c r="M149" s="45">
        <f>IF(COUNTIF('Premade Flavors'!$A:$A, $C149) &gt; 0,_xlfn.XLOOKUP($C149,'Premade Flavors'!$A:$A,'Premade Flavors'!M:M),_xlfn.XLOOKUP("How Strong Do You Want The First Flavor?",[1]Sheet1!$1:$1,[1]Sheet1!149:149))</f>
        <v>0</v>
      </c>
      <c r="N149" s="45">
        <f>IF(COUNTIF('Premade Flavors'!$A:$A, $C149) &gt; 0,_xlfn.XLOOKUP($C149,'Premade Flavors'!$A:$A,'Premade Flavors'!N:N),_xlfn.XLOOKUP("How Strong Do You Want The Second Flavor?",[1]Sheet1!$1:$1,[1]Sheet1!149:149))</f>
        <v>0</v>
      </c>
      <c r="O149" s="45">
        <f>IF(COUNTIF('Premade Flavors'!$A:$A, $C149) &gt; 0,_xlfn.XLOOKUP($C149,'Premade Flavors'!$A:$A,'Premade Flavors'!O:O),_xlfn.XLOOKUP("How Dense Should the Mix Ins Be?",[1]Sheet1!$1:$1,[1]Sheet1!149:149))</f>
        <v>0</v>
      </c>
      <c r="P149" s="45">
        <f>IF(COUNTIF('Premade Flavors'!$A:$A, $C149) &gt; 0,_xlfn.XLOOKUP($C149,'Premade Flavors'!$A:$A,'Premade Flavors'!P:P),_xlfn.XLOOKUP("How Much Of The First Sweetner? ",[1]Sheet1!$1:$1,[1]Sheet1!149:149))</f>
        <v>0</v>
      </c>
      <c r="Q149" s="45">
        <f>IF(COUNTIF('Premade Flavors'!$A:$A, $C149) &gt; 0,_xlfn.XLOOKUP($C149,'Premade Flavors'!$A:$A,'Premade Flavors'!Q:Q),[2]Sheet1!S149)</f>
        <v>0</v>
      </c>
      <c r="R149" s="30">
        <f>(_xlfn.XLOOKUP($L149,Specs!A:A,Specs!B:B,0)-(IF(_xlfn.XLOOKUP($F149,'Liquid Mix In Nutrition'!A:A,'Liquid Mix In Nutrition'!J:J,0)="Yes",0,$T149))-(IF(_xlfn.XLOOKUP($G149,'Liquid Mix In Nutrition'!A:A,'Liquid Mix In Nutrition'!J:J,0)="Yes",0,$U149))-(($V149/MAX(1,_xlfn.XLOOKUP($H149,'Solid Mix In Nutrition'!A:A,'Solid Mix In Nutrition'!I:I,1)))*240)-(($W149/MAX(1,_xlfn.XLOOKUP($I149,'Solid Mix In Nutrition'!A:A,'Solid Mix In Nutrition'!I:I,1)))*240))*0.66</f>
        <v>0</v>
      </c>
      <c r="S149" s="30">
        <f>(_xlfn.XLOOKUP($L149,Specs!A:A,Specs!B:B,0)-(IF(_xlfn.XLOOKUP($F149,'Liquid Mix In Nutrition'!A:A,'Liquid Mix In Nutrition'!J:J,0)="Yes",0,$T149))-(IF(_xlfn.XLOOKUP($G149,'Liquid Mix In Nutrition'!A:A,'Liquid Mix In Nutrition'!J:J,0)="Yes",0,$U149))-(($V149/MAX(1,_xlfn.XLOOKUP($H149,'Solid Mix In Nutrition'!A:A,'Solid Mix In Nutrition'!I:I,1)))*240)-(($W149/MAX(1,_xlfn.XLOOKUP($I149,'Solid Mix In Nutrition'!A:A,'Solid Mix In Nutrition'!I:I,1)))*240))*0.33</f>
        <v>0</v>
      </c>
      <c r="T149" s="30">
        <f>_xlfn.XLOOKUP($M149,Specs!$D:$D,Specs!$E:$E,0)*15*_xlfn.XLOOKUP($L149,Specs!$A:$A,Specs!$C:$C,0)</f>
        <v>0</v>
      </c>
      <c r="U149" s="30">
        <f>_xlfn.XLOOKUP($N149,Specs!$D:$D,Specs!$E:$E,0)*15*_xlfn.XLOOKUP($L149,Specs!$A:$A,Specs!$C:$C,0)</f>
        <v>0</v>
      </c>
      <c r="V149" s="30">
        <f>( ((_xlfn.XLOOKUP($O149,Specs!$H:$H,Specs!$I:$I,0)*_xlfn.XLOOKUP($L149,Specs!$A:$A,Specs!$B:$B,0))/240) *_xlfn.XLOOKUP($H149,'Solid Mix In Nutrition'!A:A,'Solid Mix In Nutrition'!I:I,0)) *IF(AND(NOT($I149=0), COUNTA($I149)),0.5,1)</f>
        <v>0</v>
      </c>
      <c r="W149" s="30">
        <f>( ((_xlfn.XLOOKUP($O149,Specs!$H:$H,Specs!$I:$I,0)*_xlfn.XLOOKUP($L149,Specs!$A:$A,Specs!$B:$B,0))/240) *_xlfn.XLOOKUP($I149,'Solid Mix In Nutrition'!A:A,'Solid Mix In Nutrition'!I:I,0)) *IF(AND(NOT($I149=0), COUNTA($I149)),0.5,0)</f>
        <v>0</v>
      </c>
      <c r="X149" s="30">
        <f>_xlfn.XLOOKUP($P149,Specs!F:F,Specs!G:G,0)*_xlfn.XLOOKUP($J149,'Sweetener Mix In Nutrition'!A:A,'Sweetener Mix In Nutrition'!I:I,0)*_xlfn.XLOOKUP($L149,Specs!A:A,Specs!C:C,0)</f>
        <v>0</v>
      </c>
      <c r="Y149" s="30">
        <f>_xlfn.XLOOKUP($Q149,Specs!F:F,Specs!G:G,0)*_xlfn.XLOOKUP($K149,'Sweetener Mix In Nutrition'!A:A,'Sweetener Mix In Nutrition'!I:I,0)*_xlfn.XLOOKUP($L149,Specs!A:A,Specs!C:C,0)</f>
        <v>0</v>
      </c>
      <c r="Z149" s="34">
        <f t="shared" si="4"/>
        <v>0</v>
      </c>
      <c r="AA149" s="35">
        <f t="shared" si="5"/>
        <v>0</v>
      </c>
      <c r="AB149" s="36">
        <f>(($R149 / 240) * _xlfn.XLOOKUP($D149,'Milk Types Nutrition Per Cup'!A:A,'Milk Types Nutrition Per Cup'!B:B,0)) +(($S149 / 240)  * _xlfn.XLOOKUP($E149,'Milk Types Nutrition Per Cup'!A:A,'Milk Types Nutrition Per Cup'!B:B,0)) +(($T149 / 15)  * _xlfn.XLOOKUP($F149,'Liquid Mix In Nutrition'!A:A,'Liquid Mix In Nutrition'!B:B,0))+(($U149 / 15)  * _xlfn.XLOOKUP($G149,'Liquid Mix In Nutrition'!A:A,'Liquid Mix In Nutrition'!B:B,0))+(($V149 /MAX(1, _xlfn.XLOOKUP($H149,'Solid Mix In Nutrition'!A:A,'Solid Mix In Nutrition'!I:I,1)))  * _xlfn.XLOOKUP($H149,'Solid Mix In Nutrition'!A:A,'Solid Mix In Nutrition'!B:B,0))+(($W149 / MAX(1, _xlfn.XLOOKUP($I149,'Solid Mix In Nutrition'!A:A,'Solid Mix In Nutrition'!I:I,1))))+(($X149 / 100)  * _xlfn.XLOOKUP($J149,'Sweetener Mix In Nutrition'!A:A,'Sweetener Mix In Nutrition'!B:B,0))+(($Y149 / 100)  * _xlfn.XLOOKUP($K149,'Sweetener Mix In Nutrition'!A:A,'Sweetener Mix In Nutrition'!B:B,0))</f>
        <v>0</v>
      </c>
      <c r="AC149" s="36">
        <f>(($R149 / 240) * _xlfn.XLOOKUP($D149,'Milk Types Nutrition Per Cup'!A:A,'Milk Types Nutrition Per Cup'!E:E,0)) +(($S149 / 240)  * _xlfn.XLOOKUP($E149,'Milk Types Nutrition Per Cup'!A:A,'Milk Types Nutrition Per Cup'!E:E,0)) +(($T149 / 15)  * _xlfn.XLOOKUP($F149,'Liquid Mix In Nutrition'!A:A,'Liquid Mix In Nutrition'!E:E,0)) +(($U149 / 15)  * _xlfn.XLOOKUP($G149,'Liquid Mix In Nutrition'!A:A,'Liquid Mix In Nutrition'!E:E,0))+(($V149 / MAX(1, _xlfn.XLOOKUP($H149,'Solid Mix In Nutrition'!A:A,'Solid Mix In Nutrition'!I:I,1)))  * _xlfn.XLOOKUP($H149,'Solid Mix In Nutrition'!A:A,'Solid Mix In Nutrition'!E:E,0))+(($W149 / MAX(1, _xlfn.XLOOKUP($I149,'Solid Mix In Nutrition'!A:A,'Solid Mix In Nutrition'!I:I,1)))  * _xlfn.XLOOKUP($I149,'Solid Mix In Nutrition'!A:A,'Solid Mix In Nutrition'!G:G,0))+(($X149 / 100)  * _xlfn.XLOOKUP($J149,'Sweetener Mix In Nutrition'!A:A,'Sweetener Mix In Nutrition'!E:E,0))+(($Y149 / 100)  * _xlfn.XLOOKUP($K149,'Sweetener Mix In Nutrition'!A:A,'Sweetener Mix In Nutrition'!E:E,0))</f>
        <v>0</v>
      </c>
      <c r="AD149" s="36">
        <f>(($R149 / 240) * _xlfn.XLOOKUP($D149,'Milk Types Nutrition Per Cup'!A:A,'Milk Types Nutrition Per Cup'!E:E,0)) +(($S149 / 240)  * _xlfn.XLOOKUP($E149,'Milk Types Nutrition Per Cup'!A:A,'Milk Types Nutrition Per Cup'!E:E,0)) +(($T149 / 15)  * _xlfn.XLOOKUP($F149,'Liquid Mix In Nutrition'!A:A,'Liquid Mix In Nutrition'!E:E,0)) +(($U149 / 15)  * _xlfn.XLOOKUP($G149,'Liquid Mix In Nutrition'!A:A,'Liquid Mix In Nutrition'!E:E,0))+(($X149 / 100)  * _xlfn.XLOOKUP($J149,'Sweetener Mix In Nutrition'!A:A,'Sweetener Mix In Nutrition'!E:E,0))+(($Y149 / 100)  * _xlfn.XLOOKUP($K149,'Sweetener Mix In Nutrition'!A:A,'Sweetener Mix In Nutrition'!E:E,0))</f>
        <v>0</v>
      </c>
      <c r="AE149" s="37">
        <f>(($R149 / 240) * _xlfn.XLOOKUP($D149,'Milk Types Nutrition Per Cup'!A:A,'Milk Types Nutrition Per Cup'!C:C,0)) +(($S149 / 240)  * _xlfn.XLOOKUP($E149,'Milk Types Nutrition Per Cup'!A:A,'Milk Types Nutrition Per Cup'!C:C,0)) +(($T149 / 15)  * _xlfn.XLOOKUP($F149,'Liquid Mix In Nutrition'!A:A,'Liquid Mix In Nutrition'!C:C,0))+(($U149 / 15)  * _xlfn.XLOOKUP($G149,'Liquid Mix In Nutrition'!A:A,'Liquid Mix In Nutrition'!C:C,0))+(($V149 / MAX(1, _xlfn.XLOOKUP($H149,'Solid Mix In Nutrition'!A:A,'Solid Mix In Nutrition'!I:I,1)))  * _xlfn.XLOOKUP($H149,'Solid Mix In Nutrition'!A:A,'Solid Mix In Nutrition'!C:C,0))+(($W149 / MAX(1, _xlfn.XLOOKUP($I149,'Solid Mix In Nutrition'!A:A,'Solid Mix In Nutrition'!I:I,1)))  * _xlfn.XLOOKUP($I149,'Solid Mix In Nutrition'!A:A,'Solid Mix In Nutrition'!C:C,0))+(($X149 / 100)  * _xlfn.XLOOKUP($J149,'Sweetener Mix In Nutrition'!A:A,'Sweetener Mix In Nutrition'!C:C,0))+(($Y149 / 100)  * _xlfn.XLOOKUP($K149,'Sweetener Mix In Nutrition'!A:A,'Sweetener Mix In Nutrition'!C:C,0))</f>
        <v>0</v>
      </c>
      <c r="AF149" s="38" t="e">
        <f>$AE149 / (_xlfn.XLOOKUP($L149,Specs!A:A,Specs!B:B,0))</f>
        <v>#DIV/0!</v>
      </c>
      <c r="AG149" s="37" t="e">
        <f>60* ($AB149 / _xlfn.XLOOKUP($L149,Specs!A:A,Specs!B:B,0))</f>
        <v>#DIV/0!</v>
      </c>
      <c r="AH149" s="37" t="e">
        <f>60* (AC149 / _xlfn.XLOOKUP($L149,Specs!$A:$A,Specs!$B:$B,0))</f>
        <v>#DIV/0!</v>
      </c>
      <c r="AI149" s="37" t="e">
        <f>60* (AE149 / _xlfn.XLOOKUP($L149,Specs!$A:$A,Specs!$B:$B,0))</f>
        <v>#DIV/0!</v>
      </c>
      <c r="AJ149" s="39">
        <f>(($R149 / 240) * _xlfn.XLOOKUP($D149,'Milk Types Nutrition Per Cup'!A:A,'Milk Types Nutrition Per Cup'!F:F,0)) +(($S149 / 240)  * _xlfn.XLOOKUP($E149,'Milk Types Nutrition Per Cup'!A:A,'Milk Types Nutrition Per Cup'!F:F,0)) +(($T149 / 15)  * _xlfn.XLOOKUP($F149,'Liquid Mix In Nutrition'!A:A,'Liquid Mix In Nutrition'!F:F,0))+(($U149 / 15)  * _xlfn.XLOOKUP($G149,'Liquid Mix In Nutrition'!A:A,'Liquid Mix In Nutrition'!F:F,0))+(($V149 / MAX(1, _xlfn.XLOOKUP($H149,'Solid Mix In Nutrition'!A:A,'Solid Mix In Nutrition'!I:I,1)))  * _xlfn.XLOOKUP($H149,'Solid Mix In Nutrition'!A:A,'Solid Mix In Nutrition'!F:F,0))+(($W149 / MAX(1, _xlfn.XLOOKUP($I149,'Solid Mix In Nutrition'!A:A,'Solid Mix In Nutrition'!I:I,1)))  * _xlfn.XLOOKUP($I149,'Solid Mix In Nutrition'!A:A,'Solid Mix In Nutrition'!F:F,0))+(($X149 / 100)  * _xlfn.XLOOKUP($J149,'Sweetener Mix In Nutrition'!A:A,'Sweetener Mix In Nutrition'!F:F,0))+(($Y149 / 100)  * _xlfn.XLOOKUP($K149,'Sweetener Mix In Nutrition'!A:A,'Sweetener Mix In Nutrition'!F:F,0))</f>
        <v>0</v>
      </c>
      <c r="AK149" s="46">
        <f>[2]Sheet1!AG149</f>
        <v>0</v>
      </c>
      <c r="AL149" s="47"/>
      <c r="AM149" s="40">
        <f>IF(ISERROR(((AL149/Specs!$L$3)*Specs!$L$2)*2),0,ROUNDUP((((AL149/Specs!$L$3)*Specs!$L$2)*2),0))</f>
        <v>0</v>
      </c>
      <c r="AN149" s="48">
        <f>ROUNDUP(((AJ149+Specs!$R$2+Specs!$S$2+_xlfn.XLOOKUP($L149,Specs!A:A,Specs!V:V,0))*Specs!$N$2)+AM149,0)</f>
        <v>1</v>
      </c>
      <c r="AO149" s="40">
        <f>ROUNDUP(((AJ149+Specs!$R$2+Specs!$S$2+_xlfn.XLOOKUP($L149,Specs!A:A,Specs!V:V,0))*Specs!$N$2),0)</f>
        <v>1</v>
      </c>
      <c r="AP149" s="30"/>
    </row>
    <row r="150" spans="1:42" x14ac:dyDescent="0.25">
      <c r="A150" s="41" t="str">
        <f>_xlfn.CONCAT(_xlfn.XLOOKUP("What's Your Name?",[1]Sheet1!$1:$1,[1]Sheet1!150:150)," | ",TEXT(_xlfn.XLOOKUP("Completion time",[1]Sheet1!$1:$1,[1]Sheet1!150:150),"dddd, mmm dd, yyyy hh:mm AM/PM"))</f>
        <v xml:space="preserve"> | Saturday, Jan 00, 1900 12:00 AM</v>
      </c>
      <c r="B150" s="76">
        <f>_xlfn.XLOOKUP("What's Your Email Address?",[1]Sheet1!$1:$1,[1]Sheet1!150:150)</f>
        <v>0</v>
      </c>
      <c r="C150" s="31">
        <f>IF(ISBLANK(_xlfn.XLOOKUP("Which Flavor? (Pint Price | Quart Price | Half Gallon Price) (NOTE: Prices may fluctuate based on market conditions)",[1]Sheet1!$1:$1,[1]Sheet1!150:150)),_xlfn.XLOOKUP("Name Your Ice Cream!",[1]Sheet1!$1:$1,[1]Sheet1!150:150),IF(ISNUMBER(FIND("(", _xlfn.XLOOKUP("Which Flavor? (Pint Price | Quart Price | Half Gallon Price) (NOTE: Prices may fluctuate based on market conditions)",[1]Sheet1!$1:$1,[1]Sheet1!150:150))), LEFT(_xlfn.XLOOKUP("Which Flavor? (Pint Price | Quart Price | Half Gallon Price) (NOTE: Prices may fluctuate based on market conditions)",[1]Sheet1!$1:$1,[1]Sheet1!150:150), FIND("(", _xlfn.XLOOKUP("Which Flavor? (Pint Price | Quart Price | Half Gallon Price) (NOTE: Prices may fluctuate based on market conditions)",[1]Sheet1!$1:$1,[1]Sheet1!150:150)) - 1), _xlfn.XLOOKUP("Which Flavor? (Pint Price | Quart Price | Half Gallon Price) (NOTE: Prices may fluctuate based on market conditions)",[1]Sheet1!$1:$1,[1]Sheet1!150:150)))</f>
        <v>0</v>
      </c>
      <c r="D150" s="31">
        <f>IF(COUNTIF('Premade Flavors'!$A:$A, $C150) &gt; 0,IF(ISBLANK(_xlfn.XLOOKUP("What Ice Cream Base Do You Want To Change It To?",[1]Sheet1!$1:$1,[1]Sheet1!150:150)),_xlfn.XLOOKUP($C150,'Premade Flavors'!$A:$A,'Premade Flavors'!B:B),_xlfn.XLOOKUP("What Ice Cream Base Do You Want To Change It To?",[1]Sheet1!$1:$1,[1]Sheet1!150:150)),_xlfn.XLOOKUP(_xlfn.XLOOKUP("What Kind Of Ice Cream Base Do You Want? ",[1]Sheet1!$1:$1,[1]Sheet1!150:150),'Milk Types Nutrition Per Cup'!O:O,'Milk Types Nutrition Per Cup'!P:P,""))</f>
        <v>0</v>
      </c>
      <c r="E150" s="31">
        <f>IF(COUNTIF('Premade Flavors'!$A:$A, $C150) &gt; 0,IF(ISBLANK(_xlfn.XLOOKUP("What Ice Cream Base Do You Want To Change It To?",[1]Sheet1!$1:$1,[1]Sheet1!150:150)),_xlfn.XLOOKUP($C150,'Premade Flavors'!$A:$A,'Premade Flavors'!C:C),_xlfn.XLOOKUP("What Ice Cream Base Do You Want To Change It To?",[1]Sheet1!$1:$1,[1]Sheet1!150:150)),_xlfn.XLOOKUP(_xlfn.XLOOKUP("What Kind Of Ice Cream Base Do You Want? ",[1]Sheet1!$1:$1,[1]Sheet1!150:150),'Milk Types Nutrition Per Cup'!$O:$O,'Milk Types Nutrition Per Cup'!$Q:$Q,""))</f>
        <v>0</v>
      </c>
      <c r="F150" s="31">
        <f>IF(COUNTIF('Premade Flavors'!$A:$A, $C150) &gt; 0,_xlfn.XLOOKUP($C150,'Premade Flavors'!$A:$A,'Premade Flavors'!E:E),_xlfn.XLOOKUP("What's The First Flavor You Want? ",[1]Sheet1!$1:$1,[1]Sheet1!150:150))</f>
        <v>0</v>
      </c>
      <c r="G150" s="31">
        <f>IF(COUNTIF('Premade Flavors'!$A:$A, $C150) &gt; 0,_xlfn.XLOOKUP($C150,'Premade Flavors'!$A:$A,'Premade Flavors'!F:F),_xlfn.XLOOKUP("What's the Second Flavor You Want?",[1]Sheet1!$1:$1,[1]Sheet1!150:150))</f>
        <v>0</v>
      </c>
      <c r="H150" s="31">
        <f>IF(COUNTIF('Premade Flavors'!$A:$A, $C150) &gt; 0,_xlfn.XLOOKUP($C150,'Premade Flavors'!$A:$A,'Premade Flavors'!G:G),_xlfn.XLOOKUP("What's The First Mix In That You Want? ",[1]Sheet1!$1:$1,[1]Sheet1!150:150))</f>
        <v>0</v>
      </c>
      <c r="I150" s="31">
        <f>IF(COUNTIF('Premade Flavors'!$A:$A, $C148) &gt; 0,_xlfn.XLOOKUP($C148,'Premade Flavors'!$A:$A,'Premade Flavors'!H:H),IF([2]Sheet1!W148= 0,,[2]Sheet1!W148))</f>
        <v>0</v>
      </c>
      <c r="J150" s="31">
        <f>IF(COUNTIF('Premade Flavors'!$A:$A,$C150)&gt;0,IF(_xlfn.XLOOKUP("Should It Use Sugar or A Non-Sugar Sweetner?",[1]Sheet1!$1:$1,[1]Sheet1!150:150)="Sugar",_xlfn.XLOOKUP($C150,'Premade Flavors'!$A:$A,'Premade Flavors'!I:I),"Stevia"),_xlfn.XLOOKUP("What Sweetner Do You Want?",[1]Sheet1!$1:$1,[1]Sheet1!150:150))</f>
        <v>0</v>
      </c>
      <c r="K150" s="31"/>
      <c r="L150" s="77">
        <f>_xlfn.XLOOKUP("How Much Ice Cream Do You Want?",[1]Sheet1!$1:$1,[1]Sheet1!150:150)</f>
        <v>0</v>
      </c>
      <c r="M150" s="45">
        <f>IF(COUNTIF('Premade Flavors'!$A:$A, $C150) &gt; 0,_xlfn.XLOOKUP($C150,'Premade Flavors'!$A:$A,'Premade Flavors'!M:M),_xlfn.XLOOKUP("How Strong Do You Want The First Flavor?",[1]Sheet1!$1:$1,[1]Sheet1!150:150))</f>
        <v>0</v>
      </c>
      <c r="N150" s="45">
        <f>IF(COUNTIF('Premade Flavors'!$A:$A, $C150) &gt; 0,_xlfn.XLOOKUP($C150,'Premade Flavors'!$A:$A,'Premade Flavors'!N:N),_xlfn.XLOOKUP("How Strong Do You Want The Second Flavor?",[1]Sheet1!$1:$1,[1]Sheet1!150:150))</f>
        <v>0</v>
      </c>
      <c r="O150" s="45">
        <f>IF(COUNTIF('Premade Flavors'!$A:$A, $C150) &gt; 0,_xlfn.XLOOKUP($C150,'Premade Flavors'!$A:$A,'Premade Flavors'!O:O),_xlfn.XLOOKUP("How Dense Should the Mix Ins Be?",[1]Sheet1!$1:$1,[1]Sheet1!150:150))</f>
        <v>0</v>
      </c>
      <c r="P150" s="45">
        <f>IF(COUNTIF('Premade Flavors'!$A:$A, $C150) &gt; 0,_xlfn.XLOOKUP($C150,'Premade Flavors'!$A:$A,'Premade Flavors'!P:P),_xlfn.XLOOKUP("How Much Of The First Sweetner? ",[1]Sheet1!$1:$1,[1]Sheet1!150:150))</f>
        <v>0</v>
      </c>
      <c r="Q150" s="45">
        <f>IF(COUNTIF('Premade Flavors'!$A:$A, $C150) &gt; 0,_xlfn.XLOOKUP($C150,'Premade Flavors'!$A:$A,'Premade Flavors'!Q:Q),[2]Sheet1!S150)</f>
        <v>0</v>
      </c>
      <c r="R150" s="30">
        <f>(_xlfn.XLOOKUP($L150,Specs!A:A,Specs!B:B,0)-(IF(_xlfn.XLOOKUP($F150,'Liquid Mix In Nutrition'!A:A,'Liquid Mix In Nutrition'!J:J,0)="Yes",0,$T150))-(IF(_xlfn.XLOOKUP($G150,'Liquid Mix In Nutrition'!A:A,'Liquid Mix In Nutrition'!J:J,0)="Yes",0,$U150))-(($V150/MAX(1,_xlfn.XLOOKUP($H150,'Solid Mix In Nutrition'!A:A,'Solid Mix In Nutrition'!I:I,1)))*240)-(($W150/MAX(1,_xlfn.XLOOKUP($I150,'Solid Mix In Nutrition'!A:A,'Solid Mix In Nutrition'!I:I,1)))*240))*0.66</f>
        <v>0</v>
      </c>
      <c r="S150" s="30">
        <f>(_xlfn.XLOOKUP($L150,Specs!A:A,Specs!B:B,0)-(IF(_xlfn.XLOOKUP($F150,'Liquid Mix In Nutrition'!A:A,'Liquid Mix In Nutrition'!J:J,0)="Yes",0,$T150))-(IF(_xlfn.XLOOKUP($G150,'Liquid Mix In Nutrition'!A:A,'Liquid Mix In Nutrition'!J:J,0)="Yes",0,$U150))-(($V150/MAX(1,_xlfn.XLOOKUP($H150,'Solid Mix In Nutrition'!A:A,'Solid Mix In Nutrition'!I:I,1)))*240)-(($W150/MAX(1,_xlfn.XLOOKUP($I150,'Solid Mix In Nutrition'!A:A,'Solid Mix In Nutrition'!I:I,1)))*240))*0.33</f>
        <v>0</v>
      </c>
      <c r="T150" s="30">
        <f>_xlfn.XLOOKUP($M150,Specs!$D:$D,Specs!$E:$E,0)*15*_xlfn.XLOOKUP($L150,Specs!$A:$A,Specs!$C:$C,0)</f>
        <v>0</v>
      </c>
      <c r="U150" s="30">
        <f>_xlfn.XLOOKUP($N150,Specs!$D:$D,Specs!$E:$E,0)*15*_xlfn.XLOOKUP($L150,Specs!$A:$A,Specs!$C:$C,0)</f>
        <v>0</v>
      </c>
      <c r="V150" s="30">
        <f>( ((_xlfn.XLOOKUP($O150,Specs!$H:$H,Specs!$I:$I,0)*_xlfn.XLOOKUP($L150,Specs!$A:$A,Specs!$B:$B,0))/240) *_xlfn.XLOOKUP($H150,'Solid Mix In Nutrition'!A:A,'Solid Mix In Nutrition'!I:I,0)) *IF(AND(NOT($I150=0), COUNTA($I150)),0.5,1)</f>
        <v>0</v>
      </c>
      <c r="W150" s="30">
        <f>( ((_xlfn.XLOOKUP($O150,Specs!$H:$H,Specs!$I:$I,0)*_xlfn.XLOOKUP($L150,Specs!$A:$A,Specs!$B:$B,0))/240) *_xlfn.XLOOKUP($I150,'Solid Mix In Nutrition'!A:A,'Solid Mix In Nutrition'!I:I,0)) *IF(AND(NOT($I150=0), COUNTA($I150)),0.5,0)</f>
        <v>0</v>
      </c>
      <c r="X150" s="30">
        <f>_xlfn.XLOOKUP($P150,Specs!F:F,Specs!G:G,0)*_xlfn.XLOOKUP($J150,'Sweetener Mix In Nutrition'!A:A,'Sweetener Mix In Nutrition'!I:I,0)*_xlfn.XLOOKUP($L150,Specs!A:A,Specs!C:C,0)</f>
        <v>0</v>
      </c>
      <c r="Y150" s="30">
        <f>_xlfn.XLOOKUP($Q150,Specs!F:F,Specs!G:G,0)*_xlfn.XLOOKUP($K150,'Sweetener Mix In Nutrition'!A:A,'Sweetener Mix In Nutrition'!I:I,0)*_xlfn.XLOOKUP($L150,Specs!A:A,Specs!C:C,0)</f>
        <v>0</v>
      </c>
      <c r="Z150" s="34">
        <f t="shared" si="4"/>
        <v>0</v>
      </c>
      <c r="AA150" s="35">
        <f t="shared" si="5"/>
        <v>0</v>
      </c>
      <c r="AB150" s="36">
        <f>(($R150 / 240) * _xlfn.XLOOKUP($D150,'Milk Types Nutrition Per Cup'!A:A,'Milk Types Nutrition Per Cup'!B:B,0)) +(($S150 / 240)  * _xlfn.XLOOKUP($E150,'Milk Types Nutrition Per Cup'!A:A,'Milk Types Nutrition Per Cup'!B:B,0)) +(($T150 / 15)  * _xlfn.XLOOKUP($F150,'Liquid Mix In Nutrition'!A:A,'Liquid Mix In Nutrition'!B:B,0))+(($U150 / 15)  * _xlfn.XLOOKUP($G150,'Liquid Mix In Nutrition'!A:A,'Liquid Mix In Nutrition'!B:B,0))+(($V150 /MAX(1, _xlfn.XLOOKUP($H150,'Solid Mix In Nutrition'!A:A,'Solid Mix In Nutrition'!I:I,1)))  * _xlfn.XLOOKUP($H150,'Solid Mix In Nutrition'!A:A,'Solid Mix In Nutrition'!B:B,0))+(($W150 / MAX(1, _xlfn.XLOOKUP($I150,'Solid Mix In Nutrition'!A:A,'Solid Mix In Nutrition'!I:I,1))))+(($X150 / 100)  * _xlfn.XLOOKUP($J150,'Sweetener Mix In Nutrition'!A:A,'Sweetener Mix In Nutrition'!B:B,0))+(($Y150 / 100)  * _xlfn.XLOOKUP($K150,'Sweetener Mix In Nutrition'!A:A,'Sweetener Mix In Nutrition'!B:B,0))</f>
        <v>0</v>
      </c>
      <c r="AC150" s="36">
        <f>(($R150 / 240) * _xlfn.XLOOKUP($D150,'Milk Types Nutrition Per Cup'!A:A,'Milk Types Nutrition Per Cup'!E:E,0)) +(($S150 / 240)  * _xlfn.XLOOKUP($E150,'Milk Types Nutrition Per Cup'!A:A,'Milk Types Nutrition Per Cup'!E:E,0)) +(($T150 / 15)  * _xlfn.XLOOKUP($F150,'Liquid Mix In Nutrition'!A:A,'Liquid Mix In Nutrition'!E:E,0)) +(($U150 / 15)  * _xlfn.XLOOKUP($G150,'Liquid Mix In Nutrition'!A:A,'Liquid Mix In Nutrition'!E:E,0))+(($V150 / MAX(1, _xlfn.XLOOKUP($H150,'Solid Mix In Nutrition'!A:A,'Solid Mix In Nutrition'!I:I,1)))  * _xlfn.XLOOKUP($H150,'Solid Mix In Nutrition'!A:A,'Solid Mix In Nutrition'!E:E,0))+(($W150 / MAX(1, _xlfn.XLOOKUP($I150,'Solid Mix In Nutrition'!A:A,'Solid Mix In Nutrition'!I:I,1)))  * _xlfn.XLOOKUP($I150,'Solid Mix In Nutrition'!A:A,'Solid Mix In Nutrition'!G:G,0))+(($X150 / 100)  * _xlfn.XLOOKUP($J150,'Sweetener Mix In Nutrition'!A:A,'Sweetener Mix In Nutrition'!E:E,0))+(($Y150 / 100)  * _xlfn.XLOOKUP($K150,'Sweetener Mix In Nutrition'!A:A,'Sweetener Mix In Nutrition'!E:E,0))</f>
        <v>0</v>
      </c>
      <c r="AD150" s="36">
        <f>(($R150 / 240) * _xlfn.XLOOKUP($D150,'Milk Types Nutrition Per Cup'!A:A,'Milk Types Nutrition Per Cup'!E:E,0)) +(($S150 / 240)  * _xlfn.XLOOKUP($E150,'Milk Types Nutrition Per Cup'!A:A,'Milk Types Nutrition Per Cup'!E:E,0)) +(($T150 / 15)  * _xlfn.XLOOKUP($F150,'Liquid Mix In Nutrition'!A:A,'Liquid Mix In Nutrition'!E:E,0)) +(($U150 / 15)  * _xlfn.XLOOKUP($G150,'Liquid Mix In Nutrition'!A:A,'Liquid Mix In Nutrition'!E:E,0))+(($X150 / 100)  * _xlfn.XLOOKUP($J150,'Sweetener Mix In Nutrition'!A:A,'Sweetener Mix In Nutrition'!E:E,0))+(($Y150 / 100)  * _xlfn.XLOOKUP($K150,'Sweetener Mix In Nutrition'!A:A,'Sweetener Mix In Nutrition'!E:E,0))</f>
        <v>0</v>
      </c>
      <c r="AE150" s="37">
        <f>(($R150 / 240) * _xlfn.XLOOKUP($D150,'Milk Types Nutrition Per Cup'!A:A,'Milk Types Nutrition Per Cup'!C:C,0)) +(($S150 / 240)  * _xlfn.XLOOKUP($E150,'Milk Types Nutrition Per Cup'!A:A,'Milk Types Nutrition Per Cup'!C:C,0)) +(($T150 / 15)  * _xlfn.XLOOKUP($F150,'Liquid Mix In Nutrition'!A:A,'Liquid Mix In Nutrition'!C:C,0))+(($U150 / 15)  * _xlfn.XLOOKUP($G150,'Liquid Mix In Nutrition'!A:A,'Liquid Mix In Nutrition'!C:C,0))+(($V150 / MAX(1, _xlfn.XLOOKUP($H150,'Solid Mix In Nutrition'!A:A,'Solid Mix In Nutrition'!I:I,1)))  * _xlfn.XLOOKUP($H150,'Solid Mix In Nutrition'!A:A,'Solid Mix In Nutrition'!C:C,0))+(($W150 / MAX(1, _xlfn.XLOOKUP($I150,'Solid Mix In Nutrition'!A:A,'Solid Mix In Nutrition'!I:I,1)))  * _xlfn.XLOOKUP($I150,'Solid Mix In Nutrition'!A:A,'Solid Mix In Nutrition'!C:C,0))+(($X150 / 100)  * _xlfn.XLOOKUP($J150,'Sweetener Mix In Nutrition'!A:A,'Sweetener Mix In Nutrition'!C:C,0))+(($Y150 / 100)  * _xlfn.XLOOKUP($K150,'Sweetener Mix In Nutrition'!A:A,'Sweetener Mix In Nutrition'!C:C,0))</f>
        <v>0</v>
      </c>
      <c r="AF150" s="38" t="e">
        <f>$AE150 / (_xlfn.XLOOKUP($L150,Specs!A:A,Specs!B:B,0))</f>
        <v>#DIV/0!</v>
      </c>
      <c r="AG150" s="37" t="e">
        <f>60* ($AB150 / _xlfn.XLOOKUP($L150,Specs!A:A,Specs!B:B,0))</f>
        <v>#DIV/0!</v>
      </c>
      <c r="AH150" s="37" t="e">
        <f>60* (AC150 / _xlfn.XLOOKUP($L150,Specs!$A:$A,Specs!$B:$B,0))</f>
        <v>#DIV/0!</v>
      </c>
      <c r="AI150" s="37" t="e">
        <f>60* (AE150 / _xlfn.XLOOKUP($L150,Specs!$A:$A,Specs!$B:$B,0))</f>
        <v>#DIV/0!</v>
      </c>
      <c r="AJ150" s="39">
        <f>(($R150 / 240) * _xlfn.XLOOKUP($D150,'Milk Types Nutrition Per Cup'!A:A,'Milk Types Nutrition Per Cup'!F:F,0)) +(($S150 / 240)  * _xlfn.XLOOKUP($E150,'Milk Types Nutrition Per Cup'!A:A,'Milk Types Nutrition Per Cup'!F:F,0)) +(($T150 / 15)  * _xlfn.XLOOKUP($F150,'Liquid Mix In Nutrition'!A:A,'Liquid Mix In Nutrition'!F:F,0))+(($U150 / 15)  * _xlfn.XLOOKUP($G150,'Liquid Mix In Nutrition'!A:A,'Liquid Mix In Nutrition'!F:F,0))+(($V150 / MAX(1, _xlfn.XLOOKUP($H150,'Solid Mix In Nutrition'!A:A,'Solid Mix In Nutrition'!I:I,1)))  * _xlfn.XLOOKUP($H150,'Solid Mix In Nutrition'!A:A,'Solid Mix In Nutrition'!F:F,0))+(($W150 / MAX(1, _xlfn.XLOOKUP($I150,'Solid Mix In Nutrition'!A:A,'Solid Mix In Nutrition'!I:I,1)))  * _xlfn.XLOOKUP($I150,'Solid Mix In Nutrition'!A:A,'Solid Mix In Nutrition'!F:F,0))+(($X150 / 100)  * _xlfn.XLOOKUP($J150,'Sweetener Mix In Nutrition'!A:A,'Sweetener Mix In Nutrition'!F:F,0))+(($Y150 / 100)  * _xlfn.XLOOKUP($K150,'Sweetener Mix In Nutrition'!A:A,'Sweetener Mix In Nutrition'!F:F,0))</f>
        <v>0</v>
      </c>
      <c r="AK150" s="46">
        <f>[2]Sheet1!AG150</f>
        <v>0</v>
      </c>
      <c r="AL150" s="47"/>
      <c r="AM150" s="40">
        <f>IF(ISERROR(((AL150/Specs!$L$3)*Specs!$L$2)*2),0,ROUNDUP((((AL150/Specs!$L$3)*Specs!$L$2)*2),0))</f>
        <v>0</v>
      </c>
      <c r="AN150" s="48">
        <f>ROUNDUP(((AJ150+Specs!$R$2+Specs!$S$2+_xlfn.XLOOKUP($L150,Specs!A:A,Specs!V:V,0))*Specs!$N$2)+AM150,0)</f>
        <v>1</v>
      </c>
      <c r="AO150" s="40">
        <f>ROUNDUP(((AJ150+Specs!$R$2+Specs!$S$2+_xlfn.XLOOKUP($L150,Specs!A:A,Specs!V:V,0))*Specs!$N$2),0)</f>
        <v>1</v>
      </c>
      <c r="AP150" s="30"/>
    </row>
    <row r="151" spans="1:42" x14ac:dyDescent="0.25">
      <c r="A151" s="41" t="str">
        <f>_xlfn.CONCAT(_xlfn.XLOOKUP("What's Your Name?",[1]Sheet1!$1:$1,[1]Sheet1!151:151)," | ",TEXT(_xlfn.XLOOKUP("Completion time",[1]Sheet1!$1:$1,[1]Sheet1!151:151),"dddd, mmm dd, yyyy hh:mm AM/PM"))</f>
        <v xml:space="preserve"> | Saturday, Jan 00, 1900 12:00 AM</v>
      </c>
      <c r="B151" s="76">
        <f>_xlfn.XLOOKUP("What's Your Email Address?",[1]Sheet1!$1:$1,[1]Sheet1!151:151)</f>
        <v>0</v>
      </c>
      <c r="C151" s="31">
        <f>IF(ISBLANK(_xlfn.XLOOKUP("Which Flavor? (Pint Price | Quart Price | Half Gallon Price) (NOTE: Prices may fluctuate based on market conditions)",[1]Sheet1!$1:$1,[1]Sheet1!151:151)),_xlfn.XLOOKUP("Name Your Ice Cream!",[1]Sheet1!$1:$1,[1]Sheet1!151:151),IF(ISNUMBER(FIND("(", _xlfn.XLOOKUP("Which Flavor? (Pint Price | Quart Price | Half Gallon Price) (NOTE: Prices may fluctuate based on market conditions)",[1]Sheet1!$1:$1,[1]Sheet1!151:151))), LEFT(_xlfn.XLOOKUP("Which Flavor? (Pint Price | Quart Price | Half Gallon Price) (NOTE: Prices may fluctuate based on market conditions)",[1]Sheet1!$1:$1,[1]Sheet1!151:151), FIND("(", _xlfn.XLOOKUP("Which Flavor? (Pint Price | Quart Price | Half Gallon Price) (NOTE: Prices may fluctuate based on market conditions)",[1]Sheet1!$1:$1,[1]Sheet1!151:151)) - 1), _xlfn.XLOOKUP("Which Flavor? (Pint Price | Quart Price | Half Gallon Price) (NOTE: Prices may fluctuate based on market conditions)",[1]Sheet1!$1:$1,[1]Sheet1!151:151)))</f>
        <v>0</v>
      </c>
      <c r="D151" s="31">
        <f>IF(COUNTIF('Premade Flavors'!$A:$A, $C151) &gt; 0,IF(ISBLANK(_xlfn.XLOOKUP("What Ice Cream Base Do You Want To Change It To?",[1]Sheet1!$1:$1,[1]Sheet1!151:151)),_xlfn.XLOOKUP($C151,'Premade Flavors'!$A:$A,'Premade Flavors'!B:B),_xlfn.XLOOKUP("What Ice Cream Base Do You Want To Change It To?",[1]Sheet1!$1:$1,[1]Sheet1!151:151)),_xlfn.XLOOKUP(_xlfn.XLOOKUP("What Kind Of Ice Cream Base Do You Want? ",[1]Sheet1!$1:$1,[1]Sheet1!151:151),'Milk Types Nutrition Per Cup'!O:O,'Milk Types Nutrition Per Cup'!P:P,""))</f>
        <v>0</v>
      </c>
      <c r="E151" s="31">
        <f>IF(COUNTIF('Premade Flavors'!$A:$A, $C151) &gt; 0,IF(ISBLANK(_xlfn.XLOOKUP("What Ice Cream Base Do You Want To Change It To?",[1]Sheet1!$1:$1,[1]Sheet1!151:151)),_xlfn.XLOOKUP($C151,'Premade Flavors'!$A:$A,'Premade Flavors'!C:C),_xlfn.XLOOKUP("What Ice Cream Base Do You Want To Change It To?",[1]Sheet1!$1:$1,[1]Sheet1!151:151)),_xlfn.XLOOKUP(_xlfn.XLOOKUP("What Kind Of Ice Cream Base Do You Want? ",[1]Sheet1!$1:$1,[1]Sheet1!151:151),'Milk Types Nutrition Per Cup'!$O:$O,'Milk Types Nutrition Per Cup'!$Q:$Q,""))</f>
        <v>0</v>
      </c>
      <c r="F151" s="31">
        <f>IF(COUNTIF('Premade Flavors'!$A:$A, $C151) &gt; 0,_xlfn.XLOOKUP($C151,'Premade Flavors'!$A:$A,'Premade Flavors'!E:E),_xlfn.XLOOKUP("What's The First Flavor You Want? ",[1]Sheet1!$1:$1,[1]Sheet1!151:151))</f>
        <v>0</v>
      </c>
      <c r="G151" s="31">
        <f>IF(COUNTIF('Premade Flavors'!$A:$A, $C151) &gt; 0,_xlfn.XLOOKUP($C151,'Premade Flavors'!$A:$A,'Premade Flavors'!F:F),_xlfn.XLOOKUP("What's the Second Flavor You Want?",[1]Sheet1!$1:$1,[1]Sheet1!151:151))</f>
        <v>0</v>
      </c>
      <c r="H151" s="31">
        <f>IF(COUNTIF('Premade Flavors'!$A:$A, $C151) &gt; 0,_xlfn.XLOOKUP($C151,'Premade Flavors'!$A:$A,'Premade Flavors'!G:G),_xlfn.XLOOKUP("What's The First Mix In That You Want? ",[1]Sheet1!$1:$1,[1]Sheet1!151:151))</f>
        <v>0</v>
      </c>
      <c r="I151" s="31">
        <f>IF(COUNTIF('Premade Flavors'!$A:$A, $C149) &gt; 0,_xlfn.XLOOKUP($C149,'Premade Flavors'!$A:$A,'Premade Flavors'!H:H),IF([2]Sheet1!W149= 0,,[2]Sheet1!W149))</f>
        <v>0</v>
      </c>
      <c r="J151" s="31">
        <f>IF(COUNTIF('Premade Flavors'!$A:$A,$C151)&gt;0,IF(_xlfn.XLOOKUP("Should It Use Sugar or A Non-Sugar Sweetner?",[1]Sheet1!$1:$1,[1]Sheet1!151:151)="Sugar",_xlfn.XLOOKUP($C151,'Premade Flavors'!$A:$A,'Premade Flavors'!I:I),"Stevia"),_xlfn.XLOOKUP("What Sweetner Do You Want?",[1]Sheet1!$1:$1,[1]Sheet1!151:151))</f>
        <v>0</v>
      </c>
      <c r="K151" s="31"/>
      <c r="L151" s="77">
        <f>_xlfn.XLOOKUP("How Much Ice Cream Do You Want?",[1]Sheet1!$1:$1,[1]Sheet1!151:151)</f>
        <v>0</v>
      </c>
      <c r="M151" s="45">
        <f>IF(COUNTIF('Premade Flavors'!$A:$A, $C151) &gt; 0,_xlfn.XLOOKUP($C151,'Premade Flavors'!$A:$A,'Premade Flavors'!M:M),_xlfn.XLOOKUP("How Strong Do You Want The First Flavor?",[1]Sheet1!$1:$1,[1]Sheet1!151:151))</f>
        <v>0</v>
      </c>
      <c r="N151" s="45">
        <f>IF(COUNTIF('Premade Flavors'!$A:$A, $C151) &gt; 0,_xlfn.XLOOKUP($C151,'Premade Flavors'!$A:$A,'Premade Flavors'!N:N),_xlfn.XLOOKUP("How Strong Do You Want The Second Flavor?",[1]Sheet1!$1:$1,[1]Sheet1!151:151))</f>
        <v>0</v>
      </c>
      <c r="O151" s="45">
        <f>IF(COUNTIF('Premade Flavors'!$A:$A, $C151) &gt; 0,_xlfn.XLOOKUP($C151,'Premade Flavors'!$A:$A,'Premade Flavors'!O:O),_xlfn.XLOOKUP("How Dense Should the Mix Ins Be?",[1]Sheet1!$1:$1,[1]Sheet1!151:151))</f>
        <v>0</v>
      </c>
      <c r="P151" s="45">
        <f>IF(COUNTIF('Premade Flavors'!$A:$A, $C151) &gt; 0,_xlfn.XLOOKUP($C151,'Premade Flavors'!$A:$A,'Premade Flavors'!P:P),_xlfn.XLOOKUP("How Much Of The First Sweetner? ",[1]Sheet1!$1:$1,[1]Sheet1!151:151))</f>
        <v>0</v>
      </c>
      <c r="Q151" s="45">
        <f>IF(COUNTIF('Premade Flavors'!$A:$A, $C151) &gt; 0,_xlfn.XLOOKUP($C151,'Premade Flavors'!$A:$A,'Premade Flavors'!Q:Q),[2]Sheet1!S151)</f>
        <v>0</v>
      </c>
      <c r="R151" s="30">
        <f>(_xlfn.XLOOKUP($L151,Specs!A:A,Specs!B:B,0)-(IF(_xlfn.XLOOKUP($F151,'Liquid Mix In Nutrition'!A:A,'Liquid Mix In Nutrition'!J:J,0)="Yes",0,$T151))-(IF(_xlfn.XLOOKUP($G151,'Liquid Mix In Nutrition'!A:A,'Liquid Mix In Nutrition'!J:J,0)="Yes",0,$U151))-(($V151/MAX(1,_xlfn.XLOOKUP($H151,'Solid Mix In Nutrition'!A:A,'Solid Mix In Nutrition'!I:I,1)))*240)-(($W151/MAX(1,_xlfn.XLOOKUP($I151,'Solid Mix In Nutrition'!A:A,'Solid Mix In Nutrition'!I:I,1)))*240))*0.66</f>
        <v>0</v>
      </c>
      <c r="S151" s="30">
        <f>(_xlfn.XLOOKUP($L151,Specs!A:A,Specs!B:B,0)-(IF(_xlfn.XLOOKUP($F151,'Liquid Mix In Nutrition'!A:A,'Liquid Mix In Nutrition'!J:J,0)="Yes",0,$T151))-(IF(_xlfn.XLOOKUP($G151,'Liquid Mix In Nutrition'!A:A,'Liquid Mix In Nutrition'!J:J,0)="Yes",0,$U151))-(($V151/MAX(1,_xlfn.XLOOKUP($H151,'Solid Mix In Nutrition'!A:A,'Solid Mix In Nutrition'!I:I,1)))*240)-(($W151/MAX(1,_xlfn.XLOOKUP($I151,'Solid Mix In Nutrition'!A:A,'Solid Mix In Nutrition'!I:I,1)))*240))*0.33</f>
        <v>0</v>
      </c>
      <c r="T151" s="30">
        <f>_xlfn.XLOOKUP($M151,Specs!$D:$D,Specs!$E:$E,0)*15*_xlfn.XLOOKUP($L151,Specs!$A:$A,Specs!$C:$C,0)</f>
        <v>0</v>
      </c>
      <c r="U151" s="30">
        <f>_xlfn.XLOOKUP($N151,Specs!$D:$D,Specs!$E:$E,0)*15*_xlfn.XLOOKUP($L151,Specs!$A:$A,Specs!$C:$C,0)</f>
        <v>0</v>
      </c>
      <c r="V151" s="30">
        <f>( ((_xlfn.XLOOKUP($O151,Specs!$H:$H,Specs!$I:$I,0)*_xlfn.XLOOKUP($L151,Specs!$A:$A,Specs!$B:$B,0))/240) *_xlfn.XLOOKUP($H151,'Solid Mix In Nutrition'!A:A,'Solid Mix In Nutrition'!I:I,0)) *IF(AND(NOT($I151=0), COUNTA($I151)),0.5,1)</f>
        <v>0</v>
      </c>
      <c r="W151" s="30">
        <f>( ((_xlfn.XLOOKUP($O151,Specs!$H:$H,Specs!$I:$I,0)*_xlfn.XLOOKUP($L151,Specs!$A:$A,Specs!$B:$B,0))/240) *_xlfn.XLOOKUP($I151,'Solid Mix In Nutrition'!A:A,'Solid Mix In Nutrition'!I:I,0)) *IF(AND(NOT($I151=0), COUNTA($I151)),0.5,0)</f>
        <v>0</v>
      </c>
      <c r="X151" s="30">
        <f>_xlfn.XLOOKUP($P151,Specs!F:F,Specs!G:G,0)*_xlfn.XLOOKUP($J151,'Sweetener Mix In Nutrition'!A:A,'Sweetener Mix In Nutrition'!I:I,0)*_xlfn.XLOOKUP($L151,Specs!A:A,Specs!C:C,0)</f>
        <v>0</v>
      </c>
      <c r="Y151" s="30">
        <f>_xlfn.XLOOKUP($Q151,Specs!F:F,Specs!G:G,0)*_xlfn.XLOOKUP($K151,'Sweetener Mix In Nutrition'!A:A,'Sweetener Mix In Nutrition'!I:I,0)*_xlfn.XLOOKUP($L151,Specs!A:A,Specs!C:C,0)</f>
        <v>0</v>
      </c>
      <c r="Z151" s="34">
        <f t="shared" si="4"/>
        <v>0</v>
      </c>
      <c r="AA151" s="35">
        <f t="shared" si="5"/>
        <v>0</v>
      </c>
      <c r="AB151" s="36">
        <f>(($R151 / 240) * _xlfn.XLOOKUP($D151,'Milk Types Nutrition Per Cup'!A:A,'Milk Types Nutrition Per Cup'!B:B,0)) +(($S151 / 240)  * _xlfn.XLOOKUP($E151,'Milk Types Nutrition Per Cup'!A:A,'Milk Types Nutrition Per Cup'!B:B,0)) +(($T151 / 15)  * _xlfn.XLOOKUP($F151,'Liquid Mix In Nutrition'!A:A,'Liquid Mix In Nutrition'!B:B,0))+(($U151 / 15)  * _xlfn.XLOOKUP($G151,'Liquid Mix In Nutrition'!A:A,'Liquid Mix In Nutrition'!B:B,0))+(($V151 /MAX(1, _xlfn.XLOOKUP($H151,'Solid Mix In Nutrition'!A:A,'Solid Mix In Nutrition'!I:I,1)))  * _xlfn.XLOOKUP($H151,'Solid Mix In Nutrition'!A:A,'Solid Mix In Nutrition'!B:B,0))+(($W151 / MAX(1, _xlfn.XLOOKUP($I151,'Solid Mix In Nutrition'!A:A,'Solid Mix In Nutrition'!I:I,1))))+(($X151 / 100)  * _xlfn.XLOOKUP($J151,'Sweetener Mix In Nutrition'!A:A,'Sweetener Mix In Nutrition'!B:B,0))+(($Y151 / 100)  * _xlfn.XLOOKUP($K151,'Sweetener Mix In Nutrition'!A:A,'Sweetener Mix In Nutrition'!B:B,0))</f>
        <v>0</v>
      </c>
      <c r="AC151" s="36">
        <f>(($R151 / 240) * _xlfn.XLOOKUP($D151,'Milk Types Nutrition Per Cup'!A:A,'Milk Types Nutrition Per Cup'!E:E,0)) +(($S151 / 240)  * _xlfn.XLOOKUP($E151,'Milk Types Nutrition Per Cup'!A:A,'Milk Types Nutrition Per Cup'!E:E,0)) +(($T151 / 15)  * _xlfn.XLOOKUP($F151,'Liquid Mix In Nutrition'!A:A,'Liquid Mix In Nutrition'!E:E,0)) +(($U151 / 15)  * _xlfn.XLOOKUP($G151,'Liquid Mix In Nutrition'!A:A,'Liquid Mix In Nutrition'!E:E,0))+(($V151 / MAX(1, _xlfn.XLOOKUP($H151,'Solid Mix In Nutrition'!A:A,'Solid Mix In Nutrition'!I:I,1)))  * _xlfn.XLOOKUP($H151,'Solid Mix In Nutrition'!A:A,'Solid Mix In Nutrition'!E:E,0))+(($W151 / MAX(1, _xlfn.XLOOKUP($I151,'Solid Mix In Nutrition'!A:A,'Solid Mix In Nutrition'!I:I,1)))  * _xlfn.XLOOKUP($I151,'Solid Mix In Nutrition'!A:A,'Solid Mix In Nutrition'!G:G,0))+(($X151 / 100)  * _xlfn.XLOOKUP($J151,'Sweetener Mix In Nutrition'!A:A,'Sweetener Mix In Nutrition'!E:E,0))+(($Y151 / 100)  * _xlfn.XLOOKUP($K151,'Sweetener Mix In Nutrition'!A:A,'Sweetener Mix In Nutrition'!E:E,0))</f>
        <v>0</v>
      </c>
      <c r="AD151" s="36">
        <f>(($R151 / 240) * _xlfn.XLOOKUP($D151,'Milk Types Nutrition Per Cup'!A:A,'Milk Types Nutrition Per Cup'!E:E,0)) +(($S151 / 240)  * _xlfn.XLOOKUP($E151,'Milk Types Nutrition Per Cup'!A:A,'Milk Types Nutrition Per Cup'!E:E,0)) +(($T151 / 15)  * _xlfn.XLOOKUP($F151,'Liquid Mix In Nutrition'!A:A,'Liquid Mix In Nutrition'!E:E,0)) +(($U151 / 15)  * _xlfn.XLOOKUP($G151,'Liquid Mix In Nutrition'!A:A,'Liquid Mix In Nutrition'!E:E,0))+(($X151 / 100)  * _xlfn.XLOOKUP($J151,'Sweetener Mix In Nutrition'!A:A,'Sweetener Mix In Nutrition'!E:E,0))+(($Y151 / 100)  * _xlfn.XLOOKUP($K151,'Sweetener Mix In Nutrition'!A:A,'Sweetener Mix In Nutrition'!E:E,0))</f>
        <v>0</v>
      </c>
      <c r="AE151" s="37">
        <f>(($R151 / 240) * _xlfn.XLOOKUP($D151,'Milk Types Nutrition Per Cup'!A:A,'Milk Types Nutrition Per Cup'!C:C,0)) +(($S151 / 240)  * _xlfn.XLOOKUP($E151,'Milk Types Nutrition Per Cup'!A:A,'Milk Types Nutrition Per Cup'!C:C,0)) +(($T151 / 15)  * _xlfn.XLOOKUP($F151,'Liquid Mix In Nutrition'!A:A,'Liquid Mix In Nutrition'!C:C,0))+(($U151 / 15)  * _xlfn.XLOOKUP($G151,'Liquid Mix In Nutrition'!A:A,'Liquid Mix In Nutrition'!C:C,0))+(($V151 / MAX(1, _xlfn.XLOOKUP($H151,'Solid Mix In Nutrition'!A:A,'Solid Mix In Nutrition'!I:I,1)))  * _xlfn.XLOOKUP($H151,'Solid Mix In Nutrition'!A:A,'Solid Mix In Nutrition'!C:C,0))+(($W151 / MAX(1, _xlfn.XLOOKUP($I151,'Solid Mix In Nutrition'!A:A,'Solid Mix In Nutrition'!I:I,1)))  * _xlfn.XLOOKUP($I151,'Solid Mix In Nutrition'!A:A,'Solid Mix In Nutrition'!C:C,0))+(($X151 / 100)  * _xlfn.XLOOKUP($J151,'Sweetener Mix In Nutrition'!A:A,'Sweetener Mix In Nutrition'!C:C,0))+(($Y151 / 100)  * _xlfn.XLOOKUP($K151,'Sweetener Mix In Nutrition'!A:A,'Sweetener Mix In Nutrition'!C:C,0))</f>
        <v>0</v>
      </c>
      <c r="AF151" s="38" t="e">
        <f>$AE151 / (_xlfn.XLOOKUP($L151,Specs!A:A,Specs!B:B,0))</f>
        <v>#DIV/0!</v>
      </c>
      <c r="AG151" s="37" t="e">
        <f>60* ($AB151 / _xlfn.XLOOKUP($L151,Specs!A:A,Specs!B:B,0))</f>
        <v>#DIV/0!</v>
      </c>
      <c r="AH151" s="37" t="e">
        <f>60* (AC151 / _xlfn.XLOOKUP($L151,Specs!$A:$A,Specs!$B:$B,0))</f>
        <v>#DIV/0!</v>
      </c>
      <c r="AI151" s="37" t="e">
        <f>60* (AE151 / _xlfn.XLOOKUP($L151,Specs!$A:$A,Specs!$B:$B,0))</f>
        <v>#DIV/0!</v>
      </c>
      <c r="AJ151" s="39">
        <f>(($R151 / 240) * _xlfn.XLOOKUP($D151,'Milk Types Nutrition Per Cup'!A:A,'Milk Types Nutrition Per Cup'!F:F,0)) +(($S151 / 240)  * _xlfn.XLOOKUP($E151,'Milk Types Nutrition Per Cup'!A:A,'Milk Types Nutrition Per Cup'!F:F,0)) +(($T151 / 15)  * _xlfn.XLOOKUP($F151,'Liquid Mix In Nutrition'!A:A,'Liquid Mix In Nutrition'!F:F,0))+(($U151 / 15)  * _xlfn.XLOOKUP($G151,'Liquid Mix In Nutrition'!A:A,'Liquid Mix In Nutrition'!F:F,0))+(($V151 / MAX(1, _xlfn.XLOOKUP($H151,'Solid Mix In Nutrition'!A:A,'Solid Mix In Nutrition'!I:I,1)))  * _xlfn.XLOOKUP($H151,'Solid Mix In Nutrition'!A:A,'Solid Mix In Nutrition'!F:F,0))+(($W151 / MAX(1, _xlfn.XLOOKUP($I151,'Solid Mix In Nutrition'!A:A,'Solid Mix In Nutrition'!I:I,1)))  * _xlfn.XLOOKUP($I151,'Solid Mix In Nutrition'!A:A,'Solid Mix In Nutrition'!F:F,0))+(($X151 / 100)  * _xlfn.XLOOKUP($J151,'Sweetener Mix In Nutrition'!A:A,'Sweetener Mix In Nutrition'!F:F,0))+(($Y151 / 100)  * _xlfn.XLOOKUP($K151,'Sweetener Mix In Nutrition'!A:A,'Sweetener Mix In Nutrition'!F:F,0))</f>
        <v>0</v>
      </c>
      <c r="AK151" s="46">
        <f>[2]Sheet1!AG151</f>
        <v>0</v>
      </c>
      <c r="AL151" s="47"/>
      <c r="AM151" s="40">
        <f>IF(ISERROR(((AL151/Specs!$L$3)*Specs!$L$2)*2),0,ROUNDUP((((AL151/Specs!$L$3)*Specs!$L$2)*2),0))</f>
        <v>0</v>
      </c>
      <c r="AN151" s="48">
        <f>ROUNDUP(((AJ151+Specs!$R$2+Specs!$S$2+_xlfn.XLOOKUP($L151,Specs!A:A,Specs!V:V,0))*Specs!$N$2)+AM151,0)</f>
        <v>1</v>
      </c>
      <c r="AO151" s="40">
        <f>ROUNDUP(((AJ151+Specs!$R$2+Specs!$S$2+_xlfn.XLOOKUP($L151,Specs!A:A,Specs!V:V,0))*Specs!$N$2),0)</f>
        <v>1</v>
      </c>
      <c r="AP151" s="30"/>
    </row>
    <row r="152" spans="1:42" x14ac:dyDescent="0.25">
      <c r="A152" s="41" t="str">
        <f>_xlfn.CONCAT(_xlfn.XLOOKUP("What's Your Name?",[1]Sheet1!$1:$1,[1]Sheet1!152:152)," | ",TEXT(_xlfn.XLOOKUP("Completion time",[1]Sheet1!$1:$1,[1]Sheet1!152:152),"dddd, mmm dd, yyyy hh:mm AM/PM"))</f>
        <v xml:space="preserve"> | Saturday, Jan 00, 1900 12:00 AM</v>
      </c>
      <c r="B152" s="76">
        <f>_xlfn.XLOOKUP("What's Your Email Address?",[1]Sheet1!$1:$1,[1]Sheet1!152:152)</f>
        <v>0</v>
      </c>
      <c r="C152" s="31">
        <f>IF(ISBLANK(_xlfn.XLOOKUP("Which Flavor? (Pint Price | Quart Price | Half Gallon Price) (NOTE: Prices may fluctuate based on market conditions)",[1]Sheet1!$1:$1,[1]Sheet1!152:152)),_xlfn.XLOOKUP("Name Your Ice Cream!",[1]Sheet1!$1:$1,[1]Sheet1!152:152),IF(ISNUMBER(FIND("(", _xlfn.XLOOKUP("Which Flavor? (Pint Price | Quart Price | Half Gallon Price) (NOTE: Prices may fluctuate based on market conditions)",[1]Sheet1!$1:$1,[1]Sheet1!152:152))), LEFT(_xlfn.XLOOKUP("Which Flavor? (Pint Price | Quart Price | Half Gallon Price) (NOTE: Prices may fluctuate based on market conditions)",[1]Sheet1!$1:$1,[1]Sheet1!152:152), FIND("(", _xlfn.XLOOKUP("Which Flavor? (Pint Price | Quart Price | Half Gallon Price) (NOTE: Prices may fluctuate based on market conditions)",[1]Sheet1!$1:$1,[1]Sheet1!152:152)) - 1), _xlfn.XLOOKUP("Which Flavor? (Pint Price | Quart Price | Half Gallon Price) (NOTE: Prices may fluctuate based on market conditions)",[1]Sheet1!$1:$1,[1]Sheet1!152:152)))</f>
        <v>0</v>
      </c>
      <c r="D152" s="31">
        <f>IF(COUNTIF('Premade Flavors'!$A:$A, $C152) &gt; 0,IF(ISBLANK(_xlfn.XLOOKUP("What Ice Cream Base Do You Want To Change It To?",[1]Sheet1!$1:$1,[1]Sheet1!152:152)),_xlfn.XLOOKUP($C152,'Premade Flavors'!$A:$A,'Premade Flavors'!B:B),_xlfn.XLOOKUP("What Ice Cream Base Do You Want To Change It To?",[1]Sheet1!$1:$1,[1]Sheet1!152:152)),_xlfn.XLOOKUP(_xlfn.XLOOKUP("What Kind Of Ice Cream Base Do You Want? ",[1]Sheet1!$1:$1,[1]Sheet1!152:152),'Milk Types Nutrition Per Cup'!O:O,'Milk Types Nutrition Per Cup'!P:P,""))</f>
        <v>0</v>
      </c>
      <c r="E152" s="31">
        <f>IF(COUNTIF('Premade Flavors'!$A:$A, $C152) &gt; 0,IF(ISBLANK(_xlfn.XLOOKUP("What Ice Cream Base Do You Want To Change It To?",[1]Sheet1!$1:$1,[1]Sheet1!152:152)),_xlfn.XLOOKUP($C152,'Premade Flavors'!$A:$A,'Premade Flavors'!C:C),_xlfn.XLOOKUP("What Ice Cream Base Do You Want To Change It To?",[1]Sheet1!$1:$1,[1]Sheet1!152:152)),_xlfn.XLOOKUP(_xlfn.XLOOKUP("What Kind Of Ice Cream Base Do You Want? ",[1]Sheet1!$1:$1,[1]Sheet1!152:152),'Milk Types Nutrition Per Cup'!$O:$O,'Milk Types Nutrition Per Cup'!$Q:$Q,""))</f>
        <v>0</v>
      </c>
      <c r="F152" s="31">
        <f>IF(COUNTIF('Premade Flavors'!$A:$A, $C152) &gt; 0,_xlfn.XLOOKUP($C152,'Premade Flavors'!$A:$A,'Premade Flavors'!E:E),_xlfn.XLOOKUP("What's The First Flavor You Want? ",[1]Sheet1!$1:$1,[1]Sheet1!152:152))</f>
        <v>0</v>
      </c>
      <c r="G152" s="31">
        <f>IF(COUNTIF('Premade Flavors'!$A:$A, $C152) &gt; 0,_xlfn.XLOOKUP($C152,'Premade Flavors'!$A:$A,'Premade Flavors'!F:F),_xlfn.XLOOKUP("What's the Second Flavor You Want?",[1]Sheet1!$1:$1,[1]Sheet1!152:152))</f>
        <v>0</v>
      </c>
      <c r="H152" s="31">
        <f>IF(COUNTIF('Premade Flavors'!$A:$A, $C152) &gt; 0,_xlfn.XLOOKUP($C152,'Premade Flavors'!$A:$A,'Premade Flavors'!G:G),_xlfn.XLOOKUP("What's The First Mix In That You Want? ",[1]Sheet1!$1:$1,[1]Sheet1!152:152))</f>
        <v>0</v>
      </c>
      <c r="I152" s="31">
        <f>IF(COUNTIF('Premade Flavors'!$A:$A, $C150) &gt; 0,_xlfn.XLOOKUP($C150,'Premade Flavors'!$A:$A,'Premade Flavors'!H:H),IF([2]Sheet1!W150= 0,,[2]Sheet1!W150))</f>
        <v>0</v>
      </c>
      <c r="J152" s="31">
        <f>IF(COUNTIF('Premade Flavors'!$A:$A,$C152)&gt;0,IF(_xlfn.XLOOKUP("Should It Use Sugar or A Non-Sugar Sweetner?",[1]Sheet1!$1:$1,[1]Sheet1!152:152)="Sugar",_xlfn.XLOOKUP($C152,'Premade Flavors'!$A:$A,'Premade Flavors'!I:I),"Stevia"),_xlfn.XLOOKUP("What Sweetner Do You Want?",[1]Sheet1!$1:$1,[1]Sheet1!152:152))</f>
        <v>0</v>
      </c>
      <c r="K152" s="31"/>
      <c r="L152" s="77">
        <f>_xlfn.XLOOKUP("How Much Ice Cream Do You Want?",[1]Sheet1!$1:$1,[1]Sheet1!152:152)</f>
        <v>0</v>
      </c>
      <c r="M152" s="45">
        <f>IF(COUNTIF('Premade Flavors'!$A:$A, $C152) &gt; 0,_xlfn.XLOOKUP($C152,'Premade Flavors'!$A:$A,'Premade Flavors'!M:M),_xlfn.XLOOKUP("How Strong Do You Want The First Flavor?",[1]Sheet1!$1:$1,[1]Sheet1!152:152))</f>
        <v>0</v>
      </c>
      <c r="N152" s="45">
        <f>IF(COUNTIF('Premade Flavors'!$A:$A, $C152) &gt; 0,_xlfn.XLOOKUP($C152,'Premade Flavors'!$A:$A,'Premade Flavors'!N:N),_xlfn.XLOOKUP("How Strong Do You Want The Second Flavor?",[1]Sheet1!$1:$1,[1]Sheet1!152:152))</f>
        <v>0</v>
      </c>
      <c r="O152" s="45">
        <f>IF(COUNTIF('Premade Flavors'!$A:$A, $C152) &gt; 0,_xlfn.XLOOKUP($C152,'Premade Flavors'!$A:$A,'Premade Flavors'!O:O),_xlfn.XLOOKUP("How Dense Should the Mix Ins Be?",[1]Sheet1!$1:$1,[1]Sheet1!152:152))</f>
        <v>0</v>
      </c>
      <c r="P152" s="45">
        <f>IF(COUNTIF('Premade Flavors'!$A:$A, $C152) &gt; 0,_xlfn.XLOOKUP($C152,'Premade Flavors'!$A:$A,'Premade Flavors'!P:P),_xlfn.XLOOKUP("How Much Of The First Sweetner? ",[1]Sheet1!$1:$1,[1]Sheet1!152:152))</f>
        <v>0</v>
      </c>
      <c r="Q152" s="45">
        <f>IF(COUNTIF('Premade Flavors'!$A:$A, $C152) &gt; 0,_xlfn.XLOOKUP($C152,'Premade Flavors'!$A:$A,'Premade Flavors'!Q:Q),[2]Sheet1!S152)</f>
        <v>0</v>
      </c>
      <c r="R152" s="30">
        <f>(_xlfn.XLOOKUP($L152,Specs!A:A,Specs!B:B,0)-(IF(_xlfn.XLOOKUP($F152,'Liquid Mix In Nutrition'!A:A,'Liquid Mix In Nutrition'!J:J,0)="Yes",0,$T152))-(IF(_xlfn.XLOOKUP($G152,'Liquid Mix In Nutrition'!A:A,'Liquid Mix In Nutrition'!J:J,0)="Yes",0,$U152))-(($V152/MAX(1,_xlfn.XLOOKUP($H152,'Solid Mix In Nutrition'!A:A,'Solid Mix In Nutrition'!I:I,1)))*240)-(($W152/MAX(1,_xlfn.XLOOKUP($I152,'Solid Mix In Nutrition'!A:A,'Solid Mix In Nutrition'!I:I,1)))*240))*0.66</f>
        <v>0</v>
      </c>
      <c r="S152" s="30">
        <f>(_xlfn.XLOOKUP($L152,Specs!A:A,Specs!B:B,0)-(IF(_xlfn.XLOOKUP($F152,'Liquid Mix In Nutrition'!A:A,'Liquid Mix In Nutrition'!J:J,0)="Yes",0,$T152))-(IF(_xlfn.XLOOKUP($G152,'Liquid Mix In Nutrition'!A:A,'Liquid Mix In Nutrition'!J:J,0)="Yes",0,$U152))-(($V152/MAX(1,_xlfn.XLOOKUP($H152,'Solid Mix In Nutrition'!A:A,'Solid Mix In Nutrition'!I:I,1)))*240)-(($W152/MAX(1,_xlfn.XLOOKUP($I152,'Solid Mix In Nutrition'!A:A,'Solid Mix In Nutrition'!I:I,1)))*240))*0.33</f>
        <v>0</v>
      </c>
      <c r="T152" s="30">
        <f>_xlfn.XLOOKUP($M152,Specs!$D:$D,Specs!$E:$E,0)*15*_xlfn.XLOOKUP($L152,Specs!$A:$A,Specs!$C:$C,0)</f>
        <v>0</v>
      </c>
      <c r="U152" s="30">
        <f>_xlfn.XLOOKUP($N152,Specs!$D:$D,Specs!$E:$E,0)*15*_xlfn.XLOOKUP($L152,Specs!$A:$A,Specs!$C:$C,0)</f>
        <v>0</v>
      </c>
      <c r="V152" s="30">
        <f>( ((_xlfn.XLOOKUP($O152,Specs!$H:$H,Specs!$I:$I,0)*_xlfn.XLOOKUP($L152,Specs!$A:$A,Specs!$B:$B,0))/240) *_xlfn.XLOOKUP($H152,'Solid Mix In Nutrition'!A:A,'Solid Mix In Nutrition'!I:I,0)) *IF(AND(NOT($I152=0), COUNTA($I152)),0.5,1)</f>
        <v>0</v>
      </c>
      <c r="W152" s="30">
        <f>( ((_xlfn.XLOOKUP($O152,Specs!$H:$H,Specs!$I:$I,0)*_xlfn.XLOOKUP($L152,Specs!$A:$A,Specs!$B:$B,0))/240) *_xlfn.XLOOKUP($I152,'Solid Mix In Nutrition'!A:A,'Solid Mix In Nutrition'!I:I,0)) *IF(AND(NOT($I152=0), COUNTA($I152)),0.5,0)</f>
        <v>0</v>
      </c>
      <c r="X152" s="30">
        <f>_xlfn.XLOOKUP($P152,Specs!F:F,Specs!G:G,0)*_xlfn.XLOOKUP($J152,'Sweetener Mix In Nutrition'!A:A,'Sweetener Mix In Nutrition'!I:I,0)*_xlfn.XLOOKUP($L152,Specs!A:A,Specs!C:C,0)</f>
        <v>0</v>
      </c>
      <c r="Y152" s="30">
        <f>_xlfn.XLOOKUP($Q152,Specs!F:F,Specs!G:G,0)*_xlfn.XLOOKUP($K152,'Sweetener Mix In Nutrition'!A:A,'Sweetener Mix In Nutrition'!I:I,0)*_xlfn.XLOOKUP($L152,Specs!A:A,Specs!C:C,0)</f>
        <v>0</v>
      </c>
      <c r="Z152" s="34">
        <f t="shared" si="4"/>
        <v>0</v>
      </c>
      <c r="AA152" s="35">
        <f t="shared" si="5"/>
        <v>0</v>
      </c>
      <c r="AB152" s="36">
        <f>(($R152 / 240) * _xlfn.XLOOKUP($D152,'Milk Types Nutrition Per Cup'!A:A,'Milk Types Nutrition Per Cup'!B:B,0)) +(($S152 / 240)  * _xlfn.XLOOKUP($E152,'Milk Types Nutrition Per Cup'!A:A,'Milk Types Nutrition Per Cup'!B:B,0)) +(($T152 / 15)  * _xlfn.XLOOKUP($F152,'Liquid Mix In Nutrition'!A:A,'Liquid Mix In Nutrition'!B:B,0))+(($U152 / 15)  * _xlfn.XLOOKUP($G152,'Liquid Mix In Nutrition'!A:A,'Liquid Mix In Nutrition'!B:B,0))+(($V152 /MAX(1, _xlfn.XLOOKUP($H152,'Solid Mix In Nutrition'!A:A,'Solid Mix In Nutrition'!I:I,1)))  * _xlfn.XLOOKUP($H152,'Solid Mix In Nutrition'!A:A,'Solid Mix In Nutrition'!B:B,0))+(($W152 / MAX(1, _xlfn.XLOOKUP($I152,'Solid Mix In Nutrition'!A:A,'Solid Mix In Nutrition'!I:I,1))))+(($X152 / 100)  * _xlfn.XLOOKUP($J152,'Sweetener Mix In Nutrition'!A:A,'Sweetener Mix In Nutrition'!B:B,0))+(($Y152 / 100)  * _xlfn.XLOOKUP($K152,'Sweetener Mix In Nutrition'!A:A,'Sweetener Mix In Nutrition'!B:B,0))</f>
        <v>0</v>
      </c>
      <c r="AC152" s="36">
        <f>(($R152 / 240) * _xlfn.XLOOKUP($D152,'Milk Types Nutrition Per Cup'!A:A,'Milk Types Nutrition Per Cup'!E:E,0)) +(($S152 / 240)  * _xlfn.XLOOKUP($E152,'Milk Types Nutrition Per Cup'!A:A,'Milk Types Nutrition Per Cup'!E:E,0)) +(($T152 / 15)  * _xlfn.XLOOKUP($F152,'Liquid Mix In Nutrition'!A:A,'Liquid Mix In Nutrition'!E:E,0)) +(($U152 / 15)  * _xlfn.XLOOKUP($G152,'Liquid Mix In Nutrition'!A:A,'Liquid Mix In Nutrition'!E:E,0))+(($V152 / MAX(1, _xlfn.XLOOKUP($H152,'Solid Mix In Nutrition'!A:A,'Solid Mix In Nutrition'!I:I,1)))  * _xlfn.XLOOKUP($H152,'Solid Mix In Nutrition'!A:A,'Solid Mix In Nutrition'!E:E,0))+(($W152 / MAX(1, _xlfn.XLOOKUP($I152,'Solid Mix In Nutrition'!A:A,'Solid Mix In Nutrition'!I:I,1)))  * _xlfn.XLOOKUP($I152,'Solid Mix In Nutrition'!A:A,'Solid Mix In Nutrition'!G:G,0))+(($X152 / 100)  * _xlfn.XLOOKUP($J152,'Sweetener Mix In Nutrition'!A:A,'Sweetener Mix In Nutrition'!E:E,0))+(($Y152 / 100)  * _xlfn.XLOOKUP($K152,'Sweetener Mix In Nutrition'!A:A,'Sweetener Mix In Nutrition'!E:E,0))</f>
        <v>0</v>
      </c>
      <c r="AD152" s="36">
        <f>(($R152 / 240) * _xlfn.XLOOKUP($D152,'Milk Types Nutrition Per Cup'!A:A,'Milk Types Nutrition Per Cup'!E:E,0)) +(($S152 / 240)  * _xlfn.XLOOKUP($E152,'Milk Types Nutrition Per Cup'!A:A,'Milk Types Nutrition Per Cup'!E:E,0)) +(($T152 / 15)  * _xlfn.XLOOKUP($F152,'Liquid Mix In Nutrition'!A:A,'Liquid Mix In Nutrition'!E:E,0)) +(($U152 / 15)  * _xlfn.XLOOKUP($G152,'Liquid Mix In Nutrition'!A:A,'Liquid Mix In Nutrition'!E:E,0))+(($X152 / 100)  * _xlfn.XLOOKUP($J152,'Sweetener Mix In Nutrition'!A:A,'Sweetener Mix In Nutrition'!E:E,0))+(($Y152 / 100)  * _xlfn.XLOOKUP($K152,'Sweetener Mix In Nutrition'!A:A,'Sweetener Mix In Nutrition'!E:E,0))</f>
        <v>0</v>
      </c>
      <c r="AE152" s="37">
        <f>(($R152 / 240) * _xlfn.XLOOKUP($D152,'Milk Types Nutrition Per Cup'!A:A,'Milk Types Nutrition Per Cup'!C:C,0)) +(($S152 / 240)  * _xlfn.XLOOKUP($E152,'Milk Types Nutrition Per Cup'!A:A,'Milk Types Nutrition Per Cup'!C:C,0)) +(($T152 / 15)  * _xlfn.XLOOKUP($F152,'Liquid Mix In Nutrition'!A:A,'Liquid Mix In Nutrition'!C:C,0))+(($U152 / 15)  * _xlfn.XLOOKUP($G152,'Liquid Mix In Nutrition'!A:A,'Liquid Mix In Nutrition'!C:C,0))+(($V152 / MAX(1, _xlfn.XLOOKUP($H152,'Solid Mix In Nutrition'!A:A,'Solid Mix In Nutrition'!I:I,1)))  * _xlfn.XLOOKUP($H152,'Solid Mix In Nutrition'!A:A,'Solid Mix In Nutrition'!C:C,0))+(($W152 / MAX(1, _xlfn.XLOOKUP($I152,'Solid Mix In Nutrition'!A:A,'Solid Mix In Nutrition'!I:I,1)))  * _xlfn.XLOOKUP($I152,'Solid Mix In Nutrition'!A:A,'Solid Mix In Nutrition'!C:C,0))+(($X152 / 100)  * _xlfn.XLOOKUP($J152,'Sweetener Mix In Nutrition'!A:A,'Sweetener Mix In Nutrition'!C:C,0))+(($Y152 / 100)  * _xlfn.XLOOKUP($K152,'Sweetener Mix In Nutrition'!A:A,'Sweetener Mix In Nutrition'!C:C,0))</f>
        <v>0</v>
      </c>
      <c r="AF152" s="38" t="e">
        <f>$AE152 / (_xlfn.XLOOKUP($L152,Specs!A:A,Specs!B:B,0))</f>
        <v>#DIV/0!</v>
      </c>
      <c r="AG152" s="37" t="e">
        <f>60* ($AB152 / _xlfn.XLOOKUP($L152,Specs!A:A,Specs!B:B,0))</f>
        <v>#DIV/0!</v>
      </c>
      <c r="AH152" s="37" t="e">
        <f>60* (AC152 / _xlfn.XLOOKUP($L152,Specs!$A:$A,Specs!$B:$B,0))</f>
        <v>#DIV/0!</v>
      </c>
      <c r="AI152" s="37" t="e">
        <f>60* (AE152 / _xlfn.XLOOKUP($L152,Specs!$A:$A,Specs!$B:$B,0))</f>
        <v>#DIV/0!</v>
      </c>
      <c r="AJ152" s="39">
        <f>(($R152 / 240) * _xlfn.XLOOKUP($D152,'Milk Types Nutrition Per Cup'!A:A,'Milk Types Nutrition Per Cup'!F:F,0)) +(($S152 / 240)  * _xlfn.XLOOKUP($E152,'Milk Types Nutrition Per Cup'!A:A,'Milk Types Nutrition Per Cup'!F:F,0)) +(($T152 / 15)  * _xlfn.XLOOKUP($F152,'Liquid Mix In Nutrition'!A:A,'Liquid Mix In Nutrition'!F:F,0))+(($U152 / 15)  * _xlfn.XLOOKUP($G152,'Liquid Mix In Nutrition'!A:A,'Liquid Mix In Nutrition'!F:F,0))+(($V152 / MAX(1, _xlfn.XLOOKUP($H152,'Solid Mix In Nutrition'!A:A,'Solid Mix In Nutrition'!I:I,1)))  * _xlfn.XLOOKUP($H152,'Solid Mix In Nutrition'!A:A,'Solid Mix In Nutrition'!F:F,0))+(($W152 / MAX(1, _xlfn.XLOOKUP($I152,'Solid Mix In Nutrition'!A:A,'Solid Mix In Nutrition'!I:I,1)))  * _xlfn.XLOOKUP($I152,'Solid Mix In Nutrition'!A:A,'Solid Mix In Nutrition'!F:F,0))+(($X152 / 100)  * _xlfn.XLOOKUP($J152,'Sweetener Mix In Nutrition'!A:A,'Sweetener Mix In Nutrition'!F:F,0))+(($Y152 / 100)  * _xlfn.XLOOKUP($K152,'Sweetener Mix In Nutrition'!A:A,'Sweetener Mix In Nutrition'!F:F,0))</f>
        <v>0</v>
      </c>
      <c r="AK152" s="46">
        <f>[2]Sheet1!AG152</f>
        <v>0</v>
      </c>
      <c r="AL152" s="47"/>
      <c r="AM152" s="40">
        <f>IF(ISERROR(((AL152/Specs!$L$3)*Specs!$L$2)*2),0,ROUNDUP((((AL152/Specs!$L$3)*Specs!$L$2)*2),0))</f>
        <v>0</v>
      </c>
      <c r="AN152" s="48">
        <f>ROUNDUP(((AJ152+Specs!$R$2+Specs!$S$2+_xlfn.XLOOKUP($L152,Specs!A:A,Specs!V:V,0))*Specs!$N$2)+AM152,0)</f>
        <v>1</v>
      </c>
      <c r="AO152" s="40">
        <f>ROUNDUP(((AJ152+Specs!$R$2+Specs!$S$2+_xlfn.XLOOKUP($L152,Specs!A:A,Specs!V:V,0))*Specs!$N$2),0)</f>
        <v>1</v>
      </c>
      <c r="AP152" s="30"/>
    </row>
    <row r="153" spans="1:42" x14ac:dyDescent="0.25">
      <c r="A153" s="41" t="str">
        <f>_xlfn.CONCAT(_xlfn.XLOOKUP("What's Your Name?",[1]Sheet1!$1:$1,[1]Sheet1!153:153)," | ",TEXT(_xlfn.XLOOKUP("Completion time",[1]Sheet1!$1:$1,[1]Sheet1!153:153),"dddd, mmm dd, yyyy hh:mm AM/PM"))</f>
        <v xml:space="preserve"> | Saturday, Jan 00, 1900 12:00 AM</v>
      </c>
      <c r="B153" s="76">
        <f>_xlfn.XLOOKUP("What's Your Email Address?",[1]Sheet1!$1:$1,[1]Sheet1!153:153)</f>
        <v>0</v>
      </c>
      <c r="C153" s="31">
        <f>IF(ISBLANK(_xlfn.XLOOKUP("Which Flavor? (Pint Price | Quart Price | Half Gallon Price) (NOTE: Prices may fluctuate based on market conditions)",[1]Sheet1!$1:$1,[1]Sheet1!153:153)),_xlfn.XLOOKUP("Name Your Ice Cream!",[1]Sheet1!$1:$1,[1]Sheet1!153:153),IF(ISNUMBER(FIND("(", _xlfn.XLOOKUP("Which Flavor? (Pint Price | Quart Price | Half Gallon Price) (NOTE: Prices may fluctuate based on market conditions)",[1]Sheet1!$1:$1,[1]Sheet1!153:153))), LEFT(_xlfn.XLOOKUP("Which Flavor? (Pint Price | Quart Price | Half Gallon Price) (NOTE: Prices may fluctuate based on market conditions)",[1]Sheet1!$1:$1,[1]Sheet1!153:153), FIND("(", _xlfn.XLOOKUP("Which Flavor? (Pint Price | Quart Price | Half Gallon Price) (NOTE: Prices may fluctuate based on market conditions)",[1]Sheet1!$1:$1,[1]Sheet1!153:153)) - 1), _xlfn.XLOOKUP("Which Flavor? (Pint Price | Quart Price | Half Gallon Price) (NOTE: Prices may fluctuate based on market conditions)",[1]Sheet1!$1:$1,[1]Sheet1!153:153)))</f>
        <v>0</v>
      </c>
      <c r="D153" s="31">
        <f>IF(COUNTIF('Premade Flavors'!$A:$A, $C153) &gt; 0,IF(ISBLANK(_xlfn.XLOOKUP("What Ice Cream Base Do You Want To Change It To?",[1]Sheet1!$1:$1,[1]Sheet1!153:153)),_xlfn.XLOOKUP($C153,'Premade Flavors'!$A:$A,'Premade Flavors'!B:B),_xlfn.XLOOKUP("What Ice Cream Base Do You Want To Change It To?",[1]Sheet1!$1:$1,[1]Sheet1!153:153)),_xlfn.XLOOKUP(_xlfn.XLOOKUP("What Kind Of Ice Cream Base Do You Want? ",[1]Sheet1!$1:$1,[1]Sheet1!153:153),'Milk Types Nutrition Per Cup'!O:O,'Milk Types Nutrition Per Cup'!P:P,""))</f>
        <v>0</v>
      </c>
      <c r="E153" s="31">
        <f>IF(COUNTIF('Premade Flavors'!$A:$A, $C153) &gt; 0,IF(ISBLANK(_xlfn.XLOOKUP("What Ice Cream Base Do You Want To Change It To?",[1]Sheet1!$1:$1,[1]Sheet1!153:153)),_xlfn.XLOOKUP($C153,'Premade Flavors'!$A:$A,'Premade Flavors'!C:C),_xlfn.XLOOKUP("What Ice Cream Base Do You Want To Change It To?",[1]Sheet1!$1:$1,[1]Sheet1!153:153)),_xlfn.XLOOKUP(_xlfn.XLOOKUP("What Kind Of Ice Cream Base Do You Want? ",[1]Sheet1!$1:$1,[1]Sheet1!153:153),'Milk Types Nutrition Per Cup'!$O:$O,'Milk Types Nutrition Per Cup'!$Q:$Q,""))</f>
        <v>0</v>
      </c>
      <c r="F153" s="31">
        <f>IF(COUNTIF('Premade Flavors'!$A:$A, $C153) &gt; 0,_xlfn.XLOOKUP($C153,'Premade Flavors'!$A:$A,'Premade Flavors'!E:E),_xlfn.XLOOKUP("What's The First Flavor You Want? ",[1]Sheet1!$1:$1,[1]Sheet1!153:153))</f>
        <v>0</v>
      </c>
      <c r="G153" s="31">
        <f>IF(COUNTIF('Premade Flavors'!$A:$A, $C153) &gt; 0,_xlfn.XLOOKUP($C153,'Premade Flavors'!$A:$A,'Premade Flavors'!F:F),_xlfn.XLOOKUP("What's the Second Flavor You Want?",[1]Sheet1!$1:$1,[1]Sheet1!153:153))</f>
        <v>0</v>
      </c>
      <c r="H153" s="31">
        <f>IF(COUNTIF('Premade Flavors'!$A:$A, $C153) &gt; 0,_xlfn.XLOOKUP($C153,'Premade Flavors'!$A:$A,'Premade Flavors'!G:G),_xlfn.XLOOKUP("What's The First Mix In That You Want? ",[1]Sheet1!$1:$1,[1]Sheet1!153:153))</f>
        <v>0</v>
      </c>
      <c r="I153" s="31">
        <f>IF(COUNTIF('Premade Flavors'!$A:$A, $C151) &gt; 0,_xlfn.XLOOKUP($C151,'Premade Flavors'!$A:$A,'Premade Flavors'!H:H),IF([2]Sheet1!W151= 0,,[2]Sheet1!W151))</f>
        <v>0</v>
      </c>
      <c r="J153" s="31">
        <f>IF(COUNTIF('Premade Flavors'!$A:$A,$C153)&gt;0,IF(_xlfn.XLOOKUP("Should It Use Sugar or A Non-Sugar Sweetner?",[1]Sheet1!$1:$1,[1]Sheet1!153:153)="Sugar",_xlfn.XLOOKUP($C153,'Premade Flavors'!$A:$A,'Premade Flavors'!I:I),"Stevia"),_xlfn.XLOOKUP("What Sweetner Do You Want?",[1]Sheet1!$1:$1,[1]Sheet1!153:153))</f>
        <v>0</v>
      </c>
      <c r="K153" s="31"/>
      <c r="L153" s="77">
        <f>_xlfn.XLOOKUP("How Much Ice Cream Do You Want?",[1]Sheet1!$1:$1,[1]Sheet1!153:153)</f>
        <v>0</v>
      </c>
      <c r="M153" s="45">
        <f>IF(COUNTIF('Premade Flavors'!$A:$A, $C153) &gt; 0,_xlfn.XLOOKUP($C153,'Premade Flavors'!$A:$A,'Premade Flavors'!M:M),_xlfn.XLOOKUP("How Strong Do You Want The First Flavor?",[1]Sheet1!$1:$1,[1]Sheet1!153:153))</f>
        <v>0</v>
      </c>
      <c r="N153" s="45">
        <f>IF(COUNTIF('Premade Flavors'!$A:$A, $C153) &gt; 0,_xlfn.XLOOKUP($C153,'Premade Flavors'!$A:$A,'Premade Flavors'!N:N),_xlfn.XLOOKUP("How Strong Do You Want The Second Flavor?",[1]Sheet1!$1:$1,[1]Sheet1!153:153))</f>
        <v>0</v>
      </c>
      <c r="O153" s="45">
        <f>IF(COUNTIF('Premade Flavors'!$A:$A, $C153) &gt; 0,_xlfn.XLOOKUP($C153,'Premade Flavors'!$A:$A,'Premade Flavors'!O:O),_xlfn.XLOOKUP("How Dense Should the Mix Ins Be?",[1]Sheet1!$1:$1,[1]Sheet1!153:153))</f>
        <v>0</v>
      </c>
      <c r="P153" s="45">
        <f>IF(COUNTIF('Premade Flavors'!$A:$A, $C153) &gt; 0,_xlfn.XLOOKUP($C153,'Premade Flavors'!$A:$A,'Premade Flavors'!P:P),_xlfn.XLOOKUP("How Much Of The First Sweetner? ",[1]Sheet1!$1:$1,[1]Sheet1!153:153))</f>
        <v>0</v>
      </c>
      <c r="Q153" s="45">
        <f>IF(COUNTIF('Premade Flavors'!$A:$A, $C153) &gt; 0,_xlfn.XLOOKUP($C153,'Premade Flavors'!$A:$A,'Premade Flavors'!Q:Q),[2]Sheet1!S153)</f>
        <v>0</v>
      </c>
      <c r="R153" s="30">
        <f>(_xlfn.XLOOKUP($L153,Specs!A:A,Specs!B:B,0)-(IF(_xlfn.XLOOKUP($F153,'Liquid Mix In Nutrition'!A:A,'Liquid Mix In Nutrition'!J:J,0)="Yes",0,$T153))-(IF(_xlfn.XLOOKUP($G153,'Liquid Mix In Nutrition'!A:A,'Liquid Mix In Nutrition'!J:J,0)="Yes",0,$U153))-(($V153/MAX(1,_xlfn.XLOOKUP($H153,'Solid Mix In Nutrition'!A:A,'Solid Mix In Nutrition'!I:I,1)))*240)-(($W153/MAX(1,_xlfn.XLOOKUP($I153,'Solid Mix In Nutrition'!A:A,'Solid Mix In Nutrition'!I:I,1)))*240))*0.66</f>
        <v>0</v>
      </c>
      <c r="S153" s="30">
        <f>(_xlfn.XLOOKUP($L153,Specs!A:A,Specs!B:B,0)-(IF(_xlfn.XLOOKUP($F153,'Liquid Mix In Nutrition'!A:A,'Liquid Mix In Nutrition'!J:J,0)="Yes",0,$T153))-(IF(_xlfn.XLOOKUP($G153,'Liquid Mix In Nutrition'!A:A,'Liquid Mix In Nutrition'!J:J,0)="Yes",0,$U153))-(($V153/MAX(1,_xlfn.XLOOKUP($H153,'Solid Mix In Nutrition'!A:A,'Solid Mix In Nutrition'!I:I,1)))*240)-(($W153/MAX(1,_xlfn.XLOOKUP($I153,'Solid Mix In Nutrition'!A:A,'Solid Mix In Nutrition'!I:I,1)))*240))*0.33</f>
        <v>0</v>
      </c>
      <c r="T153" s="30">
        <f>_xlfn.XLOOKUP($M153,Specs!$D:$D,Specs!$E:$E,0)*15*_xlfn.XLOOKUP($L153,Specs!$A:$A,Specs!$C:$C,0)</f>
        <v>0</v>
      </c>
      <c r="U153" s="30">
        <f>_xlfn.XLOOKUP($N153,Specs!$D:$D,Specs!$E:$E,0)*15*_xlfn.XLOOKUP($L153,Specs!$A:$A,Specs!$C:$C,0)</f>
        <v>0</v>
      </c>
      <c r="V153" s="30">
        <f>( ((_xlfn.XLOOKUP($O153,Specs!$H:$H,Specs!$I:$I,0)*_xlfn.XLOOKUP($L153,Specs!$A:$A,Specs!$B:$B,0))/240) *_xlfn.XLOOKUP($H153,'Solid Mix In Nutrition'!A:A,'Solid Mix In Nutrition'!I:I,0)) *IF(AND(NOT($I153=0), COUNTA($I153)),0.5,1)</f>
        <v>0</v>
      </c>
      <c r="W153" s="30">
        <f>( ((_xlfn.XLOOKUP($O153,Specs!$H:$H,Specs!$I:$I,0)*_xlfn.XLOOKUP($L153,Specs!$A:$A,Specs!$B:$B,0))/240) *_xlfn.XLOOKUP($I153,'Solid Mix In Nutrition'!A:A,'Solid Mix In Nutrition'!I:I,0)) *IF(AND(NOT($I153=0), COUNTA($I153)),0.5,0)</f>
        <v>0</v>
      </c>
      <c r="X153" s="30">
        <f>_xlfn.XLOOKUP($P153,Specs!F:F,Specs!G:G,0)*_xlfn.XLOOKUP($J153,'Sweetener Mix In Nutrition'!A:A,'Sweetener Mix In Nutrition'!I:I,0)*_xlfn.XLOOKUP($L153,Specs!A:A,Specs!C:C,0)</f>
        <v>0</v>
      </c>
      <c r="Y153" s="30">
        <f>_xlfn.XLOOKUP($Q153,Specs!F:F,Specs!G:G,0)*_xlfn.XLOOKUP($K153,'Sweetener Mix In Nutrition'!A:A,'Sweetener Mix In Nutrition'!I:I,0)*_xlfn.XLOOKUP($L153,Specs!A:A,Specs!C:C,0)</f>
        <v>0</v>
      </c>
      <c r="Z153" s="34">
        <f t="shared" si="4"/>
        <v>0</v>
      </c>
      <c r="AA153" s="35">
        <f t="shared" si="5"/>
        <v>0</v>
      </c>
      <c r="AB153" s="36">
        <f>(($R153 / 240) * _xlfn.XLOOKUP($D153,'Milk Types Nutrition Per Cup'!A:A,'Milk Types Nutrition Per Cup'!B:B,0)) +(($S153 / 240)  * _xlfn.XLOOKUP($E153,'Milk Types Nutrition Per Cup'!A:A,'Milk Types Nutrition Per Cup'!B:B,0)) +(($T153 / 15)  * _xlfn.XLOOKUP($F153,'Liquid Mix In Nutrition'!A:A,'Liquid Mix In Nutrition'!B:B,0))+(($U153 / 15)  * _xlfn.XLOOKUP($G153,'Liquid Mix In Nutrition'!A:A,'Liquid Mix In Nutrition'!B:B,0))+(($V153 /MAX(1, _xlfn.XLOOKUP($H153,'Solid Mix In Nutrition'!A:A,'Solid Mix In Nutrition'!I:I,1)))  * _xlfn.XLOOKUP($H153,'Solid Mix In Nutrition'!A:A,'Solid Mix In Nutrition'!B:B,0))+(($W153 / MAX(1, _xlfn.XLOOKUP($I153,'Solid Mix In Nutrition'!A:A,'Solid Mix In Nutrition'!I:I,1))))+(($X153 / 100)  * _xlfn.XLOOKUP($J153,'Sweetener Mix In Nutrition'!A:A,'Sweetener Mix In Nutrition'!B:B,0))+(($Y153 / 100)  * _xlfn.XLOOKUP($K153,'Sweetener Mix In Nutrition'!A:A,'Sweetener Mix In Nutrition'!B:B,0))</f>
        <v>0</v>
      </c>
      <c r="AC153" s="36">
        <f>(($R153 / 240) * _xlfn.XLOOKUP($D153,'Milk Types Nutrition Per Cup'!A:A,'Milk Types Nutrition Per Cup'!E:E,0)) +(($S153 / 240)  * _xlfn.XLOOKUP($E153,'Milk Types Nutrition Per Cup'!A:A,'Milk Types Nutrition Per Cup'!E:E,0)) +(($T153 / 15)  * _xlfn.XLOOKUP($F153,'Liquid Mix In Nutrition'!A:A,'Liquid Mix In Nutrition'!E:E,0)) +(($U153 / 15)  * _xlfn.XLOOKUP($G153,'Liquid Mix In Nutrition'!A:A,'Liquid Mix In Nutrition'!E:E,0))+(($V153 / MAX(1, _xlfn.XLOOKUP($H153,'Solid Mix In Nutrition'!A:A,'Solid Mix In Nutrition'!I:I,1)))  * _xlfn.XLOOKUP($H153,'Solid Mix In Nutrition'!A:A,'Solid Mix In Nutrition'!E:E,0))+(($W153 / MAX(1, _xlfn.XLOOKUP($I153,'Solid Mix In Nutrition'!A:A,'Solid Mix In Nutrition'!I:I,1)))  * _xlfn.XLOOKUP($I153,'Solid Mix In Nutrition'!A:A,'Solid Mix In Nutrition'!G:G,0))+(($X153 / 100)  * _xlfn.XLOOKUP($J153,'Sweetener Mix In Nutrition'!A:A,'Sweetener Mix In Nutrition'!E:E,0))+(($Y153 / 100)  * _xlfn.XLOOKUP($K153,'Sweetener Mix In Nutrition'!A:A,'Sweetener Mix In Nutrition'!E:E,0))</f>
        <v>0</v>
      </c>
      <c r="AD153" s="36">
        <f>(($R153 / 240) * _xlfn.XLOOKUP($D153,'Milk Types Nutrition Per Cup'!A:A,'Milk Types Nutrition Per Cup'!E:E,0)) +(($S153 / 240)  * _xlfn.XLOOKUP($E153,'Milk Types Nutrition Per Cup'!A:A,'Milk Types Nutrition Per Cup'!E:E,0)) +(($T153 / 15)  * _xlfn.XLOOKUP($F153,'Liquid Mix In Nutrition'!A:A,'Liquid Mix In Nutrition'!E:E,0)) +(($U153 / 15)  * _xlfn.XLOOKUP($G153,'Liquid Mix In Nutrition'!A:A,'Liquid Mix In Nutrition'!E:E,0))+(($X153 / 100)  * _xlfn.XLOOKUP($J153,'Sweetener Mix In Nutrition'!A:A,'Sweetener Mix In Nutrition'!E:E,0))+(($Y153 / 100)  * _xlfn.XLOOKUP($K153,'Sweetener Mix In Nutrition'!A:A,'Sweetener Mix In Nutrition'!E:E,0))</f>
        <v>0</v>
      </c>
      <c r="AE153" s="37">
        <f>(($R153 / 240) * _xlfn.XLOOKUP($D153,'Milk Types Nutrition Per Cup'!A:A,'Milk Types Nutrition Per Cup'!C:C,0)) +(($S153 / 240)  * _xlfn.XLOOKUP($E153,'Milk Types Nutrition Per Cup'!A:A,'Milk Types Nutrition Per Cup'!C:C,0)) +(($T153 / 15)  * _xlfn.XLOOKUP($F153,'Liquid Mix In Nutrition'!A:A,'Liquid Mix In Nutrition'!C:C,0))+(($U153 / 15)  * _xlfn.XLOOKUP($G153,'Liquid Mix In Nutrition'!A:A,'Liquid Mix In Nutrition'!C:C,0))+(($V153 / MAX(1, _xlfn.XLOOKUP($H153,'Solid Mix In Nutrition'!A:A,'Solid Mix In Nutrition'!I:I,1)))  * _xlfn.XLOOKUP($H153,'Solid Mix In Nutrition'!A:A,'Solid Mix In Nutrition'!C:C,0))+(($W153 / MAX(1, _xlfn.XLOOKUP($I153,'Solid Mix In Nutrition'!A:A,'Solid Mix In Nutrition'!I:I,1)))  * _xlfn.XLOOKUP($I153,'Solid Mix In Nutrition'!A:A,'Solid Mix In Nutrition'!C:C,0))+(($X153 / 100)  * _xlfn.XLOOKUP($J153,'Sweetener Mix In Nutrition'!A:A,'Sweetener Mix In Nutrition'!C:C,0))+(($Y153 / 100)  * _xlfn.XLOOKUP($K153,'Sweetener Mix In Nutrition'!A:A,'Sweetener Mix In Nutrition'!C:C,0))</f>
        <v>0</v>
      </c>
      <c r="AF153" s="38" t="e">
        <f>$AE153 / (_xlfn.XLOOKUP($L153,Specs!A:A,Specs!B:B,0))</f>
        <v>#DIV/0!</v>
      </c>
      <c r="AG153" s="37" t="e">
        <f>60* ($AB153 / _xlfn.XLOOKUP($L153,Specs!A:A,Specs!B:B,0))</f>
        <v>#DIV/0!</v>
      </c>
      <c r="AH153" s="37" t="e">
        <f>60* (AC153 / _xlfn.XLOOKUP($L153,Specs!$A:$A,Specs!$B:$B,0))</f>
        <v>#DIV/0!</v>
      </c>
      <c r="AI153" s="37" t="e">
        <f>60* (AE153 / _xlfn.XLOOKUP($L153,Specs!$A:$A,Specs!$B:$B,0))</f>
        <v>#DIV/0!</v>
      </c>
      <c r="AJ153" s="39">
        <f>(($R153 / 240) * _xlfn.XLOOKUP($D153,'Milk Types Nutrition Per Cup'!A:A,'Milk Types Nutrition Per Cup'!F:F,0)) +(($S153 / 240)  * _xlfn.XLOOKUP($E153,'Milk Types Nutrition Per Cup'!A:A,'Milk Types Nutrition Per Cup'!F:F,0)) +(($T153 / 15)  * _xlfn.XLOOKUP($F153,'Liquid Mix In Nutrition'!A:A,'Liquid Mix In Nutrition'!F:F,0))+(($U153 / 15)  * _xlfn.XLOOKUP($G153,'Liquid Mix In Nutrition'!A:A,'Liquid Mix In Nutrition'!F:F,0))+(($V153 / MAX(1, _xlfn.XLOOKUP($H153,'Solid Mix In Nutrition'!A:A,'Solid Mix In Nutrition'!I:I,1)))  * _xlfn.XLOOKUP($H153,'Solid Mix In Nutrition'!A:A,'Solid Mix In Nutrition'!F:F,0))+(($W153 / MAX(1, _xlfn.XLOOKUP($I153,'Solid Mix In Nutrition'!A:A,'Solid Mix In Nutrition'!I:I,1)))  * _xlfn.XLOOKUP($I153,'Solid Mix In Nutrition'!A:A,'Solid Mix In Nutrition'!F:F,0))+(($X153 / 100)  * _xlfn.XLOOKUP($J153,'Sweetener Mix In Nutrition'!A:A,'Sweetener Mix In Nutrition'!F:F,0))+(($Y153 / 100)  * _xlfn.XLOOKUP($K153,'Sweetener Mix In Nutrition'!A:A,'Sweetener Mix In Nutrition'!F:F,0))</f>
        <v>0</v>
      </c>
      <c r="AK153" s="46">
        <f>[2]Sheet1!AG153</f>
        <v>0</v>
      </c>
      <c r="AL153" s="47"/>
      <c r="AM153" s="40">
        <f>IF(ISERROR(((AL153/Specs!$L$3)*Specs!$L$2)*2),0,ROUNDUP((((AL153/Specs!$L$3)*Specs!$L$2)*2),0))</f>
        <v>0</v>
      </c>
      <c r="AN153" s="48">
        <f>ROUNDUP(((AJ153+Specs!$R$2+Specs!$S$2+_xlfn.XLOOKUP($L153,Specs!A:A,Specs!V:V,0))*Specs!$N$2)+AM153,0)</f>
        <v>1</v>
      </c>
      <c r="AO153" s="40">
        <f>ROUNDUP(((AJ153+Specs!$R$2+Specs!$S$2+_xlfn.XLOOKUP($L153,Specs!A:A,Specs!V:V,0))*Specs!$N$2),0)</f>
        <v>1</v>
      </c>
      <c r="AP153" s="30"/>
    </row>
    <row r="154" spans="1:42" x14ac:dyDescent="0.25">
      <c r="A154" s="41" t="str">
        <f>_xlfn.CONCAT(_xlfn.XLOOKUP("What's Your Name?",[1]Sheet1!$1:$1,[1]Sheet1!154:154)," | ",TEXT(_xlfn.XLOOKUP("Completion time",[1]Sheet1!$1:$1,[1]Sheet1!154:154),"dddd, mmm dd, yyyy hh:mm AM/PM"))</f>
        <v xml:space="preserve"> | Saturday, Jan 00, 1900 12:00 AM</v>
      </c>
      <c r="B154" s="76">
        <f>_xlfn.XLOOKUP("What's Your Email Address?",[1]Sheet1!$1:$1,[1]Sheet1!154:154)</f>
        <v>0</v>
      </c>
      <c r="C154" s="31">
        <f>IF(ISBLANK(_xlfn.XLOOKUP("Which Flavor? (Pint Price | Quart Price | Half Gallon Price) (NOTE: Prices may fluctuate based on market conditions)",[1]Sheet1!$1:$1,[1]Sheet1!154:154)),_xlfn.XLOOKUP("Name Your Ice Cream!",[1]Sheet1!$1:$1,[1]Sheet1!154:154),IF(ISNUMBER(FIND("(", _xlfn.XLOOKUP("Which Flavor? (Pint Price | Quart Price | Half Gallon Price) (NOTE: Prices may fluctuate based on market conditions)",[1]Sheet1!$1:$1,[1]Sheet1!154:154))), LEFT(_xlfn.XLOOKUP("Which Flavor? (Pint Price | Quart Price | Half Gallon Price) (NOTE: Prices may fluctuate based on market conditions)",[1]Sheet1!$1:$1,[1]Sheet1!154:154), FIND("(", _xlfn.XLOOKUP("Which Flavor? (Pint Price | Quart Price | Half Gallon Price) (NOTE: Prices may fluctuate based on market conditions)",[1]Sheet1!$1:$1,[1]Sheet1!154:154)) - 1), _xlfn.XLOOKUP("Which Flavor? (Pint Price | Quart Price | Half Gallon Price) (NOTE: Prices may fluctuate based on market conditions)",[1]Sheet1!$1:$1,[1]Sheet1!154:154)))</f>
        <v>0</v>
      </c>
      <c r="D154" s="31">
        <f>IF(COUNTIF('Premade Flavors'!$A:$A, $C154) &gt; 0,IF(ISBLANK(_xlfn.XLOOKUP("What Ice Cream Base Do You Want To Change It To?",[1]Sheet1!$1:$1,[1]Sheet1!154:154)),_xlfn.XLOOKUP($C154,'Premade Flavors'!$A:$A,'Premade Flavors'!B:B),_xlfn.XLOOKUP("What Ice Cream Base Do You Want To Change It To?",[1]Sheet1!$1:$1,[1]Sheet1!154:154)),_xlfn.XLOOKUP(_xlfn.XLOOKUP("What Kind Of Ice Cream Base Do You Want? ",[1]Sheet1!$1:$1,[1]Sheet1!154:154),'Milk Types Nutrition Per Cup'!O:O,'Milk Types Nutrition Per Cup'!P:P,""))</f>
        <v>0</v>
      </c>
      <c r="E154" s="31">
        <f>IF(COUNTIF('Premade Flavors'!$A:$A, $C154) &gt; 0,IF(ISBLANK(_xlfn.XLOOKUP("What Ice Cream Base Do You Want To Change It To?",[1]Sheet1!$1:$1,[1]Sheet1!154:154)),_xlfn.XLOOKUP($C154,'Premade Flavors'!$A:$A,'Premade Flavors'!C:C),_xlfn.XLOOKUP("What Ice Cream Base Do You Want To Change It To?",[1]Sheet1!$1:$1,[1]Sheet1!154:154)),_xlfn.XLOOKUP(_xlfn.XLOOKUP("What Kind Of Ice Cream Base Do You Want? ",[1]Sheet1!$1:$1,[1]Sheet1!154:154),'Milk Types Nutrition Per Cup'!$O:$O,'Milk Types Nutrition Per Cup'!$Q:$Q,""))</f>
        <v>0</v>
      </c>
      <c r="F154" s="31">
        <f>IF(COUNTIF('Premade Flavors'!$A:$A, $C154) &gt; 0,_xlfn.XLOOKUP($C154,'Premade Flavors'!$A:$A,'Premade Flavors'!E:E),_xlfn.XLOOKUP("What's The First Flavor You Want? ",[1]Sheet1!$1:$1,[1]Sheet1!154:154))</f>
        <v>0</v>
      </c>
      <c r="G154" s="31">
        <f>IF(COUNTIF('Premade Flavors'!$A:$A, $C154) &gt; 0,_xlfn.XLOOKUP($C154,'Premade Flavors'!$A:$A,'Premade Flavors'!F:F),_xlfn.XLOOKUP("What's the Second Flavor You Want?",[1]Sheet1!$1:$1,[1]Sheet1!154:154))</f>
        <v>0</v>
      </c>
      <c r="H154" s="31">
        <f>IF(COUNTIF('Premade Flavors'!$A:$A, $C154) &gt; 0,_xlfn.XLOOKUP($C154,'Premade Flavors'!$A:$A,'Premade Flavors'!G:G),_xlfn.XLOOKUP("What's The First Mix In That You Want? ",[1]Sheet1!$1:$1,[1]Sheet1!154:154))</f>
        <v>0</v>
      </c>
      <c r="I154" s="31">
        <f>IF(COUNTIF('Premade Flavors'!$A:$A, $C152) &gt; 0,_xlfn.XLOOKUP($C152,'Premade Flavors'!$A:$A,'Premade Flavors'!H:H),IF([2]Sheet1!W152= 0,,[2]Sheet1!W152))</f>
        <v>0</v>
      </c>
      <c r="J154" s="31">
        <f>IF(COUNTIF('Premade Flavors'!$A:$A,$C154)&gt;0,IF(_xlfn.XLOOKUP("Should It Use Sugar or A Non-Sugar Sweetner?",[1]Sheet1!$1:$1,[1]Sheet1!154:154)="Sugar",_xlfn.XLOOKUP($C154,'Premade Flavors'!$A:$A,'Premade Flavors'!I:I),"Stevia"),_xlfn.XLOOKUP("What Sweetner Do You Want?",[1]Sheet1!$1:$1,[1]Sheet1!154:154))</f>
        <v>0</v>
      </c>
      <c r="K154" s="31"/>
      <c r="L154" s="77">
        <f>_xlfn.XLOOKUP("How Much Ice Cream Do You Want?",[1]Sheet1!$1:$1,[1]Sheet1!154:154)</f>
        <v>0</v>
      </c>
      <c r="M154" s="45">
        <f>IF(COUNTIF('Premade Flavors'!$A:$A, $C154) &gt; 0,_xlfn.XLOOKUP($C154,'Premade Flavors'!$A:$A,'Premade Flavors'!M:M),_xlfn.XLOOKUP("How Strong Do You Want The First Flavor?",[1]Sheet1!$1:$1,[1]Sheet1!154:154))</f>
        <v>0</v>
      </c>
      <c r="N154" s="45">
        <f>IF(COUNTIF('Premade Flavors'!$A:$A, $C154) &gt; 0,_xlfn.XLOOKUP($C154,'Premade Flavors'!$A:$A,'Premade Flavors'!N:N),_xlfn.XLOOKUP("How Strong Do You Want The Second Flavor?",[1]Sheet1!$1:$1,[1]Sheet1!154:154))</f>
        <v>0</v>
      </c>
      <c r="O154" s="45">
        <f>IF(COUNTIF('Premade Flavors'!$A:$A, $C154) &gt; 0,_xlfn.XLOOKUP($C154,'Premade Flavors'!$A:$A,'Premade Flavors'!O:O),_xlfn.XLOOKUP("How Dense Should the Mix Ins Be?",[1]Sheet1!$1:$1,[1]Sheet1!154:154))</f>
        <v>0</v>
      </c>
      <c r="P154" s="45">
        <f>IF(COUNTIF('Premade Flavors'!$A:$A, $C154) &gt; 0,_xlfn.XLOOKUP($C154,'Premade Flavors'!$A:$A,'Premade Flavors'!P:P),_xlfn.XLOOKUP("How Much Of The First Sweetner? ",[1]Sheet1!$1:$1,[1]Sheet1!154:154))</f>
        <v>0</v>
      </c>
      <c r="Q154" s="45">
        <f>IF(COUNTIF('Premade Flavors'!$A:$A, $C154) &gt; 0,_xlfn.XLOOKUP($C154,'Premade Flavors'!$A:$A,'Premade Flavors'!Q:Q),[2]Sheet1!S154)</f>
        <v>0</v>
      </c>
      <c r="R154" s="30">
        <f>(_xlfn.XLOOKUP($L154,Specs!A:A,Specs!B:B,0)-(IF(_xlfn.XLOOKUP($F154,'Liquid Mix In Nutrition'!A:A,'Liquid Mix In Nutrition'!J:J,0)="Yes",0,$T154))-(IF(_xlfn.XLOOKUP($G154,'Liquid Mix In Nutrition'!A:A,'Liquid Mix In Nutrition'!J:J,0)="Yes",0,$U154))-(($V154/MAX(1,_xlfn.XLOOKUP($H154,'Solid Mix In Nutrition'!A:A,'Solid Mix In Nutrition'!I:I,1)))*240)-(($W154/MAX(1,_xlfn.XLOOKUP($I154,'Solid Mix In Nutrition'!A:A,'Solid Mix In Nutrition'!I:I,1)))*240))*0.66</f>
        <v>0</v>
      </c>
      <c r="S154" s="30">
        <f>(_xlfn.XLOOKUP($L154,Specs!A:A,Specs!B:B,0)-(IF(_xlfn.XLOOKUP($F154,'Liquid Mix In Nutrition'!A:A,'Liquid Mix In Nutrition'!J:J,0)="Yes",0,$T154))-(IF(_xlfn.XLOOKUP($G154,'Liquid Mix In Nutrition'!A:A,'Liquid Mix In Nutrition'!J:J,0)="Yes",0,$U154))-(($V154/MAX(1,_xlfn.XLOOKUP($H154,'Solid Mix In Nutrition'!A:A,'Solid Mix In Nutrition'!I:I,1)))*240)-(($W154/MAX(1,_xlfn.XLOOKUP($I154,'Solid Mix In Nutrition'!A:A,'Solid Mix In Nutrition'!I:I,1)))*240))*0.33</f>
        <v>0</v>
      </c>
      <c r="T154" s="30">
        <f>_xlfn.XLOOKUP($M154,Specs!$D:$D,Specs!$E:$E,0)*15*_xlfn.XLOOKUP($L154,Specs!$A:$A,Specs!$C:$C,0)</f>
        <v>0</v>
      </c>
      <c r="U154" s="30">
        <f>_xlfn.XLOOKUP($N154,Specs!$D:$D,Specs!$E:$E,0)*15*_xlfn.XLOOKUP($L154,Specs!$A:$A,Specs!$C:$C,0)</f>
        <v>0</v>
      </c>
      <c r="V154" s="30">
        <f>( ((_xlfn.XLOOKUP($O154,Specs!$H:$H,Specs!$I:$I,0)*_xlfn.XLOOKUP($L154,Specs!$A:$A,Specs!$B:$B,0))/240) *_xlfn.XLOOKUP($H154,'Solid Mix In Nutrition'!A:A,'Solid Mix In Nutrition'!I:I,0)) *IF(AND(NOT($I154=0), COUNTA($I154)),0.5,1)</f>
        <v>0</v>
      </c>
      <c r="W154" s="30">
        <f>( ((_xlfn.XLOOKUP($O154,Specs!$H:$H,Specs!$I:$I,0)*_xlfn.XLOOKUP($L154,Specs!$A:$A,Specs!$B:$B,0))/240) *_xlfn.XLOOKUP($I154,'Solid Mix In Nutrition'!A:A,'Solid Mix In Nutrition'!I:I,0)) *IF(AND(NOT($I154=0), COUNTA($I154)),0.5,0)</f>
        <v>0</v>
      </c>
      <c r="X154" s="30">
        <f>_xlfn.XLOOKUP($P154,Specs!F:F,Specs!G:G,0)*_xlfn.XLOOKUP($J154,'Sweetener Mix In Nutrition'!A:A,'Sweetener Mix In Nutrition'!I:I,0)*_xlfn.XLOOKUP($L154,Specs!A:A,Specs!C:C,0)</f>
        <v>0</v>
      </c>
      <c r="Y154" s="30">
        <f>_xlfn.XLOOKUP($Q154,Specs!F:F,Specs!G:G,0)*_xlfn.XLOOKUP($K154,'Sweetener Mix In Nutrition'!A:A,'Sweetener Mix In Nutrition'!I:I,0)*_xlfn.XLOOKUP($L154,Specs!A:A,Specs!C:C,0)</f>
        <v>0</v>
      </c>
      <c r="Z154" s="34">
        <f t="shared" si="4"/>
        <v>0</v>
      </c>
      <c r="AA154" s="35">
        <f t="shared" si="5"/>
        <v>0</v>
      </c>
      <c r="AB154" s="36">
        <f>(($R154 / 240) * _xlfn.XLOOKUP($D154,'Milk Types Nutrition Per Cup'!A:A,'Milk Types Nutrition Per Cup'!B:B,0)) +(($S154 / 240)  * _xlfn.XLOOKUP($E154,'Milk Types Nutrition Per Cup'!A:A,'Milk Types Nutrition Per Cup'!B:B,0)) +(($T154 / 15)  * _xlfn.XLOOKUP($F154,'Liquid Mix In Nutrition'!A:A,'Liquid Mix In Nutrition'!B:B,0))+(($U154 / 15)  * _xlfn.XLOOKUP($G154,'Liquid Mix In Nutrition'!A:A,'Liquid Mix In Nutrition'!B:B,0))+(($V154 /MAX(1, _xlfn.XLOOKUP($H154,'Solid Mix In Nutrition'!A:A,'Solid Mix In Nutrition'!I:I,1)))  * _xlfn.XLOOKUP($H154,'Solid Mix In Nutrition'!A:A,'Solid Mix In Nutrition'!B:B,0))+(($W154 / MAX(1, _xlfn.XLOOKUP($I154,'Solid Mix In Nutrition'!A:A,'Solid Mix In Nutrition'!I:I,1))))+(($X154 / 100)  * _xlfn.XLOOKUP($J154,'Sweetener Mix In Nutrition'!A:A,'Sweetener Mix In Nutrition'!B:B,0))+(($Y154 / 100)  * _xlfn.XLOOKUP($K154,'Sweetener Mix In Nutrition'!A:A,'Sweetener Mix In Nutrition'!B:B,0))</f>
        <v>0</v>
      </c>
      <c r="AC154" s="36">
        <f>(($R154 / 240) * _xlfn.XLOOKUP($D154,'Milk Types Nutrition Per Cup'!A:A,'Milk Types Nutrition Per Cup'!E:E,0)) +(($S154 / 240)  * _xlfn.XLOOKUP($E154,'Milk Types Nutrition Per Cup'!A:A,'Milk Types Nutrition Per Cup'!E:E,0)) +(($T154 / 15)  * _xlfn.XLOOKUP($F154,'Liquid Mix In Nutrition'!A:A,'Liquid Mix In Nutrition'!E:E,0)) +(($U154 / 15)  * _xlfn.XLOOKUP($G154,'Liquid Mix In Nutrition'!A:A,'Liquid Mix In Nutrition'!E:E,0))+(($V154 / MAX(1, _xlfn.XLOOKUP($H154,'Solid Mix In Nutrition'!A:A,'Solid Mix In Nutrition'!I:I,1)))  * _xlfn.XLOOKUP($H154,'Solid Mix In Nutrition'!A:A,'Solid Mix In Nutrition'!E:E,0))+(($W154 / MAX(1, _xlfn.XLOOKUP($I154,'Solid Mix In Nutrition'!A:A,'Solid Mix In Nutrition'!I:I,1)))  * _xlfn.XLOOKUP($I154,'Solid Mix In Nutrition'!A:A,'Solid Mix In Nutrition'!G:G,0))+(($X154 / 100)  * _xlfn.XLOOKUP($J154,'Sweetener Mix In Nutrition'!A:A,'Sweetener Mix In Nutrition'!E:E,0))+(($Y154 / 100)  * _xlfn.XLOOKUP($K154,'Sweetener Mix In Nutrition'!A:A,'Sweetener Mix In Nutrition'!E:E,0))</f>
        <v>0</v>
      </c>
      <c r="AD154" s="36">
        <f>(($R154 / 240) * _xlfn.XLOOKUP($D154,'Milk Types Nutrition Per Cup'!A:A,'Milk Types Nutrition Per Cup'!E:E,0)) +(($S154 / 240)  * _xlfn.XLOOKUP($E154,'Milk Types Nutrition Per Cup'!A:A,'Milk Types Nutrition Per Cup'!E:E,0)) +(($T154 / 15)  * _xlfn.XLOOKUP($F154,'Liquid Mix In Nutrition'!A:A,'Liquid Mix In Nutrition'!E:E,0)) +(($U154 / 15)  * _xlfn.XLOOKUP($G154,'Liquid Mix In Nutrition'!A:A,'Liquid Mix In Nutrition'!E:E,0))+(($X154 / 100)  * _xlfn.XLOOKUP($J154,'Sweetener Mix In Nutrition'!A:A,'Sweetener Mix In Nutrition'!E:E,0))+(($Y154 / 100)  * _xlfn.XLOOKUP($K154,'Sweetener Mix In Nutrition'!A:A,'Sweetener Mix In Nutrition'!E:E,0))</f>
        <v>0</v>
      </c>
      <c r="AE154" s="37">
        <f>(($R154 / 240) * _xlfn.XLOOKUP($D154,'Milk Types Nutrition Per Cup'!A:A,'Milk Types Nutrition Per Cup'!C:C,0)) +(($S154 / 240)  * _xlfn.XLOOKUP($E154,'Milk Types Nutrition Per Cup'!A:A,'Milk Types Nutrition Per Cup'!C:C,0)) +(($T154 / 15)  * _xlfn.XLOOKUP($F154,'Liquid Mix In Nutrition'!A:A,'Liquid Mix In Nutrition'!C:C,0))+(($U154 / 15)  * _xlfn.XLOOKUP($G154,'Liquid Mix In Nutrition'!A:A,'Liquid Mix In Nutrition'!C:C,0))+(($V154 / MAX(1, _xlfn.XLOOKUP($H154,'Solid Mix In Nutrition'!A:A,'Solid Mix In Nutrition'!I:I,1)))  * _xlfn.XLOOKUP($H154,'Solid Mix In Nutrition'!A:A,'Solid Mix In Nutrition'!C:C,0))+(($W154 / MAX(1, _xlfn.XLOOKUP($I154,'Solid Mix In Nutrition'!A:A,'Solid Mix In Nutrition'!I:I,1)))  * _xlfn.XLOOKUP($I154,'Solid Mix In Nutrition'!A:A,'Solid Mix In Nutrition'!C:C,0))+(($X154 / 100)  * _xlfn.XLOOKUP($J154,'Sweetener Mix In Nutrition'!A:A,'Sweetener Mix In Nutrition'!C:C,0))+(($Y154 / 100)  * _xlfn.XLOOKUP($K154,'Sweetener Mix In Nutrition'!A:A,'Sweetener Mix In Nutrition'!C:C,0))</f>
        <v>0</v>
      </c>
      <c r="AF154" s="38" t="e">
        <f>$AE154 / (_xlfn.XLOOKUP($L154,Specs!A:A,Specs!B:B,0))</f>
        <v>#DIV/0!</v>
      </c>
      <c r="AG154" s="37" t="e">
        <f>60* ($AB154 / _xlfn.XLOOKUP($L154,Specs!A:A,Specs!B:B,0))</f>
        <v>#DIV/0!</v>
      </c>
      <c r="AH154" s="37" t="e">
        <f>60* (AC154 / _xlfn.XLOOKUP($L154,Specs!$A:$A,Specs!$B:$B,0))</f>
        <v>#DIV/0!</v>
      </c>
      <c r="AI154" s="37" t="e">
        <f>60* (AE154 / _xlfn.XLOOKUP($L154,Specs!$A:$A,Specs!$B:$B,0))</f>
        <v>#DIV/0!</v>
      </c>
      <c r="AJ154" s="39">
        <f>(($R154 / 240) * _xlfn.XLOOKUP($D154,'Milk Types Nutrition Per Cup'!A:A,'Milk Types Nutrition Per Cup'!F:F,0)) +(($S154 / 240)  * _xlfn.XLOOKUP($E154,'Milk Types Nutrition Per Cup'!A:A,'Milk Types Nutrition Per Cup'!F:F,0)) +(($T154 / 15)  * _xlfn.XLOOKUP($F154,'Liquid Mix In Nutrition'!A:A,'Liquid Mix In Nutrition'!F:F,0))+(($U154 / 15)  * _xlfn.XLOOKUP($G154,'Liquid Mix In Nutrition'!A:A,'Liquid Mix In Nutrition'!F:F,0))+(($V154 / MAX(1, _xlfn.XLOOKUP($H154,'Solid Mix In Nutrition'!A:A,'Solid Mix In Nutrition'!I:I,1)))  * _xlfn.XLOOKUP($H154,'Solid Mix In Nutrition'!A:A,'Solid Mix In Nutrition'!F:F,0))+(($W154 / MAX(1, _xlfn.XLOOKUP($I154,'Solid Mix In Nutrition'!A:A,'Solid Mix In Nutrition'!I:I,1)))  * _xlfn.XLOOKUP($I154,'Solid Mix In Nutrition'!A:A,'Solid Mix In Nutrition'!F:F,0))+(($X154 / 100)  * _xlfn.XLOOKUP($J154,'Sweetener Mix In Nutrition'!A:A,'Sweetener Mix In Nutrition'!F:F,0))+(($Y154 / 100)  * _xlfn.XLOOKUP($K154,'Sweetener Mix In Nutrition'!A:A,'Sweetener Mix In Nutrition'!F:F,0))</f>
        <v>0</v>
      </c>
      <c r="AK154" s="46">
        <f>[2]Sheet1!AG154</f>
        <v>0</v>
      </c>
      <c r="AL154" s="47"/>
      <c r="AM154" s="40">
        <f>IF(ISERROR(((AL154/Specs!$L$3)*Specs!$L$2)*2),0,ROUNDUP((((AL154/Specs!$L$3)*Specs!$L$2)*2),0))</f>
        <v>0</v>
      </c>
      <c r="AN154" s="48">
        <f>ROUNDUP(((AJ154+Specs!$R$2+Specs!$S$2+_xlfn.XLOOKUP($L154,Specs!A:A,Specs!V:V,0))*Specs!$N$2)+AM154,0)</f>
        <v>1</v>
      </c>
      <c r="AO154" s="40">
        <f>ROUNDUP(((AJ154+Specs!$R$2+Specs!$S$2+_xlfn.XLOOKUP($L154,Specs!A:A,Specs!V:V,0))*Specs!$N$2),0)</f>
        <v>1</v>
      </c>
      <c r="AP154" s="30"/>
    </row>
    <row r="155" spans="1:42" x14ac:dyDescent="0.25">
      <c r="A155" s="41" t="str">
        <f>_xlfn.CONCAT(_xlfn.XLOOKUP("What's Your Name?",[1]Sheet1!$1:$1,[1]Sheet1!155:155)," | ",TEXT(_xlfn.XLOOKUP("Completion time",[1]Sheet1!$1:$1,[1]Sheet1!155:155),"dddd, mmm dd, yyyy hh:mm AM/PM"))</f>
        <v xml:space="preserve"> | Saturday, Jan 00, 1900 12:00 AM</v>
      </c>
      <c r="B155" s="76">
        <f>_xlfn.XLOOKUP("What's Your Email Address?",[1]Sheet1!$1:$1,[1]Sheet1!155:155)</f>
        <v>0</v>
      </c>
      <c r="C155" s="31">
        <f>IF(ISBLANK(_xlfn.XLOOKUP("Which Flavor? (Pint Price | Quart Price | Half Gallon Price) (NOTE: Prices may fluctuate based on market conditions)",[1]Sheet1!$1:$1,[1]Sheet1!155:155)),_xlfn.XLOOKUP("Name Your Ice Cream!",[1]Sheet1!$1:$1,[1]Sheet1!155:155),IF(ISNUMBER(FIND("(", _xlfn.XLOOKUP("Which Flavor? (Pint Price | Quart Price | Half Gallon Price) (NOTE: Prices may fluctuate based on market conditions)",[1]Sheet1!$1:$1,[1]Sheet1!155:155))), LEFT(_xlfn.XLOOKUP("Which Flavor? (Pint Price | Quart Price | Half Gallon Price) (NOTE: Prices may fluctuate based on market conditions)",[1]Sheet1!$1:$1,[1]Sheet1!155:155), FIND("(", _xlfn.XLOOKUP("Which Flavor? (Pint Price | Quart Price | Half Gallon Price) (NOTE: Prices may fluctuate based on market conditions)",[1]Sheet1!$1:$1,[1]Sheet1!155:155)) - 1), _xlfn.XLOOKUP("Which Flavor? (Pint Price | Quart Price | Half Gallon Price) (NOTE: Prices may fluctuate based on market conditions)",[1]Sheet1!$1:$1,[1]Sheet1!155:155)))</f>
        <v>0</v>
      </c>
      <c r="D155" s="31">
        <f>IF(COUNTIF('Premade Flavors'!$A:$A, $C155) &gt; 0,IF(ISBLANK(_xlfn.XLOOKUP("What Ice Cream Base Do You Want To Change It To?",[1]Sheet1!$1:$1,[1]Sheet1!155:155)),_xlfn.XLOOKUP($C155,'Premade Flavors'!$A:$A,'Premade Flavors'!B:B),_xlfn.XLOOKUP("What Ice Cream Base Do You Want To Change It To?",[1]Sheet1!$1:$1,[1]Sheet1!155:155)),_xlfn.XLOOKUP(_xlfn.XLOOKUP("What Kind Of Ice Cream Base Do You Want? ",[1]Sheet1!$1:$1,[1]Sheet1!155:155),'Milk Types Nutrition Per Cup'!O:O,'Milk Types Nutrition Per Cup'!P:P,""))</f>
        <v>0</v>
      </c>
      <c r="E155" s="31">
        <f>IF(COUNTIF('Premade Flavors'!$A:$A, $C155) &gt; 0,IF(ISBLANK(_xlfn.XLOOKUP("What Ice Cream Base Do You Want To Change It To?",[1]Sheet1!$1:$1,[1]Sheet1!155:155)),_xlfn.XLOOKUP($C155,'Premade Flavors'!$A:$A,'Premade Flavors'!C:C),_xlfn.XLOOKUP("What Ice Cream Base Do You Want To Change It To?",[1]Sheet1!$1:$1,[1]Sheet1!155:155)),_xlfn.XLOOKUP(_xlfn.XLOOKUP("What Kind Of Ice Cream Base Do You Want? ",[1]Sheet1!$1:$1,[1]Sheet1!155:155),'Milk Types Nutrition Per Cup'!$O:$O,'Milk Types Nutrition Per Cup'!$Q:$Q,""))</f>
        <v>0</v>
      </c>
      <c r="F155" s="31">
        <f>IF(COUNTIF('Premade Flavors'!$A:$A, $C155) &gt; 0,_xlfn.XLOOKUP($C155,'Premade Flavors'!$A:$A,'Premade Flavors'!E:E),_xlfn.XLOOKUP("What's The First Flavor You Want? ",[1]Sheet1!$1:$1,[1]Sheet1!155:155))</f>
        <v>0</v>
      </c>
      <c r="G155" s="31">
        <f>IF(COUNTIF('Premade Flavors'!$A:$A, $C155) &gt; 0,_xlfn.XLOOKUP($C155,'Premade Flavors'!$A:$A,'Premade Flavors'!F:F),_xlfn.XLOOKUP("What's the Second Flavor You Want?",[1]Sheet1!$1:$1,[1]Sheet1!155:155))</f>
        <v>0</v>
      </c>
      <c r="H155" s="31">
        <f>IF(COUNTIF('Premade Flavors'!$A:$A, $C155) &gt; 0,_xlfn.XLOOKUP($C155,'Premade Flavors'!$A:$A,'Premade Flavors'!G:G),_xlfn.XLOOKUP("What's The First Mix In That You Want? ",[1]Sheet1!$1:$1,[1]Sheet1!155:155))</f>
        <v>0</v>
      </c>
      <c r="I155" s="31">
        <f>IF(COUNTIF('Premade Flavors'!$A:$A, $C153) &gt; 0,_xlfn.XLOOKUP($C153,'Premade Flavors'!$A:$A,'Premade Flavors'!H:H),IF([2]Sheet1!W153= 0,,[2]Sheet1!W153))</f>
        <v>0</v>
      </c>
      <c r="J155" s="31">
        <f>IF(COUNTIF('Premade Flavors'!$A:$A,$C155)&gt;0,IF(_xlfn.XLOOKUP("Should It Use Sugar or A Non-Sugar Sweetner?",[1]Sheet1!$1:$1,[1]Sheet1!155:155)="Sugar",_xlfn.XLOOKUP($C155,'Premade Flavors'!$A:$A,'Premade Flavors'!I:I),"Stevia"),_xlfn.XLOOKUP("What Sweetner Do You Want?",[1]Sheet1!$1:$1,[1]Sheet1!155:155))</f>
        <v>0</v>
      </c>
      <c r="K155" s="31"/>
      <c r="L155" s="77">
        <f>_xlfn.XLOOKUP("How Much Ice Cream Do You Want?",[1]Sheet1!$1:$1,[1]Sheet1!155:155)</f>
        <v>0</v>
      </c>
      <c r="M155" s="45">
        <f>IF(COUNTIF('Premade Flavors'!$A:$A, $C155) &gt; 0,_xlfn.XLOOKUP($C155,'Premade Flavors'!$A:$A,'Premade Flavors'!M:M),_xlfn.XLOOKUP("How Strong Do You Want The First Flavor?",[1]Sheet1!$1:$1,[1]Sheet1!155:155))</f>
        <v>0</v>
      </c>
      <c r="N155" s="45">
        <f>IF(COUNTIF('Premade Flavors'!$A:$A, $C155) &gt; 0,_xlfn.XLOOKUP($C155,'Premade Flavors'!$A:$A,'Premade Flavors'!N:N),_xlfn.XLOOKUP("How Strong Do You Want The Second Flavor?",[1]Sheet1!$1:$1,[1]Sheet1!155:155))</f>
        <v>0</v>
      </c>
      <c r="O155" s="45">
        <f>IF(COUNTIF('Premade Flavors'!$A:$A, $C155) &gt; 0,_xlfn.XLOOKUP($C155,'Premade Flavors'!$A:$A,'Premade Flavors'!O:O),_xlfn.XLOOKUP("How Dense Should the Mix Ins Be?",[1]Sheet1!$1:$1,[1]Sheet1!155:155))</f>
        <v>0</v>
      </c>
      <c r="P155" s="45">
        <f>IF(COUNTIF('Premade Flavors'!$A:$A, $C155) &gt; 0,_xlfn.XLOOKUP($C155,'Premade Flavors'!$A:$A,'Premade Flavors'!P:P),_xlfn.XLOOKUP("How Much Of The First Sweetner? ",[1]Sheet1!$1:$1,[1]Sheet1!155:155))</f>
        <v>0</v>
      </c>
      <c r="Q155" s="45">
        <f>IF(COUNTIF('Premade Flavors'!$A:$A, $C155) &gt; 0,_xlfn.XLOOKUP($C155,'Premade Flavors'!$A:$A,'Premade Flavors'!Q:Q),[2]Sheet1!S155)</f>
        <v>0</v>
      </c>
      <c r="R155" s="30">
        <f>(_xlfn.XLOOKUP($L155,Specs!A:A,Specs!B:B,0)-(IF(_xlfn.XLOOKUP($F155,'Liquid Mix In Nutrition'!A:A,'Liquid Mix In Nutrition'!J:J,0)="Yes",0,$T155))-(IF(_xlfn.XLOOKUP($G155,'Liquid Mix In Nutrition'!A:A,'Liquid Mix In Nutrition'!J:J,0)="Yes",0,$U155))-(($V155/MAX(1,_xlfn.XLOOKUP($H155,'Solid Mix In Nutrition'!A:A,'Solid Mix In Nutrition'!I:I,1)))*240)-(($W155/MAX(1,_xlfn.XLOOKUP($I155,'Solid Mix In Nutrition'!A:A,'Solid Mix In Nutrition'!I:I,1)))*240))*0.66</f>
        <v>0</v>
      </c>
      <c r="S155" s="30">
        <f>(_xlfn.XLOOKUP($L155,Specs!A:A,Specs!B:B,0)-(IF(_xlfn.XLOOKUP($F155,'Liquid Mix In Nutrition'!A:A,'Liquid Mix In Nutrition'!J:J,0)="Yes",0,$T155))-(IF(_xlfn.XLOOKUP($G155,'Liquid Mix In Nutrition'!A:A,'Liquid Mix In Nutrition'!J:J,0)="Yes",0,$U155))-(($V155/MAX(1,_xlfn.XLOOKUP($H155,'Solid Mix In Nutrition'!A:A,'Solid Mix In Nutrition'!I:I,1)))*240)-(($W155/MAX(1,_xlfn.XLOOKUP($I155,'Solid Mix In Nutrition'!A:A,'Solid Mix In Nutrition'!I:I,1)))*240))*0.33</f>
        <v>0</v>
      </c>
      <c r="T155" s="30">
        <f>_xlfn.XLOOKUP($M155,Specs!$D:$D,Specs!$E:$E,0)*15*_xlfn.XLOOKUP($L155,Specs!$A:$A,Specs!$C:$C,0)</f>
        <v>0</v>
      </c>
      <c r="U155" s="30">
        <f>_xlfn.XLOOKUP($N155,Specs!$D:$D,Specs!$E:$E,0)*15*_xlfn.XLOOKUP($L155,Specs!$A:$A,Specs!$C:$C,0)</f>
        <v>0</v>
      </c>
      <c r="V155" s="30">
        <f>( ((_xlfn.XLOOKUP($O155,Specs!$H:$H,Specs!$I:$I,0)*_xlfn.XLOOKUP($L155,Specs!$A:$A,Specs!$B:$B,0))/240) *_xlfn.XLOOKUP($H155,'Solid Mix In Nutrition'!A:A,'Solid Mix In Nutrition'!I:I,0)) *IF(AND(NOT($I155=0), COUNTA($I155)),0.5,1)</f>
        <v>0</v>
      </c>
      <c r="W155" s="30">
        <f>( ((_xlfn.XLOOKUP($O155,Specs!$H:$H,Specs!$I:$I,0)*_xlfn.XLOOKUP($L155,Specs!$A:$A,Specs!$B:$B,0))/240) *_xlfn.XLOOKUP($I155,'Solid Mix In Nutrition'!A:A,'Solid Mix In Nutrition'!I:I,0)) *IF(AND(NOT($I155=0), COUNTA($I155)),0.5,0)</f>
        <v>0</v>
      </c>
      <c r="X155" s="30">
        <f>_xlfn.XLOOKUP($P155,Specs!F:F,Specs!G:G,0)*_xlfn.XLOOKUP($J155,'Sweetener Mix In Nutrition'!A:A,'Sweetener Mix In Nutrition'!I:I,0)*_xlfn.XLOOKUP($L155,Specs!A:A,Specs!C:C,0)</f>
        <v>0</v>
      </c>
      <c r="Y155" s="30">
        <f>_xlfn.XLOOKUP($Q155,Specs!F:F,Specs!G:G,0)*_xlfn.XLOOKUP($K155,'Sweetener Mix In Nutrition'!A:A,'Sweetener Mix In Nutrition'!I:I,0)*_xlfn.XLOOKUP($L155,Specs!A:A,Specs!C:C,0)</f>
        <v>0</v>
      </c>
      <c r="Z155" s="34">
        <f t="shared" si="4"/>
        <v>0</v>
      </c>
      <c r="AA155" s="35">
        <f t="shared" si="5"/>
        <v>0</v>
      </c>
      <c r="AB155" s="36">
        <f>(($R155 / 240) * _xlfn.XLOOKUP($D155,'Milk Types Nutrition Per Cup'!A:A,'Milk Types Nutrition Per Cup'!B:B,0)) +(($S155 / 240)  * _xlfn.XLOOKUP($E155,'Milk Types Nutrition Per Cup'!A:A,'Milk Types Nutrition Per Cup'!B:B,0)) +(($T155 / 15)  * _xlfn.XLOOKUP($F155,'Liquid Mix In Nutrition'!A:A,'Liquid Mix In Nutrition'!B:B,0))+(($U155 / 15)  * _xlfn.XLOOKUP($G155,'Liquid Mix In Nutrition'!A:A,'Liquid Mix In Nutrition'!B:B,0))+(($V155 /MAX(1, _xlfn.XLOOKUP($H155,'Solid Mix In Nutrition'!A:A,'Solid Mix In Nutrition'!I:I,1)))  * _xlfn.XLOOKUP($H155,'Solid Mix In Nutrition'!A:A,'Solid Mix In Nutrition'!B:B,0))+(($W155 / MAX(1, _xlfn.XLOOKUP($I155,'Solid Mix In Nutrition'!A:A,'Solid Mix In Nutrition'!I:I,1))))+(($X155 / 100)  * _xlfn.XLOOKUP($J155,'Sweetener Mix In Nutrition'!A:A,'Sweetener Mix In Nutrition'!B:B,0))+(($Y155 / 100)  * _xlfn.XLOOKUP($K155,'Sweetener Mix In Nutrition'!A:A,'Sweetener Mix In Nutrition'!B:B,0))</f>
        <v>0</v>
      </c>
      <c r="AC155" s="36">
        <f>(($R155 / 240) * _xlfn.XLOOKUP($D155,'Milk Types Nutrition Per Cup'!A:A,'Milk Types Nutrition Per Cup'!E:E,0)) +(($S155 / 240)  * _xlfn.XLOOKUP($E155,'Milk Types Nutrition Per Cup'!A:A,'Milk Types Nutrition Per Cup'!E:E,0)) +(($T155 / 15)  * _xlfn.XLOOKUP($F155,'Liquid Mix In Nutrition'!A:A,'Liquid Mix In Nutrition'!E:E,0)) +(($U155 / 15)  * _xlfn.XLOOKUP($G155,'Liquid Mix In Nutrition'!A:A,'Liquid Mix In Nutrition'!E:E,0))+(($V155 / MAX(1, _xlfn.XLOOKUP($H155,'Solid Mix In Nutrition'!A:A,'Solid Mix In Nutrition'!I:I,1)))  * _xlfn.XLOOKUP($H155,'Solid Mix In Nutrition'!A:A,'Solid Mix In Nutrition'!E:E,0))+(($W155 / MAX(1, _xlfn.XLOOKUP($I155,'Solid Mix In Nutrition'!A:A,'Solid Mix In Nutrition'!I:I,1)))  * _xlfn.XLOOKUP($I155,'Solid Mix In Nutrition'!A:A,'Solid Mix In Nutrition'!G:G,0))+(($X155 / 100)  * _xlfn.XLOOKUP($J155,'Sweetener Mix In Nutrition'!A:A,'Sweetener Mix In Nutrition'!E:E,0))+(($Y155 / 100)  * _xlfn.XLOOKUP($K155,'Sweetener Mix In Nutrition'!A:A,'Sweetener Mix In Nutrition'!E:E,0))</f>
        <v>0</v>
      </c>
      <c r="AD155" s="36">
        <f>(($R155 / 240) * _xlfn.XLOOKUP($D155,'Milk Types Nutrition Per Cup'!A:A,'Milk Types Nutrition Per Cup'!E:E,0)) +(($S155 / 240)  * _xlfn.XLOOKUP($E155,'Milk Types Nutrition Per Cup'!A:A,'Milk Types Nutrition Per Cup'!E:E,0)) +(($T155 / 15)  * _xlfn.XLOOKUP($F155,'Liquid Mix In Nutrition'!A:A,'Liquid Mix In Nutrition'!E:E,0)) +(($U155 / 15)  * _xlfn.XLOOKUP($G155,'Liquid Mix In Nutrition'!A:A,'Liquid Mix In Nutrition'!E:E,0))+(($X155 / 100)  * _xlfn.XLOOKUP($J155,'Sweetener Mix In Nutrition'!A:A,'Sweetener Mix In Nutrition'!E:E,0))+(($Y155 / 100)  * _xlfn.XLOOKUP($K155,'Sweetener Mix In Nutrition'!A:A,'Sweetener Mix In Nutrition'!E:E,0))</f>
        <v>0</v>
      </c>
      <c r="AE155" s="37">
        <f>(($R155 / 240) * _xlfn.XLOOKUP($D155,'Milk Types Nutrition Per Cup'!A:A,'Milk Types Nutrition Per Cup'!C:C,0)) +(($S155 / 240)  * _xlfn.XLOOKUP($E155,'Milk Types Nutrition Per Cup'!A:A,'Milk Types Nutrition Per Cup'!C:C,0)) +(($T155 / 15)  * _xlfn.XLOOKUP($F155,'Liquid Mix In Nutrition'!A:A,'Liquid Mix In Nutrition'!C:C,0))+(($U155 / 15)  * _xlfn.XLOOKUP($G155,'Liquid Mix In Nutrition'!A:A,'Liquid Mix In Nutrition'!C:C,0))+(($V155 / MAX(1, _xlfn.XLOOKUP($H155,'Solid Mix In Nutrition'!A:A,'Solid Mix In Nutrition'!I:I,1)))  * _xlfn.XLOOKUP($H155,'Solid Mix In Nutrition'!A:A,'Solid Mix In Nutrition'!C:C,0))+(($W155 / MAX(1, _xlfn.XLOOKUP($I155,'Solid Mix In Nutrition'!A:A,'Solid Mix In Nutrition'!I:I,1)))  * _xlfn.XLOOKUP($I155,'Solid Mix In Nutrition'!A:A,'Solid Mix In Nutrition'!C:C,0))+(($X155 / 100)  * _xlfn.XLOOKUP($J155,'Sweetener Mix In Nutrition'!A:A,'Sweetener Mix In Nutrition'!C:C,0))+(($Y155 / 100)  * _xlfn.XLOOKUP($K155,'Sweetener Mix In Nutrition'!A:A,'Sweetener Mix In Nutrition'!C:C,0))</f>
        <v>0</v>
      </c>
      <c r="AF155" s="38" t="e">
        <f>$AE155 / (_xlfn.XLOOKUP($L155,Specs!A:A,Specs!B:B,0))</f>
        <v>#DIV/0!</v>
      </c>
      <c r="AG155" s="37" t="e">
        <f>60* ($AB155 / _xlfn.XLOOKUP($L155,Specs!A:A,Specs!B:B,0))</f>
        <v>#DIV/0!</v>
      </c>
      <c r="AH155" s="37" t="e">
        <f>60* (AC155 / _xlfn.XLOOKUP($L155,Specs!$A:$A,Specs!$B:$B,0))</f>
        <v>#DIV/0!</v>
      </c>
      <c r="AI155" s="37" t="e">
        <f>60* (AE155 / _xlfn.XLOOKUP($L155,Specs!$A:$A,Specs!$B:$B,0))</f>
        <v>#DIV/0!</v>
      </c>
      <c r="AJ155" s="39">
        <f>(($R155 / 240) * _xlfn.XLOOKUP($D155,'Milk Types Nutrition Per Cup'!A:A,'Milk Types Nutrition Per Cup'!F:F,0)) +(($S155 / 240)  * _xlfn.XLOOKUP($E155,'Milk Types Nutrition Per Cup'!A:A,'Milk Types Nutrition Per Cup'!F:F,0)) +(($T155 / 15)  * _xlfn.XLOOKUP($F155,'Liquid Mix In Nutrition'!A:A,'Liquid Mix In Nutrition'!F:F,0))+(($U155 / 15)  * _xlfn.XLOOKUP($G155,'Liquid Mix In Nutrition'!A:A,'Liquid Mix In Nutrition'!F:F,0))+(($V155 / MAX(1, _xlfn.XLOOKUP($H155,'Solid Mix In Nutrition'!A:A,'Solid Mix In Nutrition'!I:I,1)))  * _xlfn.XLOOKUP($H155,'Solid Mix In Nutrition'!A:A,'Solid Mix In Nutrition'!F:F,0))+(($W155 / MAX(1, _xlfn.XLOOKUP($I155,'Solid Mix In Nutrition'!A:A,'Solid Mix In Nutrition'!I:I,1)))  * _xlfn.XLOOKUP($I155,'Solid Mix In Nutrition'!A:A,'Solid Mix In Nutrition'!F:F,0))+(($X155 / 100)  * _xlfn.XLOOKUP($J155,'Sweetener Mix In Nutrition'!A:A,'Sweetener Mix In Nutrition'!F:F,0))+(($Y155 / 100)  * _xlfn.XLOOKUP($K155,'Sweetener Mix In Nutrition'!A:A,'Sweetener Mix In Nutrition'!F:F,0))</f>
        <v>0</v>
      </c>
      <c r="AK155" s="46">
        <f>[2]Sheet1!AG155</f>
        <v>0</v>
      </c>
      <c r="AL155" s="47"/>
      <c r="AM155" s="40">
        <f>IF(ISERROR(((AL155/Specs!$L$3)*Specs!$L$2)*2),0,ROUNDUP((((AL155/Specs!$L$3)*Specs!$L$2)*2),0))</f>
        <v>0</v>
      </c>
      <c r="AN155" s="48">
        <f>ROUNDUP(((AJ155+Specs!$R$2+Specs!$S$2+_xlfn.XLOOKUP($L155,Specs!A:A,Specs!V:V,0))*Specs!$N$2)+AM155,0)</f>
        <v>1</v>
      </c>
      <c r="AO155" s="40">
        <f>ROUNDUP(((AJ155+Specs!$R$2+Specs!$S$2+_xlfn.XLOOKUP($L155,Specs!A:A,Specs!V:V,0))*Specs!$N$2),0)</f>
        <v>1</v>
      </c>
      <c r="AP155" s="30"/>
    </row>
    <row r="156" spans="1:42" x14ac:dyDescent="0.25">
      <c r="A156" s="41" t="str">
        <f>_xlfn.CONCAT(_xlfn.XLOOKUP("What's Your Name?",[1]Sheet1!$1:$1,[1]Sheet1!156:156)," | ",TEXT(_xlfn.XLOOKUP("Completion time",[1]Sheet1!$1:$1,[1]Sheet1!156:156),"dddd, mmm dd, yyyy hh:mm AM/PM"))</f>
        <v xml:space="preserve"> | Saturday, Jan 00, 1900 12:00 AM</v>
      </c>
      <c r="B156" s="76">
        <f>_xlfn.XLOOKUP("What's Your Email Address?",[1]Sheet1!$1:$1,[1]Sheet1!156:156)</f>
        <v>0</v>
      </c>
      <c r="C156" s="31">
        <f>IF(ISBLANK(_xlfn.XLOOKUP("Which Flavor? (Pint Price | Quart Price | Half Gallon Price) (NOTE: Prices may fluctuate based on market conditions)",[1]Sheet1!$1:$1,[1]Sheet1!156:156)),_xlfn.XLOOKUP("Name Your Ice Cream!",[1]Sheet1!$1:$1,[1]Sheet1!156:156),IF(ISNUMBER(FIND("(", _xlfn.XLOOKUP("Which Flavor? (Pint Price | Quart Price | Half Gallon Price) (NOTE: Prices may fluctuate based on market conditions)",[1]Sheet1!$1:$1,[1]Sheet1!156:156))), LEFT(_xlfn.XLOOKUP("Which Flavor? (Pint Price | Quart Price | Half Gallon Price) (NOTE: Prices may fluctuate based on market conditions)",[1]Sheet1!$1:$1,[1]Sheet1!156:156), FIND("(", _xlfn.XLOOKUP("Which Flavor? (Pint Price | Quart Price | Half Gallon Price) (NOTE: Prices may fluctuate based on market conditions)",[1]Sheet1!$1:$1,[1]Sheet1!156:156)) - 1), _xlfn.XLOOKUP("Which Flavor? (Pint Price | Quart Price | Half Gallon Price) (NOTE: Prices may fluctuate based on market conditions)",[1]Sheet1!$1:$1,[1]Sheet1!156:156)))</f>
        <v>0</v>
      </c>
      <c r="D156" s="31">
        <f>IF(COUNTIF('Premade Flavors'!$A:$A, $C156) &gt; 0,IF(ISBLANK(_xlfn.XLOOKUP("What Ice Cream Base Do You Want To Change It To?",[1]Sheet1!$1:$1,[1]Sheet1!156:156)),_xlfn.XLOOKUP($C156,'Premade Flavors'!$A:$A,'Premade Flavors'!B:B),_xlfn.XLOOKUP("What Ice Cream Base Do You Want To Change It To?",[1]Sheet1!$1:$1,[1]Sheet1!156:156)),_xlfn.XLOOKUP(_xlfn.XLOOKUP("What Kind Of Ice Cream Base Do You Want? ",[1]Sheet1!$1:$1,[1]Sheet1!156:156),'Milk Types Nutrition Per Cup'!O:O,'Milk Types Nutrition Per Cup'!P:P,""))</f>
        <v>0</v>
      </c>
      <c r="E156" s="31">
        <f>IF(COUNTIF('Premade Flavors'!$A:$A, $C156) &gt; 0,IF(ISBLANK(_xlfn.XLOOKUP("What Ice Cream Base Do You Want To Change It To?",[1]Sheet1!$1:$1,[1]Sheet1!156:156)),_xlfn.XLOOKUP($C156,'Premade Flavors'!$A:$A,'Premade Flavors'!C:C),_xlfn.XLOOKUP("What Ice Cream Base Do You Want To Change It To?",[1]Sheet1!$1:$1,[1]Sheet1!156:156)),_xlfn.XLOOKUP(_xlfn.XLOOKUP("What Kind Of Ice Cream Base Do You Want? ",[1]Sheet1!$1:$1,[1]Sheet1!156:156),'Milk Types Nutrition Per Cup'!$O:$O,'Milk Types Nutrition Per Cup'!$Q:$Q,""))</f>
        <v>0</v>
      </c>
      <c r="F156" s="31">
        <f>IF(COUNTIF('Premade Flavors'!$A:$A, $C156) &gt; 0,_xlfn.XLOOKUP($C156,'Premade Flavors'!$A:$A,'Premade Flavors'!E:E),_xlfn.XLOOKUP("What's The First Flavor You Want? ",[1]Sheet1!$1:$1,[1]Sheet1!156:156))</f>
        <v>0</v>
      </c>
      <c r="G156" s="31">
        <f>IF(COUNTIF('Premade Flavors'!$A:$A, $C156) &gt; 0,_xlfn.XLOOKUP($C156,'Premade Flavors'!$A:$A,'Premade Flavors'!F:F),_xlfn.XLOOKUP("What's the Second Flavor You Want?",[1]Sheet1!$1:$1,[1]Sheet1!156:156))</f>
        <v>0</v>
      </c>
      <c r="H156" s="31">
        <f>IF(COUNTIF('Premade Flavors'!$A:$A, $C156) &gt; 0,_xlfn.XLOOKUP($C156,'Premade Flavors'!$A:$A,'Premade Flavors'!G:G),_xlfn.XLOOKUP("What's The First Mix In That You Want? ",[1]Sheet1!$1:$1,[1]Sheet1!156:156))</f>
        <v>0</v>
      </c>
      <c r="I156" s="31">
        <f>IF(COUNTIF('Premade Flavors'!$A:$A, $C154) &gt; 0,_xlfn.XLOOKUP($C154,'Premade Flavors'!$A:$A,'Premade Flavors'!H:H),IF([2]Sheet1!W154= 0,,[2]Sheet1!W154))</f>
        <v>0</v>
      </c>
      <c r="J156" s="31">
        <f>IF(COUNTIF('Premade Flavors'!$A:$A,$C156)&gt;0,IF(_xlfn.XLOOKUP("Should It Use Sugar or A Non-Sugar Sweetner?",[1]Sheet1!$1:$1,[1]Sheet1!156:156)="Sugar",_xlfn.XLOOKUP($C156,'Premade Flavors'!$A:$A,'Premade Flavors'!I:I),"Stevia"),_xlfn.XLOOKUP("What Sweetner Do You Want?",[1]Sheet1!$1:$1,[1]Sheet1!156:156))</f>
        <v>0</v>
      </c>
      <c r="K156" s="31"/>
      <c r="L156" s="77">
        <f>_xlfn.XLOOKUP("How Much Ice Cream Do You Want?",[1]Sheet1!$1:$1,[1]Sheet1!156:156)</f>
        <v>0</v>
      </c>
      <c r="M156" s="45">
        <f>IF(COUNTIF('Premade Flavors'!$A:$A, $C156) &gt; 0,_xlfn.XLOOKUP($C156,'Premade Flavors'!$A:$A,'Premade Flavors'!M:M),_xlfn.XLOOKUP("How Strong Do You Want The First Flavor?",[1]Sheet1!$1:$1,[1]Sheet1!156:156))</f>
        <v>0</v>
      </c>
      <c r="N156" s="45">
        <f>IF(COUNTIF('Premade Flavors'!$A:$A, $C156) &gt; 0,_xlfn.XLOOKUP($C156,'Premade Flavors'!$A:$A,'Premade Flavors'!N:N),_xlfn.XLOOKUP("How Strong Do You Want The Second Flavor?",[1]Sheet1!$1:$1,[1]Sheet1!156:156))</f>
        <v>0</v>
      </c>
      <c r="O156" s="45">
        <f>IF(COUNTIF('Premade Flavors'!$A:$A, $C156) &gt; 0,_xlfn.XLOOKUP($C156,'Premade Flavors'!$A:$A,'Premade Flavors'!O:O),_xlfn.XLOOKUP("How Dense Should the Mix Ins Be?",[1]Sheet1!$1:$1,[1]Sheet1!156:156))</f>
        <v>0</v>
      </c>
      <c r="P156" s="45">
        <f>IF(COUNTIF('Premade Flavors'!$A:$A, $C156) &gt; 0,_xlfn.XLOOKUP($C156,'Premade Flavors'!$A:$A,'Premade Flavors'!P:P),_xlfn.XLOOKUP("How Much Of The First Sweetner? ",[1]Sheet1!$1:$1,[1]Sheet1!156:156))</f>
        <v>0</v>
      </c>
      <c r="Q156" s="45">
        <f>IF(COUNTIF('Premade Flavors'!$A:$A, $C156) &gt; 0,_xlfn.XLOOKUP($C156,'Premade Flavors'!$A:$A,'Premade Flavors'!Q:Q),[2]Sheet1!S156)</f>
        <v>0</v>
      </c>
      <c r="R156" s="30">
        <f>(_xlfn.XLOOKUP($L156,Specs!A:A,Specs!B:B,0)-(IF(_xlfn.XLOOKUP($F156,'Liquid Mix In Nutrition'!A:A,'Liquid Mix In Nutrition'!J:J,0)="Yes",0,$T156))-(IF(_xlfn.XLOOKUP($G156,'Liquid Mix In Nutrition'!A:A,'Liquid Mix In Nutrition'!J:J,0)="Yes",0,$U156))-(($V156/MAX(1,_xlfn.XLOOKUP($H156,'Solid Mix In Nutrition'!A:A,'Solid Mix In Nutrition'!I:I,1)))*240)-(($W156/MAX(1,_xlfn.XLOOKUP($I156,'Solid Mix In Nutrition'!A:A,'Solid Mix In Nutrition'!I:I,1)))*240))*0.66</f>
        <v>0</v>
      </c>
      <c r="S156" s="30">
        <f>(_xlfn.XLOOKUP($L156,Specs!A:A,Specs!B:B,0)-(IF(_xlfn.XLOOKUP($F156,'Liquid Mix In Nutrition'!A:A,'Liquid Mix In Nutrition'!J:J,0)="Yes",0,$T156))-(IF(_xlfn.XLOOKUP($G156,'Liquid Mix In Nutrition'!A:A,'Liquid Mix In Nutrition'!J:J,0)="Yes",0,$U156))-(($V156/MAX(1,_xlfn.XLOOKUP($H156,'Solid Mix In Nutrition'!A:A,'Solid Mix In Nutrition'!I:I,1)))*240)-(($W156/MAX(1,_xlfn.XLOOKUP($I156,'Solid Mix In Nutrition'!A:A,'Solid Mix In Nutrition'!I:I,1)))*240))*0.33</f>
        <v>0</v>
      </c>
      <c r="T156" s="30">
        <f>_xlfn.XLOOKUP($M156,Specs!$D:$D,Specs!$E:$E,0)*15*_xlfn.XLOOKUP($L156,Specs!$A:$A,Specs!$C:$C,0)</f>
        <v>0</v>
      </c>
      <c r="U156" s="30">
        <f>_xlfn.XLOOKUP($N156,Specs!$D:$D,Specs!$E:$E,0)*15*_xlfn.XLOOKUP($L156,Specs!$A:$A,Specs!$C:$C,0)</f>
        <v>0</v>
      </c>
      <c r="V156" s="30">
        <f>( ((_xlfn.XLOOKUP($O156,Specs!$H:$H,Specs!$I:$I,0)*_xlfn.XLOOKUP($L156,Specs!$A:$A,Specs!$B:$B,0))/240) *_xlfn.XLOOKUP($H156,'Solid Mix In Nutrition'!A:A,'Solid Mix In Nutrition'!I:I,0)) *IF(AND(NOT($I156=0), COUNTA($I156)),0.5,1)</f>
        <v>0</v>
      </c>
      <c r="W156" s="30">
        <f>( ((_xlfn.XLOOKUP($O156,Specs!$H:$H,Specs!$I:$I,0)*_xlfn.XLOOKUP($L156,Specs!$A:$A,Specs!$B:$B,0))/240) *_xlfn.XLOOKUP($I156,'Solid Mix In Nutrition'!A:A,'Solid Mix In Nutrition'!I:I,0)) *IF(AND(NOT($I156=0), COUNTA($I156)),0.5,0)</f>
        <v>0</v>
      </c>
      <c r="X156" s="30">
        <f>_xlfn.XLOOKUP($P156,Specs!F:F,Specs!G:G,0)*_xlfn.XLOOKUP($J156,'Sweetener Mix In Nutrition'!A:A,'Sweetener Mix In Nutrition'!I:I,0)*_xlfn.XLOOKUP($L156,Specs!A:A,Specs!C:C,0)</f>
        <v>0</v>
      </c>
      <c r="Y156" s="30">
        <f>_xlfn.XLOOKUP($Q156,Specs!F:F,Specs!G:G,0)*_xlfn.XLOOKUP($K156,'Sweetener Mix In Nutrition'!A:A,'Sweetener Mix In Nutrition'!I:I,0)*_xlfn.XLOOKUP($L156,Specs!A:A,Specs!C:C,0)</f>
        <v>0</v>
      </c>
      <c r="Z156" s="34">
        <f t="shared" si="4"/>
        <v>0</v>
      </c>
      <c r="AA156" s="35">
        <f t="shared" si="5"/>
        <v>0</v>
      </c>
      <c r="AB156" s="36">
        <f>(($R156 / 240) * _xlfn.XLOOKUP($D156,'Milk Types Nutrition Per Cup'!A:A,'Milk Types Nutrition Per Cup'!B:B,0)) +(($S156 / 240)  * _xlfn.XLOOKUP($E156,'Milk Types Nutrition Per Cup'!A:A,'Milk Types Nutrition Per Cup'!B:B,0)) +(($T156 / 15)  * _xlfn.XLOOKUP($F156,'Liquid Mix In Nutrition'!A:A,'Liquid Mix In Nutrition'!B:B,0))+(($U156 / 15)  * _xlfn.XLOOKUP($G156,'Liquid Mix In Nutrition'!A:A,'Liquid Mix In Nutrition'!B:B,0))+(($V156 /MAX(1, _xlfn.XLOOKUP($H156,'Solid Mix In Nutrition'!A:A,'Solid Mix In Nutrition'!I:I,1)))  * _xlfn.XLOOKUP($H156,'Solid Mix In Nutrition'!A:A,'Solid Mix In Nutrition'!B:B,0))+(($W156 / MAX(1, _xlfn.XLOOKUP($I156,'Solid Mix In Nutrition'!A:A,'Solid Mix In Nutrition'!I:I,1))))+(($X156 / 100)  * _xlfn.XLOOKUP($J156,'Sweetener Mix In Nutrition'!A:A,'Sweetener Mix In Nutrition'!B:B,0))+(($Y156 / 100)  * _xlfn.XLOOKUP($K156,'Sweetener Mix In Nutrition'!A:A,'Sweetener Mix In Nutrition'!B:B,0))</f>
        <v>0</v>
      </c>
      <c r="AC156" s="36">
        <f>(($R156 / 240) * _xlfn.XLOOKUP($D156,'Milk Types Nutrition Per Cup'!A:A,'Milk Types Nutrition Per Cup'!E:E,0)) +(($S156 / 240)  * _xlfn.XLOOKUP($E156,'Milk Types Nutrition Per Cup'!A:A,'Milk Types Nutrition Per Cup'!E:E,0)) +(($T156 / 15)  * _xlfn.XLOOKUP($F156,'Liquid Mix In Nutrition'!A:A,'Liquid Mix In Nutrition'!E:E,0)) +(($U156 / 15)  * _xlfn.XLOOKUP($G156,'Liquid Mix In Nutrition'!A:A,'Liquid Mix In Nutrition'!E:E,0))+(($V156 / MAX(1, _xlfn.XLOOKUP($H156,'Solid Mix In Nutrition'!A:A,'Solid Mix In Nutrition'!I:I,1)))  * _xlfn.XLOOKUP($H156,'Solid Mix In Nutrition'!A:A,'Solid Mix In Nutrition'!E:E,0))+(($W156 / MAX(1, _xlfn.XLOOKUP($I156,'Solid Mix In Nutrition'!A:A,'Solid Mix In Nutrition'!I:I,1)))  * _xlfn.XLOOKUP($I156,'Solid Mix In Nutrition'!A:A,'Solid Mix In Nutrition'!G:G,0))+(($X156 / 100)  * _xlfn.XLOOKUP($J156,'Sweetener Mix In Nutrition'!A:A,'Sweetener Mix In Nutrition'!E:E,0))+(($Y156 / 100)  * _xlfn.XLOOKUP($K156,'Sweetener Mix In Nutrition'!A:A,'Sweetener Mix In Nutrition'!E:E,0))</f>
        <v>0</v>
      </c>
      <c r="AD156" s="36">
        <f>(($R156 / 240) * _xlfn.XLOOKUP($D156,'Milk Types Nutrition Per Cup'!A:A,'Milk Types Nutrition Per Cup'!E:E,0)) +(($S156 / 240)  * _xlfn.XLOOKUP($E156,'Milk Types Nutrition Per Cup'!A:A,'Milk Types Nutrition Per Cup'!E:E,0)) +(($T156 / 15)  * _xlfn.XLOOKUP($F156,'Liquid Mix In Nutrition'!A:A,'Liquid Mix In Nutrition'!E:E,0)) +(($U156 / 15)  * _xlfn.XLOOKUP($G156,'Liquid Mix In Nutrition'!A:A,'Liquid Mix In Nutrition'!E:E,0))+(($X156 / 100)  * _xlfn.XLOOKUP($J156,'Sweetener Mix In Nutrition'!A:A,'Sweetener Mix In Nutrition'!E:E,0))+(($Y156 / 100)  * _xlfn.XLOOKUP($K156,'Sweetener Mix In Nutrition'!A:A,'Sweetener Mix In Nutrition'!E:E,0))</f>
        <v>0</v>
      </c>
      <c r="AE156" s="37">
        <f>(($R156 / 240) * _xlfn.XLOOKUP($D156,'Milk Types Nutrition Per Cup'!A:A,'Milk Types Nutrition Per Cup'!C:C,0)) +(($S156 / 240)  * _xlfn.XLOOKUP($E156,'Milk Types Nutrition Per Cup'!A:A,'Milk Types Nutrition Per Cup'!C:C,0)) +(($T156 / 15)  * _xlfn.XLOOKUP($F156,'Liquid Mix In Nutrition'!A:A,'Liquid Mix In Nutrition'!C:C,0))+(($U156 / 15)  * _xlfn.XLOOKUP($G156,'Liquid Mix In Nutrition'!A:A,'Liquid Mix In Nutrition'!C:C,0))+(($V156 / MAX(1, _xlfn.XLOOKUP($H156,'Solid Mix In Nutrition'!A:A,'Solid Mix In Nutrition'!I:I,1)))  * _xlfn.XLOOKUP($H156,'Solid Mix In Nutrition'!A:A,'Solid Mix In Nutrition'!C:C,0))+(($W156 / MAX(1, _xlfn.XLOOKUP($I156,'Solid Mix In Nutrition'!A:A,'Solid Mix In Nutrition'!I:I,1)))  * _xlfn.XLOOKUP($I156,'Solid Mix In Nutrition'!A:A,'Solid Mix In Nutrition'!C:C,0))+(($X156 / 100)  * _xlfn.XLOOKUP($J156,'Sweetener Mix In Nutrition'!A:A,'Sweetener Mix In Nutrition'!C:C,0))+(($Y156 / 100)  * _xlfn.XLOOKUP($K156,'Sweetener Mix In Nutrition'!A:A,'Sweetener Mix In Nutrition'!C:C,0))</f>
        <v>0</v>
      </c>
      <c r="AF156" s="38" t="e">
        <f>$AE156 / (_xlfn.XLOOKUP($L156,Specs!A:A,Specs!B:B,0))</f>
        <v>#DIV/0!</v>
      </c>
      <c r="AG156" s="37" t="e">
        <f>60* ($AB156 / _xlfn.XLOOKUP($L156,Specs!A:A,Specs!B:B,0))</f>
        <v>#DIV/0!</v>
      </c>
      <c r="AH156" s="37" t="e">
        <f>60* (AC156 / _xlfn.XLOOKUP($L156,Specs!$A:$A,Specs!$B:$B,0))</f>
        <v>#DIV/0!</v>
      </c>
      <c r="AI156" s="37" t="e">
        <f>60* (AE156 / _xlfn.XLOOKUP($L156,Specs!$A:$A,Specs!$B:$B,0))</f>
        <v>#DIV/0!</v>
      </c>
      <c r="AJ156" s="39">
        <f>(($R156 / 240) * _xlfn.XLOOKUP($D156,'Milk Types Nutrition Per Cup'!A:A,'Milk Types Nutrition Per Cup'!F:F,0)) +(($S156 / 240)  * _xlfn.XLOOKUP($E156,'Milk Types Nutrition Per Cup'!A:A,'Milk Types Nutrition Per Cup'!F:F,0)) +(($T156 / 15)  * _xlfn.XLOOKUP($F156,'Liquid Mix In Nutrition'!A:A,'Liquid Mix In Nutrition'!F:F,0))+(($U156 / 15)  * _xlfn.XLOOKUP($G156,'Liquid Mix In Nutrition'!A:A,'Liquid Mix In Nutrition'!F:F,0))+(($V156 / MAX(1, _xlfn.XLOOKUP($H156,'Solid Mix In Nutrition'!A:A,'Solid Mix In Nutrition'!I:I,1)))  * _xlfn.XLOOKUP($H156,'Solid Mix In Nutrition'!A:A,'Solid Mix In Nutrition'!F:F,0))+(($W156 / MAX(1, _xlfn.XLOOKUP($I156,'Solid Mix In Nutrition'!A:A,'Solid Mix In Nutrition'!I:I,1)))  * _xlfn.XLOOKUP($I156,'Solid Mix In Nutrition'!A:A,'Solid Mix In Nutrition'!F:F,0))+(($X156 / 100)  * _xlfn.XLOOKUP($J156,'Sweetener Mix In Nutrition'!A:A,'Sweetener Mix In Nutrition'!F:F,0))+(($Y156 / 100)  * _xlfn.XLOOKUP($K156,'Sweetener Mix In Nutrition'!A:A,'Sweetener Mix In Nutrition'!F:F,0))</f>
        <v>0</v>
      </c>
      <c r="AK156" s="46">
        <f>[2]Sheet1!AG156</f>
        <v>0</v>
      </c>
      <c r="AL156" s="47"/>
      <c r="AM156" s="40">
        <f>IF(ISERROR(((AL156/Specs!$L$3)*Specs!$L$2)*2),0,ROUNDUP((((AL156/Specs!$L$3)*Specs!$L$2)*2),0))</f>
        <v>0</v>
      </c>
      <c r="AN156" s="48">
        <f>ROUNDUP(((AJ156+Specs!$R$2+Specs!$S$2+_xlfn.XLOOKUP($L156,Specs!A:A,Specs!V:V,0))*Specs!$N$2)+AM156,0)</f>
        <v>1</v>
      </c>
      <c r="AO156" s="40">
        <f>ROUNDUP(((AJ156+Specs!$R$2+Specs!$S$2+_xlfn.XLOOKUP($L156,Specs!A:A,Specs!V:V,0))*Specs!$N$2),0)</f>
        <v>1</v>
      </c>
      <c r="AP156" s="30"/>
    </row>
    <row r="157" spans="1:42" x14ac:dyDescent="0.25">
      <c r="A157" s="41" t="str">
        <f>_xlfn.CONCAT(_xlfn.XLOOKUP("What's Your Name?",[1]Sheet1!$1:$1,[1]Sheet1!157:157)," | ",TEXT(_xlfn.XLOOKUP("Completion time",[1]Sheet1!$1:$1,[1]Sheet1!157:157),"dddd, mmm dd, yyyy hh:mm AM/PM"))</f>
        <v xml:space="preserve"> | Saturday, Jan 00, 1900 12:00 AM</v>
      </c>
      <c r="B157" s="76">
        <f>_xlfn.XLOOKUP("What's Your Email Address?",[1]Sheet1!$1:$1,[1]Sheet1!157:157)</f>
        <v>0</v>
      </c>
      <c r="C157" s="31">
        <f>IF(ISBLANK(_xlfn.XLOOKUP("Which Flavor? (Pint Price | Quart Price | Half Gallon Price) (NOTE: Prices may fluctuate based on market conditions)",[1]Sheet1!$1:$1,[1]Sheet1!157:157)),_xlfn.XLOOKUP("Name Your Ice Cream!",[1]Sheet1!$1:$1,[1]Sheet1!157:157),IF(ISNUMBER(FIND("(", _xlfn.XLOOKUP("Which Flavor? (Pint Price | Quart Price | Half Gallon Price) (NOTE: Prices may fluctuate based on market conditions)",[1]Sheet1!$1:$1,[1]Sheet1!157:157))), LEFT(_xlfn.XLOOKUP("Which Flavor? (Pint Price | Quart Price | Half Gallon Price) (NOTE: Prices may fluctuate based on market conditions)",[1]Sheet1!$1:$1,[1]Sheet1!157:157), FIND("(", _xlfn.XLOOKUP("Which Flavor? (Pint Price | Quart Price | Half Gallon Price) (NOTE: Prices may fluctuate based on market conditions)",[1]Sheet1!$1:$1,[1]Sheet1!157:157)) - 1), _xlfn.XLOOKUP("Which Flavor? (Pint Price | Quart Price | Half Gallon Price) (NOTE: Prices may fluctuate based on market conditions)",[1]Sheet1!$1:$1,[1]Sheet1!157:157)))</f>
        <v>0</v>
      </c>
      <c r="D157" s="31">
        <f>IF(COUNTIF('Premade Flavors'!$A:$A, $C157) &gt; 0,IF(ISBLANK(_xlfn.XLOOKUP("What Ice Cream Base Do You Want To Change It To?",[1]Sheet1!$1:$1,[1]Sheet1!157:157)),_xlfn.XLOOKUP($C157,'Premade Flavors'!$A:$A,'Premade Flavors'!B:B),_xlfn.XLOOKUP("What Ice Cream Base Do You Want To Change It To?",[1]Sheet1!$1:$1,[1]Sheet1!157:157)),_xlfn.XLOOKUP(_xlfn.XLOOKUP("What Kind Of Ice Cream Base Do You Want? ",[1]Sheet1!$1:$1,[1]Sheet1!157:157),'Milk Types Nutrition Per Cup'!O:O,'Milk Types Nutrition Per Cup'!P:P,""))</f>
        <v>0</v>
      </c>
      <c r="E157" s="31">
        <f>IF(COUNTIF('Premade Flavors'!$A:$A, $C157) &gt; 0,IF(ISBLANK(_xlfn.XLOOKUP("What Ice Cream Base Do You Want To Change It To?",[1]Sheet1!$1:$1,[1]Sheet1!157:157)),_xlfn.XLOOKUP($C157,'Premade Flavors'!$A:$A,'Premade Flavors'!C:C),_xlfn.XLOOKUP("What Ice Cream Base Do You Want To Change It To?",[1]Sheet1!$1:$1,[1]Sheet1!157:157)),_xlfn.XLOOKUP(_xlfn.XLOOKUP("What Kind Of Ice Cream Base Do You Want? ",[1]Sheet1!$1:$1,[1]Sheet1!157:157),'Milk Types Nutrition Per Cup'!$O:$O,'Milk Types Nutrition Per Cup'!$Q:$Q,""))</f>
        <v>0</v>
      </c>
      <c r="F157" s="31">
        <f>IF(COUNTIF('Premade Flavors'!$A:$A, $C157) &gt; 0,_xlfn.XLOOKUP($C157,'Premade Flavors'!$A:$A,'Premade Flavors'!E:E),_xlfn.XLOOKUP("What's The First Flavor You Want? ",[1]Sheet1!$1:$1,[1]Sheet1!157:157))</f>
        <v>0</v>
      </c>
      <c r="G157" s="31">
        <f>IF(COUNTIF('Premade Flavors'!$A:$A, $C157) &gt; 0,_xlfn.XLOOKUP($C157,'Premade Flavors'!$A:$A,'Premade Flavors'!F:F),_xlfn.XLOOKUP("What's the Second Flavor You Want?",[1]Sheet1!$1:$1,[1]Sheet1!157:157))</f>
        <v>0</v>
      </c>
      <c r="H157" s="31">
        <f>IF(COUNTIF('Premade Flavors'!$A:$A, $C157) &gt; 0,_xlfn.XLOOKUP($C157,'Premade Flavors'!$A:$A,'Premade Flavors'!G:G),_xlfn.XLOOKUP("What's The First Mix In That You Want? ",[1]Sheet1!$1:$1,[1]Sheet1!157:157))</f>
        <v>0</v>
      </c>
      <c r="I157" s="31">
        <f>IF(COUNTIF('Premade Flavors'!$A:$A, $C155) &gt; 0,_xlfn.XLOOKUP($C155,'Premade Flavors'!$A:$A,'Premade Flavors'!H:H),IF([2]Sheet1!W155= 0,,[2]Sheet1!W155))</f>
        <v>0</v>
      </c>
      <c r="J157" s="31">
        <f>IF(COUNTIF('Premade Flavors'!$A:$A,$C157)&gt;0,IF(_xlfn.XLOOKUP("Should It Use Sugar or A Non-Sugar Sweetner?",[1]Sheet1!$1:$1,[1]Sheet1!157:157)="Sugar",_xlfn.XLOOKUP($C157,'Premade Flavors'!$A:$A,'Premade Flavors'!I:I),"Stevia"),_xlfn.XLOOKUP("What Sweetner Do You Want?",[1]Sheet1!$1:$1,[1]Sheet1!157:157))</f>
        <v>0</v>
      </c>
      <c r="K157" s="31"/>
      <c r="L157" s="77">
        <f>_xlfn.XLOOKUP("How Much Ice Cream Do You Want?",[1]Sheet1!$1:$1,[1]Sheet1!157:157)</f>
        <v>0</v>
      </c>
      <c r="M157" s="45">
        <f>IF(COUNTIF('Premade Flavors'!$A:$A, $C157) &gt; 0,_xlfn.XLOOKUP($C157,'Premade Flavors'!$A:$A,'Premade Flavors'!M:M),_xlfn.XLOOKUP("How Strong Do You Want The First Flavor?",[1]Sheet1!$1:$1,[1]Sheet1!157:157))</f>
        <v>0</v>
      </c>
      <c r="N157" s="45">
        <f>IF(COUNTIF('Premade Flavors'!$A:$A, $C157) &gt; 0,_xlfn.XLOOKUP($C157,'Premade Flavors'!$A:$A,'Premade Flavors'!N:N),_xlfn.XLOOKUP("How Strong Do You Want The Second Flavor?",[1]Sheet1!$1:$1,[1]Sheet1!157:157))</f>
        <v>0</v>
      </c>
      <c r="O157" s="45">
        <f>IF(COUNTIF('Premade Flavors'!$A:$A, $C157) &gt; 0,_xlfn.XLOOKUP($C157,'Premade Flavors'!$A:$A,'Premade Flavors'!O:O),_xlfn.XLOOKUP("How Dense Should the Mix Ins Be?",[1]Sheet1!$1:$1,[1]Sheet1!157:157))</f>
        <v>0</v>
      </c>
      <c r="P157" s="45">
        <f>IF(COUNTIF('Premade Flavors'!$A:$A, $C157) &gt; 0,_xlfn.XLOOKUP($C157,'Premade Flavors'!$A:$A,'Premade Flavors'!P:P),_xlfn.XLOOKUP("How Much Of The First Sweetner? ",[1]Sheet1!$1:$1,[1]Sheet1!157:157))</f>
        <v>0</v>
      </c>
      <c r="Q157" s="45">
        <f>IF(COUNTIF('Premade Flavors'!$A:$A, $C157) &gt; 0,_xlfn.XLOOKUP($C157,'Premade Flavors'!$A:$A,'Premade Flavors'!Q:Q),[2]Sheet1!S157)</f>
        <v>0</v>
      </c>
      <c r="R157" s="30">
        <f>(_xlfn.XLOOKUP($L157,Specs!A:A,Specs!B:B,0)-(IF(_xlfn.XLOOKUP($F157,'Liquid Mix In Nutrition'!A:A,'Liquid Mix In Nutrition'!J:J,0)="Yes",0,$T157))-(IF(_xlfn.XLOOKUP($G157,'Liquid Mix In Nutrition'!A:A,'Liquid Mix In Nutrition'!J:J,0)="Yes",0,$U157))-(($V157/MAX(1,_xlfn.XLOOKUP($H157,'Solid Mix In Nutrition'!A:A,'Solid Mix In Nutrition'!I:I,1)))*240)-(($W157/MAX(1,_xlfn.XLOOKUP($I157,'Solid Mix In Nutrition'!A:A,'Solid Mix In Nutrition'!I:I,1)))*240))*0.66</f>
        <v>0</v>
      </c>
      <c r="S157" s="30">
        <f>(_xlfn.XLOOKUP($L157,Specs!A:A,Specs!B:B,0)-(IF(_xlfn.XLOOKUP($F157,'Liquid Mix In Nutrition'!A:A,'Liquid Mix In Nutrition'!J:J,0)="Yes",0,$T157))-(IF(_xlfn.XLOOKUP($G157,'Liquid Mix In Nutrition'!A:A,'Liquid Mix In Nutrition'!J:J,0)="Yes",0,$U157))-(($V157/MAX(1,_xlfn.XLOOKUP($H157,'Solid Mix In Nutrition'!A:A,'Solid Mix In Nutrition'!I:I,1)))*240)-(($W157/MAX(1,_xlfn.XLOOKUP($I157,'Solid Mix In Nutrition'!A:A,'Solid Mix In Nutrition'!I:I,1)))*240))*0.33</f>
        <v>0</v>
      </c>
      <c r="T157" s="30">
        <f>_xlfn.XLOOKUP($M157,Specs!$D:$D,Specs!$E:$E,0)*15*_xlfn.XLOOKUP($L157,Specs!$A:$A,Specs!$C:$C,0)</f>
        <v>0</v>
      </c>
      <c r="U157" s="30">
        <f>_xlfn.XLOOKUP($N157,Specs!$D:$D,Specs!$E:$E,0)*15*_xlfn.XLOOKUP($L157,Specs!$A:$A,Specs!$C:$C,0)</f>
        <v>0</v>
      </c>
      <c r="V157" s="30">
        <f>( ((_xlfn.XLOOKUP($O157,Specs!$H:$H,Specs!$I:$I,0)*_xlfn.XLOOKUP($L157,Specs!$A:$A,Specs!$B:$B,0))/240) *_xlfn.XLOOKUP($H157,'Solid Mix In Nutrition'!A:A,'Solid Mix In Nutrition'!I:I,0)) *IF(AND(NOT($I157=0), COUNTA($I157)),0.5,1)</f>
        <v>0</v>
      </c>
      <c r="W157" s="30">
        <f>( ((_xlfn.XLOOKUP($O157,Specs!$H:$H,Specs!$I:$I,0)*_xlfn.XLOOKUP($L157,Specs!$A:$A,Specs!$B:$B,0))/240) *_xlfn.XLOOKUP($I157,'Solid Mix In Nutrition'!A:A,'Solid Mix In Nutrition'!I:I,0)) *IF(AND(NOT($I157=0), COUNTA($I157)),0.5,0)</f>
        <v>0</v>
      </c>
      <c r="X157" s="30">
        <f>_xlfn.XLOOKUP($P157,Specs!F:F,Specs!G:G,0)*_xlfn.XLOOKUP($J157,'Sweetener Mix In Nutrition'!A:A,'Sweetener Mix In Nutrition'!I:I,0)*_xlfn.XLOOKUP($L157,Specs!A:A,Specs!C:C,0)</f>
        <v>0</v>
      </c>
      <c r="Y157" s="30">
        <f>_xlfn.XLOOKUP($Q157,Specs!F:F,Specs!G:G,0)*_xlfn.XLOOKUP($K157,'Sweetener Mix In Nutrition'!A:A,'Sweetener Mix In Nutrition'!I:I,0)*_xlfn.XLOOKUP($L157,Specs!A:A,Specs!C:C,0)</f>
        <v>0</v>
      </c>
      <c r="Z157" s="34">
        <f t="shared" si="4"/>
        <v>0</v>
      </c>
      <c r="AA157" s="35">
        <f t="shared" si="5"/>
        <v>0</v>
      </c>
      <c r="AB157" s="36">
        <f>(($R157 / 240) * _xlfn.XLOOKUP($D157,'Milk Types Nutrition Per Cup'!A:A,'Milk Types Nutrition Per Cup'!B:B,0)) +(($S157 / 240)  * _xlfn.XLOOKUP($E157,'Milk Types Nutrition Per Cup'!A:A,'Milk Types Nutrition Per Cup'!B:B,0)) +(($T157 / 15)  * _xlfn.XLOOKUP($F157,'Liquid Mix In Nutrition'!A:A,'Liquid Mix In Nutrition'!B:B,0))+(($U157 / 15)  * _xlfn.XLOOKUP($G157,'Liquid Mix In Nutrition'!A:A,'Liquid Mix In Nutrition'!B:B,0))+(($V157 /MAX(1, _xlfn.XLOOKUP($H157,'Solid Mix In Nutrition'!A:A,'Solid Mix In Nutrition'!I:I,1)))  * _xlfn.XLOOKUP($H157,'Solid Mix In Nutrition'!A:A,'Solid Mix In Nutrition'!B:B,0))+(($W157 / MAX(1, _xlfn.XLOOKUP($I157,'Solid Mix In Nutrition'!A:A,'Solid Mix In Nutrition'!I:I,1))))+(($X157 / 100)  * _xlfn.XLOOKUP($J157,'Sweetener Mix In Nutrition'!A:A,'Sweetener Mix In Nutrition'!B:B,0))+(($Y157 / 100)  * _xlfn.XLOOKUP($K157,'Sweetener Mix In Nutrition'!A:A,'Sweetener Mix In Nutrition'!B:B,0))</f>
        <v>0</v>
      </c>
      <c r="AC157" s="36">
        <f>(($R157 / 240) * _xlfn.XLOOKUP($D157,'Milk Types Nutrition Per Cup'!A:A,'Milk Types Nutrition Per Cup'!E:E,0)) +(($S157 / 240)  * _xlfn.XLOOKUP($E157,'Milk Types Nutrition Per Cup'!A:A,'Milk Types Nutrition Per Cup'!E:E,0)) +(($T157 / 15)  * _xlfn.XLOOKUP($F157,'Liquid Mix In Nutrition'!A:A,'Liquid Mix In Nutrition'!E:E,0)) +(($U157 / 15)  * _xlfn.XLOOKUP($G157,'Liquid Mix In Nutrition'!A:A,'Liquid Mix In Nutrition'!E:E,0))+(($V157 / MAX(1, _xlfn.XLOOKUP($H157,'Solid Mix In Nutrition'!A:A,'Solid Mix In Nutrition'!I:I,1)))  * _xlfn.XLOOKUP($H157,'Solid Mix In Nutrition'!A:A,'Solid Mix In Nutrition'!E:E,0))+(($W157 / MAX(1, _xlfn.XLOOKUP($I157,'Solid Mix In Nutrition'!A:A,'Solid Mix In Nutrition'!I:I,1)))  * _xlfn.XLOOKUP($I157,'Solid Mix In Nutrition'!A:A,'Solid Mix In Nutrition'!G:G,0))+(($X157 / 100)  * _xlfn.XLOOKUP($J157,'Sweetener Mix In Nutrition'!A:A,'Sweetener Mix In Nutrition'!E:E,0))+(($Y157 / 100)  * _xlfn.XLOOKUP($K157,'Sweetener Mix In Nutrition'!A:A,'Sweetener Mix In Nutrition'!E:E,0))</f>
        <v>0</v>
      </c>
      <c r="AD157" s="36">
        <f>(($R157 / 240) * _xlfn.XLOOKUP($D157,'Milk Types Nutrition Per Cup'!A:A,'Milk Types Nutrition Per Cup'!E:E,0)) +(($S157 / 240)  * _xlfn.XLOOKUP($E157,'Milk Types Nutrition Per Cup'!A:A,'Milk Types Nutrition Per Cup'!E:E,0)) +(($T157 / 15)  * _xlfn.XLOOKUP($F157,'Liquid Mix In Nutrition'!A:A,'Liquid Mix In Nutrition'!E:E,0)) +(($U157 / 15)  * _xlfn.XLOOKUP($G157,'Liquid Mix In Nutrition'!A:A,'Liquid Mix In Nutrition'!E:E,0))+(($X157 / 100)  * _xlfn.XLOOKUP($J157,'Sweetener Mix In Nutrition'!A:A,'Sweetener Mix In Nutrition'!E:E,0))+(($Y157 / 100)  * _xlfn.XLOOKUP($K157,'Sweetener Mix In Nutrition'!A:A,'Sweetener Mix In Nutrition'!E:E,0))</f>
        <v>0</v>
      </c>
      <c r="AE157" s="37">
        <f>(($R157 / 240) * _xlfn.XLOOKUP($D157,'Milk Types Nutrition Per Cup'!A:A,'Milk Types Nutrition Per Cup'!C:C,0)) +(($S157 / 240)  * _xlfn.XLOOKUP($E157,'Milk Types Nutrition Per Cup'!A:A,'Milk Types Nutrition Per Cup'!C:C,0)) +(($T157 / 15)  * _xlfn.XLOOKUP($F157,'Liquid Mix In Nutrition'!A:A,'Liquid Mix In Nutrition'!C:C,0))+(($U157 / 15)  * _xlfn.XLOOKUP($G157,'Liquid Mix In Nutrition'!A:A,'Liquid Mix In Nutrition'!C:C,0))+(($V157 / MAX(1, _xlfn.XLOOKUP($H157,'Solid Mix In Nutrition'!A:A,'Solid Mix In Nutrition'!I:I,1)))  * _xlfn.XLOOKUP($H157,'Solid Mix In Nutrition'!A:A,'Solid Mix In Nutrition'!C:C,0))+(($W157 / MAX(1, _xlfn.XLOOKUP($I157,'Solid Mix In Nutrition'!A:A,'Solid Mix In Nutrition'!I:I,1)))  * _xlfn.XLOOKUP($I157,'Solid Mix In Nutrition'!A:A,'Solid Mix In Nutrition'!C:C,0))+(($X157 / 100)  * _xlfn.XLOOKUP($J157,'Sweetener Mix In Nutrition'!A:A,'Sweetener Mix In Nutrition'!C:C,0))+(($Y157 / 100)  * _xlfn.XLOOKUP($K157,'Sweetener Mix In Nutrition'!A:A,'Sweetener Mix In Nutrition'!C:C,0))</f>
        <v>0</v>
      </c>
      <c r="AF157" s="38" t="e">
        <f>$AE157 / (_xlfn.XLOOKUP($L157,Specs!A:A,Specs!B:B,0))</f>
        <v>#DIV/0!</v>
      </c>
      <c r="AG157" s="37" t="e">
        <f>60* ($AB157 / _xlfn.XLOOKUP($L157,Specs!A:A,Specs!B:B,0))</f>
        <v>#DIV/0!</v>
      </c>
      <c r="AH157" s="37" t="e">
        <f>60* (AC157 / _xlfn.XLOOKUP($L157,Specs!$A:$A,Specs!$B:$B,0))</f>
        <v>#DIV/0!</v>
      </c>
      <c r="AI157" s="37" t="e">
        <f>60* (AE157 / _xlfn.XLOOKUP($L157,Specs!$A:$A,Specs!$B:$B,0))</f>
        <v>#DIV/0!</v>
      </c>
      <c r="AJ157" s="39">
        <f>(($R157 / 240) * _xlfn.XLOOKUP($D157,'Milk Types Nutrition Per Cup'!A:A,'Milk Types Nutrition Per Cup'!F:F,0)) +(($S157 / 240)  * _xlfn.XLOOKUP($E157,'Milk Types Nutrition Per Cup'!A:A,'Milk Types Nutrition Per Cup'!F:F,0)) +(($T157 / 15)  * _xlfn.XLOOKUP($F157,'Liquid Mix In Nutrition'!A:A,'Liquid Mix In Nutrition'!F:F,0))+(($U157 / 15)  * _xlfn.XLOOKUP($G157,'Liquid Mix In Nutrition'!A:A,'Liquid Mix In Nutrition'!F:F,0))+(($V157 / MAX(1, _xlfn.XLOOKUP($H157,'Solid Mix In Nutrition'!A:A,'Solid Mix In Nutrition'!I:I,1)))  * _xlfn.XLOOKUP($H157,'Solid Mix In Nutrition'!A:A,'Solid Mix In Nutrition'!F:F,0))+(($W157 / MAX(1, _xlfn.XLOOKUP($I157,'Solid Mix In Nutrition'!A:A,'Solid Mix In Nutrition'!I:I,1)))  * _xlfn.XLOOKUP($I157,'Solid Mix In Nutrition'!A:A,'Solid Mix In Nutrition'!F:F,0))+(($X157 / 100)  * _xlfn.XLOOKUP($J157,'Sweetener Mix In Nutrition'!A:A,'Sweetener Mix In Nutrition'!F:F,0))+(($Y157 / 100)  * _xlfn.XLOOKUP($K157,'Sweetener Mix In Nutrition'!A:A,'Sweetener Mix In Nutrition'!F:F,0))</f>
        <v>0</v>
      </c>
      <c r="AK157" s="46">
        <f>[2]Sheet1!AG157</f>
        <v>0</v>
      </c>
      <c r="AL157" s="47"/>
      <c r="AM157" s="40">
        <f>IF(ISERROR(((AL157/Specs!$L$3)*Specs!$L$2)*2),0,ROUNDUP((((AL157/Specs!$L$3)*Specs!$L$2)*2),0))</f>
        <v>0</v>
      </c>
      <c r="AN157" s="48">
        <f>ROUNDUP(((AJ157+Specs!$R$2+Specs!$S$2+_xlfn.XLOOKUP($L157,Specs!A:A,Specs!V:V,0))*Specs!$N$2)+AM157,0)</f>
        <v>1</v>
      </c>
      <c r="AO157" s="40">
        <f>ROUNDUP(((AJ157+Specs!$R$2+Specs!$S$2+_xlfn.XLOOKUP($L157,Specs!A:A,Specs!V:V,0))*Specs!$N$2),0)</f>
        <v>1</v>
      </c>
      <c r="AP157" s="30"/>
    </row>
    <row r="158" spans="1:42" x14ac:dyDescent="0.25">
      <c r="A158" s="41" t="str">
        <f>_xlfn.CONCAT(_xlfn.XLOOKUP("What's Your Name?",[1]Sheet1!$1:$1,[1]Sheet1!158:158)," | ",TEXT(_xlfn.XLOOKUP("Completion time",[1]Sheet1!$1:$1,[1]Sheet1!158:158),"dddd, mmm dd, yyyy hh:mm AM/PM"))</f>
        <v xml:space="preserve"> | Saturday, Jan 00, 1900 12:00 AM</v>
      </c>
      <c r="B158" s="76">
        <f>_xlfn.XLOOKUP("What's Your Email Address?",[1]Sheet1!$1:$1,[1]Sheet1!158:158)</f>
        <v>0</v>
      </c>
      <c r="C158" s="31">
        <f>IF(ISBLANK(_xlfn.XLOOKUP("Which Flavor? (Pint Price | Quart Price | Half Gallon Price) (NOTE: Prices may fluctuate based on market conditions)",[1]Sheet1!$1:$1,[1]Sheet1!158:158)),_xlfn.XLOOKUP("Name Your Ice Cream!",[1]Sheet1!$1:$1,[1]Sheet1!158:158),IF(ISNUMBER(FIND("(", _xlfn.XLOOKUP("Which Flavor? (Pint Price | Quart Price | Half Gallon Price) (NOTE: Prices may fluctuate based on market conditions)",[1]Sheet1!$1:$1,[1]Sheet1!158:158))), LEFT(_xlfn.XLOOKUP("Which Flavor? (Pint Price | Quart Price | Half Gallon Price) (NOTE: Prices may fluctuate based on market conditions)",[1]Sheet1!$1:$1,[1]Sheet1!158:158), FIND("(", _xlfn.XLOOKUP("Which Flavor? (Pint Price | Quart Price | Half Gallon Price) (NOTE: Prices may fluctuate based on market conditions)",[1]Sheet1!$1:$1,[1]Sheet1!158:158)) - 1), _xlfn.XLOOKUP("Which Flavor? (Pint Price | Quart Price | Half Gallon Price) (NOTE: Prices may fluctuate based on market conditions)",[1]Sheet1!$1:$1,[1]Sheet1!158:158)))</f>
        <v>0</v>
      </c>
      <c r="D158" s="31">
        <f>IF(COUNTIF('Premade Flavors'!$A:$A, $C158) &gt; 0,IF(ISBLANK(_xlfn.XLOOKUP("What Ice Cream Base Do You Want To Change It To?",[1]Sheet1!$1:$1,[1]Sheet1!158:158)),_xlfn.XLOOKUP($C158,'Premade Flavors'!$A:$A,'Premade Flavors'!B:B),_xlfn.XLOOKUP("What Ice Cream Base Do You Want To Change It To?",[1]Sheet1!$1:$1,[1]Sheet1!158:158)),_xlfn.XLOOKUP(_xlfn.XLOOKUP("What Kind Of Ice Cream Base Do You Want? ",[1]Sheet1!$1:$1,[1]Sheet1!158:158),'Milk Types Nutrition Per Cup'!O:O,'Milk Types Nutrition Per Cup'!P:P,""))</f>
        <v>0</v>
      </c>
      <c r="E158" s="31">
        <f>IF(COUNTIF('Premade Flavors'!$A:$A, $C158) &gt; 0,IF(ISBLANK(_xlfn.XLOOKUP("What Ice Cream Base Do You Want To Change It To?",[1]Sheet1!$1:$1,[1]Sheet1!158:158)),_xlfn.XLOOKUP($C158,'Premade Flavors'!$A:$A,'Premade Flavors'!C:C),_xlfn.XLOOKUP("What Ice Cream Base Do You Want To Change It To?",[1]Sheet1!$1:$1,[1]Sheet1!158:158)),_xlfn.XLOOKUP(_xlfn.XLOOKUP("What Kind Of Ice Cream Base Do You Want? ",[1]Sheet1!$1:$1,[1]Sheet1!158:158),'Milk Types Nutrition Per Cup'!$O:$O,'Milk Types Nutrition Per Cup'!$Q:$Q,""))</f>
        <v>0</v>
      </c>
      <c r="F158" s="31">
        <f>IF(COUNTIF('Premade Flavors'!$A:$A, $C158) &gt; 0,_xlfn.XLOOKUP($C158,'Premade Flavors'!$A:$A,'Premade Flavors'!E:E),_xlfn.XLOOKUP("What's The First Flavor You Want? ",[1]Sheet1!$1:$1,[1]Sheet1!158:158))</f>
        <v>0</v>
      </c>
      <c r="G158" s="31">
        <f>IF(COUNTIF('Premade Flavors'!$A:$A, $C158) &gt; 0,_xlfn.XLOOKUP($C158,'Premade Flavors'!$A:$A,'Premade Flavors'!F:F),_xlfn.XLOOKUP("What's the Second Flavor You Want?",[1]Sheet1!$1:$1,[1]Sheet1!158:158))</f>
        <v>0</v>
      </c>
      <c r="H158" s="31">
        <f>IF(COUNTIF('Premade Flavors'!$A:$A, $C158) &gt; 0,_xlfn.XLOOKUP($C158,'Premade Flavors'!$A:$A,'Premade Flavors'!G:G),_xlfn.XLOOKUP("What's The First Mix In That You Want? ",[1]Sheet1!$1:$1,[1]Sheet1!158:158))</f>
        <v>0</v>
      </c>
      <c r="I158" s="31">
        <f>IF(COUNTIF('Premade Flavors'!$A:$A, $C156) &gt; 0,_xlfn.XLOOKUP($C156,'Premade Flavors'!$A:$A,'Premade Flavors'!H:H),IF([2]Sheet1!W156= 0,,[2]Sheet1!W156))</f>
        <v>0</v>
      </c>
      <c r="J158" s="31">
        <f>IF(COUNTIF('Premade Flavors'!$A:$A,$C158)&gt;0,IF(_xlfn.XLOOKUP("Should It Use Sugar or A Non-Sugar Sweetner?",[1]Sheet1!$1:$1,[1]Sheet1!158:158)="Sugar",_xlfn.XLOOKUP($C158,'Premade Flavors'!$A:$A,'Premade Flavors'!I:I),"Stevia"),_xlfn.XLOOKUP("What Sweetner Do You Want?",[1]Sheet1!$1:$1,[1]Sheet1!158:158))</f>
        <v>0</v>
      </c>
      <c r="K158" s="31"/>
      <c r="L158" s="77">
        <f>_xlfn.XLOOKUP("How Much Ice Cream Do You Want?",[1]Sheet1!$1:$1,[1]Sheet1!158:158)</f>
        <v>0</v>
      </c>
      <c r="M158" s="45">
        <f>IF(COUNTIF('Premade Flavors'!$A:$A, $C158) &gt; 0,_xlfn.XLOOKUP($C158,'Premade Flavors'!$A:$A,'Premade Flavors'!M:M),_xlfn.XLOOKUP("How Strong Do You Want The First Flavor?",[1]Sheet1!$1:$1,[1]Sheet1!158:158))</f>
        <v>0</v>
      </c>
      <c r="N158" s="45">
        <f>IF(COUNTIF('Premade Flavors'!$A:$A, $C158) &gt; 0,_xlfn.XLOOKUP($C158,'Premade Flavors'!$A:$A,'Premade Flavors'!N:N),_xlfn.XLOOKUP("How Strong Do You Want The Second Flavor?",[1]Sheet1!$1:$1,[1]Sheet1!158:158))</f>
        <v>0</v>
      </c>
      <c r="O158" s="45">
        <f>IF(COUNTIF('Premade Flavors'!$A:$A, $C158) &gt; 0,_xlfn.XLOOKUP($C158,'Premade Flavors'!$A:$A,'Premade Flavors'!O:O),_xlfn.XLOOKUP("How Dense Should the Mix Ins Be?",[1]Sheet1!$1:$1,[1]Sheet1!158:158))</f>
        <v>0</v>
      </c>
      <c r="P158" s="45">
        <f>IF(COUNTIF('Premade Flavors'!$A:$A, $C158) &gt; 0,_xlfn.XLOOKUP($C158,'Premade Flavors'!$A:$A,'Premade Flavors'!P:P),_xlfn.XLOOKUP("How Much Of The First Sweetner? ",[1]Sheet1!$1:$1,[1]Sheet1!158:158))</f>
        <v>0</v>
      </c>
      <c r="Q158" s="45">
        <f>IF(COUNTIF('Premade Flavors'!$A:$A, $C158) &gt; 0,_xlfn.XLOOKUP($C158,'Premade Flavors'!$A:$A,'Premade Flavors'!Q:Q),[2]Sheet1!S158)</f>
        <v>0</v>
      </c>
      <c r="R158" s="30">
        <f>(_xlfn.XLOOKUP($L158,Specs!A:A,Specs!B:B,0)-(IF(_xlfn.XLOOKUP($F158,'Liquid Mix In Nutrition'!A:A,'Liquid Mix In Nutrition'!J:J,0)="Yes",0,$T158))-(IF(_xlfn.XLOOKUP($G158,'Liquid Mix In Nutrition'!A:A,'Liquid Mix In Nutrition'!J:J,0)="Yes",0,$U158))-(($V158/MAX(1,_xlfn.XLOOKUP($H158,'Solid Mix In Nutrition'!A:A,'Solid Mix In Nutrition'!I:I,1)))*240)-(($W158/MAX(1,_xlfn.XLOOKUP($I158,'Solid Mix In Nutrition'!A:A,'Solid Mix In Nutrition'!I:I,1)))*240))*0.66</f>
        <v>0</v>
      </c>
      <c r="S158" s="30">
        <f>(_xlfn.XLOOKUP($L158,Specs!A:A,Specs!B:B,0)-(IF(_xlfn.XLOOKUP($F158,'Liquid Mix In Nutrition'!A:A,'Liquid Mix In Nutrition'!J:J,0)="Yes",0,$T158))-(IF(_xlfn.XLOOKUP($G158,'Liquid Mix In Nutrition'!A:A,'Liquid Mix In Nutrition'!J:J,0)="Yes",0,$U158))-(($V158/MAX(1,_xlfn.XLOOKUP($H158,'Solid Mix In Nutrition'!A:A,'Solid Mix In Nutrition'!I:I,1)))*240)-(($W158/MAX(1,_xlfn.XLOOKUP($I158,'Solid Mix In Nutrition'!A:A,'Solid Mix In Nutrition'!I:I,1)))*240))*0.33</f>
        <v>0</v>
      </c>
      <c r="T158" s="30">
        <f>_xlfn.XLOOKUP($M158,Specs!$D:$D,Specs!$E:$E,0)*15*_xlfn.XLOOKUP($L158,Specs!$A:$A,Specs!$C:$C,0)</f>
        <v>0</v>
      </c>
      <c r="U158" s="30">
        <f>_xlfn.XLOOKUP($N158,Specs!$D:$D,Specs!$E:$E,0)*15*_xlfn.XLOOKUP($L158,Specs!$A:$A,Specs!$C:$C,0)</f>
        <v>0</v>
      </c>
      <c r="V158" s="30">
        <f>( ((_xlfn.XLOOKUP($O158,Specs!$H:$H,Specs!$I:$I,0)*_xlfn.XLOOKUP($L158,Specs!$A:$A,Specs!$B:$B,0))/240) *_xlfn.XLOOKUP($H158,'Solid Mix In Nutrition'!A:A,'Solid Mix In Nutrition'!I:I,0)) *IF(AND(NOT($I158=0), COUNTA($I158)),0.5,1)</f>
        <v>0</v>
      </c>
      <c r="W158" s="30">
        <f>( ((_xlfn.XLOOKUP($O158,Specs!$H:$H,Specs!$I:$I,0)*_xlfn.XLOOKUP($L158,Specs!$A:$A,Specs!$B:$B,0))/240) *_xlfn.XLOOKUP($I158,'Solid Mix In Nutrition'!A:A,'Solid Mix In Nutrition'!I:I,0)) *IF(AND(NOT($I158=0), COUNTA($I158)),0.5,0)</f>
        <v>0</v>
      </c>
      <c r="X158" s="30">
        <f>_xlfn.XLOOKUP($P158,Specs!F:F,Specs!G:G,0)*_xlfn.XLOOKUP($J158,'Sweetener Mix In Nutrition'!A:A,'Sweetener Mix In Nutrition'!I:I,0)*_xlfn.XLOOKUP($L158,Specs!A:A,Specs!C:C,0)</f>
        <v>0</v>
      </c>
      <c r="Y158" s="30">
        <f>_xlfn.XLOOKUP($Q158,Specs!F:F,Specs!G:G,0)*_xlfn.XLOOKUP($K158,'Sweetener Mix In Nutrition'!A:A,'Sweetener Mix In Nutrition'!I:I,0)*_xlfn.XLOOKUP($L158,Specs!A:A,Specs!C:C,0)</f>
        <v>0</v>
      </c>
      <c r="Z158" s="34">
        <f t="shared" si="4"/>
        <v>0</v>
      </c>
      <c r="AA158" s="35">
        <f t="shared" si="5"/>
        <v>0</v>
      </c>
      <c r="AB158" s="36">
        <f>(($R158 / 240) * _xlfn.XLOOKUP($D158,'Milk Types Nutrition Per Cup'!A:A,'Milk Types Nutrition Per Cup'!B:B,0)) +(($S158 / 240)  * _xlfn.XLOOKUP($E158,'Milk Types Nutrition Per Cup'!A:A,'Milk Types Nutrition Per Cup'!B:B,0)) +(($T158 / 15)  * _xlfn.XLOOKUP($F158,'Liquid Mix In Nutrition'!A:A,'Liquid Mix In Nutrition'!B:B,0))+(($U158 / 15)  * _xlfn.XLOOKUP($G158,'Liquid Mix In Nutrition'!A:A,'Liquid Mix In Nutrition'!B:B,0))+(($V158 /MAX(1, _xlfn.XLOOKUP($H158,'Solid Mix In Nutrition'!A:A,'Solid Mix In Nutrition'!I:I,1)))  * _xlfn.XLOOKUP($H158,'Solid Mix In Nutrition'!A:A,'Solid Mix In Nutrition'!B:B,0))+(($W158 / MAX(1, _xlfn.XLOOKUP($I158,'Solid Mix In Nutrition'!A:A,'Solid Mix In Nutrition'!I:I,1))))+(($X158 / 100)  * _xlfn.XLOOKUP($J158,'Sweetener Mix In Nutrition'!A:A,'Sweetener Mix In Nutrition'!B:B,0))+(($Y158 / 100)  * _xlfn.XLOOKUP($K158,'Sweetener Mix In Nutrition'!A:A,'Sweetener Mix In Nutrition'!B:B,0))</f>
        <v>0</v>
      </c>
      <c r="AC158" s="36">
        <f>(($R158 / 240) * _xlfn.XLOOKUP($D158,'Milk Types Nutrition Per Cup'!A:A,'Milk Types Nutrition Per Cup'!E:E,0)) +(($S158 / 240)  * _xlfn.XLOOKUP($E158,'Milk Types Nutrition Per Cup'!A:A,'Milk Types Nutrition Per Cup'!E:E,0)) +(($T158 / 15)  * _xlfn.XLOOKUP($F158,'Liquid Mix In Nutrition'!A:A,'Liquid Mix In Nutrition'!E:E,0)) +(($U158 / 15)  * _xlfn.XLOOKUP($G158,'Liquid Mix In Nutrition'!A:A,'Liquid Mix In Nutrition'!E:E,0))+(($V158 / MAX(1, _xlfn.XLOOKUP($H158,'Solid Mix In Nutrition'!A:A,'Solid Mix In Nutrition'!I:I,1)))  * _xlfn.XLOOKUP($H158,'Solid Mix In Nutrition'!A:A,'Solid Mix In Nutrition'!E:E,0))+(($W158 / MAX(1, _xlfn.XLOOKUP($I158,'Solid Mix In Nutrition'!A:A,'Solid Mix In Nutrition'!I:I,1)))  * _xlfn.XLOOKUP($I158,'Solid Mix In Nutrition'!A:A,'Solid Mix In Nutrition'!G:G,0))+(($X158 / 100)  * _xlfn.XLOOKUP($J158,'Sweetener Mix In Nutrition'!A:A,'Sweetener Mix In Nutrition'!E:E,0))+(($Y158 / 100)  * _xlfn.XLOOKUP($K158,'Sweetener Mix In Nutrition'!A:A,'Sweetener Mix In Nutrition'!E:E,0))</f>
        <v>0</v>
      </c>
      <c r="AD158" s="36">
        <f>(($R158 / 240) * _xlfn.XLOOKUP($D158,'Milk Types Nutrition Per Cup'!A:A,'Milk Types Nutrition Per Cup'!E:E,0)) +(($S158 / 240)  * _xlfn.XLOOKUP($E158,'Milk Types Nutrition Per Cup'!A:A,'Milk Types Nutrition Per Cup'!E:E,0)) +(($T158 / 15)  * _xlfn.XLOOKUP($F158,'Liquid Mix In Nutrition'!A:A,'Liquid Mix In Nutrition'!E:E,0)) +(($U158 / 15)  * _xlfn.XLOOKUP($G158,'Liquid Mix In Nutrition'!A:A,'Liquid Mix In Nutrition'!E:E,0))+(($X158 / 100)  * _xlfn.XLOOKUP($J158,'Sweetener Mix In Nutrition'!A:A,'Sweetener Mix In Nutrition'!E:E,0))+(($Y158 / 100)  * _xlfn.XLOOKUP($K158,'Sweetener Mix In Nutrition'!A:A,'Sweetener Mix In Nutrition'!E:E,0))</f>
        <v>0</v>
      </c>
      <c r="AE158" s="37">
        <f>(($R158 / 240) * _xlfn.XLOOKUP($D158,'Milk Types Nutrition Per Cup'!A:A,'Milk Types Nutrition Per Cup'!C:C,0)) +(($S158 / 240)  * _xlfn.XLOOKUP($E158,'Milk Types Nutrition Per Cup'!A:A,'Milk Types Nutrition Per Cup'!C:C,0)) +(($T158 / 15)  * _xlfn.XLOOKUP($F158,'Liquid Mix In Nutrition'!A:A,'Liquid Mix In Nutrition'!C:C,0))+(($U158 / 15)  * _xlfn.XLOOKUP($G158,'Liquid Mix In Nutrition'!A:A,'Liquid Mix In Nutrition'!C:C,0))+(($V158 / MAX(1, _xlfn.XLOOKUP($H158,'Solid Mix In Nutrition'!A:A,'Solid Mix In Nutrition'!I:I,1)))  * _xlfn.XLOOKUP($H158,'Solid Mix In Nutrition'!A:A,'Solid Mix In Nutrition'!C:C,0))+(($W158 / MAX(1, _xlfn.XLOOKUP($I158,'Solid Mix In Nutrition'!A:A,'Solid Mix In Nutrition'!I:I,1)))  * _xlfn.XLOOKUP($I158,'Solid Mix In Nutrition'!A:A,'Solid Mix In Nutrition'!C:C,0))+(($X158 / 100)  * _xlfn.XLOOKUP($J158,'Sweetener Mix In Nutrition'!A:A,'Sweetener Mix In Nutrition'!C:C,0))+(($Y158 / 100)  * _xlfn.XLOOKUP($K158,'Sweetener Mix In Nutrition'!A:A,'Sweetener Mix In Nutrition'!C:C,0))</f>
        <v>0</v>
      </c>
      <c r="AF158" s="38" t="e">
        <f>$AE158 / (_xlfn.XLOOKUP($L158,Specs!A:A,Specs!B:B,0))</f>
        <v>#DIV/0!</v>
      </c>
      <c r="AG158" s="37" t="e">
        <f>60* ($AB158 / _xlfn.XLOOKUP($L158,Specs!A:A,Specs!B:B,0))</f>
        <v>#DIV/0!</v>
      </c>
      <c r="AH158" s="37" t="e">
        <f>60* (AC158 / _xlfn.XLOOKUP($L158,Specs!$A:$A,Specs!$B:$B,0))</f>
        <v>#DIV/0!</v>
      </c>
      <c r="AI158" s="37" t="e">
        <f>60* (AE158 / _xlfn.XLOOKUP($L158,Specs!$A:$A,Specs!$B:$B,0))</f>
        <v>#DIV/0!</v>
      </c>
      <c r="AJ158" s="39">
        <f>(($R158 / 240) * _xlfn.XLOOKUP($D158,'Milk Types Nutrition Per Cup'!A:A,'Milk Types Nutrition Per Cup'!F:F,0)) +(($S158 / 240)  * _xlfn.XLOOKUP($E158,'Milk Types Nutrition Per Cup'!A:A,'Milk Types Nutrition Per Cup'!F:F,0)) +(($T158 / 15)  * _xlfn.XLOOKUP($F158,'Liquid Mix In Nutrition'!A:A,'Liquid Mix In Nutrition'!F:F,0))+(($U158 / 15)  * _xlfn.XLOOKUP($G158,'Liquid Mix In Nutrition'!A:A,'Liquid Mix In Nutrition'!F:F,0))+(($V158 / MAX(1, _xlfn.XLOOKUP($H158,'Solid Mix In Nutrition'!A:A,'Solid Mix In Nutrition'!I:I,1)))  * _xlfn.XLOOKUP($H158,'Solid Mix In Nutrition'!A:A,'Solid Mix In Nutrition'!F:F,0))+(($W158 / MAX(1, _xlfn.XLOOKUP($I158,'Solid Mix In Nutrition'!A:A,'Solid Mix In Nutrition'!I:I,1)))  * _xlfn.XLOOKUP($I158,'Solid Mix In Nutrition'!A:A,'Solid Mix In Nutrition'!F:F,0))+(($X158 / 100)  * _xlfn.XLOOKUP($J158,'Sweetener Mix In Nutrition'!A:A,'Sweetener Mix In Nutrition'!F:F,0))+(($Y158 / 100)  * _xlfn.XLOOKUP($K158,'Sweetener Mix In Nutrition'!A:A,'Sweetener Mix In Nutrition'!F:F,0))</f>
        <v>0</v>
      </c>
      <c r="AK158" s="46">
        <f>[2]Sheet1!AG158</f>
        <v>0</v>
      </c>
      <c r="AL158" s="47"/>
      <c r="AM158" s="40">
        <f>IF(ISERROR(((AL158/Specs!$L$3)*Specs!$L$2)*2),0,ROUNDUP((((AL158/Specs!$L$3)*Specs!$L$2)*2),0))</f>
        <v>0</v>
      </c>
      <c r="AN158" s="48">
        <f>ROUNDUP(((AJ158+Specs!$R$2+Specs!$S$2+_xlfn.XLOOKUP($L158,Specs!A:A,Specs!V:V,0))*Specs!$N$2)+AM158,0)</f>
        <v>1</v>
      </c>
      <c r="AO158" s="40">
        <f>ROUNDUP(((AJ158+Specs!$R$2+Specs!$S$2+_xlfn.XLOOKUP($L158,Specs!A:A,Specs!V:V,0))*Specs!$N$2),0)</f>
        <v>1</v>
      </c>
      <c r="AP158" s="30"/>
    </row>
    <row r="159" spans="1:42" x14ac:dyDescent="0.25">
      <c r="A159" s="41" t="str">
        <f>_xlfn.CONCAT(_xlfn.XLOOKUP("What's Your Name?",[1]Sheet1!$1:$1,[1]Sheet1!159:159)," | ",TEXT(_xlfn.XLOOKUP("Completion time",[1]Sheet1!$1:$1,[1]Sheet1!159:159),"dddd, mmm dd, yyyy hh:mm AM/PM"))</f>
        <v xml:space="preserve"> | Saturday, Jan 00, 1900 12:00 AM</v>
      </c>
      <c r="B159" s="76">
        <f>_xlfn.XLOOKUP("What's Your Email Address?",[1]Sheet1!$1:$1,[1]Sheet1!159:159)</f>
        <v>0</v>
      </c>
      <c r="C159" s="31">
        <f>IF(ISBLANK(_xlfn.XLOOKUP("Which Flavor? (Pint Price | Quart Price | Half Gallon Price) (NOTE: Prices may fluctuate based on market conditions)",[1]Sheet1!$1:$1,[1]Sheet1!159:159)),_xlfn.XLOOKUP("Name Your Ice Cream!",[1]Sheet1!$1:$1,[1]Sheet1!159:159),IF(ISNUMBER(FIND("(", _xlfn.XLOOKUP("Which Flavor? (Pint Price | Quart Price | Half Gallon Price) (NOTE: Prices may fluctuate based on market conditions)",[1]Sheet1!$1:$1,[1]Sheet1!159:159))), LEFT(_xlfn.XLOOKUP("Which Flavor? (Pint Price | Quart Price | Half Gallon Price) (NOTE: Prices may fluctuate based on market conditions)",[1]Sheet1!$1:$1,[1]Sheet1!159:159), FIND("(", _xlfn.XLOOKUP("Which Flavor? (Pint Price | Quart Price | Half Gallon Price) (NOTE: Prices may fluctuate based on market conditions)",[1]Sheet1!$1:$1,[1]Sheet1!159:159)) - 1), _xlfn.XLOOKUP("Which Flavor? (Pint Price | Quart Price | Half Gallon Price) (NOTE: Prices may fluctuate based on market conditions)",[1]Sheet1!$1:$1,[1]Sheet1!159:159)))</f>
        <v>0</v>
      </c>
      <c r="D159" s="31">
        <f>IF(COUNTIF('Premade Flavors'!$A:$A, $C159) &gt; 0,IF(ISBLANK(_xlfn.XLOOKUP("What Ice Cream Base Do You Want To Change It To?",[1]Sheet1!$1:$1,[1]Sheet1!159:159)),_xlfn.XLOOKUP($C159,'Premade Flavors'!$A:$A,'Premade Flavors'!B:B),_xlfn.XLOOKUP("What Ice Cream Base Do You Want To Change It To?",[1]Sheet1!$1:$1,[1]Sheet1!159:159)),_xlfn.XLOOKUP(_xlfn.XLOOKUP("What Kind Of Ice Cream Base Do You Want? ",[1]Sheet1!$1:$1,[1]Sheet1!159:159),'Milk Types Nutrition Per Cup'!O:O,'Milk Types Nutrition Per Cup'!P:P,""))</f>
        <v>0</v>
      </c>
      <c r="E159" s="31">
        <f>IF(COUNTIF('Premade Flavors'!$A:$A, $C159) &gt; 0,IF(ISBLANK(_xlfn.XLOOKUP("What Ice Cream Base Do You Want To Change It To?",[1]Sheet1!$1:$1,[1]Sheet1!159:159)),_xlfn.XLOOKUP($C159,'Premade Flavors'!$A:$A,'Premade Flavors'!C:C),_xlfn.XLOOKUP("What Ice Cream Base Do You Want To Change It To?",[1]Sheet1!$1:$1,[1]Sheet1!159:159)),_xlfn.XLOOKUP(_xlfn.XLOOKUP("What Kind Of Ice Cream Base Do You Want? ",[1]Sheet1!$1:$1,[1]Sheet1!159:159),'Milk Types Nutrition Per Cup'!$O:$O,'Milk Types Nutrition Per Cup'!$Q:$Q,""))</f>
        <v>0</v>
      </c>
      <c r="F159" s="31">
        <f>IF(COUNTIF('Premade Flavors'!$A:$A, $C159) &gt; 0,_xlfn.XLOOKUP($C159,'Premade Flavors'!$A:$A,'Premade Flavors'!E:E),_xlfn.XLOOKUP("What's The First Flavor You Want? ",[1]Sheet1!$1:$1,[1]Sheet1!159:159))</f>
        <v>0</v>
      </c>
      <c r="G159" s="31">
        <f>IF(COUNTIF('Premade Flavors'!$A:$A, $C159) &gt; 0,_xlfn.XLOOKUP($C159,'Premade Flavors'!$A:$A,'Premade Flavors'!F:F),_xlfn.XLOOKUP("What's the Second Flavor You Want?",[1]Sheet1!$1:$1,[1]Sheet1!159:159))</f>
        <v>0</v>
      </c>
      <c r="H159" s="31">
        <f>IF(COUNTIF('Premade Flavors'!$A:$A, $C159) &gt; 0,_xlfn.XLOOKUP($C159,'Premade Flavors'!$A:$A,'Premade Flavors'!G:G),_xlfn.XLOOKUP("What's The First Mix In That You Want? ",[1]Sheet1!$1:$1,[1]Sheet1!159:159))</f>
        <v>0</v>
      </c>
      <c r="I159" s="31">
        <f>IF(COUNTIF('Premade Flavors'!$A:$A, $C157) &gt; 0,_xlfn.XLOOKUP($C157,'Premade Flavors'!$A:$A,'Premade Flavors'!H:H),IF([2]Sheet1!W157= 0,,[2]Sheet1!W157))</f>
        <v>0</v>
      </c>
      <c r="J159" s="31">
        <f>IF(COUNTIF('Premade Flavors'!$A:$A,$C159)&gt;0,IF(_xlfn.XLOOKUP("Should It Use Sugar or A Non-Sugar Sweetner?",[1]Sheet1!$1:$1,[1]Sheet1!159:159)="Sugar",_xlfn.XLOOKUP($C159,'Premade Flavors'!$A:$A,'Premade Flavors'!I:I),"Stevia"),_xlfn.XLOOKUP("What Sweetner Do You Want?",[1]Sheet1!$1:$1,[1]Sheet1!159:159))</f>
        <v>0</v>
      </c>
      <c r="K159" s="31"/>
      <c r="L159" s="77">
        <f>_xlfn.XLOOKUP("How Much Ice Cream Do You Want?",[1]Sheet1!$1:$1,[1]Sheet1!159:159)</f>
        <v>0</v>
      </c>
      <c r="M159" s="45">
        <f>IF(COUNTIF('Premade Flavors'!$A:$A, $C159) &gt; 0,_xlfn.XLOOKUP($C159,'Premade Flavors'!$A:$A,'Premade Flavors'!M:M),_xlfn.XLOOKUP("How Strong Do You Want The First Flavor?",[1]Sheet1!$1:$1,[1]Sheet1!159:159))</f>
        <v>0</v>
      </c>
      <c r="N159" s="45">
        <f>IF(COUNTIF('Premade Flavors'!$A:$A, $C159) &gt; 0,_xlfn.XLOOKUP($C159,'Premade Flavors'!$A:$A,'Premade Flavors'!N:N),_xlfn.XLOOKUP("How Strong Do You Want The Second Flavor?",[1]Sheet1!$1:$1,[1]Sheet1!159:159))</f>
        <v>0</v>
      </c>
      <c r="O159" s="45">
        <f>IF(COUNTIF('Premade Flavors'!$A:$A, $C159) &gt; 0,_xlfn.XLOOKUP($C159,'Premade Flavors'!$A:$A,'Premade Flavors'!O:O),_xlfn.XLOOKUP("How Dense Should the Mix Ins Be?",[1]Sheet1!$1:$1,[1]Sheet1!159:159))</f>
        <v>0</v>
      </c>
      <c r="P159" s="45">
        <f>IF(COUNTIF('Premade Flavors'!$A:$A, $C159) &gt; 0,_xlfn.XLOOKUP($C159,'Premade Flavors'!$A:$A,'Premade Flavors'!P:P),_xlfn.XLOOKUP("How Much Of The First Sweetner? ",[1]Sheet1!$1:$1,[1]Sheet1!159:159))</f>
        <v>0</v>
      </c>
      <c r="Q159" s="45">
        <f>IF(COUNTIF('Premade Flavors'!$A:$A, $C159) &gt; 0,_xlfn.XLOOKUP($C159,'Premade Flavors'!$A:$A,'Premade Flavors'!Q:Q),[2]Sheet1!S159)</f>
        <v>0</v>
      </c>
      <c r="R159" s="30">
        <f>(_xlfn.XLOOKUP($L159,Specs!A:A,Specs!B:B,0)-(IF(_xlfn.XLOOKUP($F159,'Liquid Mix In Nutrition'!A:A,'Liquid Mix In Nutrition'!J:J,0)="Yes",0,$T159))-(IF(_xlfn.XLOOKUP($G159,'Liquid Mix In Nutrition'!A:A,'Liquid Mix In Nutrition'!J:J,0)="Yes",0,$U159))-(($V159/MAX(1,_xlfn.XLOOKUP($H159,'Solid Mix In Nutrition'!A:A,'Solid Mix In Nutrition'!I:I,1)))*240)-(($W159/MAX(1,_xlfn.XLOOKUP($I159,'Solid Mix In Nutrition'!A:A,'Solid Mix In Nutrition'!I:I,1)))*240))*0.66</f>
        <v>0</v>
      </c>
      <c r="S159" s="30">
        <f>(_xlfn.XLOOKUP($L159,Specs!A:A,Specs!B:B,0)-(IF(_xlfn.XLOOKUP($F159,'Liquid Mix In Nutrition'!A:A,'Liquid Mix In Nutrition'!J:J,0)="Yes",0,$T159))-(IF(_xlfn.XLOOKUP($G159,'Liquid Mix In Nutrition'!A:A,'Liquid Mix In Nutrition'!J:J,0)="Yes",0,$U159))-(($V159/MAX(1,_xlfn.XLOOKUP($H159,'Solid Mix In Nutrition'!A:A,'Solid Mix In Nutrition'!I:I,1)))*240)-(($W159/MAX(1,_xlfn.XLOOKUP($I159,'Solid Mix In Nutrition'!A:A,'Solid Mix In Nutrition'!I:I,1)))*240))*0.33</f>
        <v>0</v>
      </c>
      <c r="T159" s="30">
        <f>_xlfn.XLOOKUP($M159,Specs!$D:$D,Specs!$E:$E,0)*15*_xlfn.XLOOKUP($L159,Specs!$A:$A,Specs!$C:$C,0)</f>
        <v>0</v>
      </c>
      <c r="U159" s="30">
        <f>_xlfn.XLOOKUP($N159,Specs!$D:$D,Specs!$E:$E,0)*15*_xlfn.XLOOKUP($L159,Specs!$A:$A,Specs!$C:$C,0)</f>
        <v>0</v>
      </c>
      <c r="V159" s="30">
        <f>( ((_xlfn.XLOOKUP($O159,Specs!$H:$H,Specs!$I:$I,0)*_xlfn.XLOOKUP($L159,Specs!$A:$A,Specs!$B:$B,0))/240) *_xlfn.XLOOKUP($H159,'Solid Mix In Nutrition'!A:A,'Solid Mix In Nutrition'!I:I,0)) *IF(AND(NOT($I159=0), COUNTA($I159)),0.5,1)</f>
        <v>0</v>
      </c>
      <c r="W159" s="30">
        <f>( ((_xlfn.XLOOKUP($O159,Specs!$H:$H,Specs!$I:$I,0)*_xlfn.XLOOKUP($L159,Specs!$A:$A,Specs!$B:$B,0))/240) *_xlfn.XLOOKUP($I159,'Solid Mix In Nutrition'!A:A,'Solid Mix In Nutrition'!I:I,0)) *IF(AND(NOT($I159=0), COUNTA($I159)),0.5,0)</f>
        <v>0</v>
      </c>
      <c r="X159" s="30">
        <f>_xlfn.XLOOKUP($P159,Specs!F:F,Specs!G:G,0)*_xlfn.XLOOKUP($J159,'Sweetener Mix In Nutrition'!A:A,'Sweetener Mix In Nutrition'!I:I,0)*_xlfn.XLOOKUP($L159,Specs!A:A,Specs!C:C,0)</f>
        <v>0</v>
      </c>
      <c r="Y159" s="30">
        <f>_xlfn.XLOOKUP($Q159,Specs!F:F,Specs!G:G,0)*_xlfn.XLOOKUP($K159,'Sweetener Mix In Nutrition'!A:A,'Sweetener Mix In Nutrition'!I:I,0)*_xlfn.XLOOKUP($L159,Specs!A:A,Specs!C:C,0)</f>
        <v>0</v>
      </c>
      <c r="Z159" s="34">
        <f t="shared" si="4"/>
        <v>0</v>
      </c>
      <c r="AA159" s="35">
        <f t="shared" si="5"/>
        <v>0</v>
      </c>
      <c r="AB159" s="36">
        <f>(($R159 / 240) * _xlfn.XLOOKUP($D159,'Milk Types Nutrition Per Cup'!A:A,'Milk Types Nutrition Per Cup'!B:B,0)) +(($S159 / 240)  * _xlfn.XLOOKUP($E159,'Milk Types Nutrition Per Cup'!A:A,'Milk Types Nutrition Per Cup'!B:B,0)) +(($T159 / 15)  * _xlfn.XLOOKUP($F159,'Liquid Mix In Nutrition'!A:A,'Liquid Mix In Nutrition'!B:B,0))+(($U159 / 15)  * _xlfn.XLOOKUP($G159,'Liquid Mix In Nutrition'!A:A,'Liquid Mix In Nutrition'!B:B,0))+(($V159 /MAX(1, _xlfn.XLOOKUP($H159,'Solid Mix In Nutrition'!A:A,'Solid Mix In Nutrition'!I:I,1)))  * _xlfn.XLOOKUP($H159,'Solid Mix In Nutrition'!A:A,'Solid Mix In Nutrition'!B:B,0))+(($W159 / MAX(1, _xlfn.XLOOKUP($I159,'Solid Mix In Nutrition'!A:A,'Solid Mix In Nutrition'!I:I,1))))+(($X159 / 100)  * _xlfn.XLOOKUP($J159,'Sweetener Mix In Nutrition'!A:A,'Sweetener Mix In Nutrition'!B:B,0))+(($Y159 / 100)  * _xlfn.XLOOKUP($K159,'Sweetener Mix In Nutrition'!A:A,'Sweetener Mix In Nutrition'!B:B,0))</f>
        <v>0</v>
      </c>
      <c r="AC159" s="36">
        <f>(($R159 / 240) * _xlfn.XLOOKUP($D159,'Milk Types Nutrition Per Cup'!A:A,'Milk Types Nutrition Per Cup'!E:E,0)) +(($S159 / 240)  * _xlfn.XLOOKUP($E159,'Milk Types Nutrition Per Cup'!A:A,'Milk Types Nutrition Per Cup'!E:E,0)) +(($T159 / 15)  * _xlfn.XLOOKUP($F159,'Liquid Mix In Nutrition'!A:A,'Liquid Mix In Nutrition'!E:E,0)) +(($U159 / 15)  * _xlfn.XLOOKUP($G159,'Liquid Mix In Nutrition'!A:A,'Liquid Mix In Nutrition'!E:E,0))+(($V159 / MAX(1, _xlfn.XLOOKUP($H159,'Solid Mix In Nutrition'!A:A,'Solid Mix In Nutrition'!I:I,1)))  * _xlfn.XLOOKUP($H159,'Solid Mix In Nutrition'!A:A,'Solid Mix In Nutrition'!E:E,0))+(($W159 / MAX(1, _xlfn.XLOOKUP($I159,'Solid Mix In Nutrition'!A:A,'Solid Mix In Nutrition'!I:I,1)))  * _xlfn.XLOOKUP($I159,'Solid Mix In Nutrition'!A:A,'Solid Mix In Nutrition'!G:G,0))+(($X159 / 100)  * _xlfn.XLOOKUP($J159,'Sweetener Mix In Nutrition'!A:A,'Sweetener Mix In Nutrition'!E:E,0))+(($Y159 / 100)  * _xlfn.XLOOKUP($K159,'Sweetener Mix In Nutrition'!A:A,'Sweetener Mix In Nutrition'!E:E,0))</f>
        <v>0</v>
      </c>
      <c r="AD159" s="36">
        <f>(($R159 / 240) * _xlfn.XLOOKUP($D159,'Milk Types Nutrition Per Cup'!A:A,'Milk Types Nutrition Per Cup'!E:E,0)) +(($S159 / 240)  * _xlfn.XLOOKUP($E159,'Milk Types Nutrition Per Cup'!A:A,'Milk Types Nutrition Per Cup'!E:E,0)) +(($T159 / 15)  * _xlfn.XLOOKUP($F159,'Liquid Mix In Nutrition'!A:A,'Liquid Mix In Nutrition'!E:E,0)) +(($U159 / 15)  * _xlfn.XLOOKUP($G159,'Liquid Mix In Nutrition'!A:A,'Liquid Mix In Nutrition'!E:E,0))+(($X159 / 100)  * _xlfn.XLOOKUP($J159,'Sweetener Mix In Nutrition'!A:A,'Sweetener Mix In Nutrition'!E:E,0))+(($Y159 / 100)  * _xlfn.XLOOKUP($K159,'Sweetener Mix In Nutrition'!A:A,'Sweetener Mix In Nutrition'!E:E,0))</f>
        <v>0</v>
      </c>
      <c r="AE159" s="37">
        <f>(($R159 / 240) * _xlfn.XLOOKUP($D159,'Milk Types Nutrition Per Cup'!A:A,'Milk Types Nutrition Per Cup'!C:C,0)) +(($S159 / 240)  * _xlfn.XLOOKUP($E159,'Milk Types Nutrition Per Cup'!A:A,'Milk Types Nutrition Per Cup'!C:C,0)) +(($T159 / 15)  * _xlfn.XLOOKUP($F159,'Liquid Mix In Nutrition'!A:A,'Liquid Mix In Nutrition'!C:C,0))+(($U159 / 15)  * _xlfn.XLOOKUP($G159,'Liquid Mix In Nutrition'!A:A,'Liquid Mix In Nutrition'!C:C,0))+(($V159 / MAX(1, _xlfn.XLOOKUP($H159,'Solid Mix In Nutrition'!A:A,'Solid Mix In Nutrition'!I:I,1)))  * _xlfn.XLOOKUP($H159,'Solid Mix In Nutrition'!A:A,'Solid Mix In Nutrition'!C:C,0))+(($W159 / MAX(1, _xlfn.XLOOKUP($I159,'Solid Mix In Nutrition'!A:A,'Solid Mix In Nutrition'!I:I,1)))  * _xlfn.XLOOKUP($I159,'Solid Mix In Nutrition'!A:A,'Solid Mix In Nutrition'!C:C,0))+(($X159 / 100)  * _xlfn.XLOOKUP($J159,'Sweetener Mix In Nutrition'!A:A,'Sweetener Mix In Nutrition'!C:C,0))+(($Y159 / 100)  * _xlfn.XLOOKUP($K159,'Sweetener Mix In Nutrition'!A:A,'Sweetener Mix In Nutrition'!C:C,0))</f>
        <v>0</v>
      </c>
      <c r="AF159" s="38" t="e">
        <f>$AE159 / (_xlfn.XLOOKUP($L159,Specs!A:A,Specs!B:B,0))</f>
        <v>#DIV/0!</v>
      </c>
      <c r="AG159" s="37" t="e">
        <f>60* ($AB159 / _xlfn.XLOOKUP($L159,Specs!A:A,Specs!B:B,0))</f>
        <v>#DIV/0!</v>
      </c>
      <c r="AH159" s="37" t="e">
        <f>60* (AC159 / _xlfn.XLOOKUP($L159,Specs!$A:$A,Specs!$B:$B,0))</f>
        <v>#DIV/0!</v>
      </c>
      <c r="AI159" s="37" t="e">
        <f>60* (AE159 / _xlfn.XLOOKUP($L159,Specs!$A:$A,Specs!$B:$B,0))</f>
        <v>#DIV/0!</v>
      </c>
      <c r="AJ159" s="39">
        <f>(($R159 / 240) * _xlfn.XLOOKUP($D159,'Milk Types Nutrition Per Cup'!A:A,'Milk Types Nutrition Per Cup'!F:F,0)) +(($S159 / 240)  * _xlfn.XLOOKUP($E159,'Milk Types Nutrition Per Cup'!A:A,'Milk Types Nutrition Per Cup'!F:F,0)) +(($T159 / 15)  * _xlfn.XLOOKUP($F159,'Liquid Mix In Nutrition'!A:A,'Liquid Mix In Nutrition'!F:F,0))+(($U159 / 15)  * _xlfn.XLOOKUP($G159,'Liquid Mix In Nutrition'!A:A,'Liquid Mix In Nutrition'!F:F,0))+(($V159 / MAX(1, _xlfn.XLOOKUP($H159,'Solid Mix In Nutrition'!A:A,'Solid Mix In Nutrition'!I:I,1)))  * _xlfn.XLOOKUP($H159,'Solid Mix In Nutrition'!A:A,'Solid Mix In Nutrition'!F:F,0))+(($W159 / MAX(1, _xlfn.XLOOKUP($I159,'Solid Mix In Nutrition'!A:A,'Solid Mix In Nutrition'!I:I,1)))  * _xlfn.XLOOKUP($I159,'Solid Mix In Nutrition'!A:A,'Solid Mix In Nutrition'!F:F,0))+(($X159 / 100)  * _xlfn.XLOOKUP($J159,'Sweetener Mix In Nutrition'!A:A,'Sweetener Mix In Nutrition'!F:F,0))+(($Y159 / 100)  * _xlfn.XLOOKUP($K159,'Sweetener Mix In Nutrition'!A:A,'Sweetener Mix In Nutrition'!F:F,0))</f>
        <v>0</v>
      </c>
      <c r="AK159" s="46">
        <f>[2]Sheet1!AG159</f>
        <v>0</v>
      </c>
      <c r="AL159" s="47"/>
      <c r="AM159" s="40">
        <f>IF(ISERROR(((AL159/Specs!$L$3)*Specs!$L$2)*2),0,ROUNDUP((((AL159/Specs!$L$3)*Specs!$L$2)*2),0))</f>
        <v>0</v>
      </c>
      <c r="AN159" s="48">
        <f>ROUNDUP(((AJ159+Specs!$R$2+Specs!$S$2+_xlfn.XLOOKUP($L159,Specs!A:A,Specs!V:V,0))*Specs!$N$2)+AM159,0)</f>
        <v>1</v>
      </c>
      <c r="AO159" s="40">
        <f>ROUNDUP(((AJ159+Specs!$R$2+Specs!$S$2+_xlfn.XLOOKUP($L159,Specs!A:A,Specs!V:V,0))*Specs!$N$2),0)</f>
        <v>1</v>
      </c>
      <c r="AP159" s="30"/>
    </row>
    <row r="160" spans="1:42" x14ac:dyDescent="0.25">
      <c r="A160" s="41" t="str">
        <f>_xlfn.CONCAT(_xlfn.XLOOKUP("What's Your Name?",[1]Sheet1!$1:$1,[1]Sheet1!160:160)," | ",TEXT(_xlfn.XLOOKUP("Completion time",[1]Sheet1!$1:$1,[1]Sheet1!160:160),"dddd, mmm dd, yyyy hh:mm AM/PM"))</f>
        <v xml:space="preserve"> | Saturday, Jan 00, 1900 12:00 AM</v>
      </c>
      <c r="B160" s="76">
        <f>_xlfn.XLOOKUP("What's Your Email Address?",[1]Sheet1!$1:$1,[1]Sheet1!160:160)</f>
        <v>0</v>
      </c>
      <c r="C160" s="31">
        <f>IF(ISBLANK(_xlfn.XLOOKUP("Which Flavor? (Pint Price | Quart Price | Half Gallon Price) (NOTE: Prices may fluctuate based on market conditions)",[1]Sheet1!$1:$1,[1]Sheet1!160:160)),_xlfn.XLOOKUP("Name Your Ice Cream!",[1]Sheet1!$1:$1,[1]Sheet1!160:160),IF(ISNUMBER(FIND("(", _xlfn.XLOOKUP("Which Flavor? (Pint Price | Quart Price | Half Gallon Price) (NOTE: Prices may fluctuate based on market conditions)",[1]Sheet1!$1:$1,[1]Sheet1!160:160))), LEFT(_xlfn.XLOOKUP("Which Flavor? (Pint Price | Quart Price | Half Gallon Price) (NOTE: Prices may fluctuate based on market conditions)",[1]Sheet1!$1:$1,[1]Sheet1!160:160), FIND("(", _xlfn.XLOOKUP("Which Flavor? (Pint Price | Quart Price | Half Gallon Price) (NOTE: Prices may fluctuate based on market conditions)",[1]Sheet1!$1:$1,[1]Sheet1!160:160)) - 1), _xlfn.XLOOKUP("Which Flavor? (Pint Price | Quart Price | Half Gallon Price) (NOTE: Prices may fluctuate based on market conditions)",[1]Sheet1!$1:$1,[1]Sheet1!160:160)))</f>
        <v>0</v>
      </c>
      <c r="D160" s="31">
        <f>IF(COUNTIF('Premade Flavors'!$A:$A, $C160) &gt; 0,IF(ISBLANK(_xlfn.XLOOKUP("What Ice Cream Base Do You Want To Change It To?",[1]Sheet1!$1:$1,[1]Sheet1!160:160)),_xlfn.XLOOKUP($C160,'Premade Flavors'!$A:$A,'Premade Flavors'!B:B),_xlfn.XLOOKUP("What Ice Cream Base Do You Want To Change It To?",[1]Sheet1!$1:$1,[1]Sheet1!160:160)),_xlfn.XLOOKUP(_xlfn.XLOOKUP("What Kind Of Ice Cream Base Do You Want? ",[1]Sheet1!$1:$1,[1]Sheet1!160:160),'Milk Types Nutrition Per Cup'!O:O,'Milk Types Nutrition Per Cup'!P:P,""))</f>
        <v>0</v>
      </c>
      <c r="E160" s="31">
        <f>IF(COUNTIF('Premade Flavors'!$A:$A, $C160) &gt; 0,IF(ISBLANK(_xlfn.XLOOKUP("What Ice Cream Base Do You Want To Change It To?",[1]Sheet1!$1:$1,[1]Sheet1!160:160)),_xlfn.XLOOKUP($C160,'Premade Flavors'!$A:$A,'Premade Flavors'!C:C),_xlfn.XLOOKUP("What Ice Cream Base Do You Want To Change It To?",[1]Sheet1!$1:$1,[1]Sheet1!160:160)),_xlfn.XLOOKUP(_xlfn.XLOOKUP("What Kind Of Ice Cream Base Do You Want? ",[1]Sheet1!$1:$1,[1]Sheet1!160:160),'Milk Types Nutrition Per Cup'!$O:$O,'Milk Types Nutrition Per Cup'!$Q:$Q,""))</f>
        <v>0</v>
      </c>
      <c r="F160" s="31">
        <f>IF(COUNTIF('Premade Flavors'!$A:$A, $C160) &gt; 0,_xlfn.XLOOKUP($C160,'Premade Flavors'!$A:$A,'Premade Flavors'!E:E),_xlfn.XLOOKUP("What's The First Flavor You Want? ",[1]Sheet1!$1:$1,[1]Sheet1!160:160))</f>
        <v>0</v>
      </c>
      <c r="G160" s="31">
        <f>IF(COUNTIF('Premade Flavors'!$A:$A, $C160) &gt; 0,_xlfn.XLOOKUP($C160,'Premade Flavors'!$A:$A,'Premade Flavors'!F:F),_xlfn.XLOOKUP("What's the Second Flavor You Want?",[1]Sheet1!$1:$1,[1]Sheet1!160:160))</f>
        <v>0</v>
      </c>
      <c r="H160" s="31">
        <f>IF(COUNTIF('Premade Flavors'!$A:$A, $C160) &gt; 0,_xlfn.XLOOKUP($C160,'Premade Flavors'!$A:$A,'Premade Flavors'!G:G),_xlfn.XLOOKUP("What's The First Mix In That You Want? ",[1]Sheet1!$1:$1,[1]Sheet1!160:160))</f>
        <v>0</v>
      </c>
      <c r="I160" s="31">
        <f>IF(COUNTIF('Premade Flavors'!$A:$A, $C158) &gt; 0,_xlfn.XLOOKUP($C158,'Premade Flavors'!$A:$A,'Premade Flavors'!H:H),IF([2]Sheet1!W158= 0,,[2]Sheet1!W158))</f>
        <v>0</v>
      </c>
      <c r="J160" s="31">
        <f>IF(COUNTIF('Premade Flavors'!$A:$A,$C160)&gt;0,IF(_xlfn.XLOOKUP("Should It Use Sugar or A Non-Sugar Sweetner?",[1]Sheet1!$1:$1,[1]Sheet1!160:160)="Sugar",_xlfn.XLOOKUP($C160,'Premade Flavors'!$A:$A,'Premade Flavors'!I:I),"Stevia"),_xlfn.XLOOKUP("What Sweetner Do You Want?",[1]Sheet1!$1:$1,[1]Sheet1!160:160))</f>
        <v>0</v>
      </c>
      <c r="K160" s="31"/>
      <c r="L160" s="77">
        <f>_xlfn.XLOOKUP("How Much Ice Cream Do You Want?",[1]Sheet1!$1:$1,[1]Sheet1!160:160)</f>
        <v>0</v>
      </c>
      <c r="M160" s="45">
        <f>IF(COUNTIF('Premade Flavors'!$A:$A, $C160) &gt; 0,_xlfn.XLOOKUP($C160,'Premade Flavors'!$A:$A,'Premade Flavors'!M:M),_xlfn.XLOOKUP("How Strong Do You Want The First Flavor?",[1]Sheet1!$1:$1,[1]Sheet1!160:160))</f>
        <v>0</v>
      </c>
      <c r="N160" s="45">
        <f>IF(COUNTIF('Premade Flavors'!$A:$A, $C160) &gt; 0,_xlfn.XLOOKUP($C160,'Premade Flavors'!$A:$A,'Premade Flavors'!N:N),_xlfn.XLOOKUP("How Strong Do You Want The Second Flavor?",[1]Sheet1!$1:$1,[1]Sheet1!160:160))</f>
        <v>0</v>
      </c>
      <c r="O160" s="45">
        <f>IF(COUNTIF('Premade Flavors'!$A:$A, $C160) &gt; 0,_xlfn.XLOOKUP($C160,'Premade Flavors'!$A:$A,'Premade Flavors'!O:O),_xlfn.XLOOKUP("How Dense Should the Mix Ins Be?",[1]Sheet1!$1:$1,[1]Sheet1!160:160))</f>
        <v>0</v>
      </c>
      <c r="P160" s="45">
        <f>IF(COUNTIF('Premade Flavors'!$A:$A, $C160) &gt; 0,_xlfn.XLOOKUP($C160,'Premade Flavors'!$A:$A,'Premade Flavors'!P:P),_xlfn.XLOOKUP("How Much Of The First Sweetner? ",[1]Sheet1!$1:$1,[1]Sheet1!160:160))</f>
        <v>0</v>
      </c>
      <c r="Q160" s="45">
        <f>IF(COUNTIF('Premade Flavors'!$A:$A, $C160) &gt; 0,_xlfn.XLOOKUP($C160,'Premade Flavors'!$A:$A,'Premade Flavors'!Q:Q),[2]Sheet1!S160)</f>
        <v>0</v>
      </c>
      <c r="R160" s="30">
        <f>(_xlfn.XLOOKUP($L160,Specs!A:A,Specs!B:B,0)-(IF(_xlfn.XLOOKUP($F160,'Liquid Mix In Nutrition'!A:A,'Liquid Mix In Nutrition'!J:J,0)="Yes",0,$T160))-(IF(_xlfn.XLOOKUP($G160,'Liquid Mix In Nutrition'!A:A,'Liquid Mix In Nutrition'!J:J,0)="Yes",0,$U160))-(($V160/MAX(1,_xlfn.XLOOKUP($H160,'Solid Mix In Nutrition'!A:A,'Solid Mix In Nutrition'!I:I,1)))*240)-(($W160/MAX(1,_xlfn.XLOOKUP($I160,'Solid Mix In Nutrition'!A:A,'Solid Mix In Nutrition'!I:I,1)))*240))*0.66</f>
        <v>0</v>
      </c>
      <c r="S160" s="30">
        <f>(_xlfn.XLOOKUP($L160,Specs!A:A,Specs!B:B,0)-(IF(_xlfn.XLOOKUP($F160,'Liquid Mix In Nutrition'!A:A,'Liquid Mix In Nutrition'!J:J,0)="Yes",0,$T160))-(IF(_xlfn.XLOOKUP($G160,'Liquid Mix In Nutrition'!A:A,'Liquid Mix In Nutrition'!J:J,0)="Yes",0,$U160))-(($V160/MAX(1,_xlfn.XLOOKUP($H160,'Solid Mix In Nutrition'!A:A,'Solid Mix In Nutrition'!I:I,1)))*240)-(($W160/MAX(1,_xlfn.XLOOKUP($I160,'Solid Mix In Nutrition'!A:A,'Solid Mix In Nutrition'!I:I,1)))*240))*0.33</f>
        <v>0</v>
      </c>
      <c r="T160" s="30">
        <f>_xlfn.XLOOKUP($M160,Specs!$D:$D,Specs!$E:$E,0)*15*_xlfn.XLOOKUP($L160,Specs!$A:$A,Specs!$C:$C,0)</f>
        <v>0</v>
      </c>
      <c r="U160" s="30">
        <f>_xlfn.XLOOKUP($N160,Specs!$D:$D,Specs!$E:$E,0)*15*_xlfn.XLOOKUP($L160,Specs!$A:$A,Specs!$C:$C,0)</f>
        <v>0</v>
      </c>
      <c r="V160" s="30">
        <f>( ((_xlfn.XLOOKUP($O160,Specs!$H:$H,Specs!$I:$I,0)*_xlfn.XLOOKUP($L160,Specs!$A:$A,Specs!$B:$B,0))/240) *_xlfn.XLOOKUP($H160,'Solid Mix In Nutrition'!A:A,'Solid Mix In Nutrition'!I:I,0)) *IF(AND(NOT($I160=0), COUNTA($I160)),0.5,1)</f>
        <v>0</v>
      </c>
      <c r="W160" s="30">
        <f>( ((_xlfn.XLOOKUP($O160,Specs!$H:$H,Specs!$I:$I,0)*_xlfn.XLOOKUP($L160,Specs!$A:$A,Specs!$B:$B,0))/240) *_xlfn.XLOOKUP($I160,'Solid Mix In Nutrition'!A:A,'Solid Mix In Nutrition'!I:I,0)) *IF(AND(NOT($I160=0), COUNTA($I160)),0.5,0)</f>
        <v>0</v>
      </c>
      <c r="X160" s="30">
        <f>_xlfn.XLOOKUP($P160,Specs!F:F,Specs!G:G,0)*_xlfn.XLOOKUP($J160,'Sweetener Mix In Nutrition'!A:A,'Sweetener Mix In Nutrition'!I:I,0)*_xlfn.XLOOKUP($L160,Specs!A:A,Specs!C:C,0)</f>
        <v>0</v>
      </c>
      <c r="Y160" s="30">
        <f>_xlfn.XLOOKUP($Q160,Specs!F:F,Specs!G:G,0)*_xlfn.XLOOKUP($K160,'Sweetener Mix In Nutrition'!A:A,'Sweetener Mix In Nutrition'!I:I,0)*_xlfn.XLOOKUP($L160,Specs!A:A,Specs!C:C,0)</f>
        <v>0</v>
      </c>
      <c r="Z160" s="34">
        <f t="shared" si="4"/>
        <v>0</v>
      </c>
      <c r="AA160" s="35">
        <f t="shared" si="5"/>
        <v>0</v>
      </c>
      <c r="AB160" s="36">
        <f>(($R160 / 240) * _xlfn.XLOOKUP($D160,'Milk Types Nutrition Per Cup'!A:A,'Milk Types Nutrition Per Cup'!B:B,0)) +(($S160 / 240)  * _xlfn.XLOOKUP($E160,'Milk Types Nutrition Per Cup'!A:A,'Milk Types Nutrition Per Cup'!B:B,0)) +(($T160 / 15)  * _xlfn.XLOOKUP($F160,'Liquid Mix In Nutrition'!A:A,'Liquid Mix In Nutrition'!B:B,0))+(($U160 / 15)  * _xlfn.XLOOKUP($G160,'Liquid Mix In Nutrition'!A:A,'Liquid Mix In Nutrition'!B:B,0))+(($V160 /MAX(1, _xlfn.XLOOKUP($H160,'Solid Mix In Nutrition'!A:A,'Solid Mix In Nutrition'!I:I,1)))  * _xlfn.XLOOKUP($H160,'Solid Mix In Nutrition'!A:A,'Solid Mix In Nutrition'!B:B,0))+(($W160 / MAX(1, _xlfn.XLOOKUP($I160,'Solid Mix In Nutrition'!A:A,'Solid Mix In Nutrition'!I:I,1))))+(($X160 / 100)  * _xlfn.XLOOKUP($J160,'Sweetener Mix In Nutrition'!A:A,'Sweetener Mix In Nutrition'!B:B,0))+(($Y160 / 100)  * _xlfn.XLOOKUP($K160,'Sweetener Mix In Nutrition'!A:A,'Sweetener Mix In Nutrition'!B:B,0))</f>
        <v>0</v>
      </c>
      <c r="AC160" s="36">
        <f>(($R160 / 240) * _xlfn.XLOOKUP($D160,'Milk Types Nutrition Per Cup'!A:A,'Milk Types Nutrition Per Cup'!E:E,0)) +(($S160 / 240)  * _xlfn.XLOOKUP($E160,'Milk Types Nutrition Per Cup'!A:A,'Milk Types Nutrition Per Cup'!E:E,0)) +(($T160 / 15)  * _xlfn.XLOOKUP($F160,'Liquid Mix In Nutrition'!A:A,'Liquid Mix In Nutrition'!E:E,0)) +(($U160 / 15)  * _xlfn.XLOOKUP($G160,'Liquid Mix In Nutrition'!A:A,'Liquid Mix In Nutrition'!E:E,0))+(($V160 / MAX(1, _xlfn.XLOOKUP($H160,'Solid Mix In Nutrition'!A:A,'Solid Mix In Nutrition'!I:I,1)))  * _xlfn.XLOOKUP($H160,'Solid Mix In Nutrition'!A:A,'Solid Mix In Nutrition'!E:E,0))+(($W160 / MAX(1, _xlfn.XLOOKUP($I160,'Solid Mix In Nutrition'!A:A,'Solid Mix In Nutrition'!I:I,1)))  * _xlfn.XLOOKUP($I160,'Solid Mix In Nutrition'!A:A,'Solid Mix In Nutrition'!G:G,0))+(($X160 / 100)  * _xlfn.XLOOKUP($J160,'Sweetener Mix In Nutrition'!A:A,'Sweetener Mix In Nutrition'!E:E,0))+(($Y160 / 100)  * _xlfn.XLOOKUP($K160,'Sweetener Mix In Nutrition'!A:A,'Sweetener Mix In Nutrition'!E:E,0))</f>
        <v>0</v>
      </c>
      <c r="AD160" s="36">
        <f>(($R160 / 240) * _xlfn.XLOOKUP($D160,'Milk Types Nutrition Per Cup'!A:A,'Milk Types Nutrition Per Cup'!E:E,0)) +(($S160 / 240)  * _xlfn.XLOOKUP($E160,'Milk Types Nutrition Per Cup'!A:A,'Milk Types Nutrition Per Cup'!E:E,0)) +(($T160 / 15)  * _xlfn.XLOOKUP($F160,'Liquid Mix In Nutrition'!A:A,'Liquid Mix In Nutrition'!E:E,0)) +(($U160 / 15)  * _xlfn.XLOOKUP($G160,'Liquid Mix In Nutrition'!A:A,'Liquid Mix In Nutrition'!E:E,0))+(($X160 / 100)  * _xlfn.XLOOKUP($J160,'Sweetener Mix In Nutrition'!A:A,'Sweetener Mix In Nutrition'!E:E,0))+(($Y160 / 100)  * _xlfn.XLOOKUP($K160,'Sweetener Mix In Nutrition'!A:A,'Sweetener Mix In Nutrition'!E:E,0))</f>
        <v>0</v>
      </c>
      <c r="AE160" s="37">
        <f>(($R160 / 240) * _xlfn.XLOOKUP($D160,'Milk Types Nutrition Per Cup'!A:A,'Milk Types Nutrition Per Cup'!C:C,0)) +(($S160 / 240)  * _xlfn.XLOOKUP($E160,'Milk Types Nutrition Per Cup'!A:A,'Milk Types Nutrition Per Cup'!C:C,0)) +(($T160 / 15)  * _xlfn.XLOOKUP($F160,'Liquid Mix In Nutrition'!A:A,'Liquid Mix In Nutrition'!C:C,0))+(($U160 / 15)  * _xlfn.XLOOKUP($G160,'Liquid Mix In Nutrition'!A:A,'Liquid Mix In Nutrition'!C:C,0))+(($V160 / MAX(1, _xlfn.XLOOKUP($H160,'Solid Mix In Nutrition'!A:A,'Solid Mix In Nutrition'!I:I,1)))  * _xlfn.XLOOKUP($H160,'Solid Mix In Nutrition'!A:A,'Solid Mix In Nutrition'!C:C,0))+(($W160 / MAX(1, _xlfn.XLOOKUP($I160,'Solid Mix In Nutrition'!A:A,'Solid Mix In Nutrition'!I:I,1)))  * _xlfn.XLOOKUP($I160,'Solid Mix In Nutrition'!A:A,'Solid Mix In Nutrition'!C:C,0))+(($X160 / 100)  * _xlfn.XLOOKUP($J160,'Sweetener Mix In Nutrition'!A:A,'Sweetener Mix In Nutrition'!C:C,0))+(($Y160 / 100)  * _xlfn.XLOOKUP($K160,'Sweetener Mix In Nutrition'!A:A,'Sweetener Mix In Nutrition'!C:C,0))</f>
        <v>0</v>
      </c>
      <c r="AF160" s="38" t="e">
        <f>$AE160 / (_xlfn.XLOOKUP($L160,Specs!A:A,Specs!B:B,0))</f>
        <v>#DIV/0!</v>
      </c>
      <c r="AG160" s="37" t="e">
        <f>60* ($AB160 / _xlfn.XLOOKUP($L160,Specs!A:A,Specs!B:B,0))</f>
        <v>#DIV/0!</v>
      </c>
      <c r="AH160" s="37" t="e">
        <f>60* (AC160 / _xlfn.XLOOKUP($L160,Specs!$A:$A,Specs!$B:$B,0))</f>
        <v>#DIV/0!</v>
      </c>
      <c r="AI160" s="37" t="e">
        <f>60* (AE160 / _xlfn.XLOOKUP($L160,Specs!$A:$A,Specs!$B:$B,0))</f>
        <v>#DIV/0!</v>
      </c>
      <c r="AJ160" s="39">
        <f>(($R160 / 240) * _xlfn.XLOOKUP($D160,'Milk Types Nutrition Per Cup'!A:A,'Milk Types Nutrition Per Cup'!F:F,0)) +(($S160 / 240)  * _xlfn.XLOOKUP($E160,'Milk Types Nutrition Per Cup'!A:A,'Milk Types Nutrition Per Cup'!F:F,0)) +(($T160 / 15)  * _xlfn.XLOOKUP($F160,'Liquid Mix In Nutrition'!A:A,'Liquid Mix In Nutrition'!F:F,0))+(($U160 / 15)  * _xlfn.XLOOKUP($G160,'Liquid Mix In Nutrition'!A:A,'Liquid Mix In Nutrition'!F:F,0))+(($V160 / MAX(1, _xlfn.XLOOKUP($H160,'Solid Mix In Nutrition'!A:A,'Solid Mix In Nutrition'!I:I,1)))  * _xlfn.XLOOKUP($H160,'Solid Mix In Nutrition'!A:A,'Solid Mix In Nutrition'!F:F,0))+(($W160 / MAX(1, _xlfn.XLOOKUP($I160,'Solid Mix In Nutrition'!A:A,'Solid Mix In Nutrition'!I:I,1)))  * _xlfn.XLOOKUP($I160,'Solid Mix In Nutrition'!A:A,'Solid Mix In Nutrition'!F:F,0))+(($X160 / 100)  * _xlfn.XLOOKUP($J160,'Sweetener Mix In Nutrition'!A:A,'Sweetener Mix In Nutrition'!F:F,0))+(($Y160 / 100)  * _xlfn.XLOOKUP($K160,'Sweetener Mix In Nutrition'!A:A,'Sweetener Mix In Nutrition'!F:F,0))</f>
        <v>0</v>
      </c>
      <c r="AK160" s="46">
        <f>[2]Sheet1!AG160</f>
        <v>0</v>
      </c>
      <c r="AL160" s="47"/>
      <c r="AM160" s="40">
        <f>IF(ISERROR(((AL160/Specs!$L$3)*Specs!$L$2)*2),0,ROUNDUP((((AL160/Specs!$L$3)*Specs!$L$2)*2),0))</f>
        <v>0</v>
      </c>
      <c r="AN160" s="48">
        <f>ROUNDUP(((AJ160+Specs!$R$2+Specs!$S$2+_xlfn.XLOOKUP($L160,Specs!A:A,Specs!V:V,0))*Specs!$N$2)+AM160,0)</f>
        <v>1</v>
      </c>
      <c r="AO160" s="40">
        <f>ROUNDUP(((AJ160+Specs!$R$2+Specs!$S$2+_xlfn.XLOOKUP($L160,Specs!A:A,Specs!V:V,0))*Specs!$N$2),0)</f>
        <v>1</v>
      </c>
      <c r="AP160" s="30"/>
    </row>
    <row r="161" spans="1:42" x14ac:dyDescent="0.25">
      <c r="A161" s="41" t="str">
        <f>_xlfn.CONCAT(_xlfn.XLOOKUP("What's Your Name?",[1]Sheet1!$1:$1,[1]Sheet1!161:161)," | ",TEXT(_xlfn.XLOOKUP("Completion time",[1]Sheet1!$1:$1,[1]Sheet1!161:161),"dddd, mmm dd, yyyy hh:mm AM/PM"))</f>
        <v xml:space="preserve"> | Saturday, Jan 00, 1900 12:00 AM</v>
      </c>
      <c r="B161" s="76">
        <f>_xlfn.XLOOKUP("What's Your Email Address?",[1]Sheet1!$1:$1,[1]Sheet1!161:161)</f>
        <v>0</v>
      </c>
      <c r="C161" s="31">
        <f>IF(ISBLANK(_xlfn.XLOOKUP("Which Flavor? (Pint Price | Quart Price | Half Gallon Price) (NOTE: Prices may fluctuate based on market conditions)",[1]Sheet1!$1:$1,[1]Sheet1!161:161)),_xlfn.XLOOKUP("Name Your Ice Cream!",[1]Sheet1!$1:$1,[1]Sheet1!161:161),IF(ISNUMBER(FIND("(", _xlfn.XLOOKUP("Which Flavor? (Pint Price | Quart Price | Half Gallon Price) (NOTE: Prices may fluctuate based on market conditions)",[1]Sheet1!$1:$1,[1]Sheet1!161:161))), LEFT(_xlfn.XLOOKUP("Which Flavor? (Pint Price | Quart Price | Half Gallon Price) (NOTE: Prices may fluctuate based on market conditions)",[1]Sheet1!$1:$1,[1]Sheet1!161:161), FIND("(", _xlfn.XLOOKUP("Which Flavor? (Pint Price | Quart Price | Half Gallon Price) (NOTE: Prices may fluctuate based on market conditions)",[1]Sheet1!$1:$1,[1]Sheet1!161:161)) - 1), _xlfn.XLOOKUP("Which Flavor? (Pint Price | Quart Price | Half Gallon Price) (NOTE: Prices may fluctuate based on market conditions)",[1]Sheet1!$1:$1,[1]Sheet1!161:161)))</f>
        <v>0</v>
      </c>
      <c r="D161" s="31">
        <f>IF(COUNTIF('Premade Flavors'!$A:$A, $C161) &gt; 0,IF(ISBLANK(_xlfn.XLOOKUP("What Ice Cream Base Do You Want To Change It To?",[1]Sheet1!$1:$1,[1]Sheet1!161:161)),_xlfn.XLOOKUP($C161,'Premade Flavors'!$A:$A,'Premade Flavors'!B:B),_xlfn.XLOOKUP("What Ice Cream Base Do You Want To Change It To?",[1]Sheet1!$1:$1,[1]Sheet1!161:161)),_xlfn.XLOOKUP(_xlfn.XLOOKUP("What Kind Of Ice Cream Base Do You Want? ",[1]Sheet1!$1:$1,[1]Sheet1!161:161),'Milk Types Nutrition Per Cup'!O:O,'Milk Types Nutrition Per Cup'!P:P,""))</f>
        <v>0</v>
      </c>
      <c r="E161" s="31">
        <f>IF(COUNTIF('Premade Flavors'!$A:$A, $C161) &gt; 0,IF(ISBLANK(_xlfn.XLOOKUP("What Ice Cream Base Do You Want To Change It To?",[1]Sheet1!$1:$1,[1]Sheet1!161:161)),_xlfn.XLOOKUP($C161,'Premade Flavors'!$A:$A,'Premade Flavors'!C:C),_xlfn.XLOOKUP("What Ice Cream Base Do You Want To Change It To?",[1]Sheet1!$1:$1,[1]Sheet1!161:161)),_xlfn.XLOOKUP(_xlfn.XLOOKUP("What Kind Of Ice Cream Base Do You Want? ",[1]Sheet1!$1:$1,[1]Sheet1!161:161),'Milk Types Nutrition Per Cup'!$O:$O,'Milk Types Nutrition Per Cup'!$Q:$Q,""))</f>
        <v>0</v>
      </c>
      <c r="F161" s="31">
        <f>IF(COUNTIF('Premade Flavors'!$A:$A, $C161) &gt; 0,_xlfn.XLOOKUP($C161,'Premade Flavors'!$A:$A,'Premade Flavors'!E:E),_xlfn.XLOOKUP("What's The First Flavor You Want? ",[1]Sheet1!$1:$1,[1]Sheet1!161:161))</f>
        <v>0</v>
      </c>
      <c r="G161" s="31">
        <f>IF(COUNTIF('Premade Flavors'!$A:$A, $C161) &gt; 0,_xlfn.XLOOKUP($C161,'Premade Flavors'!$A:$A,'Premade Flavors'!F:F),_xlfn.XLOOKUP("What's the Second Flavor You Want?",[1]Sheet1!$1:$1,[1]Sheet1!161:161))</f>
        <v>0</v>
      </c>
      <c r="H161" s="31">
        <f>IF(COUNTIF('Premade Flavors'!$A:$A, $C161) &gt; 0,_xlfn.XLOOKUP($C161,'Premade Flavors'!$A:$A,'Premade Flavors'!G:G),_xlfn.XLOOKUP("What's The First Mix In That You Want? ",[1]Sheet1!$1:$1,[1]Sheet1!161:161))</f>
        <v>0</v>
      </c>
      <c r="I161" s="31">
        <f>IF(COUNTIF('Premade Flavors'!$A:$A, $C159) &gt; 0,_xlfn.XLOOKUP($C159,'Premade Flavors'!$A:$A,'Premade Flavors'!H:H),IF([2]Sheet1!W159= 0,,[2]Sheet1!W159))</f>
        <v>0</v>
      </c>
      <c r="J161" s="31">
        <f>IF(COUNTIF('Premade Flavors'!$A:$A,$C161)&gt;0,IF(_xlfn.XLOOKUP("Should It Use Sugar or A Non-Sugar Sweetner?",[1]Sheet1!$1:$1,[1]Sheet1!161:161)="Sugar",_xlfn.XLOOKUP($C161,'Premade Flavors'!$A:$A,'Premade Flavors'!I:I),"Stevia"),_xlfn.XLOOKUP("What Sweetner Do You Want?",[1]Sheet1!$1:$1,[1]Sheet1!161:161))</f>
        <v>0</v>
      </c>
      <c r="K161" s="31"/>
      <c r="L161" s="77">
        <f>_xlfn.XLOOKUP("How Much Ice Cream Do You Want?",[1]Sheet1!$1:$1,[1]Sheet1!161:161)</f>
        <v>0</v>
      </c>
      <c r="M161" s="45">
        <f>IF(COUNTIF('Premade Flavors'!$A:$A, $C161) &gt; 0,_xlfn.XLOOKUP($C161,'Premade Flavors'!$A:$A,'Premade Flavors'!M:M),_xlfn.XLOOKUP("How Strong Do You Want The First Flavor?",[1]Sheet1!$1:$1,[1]Sheet1!161:161))</f>
        <v>0</v>
      </c>
      <c r="N161" s="45">
        <f>IF(COUNTIF('Premade Flavors'!$A:$A, $C161) &gt; 0,_xlfn.XLOOKUP($C161,'Premade Flavors'!$A:$A,'Premade Flavors'!N:N),_xlfn.XLOOKUP("How Strong Do You Want The Second Flavor?",[1]Sheet1!$1:$1,[1]Sheet1!161:161))</f>
        <v>0</v>
      </c>
      <c r="O161" s="45">
        <f>IF(COUNTIF('Premade Flavors'!$A:$A, $C161) &gt; 0,_xlfn.XLOOKUP($C161,'Premade Flavors'!$A:$A,'Premade Flavors'!O:O),_xlfn.XLOOKUP("How Dense Should the Mix Ins Be?",[1]Sheet1!$1:$1,[1]Sheet1!161:161))</f>
        <v>0</v>
      </c>
      <c r="P161" s="45">
        <f>IF(COUNTIF('Premade Flavors'!$A:$A, $C161) &gt; 0,_xlfn.XLOOKUP($C161,'Premade Flavors'!$A:$A,'Premade Flavors'!P:P),_xlfn.XLOOKUP("How Much Of The First Sweetner? ",[1]Sheet1!$1:$1,[1]Sheet1!161:161))</f>
        <v>0</v>
      </c>
      <c r="Q161" s="45">
        <f>IF(COUNTIF('Premade Flavors'!$A:$A, $C161) &gt; 0,_xlfn.XLOOKUP($C161,'Premade Flavors'!$A:$A,'Premade Flavors'!Q:Q),[2]Sheet1!S161)</f>
        <v>0</v>
      </c>
      <c r="R161" s="30">
        <f>(_xlfn.XLOOKUP($L161,Specs!A:A,Specs!B:B,0)-(IF(_xlfn.XLOOKUP($F161,'Liquid Mix In Nutrition'!A:A,'Liquid Mix In Nutrition'!J:J,0)="Yes",0,$T161))-(IF(_xlfn.XLOOKUP($G161,'Liquid Mix In Nutrition'!A:A,'Liquid Mix In Nutrition'!J:J,0)="Yes",0,$U161))-(($V161/MAX(1,_xlfn.XLOOKUP($H161,'Solid Mix In Nutrition'!A:A,'Solid Mix In Nutrition'!I:I,1)))*240)-(($W161/MAX(1,_xlfn.XLOOKUP($I161,'Solid Mix In Nutrition'!A:A,'Solid Mix In Nutrition'!I:I,1)))*240))*0.66</f>
        <v>0</v>
      </c>
      <c r="S161" s="30">
        <f>(_xlfn.XLOOKUP($L161,Specs!A:A,Specs!B:B,0)-(IF(_xlfn.XLOOKUP($F161,'Liquid Mix In Nutrition'!A:A,'Liquid Mix In Nutrition'!J:J,0)="Yes",0,$T161))-(IF(_xlfn.XLOOKUP($G161,'Liquid Mix In Nutrition'!A:A,'Liquid Mix In Nutrition'!J:J,0)="Yes",0,$U161))-(($V161/MAX(1,_xlfn.XLOOKUP($H161,'Solid Mix In Nutrition'!A:A,'Solid Mix In Nutrition'!I:I,1)))*240)-(($W161/MAX(1,_xlfn.XLOOKUP($I161,'Solid Mix In Nutrition'!A:A,'Solid Mix In Nutrition'!I:I,1)))*240))*0.33</f>
        <v>0</v>
      </c>
      <c r="T161" s="30">
        <f>_xlfn.XLOOKUP($M161,Specs!$D:$D,Specs!$E:$E,0)*15*_xlfn.XLOOKUP($L161,Specs!$A:$A,Specs!$C:$C,0)</f>
        <v>0</v>
      </c>
      <c r="U161" s="30">
        <f>_xlfn.XLOOKUP($N161,Specs!$D:$D,Specs!$E:$E,0)*15*_xlfn.XLOOKUP($L161,Specs!$A:$A,Specs!$C:$C,0)</f>
        <v>0</v>
      </c>
      <c r="V161" s="30">
        <f>( ((_xlfn.XLOOKUP($O161,Specs!$H:$H,Specs!$I:$I,0)*_xlfn.XLOOKUP($L161,Specs!$A:$A,Specs!$B:$B,0))/240) *_xlfn.XLOOKUP($H161,'Solid Mix In Nutrition'!A:A,'Solid Mix In Nutrition'!I:I,0)) *IF(AND(NOT($I161=0), COUNTA($I161)),0.5,1)</f>
        <v>0</v>
      </c>
      <c r="W161" s="30">
        <f>( ((_xlfn.XLOOKUP($O161,Specs!$H:$H,Specs!$I:$I,0)*_xlfn.XLOOKUP($L161,Specs!$A:$A,Specs!$B:$B,0))/240) *_xlfn.XLOOKUP($I161,'Solid Mix In Nutrition'!A:A,'Solid Mix In Nutrition'!I:I,0)) *IF(AND(NOT($I161=0), COUNTA($I161)),0.5,0)</f>
        <v>0</v>
      </c>
      <c r="X161" s="30">
        <f>_xlfn.XLOOKUP($P161,Specs!F:F,Specs!G:G,0)*_xlfn.XLOOKUP($J161,'Sweetener Mix In Nutrition'!A:A,'Sweetener Mix In Nutrition'!I:I,0)*_xlfn.XLOOKUP($L161,Specs!A:A,Specs!C:C,0)</f>
        <v>0</v>
      </c>
      <c r="Y161" s="30">
        <f>_xlfn.XLOOKUP($Q161,Specs!F:F,Specs!G:G,0)*_xlfn.XLOOKUP($K161,'Sweetener Mix In Nutrition'!A:A,'Sweetener Mix In Nutrition'!I:I,0)*_xlfn.XLOOKUP($L161,Specs!A:A,Specs!C:C,0)</f>
        <v>0</v>
      </c>
      <c r="Z161" s="34">
        <f t="shared" si="4"/>
        <v>0</v>
      </c>
      <c r="AA161" s="35">
        <f t="shared" si="5"/>
        <v>0</v>
      </c>
      <c r="AB161" s="36">
        <f>(($R161 / 240) * _xlfn.XLOOKUP($D161,'Milk Types Nutrition Per Cup'!A:A,'Milk Types Nutrition Per Cup'!B:B,0)) +(($S161 / 240)  * _xlfn.XLOOKUP($E161,'Milk Types Nutrition Per Cup'!A:A,'Milk Types Nutrition Per Cup'!B:B,0)) +(($T161 / 15)  * _xlfn.XLOOKUP($F161,'Liquid Mix In Nutrition'!A:A,'Liquid Mix In Nutrition'!B:B,0))+(($U161 / 15)  * _xlfn.XLOOKUP($G161,'Liquid Mix In Nutrition'!A:A,'Liquid Mix In Nutrition'!B:B,0))+(($V161 /MAX(1, _xlfn.XLOOKUP($H161,'Solid Mix In Nutrition'!A:A,'Solid Mix In Nutrition'!I:I,1)))  * _xlfn.XLOOKUP($H161,'Solid Mix In Nutrition'!A:A,'Solid Mix In Nutrition'!B:B,0))+(($W161 / MAX(1, _xlfn.XLOOKUP($I161,'Solid Mix In Nutrition'!A:A,'Solid Mix In Nutrition'!I:I,1))))+(($X161 / 100)  * _xlfn.XLOOKUP($J161,'Sweetener Mix In Nutrition'!A:A,'Sweetener Mix In Nutrition'!B:B,0))+(($Y161 / 100)  * _xlfn.XLOOKUP($K161,'Sweetener Mix In Nutrition'!A:A,'Sweetener Mix In Nutrition'!B:B,0))</f>
        <v>0</v>
      </c>
      <c r="AC161" s="36">
        <f>(($R161 / 240) * _xlfn.XLOOKUP($D161,'Milk Types Nutrition Per Cup'!A:A,'Milk Types Nutrition Per Cup'!E:E,0)) +(($S161 / 240)  * _xlfn.XLOOKUP($E161,'Milk Types Nutrition Per Cup'!A:A,'Milk Types Nutrition Per Cup'!E:E,0)) +(($T161 / 15)  * _xlfn.XLOOKUP($F161,'Liquid Mix In Nutrition'!A:A,'Liquid Mix In Nutrition'!E:E,0)) +(($U161 / 15)  * _xlfn.XLOOKUP($G161,'Liquid Mix In Nutrition'!A:A,'Liquid Mix In Nutrition'!E:E,0))+(($V161 / MAX(1, _xlfn.XLOOKUP($H161,'Solid Mix In Nutrition'!A:A,'Solid Mix In Nutrition'!I:I,1)))  * _xlfn.XLOOKUP($H161,'Solid Mix In Nutrition'!A:A,'Solid Mix In Nutrition'!E:E,0))+(($W161 / MAX(1, _xlfn.XLOOKUP($I161,'Solid Mix In Nutrition'!A:A,'Solid Mix In Nutrition'!I:I,1)))  * _xlfn.XLOOKUP($I161,'Solid Mix In Nutrition'!A:A,'Solid Mix In Nutrition'!G:G,0))+(($X161 / 100)  * _xlfn.XLOOKUP($J161,'Sweetener Mix In Nutrition'!A:A,'Sweetener Mix In Nutrition'!E:E,0))+(($Y161 / 100)  * _xlfn.XLOOKUP($K161,'Sweetener Mix In Nutrition'!A:A,'Sweetener Mix In Nutrition'!E:E,0))</f>
        <v>0</v>
      </c>
      <c r="AD161" s="36">
        <f>(($R161 / 240) * _xlfn.XLOOKUP($D161,'Milk Types Nutrition Per Cup'!A:A,'Milk Types Nutrition Per Cup'!E:E,0)) +(($S161 / 240)  * _xlfn.XLOOKUP($E161,'Milk Types Nutrition Per Cup'!A:A,'Milk Types Nutrition Per Cup'!E:E,0)) +(($T161 / 15)  * _xlfn.XLOOKUP($F161,'Liquid Mix In Nutrition'!A:A,'Liquid Mix In Nutrition'!E:E,0)) +(($U161 / 15)  * _xlfn.XLOOKUP($G161,'Liquid Mix In Nutrition'!A:A,'Liquid Mix In Nutrition'!E:E,0))+(($X161 / 100)  * _xlfn.XLOOKUP($J161,'Sweetener Mix In Nutrition'!A:A,'Sweetener Mix In Nutrition'!E:E,0))+(($Y161 / 100)  * _xlfn.XLOOKUP($K161,'Sweetener Mix In Nutrition'!A:A,'Sweetener Mix In Nutrition'!E:E,0))</f>
        <v>0</v>
      </c>
      <c r="AE161" s="37">
        <f>(($R161 / 240) * _xlfn.XLOOKUP($D161,'Milk Types Nutrition Per Cup'!A:A,'Milk Types Nutrition Per Cup'!C:C,0)) +(($S161 / 240)  * _xlfn.XLOOKUP($E161,'Milk Types Nutrition Per Cup'!A:A,'Milk Types Nutrition Per Cup'!C:C,0)) +(($T161 / 15)  * _xlfn.XLOOKUP($F161,'Liquid Mix In Nutrition'!A:A,'Liquid Mix In Nutrition'!C:C,0))+(($U161 / 15)  * _xlfn.XLOOKUP($G161,'Liquid Mix In Nutrition'!A:A,'Liquid Mix In Nutrition'!C:C,0))+(($V161 / MAX(1, _xlfn.XLOOKUP($H161,'Solid Mix In Nutrition'!A:A,'Solid Mix In Nutrition'!I:I,1)))  * _xlfn.XLOOKUP($H161,'Solid Mix In Nutrition'!A:A,'Solid Mix In Nutrition'!C:C,0))+(($W161 / MAX(1, _xlfn.XLOOKUP($I161,'Solid Mix In Nutrition'!A:A,'Solid Mix In Nutrition'!I:I,1)))  * _xlfn.XLOOKUP($I161,'Solid Mix In Nutrition'!A:A,'Solid Mix In Nutrition'!C:C,0))+(($X161 / 100)  * _xlfn.XLOOKUP($J161,'Sweetener Mix In Nutrition'!A:A,'Sweetener Mix In Nutrition'!C:C,0))+(($Y161 / 100)  * _xlfn.XLOOKUP($K161,'Sweetener Mix In Nutrition'!A:A,'Sweetener Mix In Nutrition'!C:C,0))</f>
        <v>0</v>
      </c>
      <c r="AF161" s="38" t="e">
        <f>$AE161 / (_xlfn.XLOOKUP($L161,Specs!A:A,Specs!B:B,0))</f>
        <v>#DIV/0!</v>
      </c>
      <c r="AG161" s="37" t="e">
        <f>60* ($AB161 / _xlfn.XLOOKUP($L161,Specs!A:A,Specs!B:B,0))</f>
        <v>#DIV/0!</v>
      </c>
      <c r="AH161" s="37" t="e">
        <f>60* (AC161 / _xlfn.XLOOKUP($L161,Specs!$A:$A,Specs!$B:$B,0))</f>
        <v>#DIV/0!</v>
      </c>
      <c r="AI161" s="37" t="e">
        <f>60* (AE161 / _xlfn.XLOOKUP($L161,Specs!$A:$A,Specs!$B:$B,0))</f>
        <v>#DIV/0!</v>
      </c>
      <c r="AJ161" s="39">
        <f>(($R161 / 240) * _xlfn.XLOOKUP($D161,'Milk Types Nutrition Per Cup'!A:A,'Milk Types Nutrition Per Cup'!F:F,0)) +(($S161 / 240)  * _xlfn.XLOOKUP($E161,'Milk Types Nutrition Per Cup'!A:A,'Milk Types Nutrition Per Cup'!F:F,0)) +(($T161 / 15)  * _xlfn.XLOOKUP($F161,'Liquid Mix In Nutrition'!A:A,'Liquid Mix In Nutrition'!F:F,0))+(($U161 / 15)  * _xlfn.XLOOKUP($G161,'Liquid Mix In Nutrition'!A:A,'Liquid Mix In Nutrition'!F:F,0))+(($V161 / MAX(1, _xlfn.XLOOKUP($H161,'Solid Mix In Nutrition'!A:A,'Solid Mix In Nutrition'!I:I,1)))  * _xlfn.XLOOKUP($H161,'Solid Mix In Nutrition'!A:A,'Solid Mix In Nutrition'!F:F,0))+(($W161 / MAX(1, _xlfn.XLOOKUP($I161,'Solid Mix In Nutrition'!A:A,'Solid Mix In Nutrition'!I:I,1)))  * _xlfn.XLOOKUP($I161,'Solid Mix In Nutrition'!A:A,'Solid Mix In Nutrition'!F:F,0))+(($X161 / 100)  * _xlfn.XLOOKUP($J161,'Sweetener Mix In Nutrition'!A:A,'Sweetener Mix In Nutrition'!F:F,0))+(($Y161 / 100)  * _xlfn.XLOOKUP($K161,'Sweetener Mix In Nutrition'!A:A,'Sweetener Mix In Nutrition'!F:F,0))</f>
        <v>0</v>
      </c>
      <c r="AK161" s="46">
        <f>[2]Sheet1!AG161</f>
        <v>0</v>
      </c>
      <c r="AL161" s="47"/>
      <c r="AM161" s="40">
        <f>IF(ISERROR(((AL161/Specs!$L$3)*Specs!$L$2)*2),0,ROUNDUP((((AL161/Specs!$L$3)*Specs!$L$2)*2),0))</f>
        <v>0</v>
      </c>
      <c r="AN161" s="48">
        <f>ROUNDUP(((AJ161+Specs!$R$2+Specs!$S$2+_xlfn.XLOOKUP($L161,Specs!A:A,Specs!V:V,0))*Specs!$N$2)+AM161,0)</f>
        <v>1</v>
      </c>
      <c r="AO161" s="40">
        <f>ROUNDUP(((AJ161+Specs!$R$2+Specs!$S$2+_xlfn.XLOOKUP($L161,Specs!A:A,Specs!V:V,0))*Specs!$N$2),0)</f>
        <v>1</v>
      </c>
      <c r="AP161" s="30"/>
    </row>
    <row r="162" spans="1:42" x14ac:dyDescent="0.25">
      <c r="A162" s="41" t="str">
        <f>_xlfn.CONCAT(_xlfn.XLOOKUP("What's Your Name?",[1]Sheet1!$1:$1,[1]Sheet1!162:162)," | ",TEXT(_xlfn.XLOOKUP("Completion time",[1]Sheet1!$1:$1,[1]Sheet1!162:162),"dddd, mmm dd, yyyy hh:mm AM/PM"))</f>
        <v xml:space="preserve"> | Saturday, Jan 00, 1900 12:00 AM</v>
      </c>
      <c r="B162" s="76">
        <f>_xlfn.XLOOKUP("What's Your Email Address?",[1]Sheet1!$1:$1,[1]Sheet1!162:162)</f>
        <v>0</v>
      </c>
      <c r="C162" s="31">
        <f>IF(ISBLANK(_xlfn.XLOOKUP("Which Flavor? (Pint Price | Quart Price | Half Gallon Price) (NOTE: Prices may fluctuate based on market conditions)",[1]Sheet1!$1:$1,[1]Sheet1!162:162)),_xlfn.XLOOKUP("Name Your Ice Cream!",[1]Sheet1!$1:$1,[1]Sheet1!162:162),IF(ISNUMBER(FIND("(", _xlfn.XLOOKUP("Which Flavor? (Pint Price | Quart Price | Half Gallon Price) (NOTE: Prices may fluctuate based on market conditions)",[1]Sheet1!$1:$1,[1]Sheet1!162:162))), LEFT(_xlfn.XLOOKUP("Which Flavor? (Pint Price | Quart Price | Half Gallon Price) (NOTE: Prices may fluctuate based on market conditions)",[1]Sheet1!$1:$1,[1]Sheet1!162:162), FIND("(", _xlfn.XLOOKUP("Which Flavor? (Pint Price | Quart Price | Half Gallon Price) (NOTE: Prices may fluctuate based on market conditions)",[1]Sheet1!$1:$1,[1]Sheet1!162:162)) - 1), _xlfn.XLOOKUP("Which Flavor? (Pint Price | Quart Price | Half Gallon Price) (NOTE: Prices may fluctuate based on market conditions)",[1]Sheet1!$1:$1,[1]Sheet1!162:162)))</f>
        <v>0</v>
      </c>
      <c r="D162" s="31">
        <f>IF(COUNTIF('Premade Flavors'!$A:$A, $C162) &gt; 0,IF(ISBLANK(_xlfn.XLOOKUP("What Ice Cream Base Do You Want To Change It To?",[1]Sheet1!$1:$1,[1]Sheet1!162:162)),_xlfn.XLOOKUP($C162,'Premade Flavors'!$A:$A,'Premade Flavors'!B:B),_xlfn.XLOOKUP("What Ice Cream Base Do You Want To Change It To?",[1]Sheet1!$1:$1,[1]Sheet1!162:162)),_xlfn.XLOOKUP(_xlfn.XLOOKUP("What Kind Of Ice Cream Base Do You Want? ",[1]Sheet1!$1:$1,[1]Sheet1!162:162),'Milk Types Nutrition Per Cup'!O:O,'Milk Types Nutrition Per Cup'!P:P,""))</f>
        <v>0</v>
      </c>
      <c r="E162" s="31">
        <f>IF(COUNTIF('Premade Flavors'!$A:$A, $C162) &gt; 0,IF(ISBLANK(_xlfn.XLOOKUP("What Ice Cream Base Do You Want To Change It To?",[1]Sheet1!$1:$1,[1]Sheet1!162:162)),_xlfn.XLOOKUP($C162,'Premade Flavors'!$A:$A,'Premade Flavors'!C:C),_xlfn.XLOOKUP("What Ice Cream Base Do You Want To Change It To?",[1]Sheet1!$1:$1,[1]Sheet1!162:162)),_xlfn.XLOOKUP(_xlfn.XLOOKUP("What Kind Of Ice Cream Base Do You Want? ",[1]Sheet1!$1:$1,[1]Sheet1!162:162),'Milk Types Nutrition Per Cup'!$O:$O,'Milk Types Nutrition Per Cup'!$Q:$Q,""))</f>
        <v>0</v>
      </c>
      <c r="F162" s="31">
        <f>IF(COUNTIF('Premade Flavors'!$A:$A, $C162) &gt; 0,_xlfn.XLOOKUP($C162,'Premade Flavors'!$A:$A,'Premade Flavors'!E:E),_xlfn.XLOOKUP("What's The First Flavor You Want? ",[1]Sheet1!$1:$1,[1]Sheet1!162:162))</f>
        <v>0</v>
      </c>
      <c r="G162" s="31">
        <f>IF(COUNTIF('Premade Flavors'!$A:$A, $C162) &gt; 0,_xlfn.XLOOKUP($C162,'Premade Flavors'!$A:$A,'Premade Flavors'!F:F),_xlfn.XLOOKUP("What's the Second Flavor You Want?",[1]Sheet1!$1:$1,[1]Sheet1!162:162))</f>
        <v>0</v>
      </c>
      <c r="H162" s="31">
        <f>IF(COUNTIF('Premade Flavors'!$A:$A, $C162) &gt; 0,_xlfn.XLOOKUP($C162,'Premade Flavors'!$A:$A,'Premade Flavors'!G:G),_xlfn.XLOOKUP("What's The First Mix In That You Want? ",[1]Sheet1!$1:$1,[1]Sheet1!162:162))</f>
        <v>0</v>
      </c>
      <c r="I162" s="31">
        <f>IF(COUNTIF('Premade Flavors'!$A:$A, $C160) &gt; 0,_xlfn.XLOOKUP($C160,'Premade Flavors'!$A:$A,'Premade Flavors'!H:H),IF([2]Sheet1!W160= 0,,[2]Sheet1!W160))</f>
        <v>0</v>
      </c>
      <c r="J162" s="31">
        <f>IF(COUNTIF('Premade Flavors'!$A:$A,$C162)&gt;0,IF(_xlfn.XLOOKUP("Should It Use Sugar or A Non-Sugar Sweetner?",[1]Sheet1!$1:$1,[1]Sheet1!162:162)="Sugar",_xlfn.XLOOKUP($C162,'Premade Flavors'!$A:$A,'Premade Flavors'!I:I),"Stevia"),_xlfn.XLOOKUP("What Sweetner Do You Want?",[1]Sheet1!$1:$1,[1]Sheet1!162:162))</f>
        <v>0</v>
      </c>
      <c r="K162" s="31"/>
      <c r="L162" s="77">
        <f>_xlfn.XLOOKUP("How Much Ice Cream Do You Want?",[1]Sheet1!$1:$1,[1]Sheet1!162:162)</f>
        <v>0</v>
      </c>
      <c r="M162" s="45">
        <f>IF(COUNTIF('Premade Flavors'!$A:$A, $C162) &gt; 0,_xlfn.XLOOKUP($C162,'Premade Flavors'!$A:$A,'Premade Flavors'!M:M),_xlfn.XLOOKUP("How Strong Do You Want The First Flavor?",[1]Sheet1!$1:$1,[1]Sheet1!162:162))</f>
        <v>0</v>
      </c>
      <c r="N162" s="45">
        <f>IF(COUNTIF('Premade Flavors'!$A:$A, $C162) &gt; 0,_xlfn.XLOOKUP($C162,'Premade Flavors'!$A:$A,'Premade Flavors'!N:N),_xlfn.XLOOKUP("How Strong Do You Want The Second Flavor?",[1]Sheet1!$1:$1,[1]Sheet1!162:162))</f>
        <v>0</v>
      </c>
      <c r="O162" s="45">
        <f>IF(COUNTIF('Premade Flavors'!$A:$A, $C162) &gt; 0,_xlfn.XLOOKUP($C162,'Premade Flavors'!$A:$A,'Premade Flavors'!O:O),_xlfn.XLOOKUP("How Dense Should the Mix Ins Be?",[1]Sheet1!$1:$1,[1]Sheet1!162:162))</f>
        <v>0</v>
      </c>
      <c r="P162" s="45">
        <f>IF(COUNTIF('Premade Flavors'!$A:$A, $C162) &gt; 0,_xlfn.XLOOKUP($C162,'Premade Flavors'!$A:$A,'Premade Flavors'!P:P),_xlfn.XLOOKUP("How Much Of The First Sweetner? ",[1]Sheet1!$1:$1,[1]Sheet1!162:162))</f>
        <v>0</v>
      </c>
      <c r="Q162" s="45">
        <f>IF(COUNTIF('Premade Flavors'!$A:$A, $C162) &gt; 0,_xlfn.XLOOKUP($C162,'Premade Flavors'!$A:$A,'Premade Flavors'!Q:Q),[2]Sheet1!S162)</f>
        <v>0</v>
      </c>
      <c r="R162" s="30">
        <f>(_xlfn.XLOOKUP($L162,Specs!A:A,Specs!B:B,0)-(IF(_xlfn.XLOOKUP($F162,'Liquid Mix In Nutrition'!A:A,'Liquid Mix In Nutrition'!J:J,0)="Yes",0,$T162))-(IF(_xlfn.XLOOKUP($G162,'Liquid Mix In Nutrition'!A:A,'Liquid Mix In Nutrition'!J:J,0)="Yes",0,$U162))-(($V162/MAX(1,_xlfn.XLOOKUP($H162,'Solid Mix In Nutrition'!A:A,'Solid Mix In Nutrition'!I:I,1)))*240)-(($W162/MAX(1,_xlfn.XLOOKUP($I162,'Solid Mix In Nutrition'!A:A,'Solid Mix In Nutrition'!I:I,1)))*240))*0.66</f>
        <v>0</v>
      </c>
      <c r="S162" s="30">
        <f>(_xlfn.XLOOKUP($L162,Specs!A:A,Specs!B:B,0)-(IF(_xlfn.XLOOKUP($F162,'Liquid Mix In Nutrition'!A:A,'Liquid Mix In Nutrition'!J:J,0)="Yes",0,$T162))-(IF(_xlfn.XLOOKUP($G162,'Liquid Mix In Nutrition'!A:A,'Liquid Mix In Nutrition'!J:J,0)="Yes",0,$U162))-(($V162/MAX(1,_xlfn.XLOOKUP($H162,'Solid Mix In Nutrition'!A:A,'Solid Mix In Nutrition'!I:I,1)))*240)-(($W162/MAX(1,_xlfn.XLOOKUP($I162,'Solid Mix In Nutrition'!A:A,'Solid Mix In Nutrition'!I:I,1)))*240))*0.33</f>
        <v>0</v>
      </c>
      <c r="T162" s="30">
        <f>_xlfn.XLOOKUP($M162,Specs!$D:$D,Specs!$E:$E,0)*15*_xlfn.XLOOKUP($L162,Specs!$A:$A,Specs!$C:$C,0)</f>
        <v>0</v>
      </c>
      <c r="U162" s="30">
        <f>_xlfn.XLOOKUP($N162,Specs!$D:$D,Specs!$E:$E,0)*15*_xlfn.XLOOKUP($L162,Specs!$A:$A,Specs!$C:$C,0)</f>
        <v>0</v>
      </c>
      <c r="V162" s="30">
        <f>( ((_xlfn.XLOOKUP($O162,Specs!$H:$H,Specs!$I:$I,0)*_xlfn.XLOOKUP($L162,Specs!$A:$A,Specs!$B:$B,0))/240) *_xlfn.XLOOKUP($H162,'Solid Mix In Nutrition'!A:A,'Solid Mix In Nutrition'!I:I,0)) *IF(AND(NOT($I162=0), COUNTA($I162)),0.5,1)</f>
        <v>0</v>
      </c>
      <c r="W162" s="30">
        <f>( ((_xlfn.XLOOKUP($O162,Specs!$H:$H,Specs!$I:$I,0)*_xlfn.XLOOKUP($L162,Specs!$A:$A,Specs!$B:$B,0))/240) *_xlfn.XLOOKUP($I162,'Solid Mix In Nutrition'!A:A,'Solid Mix In Nutrition'!I:I,0)) *IF(AND(NOT($I162=0), COUNTA($I162)),0.5,0)</f>
        <v>0</v>
      </c>
      <c r="X162" s="30">
        <f>_xlfn.XLOOKUP($P162,Specs!F:F,Specs!G:G,0)*_xlfn.XLOOKUP($J162,'Sweetener Mix In Nutrition'!A:A,'Sweetener Mix In Nutrition'!I:I,0)*_xlfn.XLOOKUP($L162,Specs!A:A,Specs!C:C,0)</f>
        <v>0</v>
      </c>
      <c r="Y162" s="30">
        <f>_xlfn.XLOOKUP($Q162,Specs!F:F,Specs!G:G,0)*_xlfn.XLOOKUP($K162,'Sweetener Mix In Nutrition'!A:A,'Sweetener Mix In Nutrition'!I:I,0)*_xlfn.XLOOKUP($L162,Specs!A:A,Specs!C:C,0)</f>
        <v>0</v>
      </c>
      <c r="Z162" s="34">
        <f t="shared" si="4"/>
        <v>0</v>
      </c>
      <c r="AA162" s="35">
        <f t="shared" si="5"/>
        <v>0</v>
      </c>
      <c r="AB162" s="36">
        <f>(($R162 / 240) * _xlfn.XLOOKUP($D162,'Milk Types Nutrition Per Cup'!A:A,'Milk Types Nutrition Per Cup'!B:B,0)) +(($S162 / 240)  * _xlfn.XLOOKUP($E162,'Milk Types Nutrition Per Cup'!A:A,'Milk Types Nutrition Per Cup'!B:B,0)) +(($T162 / 15)  * _xlfn.XLOOKUP($F162,'Liquid Mix In Nutrition'!A:A,'Liquid Mix In Nutrition'!B:B,0))+(($U162 / 15)  * _xlfn.XLOOKUP($G162,'Liquid Mix In Nutrition'!A:A,'Liquid Mix In Nutrition'!B:B,0))+(($V162 /MAX(1, _xlfn.XLOOKUP($H162,'Solid Mix In Nutrition'!A:A,'Solid Mix In Nutrition'!I:I,1)))  * _xlfn.XLOOKUP($H162,'Solid Mix In Nutrition'!A:A,'Solid Mix In Nutrition'!B:B,0))+(($W162 / MAX(1, _xlfn.XLOOKUP($I162,'Solid Mix In Nutrition'!A:A,'Solid Mix In Nutrition'!I:I,1))))+(($X162 / 100)  * _xlfn.XLOOKUP($J162,'Sweetener Mix In Nutrition'!A:A,'Sweetener Mix In Nutrition'!B:B,0))+(($Y162 / 100)  * _xlfn.XLOOKUP($K162,'Sweetener Mix In Nutrition'!A:A,'Sweetener Mix In Nutrition'!B:B,0))</f>
        <v>0</v>
      </c>
      <c r="AC162" s="36">
        <f>(($R162 / 240) * _xlfn.XLOOKUP($D162,'Milk Types Nutrition Per Cup'!A:A,'Milk Types Nutrition Per Cup'!E:E,0)) +(($S162 / 240)  * _xlfn.XLOOKUP($E162,'Milk Types Nutrition Per Cup'!A:A,'Milk Types Nutrition Per Cup'!E:E,0)) +(($T162 / 15)  * _xlfn.XLOOKUP($F162,'Liquid Mix In Nutrition'!A:A,'Liquid Mix In Nutrition'!E:E,0)) +(($U162 / 15)  * _xlfn.XLOOKUP($G162,'Liquid Mix In Nutrition'!A:A,'Liquid Mix In Nutrition'!E:E,0))+(($V162 / MAX(1, _xlfn.XLOOKUP($H162,'Solid Mix In Nutrition'!A:A,'Solid Mix In Nutrition'!I:I,1)))  * _xlfn.XLOOKUP($H162,'Solid Mix In Nutrition'!A:A,'Solid Mix In Nutrition'!E:E,0))+(($W162 / MAX(1, _xlfn.XLOOKUP($I162,'Solid Mix In Nutrition'!A:A,'Solid Mix In Nutrition'!I:I,1)))  * _xlfn.XLOOKUP($I162,'Solid Mix In Nutrition'!A:A,'Solid Mix In Nutrition'!G:G,0))+(($X162 / 100)  * _xlfn.XLOOKUP($J162,'Sweetener Mix In Nutrition'!A:A,'Sweetener Mix In Nutrition'!E:E,0))+(($Y162 / 100)  * _xlfn.XLOOKUP($K162,'Sweetener Mix In Nutrition'!A:A,'Sweetener Mix In Nutrition'!E:E,0))</f>
        <v>0</v>
      </c>
      <c r="AD162" s="36">
        <f>(($R162 / 240) * _xlfn.XLOOKUP($D162,'Milk Types Nutrition Per Cup'!A:A,'Milk Types Nutrition Per Cup'!E:E,0)) +(($S162 / 240)  * _xlfn.XLOOKUP($E162,'Milk Types Nutrition Per Cup'!A:A,'Milk Types Nutrition Per Cup'!E:E,0)) +(($T162 / 15)  * _xlfn.XLOOKUP($F162,'Liquid Mix In Nutrition'!A:A,'Liquid Mix In Nutrition'!E:E,0)) +(($U162 / 15)  * _xlfn.XLOOKUP($G162,'Liquid Mix In Nutrition'!A:A,'Liquid Mix In Nutrition'!E:E,0))+(($X162 / 100)  * _xlfn.XLOOKUP($J162,'Sweetener Mix In Nutrition'!A:A,'Sweetener Mix In Nutrition'!E:E,0))+(($Y162 / 100)  * _xlfn.XLOOKUP($K162,'Sweetener Mix In Nutrition'!A:A,'Sweetener Mix In Nutrition'!E:E,0))</f>
        <v>0</v>
      </c>
      <c r="AE162" s="37">
        <f>(($R162 / 240) * _xlfn.XLOOKUP($D162,'Milk Types Nutrition Per Cup'!A:A,'Milk Types Nutrition Per Cup'!C:C,0)) +(($S162 / 240)  * _xlfn.XLOOKUP($E162,'Milk Types Nutrition Per Cup'!A:A,'Milk Types Nutrition Per Cup'!C:C,0)) +(($T162 / 15)  * _xlfn.XLOOKUP($F162,'Liquid Mix In Nutrition'!A:A,'Liquid Mix In Nutrition'!C:C,0))+(($U162 / 15)  * _xlfn.XLOOKUP($G162,'Liquid Mix In Nutrition'!A:A,'Liquid Mix In Nutrition'!C:C,0))+(($V162 / MAX(1, _xlfn.XLOOKUP($H162,'Solid Mix In Nutrition'!A:A,'Solid Mix In Nutrition'!I:I,1)))  * _xlfn.XLOOKUP($H162,'Solid Mix In Nutrition'!A:A,'Solid Mix In Nutrition'!C:C,0))+(($W162 / MAX(1, _xlfn.XLOOKUP($I162,'Solid Mix In Nutrition'!A:A,'Solid Mix In Nutrition'!I:I,1)))  * _xlfn.XLOOKUP($I162,'Solid Mix In Nutrition'!A:A,'Solid Mix In Nutrition'!C:C,0))+(($X162 / 100)  * _xlfn.XLOOKUP($J162,'Sweetener Mix In Nutrition'!A:A,'Sweetener Mix In Nutrition'!C:C,0))+(($Y162 / 100)  * _xlfn.XLOOKUP($K162,'Sweetener Mix In Nutrition'!A:A,'Sweetener Mix In Nutrition'!C:C,0))</f>
        <v>0</v>
      </c>
      <c r="AF162" s="38" t="e">
        <f>$AE162 / (_xlfn.XLOOKUP($L162,Specs!A:A,Specs!B:B,0))</f>
        <v>#DIV/0!</v>
      </c>
      <c r="AG162" s="37" t="e">
        <f>60* ($AB162 / _xlfn.XLOOKUP($L162,Specs!A:A,Specs!B:B,0))</f>
        <v>#DIV/0!</v>
      </c>
      <c r="AH162" s="37" t="e">
        <f>60* (AC162 / _xlfn.XLOOKUP($L162,Specs!$A:$A,Specs!$B:$B,0))</f>
        <v>#DIV/0!</v>
      </c>
      <c r="AI162" s="37" t="e">
        <f>60* (AE162 / _xlfn.XLOOKUP($L162,Specs!$A:$A,Specs!$B:$B,0))</f>
        <v>#DIV/0!</v>
      </c>
      <c r="AJ162" s="39">
        <f>(($R162 / 240) * _xlfn.XLOOKUP($D162,'Milk Types Nutrition Per Cup'!A:A,'Milk Types Nutrition Per Cup'!F:F,0)) +(($S162 / 240)  * _xlfn.XLOOKUP($E162,'Milk Types Nutrition Per Cup'!A:A,'Milk Types Nutrition Per Cup'!F:F,0)) +(($T162 / 15)  * _xlfn.XLOOKUP($F162,'Liquid Mix In Nutrition'!A:A,'Liquid Mix In Nutrition'!F:F,0))+(($U162 / 15)  * _xlfn.XLOOKUP($G162,'Liquid Mix In Nutrition'!A:A,'Liquid Mix In Nutrition'!F:F,0))+(($V162 / MAX(1, _xlfn.XLOOKUP($H162,'Solid Mix In Nutrition'!A:A,'Solid Mix In Nutrition'!I:I,1)))  * _xlfn.XLOOKUP($H162,'Solid Mix In Nutrition'!A:A,'Solid Mix In Nutrition'!F:F,0))+(($W162 / MAX(1, _xlfn.XLOOKUP($I162,'Solid Mix In Nutrition'!A:A,'Solid Mix In Nutrition'!I:I,1)))  * _xlfn.XLOOKUP($I162,'Solid Mix In Nutrition'!A:A,'Solid Mix In Nutrition'!F:F,0))+(($X162 / 100)  * _xlfn.XLOOKUP($J162,'Sweetener Mix In Nutrition'!A:A,'Sweetener Mix In Nutrition'!F:F,0))+(($Y162 / 100)  * _xlfn.XLOOKUP($K162,'Sweetener Mix In Nutrition'!A:A,'Sweetener Mix In Nutrition'!F:F,0))</f>
        <v>0</v>
      </c>
      <c r="AK162" s="46">
        <f>[2]Sheet1!AG162</f>
        <v>0</v>
      </c>
      <c r="AL162" s="47"/>
      <c r="AM162" s="40">
        <f>IF(ISERROR(((AL162/Specs!$L$3)*Specs!$L$2)*2),0,ROUNDUP((((AL162/Specs!$L$3)*Specs!$L$2)*2),0))</f>
        <v>0</v>
      </c>
      <c r="AN162" s="48">
        <f>ROUNDUP(((AJ162+Specs!$R$2+Specs!$S$2+_xlfn.XLOOKUP($L162,Specs!A:A,Specs!V:V,0))*Specs!$N$2)+AM162,0)</f>
        <v>1</v>
      </c>
      <c r="AO162" s="40">
        <f>ROUNDUP(((AJ162+Specs!$R$2+Specs!$S$2+_xlfn.XLOOKUP($L162,Specs!A:A,Specs!V:V,0))*Specs!$N$2),0)</f>
        <v>1</v>
      </c>
      <c r="AP162" s="30"/>
    </row>
    <row r="163" spans="1:42" x14ac:dyDescent="0.25">
      <c r="A163" s="41" t="str">
        <f>_xlfn.CONCAT(_xlfn.XLOOKUP("What's Your Name?",[1]Sheet1!$1:$1,[1]Sheet1!163:163)," | ",TEXT(_xlfn.XLOOKUP("Completion time",[1]Sheet1!$1:$1,[1]Sheet1!163:163),"dddd, mmm dd, yyyy hh:mm AM/PM"))</f>
        <v xml:space="preserve"> | Saturday, Jan 00, 1900 12:00 AM</v>
      </c>
      <c r="B163" s="76">
        <f>_xlfn.XLOOKUP("What's Your Email Address?",[1]Sheet1!$1:$1,[1]Sheet1!163:163)</f>
        <v>0</v>
      </c>
      <c r="C163" s="31">
        <f>IF(ISBLANK(_xlfn.XLOOKUP("Which Flavor? (Pint Price | Quart Price | Half Gallon Price) (NOTE: Prices may fluctuate based on market conditions)",[1]Sheet1!$1:$1,[1]Sheet1!163:163)),_xlfn.XLOOKUP("Name Your Ice Cream!",[1]Sheet1!$1:$1,[1]Sheet1!163:163),IF(ISNUMBER(FIND("(", _xlfn.XLOOKUP("Which Flavor? (Pint Price | Quart Price | Half Gallon Price) (NOTE: Prices may fluctuate based on market conditions)",[1]Sheet1!$1:$1,[1]Sheet1!163:163))), LEFT(_xlfn.XLOOKUP("Which Flavor? (Pint Price | Quart Price | Half Gallon Price) (NOTE: Prices may fluctuate based on market conditions)",[1]Sheet1!$1:$1,[1]Sheet1!163:163), FIND("(", _xlfn.XLOOKUP("Which Flavor? (Pint Price | Quart Price | Half Gallon Price) (NOTE: Prices may fluctuate based on market conditions)",[1]Sheet1!$1:$1,[1]Sheet1!163:163)) - 1), _xlfn.XLOOKUP("Which Flavor? (Pint Price | Quart Price | Half Gallon Price) (NOTE: Prices may fluctuate based on market conditions)",[1]Sheet1!$1:$1,[1]Sheet1!163:163)))</f>
        <v>0</v>
      </c>
      <c r="D163" s="31">
        <f>IF(COUNTIF('Premade Flavors'!$A:$A, $C163) &gt; 0,IF(ISBLANK(_xlfn.XLOOKUP("What Ice Cream Base Do You Want To Change It To?",[1]Sheet1!$1:$1,[1]Sheet1!163:163)),_xlfn.XLOOKUP($C163,'Premade Flavors'!$A:$A,'Premade Flavors'!B:B),_xlfn.XLOOKUP("What Ice Cream Base Do You Want To Change It To?",[1]Sheet1!$1:$1,[1]Sheet1!163:163)),_xlfn.XLOOKUP(_xlfn.XLOOKUP("What Kind Of Ice Cream Base Do You Want? ",[1]Sheet1!$1:$1,[1]Sheet1!163:163),'Milk Types Nutrition Per Cup'!O:O,'Milk Types Nutrition Per Cup'!P:P,""))</f>
        <v>0</v>
      </c>
      <c r="E163" s="31">
        <f>IF(COUNTIF('Premade Flavors'!$A:$A, $C163) &gt; 0,IF(ISBLANK(_xlfn.XLOOKUP("What Ice Cream Base Do You Want To Change It To?",[1]Sheet1!$1:$1,[1]Sheet1!163:163)),_xlfn.XLOOKUP($C163,'Premade Flavors'!$A:$A,'Premade Flavors'!C:C),_xlfn.XLOOKUP("What Ice Cream Base Do You Want To Change It To?",[1]Sheet1!$1:$1,[1]Sheet1!163:163)),_xlfn.XLOOKUP(_xlfn.XLOOKUP("What Kind Of Ice Cream Base Do You Want? ",[1]Sheet1!$1:$1,[1]Sheet1!163:163),'Milk Types Nutrition Per Cup'!$O:$O,'Milk Types Nutrition Per Cup'!$Q:$Q,""))</f>
        <v>0</v>
      </c>
      <c r="F163" s="31">
        <f>IF(COUNTIF('Premade Flavors'!$A:$A, $C163) &gt; 0,_xlfn.XLOOKUP($C163,'Premade Flavors'!$A:$A,'Premade Flavors'!E:E),_xlfn.XLOOKUP("What's The First Flavor You Want? ",[1]Sheet1!$1:$1,[1]Sheet1!163:163))</f>
        <v>0</v>
      </c>
      <c r="G163" s="31">
        <f>IF(COUNTIF('Premade Flavors'!$A:$A, $C163) &gt; 0,_xlfn.XLOOKUP($C163,'Premade Flavors'!$A:$A,'Premade Flavors'!F:F),_xlfn.XLOOKUP("What's the Second Flavor You Want?",[1]Sheet1!$1:$1,[1]Sheet1!163:163))</f>
        <v>0</v>
      </c>
      <c r="H163" s="31">
        <f>IF(COUNTIF('Premade Flavors'!$A:$A, $C163) &gt; 0,_xlfn.XLOOKUP($C163,'Premade Flavors'!$A:$A,'Premade Flavors'!G:G),_xlfn.XLOOKUP("What's The First Mix In That You Want? ",[1]Sheet1!$1:$1,[1]Sheet1!163:163))</f>
        <v>0</v>
      </c>
      <c r="I163" s="31">
        <f>IF(COUNTIF('Premade Flavors'!$A:$A, $C161) &gt; 0,_xlfn.XLOOKUP($C161,'Premade Flavors'!$A:$A,'Premade Flavors'!H:H),IF([2]Sheet1!W161= 0,,[2]Sheet1!W161))</f>
        <v>0</v>
      </c>
      <c r="J163" s="31">
        <f>IF(COUNTIF('Premade Flavors'!$A:$A,$C163)&gt;0,IF(_xlfn.XLOOKUP("Should It Use Sugar or A Non-Sugar Sweetner?",[1]Sheet1!$1:$1,[1]Sheet1!163:163)="Sugar",_xlfn.XLOOKUP($C163,'Premade Flavors'!$A:$A,'Premade Flavors'!I:I),"Stevia"),_xlfn.XLOOKUP("What Sweetner Do You Want?",[1]Sheet1!$1:$1,[1]Sheet1!163:163))</f>
        <v>0</v>
      </c>
      <c r="K163" s="31"/>
      <c r="L163" s="77">
        <f>_xlfn.XLOOKUP("How Much Ice Cream Do You Want?",[1]Sheet1!$1:$1,[1]Sheet1!163:163)</f>
        <v>0</v>
      </c>
      <c r="M163" s="45">
        <f>IF(COUNTIF('Premade Flavors'!$A:$A, $C163) &gt; 0,_xlfn.XLOOKUP($C163,'Premade Flavors'!$A:$A,'Premade Flavors'!M:M),_xlfn.XLOOKUP("How Strong Do You Want The First Flavor?",[1]Sheet1!$1:$1,[1]Sheet1!163:163))</f>
        <v>0</v>
      </c>
      <c r="N163" s="45">
        <f>IF(COUNTIF('Premade Flavors'!$A:$A, $C163) &gt; 0,_xlfn.XLOOKUP($C163,'Premade Flavors'!$A:$A,'Premade Flavors'!N:N),_xlfn.XLOOKUP("How Strong Do You Want The Second Flavor?",[1]Sheet1!$1:$1,[1]Sheet1!163:163))</f>
        <v>0</v>
      </c>
      <c r="O163" s="45">
        <f>IF(COUNTIF('Premade Flavors'!$A:$A, $C163) &gt; 0,_xlfn.XLOOKUP($C163,'Premade Flavors'!$A:$A,'Premade Flavors'!O:O),_xlfn.XLOOKUP("How Dense Should the Mix Ins Be?",[1]Sheet1!$1:$1,[1]Sheet1!163:163))</f>
        <v>0</v>
      </c>
      <c r="P163" s="45">
        <f>IF(COUNTIF('Premade Flavors'!$A:$A, $C163) &gt; 0,_xlfn.XLOOKUP($C163,'Premade Flavors'!$A:$A,'Premade Flavors'!P:P),_xlfn.XLOOKUP("How Much Of The First Sweetner? ",[1]Sheet1!$1:$1,[1]Sheet1!163:163))</f>
        <v>0</v>
      </c>
      <c r="Q163" s="45">
        <f>IF(COUNTIF('Premade Flavors'!$A:$A, $C163) &gt; 0,_xlfn.XLOOKUP($C163,'Premade Flavors'!$A:$A,'Premade Flavors'!Q:Q),[2]Sheet1!S163)</f>
        <v>0</v>
      </c>
      <c r="R163" s="30">
        <f>(_xlfn.XLOOKUP($L163,Specs!A:A,Specs!B:B,0)-(IF(_xlfn.XLOOKUP($F163,'Liquid Mix In Nutrition'!A:A,'Liquid Mix In Nutrition'!J:J,0)="Yes",0,$T163))-(IF(_xlfn.XLOOKUP($G163,'Liquid Mix In Nutrition'!A:A,'Liquid Mix In Nutrition'!J:J,0)="Yes",0,$U163))-(($V163/MAX(1,_xlfn.XLOOKUP($H163,'Solid Mix In Nutrition'!A:A,'Solid Mix In Nutrition'!I:I,1)))*240)-(($W163/MAX(1,_xlfn.XLOOKUP($I163,'Solid Mix In Nutrition'!A:A,'Solid Mix In Nutrition'!I:I,1)))*240))*0.66</f>
        <v>0</v>
      </c>
      <c r="S163" s="30">
        <f>(_xlfn.XLOOKUP($L163,Specs!A:A,Specs!B:B,0)-(IF(_xlfn.XLOOKUP($F163,'Liquid Mix In Nutrition'!A:A,'Liquid Mix In Nutrition'!J:J,0)="Yes",0,$T163))-(IF(_xlfn.XLOOKUP($G163,'Liquid Mix In Nutrition'!A:A,'Liquid Mix In Nutrition'!J:J,0)="Yes",0,$U163))-(($V163/MAX(1,_xlfn.XLOOKUP($H163,'Solid Mix In Nutrition'!A:A,'Solid Mix In Nutrition'!I:I,1)))*240)-(($W163/MAX(1,_xlfn.XLOOKUP($I163,'Solid Mix In Nutrition'!A:A,'Solid Mix In Nutrition'!I:I,1)))*240))*0.33</f>
        <v>0</v>
      </c>
      <c r="T163" s="30">
        <f>_xlfn.XLOOKUP($M163,Specs!$D:$D,Specs!$E:$E,0)*15*_xlfn.XLOOKUP($L163,Specs!$A:$A,Specs!$C:$C,0)</f>
        <v>0</v>
      </c>
      <c r="U163" s="30">
        <f>_xlfn.XLOOKUP($N163,Specs!$D:$D,Specs!$E:$E,0)*15*_xlfn.XLOOKUP($L163,Specs!$A:$A,Specs!$C:$C,0)</f>
        <v>0</v>
      </c>
      <c r="V163" s="30">
        <f>( ((_xlfn.XLOOKUP($O163,Specs!$H:$H,Specs!$I:$I,0)*_xlfn.XLOOKUP($L163,Specs!$A:$A,Specs!$B:$B,0))/240) *_xlfn.XLOOKUP($H163,'Solid Mix In Nutrition'!A:A,'Solid Mix In Nutrition'!I:I,0)) *IF(AND(NOT($I163=0), COUNTA($I163)),0.5,1)</f>
        <v>0</v>
      </c>
      <c r="W163" s="30">
        <f>( ((_xlfn.XLOOKUP($O163,Specs!$H:$H,Specs!$I:$I,0)*_xlfn.XLOOKUP($L163,Specs!$A:$A,Specs!$B:$B,0))/240) *_xlfn.XLOOKUP($I163,'Solid Mix In Nutrition'!A:A,'Solid Mix In Nutrition'!I:I,0)) *IF(AND(NOT($I163=0), COUNTA($I163)),0.5,0)</f>
        <v>0</v>
      </c>
      <c r="X163" s="30">
        <f>_xlfn.XLOOKUP($P163,Specs!F:F,Specs!G:G,0)*_xlfn.XLOOKUP($J163,'Sweetener Mix In Nutrition'!A:A,'Sweetener Mix In Nutrition'!I:I,0)*_xlfn.XLOOKUP($L163,Specs!A:A,Specs!C:C,0)</f>
        <v>0</v>
      </c>
      <c r="Y163" s="30">
        <f>_xlfn.XLOOKUP($Q163,Specs!F:F,Specs!G:G,0)*_xlfn.XLOOKUP($K163,'Sweetener Mix In Nutrition'!A:A,'Sweetener Mix In Nutrition'!I:I,0)*_xlfn.XLOOKUP($L163,Specs!A:A,Specs!C:C,0)</f>
        <v>0</v>
      </c>
      <c r="Z163" s="34">
        <f t="shared" si="4"/>
        <v>0</v>
      </c>
      <c r="AA163" s="35">
        <f t="shared" si="5"/>
        <v>0</v>
      </c>
      <c r="AB163" s="36">
        <f>(($R163 / 240) * _xlfn.XLOOKUP($D163,'Milk Types Nutrition Per Cup'!A:A,'Milk Types Nutrition Per Cup'!B:B,0)) +(($S163 / 240)  * _xlfn.XLOOKUP($E163,'Milk Types Nutrition Per Cup'!A:A,'Milk Types Nutrition Per Cup'!B:B,0)) +(($T163 / 15)  * _xlfn.XLOOKUP($F163,'Liquid Mix In Nutrition'!A:A,'Liquid Mix In Nutrition'!B:B,0))+(($U163 / 15)  * _xlfn.XLOOKUP($G163,'Liquid Mix In Nutrition'!A:A,'Liquid Mix In Nutrition'!B:B,0))+(($V163 /MAX(1, _xlfn.XLOOKUP($H163,'Solid Mix In Nutrition'!A:A,'Solid Mix In Nutrition'!I:I,1)))  * _xlfn.XLOOKUP($H163,'Solid Mix In Nutrition'!A:A,'Solid Mix In Nutrition'!B:B,0))+(($W163 / MAX(1, _xlfn.XLOOKUP($I163,'Solid Mix In Nutrition'!A:A,'Solid Mix In Nutrition'!I:I,1))))+(($X163 / 100)  * _xlfn.XLOOKUP($J163,'Sweetener Mix In Nutrition'!A:A,'Sweetener Mix In Nutrition'!B:B,0))+(($Y163 / 100)  * _xlfn.XLOOKUP($K163,'Sweetener Mix In Nutrition'!A:A,'Sweetener Mix In Nutrition'!B:B,0))</f>
        <v>0</v>
      </c>
      <c r="AC163" s="36">
        <f>(($R163 / 240) * _xlfn.XLOOKUP($D163,'Milk Types Nutrition Per Cup'!A:A,'Milk Types Nutrition Per Cup'!E:E,0)) +(($S163 / 240)  * _xlfn.XLOOKUP($E163,'Milk Types Nutrition Per Cup'!A:A,'Milk Types Nutrition Per Cup'!E:E,0)) +(($T163 / 15)  * _xlfn.XLOOKUP($F163,'Liquid Mix In Nutrition'!A:A,'Liquid Mix In Nutrition'!E:E,0)) +(($U163 / 15)  * _xlfn.XLOOKUP($G163,'Liquid Mix In Nutrition'!A:A,'Liquid Mix In Nutrition'!E:E,0))+(($V163 / MAX(1, _xlfn.XLOOKUP($H163,'Solid Mix In Nutrition'!A:A,'Solid Mix In Nutrition'!I:I,1)))  * _xlfn.XLOOKUP($H163,'Solid Mix In Nutrition'!A:A,'Solid Mix In Nutrition'!E:E,0))+(($W163 / MAX(1, _xlfn.XLOOKUP($I163,'Solid Mix In Nutrition'!A:A,'Solid Mix In Nutrition'!I:I,1)))  * _xlfn.XLOOKUP($I163,'Solid Mix In Nutrition'!A:A,'Solid Mix In Nutrition'!G:G,0))+(($X163 / 100)  * _xlfn.XLOOKUP($J163,'Sweetener Mix In Nutrition'!A:A,'Sweetener Mix In Nutrition'!E:E,0))+(($Y163 / 100)  * _xlfn.XLOOKUP($K163,'Sweetener Mix In Nutrition'!A:A,'Sweetener Mix In Nutrition'!E:E,0))</f>
        <v>0</v>
      </c>
      <c r="AD163" s="36">
        <f>(($R163 / 240) * _xlfn.XLOOKUP($D163,'Milk Types Nutrition Per Cup'!A:A,'Milk Types Nutrition Per Cup'!E:E,0)) +(($S163 / 240)  * _xlfn.XLOOKUP($E163,'Milk Types Nutrition Per Cup'!A:A,'Milk Types Nutrition Per Cup'!E:E,0)) +(($T163 / 15)  * _xlfn.XLOOKUP($F163,'Liquid Mix In Nutrition'!A:A,'Liquid Mix In Nutrition'!E:E,0)) +(($U163 / 15)  * _xlfn.XLOOKUP($G163,'Liquid Mix In Nutrition'!A:A,'Liquid Mix In Nutrition'!E:E,0))+(($X163 / 100)  * _xlfn.XLOOKUP($J163,'Sweetener Mix In Nutrition'!A:A,'Sweetener Mix In Nutrition'!E:E,0))+(($Y163 / 100)  * _xlfn.XLOOKUP($K163,'Sweetener Mix In Nutrition'!A:A,'Sweetener Mix In Nutrition'!E:E,0))</f>
        <v>0</v>
      </c>
      <c r="AE163" s="37">
        <f>(($R163 / 240) * _xlfn.XLOOKUP($D163,'Milk Types Nutrition Per Cup'!A:A,'Milk Types Nutrition Per Cup'!C:C,0)) +(($S163 / 240)  * _xlfn.XLOOKUP($E163,'Milk Types Nutrition Per Cup'!A:A,'Milk Types Nutrition Per Cup'!C:C,0)) +(($T163 / 15)  * _xlfn.XLOOKUP($F163,'Liquid Mix In Nutrition'!A:A,'Liquid Mix In Nutrition'!C:C,0))+(($U163 / 15)  * _xlfn.XLOOKUP($G163,'Liquid Mix In Nutrition'!A:A,'Liquid Mix In Nutrition'!C:C,0))+(($V163 / MAX(1, _xlfn.XLOOKUP($H163,'Solid Mix In Nutrition'!A:A,'Solid Mix In Nutrition'!I:I,1)))  * _xlfn.XLOOKUP($H163,'Solid Mix In Nutrition'!A:A,'Solid Mix In Nutrition'!C:C,0))+(($W163 / MAX(1, _xlfn.XLOOKUP($I163,'Solid Mix In Nutrition'!A:A,'Solid Mix In Nutrition'!I:I,1)))  * _xlfn.XLOOKUP($I163,'Solid Mix In Nutrition'!A:A,'Solid Mix In Nutrition'!C:C,0))+(($X163 / 100)  * _xlfn.XLOOKUP($J163,'Sweetener Mix In Nutrition'!A:A,'Sweetener Mix In Nutrition'!C:C,0))+(($Y163 / 100)  * _xlfn.XLOOKUP($K163,'Sweetener Mix In Nutrition'!A:A,'Sweetener Mix In Nutrition'!C:C,0))</f>
        <v>0</v>
      </c>
      <c r="AF163" s="38" t="e">
        <f>$AE163 / (_xlfn.XLOOKUP($L163,Specs!A:A,Specs!B:B,0))</f>
        <v>#DIV/0!</v>
      </c>
      <c r="AG163" s="37" t="e">
        <f>60* ($AB163 / _xlfn.XLOOKUP($L163,Specs!A:A,Specs!B:B,0))</f>
        <v>#DIV/0!</v>
      </c>
      <c r="AH163" s="37" t="e">
        <f>60* (AC163 / _xlfn.XLOOKUP($L163,Specs!$A:$A,Specs!$B:$B,0))</f>
        <v>#DIV/0!</v>
      </c>
      <c r="AI163" s="37" t="e">
        <f>60* (AE163 / _xlfn.XLOOKUP($L163,Specs!$A:$A,Specs!$B:$B,0))</f>
        <v>#DIV/0!</v>
      </c>
      <c r="AJ163" s="39">
        <f>(($R163 / 240) * _xlfn.XLOOKUP($D163,'Milk Types Nutrition Per Cup'!A:A,'Milk Types Nutrition Per Cup'!F:F,0)) +(($S163 / 240)  * _xlfn.XLOOKUP($E163,'Milk Types Nutrition Per Cup'!A:A,'Milk Types Nutrition Per Cup'!F:F,0)) +(($T163 / 15)  * _xlfn.XLOOKUP($F163,'Liquid Mix In Nutrition'!A:A,'Liquid Mix In Nutrition'!F:F,0))+(($U163 / 15)  * _xlfn.XLOOKUP($G163,'Liquid Mix In Nutrition'!A:A,'Liquid Mix In Nutrition'!F:F,0))+(($V163 / MAX(1, _xlfn.XLOOKUP($H163,'Solid Mix In Nutrition'!A:A,'Solid Mix In Nutrition'!I:I,1)))  * _xlfn.XLOOKUP($H163,'Solid Mix In Nutrition'!A:A,'Solid Mix In Nutrition'!F:F,0))+(($W163 / MAX(1, _xlfn.XLOOKUP($I163,'Solid Mix In Nutrition'!A:A,'Solid Mix In Nutrition'!I:I,1)))  * _xlfn.XLOOKUP($I163,'Solid Mix In Nutrition'!A:A,'Solid Mix In Nutrition'!F:F,0))+(($X163 / 100)  * _xlfn.XLOOKUP($J163,'Sweetener Mix In Nutrition'!A:A,'Sweetener Mix In Nutrition'!F:F,0))+(($Y163 / 100)  * _xlfn.XLOOKUP($K163,'Sweetener Mix In Nutrition'!A:A,'Sweetener Mix In Nutrition'!F:F,0))</f>
        <v>0</v>
      </c>
      <c r="AK163" s="46">
        <f>[2]Sheet1!AG163</f>
        <v>0</v>
      </c>
      <c r="AL163" s="47"/>
      <c r="AM163" s="40">
        <f>IF(ISERROR(((AL163/Specs!$L$3)*Specs!$L$2)*2),0,ROUNDUP((((AL163/Specs!$L$3)*Specs!$L$2)*2),0))</f>
        <v>0</v>
      </c>
      <c r="AN163" s="48">
        <f>ROUNDUP(((AJ163+Specs!$R$2+Specs!$S$2+_xlfn.XLOOKUP($L163,Specs!A:A,Specs!V:V,0))*Specs!$N$2)+AM163,0)</f>
        <v>1</v>
      </c>
      <c r="AO163" s="40">
        <f>ROUNDUP(((AJ163+Specs!$R$2+Specs!$S$2+_xlfn.XLOOKUP($L163,Specs!A:A,Specs!V:V,0))*Specs!$N$2),0)</f>
        <v>1</v>
      </c>
      <c r="AP163" s="30"/>
    </row>
    <row r="164" spans="1:42" x14ac:dyDescent="0.25">
      <c r="A164" s="41" t="str">
        <f>_xlfn.CONCAT(_xlfn.XLOOKUP("What's Your Name?",[1]Sheet1!$1:$1,[1]Sheet1!164:164)," | ",TEXT(_xlfn.XLOOKUP("Completion time",[1]Sheet1!$1:$1,[1]Sheet1!164:164),"dddd, mmm dd, yyyy hh:mm AM/PM"))</f>
        <v xml:space="preserve"> | Saturday, Jan 00, 1900 12:00 AM</v>
      </c>
      <c r="B164" s="76">
        <f>_xlfn.XLOOKUP("What's Your Email Address?",[1]Sheet1!$1:$1,[1]Sheet1!164:164)</f>
        <v>0</v>
      </c>
      <c r="C164" s="31">
        <f>IF(ISBLANK(_xlfn.XLOOKUP("Which Flavor? (Pint Price | Quart Price | Half Gallon Price) (NOTE: Prices may fluctuate based on market conditions)",[1]Sheet1!$1:$1,[1]Sheet1!164:164)),_xlfn.XLOOKUP("Name Your Ice Cream!",[1]Sheet1!$1:$1,[1]Sheet1!164:164),IF(ISNUMBER(FIND("(", _xlfn.XLOOKUP("Which Flavor? (Pint Price | Quart Price | Half Gallon Price) (NOTE: Prices may fluctuate based on market conditions)",[1]Sheet1!$1:$1,[1]Sheet1!164:164))), LEFT(_xlfn.XLOOKUP("Which Flavor? (Pint Price | Quart Price | Half Gallon Price) (NOTE: Prices may fluctuate based on market conditions)",[1]Sheet1!$1:$1,[1]Sheet1!164:164), FIND("(", _xlfn.XLOOKUP("Which Flavor? (Pint Price | Quart Price | Half Gallon Price) (NOTE: Prices may fluctuate based on market conditions)",[1]Sheet1!$1:$1,[1]Sheet1!164:164)) - 1), _xlfn.XLOOKUP("Which Flavor? (Pint Price | Quart Price | Half Gallon Price) (NOTE: Prices may fluctuate based on market conditions)",[1]Sheet1!$1:$1,[1]Sheet1!164:164)))</f>
        <v>0</v>
      </c>
      <c r="D164" s="31">
        <f>IF(COUNTIF('Premade Flavors'!$A:$A, $C164) &gt; 0,IF(ISBLANK(_xlfn.XLOOKUP("What Ice Cream Base Do You Want To Change It To?",[1]Sheet1!$1:$1,[1]Sheet1!164:164)),_xlfn.XLOOKUP($C164,'Premade Flavors'!$A:$A,'Premade Flavors'!B:B),_xlfn.XLOOKUP("What Ice Cream Base Do You Want To Change It To?",[1]Sheet1!$1:$1,[1]Sheet1!164:164)),_xlfn.XLOOKUP(_xlfn.XLOOKUP("What Kind Of Ice Cream Base Do You Want? ",[1]Sheet1!$1:$1,[1]Sheet1!164:164),'Milk Types Nutrition Per Cup'!O:O,'Milk Types Nutrition Per Cup'!P:P,""))</f>
        <v>0</v>
      </c>
      <c r="E164" s="31">
        <f>IF(COUNTIF('Premade Flavors'!$A:$A, $C164) &gt; 0,IF(ISBLANK(_xlfn.XLOOKUP("What Ice Cream Base Do You Want To Change It To?",[1]Sheet1!$1:$1,[1]Sheet1!164:164)),_xlfn.XLOOKUP($C164,'Premade Flavors'!$A:$A,'Premade Flavors'!C:C),_xlfn.XLOOKUP("What Ice Cream Base Do You Want To Change It To?",[1]Sheet1!$1:$1,[1]Sheet1!164:164)),_xlfn.XLOOKUP(_xlfn.XLOOKUP("What Kind Of Ice Cream Base Do You Want? ",[1]Sheet1!$1:$1,[1]Sheet1!164:164),'Milk Types Nutrition Per Cup'!$O:$O,'Milk Types Nutrition Per Cup'!$Q:$Q,""))</f>
        <v>0</v>
      </c>
      <c r="F164" s="31">
        <f>IF(COUNTIF('Premade Flavors'!$A:$A, $C164) &gt; 0,_xlfn.XLOOKUP($C164,'Premade Flavors'!$A:$A,'Premade Flavors'!E:E),_xlfn.XLOOKUP("What's The First Flavor You Want? ",[1]Sheet1!$1:$1,[1]Sheet1!164:164))</f>
        <v>0</v>
      </c>
      <c r="G164" s="31">
        <f>IF(COUNTIF('Premade Flavors'!$A:$A, $C164) &gt; 0,_xlfn.XLOOKUP($C164,'Premade Flavors'!$A:$A,'Premade Flavors'!F:F),_xlfn.XLOOKUP("What's the Second Flavor You Want?",[1]Sheet1!$1:$1,[1]Sheet1!164:164))</f>
        <v>0</v>
      </c>
      <c r="H164" s="31">
        <f>IF(COUNTIF('Premade Flavors'!$A:$A, $C164) &gt; 0,_xlfn.XLOOKUP($C164,'Premade Flavors'!$A:$A,'Premade Flavors'!G:G),_xlfn.XLOOKUP("What's The First Mix In That You Want? ",[1]Sheet1!$1:$1,[1]Sheet1!164:164))</f>
        <v>0</v>
      </c>
      <c r="I164" s="31">
        <f>IF(COUNTIF('Premade Flavors'!$A:$A, $C162) &gt; 0,_xlfn.XLOOKUP($C162,'Premade Flavors'!$A:$A,'Premade Flavors'!H:H),IF([2]Sheet1!W162= 0,,[2]Sheet1!W162))</f>
        <v>0</v>
      </c>
      <c r="J164" s="31">
        <f>IF(COUNTIF('Premade Flavors'!$A:$A,$C164)&gt;0,IF(_xlfn.XLOOKUP("Should It Use Sugar or A Non-Sugar Sweetner?",[1]Sheet1!$1:$1,[1]Sheet1!164:164)="Sugar",_xlfn.XLOOKUP($C164,'Premade Flavors'!$A:$A,'Premade Flavors'!I:I),"Stevia"),_xlfn.XLOOKUP("What Sweetner Do You Want?",[1]Sheet1!$1:$1,[1]Sheet1!164:164))</f>
        <v>0</v>
      </c>
      <c r="K164" s="31"/>
      <c r="L164" s="77">
        <f>_xlfn.XLOOKUP("How Much Ice Cream Do You Want?",[1]Sheet1!$1:$1,[1]Sheet1!164:164)</f>
        <v>0</v>
      </c>
      <c r="M164" s="45">
        <f>IF(COUNTIF('Premade Flavors'!$A:$A, $C164) &gt; 0,_xlfn.XLOOKUP($C164,'Premade Flavors'!$A:$A,'Premade Flavors'!M:M),_xlfn.XLOOKUP("How Strong Do You Want The First Flavor?",[1]Sheet1!$1:$1,[1]Sheet1!164:164))</f>
        <v>0</v>
      </c>
      <c r="N164" s="45">
        <f>IF(COUNTIF('Premade Flavors'!$A:$A, $C164) &gt; 0,_xlfn.XLOOKUP($C164,'Premade Flavors'!$A:$A,'Premade Flavors'!N:N),_xlfn.XLOOKUP("How Strong Do You Want The Second Flavor?",[1]Sheet1!$1:$1,[1]Sheet1!164:164))</f>
        <v>0</v>
      </c>
      <c r="O164" s="45">
        <f>IF(COUNTIF('Premade Flavors'!$A:$A, $C164) &gt; 0,_xlfn.XLOOKUP($C164,'Premade Flavors'!$A:$A,'Premade Flavors'!O:O),_xlfn.XLOOKUP("How Dense Should the Mix Ins Be?",[1]Sheet1!$1:$1,[1]Sheet1!164:164))</f>
        <v>0</v>
      </c>
      <c r="P164" s="45">
        <f>IF(COUNTIF('Premade Flavors'!$A:$A, $C164) &gt; 0,_xlfn.XLOOKUP($C164,'Premade Flavors'!$A:$A,'Premade Flavors'!P:P),_xlfn.XLOOKUP("How Much Of The First Sweetner? ",[1]Sheet1!$1:$1,[1]Sheet1!164:164))</f>
        <v>0</v>
      </c>
      <c r="Q164" s="45">
        <f>IF(COUNTIF('Premade Flavors'!$A:$A, $C164) &gt; 0,_xlfn.XLOOKUP($C164,'Premade Flavors'!$A:$A,'Premade Flavors'!Q:Q),[2]Sheet1!S164)</f>
        <v>0</v>
      </c>
      <c r="R164" s="30">
        <f>(_xlfn.XLOOKUP($L164,Specs!A:A,Specs!B:B,0)-(IF(_xlfn.XLOOKUP($F164,'Liquid Mix In Nutrition'!A:A,'Liquid Mix In Nutrition'!J:J,0)="Yes",0,$T164))-(IF(_xlfn.XLOOKUP($G164,'Liquid Mix In Nutrition'!A:A,'Liquid Mix In Nutrition'!J:J,0)="Yes",0,$U164))-(($V164/MAX(1,_xlfn.XLOOKUP($H164,'Solid Mix In Nutrition'!A:A,'Solid Mix In Nutrition'!I:I,1)))*240)-(($W164/MAX(1,_xlfn.XLOOKUP($I164,'Solid Mix In Nutrition'!A:A,'Solid Mix In Nutrition'!I:I,1)))*240))*0.66</f>
        <v>0</v>
      </c>
      <c r="S164" s="30">
        <f>(_xlfn.XLOOKUP($L164,Specs!A:A,Specs!B:B,0)-(IF(_xlfn.XLOOKUP($F164,'Liquid Mix In Nutrition'!A:A,'Liquid Mix In Nutrition'!J:J,0)="Yes",0,$T164))-(IF(_xlfn.XLOOKUP($G164,'Liquid Mix In Nutrition'!A:A,'Liquid Mix In Nutrition'!J:J,0)="Yes",0,$U164))-(($V164/MAX(1,_xlfn.XLOOKUP($H164,'Solid Mix In Nutrition'!A:A,'Solid Mix In Nutrition'!I:I,1)))*240)-(($W164/MAX(1,_xlfn.XLOOKUP($I164,'Solid Mix In Nutrition'!A:A,'Solid Mix In Nutrition'!I:I,1)))*240))*0.33</f>
        <v>0</v>
      </c>
      <c r="T164" s="30">
        <f>_xlfn.XLOOKUP($M164,Specs!$D:$D,Specs!$E:$E,0)*15*_xlfn.XLOOKUP($L164,Specs!$A:$A,Specs!$C:$C,0)</f>
        <v>0</v>
      </c>
      <c r="U164" s="30">
        <f>_xlfn.XLOOKUP($N164,Specs!$D:$D,Specs!$E:$E,0)*15*_xlfn.XLOOKUP($L164,Specs!$A:$A,Specs!$C:$C,0)</f>
        <v>0</v>
      </c>
      <c r="V164" s="30">
        <f>( ((_xlfn.XLOOKUP($O164,Specs!$H:$H,Specs!$I:$I,0)*_xlfn.XLOOKUP($L164,Specs!$A:$A,Specs!$B:$B,0))/240) *_xlfn.XLOOKUP($H164,'Solid Mix In Nutrition'!A:A,'Solid Mix In Nutrition'!I:I,0)) *IF(AND(NOT($I164=0), COUNTA($I164)),0.5,1)</f>
        <v>0</v>
      </c>
      <c r="W164" s="30">
        <f>( ((_xlfn.XLOOKUP($O164,Specs!$H:$H,Specs!$I:$I,0)*_xlfn.XLOOKUP($L164,Specs!$A:$A,Specs!$B:$B,0))/240) *_xlfn.XLOOKUP($I164,'Solid Mix In Nutrition'!A:A,'Solid Mix In Nutrition'!I:I,0)) *IF(AND(NOT($I164=0), COUNTA($I164)),0.5,0)</f>
        <v>0</v>
      </c>
      <c r="X164" s="30">
        <f>_xlfn.XLOOKUP($P164,Specs!F:F,Specs!G:G,0)*_xlfn.XLOOKUP($J164,'Sweetener Mix In Nutrition'!A:A,'Sweetener Mix In Nutrition'!I:I,0)*_xlfn.XLOOKUP($L164,Specs!A:A,Specs!C:C,0)</f>
        <v>0</v>
      </c>
      <c r="Y164" s="30">
        <f>_xlfn.XLOOKUP($Q164,Specs!F:F,Specs!G:G,0)*_xlfn.XLOOKUP($K164,'Sweetener Mix In Nutrition'!A:A,'Sweetener Mix In Nutrition'!I:I,0)*_xlfn.XLOOKUP($L164,Specs!A:A,Specs!C:C,0)</f>
        <v>0</v>
      </c>
      <c r="Z164" s="34">
        <f t="shared" si="4"/>
        <v>0</v>
      </c>
      <c r="AA164" s="35">
        <f t="shared" si="5"/>
        <v>0</v>
      </c>
      <c r="AB164" s="36">
        <f>(($R164 / 240) * _xlfn.XLOOKUP($D164,'Milk Types Nutrition Per Cup'!A:A,'Milk Types Nutrition Per Cup'!B:B,0)) +(($S164 / 240)  * _xlfn.XLOOKUP($E164,'Milk Types Nutrition Per Cup'!A:A,'Milk Types Nutrition Per Cup'!B:B,0)) +(($T164 / 15)  * _xlfn.XLOOKUP($F164,'Liquid Mix In Nutrition'!A:A,'Liquid Mix In Nutrition'!B:B,0))+(($U164 / 15)  * _xlfn.XLOOKUP($G164,'Liquid Mix In Nutrition'!A:A,'Liquid Mix In Nutrition'!B:B,0))+(($V164 /MAX(1, _xlfn.XLOOKUP($H164,'Solid Mix In Nutrition'!A:A,'Solid Mix In Nutrition'!I:I,1)))  * _xlfn.XLOOKUP($H164,'Solid Mix In Nutrition'!A:A,'Solid Mix In Nutrition'!B:B,0))+(($W164 / MAX(1, _xlfn.XLOOKUP($I164,'Solid Mix In Nutrition'!A:A,'Solid Mix In Nutrition'!I:I,1))))+(($X164 / 100)  * _xlfn.XLOOKUP($J164,'Sweetener Mix In Nutrition'!A:A,'Sweetener Mix In Nutrition'!B:B,0))+(($Y164 / 100)  * _xlfn.XLOOKUP($K164,'Sweetener Mix In Nutrition'!A:A,'Sweetener Mix In Nutrition'!B:B,0))</f>
        <v>0</v>
      </c>
      <c r="AC164" s="36">
        <f>(($R164 / 240) * _xlfn.XLOOKUP($D164,'Milk Types Nutrition Per Cup'!A:A,'Milk Types Nutrition Per Cup'!E:E,0)) +(($S164 / 240)  * _xlfn.XLOOKUP($E164,'Milk Types Nutrition Per Cup'!A:A,'Milk Types Nutrition Per Cup'!E:E,0)) +(($T164 / 15)  * _xlfn.XLOOKUP($F164,'Liquid Mix In Nutrition'!A:A,'Liquid Mix In Nutrition'!E:E,0)) +(($U164 / 15)  * _xlfn.XLOOKUP($G164,'Liquid Mix In Nutrition'!A:A,'Liquid Mix In Nutrition'!E:E,0))+(($V164 / MAX(1, _xlfn.XLOOKUP($H164,'Solid Mix In Nutrition'!A:A,'Solid Mix In Nutrition'!I:I,1)))  * _xlfn.XLOOKUP($H164,'Solid Mix In Nutrition'!A:A,'Solid Mix In Nutrition'!E:E,0))+(($W164 / MAX(1, _xlfn.XLOOKUP($I164,'Solid Mix In Nutrition'!A:A,'Solid Mix In Nutrition'!I:I,1)))  * _xlfn.XLOOKUP($I164,'Solid Mix In Nutrition'!A:A,'Solid Mix In Nutrition'!G:G,0))+(($X164 / 100)  * _xlfn.XLOOKUP($J164,'Sweetener Mix In Nutrition'!A:A,'Sweetener Mix In Nutrition'!E:E,0))+(($Y164 / 100)  * _xlfn.XLOOKUP($K164,'Sweetener Mix In Nutrition'!A:A,'Sweetener Mix In Nutrition'!E:E,0))</f>
        <v>0</v>
      </c>
      <c r="AD164" s="36">
        <f>(($R164 / 240) * _xlfn.XLOOKUP($D164,'Milk Types Nutrition Per Cup'!A:A,'Milk Types Nutrition Per Cup'!E:E,0)) +(($S164 / 240)  * _xlfn.XLOOKUP($E164,'Milk Types Nutrition Per Cup'!A:A,'Milk Types Nutrition Per Cup'!E:E,0)) +(($T164 / 15)  * _xlfn.XLOOKUP($F164,'Liquid Mix In Nutrition'!A:A,'Liquid Mix In Nutrition'!E:E,0)) +(($U164 / 15)  * _xlfn.XLOOKUP($G164,'Liquid Mix In Nutrition'!A:A,'Liquid Mix In Nutrition'!E:E,0))+(($X164 / 100)  * _xlfn.XLOOKUP($J164,'Sweetener Mix In Nutrition'!A:A,'Sweetener Mix In Nutrition'!E:E,0))+(($Y164 / 100)  * _xlfn.XLOOKUP($K164,'Sweetener Mix In Nutrition'!A:A,'Sweetener Mix In Nutrition'!E:E,0))</f>
        <v>0</v>
      </c>
      <c r="AE164" s="37">
        <f>(($R164 / 240) * _xlfn.XLOOKUP($D164,'Milk Types Nutrition Per Cup'!A:A,'Milk Types Nutrition Per Cup'!C:C,0)) +(($S164 / 240)  * _xlfn.XLOOKUP($E164,'Milk Types Nutrition Per Cup'!A:A,'Milk Types Nutrition Per Cup'!C:C,0)) +(($T164 / 15)  * _xlfn.XLOOKUP($F164,'Liquid Mix In Nutrition'!A:A,'Liquid Mix In Nutrition'!C:C,0))+(($U164 / 15)  * _xlfn.XLOOKUP($G164,'Liquid Mix In Nutrition'!A:A,'Liquid Mix In Nutrition'!C:C,0))+(($V164 / MAX(1, _xlfn.XLOOKUP($H164,'Solid Mix In Nutrition'!A:A,'Solid Mix In Nutrition'!I:I,1)))  * _xlfn.XLOOKUP($H164,'Solid Mix In Nutrition'!A:A,'Solid Mix In Nutrition'!C:C,0))+(($W164 / MAX(1, _xlfn.XLOOKUP($I164,'Solid Mix In Nutrition'!A:A,'Solid Mix In Nutrition'!I:I,1)))  * _xlfn.XLOOKUP($I164,'Solid Mix In Nutrition'!A:A,'Solid Mix In Nutrition'!C:C,0))+(($X164 / 100)  * _xlfn.XLOOKUP($J164,'Sweetener Mix In Nutrition'!A:A,'Sweetener Mix In Nutrition'!C:C,0))+(($Y164 / 100)  * _xlfn.XLOOKUP($K164,'Sweetener Mix In Nutrition'!A:A,'Sweetener Mix In Nutrition'!C:C,0))</f>
        <v>0</v>
      </c>
      <c r="AF164" s="38" t="e">
        <f>$AE164 / (_xlfn.XLOOKUP($L164,Specs!A:A,Specs!B:B,0))</f>
        <v>#DIV/0!</v>
      </c>
      <c r="AG164" s="37" t="e">
        <f>60* ($AB164 / _xlfn.XLOOKUP($L164,Specs!A:A,Specs!B:B,0))</f>
        <v>#DIV/0!</v>
      </c>
      <c r="AH164" s="37" t="e">
        <f>60* (AC164 / _xlfn.XLOOKUP($L164,Specs!$A:$A,Specs!$B:$B,0))</f>
        <v>#DIV/0!</v>
      </c>
      <c r="AI164" s="37" t="e">
        <f>60* (AE164 / _xlfn.XLOOKUP($L164,Specs!$A:$A,Specs!$B:$B,0))</f>
        <v>#DIV/0!</v>
      </c>
      <c r="AJ164" s="39">
        <f>(($R164 / 240) * _xlfn.XLOOKUP($D164,'Milk Types Nutrition Per Cup'!A:A,'Milk Types Nutrition Per Cup'!F:F,0)) +(($S164 / 240)  * _xlfn.XLOOKUP($E164,'Milk Types Nutrition Per Cup'!A:A,'Milk Types Nutrition Per Cup'!F:F,0)) +(($T164 / 15)  * _xlfn.XLOOKUP($F164,'Liquid Mix In Nutrition'!A:A,'Liquid Mix In Nutrition'!F:F,0))+(($U164 / 15)  * _xlfn.XLOOKUP($G164,'Liquid Mix In Nutrition'!A:A,'Liquid Mix In Nutrition'!F:F,0))+(($V164 / MAX(1, _xlfn.XLOOKUP($H164,'Solid Mix In Nutrition'!A:A,'Solid Mix In Nutrition'!I:I,1)))  * _xlfn.XLOOKUP($H164,'Solid Mix In Nutrition'!A:A,'Solid Mix In Nutrition'!F:F,0))+(($W164 / MAX(1, _xlfn.XLOOKUP($I164,'Solid Mix In Nutrition'!A:A,'Solid Mix In Nutrition'!I:I,1)))  * _xlfn.XLOOKUP($I164,'Solid Mix In Nutrition'!A:A,'Solid Mix In Nutrition'!F:F,0))+(($X164 / 100)  * _xlfn.XLOOKUP($J164,'Sweetener Mix In Nutrition'!A:A,'Sweetener Mix In Nutrition'!F:F,0))+(($Y164 / 100)  * _xlfn.XLOOKUP($K164,'Sweetener Mix In Nutrition'!A:A,'Sweetener Mix In Nutrition'!F:F,0))</f>
        <v>0</v>
      </c>
      <c r="AK164" s="46">
        <f>[2]Sheet1!AG164</f>
        <v>0</v>
      </c>
      <c r="AL164" s="47"/>
      <c r="AM164" s="40">
        <f>IF(ISERROR(((AL164/Specs!$L$3)*Specs!$L$2)*2),0,ROUNDUP((((AL164/Specs!$L$3)*Specs!$L$2)*2),0))</f>
        <v>0</v>
      </c>
      <c r="AN164" s="48">
        <f>ROUNDUP(((AJ164+Specs!$R$2+Specs!$S$2+_xlfn.XLOOKUP($L164,Specs!A:A,Specs!V:V,0))*Specs!$N$2)+AM164,0)</f>
        <v>1</v>
      </c>
      <c r="AO164" s="40">
        <f>ROUNDUP(((AJ164+Specs!$R$2+Specs!$S$2+_xlfn.XLOOKUP($L164,Specs!A:A,Specs!V:V,0))*Specs!$N$2),0)</f>
        <v>1</v>
      </c>
      <c r="AP164" s="30"/>
    </row>
    <row r="165" spans="1:42" x14ac:dyDescent="0.25">
      <c r="A165" s="41" t="str">
        <f>_xlfn.CONCAT(_xlfn.XLOOKUP("What's Your Name?",[1]Sheet1!$1:$1,[1]Sheet1!165:165)," | ",TEXT(_xlfn.XLOOKUP("Completion time",[1]Sheet1!$1:$1,[1]Sheet1!165:165),"dddd, mmm dd, yyyy hh:mm AM/PM"))</f>
        <v xml:space="preserve"> | Saturday, Jan 00, 1900 12:00 AM</v>
      </c>
      <c r="B165" s="76">
        <f>_xlfn.XLOOKUP("What's Your Email Address?",[1]Sheet1!$1:$1,[1]Sheet1!165:165)</f>
        <v>0</v>
      </c>
      <c r="C165" s="31">
        <f>IF(ISBLANK(_xlfn.XLOOKUP("Which Flavor? (Pint Price | Quart Price | Half Gallon Price) (NOTE: Prices may fluctuate based on market conditions)",[1]Sheet1!$1:$1,[1]Sheet1!165:165)),_xlfn.XLOOKUP("Name Your Ice Cream!",[1]Sheet1!$1:$1,[1]Sheet1!165:165),IF(ISNUMBER(FIND("(", _xlfn.XLOOKUP("Which Flavor? (Pint Price | Quart Price | Half Gallon Price) (NOTE: Prices may fluctuate based on market conditions)",[1]Sheet1!$1:$1,[1]Sheet1!165:165))), LEFT(_xlfn.XLOOKUP("Which Flavor? (Pint Price | Quart Price | Half Gallon Price) (NOTE: Prices may fluctuate based on market conditions)",[1]Sheet1!$1:$1,[1]Sheet1!165:165), FIND("(", _xlfn.XLOOKUP("Which Flavor? (Pint Price | Quart Price | Half Gallon Price) (NOTE: Prices may fluctuate based on market conditions)",[1]Sheet1!$1:$1,[1]Sheet1!165:165)) - 1), _xlfn.XLOOKUP("Which Flavor? (Pint Price | Quart Price | Half Gallon Price) (NOTE: Prices may fluctuate based on market conditions)",[1]Sheet1!$1:$1,[1]Sheet1!165:165)))</f>
        <v>0</v>
      </c>
      <c r="D165" s="31">
        <f>IF(COUNTIF('Premade Flavors'!$A:$A, $C165) &gt; 0,IF(ISBLANK(_xlfn.XLOOKUP("What Ice Cream Base Do You Want To Change It To?",[1]Sheet1!$1:$1,[1]Sheet1!165:165)),_xlfn.XLOOKUP($C165,'Premade Flavors'!$A:$A,'Premade Flavors'!B:B),_xlfn.XLOOKUP("What Ice Cream Base Do You Want To Change It To?",[1]Sheet1!$1:$1,[1]Sheet1!165:165)),_xlfn.XLOOKUP(_xlfn.XLOOKUP("What Kind Of Ice Cream Base Do You Want? ",[1]Sheet1!$1:$1,[1]Sheet1!165:165),'Milk Types Nutrition Per Cup'!O:O,'Milk Types Nutrition Per Cup'!P:P,""))</f>
        <v>0</v>
      </c>
      <c r="E165" s="31">
        <f>IF(COUNTIF('Premade Flavors'!$A:$A, $C165) &gt; 0,IF(ISBLANK(_xlfn.XLOOKUP("What Ice Cream Base Do You Want To Change It To?",[1]Sheet1!$1:$1,[1]Sheet1!165:165)),_xlfn.XLOOKUP($C165,'Premade Flavors'!$A:$A,'Premade Flavors'!C:C),_xlfn.XLOOKUP("What Ice Cream Base Do You Want To Change It To?",[1]Sheet1!$1:$1,[1]Sheet1!165:165)),_xlfn.XLOOKUP(_xlfn.XLOOKUP("What Kind Of Ice Cream Base Do You Want? ",[1]Sheet1!$1:$1,[1]Sheet1!165:165),'Milk Types Nutrition Per Cup'!$O:$O,'Milk Types Nutrition Per Cup'!$Q:$Q,""))</f>
        <v>0</v>
      </c>
      <c r="F165" s="31">
        <f>IF(COUNTIF('Premade Flavors'!$A:$A, $C165) &gt; 0,_xlfn.XLOOKUP($C165,'Premade Flavors'!$A:$A,'Premade Flavors'!E:E),_xlfn.XLOOKUP("What's The First Flavor You Want? ",[1]Sheet1!$1:$1,[1]Sheet1!165:165))</f>
        <v>0</v>
      </c>
      <c r="G165" s="31">
        <f>IF(COUNTIF('Premade Flavors'!$A:$A, $C165) &gt; 0,_xlfn.XLOOKUP($C165,'Premade Flavors'!$A:$A,'Premade Flavors'!F:F),_xlfn.XLOOKUP("What's the Second Flavor You Want?",[1]Sheet1!$1:$1,[1]Sheet1!165:165))</f>
        <v>0</v>
      </c>
      <c r="H165" s="31">
        <f>IF(COUNTIF('Premade Flavors'!$A:$A, $C165) &gt; 0,_xlfn.XLOOKUP($C165,'Premade Flavors'!$A:$A,'Premade Flavors'!G:G),_xlfn.XLOOKUP("What's The First Mix In That You Want? ",[1]Sheet1!$1:$1,[1]Sheet1!165:165))</f>
        <v>0</v>
      </c>
      <c r="I165" s="31">
        <f>IF(COUNTIF('Premade Flavors'!$A:$A, $C163) &gt; 0,_xlfn.XLOOKUP($C163,'Premade Flavors'!$A:$A,'Premade Flavors'!H:H),IF([2]Sheet1!W163= 0,,[2]Sheet1!W163))</f>
        <v>0</v>
      </c>
      <c r="J165" s="31">
        <f>IF(COUNTIF('Premade Flavors'!$A:$A,$C165)&gt;0,IF(_xlfn.XLOOKUP("Should It Use Sugar or A Non-Sugar Sweetner?",[1]Sheet1!$1:$1,[1]Sheet1!165:165)="Sugar",_xlfn.XLOOKUP($C165,'Premade Flavors'!$A:$A,'Premade Flavors'!I:I),"Stevia"),_xlfn.XLOOKUP("What Sweetner Do You Want?",[1]Sheet1!$1:$1,[1]Sheet1!165:165))</f>
        <v>0</v>
      </c>
      <c r="K165" s="31"/>
      <c r="L165" s="77">
        <f>_xlfn.XLOOKUP("How Much Ice Cream Do You Want?",[1]Sheet1!$1:$1,[1]Sheet1!165:165)</f>
        <v>0</v>
      </c>
      <c r="M165" s="45">
        <f>IF(COUNTIF('Premade Flavors'!$A:$A, $C165) &gt; 0,_xlfn.XLOOKUP($C165,'Premade Flavors'!$A:$A,'Premade Flavors'!M:M),_xlfn.XLOOKUP("How Strong Do You Want The First Flavor?",[1]Sheet1!$1:$1,[1]Sheet1!165:165))</f>
        <v>0</v>
      </c>
      <c r="N165" s="45">
        <f>IF(COUNTIF('Premade Flavors'!$A:$A, $C165) &gt; 0,_xlfn.XLOOKUP($C165,'Premade Flavors'!$A:$A,'Premade Flavors'!N:N),_xlfn.XLOOKUP("How Strong Do You Want The Second Flavor?",[1]Sheet1!$1:$1,[1]Sheet1!165:165))</f>
        <v>0</v>
      </c>
      <c r="O165" s="45">
        <f>IF(COUNTIF('Premade Flavors'!$A:$A, $C165) &gt; 0,_xlfn.XLOOKUP($C165,'Premade Flavors'!$A:$A,'Premade Flavors'!O:O),_xlfn.XLOOKUP("How Dense Should the Mix Ins Be?",[1]Sheet1!$1:$1,[1]Sheet1!165:165))</f>
        <v>0</v>
      </c>
      <c r="P165" s="45">
        <f>IF(COUNTIF('Premade Flavors'!$A:$A, $C165) &gt; 0,_xlfn.XLOOKUP($C165,'Premade Flavors'!$A:$A,'Premade Flavors'!P:P),_xlfn.XLOOKUP("How Much Of The First Sweetner? ",[1]Sheet1!$1:$1,[1]Sheet1!165:165))</f>
        <v>0</v>
      </c>
      <c r="Q165" s="45">
        <f>IF(COUNTIF('Premade Flavors'!$A:$A, $C165) &gt; 0,_xlfn.XLOOKUP($C165,'Premade Flavors'!$A:$A,'Premade Flavors'!Q:Q),[2]Sheet1!S165)</f>
        <v>0</v>
      </c>
      <c r="R165" s="30">
        <f>(_xlfn.XLOOKUP($L165,Specs!A:A,Specs!B:B,0)-(IF(_xlfn.XLOOKUP($F165,'Liquid Mix In Nutrition'!A:A,'Liquid Mix In Nutrition'!J:J,0)="Yes",0,$T165))-(IF(_xlfn.XLOOKUP($G165,'Liquid Mix In Nutrition'!A:A,'Liquid Mix In Nutrition'!J:J,0)="Yes",0,$U165))-(($V165/MAX(1,_xlfn.XLOOKUP($H165,'Solid Mix In Nutrition'!A:A,'Solid Mix In Nutrition'!I:I,1)))*240)-(($W165/MAX(1,_xlfn.XLOOKUP($I165,'Solid Mix In Nutrition'!A:A,'Solid Mix In Nutrition'!I:I,1)))*240))*0.66</f>
        <v>0</v>
      </c>
      <c r="S165" s="30">
        <f>(_xlfn.XLOOKUP($L165,Specs!A:A,Specs!B:B,0)-(IF(_xlfn.XLOOKUP($F165,'Liquid Mix In Nutrition'!A:A,'Liquid Mix In Nutrition'!J:J,0)="Yes",0,$T165))-(IF(_xlfn.XLOOKUP($G165,'Liquid Mix In Nutrition'!A:A,'Liquid Mix In Nutrition'!J:J,0)="Yes",0,$U165))-(($V165/MAX(1,_xlfn.XLOOKUP($H165,'Solid Mix In Nutrition'!A:A,'Solid Mix In Nutrition'!I:I,1)))*240)-(($W165/MAX(1,_xlfn.XLOOKUP($I165,'Solid Mix In Nutrition'!A:A,'Solid Mix In Nutrition'!I:I,1)))*240))*0.33</f>
        <v>0</v>
      </c>
      <c r="T165" s="30">
        <f>_xlfn.XLOOKUP($M165,Specs!$D:$D,Specs!$E:$E,0)*15*_xlfn.XLOOKUP($L165,Specs!$A:$A,Specs!$C:$C,0)</f>
        <v>0</v>
      </c>
      <c r="U165" s="30">
        <f>_xlfn.XLOOKUP($N165,Specs!$D:$D,Specs!$E:$E,0)*15*_xlfn.XLOOKUP($L165,Specs!$A:$A,Specs!$C:$C,0)</f>
        <v>0</v>
      </c>
      <c r="V165" s="30">
        <f>( ((_xlfn.XLOOKUP($O165,Specs!$H:$H,Specs!$I:$I,0)*_xlfn.XLOOKUP($L165,Specs!$A:$A,Specs!$B:$B,0))/240) *_xlfn.XLOOKUP($H165,'Solid Mix In Nutrition'!A:A,'Solid Mix In Nutrition'!I:I,0)) *IF(AND(NOT($I165=0), COUNTA($I165)),0.5,1)</f>
        <v>0</v>
      </c>
      <c r="W165" s="30">
        <f>( ((_xlfn.XLOOKUP($O165,Specs!$H:$H,Specs!$I:$I,0)*_xlfn.XLOOKUP($L165,Specs!$A:$A,Specs!$B:$B,0))/240) *_xlfn.XLOOKUP($I165,'Solid Mix In Nutrition'!A:A,'Solid Mix In Nutrition'!I:I,0)) *IF(AND(NOT($I165=0), COUNTA($I165)),0.5,0)</f>
        <v>0</v>
      </c>
      <c r="X165" s="30">
        <f>_xlfn.XLOOKUP($P165,Specs!F:F,Specs!G:G,0)*_xlfn.XLOOKUP($J165,'Sweetener Mix In Nutrition'!A:A,'Sweetener Mix In Nutrition'!I:I,0)*_xlfn.XLOOKUP($L165,Specs!A:A,Specs!C:C,0)</f>
        <v>0</v>
      </c>
      <c r="Y165" s="30">
        <f>_xlfn.XLOOKUP($Q165,Specs!F:F,Specs!G:G,0)*_xlfn.XLOOKUP($K165,'Sweetener Mix In Nutrition'!A:A,'Sweetener Mix In Nutrition'!I:I,0)*_xlfn.XLOOKUP($L165,Specs!A:A,Specs!C:C,0)</f>
        <v>0</v>
      </c>
      <c r="Z165" s="34">
        <f t="shared" si="4"/>
        <v>0</v>
      </c>
      <c r="AA165" s="35">
        <f t="shared" si="5"/>
        <v>0</v>
      </c>
      <c r="AB165" s="36">
        <f>(($R165 / 240) * _xlfn.XLOOKUP($D165,'Milk Types Nutrition Per Cup'!A:A,'Milk Types Nutrition Per Cup'!B:B,0)) +(($S165 / 240)  * _xlfn.XLOOKUP($E165,'Milk Types Nutrition Per Cup'!A:A,'Milk Types Nutrition Per Cup'!B:B,0)) +(($T165 / 15)  * _xlfn.XLOOKUP($F165,'Liquid Mix In Nutrition'!A:A,'Liquid Mix In Nutrition'!B:B,0))+(($U165 / 15)  * _xlfn.XLOOKUP($G165,'Liquid Mix In Nutrition'!A:A,'Liquid Mix In Nutrition'!B:B,0))+(($V165 /MAX(1, _xlfn.XLOOKUP($H165,'Solid Mix In Nutrition'!A:A,'Solid Mix In Nutrition'!I:I,1)))  * _xlfn.XLOOKUP($H165,'Solid Mix In Nutrition'!A:A,'Solid Mix In Nutrition'!B:B,0))+(($W165 / MAX(1, _xlfn.XLOOKUP($I165,'Solid Mix In Nutrition'!A:A,'Solid Mix In Nutrition'!I:I,1))))+(($X165 / 100)  * _xlfn.XLOOKUP($J165,'Sweetener Mix In Nutrition'!A:A,'Sweetener Mix In Nutrition'!B:B,0))+(($Y165 / 100)  * _xlfn.XLOOKUP($K165,'Sweetener Mix In Nutrition'!A:A,'Sweetener Mix In Nutrition'!B:B,0))</f>
        <v>0</v>
      </c>
      <c r="AC165" s="36">
        <f>(($R165 / 240) * _xlfn.XLOOKUP($D165,'Milk Types Nutrition Per Cup'!A:A,'Milk Types Nutrition Per Cup'!E:E,0)) +(($S165 / 240)  * _xlfn.XLOOKUP($E165,'Milk Types Nutrition Per Cup'!A:A,'Milk Types Nutrition Per Cup'!E:E,0)) +(($T165 / 15)  * _xlfn.XLOOKUP($F165,'Liquid Mix In Nutrition'!A:A,'Liquid Mix In Nutrition'!E:E,0)) +(($U165 / 15)  * _xlfn.XLOOKUP($G165,'Liquid Mix In Nutrition'!A:A,'Liquid Mix In Nutrition'!E:E,0))+(($V165 / MAX(1, _xlfn.XLOOKUP($H165,'Solid Mix In Nutrition'!A:A,'Solid Mix In Nutrition'!I:I,1)))  * _xlfn.XLOOKUP($H165,'Solid Mix In Nutrition'!A:A,'Solid Mix In Nutrition'!E:E,0))+(($W165 / MAX(1, _xlfn.XLOOKUP($I165,'Solid Mix In Nutrition'!A:A,'Solid Mix In Nutrition'!I:I,1)))  * _xlfn.XLOOKUP($I165,'Solid Mix In Nutrition'!A:A,'Solid Mix In Nutrition'!G:G,0))+(($X165 / 100)  * _xlfn.XLOOKUP($J165,'Sweetener Mix In Nutrition'!A:A,'Sweetener Mix In Nutrition'!E:E,0))+(($Y165 / 100)  * _xlfn.XLOOKUP($K165,'Sweetener Mix In Nutrition'!A:A,'Sweetener Mix In Nutrition'!E:E,0))</f>
        <v>0</v>
      </c>
      <c r="AD165" s="36">
        <f>(($R165 / 240) * _xlfn.XLOOKUP($D165,'Milk Types Nutrition Per Cup'!A:A,'Milk Types Nutrition Per Cup'!E:E,0)) +(($S165 / 240)  * _xlfn.XLOOKUP($E165,'Milk Types Nutrition Per Cup'!A:A,'Milk Types Nutrition Per Cup'!E:E,0)) +(($T165 / 15)  * _xlfn.XLOOKUP($F165,'Liquid Mix In Nutrition'!A:A,'Liquid Mix In Nutrition'!E:E,0)) +(($U165 / 15)  * _xlfn.XLOOKUP($G165,'Liquid Mix In Nutrition'!A:A,'Liquid Mix In Nutrition'!E:E,0))+(($X165 / 100)  * _xlfn.XLOOKUP($J165,'Sweetener Mix In Nutrition'!A:A,'Sweetener Mix In Nutrition'!E:E,0))+(($Y165 / 100)  * _xlfn.XLOOKUP($K165,'Sweetener Mix In Nutrition'!A:A,'Sweetener Mix In Nutrition'!E:E,0))</f>
        <v>0</v>
      </c>
      <c r="AE165" s="37">
        <f>(($R165 / 240) * _xlfn.XLOOKUP($D165,'Milk Types Nutrition Per Cup'!A:A,'Milk Types Nutrition Per Cup'!C:C,0)) +(($S165 / 240)  * _xlfn.XLOOKUP($E165,'Milk Types Nutrition Per Cup'!A:A,'Milk Types Nutrition Per Cup'!C:C,0)) +(($T165 / 15)  * _xlfn.XLOOKUP($F165,'Liquid Mix In Nutrition'!A:A,'Liquid Mix In Nutrition'!C:C,0))+(($U165 / 15)  * _xlfn.XLOOKUP($G165,'Liquid Mix In Nutrition'!A:A,'Liquid Mix In Nutrition'!C:C,0))+(($V165 / MAX(1, _xlfn.XLOOKUP($H165,'Solid Mix In Nutrition'!A:A,'Solid Mix In Nutrition'!I:I,1)))  * _xlfn.XLOOKUP($H165,'Solid Mix In Nutrition'!A:A,'Solid Mix In Nutrition'!C:C,0))+(($W165 / MAX(1, _xlfn.XLOOKUP($I165,'Solid Mix In Nutrition'!A:A,'Solid Mix In Nutrition'!I:I,1)))  * _xlfn.XLOOKUP($I165,'Solid Mix In Nutrition'!A:A,'Solid Mix In Nutrition'!C:C,0))+(($X165 / 100)  * _xlfn.XLOOKUP($J165,'Sweetener Mix In Nutrition'!A:A,'Sweetener Mix In Nutrition'!C:C,0))+(($Y165 / 100)  * _xlfn.XLOOKUP($K165,'Sweetener Mix In Nutrition'!A:A,'Sweetener Mix In Nutrition'!C:C,0))</f>
        <v>0</v>
      </c>
      <c r="AF165" s="38" t="e">
        <f>$AE165 / (_xlfn.XLOOKUP($L165,Specs!A:A,Specs!B:B,0))</f>
        <v>#DIV/0!</v>
      </c>
      <c r="AG165" s="37" t="e">
        <f>60* ($AB165 / _xlfn.XLOOKUP($L165,Specs!A:A,Specs!B:B,0))</f>
        <v>#DIV/0!</v>
      </c>
      <c r="AH165" s="37" t="e">
        <f>60* (AC165 / _xlfn.XLOOKUP($L165,Specs!$A:$A,Specs!$B:$B,0))</f>
        <v>#DIV/0!</v>
      </c>
      <c r="AI165" s="37" t="e">
        <f>60* (AE165 / _xlfn.XLOOKUP($L165,Specs!$A:$A,Specs!$B:$B,0))</f>
        <v>#DIV/0!</v>
      </c>
      <c r="AJ165" s="39">
        <f>(($R165 / 240) * _xlfn.XLOOKUP($D165,'Milk Types Nutrition Per Cup'!A:A,'Milk Types Nutrition Per Cup'!F:F,0)) +(($S165 / 240)  * _xlfn.XLOOKUP($E165,'Milk Types Nutrition Per Cup'!A:A,'Milk Types Nutrition Per Cup'!F:F,0)) +(($T165 / 15)  * _xlfn.XLOOKUP($F165,'Liquid Mix In Nutrition'!A:A,'Liquid Mix In Nutrition'!F:F,0))+(($U165 / 15)  * _xlfn.XLOOKUP($G165,'Liquid Mix In Nutrition'!A:A,'Liquid Mix In Nutrition'!F:F,0))+(($V165 / MAX(1, _xlfn.XLOOKUP($H165,'Solid Mix In Nutrition'!A:A,'Solid Mix In Nutrition'!I:I,1)))  * _xlfn.XLOOKUP($H165,'Solid Mix In Nutrition'!A:A,'Solid Mix In Nutrition'!F:F,0))+(($W165 / MAX(1, _xlfn.XLOOKUP($I165,'Solid Mix In Nutrition'!A:A,'Solid Mix In Nutrition'!I:I,1)))  * _xlfn.XLOOKUP($I165,'Solid Mix In Nutrition'!A:A,'Solid Mix In Nutrition'!F:F,0))+(($X165 / 100)  * _xlfn.XLOOKUP($J165,'Sweetener Mix In Nutrition'!A:A,'Sweetener Mix In Nutrition'!F:F,0))+(($Y165 / 100)  * _xlfn.XLOOKUP($K165,'Sweetener Mix In Nutrition'!A:A,'Sweetener Mix In Nutrition'!F:F,0))</f>
        <v>0</v>
      </c>
      <c r="AK165" s="46">
        <f>[2]Sheet1!AG165</f>
        <v>0</v>
      </c>
      <c r="AL165" s="47"/>
      <c r="AM165" s="40">
        <f>IF(ISERROR(((AL165/Specs!$L$3)*Specs!$L$2)*2),0,ROUNDUP((((AL165/Specs!$L$3)*Specs!$L$2)*2),0))</f>
        <v>0</v>
      </c>
      <c r="AN165" s="48">
        <f>ROUNDUP(((AJ165+Specs!$R$2+Specs!$S$2+_xlfn.XLOOKUP($L165,Specs!A:A,Specs!V:V,0))*Specs!$N$2)+AM165,0)</f>
        <v>1</v>
      </c>
      <c r="AO165" s="40">
        <f>ROUNDUP(((AJ165+Specs!$R$2+Specs!$S$2+_xlfn.XLOOKUP($L165,Specs!A:A,Specs!V:V,0))*Specs!$N$2),0)</f>
        <v>1</v>
      </c>
      <c r="AP165" s="30"/>
    </row>
    <row r="166" spans="1:42" x14ac:dyDescent="0.25">
      <c r="A166" s="41" t="str">
        <f>_xlfn.CONCAT(_xlfn.XLOOKUP("What's Your Name?",[1]Sheet1!$1:$1,[1]Sheet1!166:166)," | ",TEXT(_xlfn.XLOOKUP("Completion time",[1]Sheet1!$1:$1,[1]Sheet1!166:166),"dddd, mmm dd, yyyy hh:mm AM/PM"))</f>
        <v xml:space="preserve"> | Saturday, Jan 00, 1900 12:00 AM</v>
      </c>
      <c r="B166" s="76">
        <f>_xlfn.XLOOKUP("What's Your Email Address?",[1]Sheet1!$1:$1,[1]Sheet1!166:166)</f>
        <v>0</v>
      </c>
      <c r="C166" s="31">
        <f>IF(ISBLANK(_xlfn.XLOOKUP("Which Flavor? (Pint Price | Quart Price | Half Gallon Price) (NOTE: Prices may fluctuate based on market conditions)",[1]Sheet1!$1:$1,[1]Sheet1!166:166)),_xlfn.XLOOKUP("Name Your Ice Cream!",[1]Sheet1!$1:$1,[1]Sheet1!166:166),IF(ISNUMBER(FIND("(", _xlfn.XLOOKUP("Which Flavor? (Pint Price | Quart Price | Half Gallon Price) (NOTE: Prices may fluctuate based on market conditions)",[1]Sheet1!$1:$1,[1]Sheet1!166:166))), LEFT(_xlfn.XLOOKUP("Which Flavor? (Pint Price | Quart Price | Half Gallon Price) (NOTE: Prices may fluctuate based on market conditions)",[1]Sheet1!$1:$1,[1]Sheet1!166:166), FIND("(", _xlfn.XLOOKUP("Which Flavor? (Pint Price | Quart Price | Half Gallon Price) (NOTE: Prices may fluctuate based on market conditions)",[1]Sheet1!$1:$1,[1]Sheet1!166:166)) - 1), _xlfn.XLOOKUP("Which Flavor? (Pint Price | Quart Price | Half Gallon Price) (NOTE: Prices may fluctuate based on market conditions)",[1]Sheet1!$1:$1,[1]Sheet1!166:166)))</f>
        <v>0</v>
      </c>
      <c r="D166" s="31">
        <f>IF(COUNTIF('Premade Flavors'!$A:$A, $C166) &gt; 0,IF(ISBLANK(_xlfn.XLOOKUP("What Ice Cream Base Do You Want To Change It To?",[1]Sheet1!$1:$1,[1]Sheet1!166:166)),_xlfn.XLOOKUP($C166,'Premade Flavors'!$A:$A,'Premade Flavors'!B:B),_xlfn.XLOOKUP("What Ice Cream Base Do You Want To Change It To?",[1]Sheet1!$1:$1,[1]Sheet1!166:166)),_xlfn.XLOOKUP(_xlfn.XLOOKUP("What Kind Of Ice Cream Base Do You Want? ",[1]Sheet1!$1:$1,[1]Sheet1!166:166),'Milk Types Nutrition Per Cup'!O:O,'Milk Types Nutrition Per Cup'!P:P,""))</f>
        <v>0</v>
      </c>
      <c r="E166" s="31">
        <f>IF(COUNTIF('Premade Flavors'!$A:$A, $C166) &gt; 0,IF(ISBLANK(_xlfn.XLOOKUP("What Ice Cream Base Do You Want To Change It To?",[1]Sheet1!$1:$1,[1]Sheet1!166:166)),_xlfn.XLOOKUP($C166,'Premade Flavors'!$A:$A,'Premade Flavors'!C:C),_xlfn.XLOOKUP("What Ice Cream Base Do You Want To Change It To?",[1]Sheet1!$1:$1,[1]Sheet1!166:166)),_xlfn.XLOOKUP(_xlfn.XLOOKUP("What Kind Of Ice Cream Base Do You Want? ",[1]Sheet1!$1:$1,[1]Sheet1!166:166),'Milk Types Nutrition Per Cup'!$O:$O,'Milk Types Nutrition Per Cup'!$Q:$Q,""))</f>
        <v>0</v>
      </c>
      <c r="F166" s="31">
        <f>IF(COUNTIF('Premade Flavors'!$A:$A, $C166) &gt; 0,_xlfn.XLOOKUP($C166,'Premade Flavors'!$A:$A,'Premade Flavors'!E:E),_xlfn.XLOOKUP("What's The First Flavor You Want? ",[1]Sheet1!$1:$1,[1]Sheet1!166:166))</f>
        <v>0</v>
      </c>
      <c r="G166" s="31">
        <f>IF(COUNTIF('Premade Flavors'!$A:$A, $C166) &gt; 0,_xlfn.XLOOKUP($C166,'Premade Flavors'!$A:$A,'Premade Flavors'!F:F),_xlfn.XLOOKUP("What's the Second Flavor You Want?",[1]Sheet1!$1:$1,[1]Sheet1!166:166))</f>
        <v>0</v>
      </c>
      <c r="H166" s="31">
        <f>IF(COUNTIF('Premade Flavors'!$A:$A, $C166) &gt; 0,_xlfn.XLOOKUP($C166,'Premade Flavors'!$A:$A,'Premade Flavors'!G:G),_xlfn.XLOOKUP("What's The First Mix In That You Want? ",[1]Sheet1!$1:$1,[1]Sheet1!166:166))</f>
        <v>0</v>
      </c>
      <c r="I166" s="31">
        <f>IF(COUNTIF('Premade Flavors'!$A:$A, $C164) &gt; 0,_xlfn.XLOOKUP($C164,'Premade Flavors'!$A:$A,'Premade Flavors'!H:H),IF([2]Sheet1!W164= 0,,[2]Sheet1!W164))</f>
        <v>0</v>
      </c>
      <c r="J166" s="31">
        <f>IF(COUNTIF('Premade Flavors'!$A:$A,$C166)&gt;0,IF(_xlfn.XLOOKUP("Should It Use Sugar or A Non-Sugar Sweetner?",[1]Sheet1!$1:$1,[1]Sheet1!166:166)="Sugar",_xlfn.XLOOKUP($C166,'Premade Flavors'!$A:$A,'Premade Flavors'!I:I),"Stevia"),_xlfn.XLOOKUP("What Sweetner Do You Want?",[1]Sheet1!$1:$1,[1]Sheet1!166:166))</f>
        <v>0</v>
      </c>
      <c r="K166" s="31"/>
      <c r="L166" s="77">
        <f>_xlfn.XLOOKUP("How Much Ice Cream Do You Want?",[1]Sheet1!$1:$1,[1]Sheet1!166:166)</f>
        <v>0</v>
      </c>
      <c r="M166" s="45">
        <f>IF(COUNTIF('Premade Flavors'!$A:$A, $C166) &gt; 0,_xlfn.XLOOKUP($C166,'Premade Flavors'!$A:$A,'Premade Flavors'!M:M),_xlfn.XLOOKUP("How Strong Do You Want The First Flavor?",[1]Sheet1!$1:$1,[1]Sheet1!166:166))</f>
        <v>0</v>
      </c>
      <c r="N166" s="45">
        <f>IF(COUNTIF('Premade Flavors'!$A:$A, $C166) &gt; 0,_xlfn.XLOOKUP($C166,'Premade Flavors'!$A:$A,'Premade Flavors'!N:N),_xlfn.XLOOKUP("How Strong Do You Want The Second Flavor?",[1]Sheet1!$1:$1,[1]Sheet1!166:166))</f>
        <v>0</v>
      </c>
      <c r="O166" s="45">
        <f>IF(COUNTIF('Premade Flavors'!$A:$A, $C166) &gt; 0,_xlfn.XLOOKUP($C166,'Premade Flavors'!$A:$A,'Premade Flavors'!O:O),_xlfn.XLOOKUP("How Dense Should the Mix Ins Be?",[1]Sheet1!$1:$1,[1]Sheet1!166:166))</f>
        <v>0</v>
      </c>
      <c r="P166" s="45">
        <f>IF(COUNTIF('Premade Flavors'!$A:$A, $C166) &gt; 0,_xlfn.XLOOKUP($C166,'Premade Flavors'!$A:$A,'Premade Flavors'!P:P),_xlfn.XLOOKUP("How Much Of The First Sweetner? ",[1]Sheet1!$1:$1,[1]Sheet1!166:166))</f>
        <v>0</v>
      </c>
      <c r="Q166" s="45">
        <f>IF(COUNTIF('Premade Flavors'!$A:$A, $C166) &gt; 0,_xlfn.XLOOKUP($C166,'Premade Flavors'!$A:$A,'Premade Flavors'!Q:Q),[2]Sheet1!S166)</f>
        <v>0</v>
      </c>
      <c r="R166" s="30">
        <f>(_xlfn.XLOOKUP($L166,Specs!A:A,Specs!B:B,0)-(IF(_xlfn.XLOOKUP($F166,'Liquid Mix In Nutrition'!A:A,'Liquid Mix In Nutrition'!J:J,0)="Yes",0,$T166))-(IF(_xlfn.XLOOKUP($G166,'Liquid Mix In Nutrition'!A:A,'Liquid Mix In Nutrition'!J:J,0)="Yes",0,$U166))-(($V166/MAX(1,_xlfn.XLOOKUP($H166,'Solid Mix In Nutrition'!A:A,'Solid Mix In Nutrition'!I:I,1)))*240)-(($W166/MAX(1,_xlfn.XLOOKUP($I166,'Solid Mix In Nutrition'!A:A,'Solid Mix In Nutrition'!I:I,1)))*240))*0.66</f>
        <v>0</v>
      </c>
      <c r="S166" s="30">
        <f>(_xlfn.XLOOKUP($L166,Specs!A:A,Specs!B:B,0)-(IF(_xlfn.XLOOKUP($F166,'Liquid Mix In Nutrition'!A:A,'Liquid Mix In Nutrition'!J:J,0)="Yes",0,$T166))-(IF(_xlfn.XLOOKUP($G166,'Liquid Mix In Nutrition'!A:A,'Liquid Mix In Nutrition'!J:J,0)="Yes",0,$U166))-(($V166/MAX(1,_xlfn.XLOOKUP($H166,'Solid Mix In Nutrition'!A:A,'Solid Mix In Nutrition'!I:I,1)))*240)-(($W166/MAX(1,_xlfn.XLOOKUP($I166,'Solid Mix In Nutrition'!A:A,'Solid Mix In Nutrition'!I:I,1)))*240))*0.33</f>
        <v>0</v>
      </c>
      <c r="T166" s="30">
        <f>_xlfn.XLOOKUP($M166,Specs!$D:$D,Specs!$E:$E,0)*15*_xlfn.XLOOKUP($L166,Specs!$A:$A,Specs!$C:$C,0)</f>
        <v>0</v>
      </c>
      <c r="U166" s="30">
        <f>_xlfn.XLOOKUP($N166,Specs!$D:$D,Specs!$E:$E,0)*15*_xlfn.XLOOKUP($L166,Specs!$A:$A,Specs!$C:$C,0)</f>
        <v>0</v>
      </c>
      <c r="V166" s="30">
        <f>( ((_xlfn.XLOOKUP($O166,Specs!$H:$H,Specs!$I:$I,0)*_xlfn.XLOOKUP($L166,Specs!$A:$A,Specs!$B:$B,0))/240) *_xlfn.XLOOKUP($H166,'Solid Mix In Nutrition'!A:A,'Solid Mix In Nutrition'!I:I,0)) *IF(AND(NOT($I166=0), COUNTA($I166)),0.5,1)</f>
        <v>0</v>
      </c>
      <c r="W166" s="30">
        <f>( ((_xlfn.XLOOKUP($O166,Specs!$H:$H,Specs!$I:$I,0)*_xlfn.XLOOKUP($L166,Specs!$A:$A,Specs!$B:$B,0))/240) *_xlfn.XLOOKUP($I166,'Solid Mix In Nutrition'!A:A,'Solid Mix In Nutrition'!I:I,0)) *IF(AND(NOT($I166=0), COUNTA($I166)),0.5,0)</f>
        <v>0</v>
      </c>
      <c r="X166" s="30">
        <f>_xlfn.XLOOKUP($P166,Specs!F:F,Specs!G:G,0)*_xlfn.XLOOKUP($J166,'Sweetener Mix In Nutrition'!A:A,'Sweetener Mix In Nutrition'!I:I,0)*_xlfn.XLOOKUP($L166,Specs!A:A,Specs!C:C,0)</f>
        <v>0</v>
      </c>
      <c r="Y166" s="30">
        <f>_xlfn.XLOOKUP($Q166,Specs!F:F,Specs!G:G,0)*_xlfn.XLOOKUP($K166,'Sweetener Mix In Nutrition'!A:A,'Sweetener Mix In Nutrition'!I:I,0)*_xlfn.XLOOKUP($L166,Specs!A:A,Specs!C:C,0)</f>
        <v>0</v>
      </c>
      <c r="Z166" s="34">
        <f t="shared" ref="Z166:Z229" si="6">($R166+$S166+$T166+$X166+$Y166)*IF(ISNUMBER(SEARCH("Fat Free",$D166)),0.0036,0.0012)</f>
        <v>0</v>
      </c>
      <c r="AA166" s="35">
        <f t="shared" ref="AA166:AA229" si="7">CEILING(CONVERT(($R166+$S166+$T166+$X166+$Y166)*IF(ISNUMBER(SEARCH("Fat Free",$D166)),0.0036,0.0012),"ml","tsp"),0.25)</f>
        <v>0</v>
      </c>
      <c r="AB166" s="36">
        <f>(($R166 / 240) * _xlfn.XLOOKUP($D166,'Milk Types Nutrition Per Cup'!A:A,'Milk Types Nutrition Per Cup'!B:B,0)) +(($S166 / 240)  * _xlfn.XLOOKUP($E166,'Milk Types Nutrition Per Cup'!A:A,'Milk Types Nutrition Per Cup'!B:B,0)) +(($T166 / 15)  * _xlfn.XLOOKUP($F166,'Liquid Mix In Nutrition'!A:A,'Liquid Mix In Nutrition'!B:B,0))+(($U166 / 15)  * _xlfn.XLOOKUP($G166,'Liquid Mix In Nutrition'!A:A,'Liquid Mix In Nutrition'!B:B,0))+(($V166 /MAX(1, _xlfn.XLOOKUP($H166,'Solid Mix In Nutrition'!A:A,'Solid Mix In Nutrition'!I:I,1)))  * _xlfn.XLOOKUP($H166,'Solid Mix In Nutrition'!A:A,'Solid Mix In Nutrition'!B:B,0))+(($W166 / MAX(1, _xlfn.XLOOKUP($I166,'Solid Mix In Nutrition'!A:A,'Solid Mix In Nutrition'!I:I,1))))+(($X166 / 100)  * _xlfn.XLOOKUP($J166,'Sweetener Mix In Nutrition'!A:A,'Sweetener Mix In Nutrition'!B:B,0))+(($Y166 / 100)  * _xlfn.XLOOKUP($K166,'Sweetener Mix In Nutrition'!A:A,'Sweetener Mix In Nutrition'!B:B,0))</f>
        <v>0</v>
      </c>
      <c r="AC166" s="36">
        <f>(($R166 / 240) * _xlfn.XLOOKUP($D166,'Milk Types Nutrition Per Cup'!A:A,'Milk Types Nutrition Per Cup'!E:E,0)) +(($S166 / 240)  * _xlfn.XLOOKUP($E166,'Milk Types Nutrition Per Cup'!A:A,'Milk Types Nutrition Per Cup'!E:E,0)) +(($T166 / 15)  * _xlfn.XLOOKUP($F166,'Liquid Mix In Nutrition'!A:A,'Liquid Mix In Nutrition'!E:E,0)) +(($U166 / 15)  * _xlfn.XLOOKUP($G166,'Liquid Mix In Nutrition'!A:A,'Liquid Mix In Nutrition'!E:E,0))+(($V166 / MAX(1, _xlfn.XLOOKUP($H166,'Solid Mix In Nutrition'!A:A,'Solid Mix In Nutrition'!I:I,1)))  * _xlfn.XLOOKUP($H166,'Solid Mix In Nutrition'!A:A,'Solid Mix In Nutrition'!E:E,0))+(($W166 / MAX(1, _xlfn.XLOOKUP($I166,'Solid Mix In Nutrition'!A:A,'Solid Mix In Nutrition'!I:I,1)))  * _xlfn.XLOOKUP($I166,'Solid Mix In Nutrition'!A:A,'Solid Mix In Nutrition'!G:G,0))+(($X166 / 100)  * _xlfn.XLOOKUP($J166,'Sweetener Mix In Nutrition'!A:A,'Sweetener Mix In Nutrition'!E:E,0))+(($Y166 / 100)  * _xlfn.XLOOKUP($K166,'Sweetener Mix In Nutrition'!A:A,'Sweetener Mix In Nutrition'!E:E,0))</f>
        <v>0</v>
      </c>
      <c r="AD166" s="36">
        <f>(($R166 / 240) * _xlfn.XLOOKUP($D166,'Milk Types Nutrition Per Cup'!A:A,'Milk Types Nutrition Per Cup'!E:E,0)) +(($S166 / 240)  * _xlfn.XLOOKUP($E166,'Milk Types Nutrition Per Cup'!A:A,'Milk Types Nutrition Per Cup'!E:E,0)) +(($T166 / 15)  * _xlfn.XLOOKUP($F166,'Liquid Mix In Nutrition'!A:A,'Liquid Mix In Nutrition'!E:E,0)) +(($U166 / 15)  * _xlfn.XLOOKUP($G166,'Liquid Mix In Nutrition'!A:A,'Liquid Mix In Nutrition'!E:E,0))+(($X166 / 100)  * _xlfn.XLOOKUP($J166,'Sweetener Mix In Nutrition'!A:A,'Sweetener Mix In Nutrition'!E:E,0))+(($Y166 / 100)  * _xlfn.XLOOKUP($K166,'Sweetener Mix In Nutrition'!A:A,'Sweetener Mix In Nutrition'!E:E,0))</f>
        <v>0</v>
      </c>
      <c r="AE166" s="37">
        <f>(($R166 / 240) * _xlfn.XLOOKUP($D166,'Milk Types Nutrition Per Cup'!A:A,'Milk Types Nutrition Per Cup'!C:C,0)) +(($S166 / 240)  * _xlfn.XLOOKUP($E166,'Milk Types Nutrition Per Cup'!A:A,'Milk Types Nutrition Per Cup'!C:C,0)) +(($T166 / 15)  * _xlfn.XLOOKUP($F166,'Liquid Mix In Nutrition'!A:A,'Liquid Mix In Nutrition'!C:C,0))+(($U166 / 15)  * _xlfn.XLOOKUP($G166,'Liquid Mix In Nutrition'!A:A,'Liquid Mix In Nutrition'!C:C,0))+(($V166 / MAX(1, _xlfn.XLOOKUP($H166,'Solid Mix In Nutrition'!A:A,'Solid Mix In Nutrition'!I:I,1)))  * _xlfn.XLOOKUP($H166,'Solid Mix In Nutrition'!A:A,'Solid Mix In Nutrition'!C:C,0))+(($W166 / MAX(1, _xlfn.XLOOKUP($I166,'Solid Mix In Nutrition'!A:A,'Solid Mix In Nutrition'!I:I,1)))  * _xlfn.XLOOKUP($I166,'Solid Mix In Nutrition'!A:A,'Solid Mix In Nutrition'!C:C,0))+(($X166 / 100)  * _xlfn.XLOOKUP($J166,'Sweetener Mix In Nutrition'!A:A,'Sweetener Mix In Nutrition'!C:C,0))+(($Y166 / 100)  * _xlfn.XLOOKUP($K166,'Sweetener Mix In Nutrition'!A:A,'Sweetener Mix In Nutrition'!C:C,0))</f>
        <v>0</v>
      </c>
      <c r="AF166" s="38" t="e">
        <f>$AE166 / (_xlfn.XLOOKUP($L166,Specs!A:A,Specs!B:B,0))</f>
        <v>#DIV/0!</v>
      </c>
      <c r="AG166" s="37" t="e">
        <f>60* ($AB166 / _xlfn.XLOOKUP($L166,Specs!A:A,Specs!B:B,0))</f>
        <v>#DIV/0!</v>
      </c>
      <c r="AH166" s="37" t="e">
        <f>60* (AC166 / _xlfn.XLOOKUP($L166,Specs!$A:$A,Specs!$B:$B,0))</f>
        <v>#DIV/0!</v>
      </c>
      <c r="AI166" s="37" t="e">
        <f>60* (AE166 / _xlfn.XLOOKUP($L166,Specs!$A:$A,Specs!$B:$B,0))</f>
        <v>#DIV/0!</v>
      </c>
      <c r="AJ166" s="39">
        <f>(($R166 / 240) * _xlfn.XLOOKUP($D166,'Milk Types Nutrition Per Cup'!A:A,'Milk Types Nutrition Per Cup'!F:F,0)) +(($S166 / 240)  * _xlfn.XLOOKUP($E166,'Milk Types Nutrition Per Cup'!A:A,'Milk Types Nutrition Per Cup'!F:F,0)) +(($T166 / 15)  * _xlfn.XLOOKUP($F166,'Liquid Mix In Nutrition'!A:A,'Liquid Mix In Nutrition'!F:F,0))+(($U166 / 15)  * _xlfn.XLOOKUP($G166,'Liquid Mix In Nutrition'!A:A,'Liquid Mix In Nutrition'!F:F,0))+(($V166 / MAX(1, _xlfn.XLOOKUP($H166,'Solid Mix In Nutrition'!A:A,'Solid Mix In Nutrition'!I:I,1)))  * _xlfn.XLOOKUP($H166,'Solid Mix In Nutrition'!A:A,'Solid Mix In Nutrition'!F:F,0))+(($W166 / MAX(1, _xlfn.XLOOKUP($I166,'Solid Mix In Nutrition'!A:A,'Solid Mix In Nutrition'!I:I,1)))  * _xlfn.XLOOKUP($I166,'Solid Mix In Nutrition'!A:A,'Solid Mix In Nutrition'!F:F,0))+(($X166 / 100)  * _xlfn.XLOOKUP($J166,'Sweetener Mix In Nutrition'!A:A,'Sweetener Mix In Nutrition'!F:F,0))+(($Y166 / 100)  * _xlfn.XLOOKUP($K166,'Sweetener Mix In Nutrition'!A:A,'Sweetener Mix In Nutrition'!F:F,0))</f>
        <v>0</v>
      </c>
      <c r="AK166" s="46">
        <f>[2]Sheet1!AG166</f>
        <v>0</v>
      </c>
      <c r="AL166" s="47"/>
      <c r="AM166" s="40">
        <f>IF(ISERROR(((AL166/Specs!$L$3)*Specs!$L$2)*2),0,ROUNDUP((((AL166/Specs!$L$3)*Specs!$L$2)*2),0))</f>
        <v>0</v>
      </c>
      <c r="AN166" s="48">
        <f>ROUNDUP(((AJ166+Specs!$R$2+Specs!$S$2+_xlfn.XLOOKUP($L166,Specs!A:A,Specs!V:V,0))*Specs!$N$2)+AM166,0)</f>
        <v>1</v>
      </c>
      <c r="AO166" s="40">
        <f>ROUNDUP(((AJ166+Specs!$R$2+Specs!$S$2+_xlfn.XLOOKUP($L166,Specs!A:A,Specs!V:V,0))*Specs!$N$2),0)</f>
        <v>1</v>
      </c>
      <c r="AP166" s="30"/>
    </row>
    <row r="167" spans="1:42" x14ac:dyDescent="0.25">
      <c r="A167" s="41" t="str">
        <f>_xlfn.CONCAT(_xlfn.XLOOKUP("What's Your Name?",[1]Sheet1!$1:$1,[1]Sheet1!167:167)," | ",TEXT(_xlfn.XLOOKUP("Completion time",[1]Sheet1!$1:$1,[1]Sheet1!167:167),"dddd, mmm dd, yyyy hh:mm AM/PM"))</f>
        <v xml:space="preserve"> | Saturday, Jan 00, 1900 12:00 AM</v>
      </c>
      <c r="B167" s="76">
        <f>_xlfn.XLOOKUP("What's Your Email Address?",[1]Sheet1!$1:$1,[1]Sheet1!167:167)</f>
        <v>0</v>
      </c>
      <c r="C167" s="31">
        <f>IF(ISBLANK(_xlfn.XLOOKUP("Which Flavor? (Pint Price | Quart Price | Half Gallon Price) (NOTE: Prices may fluctuate based on market conditions)",[1]Sheet1!$1:$1,[1]Sheet1!167:167)),_xlfn.XLOOKUP("Name Your Ice Cream!",[1]Sheet1!$1:$1,[1]Sheet1!167:167),IF(ISNUMBER(FIND("(", _xlfn.XLOOKUP("Which Flavor? (Pint Price | Quart Price | Half Gallon Price) (NOTE: Prices may fluctuate based on market conditions)",[1]Sheet1!$1:$1,[1]Sheet1!167:167))), LEFT(_xlfn.XLOOKUP("Which Flavor? (Pint Price | Quart Price | Half Gallon Price) (NOTE: Prices may fluctuate based on market conditions)",[1]Sheet1!$1:$1,[1]Sheet1!167:167), FIND("(", _xlfn.XLOOKUP("Which Flavor? (Pint Price | Quart Price | Half Gallon Price) (NOTE: Prices may fluctuate based on market conditions)",[1]Sheet1!$1:$1,[1]Sheet1!167:167)) - 1), _xlfn.XLOOKUP("Which Flavor? (Pint Price | Quart Price | Half Gallon Price) (NOTE: Prices may fluctuate based on market conditions)",[1]Sheet1!$1:$1,[1]Sheet1!167:167)))</f>
        <v>0</v>
      </c>
      <c r="D167" s="31">
        <f>IF(COUNTIF('Premade Flavors'!$A:$A, $C167) &gt; 0,IF(ISBLANK(_xlfn.XLOOKUP("What Ice Cream Base Do You Want To Change It To?",[1]Sheet1!$1:$1,[1]Sheet1!167:167)),_xlfn.XLOOKUP($C167,'Premade Flavors'!$A:$A,'Premade Flavors'!B:B),_xlfn.XLOOKUP("What Ice Cream Base Do You Want To Change It To?",[1]Sheet1!$1:$1,[1]Sheet1!167:167)),_xlfn.XLOOKUP(_xlfn.XLOOKUP("What Kind Of Ice Cream Base Do You Want? ",[1]Sheet1!$1:$1,[1]Sheet1!167:167),'Milk Types Nutrition Per Cup'!O:O,'Milk Types Nutrition Per Cup'!P:P,""))</f>
        <v>0</v>
      </c>
      <c r="E167" s="31">
        <f>IF(COUNTIF('Premade Flavors'!$A:$A, $C167) &gt; 0,IF(ISBLANK(_xlfn.XLOOKUP("What Ice Cream Base Do You Want To Change It To?",[1]Sheet1!$1:$1,[1]Sheet1!167:167)),_xlfn.XLOOKUP($C167,'Premade Flavors'!$A:$A,'Premade Flavors'!C:C),_xlfn.XLOOKUP("What Ice Cream Base Do You Want To Change It To?",[1]Sheet1!$1:$1,[1]Sheet1!167:167)),_xlfn.XLOOKUP(_xlfn.XLOOKUP("What Kind Of Ice Cream Base Do You Want? ",[1]Sheet1!$1:$1,[1]Sheet1!167:167),'Milk Types Nutrition Per Cup'!$O:$O,'Milk Types Nutrition Per Cup'!$Q:$Q,""))</f>
        <v>0</v>
      </c>
      <c r="F167" s="31">
        <f>IF(COUNTIF('Premade Flavors'!$A:$A, $C167) &gt; 0,_xlfn.XLOOKUP($C167,'Premade Flavors'!$A:$A,'Premade Flavors'!E:E),_xlfn.XLOOKUP("What's The First Flavor You Want? ",[1]Sheet1!$1:$1,[1]Sheet1!167:167))</f>
        <v>0</v>
      </c>
      <c r="G167" s="31">
        <f>IF(COUNTIF('Premade Flavors'!$A:$A, $C167) &gt; 0,_xlfn.XLOOKUP($C167,'Premade Flavors'!$A:$A,'Premade Flavors'!F:F),_xlfn.XLOOKUP("What's the Second Flavor You Want?",[1]Sheet1!$1:$1,[1]Sheet1!167:167))</f>
        <v>0</v>
      </c>
      <c r="H167" s="31">
        <f>IF(COUNTIF('Premade Flavors'!$A:$A, $C167) &gt; 0,_xlfn.XLOOKUP($C167,'Premade Flavors'!$A:$A,'Premade Flavors'!G:G),_xlfn.XLOOKUP("What's The First Mix In That You Want? ",[1]Sheet1!$1:$1,[1]Sheet1!167:167))</f>
        <v>0</v>
      </c>
      <c r="I167" s="31">
        <f>IF(COUNTIF('Premade Flavors'!$A:$A, $C165) &gt; 0,_xlfn.XLOOKUP($C165,'Premade Flavors'!$A:$A,'Premade Flavors'!H:H),IF([2]Sheet1!W165= 0,,[2]Sheet1!W165))</f>
        <v>0</v>
      </c>
      <c r="J167" s="31">
        <f>IF(COUNTIF('Premade Flavors'!$A:$A,$C167)&gt;0,IF(_xlfn.XLOOKUP("Should It Use Sugar or A Non-Sugar Sweetner?",[1]Sheet1!$1:$1,[1]Sheet1!167:167)="Sugar",_xlfn.XLOOKUP($C167,'Premade Flavors'!$A:$A,'Premade Flavors'!I:I),"Stevia"),_xlfn.XLOOKUP("What Sweetner Do You Want?",[1]Sheet1!$1:$1,[1]Sheet1!167:167))</f>
        <v>0</v>
      </c>
      <c r="K167" s="31"/>
      <c r="L167" s="77">
        <f>_xlfn.XLOOKUP("How Much Ice Cream Do You Want?",[1]Sheet1!$1:$1,[1]Sheet1!167:167)</f>
        <v>0</v>
      </c>
      <c r="M167" s="45">
        <f>IF(COUNTIF('Premade Flavors'!$A:$A, $C167) &gt; 0,_xlfn.XLOOKUP($C167,'Premade Flavors'!$A:$A,'Premade Flavors'!M:M),_xlfn.XLOOKUP("How Strong Do You Want The First Flavor?",[1]Sheet1!$1:$1,[1]Sheet1!167:167))</f>
        <v>0</v>
      </c>
      <c r="N167" s="45">
        <f>IF(COUNTIF('Premade Flavors'!$A:$A, $C167) &gt; 0,_xlfn.XLOOKUP($C167,'Premade Flavors'!$A:$A,'Premade Flavors'!N:N),_xlfn.XLOOKUP("How Strong Do You Want The Second Flavor?",[1]Sheet1!$1:$1,[1]Sheet1!167:167))</f>
        <v>0</v>
      </c>
      <c r="O167" s="45">
        <f>IF(COUNTIF('Premade Flavors'!$A:$A, $C167) &gt; 0,_xlfn.XLOOKUP($C167,'Premade Flavors'!$A:$A,'Premade Flavors'!O:O),_xlfn.XLOOKUP("How Dense Should the Mix Ins Be?",[1]Sheet1!$1:$1,[1]Sheet1!167:167))</f>
        <v>0</v>
      </c>
      <c r="P167" s="45">
        <f>IF(COUNTIF('Premade Flavors'!$A:$A, $C167) &gt; 0,_xlfn.XLOOKUP($C167,'Premade Flavors'!$A:$A,'Premade Flavors'!P:P),_xlfn.XLOOKUP("How Much Of The First Sweetner? ",[1]Sheet1!$1:$1,[1]Sheet1!167:167))</f>
        <v>0</v>
      </c>
      <c r="Q167" s="45">
        <f>IF(COUNTIF('Premade Flavors'!$A:$A, $C167) &gt; 0,_xlfn.XLOOKUP($C167,'Premade Flavors'!$A:$A,'Premade Flavors'!Q:Q),[2]Sheet1!S167)</f>
        <v>0</v>
      </c>
      <c r="R167" s="30">
        <f>(_xlfn.XLOOKUP($L167,Specs!A:A,Specs!B:B,0)-(IF(_xlfn.XLOOKUP($F167,'Liquid Mix In Nutrition'!A:A,'Liquid Mix In Nutrition'!J:J,0)="Yes",0,$T167))-(IF(_xlfn.XLOOKUP($G167,'Liquid Mix In Nutrition'!A:A,'Liquid Mix In Nutrition'!J:J,0)="Yes",0,$U167))-(($V167/MAX(1,_xlfn.XLOOKUP($H167,'Solid Mix In Nutrition'!A:A,'Solid Mix In Nutrition'!I:I,1)))*240)-(($W167/MAX(1,_xlfn.XLOOKUP($I167,'Solid Mix In Nutrition'!A:A,'Solid Mix In Nutrition'!I:I,1)))*240))*0.66</f>
        <v>0</v>
      </c>
      <c r="S167" s="30">
        <f>(_xlfn.XLOOKUP($L167,Specs!A:A,Specs!B:B,0)-(IF(_xlfn.XLOOKUP($F167,'Liquid Mix In Nutrition'!A:A,'Liquid Mix In Nutrition'!J:J,0)="Yes",0,$T167))-(IF(_xlfn.XLOOKUP($G167,'Liquid Mix In Nutrition'!A:A,'Liquid Mix In Nutrition'!J:J,0)="Yes",0,$U167))-(($V167/MAX(1,_xlfn.XLOOKUP($H167,'Solid Mix In Nutrition'!A:A,'Solid Mix In Nutrition'!I:I,1)))*240)-(($W167/MAX(1,_xlfn.XLOOKUP($I167,'Solid Mix In Nutrition'!A:A,'Solid Mix In Nutrition'!I:I,1)))*240))*0.33</f>
        <v>0</v>
      </c>
      <c r="T167" s="30">
        <f>_xlfn.XLOOKUP($M167,Specs!$D:$D,Specs!$E:$E,0)*15*_xlfn.XLOOKUP($L167,Specs!$A:$A,Specs!$C:$C,0)</f>
        <v>0</v>
      </c>
      <c r="U167" s="30">
        <f>_xlfn.XLOOKUP($N167,Specs!$D:$D,Specs!$E:$E,0)*15*_xlfn.XLOOKUP($L167,Specs!$A:$A,Specs!$C:$C,0)</f>
        <v>0</v>
      </c>
      <c r="V167" s="30">
        <f>( ((_xlfn.XLOOKUP($O167,Specs!$H:$H,Specs!$I:$I,0)*_xlfn.XLOOKUP($L167,Specs!$A:$A,Specs!$B:$B,0))/240) *_xlfn.XLOOKUP($H167,'Solid Mix In Nutrition'!A:A,'Solid Mix In Nutrition'!I:I,0)) *IF(AND(NOT($I167=0), COUNTA($I167)),0.5,1)</f>
        <v>0</v>
      </c>
      <c r="W167" s="30">
        <f>( ((_xlfn.XLOOKUP($O167,Specs!$H:$H,Specs!$I:$I,0)*_xlfn.XLOOKUP($L167,Specs!$A:$A,Specs!$B:$B,0))/240) *_xlfn.XLOOKUP($I167,'Solid Mix In Nutrition'!A:A,'Solid Mix In Nutrition'!I:I,0)) *IF(AND(NOT($I167=0), COUNTA($I167)),0.5,0)</f>
        <v>0</v>
      </c>
      <c r="X167" s="30">
        <f>_xlfn.XLOOKUP($P167,Specs!F:F,Specs!G:G,0)*_xlfn.XLOOKUP($J167,'Sweetener Mix In Nutrition'!A:A,'Sweetener Mix In Nutrition'!I:I,0)*_xlfn.XLOOKUP($L167,Specs!A:A,Specs!C:C,0)</f>
        <v>0</v>
      </c>
      <c r="Y167" s="30">
        <f>_xlfn.XLOOKUP($Q167,Specs!F:F,Specs!G:G,0)*_xlfn.XLOOKUP($K167,'Sweetener Mix In Nutrition'!A:A,'Sweetener Mix In Nutrition'!I:I,0)*_xlfn.XLOOKUP($L167,Specs!A:A,Specs!C:C,0)</f>
        <v>0</v>
      </c>
      <c r="Z167" s="34">
        <f t="shared" si="6"/>
        <v>0</v>
      </c>
      <c r="AA167" s="35">
        <f t="shared" si="7"/>
        <v>0</v>
      </c>
      <c r="AB167" s="36">
        <f>(($R167 / 240) * _xlfn.XLOOKUP($D167,'Milk Types Nutrition Per Cup'!A:A,'Milk Types Nutrition Per Cup'!B:B,0)) +(($S167 / 240)  * _xlfn.XLOOKUP($E167,'Milk Types Nutrition Per Cup'!A:A,'Milk Types Nutrition Per Cup'!B:B,0)) +(($T167 / 15)  * _xlfn.XLOOKUP($F167,'Liquid Mix In Nutrition'!A:A,'Liquid Mix In Nutrition'!B:B,0))+(($U167 / 15)  * _xlfn.XLOOKUP($G167,'Liquid Mix In Nutrition'!A:A,'Liquid Mix In Nutrition'!B:B,0))+(($V167 /MAX(1, _xlfn.XLOOKUP($H167,'Solid Mix In Nutrition'!A:A,'Solid Mix In Nutrition'!I:I,1)))  * _xlfn.XLOOKUP($H167,'Solid Mix In Nutrition'!A:A,'Solid Mix In Nutrition'!B:B,0))+(($W167 / MAX(1, _xlfn.XLOOKUP($I167,'Solid Mix In Nutrition'!A:A,'Solid Mix In Nutrition'!I:I,1))))+(($X167 / 100)  * _xlfn.XLOOKUP($J167,'Sweetener Mix In Nutrition'!A:A,'Sweetener Mix In Nutrition'!B:B,0))+(($Y167 / 100)  * _xlfn.XLOOKUP($K167,'Sweetener Mix In Nutrition'!A:A,'Sweetener Mix In Nutrition'!B:B,0))</f>
        <v>0</v>
      </c>
      <c r="AC167" s="36">
        <f>(($R167 / 240) * _xlfn.XLOOKUP($D167,'Milk Types Nutrition Per Cup'!A:A,'Milk Types Nutrition Per Cup'!E:E,0)) +(($S167 / 240)  * _xlfn.XLOOKUP($E167,'Milk Types Nutrition Per Cup'!A:A,'Milk Types Nutrition Per Cup'!E:E,0)) +(($T167 / 15)  * _xlfn.XLOOKUP($F167,'Liquid Mix In Nutrition'!A:A,'Liquid Mix In Nutrition'!E:E,0)) +(($U167 / 15)  * _xlfn.XLOOKUP($G167,'Liquid Mix In Nutrition'!A:A,'Liquid Mix In Nutrition'!E:E,0))+(($V167 / MAX(1, _xlfn.XLOOKUP($H167,'Solid Mix In Nutrition'!A:A,'Solid Mix In Nutrition'!I:I,1)))  * _xlfn.XLOOKUP($H167,'Solid Mix In Nutrition'!A:A,'Solid Mix In Nutrition'!E:E,0))+(($W167 / MAX(1, _xlfn.XLOOKUP($I167,'Solid Mix In Nutrition'!A:A,'Solid Mix In Nutrition'!I:I,1)))  * _xlfn.XLOOKUP($I167,'Solid Mix In Nutrition'!A:A,'Solid Mix In Nutrition'!G:G,0))+(($X167 / 100)  * _xlfn.XLOOKUP($J167,'Sweetener Mix In Nutrition'!A:A,'Sweetener Mix In Nutrition'!E:E,0))+(($Y167 / 100)  * _xlfn.XLOOKUP($K167,'Sweetener Mix In Nutrition'!A:A,'Sweetener Mix In Nutrition'!E:E,0))</f>
        <v>0</v>
      </c>
      <c r="AD167" s="36">
        <f>(($R167 / 240) * _xlfn.XLOOKUP($D167,'Milk Types Nutrition Per Cup'!A:A,'Milk Types Nutrition Per Cup'!E:E,0)) +(($S167 / 240)  * _xlfn.XLOOKUP($E167,'Milk Types Nutrition Per Cup'!A:A,'Milk Types Nutrition Per Cup'!E:E,0)) +(($T167 / 15)  * _xlfn.XLOOKUP($F167,'Liquid Mix In Nutrition'!A:A,'Liquid Mix In Nutrition'!E:E,0)) +(($U167 / 15)  * _xlfn.XLOOKUP($G167,'Liquid Mix In Nutrition'!A:A,'Liquid Mix In Nutrition'!E:E,0))+(($X167 / 100)  * _xlfn.XLOOKUP($J167,'Sweetener Mix In Nutrition'!A:A,'Sweetener Mix In Nutrition'!E:E,0))+(($Y167 / 100)  * _xlfn.XLOOKUP($K167,'Sweetener Mix In Nutrition'!A:A,'Sweetener Mix In Nutrition'!E:E,0))</f>
        <v>0</v>
      </c>
      <c r="AE167" s="37">
        <f>(($R167 / 240) * _xlfn.XLOOKUP($D167,'Milk Types Nutrition Per Cup'!A:A,'Milk Types Nutrition Per Cup'!C:C,0)) +(($S167 / 240)  * _xlfn.XLOOKUP($E167,'Milk Types Nutrition Per Cup'!A:A,'Milk Types Nutrition Per Cup'!C:C,0)) +(($T167 / 15)  * _xlfn.XLOOKUP($F167,'Liquid Mix In Nutrition'!A:A,'Liquid Mix In Nutrition'!C:C,0))+(($U167 / 15)  * _xlfn.XLOOKUP($G167,'Liquid Mix In Nutrition'!A:A,'Liquid Mix In Nutrition'!C:C,0))+(($V167 / MAX(1, _xlfn.XLOOKUP($H167,'Solid Mix In Nutrition'!A:A,'Solid Mix In Nutrition'!I:I,1)))  * _xlfn.XLOOKUP($H167,'Solid Mix In Nutrition'!A:A,'Solid Mix In Nutrition'!C:C,0))+(($W167 / MAX(1, _xlfn.XLOOKUP($I167,'Solid Mix In Nutrition'!A:A,'Solid Mix In Nutrition'!I:I,1)))  * _xlfn.XLOOKUP($I167,'Solid Mix In Nutrition'!A:A,'Solid Mix In Nutrition'!C:C,0))+(($X167 / 100)  * _xlfn.XLOOKUP($J167,'Sweetener Mix In Nutrition'!A:A,'Sweetener Mix In Nutrition'!C:C,0))+(($Y167 / 100)  * _xlfn.XLOOKUP($K167,'Sweetener Mix In Nutrition'!A:A,'Sweetener Mix In Nutrition'!C:C,0))</f>
        <v>0</v>
      </c>
      <c r="AF167" s="38" t="e">
        <f>$AE167 / (_xlfn.XLOOKUP($L167,Specs!A:A,Specs!B:B,0))</f>
        <v>#DIV/0!</v>
      </c>
      <c r="AG167" s="37" t="e">
        <f>60* ($AB167 / _xlfn.XLOOKUP($L167,Specs!A:A,Specs!B:B,0))</f>
        <v>#DIV/0!</v>
      </c>
      <c r="AH167" s="37" t="e">
        <f>60* (AC167 / _xlfn.XLOOKUP($L167,Specs!$A:$A,Specs!$B:$B,0))</f>
        <v>#DIV/0!</v>
      </c>
      <c r="AI167" s="37" t="e">
        <f>60* (AE167 / _xlfn.XLOOKUP($L167,Specs!$A:$A,Specs!$B:$B,0))</f>
        <v>#DIV/0!</v>
      </c>
      <c r="AJ167" s="39">
        <f>(($R167 / 240) * _xlfn.XLOOKUP($D167,'Milk Types Nutrition Per Cup'!A:A,'Milk Types Nutrition Per Cup'!F:F,0)) +(($S167 / 240)  * _xlfn.XLOOKUP($E167,'Milk Types Nutrition Per Cup'!A:A,'Milk Types Nutrition Per Cup'!F:F,0)) +(($T167 / 15)  * _xlfn.XLOOKUP($F167,'Liquid Mix In Nutrition'!A:A,'Liquid Mix In Nutrition'!F:F,0))+(($U167 / 15)  * _xlfn.XLOOKUP($G167,'Liquid Mix In Nutrition'!A:A,'Liquid Mix In Nutrition'!F:F,0))+(($V167 / MAX(1, _xlfn.XLOOKUP($H167,'Solid Mix In Nutrition'!A:A,'Solid Mix In Nutrition'!I:I,1)))  * _xlfn.XLOOKUP($H167,'Solid Mix In Nutrition'!A:A,'Solid Mix In Nutrition'!F:F,0))+(($W167 / MAX(1, _xlfn.XLOOKUP($I167,'Solid Mix In Nutrition'!A:A,'Solid Mix In Nutrition'!I:I,1)))  * _xlfn.XLOOKUP($I167,'Solid Mix In Nutrition'!A:A,'Solid Mix In Nutrition'!F:F,0))+(($X167 / 100)  * _xlfn.XLOOKUP($J167,'Sweetener Mix In Nutrition'!A:A,'Sweetener Mix In Nutrition'!F:F,0))+(($Y167 / 100)  * _xlfn.XLOOKUP($K167,'Sweetener Mix In Nutrition'!A:A,'Sweetener Mix In Nutrition'!F:F,0))</f>
        <v>0</v>
      </c>
      <c r="AK167" s="46">
        <f>[2]Sheet1!AG167</f>
        <v>0</v>
      </c>
      <c r="AL167" s="47"/>
      <c r="AM167" s="40">
        <f>IF(ISERROR(((AL167/Specs!$L$3)*Specs!$L$2)*2),0,ROUNDUP((((AL167/Specs!$L$3)*Specs!$L$2)*2),0))</f>
        <v>0</v>
      </c>
      <c r="AN167" s="48">
        <f>ROUNDUP(((AJ167+Specs!$R$2+Specs!$S$2+_xlfn.XLOOKUP($L167,Specs!A:A,Specs!V:V,0))*Specs!$N$2)+AM167,0)</f>
        <v>1</v>
      </c>
      <c r="AO167" s="40">
        <f>ROUNDUP(((AJ167+Specs!$R$2+Specs!$S$2+_xlfn.XLOOKUP($L167,Specs!A:A,Specs!V:V,0))*Specs!$N$2),0)</f>
        <v>1</v>
      </c>
      <c r="AP167" s="30"/>
    </row>
    <row r="168" spans="1:42" x14ac:dyDescent="0.25">
      <c r="A168" s="41" t="str">
        <f>_xlfn.CONCAT(_xlfn.XLOOKUP("What's Your Name?",[1]Sheet1!$1:$1,[1]Sheet1!168:168)," | ",TEXT(_xlfn.XLOOKUP("Completion time",[1]Sheet1!$1:$1,[1]Sheet1!168:168),"dddd, mmm dd, yyyy hh:mm AM/PM"))</f>
        <v xml:space="preserve"> | Saturday, Jan 00, 1900 12:00 AM</v>
      </c>
      <c r="B168" s="76">
        <f>_xlfn.XLOOKUP("What's Your Email Address?",[1]Sheet1!$1:$1,[1]Sheet1!168:168)</f>
        <v>0</v>
      </c>
      <c r="C168" s="31">
        <f>IF(ISBLANK(_xlfn.XLOOKUP("Which Flavor? (Pint Price | Quart Price | Half Gallon Price) (NOTE: Prices may fluctuate based on market conditions)",[1]Sheet1!$1:$1,[1]Sheet1!168:168)),_xlfn.XLOOKUP("Name Your Ice Cream!",[1]Sheet1!$1:$1,[1]Sheet1!168:168),IF(ISNUMBER(FIND("(", _xlfn.XLOOKUP("Which Flavor? (Pint Price | Quart Price | Half Gallon Price) (NOTE: Prices may fluctuate based on market conditions)",[1]Sheet1!$1:$1,[1]Sheet1!168:168))), LEFT(_xlfn.XLOOKUP("Which Flavor? (Pint Price | Quart Price | Half Gallon Price) (NOTE: Prices may fluctuate based on market conditions)",[1]Sheet1!$1:$1,[1]Sheet1!168:168), FIND("(", _xlfn.XLOOKUP("Which Flavor? (Pint Price | Quart Price | Half Gallon Price) (NOTE: Prices may fluctuate based on market conditions)",[1]Sheet1!$1:$1,[1]Sheet1!168:168)) - 1), _xlfn.XLOOKUP("Which Flavor? (Pint Price | Quart Price | Half Gallon Price) (NOTE: Prices may fluctuate based on market conditions)",[1]Sheet1!$1:$1,[1]Sheet1!168:168)))</f>
        <v>0</v>
      </c>
      <c r="D168" s="31">
        <f>IF(COUNTIF('Premade Flavors'!$A:$A, $C168) &gt; 0,IF(ISBLANK(_xlfn.XLOOKUP("What Ice Cream Base Do You Want To Change It To?",[1]Sheet1!$1:$1,[1]Sheet1!168:168)),_xlfn.XLOOKUP($C168,'Premade Flavors'!$A:$A,'Premade Flavors'!B:B),_xlfn.XLOOKUP("What Ice Cream Base Do You Want To Change It To?",[1]Sheet1!$1:$1,[1]Sheet1!168:168)),_xlfn.XLOOKUP(_xlfn.XLOOKUP("What Kind Of Ice Cream Base Do You Want? ",[1]Sheet1!$1:$1,[1]Sheet1!168:168),'Milk Types Nutrition Per Cup'!O:O,'Milk Types Nutrition Per Cup'!P:P,""))</f>
        <v>0</v>
      </c>
      <c r="E168" s="31">
        <f>IF(COUNTIF('Premade Flavors'!$A:$A, $C168) &gt; 0,IF(ISBLANK(_xlfn.XLOOKUP("What Ice Cream Base Do You Want To Change It To?",[1]Sheet1!$1:$1,[1]Sheet1!168:168)),_xlfn.XLOOKUP($C168,'Premade Flavors'!$A:$A,'Premade Flavors'!C:C),_xlfn.XLOOKUP("What Ice Cream Base Do You Want To Change It To?",[1]Sheet1!$1:$1,[1]Sheet1!168:168)),_xlfn.XLOOKUP(_xlfn.XLOOKUP("What Kind Of Ice Cream Base Do You Want? ",[1]Sheet1!$1:$1,[1]Sheet1!168:168),'Milk Types Nutrition Per Cup'!$O:$O,'Milk Types Nutrition Per Cup'!$Q:$Q,""))</f>
        <v>0</v>
      </c>
      <c r="F168" s="31">
        <f>IF(COUNTIF('Premade Flavors'!$A:$A, $C168) &gt; 0,_xlfn.XLOOKUP($C168,'Premade Flavors'!$A:$A,'Premade Flavors'!E:E),_xlfn.XLOOKUP("What's The First Flavor You Want? ",[1]Sheet1!$1:$1,[1]Sheet1!168:168))</f>
        <v>0</v>
      </c>
      <c r="G168" s="31">
        <f>IF(COUNTIF('Premade Flavors'!$A:$A, $C168) &gt; 0,_xlfn.XLOOKUP($C168,'Premade Flavors'!$A:$A,'Premade Flavors'!F:F),_xlfn.XLOOKUP("What's the Second Flavor You Want?",[1]Sheet1!$1:$1,[1]Sheet1!168:168))</f>
        <v>0</v>
      </c>
      <c r="H168" s="31">
        <f>IF(COUNTIF('Premade Flavors'!$A:$A, $C168) &gt; 0,_xlfn.XLOOKUP($C168,'Premade Flavors'!$A:$A,'Premade Flavors'!G:G),_xlfn.XLOOKUP("What's The First Mix In That You Want? ",[1]Sheet1!$1:$1,[1]Sheet1!168:168))</f>
        <v>0</v>
      </c>
      <c r="I168" s="31">
        <f>IF(COUNTIF('Premade Flavors'!$A:$A, $C166) &gt; 0,_xlfn.XLOOKUP($C166,'Premade Flavors'!$A:$A,'Premade Flavors'!H:H),IF([2]Sheet1!W166= 0,,[2]Sheet1!W166))</f>
        <v>0</v>
      </c>
      <c r="J168" s="31">
        <f>IF(COUNTIF('Premade Flavors'!$A:$A,$C168)&gt;0,IF(_xlfn.XLOOKUP("Should It Use Sugar or A Non-Sugar Sweetner?",[1]Sheet1!$1:$1,[1]Sheet1!168:168)="Sugar",_xlfn.XLOOKUP($C168,'Premade Flavors'!$A:$A,'Premade Flavors'!I:I),"Stevia"),_xlfn.XLOOKUP("What Sweetner Do You Want?",[1]Sheet1!$1:$1,[1]Sheet1!168:168))</f>
        <v>0</v>
      </c>
      <c r="K168" s="31"/>
      <c r="L168" s="77">
        <f>_xlfn.XLOOKUP("How Much Ice Cream Do You Want?",[1]Sheet1!$1:$1,[1]Sheet1!168:168)</f>
        <v>0</v>
      </c>
      <c r="M168" s="45">
        <f>IF(COUNTIF('Premade Flavors'!$A:$A, $C168) &gt; 0,_xlfn.XLOOKUP($C168,'Premade Flavors'!$A:$A,'Premade Flavors'!M:M),_xlfn.XLOOKUP("How Strong Do You Want The First Flavor?",[1]Sheet1!$1:$1,[1]Sheet1!168:168))</f>
        <v>0</v>
      </c>
      <c r="N168" s="45">
        <f>IF(COUNTIF('Premade Flavors'!$A:$A, $C168) &gt; 0,_xlfn.XLOOKUP($C168,'Premade Flavors'!$A:$A,'Premade Flavors'!N:N),_xlfn.XLOOKUP("How Strong Do You Want The Second Flavor?",[1]Sheet1!$1:$1,[1]Sheet1!168:168))</f>
        <v>0</v>
      </c>
      <c r="O168" s="45">
        <f>IF(COUNTIF('Premade Flavors'!$A:$A, $C168) &gt; 0,_xlfn.XLOOKUP($C168,'Premade Flavors'!$A:$A,'Premade Flavors'!O:O),_xlfn.XLOOKUP("How Dense Should the Mix Ins Be?",[1]Sheet1!$1:$1,[1]Sheet1!168:168))</f>
        <v>0</v>
      </c>
      <c r="P168" s="45">
        <f>IF(COUNTIF('Premade Flavors'!$A:$A, $C168) &gt; 0,_xlfn.XLOOKUP($C168,'Premade Flavors'!$A:$A,'Premade Flavors'!P:P),_xlfn.XLOOKUP("How Much Of The First Sweetner? ",[1]Sheet1!$1:$1,[1]Sheet1!168:168))</f>
        <v>0</v>
      </c>
      <c r="Q168" s="45">
        <f>IF(COUNTIF('Premade Flavors'!$A:$A, $C168) &gt; 0,_xlfn.XLOOKUP($C168,'Premade Flavors'!$A:$A,'Premade Flavors'!Q:Q),[2]Sheet1!S168)</f>
        <v>0</v>
      </c>
      <c r="R168" s="30">
        <f>(_xlfn.XLOOKUP($L168,Specs!A:A,Specs!B:B,0)-(IF(_xlfn.XLOOKUP($F168,'Liquid Mix In Nutrition'!A:A,'Liquid Mix In Nutrition'!J:J,0)="Yes",0,$T168))-(IF(_xlfn.XLOOKUP($G168,'Liquid Mix In Nutrition'!A:A,'Liquid Mix In Nutrition'!J:J,0)="Yes",0,$U168))-(($V168/MAX(1,_xlfn.XLOOKUP($H168,'Solid Mix In Nutrition'!A:A,'Solid Mix In Nutrition'!I:I,1)))*240)-(($W168/MAX(1,_xlfn.XLOOKUP($I168,'Solid Mix In Nutrition'!A:A,'Solid Mix In Nutrition'!I:I,1)))*240))*0.66</f>
        <v>0</v>
      </c>
      <c r="S168" s="30">
        <f>(_xlfn.XLOOKUP($L168,Specs!A:A,Specs!B:B,0)-(IF(_xlfn.XLOOKUP($F168,'Liquid Mix In Nutrition'!A:A,'Liquid Mix In Nutrition'!J:J,0)="Yes",0,$T168))-(IF(_xlfn.XLOOKUP($G168,'Liquid Mix In Nutrition'!A:A,'Liquid Mix In Nutrition'!J:J,0)="Yes",0,$U168))-(($V168/MAX(1,_xlfn.XLOOKUP($H168,'Solid Mix In Nutrition'!A:A,'Solid Mix In Nutrition'!I:I,1)))*240)-(($W168/MAX(1,_xlfn.XLOOKUP($I168,'Solid Mix In Nutrition'!A:A,'Solid Mix In Nutrition'!I:I,1)))*240))*0.33</f>
        <v>0</v>
      </c>
      <c r="T168" s="30">
        <f>_xlfn.XLOOKUP($M168,Specs!$D:$D,Specs!$E:$E,0)*15*_xlfn.XLOOKUP($L168,Specs!$A:$A,Specs!$C:$C,0)</f>
        <v>0</v>
      </c>
      <c r="U168" s="30">
        <f>_xlfn.XLOOKUP($N168,Specs!$D:$D,Specs!$E:$E,0)*15*_xlfn.XLOOKUP($L168,Specs!$A:$A,Specs!$C:$C,0)</f>
        <v>0</v>
      </c>
      <c r="V168" s="30">
        <f>( ((_xlfn.XLOOKUP($O168,Specs!$H:$H,Specs!$I:$I,0)*_xlfn.XLOOKUP($L168,Specs!$A:$A,Specs!$B:$B,0))/240) *_xlfn.XLOOKUP($H168,'Solid Mix In Nutrition'!A:A,'Solid Mix In Nutrition'!I:I,0)) *IF(AND(NOT($I168=0), COUNTA($I168)),0.5,1)</f>
        <v>0</v>
      </c>
      <c r="W168" s="30">
        <f>( ((_xlfn.XLOOKUP($O168,Specs!$H:$H,Specs!$I:$I,0)*_xlfn.XLOOKUP($L168,Specs!$A:$A,Specs!$B:$B,0))/240) *_xlfn.XLOOKUP($I168,'Solid Mix In Nutrition'!A:A,'Solid Mix In Nutrition'!I:I,0)) *IF(AND(NOT($I168=0), COUNTA($I168)),0.5,0)</f>
        <v>0</v>
      </c>
      <c r="X168" s="30">
        <f>_xlfn.XLOOKUP($P168,Specs!F:F,Specs!G:G,0)*_xlfn.XLOOKUP($J168,'Sweetener Mix In Nutrition'!A:A,'Sweetener Mix In Nutrition'!I:I,0)*_xlfn.XLOOKUP($L168,Specs!A:A,Specs!C:C,0)</f>
        <v>0</v>
      </c>
      <c r="Y168" s="30">
        <f>_xlfn.XLOOKUP($Q168,Specs!F:F,Specs!G:G,0)*_xlfn.XLOOKUP($K168,'Sweetener Mix In Nutrition'!A:A,'Sweetener Mix In Nutrition'!I:I,0)*_xlfn.XLOOKUP($L168,Specs!A:A,Specs!C:C,0)</f>
        <v>0</v>
      </c>
      <c r="Z168" s="34">
        <f t="shared" si="6"/>
        <v>0</v>
      </c>
      <c r="AA168" s="35">
        <f t="shared" si="7"/>
        <v>0</v>
      </c>
      <c r="AB168" s="36">
        <f>(($R168 / 240) * _xlfn.XLOOKUP($D168,'Milk Types Nutrition Per Cup'!A:A,'Milk Types Nutrition Per Cup'!B:B,0)) +(($S168 / 240)  * _xlfn.XLOOKUP($E168,'Milk Types Nutrition Per Cup'!A:A,'Milk Types Nutrition Per Cup'!B:B,0)) +(($T168 / 15)  * _xlfn.XLOOKUP($F168,'Liquid Mix In Nutrition'!A:A,'Liquid Mix In Nutrition'!B:B,0))+(($U168 / 15)  * _xlfn.XLOOKUP($G168,'Liquid Mix In Nutrition'!A:A,'Liquid Mix In Nutrition'!B:B,0))+(($V168 /MAX(1, _xlfn.XLOOKUP($H168,'Solid Mix In Nutrition'!A:A,'Solid Mix In Nutrition'!I:I,1)))  * _xlfn.XLOOKUP($H168,'Solid Mix In Nutrition'!A:A,'Solid Mix In Nutrition'!B:B,0))+(($W168 / MAX(1, _xlfn.XLOOKUP($I168,'Solid Mix In Nutrition'!A:A,'Solid Mix In Nutrition'!I:I,1))))+(($X168 / 100)  * _xlfn.XLOOKUP($J168,'Sweetener Mix In Nutrition'!A:A,'Sweetener Mix In Nutrition'!B:B,0))+(($Y168 / 100)  * _xlfn.XLOOKUP($K168,'Sweetener Mix In Nutrition'!A:A,'Sweetener Mix In Nutrition'!B:B,0))</f>
        <v>0</v>
      </c>
      <c r="AC168" s="36">
        <f>(($R168 / 240) * _xlfn.XLOOKUP($D168,'Milk Types Nutrition Per Cup'!A:A,'Milk Types Nutrition Per Cup'!E:E,0)) +(($S168 / 240)  * _xlfn.XLOOKUP($E168,'Milk Types Nutrition Per Cup'!A:A,'Milk Types Nutrition Per Cup'!E:E,0)) +(($T168 / 15)  * _xlfn.XLOOKUP($F168,'Liquid Mix In Nutrition'!A:A,'Liquid Mix In Nutrition'!E:E,0)) +(($U168 / 15)  * _xlfn.XLOOKUP($G168,'Liquid Mix In Nutrition'!A:A,'Liquid Mix In Nutrition'!E:E,0))+(($V168 / MAX(1, _xlfn.XLOOKUP($H168,'Solid Mix In Nutrition'!A:A,'Solid Mix In Nutrition'!I:I,1)))  * _xlfn.XLOOKUP($H168,'Solid Mix In Nutrition'!A:A,'Solid Mix In Nutrition'!E:E,0))+(($W168 / MAX(1, _xlfn.XLOOKUP($I168,'Solid Mix In Nutrition'!A:A,'Solid Mix In Nutrition'!I:I,1)))  * _xlfn.XLOOKUP($I168,'Solid Mix In Nutrition'!A:A,'Solid Mix In Nutrition'!G:G,0))+(($X168 / 100)  * _xlfn.XLOOKUP($J168,'Sweetener Mix In Nutrition'!A:A,'Sweetener Mix In Nutrition'!E:E,0))+(($Y168 / 100)  * _xlfn.XLOOKUP($K168,'Sweetener Mix In Nutrition'!A:A,'Sweetener Mix In Nutrition'!E:E,0))</f>
        <v>0</v>
      </c>
      <c r="AD168" s="36">
        <f>(($R168 / 240) * _xlfn.XLOOKUP($D168,'Milk Types Nutrition Per Cup'!A:A,'Milk Types Nutrition Per Cup'!E:E,0)) +(($S168 / 240)  * _xlfn.XLOOKUP($E168,'Milk Types Nutrition Per Cup'!A:A,'Milk Types Nutrition Per Cup'!E:E,0)) +(($T168 / 15)  * _xlfn.XLOOKUP($F168,'Liquid Mix In Nutrition'!A:A,'Liquid Mix In Nutrition'!E:E,0)) +(($U168 / 15)  * _xlfn.XLOOKUP($G168,'Liquid Mix In Nutrition'!A:A,'Liquid Mix In Nutrition'!E:E,0))+(($X168 / 100)  * _xlfn.XLOOKUP($J168,'Sweetener Mix In Nutrition'!A:A,'Sweetener Mix In Nutrition'!E:E,0))+(($Y168 / 100)  * _xlfn.XLOOKUP($K168,'Sweetener Mix In Nutrition'!A:A,'Sweetener Mix In Nutrition'!E:E,0))</f>
        <v>0</v>
      </c>
      <c r="AE168" s="37">
        <f>(($R168 / 240) * _xlfn.XLOOKUP($D168,'Milk Types Nutrition Per Cup'!A:A,'Milk Types Nutrition Per Cup'!C:C,0)) +(($S168 / 240)  * _xlfn.XLOOKUP($E168,'Milk Types Nutrition Per Cup'!A:A,'Milk Types Nutrition Per Cup'!C:C,0)) +(($T168 / 15)  * _xlfn.XLOOKUP($F168,'Liquid Mix In Nutrition'!A:A,'Liquid Mix In Nutrition'!C:C,0))+(($U168 / 15)  * _xlfn.XLOOKUP($G168,'Liquid Mix In Nutrition'!A:A,'Liquid Mix In Nutrition'!C:C,0))+(($V168 / MAX(1, _xlfn.XLOOKUP($H168,'Solid Mix In Nutrition'!A:A,'Solid Mix In Nutrition'!I:I,1)))  * _xlfn.XLOOKUP($H168,'Solid Mix In Nutrition'!A:A,'Solid Mix In Nutrition'!C:C,0))+(($W168 / MAX(1, _xlfn.XLOOKUP($I168,'Solid Mix In Nutrition'!A:A,'Solid Mix In Nutrition'!I:I,1)))  * _xlfn.XLOOKUP($I168,'Solid Mix In Nutrition'!A:A,'Solid Mix In Nutrition'!C:C,0))+(($X168 / 100)  * _xlfn.XLOOKUP($J168,'Sweetener Mix In Nutrition'!A:A,'Sweetener Mix In Nutrition'!C:C,0))+(($Y168 / 100)  * _xlfn.XLOOKUP($K168,'Sweetener Mix In Nutrition'!A:A,'Sweetener Mix In Nutrition'!C:C,0))</f>
        <v>0</v>
      </c>
      <c r="AF168" s="38" t="e">
        <f>$AE168 / (_xlfn.XLOOKUP($L168,Specs!A:A,Specs!B:B,0))</f>
        <v>#DIV/0!</v>
      </c>
      <c r="AG168" s="37" t="e">
        <f>60* ($AB168 / _xlfn.XLOOKUP($L168,Specs!A:A,Specs!B:B,0))</f>
        <v>#DIV/0!</v>
      </c>
      <c r="AH168" s="37" t="e">
        <f>60* (AC168 / _xlfn.XLOOKUP($L168,Specs!$A:$A,Specs!$B:$B,0))</f>
        <v>#DIV/0!</v>
      </c>
      <c r="AI168" s="37" t="e">
        <f>60* (AE168 / _xlfn.XLOOKUP($L168,Specs!$A:$A,Specs!$B:$B,0))</f>
        <v>#DIV/0!</v>
      </c>
      <c r="AJ168" s="39">
        <f>(($R168 / 240) * _xlfn.XLOOKUP($D168,'Milk Types Nutrition Per Cup'!A:A,'Milk Types Nutrition Per Cup'!F:F,0)) +(($S168 / 240)  * _xlfn.XLOOKUP($E168,'Milk Types Nutrition Per Cup'!A:A,'Milk Types Nutrition Per Cup'!F:F,0)) +(($T168 / 15)  * _xlfn.XLOOKUP($F168,'Liquid Mix In Nutrition'!A:A,'Liquid Mix In Nutrition'!F:F,0))+(($U168 / 15)  * _xlfn.XLOOKUP($G168,'Liquid Mix In Nutrition'!A:A,'Liquid Mix In Nutrition'!F:F,0))+(($V168 / MAX(1, _xlfn.XLOOKUP($H168,'Solid Mix In Nutrition'!A:A,'Solid Mix In Nutrition'!I:I,1)))  * _xlfn.XLOOKUP($H168,'Solid Mix In Nutrition'!A:A,'Solid Mix In Nutrition'!F:F,0))+(($W168 / MAX(1, _xlfn.XLOOKUP($I168,'Solid Mix In Nutrition'!A:A,'Solid Mix In Nutrition'!I:I,1)))  * _xlfn.XLOOKUP($I168,'Solid Mix In Nutrition'!A:A,'Solid Mix In Nutrition'!F:F,0))+(($X168 / 100)  * _xlfn.XLOOKUP($J168,'Sweetener Mix In Nutrition'!A:A,'Sweetener Mix In Nutrition'!F:F,0))+(($Y168 / 100)  * _xlfn.XLOOKUP($K168,'Sweetener Mix In Nutrition'!A:A,'Sweetener Mix In Nutrition'!F:F,0))</f>
        <v>0</v>
      </c>
      <c r="AK168" s="46">
        <f>[2]Sheet1!AG168</f>
        <v>0</v>
      </c>
      <c r="AL168" s="47"/>
      <c r="AM168" s="40">
        <f>IF(ISERROR(((AL168/Specs!$L$3)*Specs!$L$2)*2),0,ROUNDUP((((AL168/Specs!$L$3)*Specs!$L$2)*2),0))</f>
        <v>0</v>
      </c>
      <c r="AN168" s="48">
        <f>ROUNDUP(((AJ168+Specs!$R$2+Specs!$S$2+_xlfn.XLOOKUP($L168,Specs!A:A,Specs!V:V,0))*Specs!$N$2)+AM168,0)</f>
        <v>1</v>
      </c>
      <c r="AO168" s="40">
        <f>ROUNDUP(((AJ168+Specs!$R$2+Specs!$S$2+_xlfn.XLOOKUP($L168,Specs!A:A,Specs!V:V,0))*Specs!$N$2),0)</f>
        <v>1</v>
      </c>
      <c r="AP168" s="30"/>
    </row>
    <row r="169" spans="1:42" x14ac:dyDescent="0.25">
      <c r="A169" s="41" t="str">
        <f>_xlfn.CONCAT(_xlfn.XLOOKUP("What's Your Name?",[1]Sheet1!$1:$1,[1]Sheet1!169:169)," | ",TEXT(_xlfn.XLOOKUP("Completion time",[1]Sheet1!$1:$1,[1]Sheet1!169:169),"dddd, mmm dd, yyyy hh:mm AM/PM"))</f>
        <v xml:space="preserve"> | Saturday, Jan 00, 1900 12:00 AM</v>
      </c>
      <c r="B169" s="76">
        <f>_xlfn.XLOOKUP("What's Your Email Address?",[1]Sheet1!$1:$1,[1]Sheet1!169:169)</f>
        <v>0</v>
      </c>
      <c r="C169" s="31">
        <f>IF(ISBLANK(_xlfn.XLOOKUP("Which Flavor? (Pint Price | Quart Price | Half Gallon Price) (NOTE: Prices may fluctuate based on market conditions)",[1]Sheet1!$1:$1,[1]Sheet1!169:169)),_xlfn.XLOOKUP("Name Your Ice Cream!",[1]Sheet1!$1:$1,[1]Sheet1!169:169),IF(ISNUMBER(FIND("(", _xlfn.XLOOKUP("Which Flavor? (Pint Price | Quart Price | Half Gallon Price) (NOTE: Prices may fluctuate based on market conditions)",[1]Sheet1!$1:$1,[1]Sheet1!169:169))), LEFT(_xlfn.XLOOKUP("Which Flavor? (Pint Price | Quart Price | Half Gallon Price) (NOTE: Prices may fluctuate based on market conditions)",[1]Sheet1!$1:$1,[1]Sheet1!169:169), FIND("(", _xlfn.XLOOKUP("Which Flavor? (Pint Price | Quart Price | Half Gallon Price) (NOTE: Prices may fluctuate based on market conditions)",[1]Sheet1!$1:$1,[1]Sheet1!169:169)) - 1), _xlfn.XLOOKUP("Which Flavor? (Pint Price | Quart Price | Half Gallon Price) (NOTE: Prices may fluctuate based on market conditions)",[1]Sheet1!$1:$1,[1]Sheet1!169:169)))</f>
        <v>0</v>
      </c>
      <c r="D169" s="31">
        <f>IF(COUNTIF('Premade Flavors'!$A:$A, $C169) &gt; 0,IF(ISBLANK(_xlfn.XLOOKUP("What Ice Cream Base Do You Want To Change It To?",[1]Sheet1!$1:$1,[1]Sheet1!169:169)),_xlfn.XLOOKUP($C169,'Premade Flavors'!$A:$A,'Premade Flavors'!B:B),_xlfn.XLOOKUP("What Ice Cream Base Do You Want To Change It To?",[1]Sheet1!$1:$1,[1]Sheet1!169:169)),_xlfn.XLOOKUP(_xlfn.XLOOKUP("What Kind Of Ice Cream Base Do You Want? ",[1]Sheet1!$1:$1,[1]Sheet1!169:169),'Milk Types Nutrition Per Cup'!O:O,'Milk Types Nutrition Per Cup'!P:P,""))</f>
        <v>0</v>
      </c>
      <c r="E169" s="31">
        <f>IF(COUNTIF('Premade Flavors'!$A:$A, $C169) &gt; 0,IF(ISBLANK(_xlfn.XLOOKUP("What Ice Cream Base Do You Want To Change It To?",[1]Sheet1!$1:$1,[1]Sheet1!169:169)),_xlfn.XLOOKUP($C169,'Premade Flavors'!$A:$A,'Premade Flavors'!C:C),_xlfn.XLOOKUP("What Ice Cream Base Do You Want To Change It To?",[1]Sheet1!$1:$1,[1]Sheet1!169:169)),_xlfn.XLOOKUP(_xlfn.XLOOKUP("What Kind Of Ice Cream Base Do You Want? ",[1]Sheet1!$1:$1,[1]Sheet1!169:169),'Milk Types Nutrition Per Cup'!$O:$O,'Milk Types Nutrition Per Cup'!$Q:$Q,""))</f>
        <v>0</v>
      </c>
      <c r="F169" s="31">
        <f>IF(COUNTIF('Premade Flavors'!$A:$A, $C169) &gt; 0,_xlfn.XLOOKUP($C169,'Premade Flavors'!$A:$A,'Premade Flavors'!E:E),_xlfn.XLOOKUP("What's The First Flavor You Want? ",[1]Sheet1!$1:$1,[1]Sheet1!169:169))</f>
        <v>0</v>
      </c>
      <c r="G169" s="31">
        <f>IF(COUNTIF('Premade Flavors'!$A:$A, $C169) &gt; 0,_xlfn.XLOOKUP($C169,'Premade Flavors'!$A:$A,'Premade Flavors'!F:F),_xlfn.XLOOKUP("What's the Second Flavor You Want?",[1]Sheet1!$1:$1,[1]Sheet1!169:169))</f>
        <v>0</v>
      </c>
      <c r="H169" s="31">
        <f>IF(COUNTIF('Premade Flavors'!$A:$A, $C169) &gt; 0,_xlfn.XLOOKUP($C169,'Premade Flavors'!$A:$A,'Premade Flavors'!G:G),_xlfn.XLOOKUP("What's The First Mix In That You Want? ",[1]Sheet1!$1:$1,[1]Sheet1!169:169))</f>
        <v>0</v>
      </c>
      <c r="I169" s="31">
        <f>IF(COUNTIF('Premade Flavors'!$A:$A, $C167) &gt; 0,_xlfn.XLOOKUP($C167,'Premade Flavors'!$A:$A,'Premade Flavors'!H:H),IF([2]Sheet1!W167= 0,,[2]Sheet1!W167))</f>
        <v>0</v>
      </c>
      <c r="J169" s="31">
        <f>IF(COUNTIF('Premade Flavors'!$A:$A,$C169)&gt;0,IF(_xlfn.XLOOKUP("Should It Use Sugar or A Non-Sugar Sweetner?",[1]Sheet1!$1:$1,[1]Sheet1!169:169)="Sugar",_xlfn.XLOOKUP($C169,'Premade Flavors'!$A:$A,'Premade Flavors'!I:I),"Stevia"),_xlfn.XLOOKUP("What Sweetner Do You Want?",[1]Sheet1!$1:$1,[1]Sheet1!169:169))</f>
        <v>0</v>
      </c>
      <c r="K169" s="31"/>
      <c r="L169" s="77">
        <f>_xlfn.XLOOKUP("How Much Ice Cream Do You Want?",[1]Sheet1!$1:$1,[1]Sheet1!169:169)</f>
        <v>0</v>
      </c>
      <c r="M169" s="45">
        <f>IF(COUNTIF('Premade Flavors'!$A:$A, $C169) &gt; 0,_xlfn.XLOOKUP($C169,'Premade Flavors'!$A:$A,'Premade Flavors'!M:M),_xlfn.XLOOKUP("How Strong Do You Want The First Flavor?",[1]Sheet1!$1:$1,[1]Sheet1!169:169))</f>
        <v>0</v>
      </c>
      <c r="N169" s="45">
        <f>IF(COUNTIF('Premade Flavors'!$A:$A, $C169) &gt; 0,_xlfn.XLOOKUP($C169,'Premade Flavors'!$A:$A,'Premade Flavors'!N:N),_xlfn.XLOOKUP("How Strong Do You Want The Second Flavor?",[1]Sheet1!$1:$1,[1]Sheet1!169:169))</f>
        <v>0</v>
      </c>
      <c r="O169" s="45">
        <f>IF(COUNTIF('Premade Flavors'!$A:$A, $C169) &gt; 0,_xlfn.XLOOKUP($C169,'Premade Flavors'!$A:$A,'Premade Flavors'!O:O),_xlfn.XLOOKUP("How Dense Should the Mix Ins Be?",[1]Sheet1!$1:$1,[1]Sheet1!169:169))</f>
        <v>0</v>
      </c>
      <c r="P169" s="45">
        <f>IF(COUNTIF('Premade Flavors'!$A:$A, $C169) &gt; 0,_xlfn.XLOOKUP($C169,'Premade Flavors'!$A:$A,'Premade Flavors'!P:P),_xlfn.XLOOKUP("How Much Of The First Sweetner? ",[1]Sheet1!$1:$1,[1]Sheet1!169:169))</f>
        <v>0</v>
      </c>
      <c r="Q169" s="45">
        <f>IF(COUNTIF('Premade Flavors'!$A:$A, $C169) &gt; 0,_xlfn.XLOOKUP($C169,'Premade Flavors'!$A:$A,'Premade Flavors'!Q:Q),[2]Sheet1!S169)</f>
        <v>0</v>
      </c>
      <c r="R169" s="30">
        <f>(_xlfn.XLOOKUP($L169,Specs!A:A,Specs!B:B,0)-(IF(_xlfn.XLOOKUP($F169,'Liquid Mix In Nutrition'!A:A,'Liquid Mix In Nutrition'!J:J,0)="Yes",0,$T169))-(IF(_xlfn.XLOOKUP($G169,'Liquid Mix In Nutrition'!A:A,'Liquid Mix In Nutrition'!J:J,0)="Yes",0,$U169))-(($V169/MAX(1,_xlfn.XLOOKUP($H169,'Solid Mix In Nutrition'!A:A,'Solid Mix In Nutrition'!I:I,1)))*240)-(($W169/MAX(1,_xlfn.XLOOKUP($I169,'Solid Mix In Nutrition'!A:A,'Solid Mix In Nutrition'!I:I,1)))*240))*0.66</f>
        <v>0</v>
      </c>
      <c r="S169" s="30">
        <f>(_xlfn.XLOOKUP($L169,Specs!A:A,Specs!B:B,0)-(IF(_xlfn.XLOOKUP($F169,'Liquid Mix In Nutrition'!A:A,'Liquid Mix In Nutrition'!J:J,0)="Yes",0,$T169))-(IF(_xlfn.XLOOKUP($G169,'Liquid Mix In Nutrition'!A:A,'Liquid Mix In Nutrition'!J:J,0)="Yes",0,$U169))-(($V169/MAX(1,_xlfn.XLOOKUP($H169,'Solid Mix In Nutrition'!A:A,'Solid Mix In Nutrition'!I:I,1)))*240)-(($W169/MAX(1,_xlfn.XLOOKUP($I169,'Solid Mix In Nutrition'!A:A,'Solid Mix In Nutrition'!I:I,1)))*240))*0.33</f>
        <v>0</v>
      </c>
      <c r="T169" s="30">
        <f>_xlfn.XLOOKUP($M169,Specs!$D:$D,Specs!$E:$E,0)*15*_xlfn.XLOOKUP($L169,Specs!$A:$A,Specs!$C:$C,0)</f>
        <v>0</v>
      </c>
      <c r="U169" s="30">
        <f>_xlfn.XLOOKUP($N169,Specs!$D:$D,Specs!$E:$E,0)*15*_xlfn.XLOOKUP($L169,Specs!$A:$A,Specs!$C:$C,0)</f>
        <v>0</v>
      </c>
      <c r="V169" s="30">
        <f>( ((_xlfn.XLOOKUP($O169,Specs!$H:$H,Specs!$I:$I,0)*_xlfn.XLOOKUP($L169,Specs!$A:$A,Specs!$B:$B,0))/240) *_xlfn.XLOOKUP($H169,'Solid Mix In Nutrition'!A:A,'Solid Mix In Nutrition'!I:I,0)) *IF(AND(NOT($I169=0), COUNTA($I169)),0.5,1)</f>
        <v>0</v>
      </c>
      <c r="W169" s="30">
        <f>( ((_xlfn.XLOOKUP($O169,Specs!$H:$H,Specs!$I:$I,0)*_xlfn.XLOOKUP($L169,Specs!$A:$A,Specs!$B:$B,0))/240) *_xlfn.XLOOKUP($I169,'Solid Mix In Nutrition'!A:A,'Solid Mix In Nutrition'!I:I,0)) *IF(AND(NOT($I169=0), COUNTA($I169)),0.5,0)</f>
        <v>0</v>
      </c>
      <c r="X169" s="30">
        <f>_xlfn.XLOOKUP($P169,Specs!F:F,Specs!G:G,0)*_xlfn.XLOOKUP($J169,'Sweetener Mix In Nutrition'!A:A,'Sweetener Mix In Nutrition'!I:I,0)*_xlfn.XLOOKUP($L169,Specs!A:A,Specs!C:C,0)</f>
        <v>0</v>
      </c>
      <c r="Y169" s="30">
        <f>_xlfn.XLOOKUP($Q169,Specs!F:F,Specs!G:G,0)*_xlfn.XLOOKUP($K169,'Sweetener Mix In Nutrition'!A:A,'Sweetener Mix In Nutrition'!I:I,0)*_xlfn.XLOOKUP($L169,Specs!A:A,Specs!C:C,0)</f>
        <v>0</v>
      </c>
      <c r="Z169" s="34">
        <f t="shared" si="6"/>
        <v>0</v>
      </c>
      <c r="AA169" s="35">
        <f t="shared" si="7"/>
        <v>0</v>
      </c>
      <c r="AB169" s="36">
        <f>(($R169 / 240) * _xlfn.XLOOKUP($D169,'Milk Types Nutrition Per Cup'!A:A,'Milk Types Nutrition Per Cup'!B:B,0)) +(($S169 / 240)  * _xlfn.XLOOKUP($E169,'Milk Types Nutrition Per Cup'!A:A,'Milk Types Nutrition Per Cup'!B:B,0)) +(($T169 / 15)  * _xlfn.XLOOKUP($F169,'Liquid Mix In Nutrition'!A:A,'Liquid Mix In Nutrition'!B:B,0))+(($U169 / 15)  * _xlfn.XLOOKUP($G169,'Liquid Mix In Nutrition'!A:A,'Liquid Mix In Nutrition'!B:B,0))+(($V169 /MAX(1, _xlfn.XLOOKUP($H169,'Solid Mix In Nutrition'!A:A,'Solid Mix In Nutrition'!I:I,1)))  * _xlfn.XLOOKUP($H169,'Solid Mix In Nutrition'!A:A,'Solid Mix In Nutrition'!B:B,0))+(($W169 / MAX(1, _xlfn.XLOOKUP($I169,'Solid Mix In Nutrition'!A:A,'Solid Mix In Nutrition'!I:I,1))))+(($X169 / 100)  * _xlfn.XLOOKUP($J169,'Sweetener Mix In Nutrition'!A:A,'Sweetener Mix In Nutrition'!B:B,0))+(($Y169 / 100)  * _xlfn.XLOOKUP($K169,'Sweetener Mix In Nutrition'!A:A,'Sweetener Mix In Nutrition'!B:B,0))</f>
        <v>0</v>
      </c>
      <c r="AC169" s="36">
        <f>(($R169 / 240) * _xlfn.XLOOKUP($D169,'Milk Types Nutrition Per Cup'!A:A,'Milk Types Nutrition Per Cup'!E:E,0)) +(($S169 / 240)  * _xlfn.XLOOKUP($E169,'Milk Types Nutrition Per Cup'!A:A,'Milk Types Nutrition Per Cup'!E:E,0)) +(($T169 / 15)  * _xlfn.XLOOKUP($F169,'Liquid Mix In Nutrition'!A:A,'Liquid Mix In Nutrition'!E:E,0)) +(($U169 / 15)  * _xlfn.XLOOKUP($G169,'Liquid Mix In Nutrition'!A:A,'Liquid Mix In Nutrition'!E:E,0))+(($V169 / MAX(1, _xlfn.XLOOKUP($H169,'Solid Mix In Nutrition'!A:A,'Solid Mix In Nutrition'!I:I,1)))  * _xlfn.XLOOKUP($H169,'Solid Mix In Nutrition'!A:A,'Solid Mix In Nutrition'!E:E,0))+(($W169 / MAX(1, _xlfn.XLOOKUP($I169,'Solid Mix In Nutrition'!A:A,'Solid Mix In Nutrition'!I:I,1)))  * _xlfn.XLOOKUP($I169,'Solid Mix In Nutrition'!A:A,'Solid Mix In Nutrition'!G:G,0))+(($X169 / 100)  * _xlfn.XLOOKUP($J169,'Sweetener Mix In Nutrition'!A:A,'Sweetener Mix In Nutrition'!E:E,0))+(($Y169 / 100)  * _xlfn.XLOOKUP($K169,'Sweetener Mix In Nutrition'!A:A,'Sweetener Mix In Nutrition'!E:E,0))</f>
        <v>0</v>
      </c>
      <c r="AD169" s="36">
        <f>(($R169 / 240) * _xlfn.XLOOKUP($D169,'Milk Types Nutrition Per Cup'!A:A,'Milk Types Nutrition Per Cup'!E:E,0)) +(($S169 / 240)  * _xlfn.XLOOKUP($E169,'Milk Types Nutrition Per Cup'!A:A,'Milk Types Nutrition Per Cup'!E:E,0)) +(($T169 / 15)  * _xlfn.XLOOKUP($F169,'Liquid Mix In Nutrition'!A:A,'Liquid Mix In Nutrition'!E:E,0)) +(($U169 / 15)  * _xlfn.XLOOKUP($G169,'Liquid Mix In Nutrition'!A:A,'Liquid Mix In Nutrition'!E:E,0))+(($X169 / 100)  * _xlfn.XLOOKUP($J169,'Sweetener Mix In Nutrition'!A:A,'Sweetener Mix In Nutrition'!E:E,0))+(($Y169 / 100)  * _xlfn.XLOOKUP($K169,'Sweetener Mix In Nutrition'!A:A,'Sweetener Mix In Nutrition'!E:E,0))</f>
        <v>0</v>
      </c>
      <c r="AE169" s="37">
        <f>(($R169 / 240) * _xlfn.XLOOKUP($D169,'Milk Types Nutrition Per Cup'!A:A,'Milk Types Nutrition Per Cup'!C:C,0)) +(($S169 / 240)  * _xlfn.XLOOKUP($E169,'Milk Types Nutrition Per Cup'!A:A,'Milk Types Nutrition Per Cup'!C:C,0)) +(($T169 / 15)  * _xlfn.XLOOKUP($F169,'Liquid Mix In Nutrition'!A:A,'Liquid Mix In Nutrition'!C:C,0))+(($U169 / 15)  * _xlfn.XLOOKUP($G169,'Liquid Mix In Nutrition'!A:A,'Liquid Mix In Nutrition'!C:C,0))+(($V169 / MAX(1, _xlfn.XLOOKUP($H169,'Solid Mix In Nutrition'!A:A,'Solid Mix In Nutrition'!I:I,1)))  * _xlfn.XLOOKUP($H169,'Solid Mix In Nutrition'!A:A,'Solid Mix In Nutrition'!C:C,0))+(($W169 / MAX(1, _xlfn.XLOOKUP($I169,'Solid Mix In Nutrition'!A:A,'Solid Mix In Nutrition'!I:I,1)))  * _xlfn.XLOOKUP($I169,'Solid Mix In Nutrition'!A:A,'Solid Mix In Nutrition'!C:C,0))+(($X169 / 100)  * _xlfn.XLOOKUP($J169,'Sweetener Mix In Nutrition'!A:A,'Sweetener Mix In Nutrition'!C:C,0))+(($Y169 / 100)  * _xlfn.XLOOKUP($K169,'Sweetener Mix In Nutrition'!A:A,'Sweetener Mix In Nutrition'!C:C,0))</f>
        <v>0</v>
      </c>
      <c r="AF169" s="38" t="e">
        <f>$AE169 / (_xlfn.XLOOKUP($L169,Specs!A:A,Specs!B:B,0))</f>
        <v>#DIV/0!</v>
      </c>
      <c r="AG169" s="37" t="e">
        <f>60* ($AB169 / _xlfn.XLOOKUP($L169,Specs!A:A,Specs!B:B,0))</f>
        <v>#DIV/0!</v>
      </c>
      <c r="AH169" s="37" t="e">
        <f>60* (AC169 / _xlfn.XLOOKUP($L169,Specs!$A:$A,Specs!$B:$B,0))</f>
        <v>#DIV/0!</v>
      </c>
      <c r="AI169" s="37" t="e">
        <f>60* (AE169 / _xlfn.XLOOKUP($L169,Specs!$A:$A,Specs!$B:$B,0))</f>
        <v>#DIV/0!</v>
      </c>
      <c r="AJ169" s="39">
        <f>(($R169 / 240) * _xlfn.XLOOKUP($D169,'Milk Types Nutrition Per Cup'!A:A,'Milk Types Nutrition Per Cup'!F:F,0)) +(($S169 / 240)  * _xlfn.XLOOKUP($E169,'Milk Types Nutrition Per Cup'!A:A,'Milk Types Nutrition Per Cup'!F:F,0)) +(($T169 / 15)  * _xlfn.XLOOKUP($F169,'Liquid Mix In Nutrition'!A:A,'Liquid Mix In Nutrition'!F:F,0))+(($U169 / 15)  * _xlfn.XLOOKUP($G169,'Liquid Mix In Nutrition'!A:A,'Liquid Mix In Nutrition'!F:F,0))+(($V169 / MAX(1, _xlfn.XLOOKUP($H169,'Solid Mix In Nutrition'!A:A,'Solid Mix In Nutrition'!I:I,1)))  * _xlfn.XLOOKUP($H169,'Solid Mix In Nutrition'!A:A,'Solid Mix In Nutrition'!F:F,0))+(($W169 / MAX(1, _xlfn.XLOOKUP($I169,'Solid Mix In Nutrition'!A:A,'Solid Mix In Nutrition'!I:I,1)))  * _xlfn.XLOOKUP($I169,'Solid Mix In Nutrition'!A:A,'Solid Mix In Nutrition'!F:F,0))+(($X169 / 100)  * _xlfn.XLOOKUP($J169,'Sweetener Mix In Nutrition'!A:A,'Sweetener Mix In Nutrition'!F:F,0))+(($Y169 / 100)  * _xlfn.XLOOKUP($K169,'Sweetener Mix In Nutrition'!A:A,'Sweetener Mix In Nutrition'!F:F,0))</f>
        <v>0</v>
      </c>
      <c r="AK169" s="46">
        <f>[2]Sheet1!AG169</f>
        <v>0</v>
      </c>
      <c r="AL169" s="47"/>
      <c r="AM169" s="40">
        <f>IF(ISERROR(((AL169/Specs!$L$3)*Specs!$L$2)*2),0,ROUNDUP((((AL169/Specs!$L$3)*Specs!$L$2)*2),0))</f>
        <v>0</v>
      </c>
      <c r="AN169" s="48">
        <f>ROUNDUP(((AJ169+Specs!$R$2+Specs!$S$2+_xlfn.XLOOKUP($L169,Specs!A:A,Specs!V:V,0))*Specs!$N$2)+AM169,0)</f>
        <v>1</v>
      </c>
      <c r="AO169" s="40">
        <f>ROUNDUP(((AJ169+Specs!$R$2+Specs!$S$2+_xlfn.XLOOKUP($L169,Specs!A:A,Specs!V:V,0))*Specs!$N$2),0)</f>
        <v>1</v>
      </c>
      <c r="AP169" s="30"/>
    </row>
    <row r="170" spans="1:42" x14ac:dyDescent="0.25">
      <c r="A170" s="41" t="str">
        <f>_xlfn.CONCAT(_xlfn.XLOOKUP("What's Your Name?",[1]Sheet1!$1:$1,[1]Sheet1!170:170)," | ",TEXT(_xlfn.XLOOKUP("Completion time",[1]Sheet1!$1:$1,[1]Sheet1!170:170),"dddd, mmm dd, yyyy hh:mm AM/PM"))</f>
        <v xml:space="preserve"> | Saturday, Jan 00, 1900 12:00 AM</v>
      </c>
      <c r="B170" s="76">
        <f>_xlfn.XLOOKUP("What's Your Email Address?",[1]Sheet1!$1:$1,[1]Sheet1!170:170)</f>
        <v>0</v>
      </c>
      <c r="C170" s="31">
        <f>IF(ISBLANK(_xlfn.XLOOKUP("Which Flavor? (Pint Price | Quart Price | Half Gallon Price) (NOTE: Prices may fluctuate based on market conditions)",[1]Sheet1!$1:$1,[1]Sheet1!170:170)),_xlfn.XLOOKUP("Name Your Ice Cream!",[1]Sheet1!$1:$1,[1]Sheet1!170:170),IF(ISNUMBER(FIND("(", _xlfn.XLOOKUP("Which Flavor? (Pint Price | Quart Price | Half Gallon Price) (NOTE: Prices may fluctuate based on market conditions)",[1]Sheet1!$1:$1,[1]Sheet1!170:170))), LEFT(_xlfn.XLOOKUP("Which Flavor? (Pint Price | Quart Price | Half Gallon Price) (NOTE: Prices may fluctuate based on market conditions)",[1]Sheet1!$1:$1,[1]Sheet1!170:170), FIND("(", _xlfn.XLOOKUP("Which Flavor? (Pint Price | Quart Price | Half Gallon Price) (NOTE: Prices may fluctuate based on market conditions)",[1]Sheet1!$1:$1,[1]Sheet1!170:170)) - 1), _xlfn.XLOOKUP("Which Flavor? (Pint Price | Quart Price | Half Gallon Price) (NOTE: Prices may fluctuate based on market conditions)",[1]Sheet1!$1:$1,[1]Sheet1!170:170)))</f>
        <v>0</v>
      </c>
      <c r="D170" s="31">
        <f>IF(COUNTIF('Premade Flavors'!$A:$A, $C170) &gt; 0,IF(ISBLANK(_xlfn.XLOOKUP("What Ice Cream Base Do You Want To Change It To?",[1]Sheet1!$1:$1,[1]Sheet1!170:170)),_xlfn.XLOOKUP($C170,'Premade Flavors'!$A:$A,'Premade Flavors'!B:B),_xlfn.XLOOKUP("What Ice Cream Base Do You Want To Change It To?",[1]Sheet1!$1:$1,[1]Sheet1!170:170)),_xlfn.XLOOKUP(_xlfn.XLOOKUP("What Kind Of Ice Cream Base Do You Want? ",[1]Sheet1!$1:$1,[1]Sheet1!170:170),'Milk Types Nutrition Per Cup'!O:O,'Milk Types Nutrition Per Cup'!P:P,""))</f>
        <v>0</v>
      </c>
      <c r="E170" s="31">
        <f>IF(COUNTIF('Premade Flavors'!$A:$A, $C170) &gt; 0,IF(ISBLANK(_xlfn.XLOOKUP("What Ice Cream Base Do You Want To Change It To?",[1]Sheet1!$1:$1,[1]Sheet1!170:170)),_xlfn.XLOOKUP($C170,'Premade Flavors'!$A:$A,'Premade Flavors'!C:C),_xlfn.XLOOKUP("What Ice Cream Base Do You Want To Change It To?",[1]Sheet1!$1:$1,[1]Sheet1!170:170)),_xlfn.XLOOKUP(_xlfn.XLOOKUP("What Kind Of Ice Cream Base Do You Want? ",[1]Sheet1!$1:$1,[1]Sheet1!170:170),'Milk Types Nutrition Per Cup'!$O:$O,'Milk Types Nutrition Per Cup'!$Q:$Q,""))</f>
        <v>0</v>
      </c>
      <c r="F170" s="31">
        <f>IF(COUNTIF('Premade Flavors'!$A:$A, $C170) &gt; 0,_xlfn.XLOOKUP($C170,'Premade Flavors'!$A:$A,'Premade Flavors'!E:E),_xlfn.XLOOKUP("What's The First Flavor You Want? ",[1]Sheet1!$1:$1,[1]Sheet1!170:170))</f>
        <v>0</v>
      </c>
      <c r="G170" s="31">
        <f>IF(COUNTIF('Premade Flavors'!$A:$A, $C170) &gt; 0,_xlfn.XLOOKUP($C170,'Premade Flavors'!$A:$A,'Premade Flavors'!F:F),_xlfn.XLOOKUP("What's the Second Flavor You Want?",[1]Sheet1!$1:$1,[1]Sheet1!170:170))</f>
        <v>0</v>
      </c>
      <c r="H170" s="31">
        <f>IF(COUNTIF('Premade Flavors'!$A:$A, $C170) &gt; 0,_xlfn.XLOOKUP($C170,'Premade Flavors'!$A:$A,'Premade Flavors'!G:G),_xlfn.XLOOKUP("What's The First Mix In That You Want? ",[1]Sheet1!$1:$1,[1]Sheet1!170:170))</f>
        <v>0</v>
      </c>
      <c r="I170" s="31">
        <f>IF(COUNTIF('Premade Flavors'!$A:$A, $C168) &gt; 0,_xlfn.XLOOKUP($C168,'Premade Flavors'!$A:$A,'Premade Flavors'!H:H),IF([2]Sheet1!W168= 0,,[2]Sheet1!W168))</f>
        <v>0</v>
      </c>
      <c r="J170" s="31">
        <f>IF(COUNTIF('Premade Flavors'!$A:$A,$C170)&gt;0,IF(_xlfn.XLOOKUP("Should It Use Sugar or A Non-Sugar Sweetner?",[1]Sheet1!$1:$1,[1]Sheet1!170:170)="Sugar",_xlfn.XLOOKUP($C170,'Premade Flavors'!$A:$A,'Premade Flavors'!I:I),"Stevia"),_xlfn.XLOOKUP("What Sweetner Do You Want?",[1]Sheet1!$1:$1,[1]Sheet1!170:170))</f>
        <v>0</v>
      </c>
      <c r="K170" s="31"/>
      <c r="L170" s="77">
        <f>_xlfn.XLOOKUP("How Much Ice Cream Do You Want?",[1]Sheet1!$1:$1,[1]Sheet1!170:170)</f>
        <v>0</v>
      </c>
      <c r="M170" s="45">
        <f>IF(COUNTIF('Premade Flavors'!$A:$A, $C170) &gt; 0,_xlfn.XLOOKUP($C170,'Premade Flavors'!$A:$A,'Premade Flavors'!M:M),_xlfn.XLOOKUP("How Strong Do You Want The First Flavor?",[1]Sheet1!$1:$1,[1]Sheet1!170:170))</f>
        <v>0</v>
      </c>
      <c r="N170" s="45">
        <f>IF(COUNTIF('Premade Flavors'!$A:$A, $C170) &gt; 0,_xlfn.XLOOKUP($C170,'Premade Flavors'!$A:$A,'Premade Flavors'!N:N),_xlfn.XLOOKUP("How Strong Do You Want The Second Flavor?",[1]Sheet1!$1:$1,[1]Sheet1!170:170))</f>
        <v>0</v>
      </c>
      <c r="O170" s="45">
        <f>IF(COUNTIF('Premade Flavors'!$A:$A, $C170) &gt; 0,_xlfn.XLOOKUP($C170,'Premade Flavors'!$A:$A,'Premade Flavors'!O:O),_xlfn.XLOOKUP("How Dense Should the Mix Ins Be?",[1]Sheet1!$1:$1,[1]Sheet1!170:170))</f>
        <v>0</v>
      </c>
      <c r="P170" s="45">
        <f>IF(COUNTIF('Premade Flavors'!$A:$A, $C170) &gt; 0,_xlfn.XLOOKUP($C170,'Premade Flavors'!$A:$A,'Premade Flavors'!P:P),_xlfn.XLOOKUP("How Much Of The First Sweetner? ",[1]Sheet1!$1:$1,[1]Sheet1!170:170))</f>
        <v>0</v>
      </c>
      <c r="Q170" s="45">
        <f>IF(COUNTIF('Premade Flavors'!$A:$A, $C170) &gt; 0,_xlfn.XLOOKUP($C170,'Premade Flavors'!$A:$A,'Premade Flavors'!Q:Q),[2]Sheet1!S170)</f>
        <v>0</v>
      </c>
      <c r="R170" s="30">
        <f>(_xlfn.XLOOKUP($L170,Specs!A:A,Specs!B:B,0)-(IF(_xlfn.XLOOKUP($F170,'Liquid Mix In Nutrition'!A:A,'Liquid Mix In Nutrition'!J:J,0)="Yes",0,$T170))-(IF(_xlfn.XLOOKUP($G170,'Liquid Mix In Nutrition'!A:A,'Liquid Mix In Nutrition'!J:J,0)="Yes",0,$U170))-(($V170/MAX(1,_xlfn.XLOOKUP($H170,'Solid Mix In Nutrition'!A:A,'Solid Mix In Nutrition'!I:I,1)))*240)-(($W170/MAX(1,_xlfn.XLOOKUP($I170,'Solid Mix In Nutrition'!A:A,'Solid Mix In Nutrition'!I:I,1)))*240))*0.66</f>
        <v>0</v>
      </c>
      <c r="S170" s="30">
        <f>(_xlfn.XLOOKUP($L170,Specs!A:A,Specs!B:B,0)-(IF(_xlfn.XLOOKUP($F170,'Liquid Mix In Nutrition'!A:A,'Liquid Mix In Nutrition'!J:J,0)="Yes",0,$T170))-(IF(_xlfn.XLOOKUP($G170,'Liquid Mix In Nutrition'!A:A,'Liquid Mix In Nutrition'!J:J,0)="Yes",0,$U170))-(($V170/MAX(1,_xlfn.XLOOKUP($H170,'Solid Mix In Nutrition'!A:A,'Solid Mix In Nutrition'!I:I,1)))*240)-(($W170/MAX(1,_xlfn.XLOOKUP($I170,'Solid Mix In Nutrition'!A:A,'Solid Mix In Nutrition'!I:I,1)))*240))*0.33</f>
        <v>0</v>
      </c>
      <c r="T170" s="30">
        <f>_xlfn.XLOOKUP($M170,Specs!$D:$D,Specs!$E:$E,0)*15*_xlfn.XLOOKUP($L170,Specs!$A:$A,Specs!$C:$C,0)</f>
        <v>0</v>
      </c>
      <c r="U170" s="30">
        <f>_xlfn.XLOOKUP($N170,Specs!$D:$D,Specs!$E:$E,0)*15*_xlfn.XLOOKUP($L170,Specs!$A:$A,Specs!$C:$C,0)</f>
        <v>0</v>
      </c>
      <c r="V170" s="30">
        <f>( ((_xlfn.XLOOKUP($O170,Specs!$H:$H,Specs!$I:$I,0)*_xlfn.XLOOKUP($L170,Specs!$A:$A,Specs!$B:$B,0))/240) *_xlfn.XLOOKUP($H170,'Solid Mix In Nutrition'!A:A,'Solid Mix In Nutrition'!I:I,0)) *IF(AND(NOT($I170=0), COUNTA($I170)),0.5,1)</f>
        <v>0</v>
      </c>
      <c r="W170" s="30">
        <f>( ((_xlfn.XLOOKUP($O170,Specs!$H:$H,Specs!$I:$I,0)*_xlfn.XLOOKUP($L170,Specs!$A:$A,Specs!$B:$B,0))/240) *_xlfn.XLOOKUP($I170,'Solid Mix In Nutrition'!A:A,'Solid Mix In Nutrition'!I:I,0)) *IF(AND(NOT($I170=0), COUNTA($I170)),0.5,0)</f>
        <v>0</v>
      </c>
      <c r="X170" s="30">
        <f>_xlfn.XLOOKUP($P170,Specs!F:F,Specs!G:G,0)*_xlfn.XLOOKUP($J170,'Sweetener Mix In Nutrition'!A:A,'Sweetener Mix In Nutrition'!I:I,0)*_xlfn.XLOOKUP($L170,Specs!A:A,Specs!C:C,0)</f>
        <v>0</v>
      </c>
      <c r="Y170" s="30">
        <f>_xlfn.XLOOKUP($Q170,Specs!F:F,Specs!G:G,0)*_xlfn.XLOOKUP($K170,'Sweetener Mix In Nutrition'!A:A,'Sweetener Mix In Nutrition'!I:I,0)*_xlfn.XLOOKUP($L170,Specs!A:A,Specs!C:C,0)</f>
        <v>0</v>
      </c>
      <c r="Z170" s="34">
        <f t="shared" si="6"/>
        <v>0</v>
      </c>
      <c r="AA170" s="35">
        <f t="shared" si="7"/>
        <v>0</v>
      </c>
      <c r="AB170" s="36">
        <f>(($R170 / 240) * _xlfn.XLOOKUP($D170,'Milk Types Nutrition Per Cup'!A:A,'Milk Types Nutrition Per Cup'!B:B,0)) +(($S170 / 240)  * _xlfn.XLOOKUP($E170,'Milk Types Nutrition Per Cup'!A:A,'Milk Types Nutrition Per Cup'!B:B,0)) +(($T170 / 15)  * _xlfn.XLOOKUP($F170,'Liquid Mix In Nutrition'!A:A,'Liquid Mix In Nutrition'!B:B,0))+(($U170 / 15)  * _xlfn.XLOOKUP($G170,'Liquid Mix In Nutrition'!A:A,'Liquid Mix In Nutrition'!B:B,0))+(($V170 /MAX(1, _xlfn.XLOOKUP($H170,'Solid Mix In Nutrition'!A:A,'Solid Mix In Nutrition'!I:I,1)))  * _xlfn.XLOOKUP($H170,'Solid Mix In Nutrition'!A:A,'Solid Mix In Nutrition'!B:B,0))+(($W170 / MAX(1, _xlfn.XLOOKUP($I170,'Solid Mix In Nutrition'!A:A,'Solid Mix In Nutrition'!I:I,1))))+(($X170 / 100)  * _xlfn.XLOOKUP($J170,'Sweetener Mix In Nutrition'!A:A,'Sweetener Mix In Nutrition'!B:B,0))+(($Y170 / 100)  * _xlfn.XLOOKUP($K170,'Sweetener Mix In Nutrition'!A:A,'Sweetener Mix In Nutrition'!B:B,0))</f>
        <v>0</v>
      </c>
      <c r="AC170" s="36">
        <f>(($R170 / 240) * _xlfn.XLOOKUP($D170,'Milk Types Nutrition Per Cup'!A:A,'Milk Types Nutrition Per Cup'!E:E,0)) +(($S170 / 240)  * _xlfn.XLOOKUP($E170,'Milk Types Nutrition Per Cup'!A:A,'Milk Types Nutrition Per Cup'!E:E,0)) +(($T170 / 15)  * _xlfn.XLOOKUP($F170,'Liquid Mix In Nutrition'!A:A,'Liquid Mix In Nutrition'!E:E,0)) +(($U170 / 15)  * _xlfn.XLOOKUP($G170,'Liquid Mix In Nutrition'!A:A,'Liquid Mix In Nutrition'!E:E,0))+(($V170 / MAX(1, _xlfn.XLOOKUP($H170,'Solid Mix In Nutrition'!A:A,'Solid Mix In Nutrition'!I:I,1)))  * _xlfn.XLOOKUP($H170,'Solid Mix In Nutrition'!A:A,'Solid Mix In Nutrition'!E:E,0))+(($W170 / MAX(1, _xlfn.XLOOKUP($I170,'Solid Mix In Nutrition'!A:A,'Solid Mix In Nutrition'!I:I,1)))  * _xlfn.XLOOKUP($I170,'Solid Mix In Nutrition'!A:A,'Solid Mix In Nutrition'!G:G,0))+(($X170 / 100)  * _xlfn.XLOOKUP($J170,'Sweetener Mix In Nutrition'!A:A,'Sweetener Mix In Nutrition'!E:E,0))+(($Y170 / 100)  * _xlfn.XLOOKUP($K170,'Sweetener Mix In Nutrition'!A:A,'Sweetener Mix In Nutrition'!E:E,0))</f>
        <v>0</v>
      </c>
      <c r="AD170" s="36">
        <f>(($R170 / 240) * _xlfn.XLOOKUP($D170,'Milk Types Nutrition Per Cup'!A:A,'Milk Types Nutrition Per Cup'!E:E,0)) +(($S170 / 240)  * _xlfn.XLOOKUP($E170,'Milk Types Nutrition Per Cup'!A:A,'Milk Types Nutrition Per Cup'!E:E,0)) +(($T170 / 15)  * _xlfn.XLOOKUP($F170,'Liquid Mix In Nutrition'!A:A,'Liquid Mix In Nutrition'!E:E,0)) +(($U170 / 15)  * _xlfn.XLOOKUP($G170,'Liquid Mix In Nutrition'!A:A,'Liquid Mix In Nutrition'!E:E,0))+(($X170 / 100)  * _xlfn.XLOOKUP($J170,'Sweetener Mix In Nutrition'!A:A,'Sweetener Mix In Nutrition'!E:E,0))+(($Y170 / 100)  * _xlfn.XLOOKUP($K170,'Sweetener Mix In Nutrition'!A:A,'Sweetener Mix In Nutrition'!E:E,0))</f>
        <v>0</v>
      </c>
      <c r="AE170" s="37">
        <f>(($R170 / 240) * _xlfn.XLOOKUP($D170,'Milk Types Nutrition Per Cup'!A:A,'Milk Types Nutrition Per Cup'!C:C,0)) +(($S170 / 240)  * _xlfn.XLOOKUP($E170,'Milk Types Nutrition Per Cup'!A:A,'Milk Types Nutrition Per Cup'!C:C,0)) +(($T170 / 15)  * _xlfn.XLOOKUP($F170,'Liquid Mix In Nutrition'!A:A,'Liquid Mix In Nutrition'!C:C,0))+(($U170 / 15)  * _xlfn.XLOOKUP($G170,'Liquid Mix In Nutrition'!A:A,'Liquid Mix In Nutrition'!C:C,0))+(($V170 / MAX(1, _xlfn.XLOOKUP($H170,'Solid Mix In Nutrition'!A:A,'Solid Mix In Nutrition'!I:I,1)))  * _xlfn.XLOOKUP($H170,'Solid Mix In Nutrition'!A:A,'Solid Mix In Nutrition'!C:C,0))+(($W170 / MAX(1, _xlfn.XLOOKUP($I170,'Solid Mix In Nutrition'!A:A,'Solid Mix In Nutrition'!I:I,1)))  * _xlfn.XLOOKUP($I170,'Solid Mix In Nutrition'!A:A,'Solid Mix In Nutrition'!C:C,0))+(($X170 / 100)  * _xlfn.XLOOKUP($J170,'Sweetener Mix In Nutrition'!A:A,'Sweetener Mix In Nutrition'!C:C,0))+(($Y170 / 100)  * _xlfn.XLOOKUP($K170,'Sweetener Mix In Nutrition'!A:A,'Sweetener Mix In Nutrition'!C:C,0))</f>
        <v>0</v>
      </c>
      <c r="AF170" s="38" t="e">
        <f>$AE170 / (_xlfn.XLOOKUP($L170,Specs!A:A,Specs!B:B,0))</f>
        <v>#DIV/0!</v>
      </c>
      <c r="AG170" s="37" t="e">
        <f>60* ($AB170 / _xlfn.XLOOKUP($L170,Specs!A:A,Specs!B:B,0))</f>
        <v>#DIV/0!</v>
      </c>
      <c r="AH170" s="37" t="e">
        <f>60* (AC170 / _xlfn.XLOOKUP($L170,Specs!$A:$A,Specs!$B:$B,0))</f>
        <v>#DIV/0!</v>
      </c>
      <c r="AI170" s="37" t="e">
        <f>60* (AE170 / _xlfn.XLOOKUP($L170,Specs!$A:$A,Specs!$B:$B,0))</f>
        <v>#DIV/0!</v>
      </c>
      <c r="AJ170" s="39">
        <f>(($R170 / 240) * _xlfn.XLOOKUP($D170,'Milk Types Nutrition Per Cup'!A:A,'Milk Types Nutrition Per Cup'!F:F,0)) +(($S170 / 240)  * _xlfn.XLOOKUP($E170,'Milk Types Nutrition Per Cup'!A:A,'Milk Types Nutrition Per Cup'!F:F,0)) +(($T170 / 15)  * _xlfn.XLOOKUP($F170,'Liquid Mix In Nutrition'!A:A,'Liquid Mix In Nutrition'!F:F,0))+(($U170 / 15)  * _xlfn.XLOOKUP($G170,'Liquid Mix In Nutrition'!A:A,'Liquid Mix In Nutrition'!F:F,0))+(($V170 / MAX(1, _xlfn.XLOOKUP($H170,'Solid Mix In Nutrition'!A:A,'Solid Mix In Nutrition'!I:I,1)))  * _xlfn.XLOOKUP($H170,'Solid Mix In Nutrition'!A:A,'Solid Mix In Nutrition'!F:F,0))+(($W170 / MAX(1, _xlfn.XLOOKUP($I170,'Solid Mix In Nutrition'!A:A,'Solid Mix In Nutrition'!I:I,1)))  * _xlfn.XLOOKUP($I170,'Solid Mix In Nutrition'!A:A,'Solid Mix In Nutrition'!F:F,0))+(($X170 / 100)  * _xlfn.XLOOKUP($J170,'Sweetener Mix In Nutrition'!A:A,'Sweetener Mix In Nutrition'!F:F,0))+(($Y170 / 100)  * _xlfn.XLOOKUP($K170,'Sweetener Mix In Nutrition'!A:A,'Sweetener Mix In Nutrition'!F:F,0))</f>
        <v>0</v>
      </c>
      <c r="AK170" s="46">
        <f>[2]Sheet1!AG170</f>
        <v>0</v>
      </c>
      <c r="AL170" s="47"/>
      <c r="AM170" s="40">
        <f>IF(ISERROR(((AL170/Specs!$L$3)*Specs!$L$2)*2),0,ROUNDUP((((AL170/Specs!$L$3)*Specs!$L$2)*2),0))</f>
        <v>0</v>
      </c>
      <c r="AN170" s="48">
        <f>ROUNDUP(((AJ170+Specs!$R$2+Specs!$S$2+_xlfn.XLOOKUP($L170,Specs!A:A,Specs!V:V,0))*Specs!$N$2)+AM170,0)</f>
        <v>1</v>
      </c>
      <c r="AO170" s="40">
        <f>ROUNDUP(((AJ170+Specs!$R$2+Specs!$S$2+_xlfn.XLOOKUP($L170,Specs!A:A,Specs!V:V,0))*Specs!$N$2),0)</f>
        <v>1</v>
      </c>
      <c r="AP170" s="30"/>
    </row>
    <row r="171" spans="1:42" x14ac:dyDescent="0.25">
      <c r="A171" s="41" t="str">
        <f>_xlfn.CONCAT(_xlfn.XLOOKUP("What's Your Name?",[1]Sheet1!$1:$1,[1]Sheet1!171:171)," | ",TEXT(_xlfn.XLOOKUP("Completion time",[1]Sheet1!$1:$1,[1]Sheet1!171:171),"dddd, mmm dd, yyyy hh:mm AM/PM"))</f>
        <v xml:space="preserve"> | Saturday, Jan 00, 1900 12:00 AM</v>
      </c>
      <c r="B171" s="76">
        <f>_xlfn.XLOOKUP("What's Your Email Address?",[1]Sheet1!$1:$1,[1]Sheet1!171:171)</f>
        <v>0</v>
      </c>
      <c r="C171" s="31">
        <f>IF(ISBLANK(_xlfn.XLOOKUP("Which Flavor? (Pint Price | Quart Price | Half Gallon Price) (NOTE: Prices may fluctuate based on market conditions)",[1]Sheet1!$1:$1,[1]Sheet1!171:171)),_xlfn.XLOOKUP("Name Your Ice Cream!",[1]Sheet1!$1:$1,[1]Sheet1!171:171),IF(ISNUMBER(FIND("(", _xlfn.XLOOKUP("Which Flavor? (Pint Price | Quart Price | Half Gallon Price) (NOTE: Prices may fluctuate based on market conditions)",[1]Sheet1!$1:$1,[1]Sheet1!171:171))), LEFT(_xlfn.XLOOKUP("Which Flavor? (Pint Price | Quart Price | Half Gallon Price) (NOTE: Prices may fluctuate based on market conditions)",[1]Sheet1!$1:$1,[1]Sheet1!171:171), FIND("(", _xlfn.XLOOKUP("Which Flavor? (Pint Price | Quart Price | Half Gallon Price) (NOTE: Prices may fluctuate based on market conditions)",[1]Sheet1!$1:$1,[1]Sheet1!171:171)) - 1), _xlfn.XLOOKUP("Which Flavor? (Pint Price | Quart Price | Half Gallon Price) (NOTE: Prices may fluctuate based on market conditions)",[1]Sheet1!$1:$1,[1]Sheet1!171:171)))</f>
        <v>0</v>
      </c>
      <c r="D171" s="31">
        <f>IF(COUNTIF('Premade Flavors'!$A:$A, $C171) &gt; 0,IF(ISBLANK(_xlfn.XLOOKUP("What Ice Cream Base Do You Want To Change It To?",[1]Sheet1!$1:$1,[1]Sheet1!171:171)),_xlfn.XLOOKUP($C171,'Premade Flavors'!$A:$A,'Premade Flavors'!B:B),_xlfn.XLOOKUP("What Ice Cream Base Do You Want To Change It To?",[1]Sheet1!$1:$1,[1]Sheet1!171:171)),_xlfn.XLOOKUP(_xlfn.XLOOKUP("What Kind Of Ice Cream Base Do You Want? ",[1]Sheet1!$1:$1,[1]Sheet1!171:171),'Milk Types Nutrition Per Cup'!O:O,'Milk Types Nutrition Per Cup'!P:P,""))</f>
        <v>0</v>
      </c>
      <c r="E171" s="31">
        <f>IF(COUNTIF('Premade Flavors'!$A:$A, $C171) &gt; 0,IF(ISBLANK(_xlfn.XLOOKUP("What Ice Cream Base Do You Want To Change It To?",[1]Sheet1!$1:$1,[1]Sheet1!171:171)),_xlfn.XLOOKUP($C171,'Premade Flavors'!$A:$A,'Premade Flavors'!C:C),_xlfn.XLOOKUP("What Ice Cream Base Do You Want To Change It To?",[1]Sheet1!$1:$1,[1]Sheet1!171:171)),_xlfn.XLOOKUP(_xlfn.XLOOKUP("What Kind Of Ice Cream Base Do You Want? ",[1]Sheet1!$1:$1,[1]Sheet1!171:171),'Milk Types Nutrition Per Cup'!$O:$O,'Milk Types Nutrition Per Cup'!$Q:$Q,""))</f>
        <v>0</v>
      </c>
      <c r="F171" s="31">
        <f>IF(COUNTIF('Premade Flavors'!$A:$A, $C171) &gt; 0,_xlfn.XLOOKUP($C171,'Premade Flavors'!$A:$A,'Premade Flavors'!E:E),_xlfn.XLOOKUP("What's The First Flavor You Want? ",[1]Sheet1!$1:$1,[1]Sheet1!171:171))</f>
        <v>0</v>
      </c>
      <c r="G171" s="31">
        <f>IF(COUNTIF('Premade Flavors'!$A:$A, $C171) &gt; 0,_xlfn.XLOOKUP($C171,'Premade Flavors'!$A:$A,'Premade Flavors'!F:F),_xlfn.XLOOKUP("What's the Second Flavor You Want?",[1]Sheet1!$1:$1,[1]Sheet1!171:171))</f>
        <v>0</v>
      </c>
      <c r="H171" s="31">
        <f>IF(COUNTIF('Premade Flavors'!$A:$A, $C171) &gt; 0,_xlfn.XLOOKUP($C171,'Premade Flavors'!$A:$A,'Premade Flavors'!G:G),_xlfn.XLOOKUP("What's The First Mix In That You Want? ",[1]Sheet1!$1:$1,[1]Sheet1!171:171))</f>
        <v>0</v>
      </c>
      <c r="I171" s="31">
        <f>IF(COUNTIF('Premade Flavors'!$A:$A, $C169) &gt; 0,_xlfn.XLOOKUP($C169,'Premade Flavors'!$A:$A,'Premade Flavors'!H:H),IF([2]Sheet1!W169= 0,,[2]Sheet1!W169))</f>
        <v>0</v>
      </c>
      <c r="J171" s="31">
        <f>IF(COUNTIF('Premade Flavors'!$A:$A,$C171)&gt;0,IF(_xlfn.XLOOKUP("Should It Use Sugar or A Non-Sugar Sweetner?",[1]Sheet1!$1:$1,[1]Sheet1!171:171)="Sugar",_xlfn.XLOOKUP($C171,'Premade Flavors'!$A:$A,'Premade Flavors'!I:I),"Stevia"),_xlfn.XLOOKUP("What Sweetner Do You Want?",[1]Sheet1!$1:$1,[1]Sheet1!171:171))</f>
        <v>0</v>
      </c>
      <c r="K171" s="31"/>
      <c r="L171" s="77">
        <f>_xlfn.XLOOKUP("How Much Ice Cream Do You Want?",[1]Sheet1!$1:$1,[1]Sheet1!171:171)</f>
        <v>0</v>
      </c>
      <c r="M171" s="45">
        <f>IF(COUNTIF('Premade Flavors'!$A:$A, $C171) &gt; 0,_xlfn.XLOOKUP($C171,'Premade Flavors'!$A:$A,'Premade Flavors'!M:M),_xlfn.XLOOKUP("How Strong Do You Want The First Flavor?",[1]Sheet1!$1:$1,[1]Sheet1!171:171))</f>
        <v>0</v>
      </c>
      <c r="N171" s="45">
        <f>IF(COUNTIF('Premade Flavors'!$A:$A, $C171) &gt; 0,_xlfn.XLOOKUP($C171,'Premade Flavors'!$A:$A,'Premade Flavors'!N:N),_xlfn.XLOOKUP("How Strong Do You Want The Second Flavor?",[1]Sheet1!$1:$1,[1]Sheet1!171:171))</f>
        <v>0</v>
      </c>
      <c r="O171" s="45">
        <f>IF(COUNTIF('Premade Flavors'!$A:$A, $C171) &gt; 0,_xlfn.XLOOKUP($C171,'Premade Flavors'!$A:$A,'Premade Flavors'!O:O),_xlfn.XLOOKUP("How Dense Should the Mix Ins Be?",[1]Sheet1!$1:$1,[1]Sheet1!171:171))</f>
        <v>0</v>
      </c>
      <c r="P171" s="45">
        <f>IF(COUNTIF('Premade Flavors'!$A:$A, $C171) &gt; 0,_xlfn.XLOOKUP($C171,'Premade Flavors'!$A:$A,'Premade Flavors'!P:P),_xlfn.XLOOKUP("How Much Of The First Sweetner? ",[1]Sheet1!$1:$1,[1]Sheet1!171:171))</f>
        <v>0</v>
      </c>
      <c r="Q171" s="45">
        <f>IF(COUNTIF('Premade Flavors'!$A:$A, $C171) &gt; 0,_xlfn.XLOOKUP($C171,'Premade Flavors'!$A:$A,'Premade Flavors'!Q:Q),[2]Sheet1!S171)</f>
        <v>0</v>
      </c>
      <c r="R171" s="30">
        <f>(_xlfn.XLOOKUP($L171,Specs!A:A,Specs!B:B,0)-(IF(_xlfn.XLOOKUP($F171,'Liquid Mix In Nutrition'!A:A,'Liquid Mix In Nutrition'!J:J,0)="Yes",0,$T171))-(IF(_xlfn.XLOOKUP($G171,'Liquid Mix In Nutrition'!A:A,'Liquid Mix In Nutrition'!J:J,0)="Yes",0,$U171))-(($V171/MAX(1,_xlfn.XLOOKUP($H171,'Solid Mix In Nutrition'!A:A,'Solid Mix In Nutrition'!I:I,1)))*240)-(($W171/MAX(1,_xlfn.XLOOKUP($I171,'Solid Mix In Nutrition'!A:A,'Solid Mix In Nutrition'!I:I,1)))*240))*0.66</f>
        <v>0</v>
      </c>
      <c r="S171" s="30">
        <f>(_xlfn.XLOOKUP($L171,Specs!A:A,Specs!B:B,0)-(IF(_xlfn.XLOOKUP($F171,'Liquid Mix In Nutrition'!A:A,'Liquid Mix In Nutrition'!J:J,0)="Yes",0,$T171))-(IF(_xlfn.XLOOKUP($G171,'Liquid Mix In Nutrition'!A:A,'Liquid Mix In Nutrition'!J:J,0)="Yes",0,$U171))-(($V171/MAX(1,_xlfn.XLOOKUP($H171,'Solid Mix In Nutrition'!A:A,'Solid Mix In Nutrition'!I:I,1)))*240)-(($W171/MAX(1,_xlfn.XLOOKUP($I171,'Solid Mix In Nutrition'!A:A,'Solid Mix In Nutrition'!I:I,1)))*240))*0.33</f>
        <v>0</v>
      </c>
      <c r="T171" s="30">
        <f>_xlfn.XLOOKUP($M171,Specs!$D:$D,Specs!$E:$E,0)*15*_xlfn.XLOOKUP($L171,Specs!$A:$A,Specs!$C:$C,0)</f>
        <v>0</v>
      </c>
      <c r="U171" s="30">
        <f>_xlfn.XLOOKUP($N171,Specs!$D:$D,Specs!$E:$E,0)*15*_xlfn.XLOOKUP($L171,Specs!$A:$A,Specs!$C:$C,0)</f>
        <v>0</v>
      </c>
      <c r="V171" s="30">
        <f>( ((_xlfn.XLOOKUP($O171,Specs!$H:$H,Specs!$I:$I,0)*_xlfn.XLOOKUP($L171,Specs!$A:$A,Specs!$B:$B,0))/240) *_xlfn.XLOOKUP($H171,'Solid Mix In Nutrition'!A:A,'Solid Mix In Nutrition'!I:I,0)) *IF(AND(NOT($I171=0), COUNTA($I171)),0.5,1)</f>
        <v>0</v>
      </c>
      <c r="W171" s="30">
        <f>( ((_xlfn.XLOOKUP($O171,Specs!$H:$H,Specs!$I:$I,0)*_xlfn.XLOOKUP($L171,Specs!$A:$A,Specs!$B:$B,0))/240) *_xlfn.XLOOKUP($I171,'Solid Mix In Nutrition'!A:A,'Solid Mix In Nutrition'!I:I,0)) *IF(AND(NOT($I171=0), COUNTA($I171)),0.5,0)</f>
        <v>0</v>
      </c>
      <c r="X171" s="30">
        <f>_xlfn.XLOOKUP($P171,Specs!F:F,Specs!G:G,0)*_xlfn.XLOOKUP($J171,'Sweetener Mix In Nutrition'!A:A,'Sweetener Mix In Nutrition'!I:I,0)*_xlfn.XLOOKUP($L171,Specs!A:A,Specs!C:C,0)</f>
        <v>0</v>
      </c>
      <c r="Y171" s="30">
        <f>_xlfn.XLOOKUP($Q171,Specs!F:F,Specs!G:G,0)*_xlfn.XLOOKUP($K171,'Sweetener Mix In Nutrition'!A:A,'Sweetener Mix In Nutrition'!I:I,0)*_xlfn.XLOOKUP($L171,Specs!A:A,Specs!C:C,0)</f>
        <v>0</v>
      </c>
      <c r="Z171" s="34">
        <f t="shared" si="6"/>
        <v>0</v>
      </c>
      <c r="AA171" s="35">
        <f t="shared" si="7"/>
        <v>0</v>
      </c>
      <c r="AB171" s="36">
        <f>(($R171 / 240) * _xlfn.XLOOKUP($D171,'Milk Types Nutrition Per Cup'!A:A,'Milk Types Nutrition Per Cup'!B:B,0)) +(($S171 / 240)  * _xlfn.XLOOKUP($E171,'Milk Types Nutrition Per Cup'!A:A,'Milk Types Nutrition Per Cup'!B:B,0)) +(($T171 / 15)  * _xlfn.XLOOKUP($F171,'Liquid Mix In Nutrition'!A:A,'Liquid Mix In Nutrition'!B:B,0))+(($U171 / 15)  * _xlfn.XLOOKUP($G171,'Liquid Mix In Nutrition'!A:A,'Liquid Mix In Nutrition'!B:B,0))+(($V171 /MAX(1, _xlfn.XLOOKUP($H171,'Solid Mix In Nutrition'!A:A,'Solid Mix In Nutrition'!I:I,1)))  * _xlfn.XLOOKUP($H171,'Solid Mix In Nutrition'!A:A,'Solid Mix In Nutrition'!B:B,0))+(($W171 / MAX(1, _xlfn.XLOOKUP($I171,'Solid Mix In Nutrition'!A:A,'Solid Mix In Nutrition'!I:I,1))))+(($X171 / 100)  * _xlfn.XLOOKUP($J171,'Sweetener Mix In Nutrition'!A:A,'Sweetener Mix In Nutrition'!B:B,0))+(($Y171 / 100)  * _xlfn.XLOOKUP($K171,'Sweetener Mix In Nutrition'!A:A,'Sweetener Mix In Nutrition'!B:B,0))</f>
        <v>0</v>
      </c>
      <c r="AC171" s="36">
        <f>(($R171 / 240) * _xlfn.XLOOKUP($D171,'Milk Types Nutrition Per Cup'!A:A,'Milk Types Nutrition Per Cup'!E:E,0)) +(($S171 / 240)  * _xlfn.XLOOKUP($E171,'Milk Types Nutrition Per Cup'!A:A,'Milk Types Nutrition Per Cup'!E:E,0)) +(($T171 / 15)  * _xlfn.XLOOKUP($F171,'Liquid Mix In Nutrition'!A:A,'Liquid Mix In Nutrition'!E:E,0)) +(($U171 / 15)  * _xlfn.XLOOKUP($G171,'Liquid Mix In Nutrition'!A:A,'Liquid Mix In Nutrition'!E:E,0))+(($V171 / MAX(1, _xlfn.XLOOKUP($H171,'Solid Mix In Nutrition'!A:A,'Solid Mix In Nutrition'!I:I,1)))  * _xlfn.XLOOKUP($H171,'Solid Mix In Nutrition'!A:A,'Solid Mix In Nutrition'!E:E,0))+(($W171 / MAX(1, _xlfn.XLOOKUP($I171,'Solid Mix In Nutrition'!A:A,'Solid Mix In Nutrition'!I:I,1)))  * _xlfn.XLOOKUP($I171,'Solid Mix In Nutrition'!A:A,'Solid Mix In Nutrition'!G:G,0))+(($X171 / 100)  * _xlfn.XLOOKUP($J171,'Sweetener Mix In Nutrition'!A:A,'Sweetener Mix In Nutrition'!E:E,0))+(($Y171 / 100)  * _xlfn.XLOOKUP($K171,'Sweetener Mix In Nutrition'!A:A,'Sweetener Mix In Nutrition'!E:E,0))</f>
        <v>0</v>
      </c>
      <c r="AD171" s="36">
        <f>(($R171 / 240) * _xlfn.XLOOKUP($D171,'Milk Types Nutrition Per Cup'!A:A,'Milk Types Nutrition Per Cup'!E:E,0)) +(($S171 / 240)  * _xlfn.XLOOKUP($E171,'Milk Types Nutrition Per Cup'!A:A,'Milk Types Nutrition Per Cup'!E:E,0)) +(($T171 / 15)  * _xlfn.XLOOKUP($F171,'Liquid Mix In Nutrition'!A:A,'Liquid Mix In Nutrition'!E:E,0)) +(($U171 / 15)  * _xlfn.XLOOKUP($G171,'Liquid Mix In Nutrition'!A:A,'Liquid Mix In Nutrition'!E:E,0))+(($X171 / 100)  * _xlfn.XLOOKUP($J171,'Sweetener Mix In Nutrition'!A:A,'Sweetener Mix In Nutrition'!E:E,0))+(($Y171 / 100)  * _xlfn.XLOOKUP($K171,'Sweetener Mix In Nutrition'!A:A,'Sweetener Mix In Nutrition'!E:E,0))</f>
        <v>0</v>
      </c>
      <c r="AE171" s="37">
        <f>(($R171 / 240) * _xlfn.XLOOKUP($D171,'Milk Types Nutrition Per Cup'!A:A,'Milk Types Nutrition Per Cup'!C:C,0)) +(($S171 / 240)  * _xlfn.XLOOKUP($E171,'Milk Types Nutrition Per Cup'!A:A,'Milk Types Nutrition Per Cup'!C:C,0)) +(($T171 / 15)  * _xlfn.XLOOKUP($F171,'Liquid Mix In Nutrition'!A:A,'Liquid Mix In Nutrition'!C:C,0))+(($U171 / 15)  * _xlfn.XLOOKUP($G171,'Liquid Mix In Nutrition'!A:A,'Liquid Mix In Nutrition'!C:C,0))+(($V171 / MAX(1, _xlfn.XLOOKUP($H171,'Solid Mix In Nutrition'!A:A,'Solid Mix In Nutrition'!I:I,1)))  * _xlfn.XLOOKUP($H171,'Solid Mix In Nutrition'!A:A,'Solid Mix In Nutrition'!C:C,0))+(($W171 / MAX(1, _xlfn.XLOOKUP($I171,'Solid Mix In Nutrition'!A:A,'Solid Mix In Nutrition'!I:I,1)))  * _xlfn.XLOOKUP($I171,'Solid Mix In Nutrition'!A:A,'Solid Mix In Nutrition'!C:C,0))+(($X171 / 100)  * _xlfn.XLOOKUP($J171,'Sweetener Mix In Nutrition'!A:A,'Sweetener Mix In Nutrition'!C:C,0))+(($Y171 / 100)  * _xlfn.XLOOKUP($K171,'Sweetener Mix In Nutrition'!A:A,'Sweetener Mix In Nutrition'!C:C,0))</f>
        <v>0</v>
      </c>
      <c r="AF171" s="38" t="e">
        <f>$AE171 / (_xlfn.XLOOKUP($L171,Specs!A:A,Specs!B:B,0))</f>
        <v>#DIV/0!</v>
      </c>
      <c r="AG171" s="37" t="e">
        <f>60* ($AB171 / _xlfn.XLOOKUP($L171,Specs!A:A,Specs!B:B,0))</f>
        <v>#DIV/0!</v>
      </c>
      <c r="AH171" s="37" t="e">
        <f>60* (AC171 / _xlfn.XLOOKUP($L171,Specs!$A:$A,Specs!$B:$B,0))</f>
        <v>#DIV/0!</v>
      </c>
      <c r="AI171" s="37" t="e">
        <f>60* (AE171 / _xlfn.XLOOKUP($L171,Specs!$A:$A,Specs!$B:$B,0))</f>
        <v>#DIV/0!</v>
      </c>
      <c r="AJ171" s="39">
        <f>(($R171 / 240) * _xlfn.XLOOKUP($D171,'Milk Types Nutrition Per Cup'!A:A,'Milk Types Nutrition Per Cup'!F:F,0)) +(($S171 / 240)  * _xlfn.XLOOKUP($E171,'Milk Types Nutrition Per Cup'!A:A,'Milk Types Nutrition Per Cup'!F:F,0)) +(($T171 / 15)  * _xlfn.XLOOKUP($F171,'Liquid Mix In Nutrition'!A:A,'Liquid Mix In Nutrition'!F:F,0))+(($U171 / 15)  * _xlfn.XLOOKUP($G171,'Liquid Mix In Nutrition'!A:A,'Liquid Mix In Nutrition'!F:F,0))+(($V171 / MAX(1, _xlfn.XLOOKUP($H171,'Solid Mix In Nutrition'!A:A,'Solid Mix In Nutrition'!I:I,1)))  * _xlfn.XLOOKUP($H171,'Solid Mix In Nutrition'!A:A,'Solid Mix In Nutrition'!F:F,0))+(($W171 / MAX(1, _xlfn.XLOOKUP($I171,'Solid Mix In Nutrition'!A:A,'Solid Mix In Nutrition'!I:I,1)))  * _xlfn.XLOOKUP($I171,'Solid Mix In Nutrition'!A:A,'Solid Mix In Nutrition'!F:F,0))+(($X171 / 100)  * _xlfn.XLOOKUP($J171,'Sweetener Mix In Nutrition'!A:A,'Sweetener Mix In Nutrition'!F:F,0))+(($Y171 / 100)  * _xlfn.XLOOKUP($K171,'Sweetener Mix In Nutrition'!A:A,'Sweetener Mix In Nutrition'!F:F,0))</f>
        <v>0</v>
      </c>
      <c r="AK171" s="46">
        <f>[2]Sheet1!AG171</f>
        <v>0</v>
      </c>
      <c r="AL171" s="47"/>
      <c r="AM171" s="40">
        <f>IF(ISERROR(((AL171/Specs!$L$3)*Specs!$L$2)*2),0,ROUNDUP((((AL171/Specs!$L$3)*Specs!$L$2)*2),0))</f>
        <v>0</v>
      </c>
      <c r="AN171" s="48">
        <f>ROUNDUP(((AJ171+Specs!$R$2+Specs!$S$2+_xlfn.XLOOKUP($L171,Specs!A:A,Specs!V:V,0))*Specs!$N$2)+AM171,0)</f>
        <v>1</v>
      </c>
      <c r="AO171" s="40">
        <f>ROUNDUP(((AJ171+Specs!$R$2+Specs!$S$2+_xlfn.XLOOKUP($L171,Specs!A:A,Specs!V:V,0))*Specs!$N$2),0)</f>
        <v>1</v>
      </c>
      <c r="AP171" s="30"/>
    </row>
    <row r="172" spans="1:42" x14ac:dyDescent="0.25">
      <c r="A172" s="41" t="str">
        <f>_xlfn.CONCAT(_xlfn.XLOOKUP("What's Your Name?",[1]Sheet1!$1:$1,[1]Sheet1!172:172)," | ",TEXT(_xlfn.XLOOKUP("Completion time",[1]Sheet1!$1:$1,[1]Sheet1!172:172),"dddd, mmm dd, yyyy hh:mm AM/PM"))</f>
        <v xml:space="preserve"> | Saturday, Jan 00, 1900 12:00 AM</v>
      </c>
      <c r="B172" s="76">
        <f>_xlfn.XLOOKUP("What's Your Email Address?",[1]Sheet1!$1:$1,[1]Sheet1!172:172)</f>
        <v>0</v>
      </c>
      <c r="C172" s="31">
        <f>IF(ISBLANK(_xlfn.XLOOKUP("Which Flavor? (Pint Price | Quart Price | Half Gallon Price) (NOTE: Prices may fluctuate based on market conditions)",[1]Sheet1!$1:$1,[1]Sheet1!172:172)),_xlfn.XLOOKUP("Name Your Ice Cream!",[1]Sheet1!$1:$1,[1]Sheet1!172:172),IF(ISNUMBER(FIND("(", _xlfn.XLOOKUP("Which Flavor? (Pint Price | Quart Price | Half Gallon Price) (NOTE: Prices may fluctuate based on market conditions)",[1]Sheet1!$1:$1,[1]Sheet1!172:172))), LEFT(_xlfn.XLOOKUP("Which Flavor? (Pint Price | Quart Price | Half Gallon Price) (NOTE: Prices may fluctuate based on market conditions)",[1]Sheet1!$1:$1,[1]Sheet1!172:172), FIND("(", _xlfn.XLOOKUP("Which Flavor? (Pint Price | Quart Price | Half Gallon Price) (NOTE: Prices may fluctuate based on market conditions)",[1]Sheet1!$1:$1,[1]Sheet1!172:172)) - 1), _xlfn.XLOOKUP("Which Flavor? (Pint Price | Quart Price | Half Gallon Price) (NOTE: Prices may fluctuate based on market conditions)",[1]Sheet1!$1:$1,[1]Sheet1!172:172)))</f>
        <v>0</v>
      </c>
      <c r="D172" s="31">
        <f>IF(COUNTIF('Premade Flavors'!$A:$A, $C172) &gt; 0,IF(ISBLANK(_xlfn.XLOOKUP("What Ice Cream Base Do You Want To Change It To?",[1]Sheet1!$1:$1,[1]Sheet1!172:172)),_xlfn.XLOOKUP($C172,'Premade Flavors'!$A:$A,'Premade Flavors'!B:B),_xlfn.XLOOKUP("What Ice Cream Base Do You Want To Change It To?",[1]Sheet1!$1:$1,[1]Sheet1!172:172)),_xlfn.XLOOKUP(_xlfn.XLOOKUP("What Kind Of Ice Cream Base Do You Want? ",[1]Sheet1!$1:$1,[1]Sheet1!172:172),'Milk Types Nutrition Per Cup'!O:O,'Milk Types Nutrition Per Cup'!P:P,""))</f>
        <v>0</v>
      </c>
      <c r="E172" s="31">
        <f>IF(COUNTIF('Premade Flavors'!$A:$A, $C172) &gt; 0,IF(ISBLANK(_xlfn.XLOOKUP("What Ice Cream Base Do You Want To Change It To?",[1]Sheet1!$1:$1,[1]Sheet1!172:172)),_xlfn.XLOOKUP($C172,'Premade Flavors'!$A:$A,'Premade Flavors'!C:C),_xlfn.XLOOKUP("What Ice Cream Base Do You Want To Change It To?",[1]Sheet1!$1:$1,[1]Sheet1!172:172)),_xlfn.XLOOKUP(_xlfn.XLOOKUP("What Kind Of Ice Cream Base Do You Want? ",[1]Sheet1!$1:$1,[1]Sheet1!172:172),'Milk Types Nutrition Per Cup'!$O:$O,'Milk Types Nutrition Per Cup'!$Q:$Q,""))</f>
        <v>0</v>
      </c>
      <c r="F172" s="31">
        <f>IF(COUNTIF('Premade Flavors'!$A:$A, $C172) &gt; 0,_xlfn.XLOOKUP($C172,'Premade Flavors'!$A:$A,'Premade Flavors'!E:E),_xlfn.XLOOKUP("What's The First Flavor You Want? ",[1]Sheet1!$1:$1,[1]Sheet1!172:172))</f>
        <v>0</v>
      </c>
      <c r="G172" s="31">
        <f>IF(COUNTIF('Premade Flavors'!$A:$A, $C172) &gt; 0,_xlfn.XLOOKUP($C172,'Premade Flavors'!$A:$A,'Premade Flavors'!F:F),_xlfn.XLOOKUP("What's the Second Flavor You Want?",[1]Sheet1!$1:$1,[1]Sheet1!172:172))</f>
        <v>0</v>
      </c>
      <c r="H172" s="31">
        <f>IF(COUNTIF('Premade Flavors'!$A:$A, $C172) &gt; 0,_xlfn.XLOOKUP($C172,'Premade Flavors'!$A:$A,'Premade Flavors'!G:G),_xlfn.XLOOKUP("What's The First Mix In That You Want? ",[1]Sheet1!$1:$1,[1]Sheet1!172:172))</f>
        <v>0</v>
      </c>
      <c r="I172" s="31">
        <f>IF(COUNTIF('Premade Flavors'!$A:$A, $C170) &gt; 0,_xlfn.XLOOKUP($C170,'Premade Flavors'!$A:$A,'Premade Flavors'!H:H),IF([2]Sheet1!W170= 0,,[2]Sheet1!W170))</f>
        <v>0</v>
      </c>
      <c r="J172" s="31">
        <f>IF(COUNTIF('Premade Flavors'!$A:$A,$C172)&gt;0,IF(_xlfn.XLOOKUP("Should It Use Sugar or A Non-Sugar Sweetner?",[1]Sheet1!$1:$1,[1]Sheet1!172:172)="Sugar",_xlfn.XLOOKUP($C172,'Premade Flavors'!$A:$A,'Premade Flavors'!I:I),"Stevia"),_xlfn.XLOOKUP("What Sweetner Do You Want?",[1]Sheet1!$1:$1,[1]Sheet1!172:172))</f>
        <v>0</v>
      </c>
      <c r="K172" s="31"/>
      <c r="L172" s="77">
        <f>_xlfn.XLOOKUP("How Much Ice Cream Do You Want?",[1]Sheet1!$1:$1,[1]Sheet1!172:172)</f>
        <v>0</v>
      </c>
      <c r="M172" s="45">
        <f>IF(COUNTIF('Premade Flavors'!$A:$A, $C172) &gt; 0,_xlfn.XLOOKUP($C172,'Premade Flavors'!$A:$A,'Premade Flavors'!M:M),_xlfn.XLOOKUP("How Strong Do You Want The First Flavor?",[1]Sheet1!$1:$1,[1]Sheet1!172:172))</f>
        <v>0</v>
      </c>
      <c r="N172" s="45">
        <f>IF(COUNTIF('Premade Flavors'!$A:$A, $C172) &gt; 0,_xlfn.XLOOKUP($C172,'Premade Flavors'!$A:$A,'Premade Flavors'!N:N),_xlfn.XLOOKUP("How Strong Do You Want The Second Flavor?",[1]Sheet1!$1:$1,[1]Sheet1!172:172))</f>
        <v>0</v>
      </c>
      <c r="O172" s="45">
        <f>IF(COUNTIF('Premade Flavors'!$A:$A, $C172) &gt; 0,_xlfn.XLOOKUP($C172,'Premade Flavors'!$A:$A,'Premade Flavors'!O:O),_xlfn.XLOOKUP("How Dense Should the Mix Ins Be?",[1]Sheet1!$1:$1,[1]Sheet1!172:172))</f>
        <v>0</v>
      </c>
      <c r="P172" s="45">
        <f>IF(COUNTIF('Premade Flavors'!$A:$A, $C172) &gt; 0,_xlfn.XLOOKUP($C172,'Premade Flavors'!$A:$A,'Premade Flavors'!P:P),_xlfn.XLOOKUP("How Much Of The First Sweetner? ",[1]Sheet1!$1:$1,[1]Sheet1!172:172))</f>
        <v>0</v>
      </c>
      <c r="Q172" s="45">
        <f>IF(COUNTIF('Premade Flavors'!$A:$A, $C172) &gt; 0,_xlfn.XLOOKUP($C172,'Premade Flavors'!$A:$A,'Premade Flavors'!Q:Q),[2]Sheet1!S172)</f>
        <v>0</v>
      </c>
      <c r="R172" s="30">
        <f>(_xlfn.XLOOKUP($L172,Specs!A:A,Specs!B:B,0)-(IF(_xlfn.XLOOKUP($F172,'Liquid Mix In Nutrition'!A:A,'Liquid Mix In Nutrition'!J:J,0)="Yes",0,$T172))-(IF(_xlfn.XLOOKUP($G172,'Liquid Mix In Nutrition'!A:A,'Liquid Mix In Nutrition'!J:J,0)="Yes",0,$U172))-(($V172/MAX(1,_xlfn.XLOOKUP($H172,'Solid Mix In Nutrition'!A:A,'Solid Mix In Nutrition'!I:I,1)))*240)-(($W172/MAX(1,_xlfn.XLOOKUP($I172,'Solid Mix In Nutrition'!A:A,'Solid Mix In Nutrition'!I:I,1)))*240))*0.66</f>
        <v>0</v>
      </c>
      <c r="S172" s="30">
        <f>(_xlfn.XLOOKUP($L172,Specs!A:A,Specs!B:B,0)-(IF(_xlfn.XLOOKUP($F172,'Liquid Mix In Nutrition'!A:A,'Liquid Mix In Nutrition'!J:J,0)="Yes",0,$T172))-(IF(_xlfn.XLOOKUP($G172,'Liquid Mix In Nutrition'!A:A,'Liquid Mix In Nutrition'!J:J,0)="Yes",0,$U172))-(($V172/MAX(1,_xlfn.XLOOKUP($H172,'Solid Mix In Nutrition'!A:A,'Solid Mix In Nutrition'!I:I,1)))*240)-(($W172/MAX(1,_xlfn.XLOOKUP($I172,'Solid Mix In Nutrition'!A:A,'Solid Mix In Nutrition'!I:I,1)))*240))*0.33</f>
        <v>0</v>
      </c>
      <c r="T172" s="30">
        <f>_xlfn.XLOOKUP($M172,Specs!$D:$D,Specs!$E:$E,0)*15*_xlfn.XLOOKUP($L172,Specs!$A:$A,Specs!$C:$C,0)</f>
        <v>0</v>
      </c>
      <c r="U172" s="30">
        <f>_xlfn.XLOOKUP($N172,Specs!$D:$D,Specs!$E:$E,0)*15*_xlfn.XLOOKUP($L172,Specs!$A:$A,Specs!$C:$C,0)</f>
        <v>0</v>
      </c>
      <c r="V172" s="30">
        <f>( ((_xlfn.XLOOKUP($O172,Specs!$H:$H,Specs!$I:$I,0)*_xlfn.XLOOKUP($L172,Specs!$A:$A,Specs!$B:$B,0))/240) *_xlfn.XLOOKUP($H172,'Solid Mix In Nutrition'!A:A,'Solid Mix In Nutrition'!I:I,0)) *IF(AND(NOT($I172=0), COUNTA($I172)),0.5,1)</f>
        <v>0</v>
      </c>
      <c r="W172" s="30">
        <f>( ((_xlfn.XLOOKUP($O172,Specs!$H:$H,Specs!$I:$I,0)*_xlfn.XLOOKUP($L172,Specs!$A:$A,Specs!$B:$B,0))/240) *_xlfn.XLOOKUP($I172,'Solid Mix In Nutrition'!A:A,'Solid Mix In Nutrition'!I:I,0)) *IF(AND(NOT($I172=0), COUNTA($I172)),0.5,0)</f>
        <v>0</v>
      </c>
      <c r="X172" s="30">
        <f>_xlfn.XLOOKUP($P172,Specs!F:F,Specs!G:G,0)*_xlfn.XLOOKUP($J172,'Sweetener Mix In Nutrition'!A:A,'Sweetener Mix In Nutrition'!I:I,0)*_xlfn.XLOOKUP($L172,Specs!A:A,Specs!C:C,0)</f>
        <v>0</v>
      </c>
      <c r="Y172" s="30">
        <f>_xlfn.XLOOKUP($Q172,Specs!F:F,Specs!G:G,0)*_xlfn.XLOOKUP($K172,'Sweetener Mix In Nutrition'!A:A,'Sweetener Mix In Nutrition'!I:I,0)*_xlfn.XLOOKUP($L172,Specs!A:A,Specs!C:C,0)</f>
        <v>0</v>
      </c>
      <c r="Z172" s="34">
        <f t="shared" si="6"/>
        <v>0</v>
      </c>
      <c r="AA172" s="35">
        <f t="shared" si="7"/>
        <v>0</v>
      </c>
      <c r="AB172" s="36">
        <f>(($R172 / 240) * _xlfn.XLOOKUP($D172,'Milk Types Nutrition Per Cup'!A:A,'Milk Types Nutrition Per Cup'!B:B,0)) +(($S172 / 240)  * _xlfn.XLOOKUP($E172,'Milk Types Nutrition Per Cup'!A:A,'Milk Types Nutrition Per Cup'!B:B,0)) +(($T172 / 15)  * _xlfn.XLOOKUP($F172,'Liquid Mix In Nutrition'!A:A,'Liquid Mix In Nutrition'!B:B,0))+(($U172 / 15)  * _xlfn.XLOOKUP($G172,'Liquid Mix In Nutrition'!A:A,'Liquid Mix In Nutrition'!B:B,0))+(($V172 /MAX(1, _xlfn.XLOOKUP($H172,'Solid Mix In Nutrition'!A:A,'Solid Mix In Nutrition'!I:I,1)))  * _xlfn.XLOOKUP($H172,'Solid Mix In Nutrition'!A:A,'Solid Mix In Nutrition'!B:B,0))+(($W172 / MAX(1, _xlfn.XLOOKUP($I172,'Solid Mix In Nutrition'!A:A,'Solid Mix In Nutrition'!I:I,1))))+(($X172 / 100)  * _xlfn.XLOOKUP($J172,'Sweetener Mix In Nutrition'!A:A,'Sweetener Mix In Nutrition'!B:B,0))+(($Y172 / 100)  * _xlfn.XLOOKUP($K172,'Sweetener Mix In Nutrition'!A:A,'Sweetener Mix In Nutrition'!B:B,0))</f>
        <v>0</v>
      </c>
      <c r="AC172" s="36">
        <f>(($R172 / 240) * _xlfn.XLOOKUP($D172,'Milk Types Nutrition Per Cup'!A:A,'Milk Types Nutrition Per Cup'!E:E,0)) +(($S172 / 240)  * _xlfn.XLOOKUP($E172,'Milk Types Nutrition Per Cup'!A:A,'Milk Types Nutrition Per Cup'!E:E,0)) +(($T172 / 15)  * _xlfn.XLOOKUP($F172,'Liquid Mix In Nutrition'!A:A,'Liquid Mix In Nutrition'!E:E,0)) +(($U172 / 15)  * _xlfn.XLOOKUP($G172,'Liquid Mix In Nutrition'!A:A,'Liquid Mix In Nutrition'!E:E,0))+(($V172 / MAX(1, _xlfn.XLOOKUP($H172,'Solid Mix In Nutrition'!A:A,'Solid Mix In Nutrition'!I:I,1)))  * _xlfn.XLOOKUP($H172,'Solid Mix In Nutrition'!A:A,'Solid Mix In Nutrition'!E:E,0))+(($W172 / MAX(1, _xlfn.XLOOKUP($I172,'Solid Mix In Nutrition'!A:A,'Solid Mix In Nutrition'!I:I,1)))  * _xlfn.XLOOKUP($I172,'Solid Mix In Nutrition'!A:A,'Solid Mix In Nutrition'!G:G,0))+(($X172 / 100)  * _xlfn.XLOOKUP($J172,'Sweetener Mix In Nutrition'!A:A,'Sweetener Mix In Nutrition'!E:E,0))+(($Y172 / 100)  * _xlfn.XLOOKUP($K172,'Sweetener Mix In Nutrition'!A:A,'Sweetener Mix In Nutrition'!E:E,0))</f>
        <v>0</v>
      </c>
      <c r="AD172" s="36">
        <f>(($R172 / 240) * _xlfn.XLOOKUP($D172,'Milk Types Nutrition Per Cup'!A:A,'Milk Types Nutrition Per Cup'!E:E,0)) +(($S172 / 240)  * _xlfn.XLOOKUP($E172,'Milk Types Nutrition Per Cup'!A:A,'Milk Types Nutrition Per Cup'!E:E,0)) +(($T172 / 15)  * _xlfn.XLOOKUP($F172,'Liquid Mix In Nutrition'!A:A,'Liquid Mix In Nutrition'!E:E,0)) +(($U172 / 15)  * _xlfn.XLOOKUP($G172,'Liquid Mix In Nutrition'!A:A,'Liquid Mix In Nutrition'!E:E,0))+(($X172 / 100)  * _xlfn.XLOOKUP($J172,'Sweetener Mix In Nutrition'!A:A,'Sweetener Mix In Nutrition'!E:E,0))+(($Y172 / 100)  * _xlfn.XLOOKUP($K172,'Sweetener Mix In Nutrition'!A:A,'Sweetener Mix In Nutrition'!E:E,0))</f>
        <v>0</v>
      </c>
      <c r="AE172" s="37">
        <f>(($R172 / 240) * _xlfn.XLOOKUP($D172,'Milk Types Nutrition Per Cup'!A:A,'Milk Types Nutrition Per Cup'!C:C,0)) +(($S172 / 240)  * _xlfn.XLOOKUP($E172,'Milk Types Nutrition Per Cup'!A:A,'Milk Types Nutrition Per Cup'!C:C,0)) +(($T172 / 15)  * _xlfn.XLOOKUP($F172,'Liquid Mix In Nutrition'!A:A,'Liquid Mix In Nutrition'!C:C,0))+(($U172 / 15)  * _xlfn.XLOOKUP($G172,'Liquid Mix In Nutrition'!A:A,'Liquid Mix In Nutrition'!C:C,0))+(($V172 / MAX(1, _xlfn.XLOOKUP($H172,'Solid Mix In Nutrition'!A:A,'Solid Mix In Nutrition'!I:I,1)))  * _xlfn.XLOOKUP($H172,'Solid Mix In Nutrition'!A:A,'Solid Mix In Nutrition'!C:C,0))+(($W172 / MAX(1, _xlfn.XLOOKUP($I172,'Solid Mix In Nutrition'!A:A,'Solid Mix In Nutrition'!I:I,1)))  * _xlfn.XLOOKUP($I172,'Solid Mix In Nutrition'!A:A,'Solid Mix In Nutrition'!C:C,0))+(($X172 / 100)  * _xlfn.XLOOKUP($J172,'Sweetener Mix In Nutrition'!A:A,'Sweetener Mix In Nutrition'!C:C,0))+(($Y172 / 100)  * _xlfn.XLOOKUP($K172,'Sweetener Mix In Nutrition'!A:A,'Sweetener Mix In Nutrition'!C:C,0))</f>
        <v>0</v>
      </c>
      <c r="AF172" s="38" t="e">
        <f>$AE172 / (_xlfn.XLOOKUP($L172,Specs!A:A,Specs!B:B,0))</f>
        <v>#DIV/0!</v>
      </c>
      <c r="AG172" s="37" t="e">
        <f>60* ($AB172 / _xlfn.XLOOKUP($L172,Specs!A:A,Specs!B:B,0))</f>
        <v>#DIV/0!</v>
      </c>
      <c r="AH172" s="37" t="e">
        <f>60* (AC172 / _xlfn.XLOOKUP($L172,Specs!$A:$A,Specs!$B:$B,0))</f>
        <v>#DIV/0!</v>
      </c>
      <c r="AI172" s="37" t="e">
        <f>60* (AE172 / _xlfn.XLOOKUP($L172,Specs!$A:$A,Specs!$B:$B,0))</f>
        <v>#DIV/0!</v>
      </c>
      <c r="AJ172" s="39">
        <f>(($R172 / 240) * _xlfn.XLOOKUP($D172,'Milk Types Nutrition Per Cup'!A:A,'Milk Types Nutrition Per Cup'!F:F,0)) +(($S172 / 240)  * _xlfn.XLOOKUP($E172,'Milk Types Nutrition Per Cup'!A:A,'Milk Types Nutrition Per Cup'!F:F,0)) +(($T172 / 15)  * _xlfn.XLOOKUP($F172,'Liquid Mix In Nutrition'!A:A,'Liquid Mix In Nutrition'!F:F,0))+(($U172 / 15)  * _xlfn.XLOOKUP($G172,'Liquid Mix In Nutrition'!A:A,'Liquid Mix In Nutrition'!F:F,0))+(($V172 / MAX(1, _xlfn.XLOOKUP($H172,'Solid Mix In Nutrition'!A:A,'Solid Mix In Nutrition'!I:I,1)))  * _xlfn.XLOOKUP($H172,'Solid Mix In Nutrition'!A:A,'Solid Mix In Nutrition'!F:F,0))+(($W172 / MAX(1, _xlfn.XLOOKUP($I172,'Solid Mix In Nutrition'!A:A,'Solid Mix In Nutrition'!I:I,1)))  * _xlfn.XLOOKUP($I172,'Solid Mix In Nutrition'!A:A,'Solid Mix In Nutrition'!F:F,0))+(($X172 / 100)  * _xlfn.XLOOKUP($J172,'Sweetener Mix In Nutrition'!A:A,'Sweetener Mix In Nutrition'!F:F,0))+(($Y172 / 100)  * _xlfn.XLOOKUP($K172,'Sweetener Mix In Nutrition'!A:A,'Sweetener Mix In Nutrition'!F:F,0))</f>
        <v>0</v>
      </c>
      <c r="AK172" s="46">
        <f>[2]Sheet1!AG172</f>
        <v>0</v>
      </c>
      <c r="AL172" s="47"/>
      <c r="AM172" s="40">
        <f>IF(ISERROR(((AL172/Specs!$L$3)*Specs!$L$2)*2),0,ROUNDUP((((AL172/Specs!$L$3)*Specs!$L$2)*2),0))</f>
        <v>0</v>
      </c>
      <c r="AN172" s="48">
        <f>ROUNDUP(((AJ172+Specs!$R$2+Specs!$S$2+_xlfn.XLOOKUP($L172,Specs!A:A,Specs!V:V,0))*Specs!$N$2)+AM172,0)</f>
        <v>1</v>
      </c>
      <c r="AO172" s="40">
        <f>ROUNDUP(((AJ172+Specs!$R$2+Specs!$S$2+_xlfn.XLOOKUP($L172,Specs!A:A,Specs!V:V,0))*Specs!$N$2),0)</f>
        <v>1</v>
      </c>
      <c r="AP172" s="30"/>
    </row>
    <row r="173" spans="1:42" x14ac:dyDescent="0.25">
      <c r="A173" s="41" t="str">
        <f>_xlfn.CONCAT(_xlfn.XLOOKUP("What's Your Name?",[1]Sheet1!$1:$1,[1]Sheet1!173:173)," | ",TEXT(_xlfn.XLOOKUP("Completion time",[1]Sheet1!$1:$1,[1]Sheet1!173:173),"dddd, mmm dd, yyyy hh:mm AM/PM"))</f>
        <v xml:space="preserve"> | Saturday, Jan 00, 1900 12:00 AM</v>
      </c>
      <c r="B173" s="76">
        <f>_xlfn.XLOOKUP("What's Your Email Address?",[1]Sheet1!$1:$1,[1]Sheet1!173:173)</f>
        <v>0</v>
      </c>
      <c r="C173" s="31">
        <f>IF(ISBLANK(_xlfn.XLOOKUP("Which Flavor? (Pint Price | Quart Price | Half Gallon Price) (NOTE: Prices may fluctuate based on market conditions)",[1]Sheet1!$1:$1,[1]Sheet1!173:173)),_xlfn.XLOOKUP("Name Your Ice Cream!",[1]Sheet1!$1:$1,[1]Sheet1!173:173),IF(ISNUMBER(FIND("(", _xlfn.XLOOKUP("Which Flavor? (Pint Price | Quart Price | Half Gallon Price) (NOTE: Prices may fluctuate based on market conditions)",[1]Sheet1!$1:$1,[1]Sheet1!173:173))), LEFT(_xlfn.XLOOKUP("Which Flavor? (Pint Price | Quart Price | Half Gallon Price) (NOTE: Prices may fluctuate based on market conditions)",[1]Sheet1!$1:$1,[1]Sheet1!173:173), FIND("(", _xlfn.XLOOKUP("Which Flavor? (Pint Price | Quart Price | Half Gallon Price) (NOTE: Prices may fluctuate based on market conditions)",[1]Sheet1!$1:$1,[1]Sheet1!173:173)) - 1), _xlfn.XLOOKUP("Which Flavor? (Pint Price | Quart Price | Half Gallon Price) (NOTE: Prices may fluctuate based on market conditions)",[1]Sheet1!$1:$1,[1]Sheet1!173:173)))</f>
        <v>0</v>
      </c>
      <c r="D173" s="31">
        <f>IF(COUNTIF('Premade Flavors'!$A:$A, $C173) &gt; 0,IF(ISBLANK(_xlfn.XLOOKUP("What Ice Cream Base Do You Want To Change It To?",[1]Sheet1!$1:$1,[1]Sheet1!173:173)),_xlfn.XLOOKUP($C173,'Premade Flavors'!$A:$A,'Premade Flavors'!B:B),_xlfn.XLOOKUP("What Ice Cream Base Do You Want To Change It To?",[1]Sheet1!$1:$1,[1]Sheet1!173:173)),_xlfn.XLOOKUP(_xlfn.XLOOKUP("What Kind Of Ice Cream Base Do You Want? ",[1]Sheet1!$1:$1,[1]Sheet1!173:173),'Milk Types Nutrition Per Cup'!O:O,'Milk Types Nutrition Per Cup'!P:P,""))</f>
        <v>0</v>
      </c>
      <c r="E173" s="31">
        <f>IF(COUNTIF('Premade Flavors'!$A:$A, $C173) &gt; 0,IF(ISBLANK(_xlfn.XLOOKUP("What Ice Cream Base Do You Want To Change It To?",[1]Sheet1!$1:$1,[1]Sheet1!173:173)),_xlfn.XLOOKUP($C173,'Premade Flavors'!$A:$A,'Premade Flavors'!C:C),_xlfn.XLOOKUP("What Ice Cream Base Do You Want To Change It To?",[1]Sheet1!$1:$1,[1]Sheet1!173:173)),_xlfn.XLOOKUP(_xlfn.XLOOKUP("What Kind Of Ice Cream Base Do You Want? ",[1]Sheet1!$1:$1,[1]Sheet1!173:173),'Milk Types Nutrition Per Cup'!$O:$O,'Milk Types Nutrition Per Cup'!$Q:$Q,""))</f>
        <v>0</v>
      </c>
      <c r="F173" s="31">
        <f>IF(COUNTIF('Premade Flavors'!$A:$A, $C173) &gt; 0,_xlfn.XLOOKUP($C173,'Premade Flavors'!$A:$A,'Premade Flavors'!E:E),_xlfn.XLOOKUP("What's The First Flavor You Want? ",[1]Sheet1!$1:$1,[1]Sheet1!173:173))</f>
        <v>0</v>
      </c>
      <c r="G173" s="31">
        <f>IF(COUNTIF('Premade Flavors'!$A:$A, $C173) &gt; 0,_xlfn.XLOOKUP($C173,'Premade Flavors'!$A:$A,'Premade Flavors'!F:F),_xlfn.XLOOKUP("What's the Second Flavor You Want?",[1]Sheet1!$1:$1,[1]Sheet1!173:173))</f>
        <v>0</v>
      </c>
      <c r="H173" s="31">
        <f>IF(COUNTIF('Premade Flavors'!$A:$A, $C173) &gt; 0,_xlfn.XLOOKUP($C173,'Premade Flavors'!$A:$A,'Premade Flavors'!G:G),_xlfn.XLOOKUP("What's The First Mix In That You Want? ",[1]Sheet1!$1:$1,[1]Sheet1!173:173))</f>
        <v>0</v>
      </c>
      <c r="I173" s="31">
        <f>IF(COUNTIF('Premade Flavors'!$A:$A, $C171) &gt; 0,_xlfn.XLOOKUP($C171,'Premade Flavors'!$A:$A,'Premade Flavors'!H:H),IF([2]Sheet1!W171= 0,,[2]Sheet1!W171))</f>
        <v>0</v>
      </c>
      <c r="J173" s="31">
        <f>IF(COUNTIF('Premade Flavors'!$A:$A,$C173)&gt;0,IF(_xlfn.XLOOKUP("Should It Use Sugar or A Non-Sugar Sweetner?",[1]Sheet1!$1:$1,[1]Sheet1!173:173)="Sugar",_xlfn.XLOOKUP($C173,'Premade Flavors'!$A:$A,'Premade Flavors'!I:I),"Stevia"),_xlfn.XLOOKUP("What Sweetner Do You Want?",[1]Sheet1!$1:$1,[1]Sheet1!173:173))</f>
        <v>0</v>
      </c>
      <c r="K173" s="31"/>
      <c r="L173" s="77">
        <f>_xlfn.XLOOKUP("How Much Ice Cream Do You Want?",[1]Sheet1!$1:$1,[1]Sheet1!173:173)</f>
        <v>0</v>
      </c>
      <c r="M173" s="45">
        <f>IF(COUNTIF('Premade Flavors'!$A:$A, $C173) &gt; 0,_xlfn.XLOOKUP($C173,'Premade Flavors'!$A:$A,'Premade Flavors'!M:M),_xlfn.XLOOKUP("How Strong Do You Want The First Flavor?",[1]Sheet1!$1:$1,[1]Sheet1!173:173))</f>
        <v>0</v>
      </c>
      <c r="N173" s="45">
        <f>IF(COUNTIF('Premade Flavors'!$A:$A, $C173) &gt; 0,_xlfn.XLOOKUP($C173,'Premade Flavors'!$A:$A,'Premade Flavors'!N:N),_xlfn.XLOOKUP("How Strong Do You Want The Second Flavor?",[1]Sheet1!$1:$1,[1]Sheet1!173:173))</f>
        <v>0</v>
      </c>
      <c r="O173" s="45">
        <f>IF(COUNTIF('Premade Flavors'!$A:$A, $C173) &gt; 0,_xlfn.XLOOKUP($C173,'Premade Flavors'!$A:$A,'Premade Flavors'!O:O),_xlfn.XLOOKUP("How Dense Should the Mix Ins Be?",[1]Sheet1!$1:$1,[1]Sheet1!173:173))</f>
        <v>0</v>
      </c>
      <c r="P173" s="45">
        <f>IF(COUNTIF('Premade Flavors'!$A:$A, $C173) &gt; 0,_xlfn.XLOOKUP($C173,'Premade Flavors'!$A:$A,'Premade Flavors'!P:P),_xlfn.XLOOKUP("How Much Of The First Sweetner? ",[1]Sheet1!$1:$1,[1]Sheet1!173:173))</f>
        <v>0</v>
      </c>
      <c r="Q173" s="45">
        <f>IF(COUNTIF('Premade Flavors'!$A:$A, $C173) &gt; 0,_xlfn.XLOOKUP($C173,'Premade Flavors'!$A:$A,'Premade Flavors'!Q:Q),[2]Sheet1!S173)</f>
        <v>0</v>
      </c>
      <c r="R173" s="30">
        <f>(_xlfn.XLOOKUP($L173,Specs!A:A,Specs!B:B,0)-(IF(_xlfn.XLOOKUP($F173,'Liquid Mix In Nutrition'!A:A,'Liquid Mix In Nutrition'!J:J,0)="Yes",0,$T173))-(IF(_xlfn.XLOOKUP($G173,'Liquid Mix In Nutrition'!A:A,'Liquid Mix In Nutrition'!J:J,0)="Yes",0,$U173))-(($V173/MAX(1,_xlfn.XLOOKUP($H173,'Solid Mix In Nutrition'!A:A,'Solid Mix In Nutrition'!I:I,1)))*240)-(($W173/MAX(1,_xlfn.XLOOKUP($I173,'Solid Mix In Nutrition'!A:A,'Solid Mix In Nutrition'!I:I,1)))*240))*0.66</f>
        <v>0</v>
      </c>
      <c r="S173" s="30">
        <f>(_xlfn.XLOOKUP($L173,Specs!A:A,Specs!B:B,0)-(IF(_xlfn.XLOOKUP($F173,'Liquid Mix In Nutrition'!A:A,'Liquid Mix In Nutrition'!J:J,0)="Yes",0,$T173))-(IF(_xlfn.XLOOKUP($G173,'Liquid Mix In Nutrition'!A:A,'Liquid Mix In Nutrition'!J:J,0)="Yes",0,$U173))-(($V173/MAX(1,_xlfn.XLOOKUP($H173,'Solid Mix In Nutrition'!A:A,'Solid Mix In Nutrition'!I:I,1)))*240)-(($W173/MAX(1,_xlfn.XLOOKUP($I173,'Solid Mix In Nutrition'!A:A,'Solid Mix In Nutrition'!I:I,1)))*240))*0.33</f>
        <v>0</v>
      </c>
      <c r="T173" s="30">
        <f>_xlfn.XLOOKUP($M173,Specs!$D:$D,Specs!$E:$E,0)*15*_xlfn.XLOOKUP($L173,Specs!$A:$A,Specs!$C:$C,0)</f>
        <v>0</v>
      </c>
      <c r="U173" s="30">
        <f>_xlfn.XLOOKUP($N173,Specs!$D:$D,Specs!$E:$E,0)*15*_xlfn.XLOOKUP($L173,Specs!$A:$A,Specs!$C:$C,0)</f>
        <v>0</v>
      </c>
      <c r="V173" s="30">
        <f>( ((_xlfn.XLOOKUP($O173,Specs!$H:$H,Specs!$I:$I,0)*_xlfn.XLOOKUP($L173,Specs!$A:$A,Specs!$B:$B,0))/240) *_xlfn.XLOOKUP($H173,'Solid Mix In Nutrition'!A:A,'Solid Mix In Nutrition'!I:I,0)) *IF(AND(NOT($I173=0), COUNTA($I173)),0.5,1)</f>
        <v>0</v>
      </c>
      <c r="W173" s="30">
        <f>( ((_xlfn.XLOOKUP($O173,Specs!$H:$H,Specs!$I:$I,0)*_xlfn.XLOOKUP($L173,Specs!$A:$A,Specs!$B:$B,0))/240) *_xlfn.XLOOKUP($I173,'Solid Mix In Nutrition'!A:A,'Solid Mix In Nutrition'!I:I,0)) *IF(AND(NOT($I173=0), COUNTA($I173)),0.5,0)</f>
        <v>0</v>
      </c>
      <c r="X173" s="30">
        <f>_xlfn.XLOOKUP($P173,Specs!F:F,Specs!G:G,0)*_xlfn.XLOOKUP($J173,'Sweetener Mix In Nutrition'!A:A,'Sweetener Mix In Nutrition'!I:I,0)*_xlfn.XLOOKUP($L173,Specs!A:A,Specs!C:C,0)</f>
        <v>0</v>
      </c>
      <c r="Y173" s="30">
        <f>_xlfn.XLOOKUP($Q173,Specs!F:F,Specs!G:G,0)*_xlfn.XLOOKUP($K173,'Sweetener Mix In Nutrition'!A:A,'Sweetener Mix In Nutrition'!I:I,0)*_xlfn.XLOOKUP($L173,Specs!A:A,Specs!C:C,0)</f>
        <v>0</v>
      </c>
      <c r="Z173" s="34">
        <f t="shared" si="6"/>
        <v>0</v>
      </c>
      <c r="AA173" s="35">
        <f t="shared" si="7"/>
        <v>0</v>
      </c>
      <c r="AB173" s="36">
        <f>(($R173 / 240) * _xlfn.XLOOKUP($D173,'Milk Types Nutrition Per Cup'!A:A,'Milk Types Nutrition Per Cup'!B:B,0)) +(($S173 / 240)  * _xlfn.XLOOKUP($E173,'Milk Types Nutrition Per Cup'!A:A,'Milk Types Nutrition Per Cup'!B:B,0)) +(($T173 / 15)  * _xlfn.XLOOKUP($F173,'Liquid Mix In Nutrition'!A:A,'Liquid Mix In Nutrition'!B:B,0))+(($U173 / 15)  * _xlfn.XLOOKUP($G173,'Liquid Mix In Nutrition'!A:A,'Liquid Mix In Nutrition'!B:B,0))+(($V173 /MAX(1, _xlfn.XLOOKUP($H173,'Solid Mix In Nutrition'!A:A,'Solid Mix In Nutrition'!I:I,1)))  * _xlfn.XLOOKUP($H173,'Solid Mix In Nutrition'!A:A,'Solid Mix In Nutrition'!B:B,0))+(($W173 / MAX(1, _xlfn.XLOOKUP($I173,'Solid Mix In Nutrition'!A:A,'Solid Mix In Nutrition'!I:I,1))))+(($X173 / 100)  * _xlfn.XLOOKUP($J173,'Sweetener Mix In Nutrition'!A:A,'Sweetener Mix In Nutrition'!B:B,0))+(($Y173 / 100)  * _xlfn.XLOOKUP($K173,'Sweetener Mix In Nutrition'!A:A,'Sweetener Mix In Nutrition'!B:B,0))</f>
        <v>0</v>
      </c>
      <c r="AC173" s="36">
        <f>(($R173 / 240) * _xlfn.XLOOKUP($D173,'Milk Types Nutrition Per Cup'!A:A,'Milk Types Nutrition Per Cup'!E:E,0)) +(($S173 / 240)  * _xlfn.XLOOKUP($E173,'Milk Types Nutrition Per Cup'!A:A,'Milk Types Nutrition Per Cup'!E:E,0)) +(($T173 / 15)  * _xlfn.XLOOKUP($F173,'Liquid Mix In Nutrition'!A:A,'Liquid Mix In Nutrition'!E:E,0)) +(($U173 / 15)  * _xlfn.XLOOKUP($G173,'Liquid Mix In Nutrition'!A:A,'Liquid Mix In Nutrition'!E:E,0))+(($V173 / MAX(1, _xlfn.XLOOKUP($H173,'Solid Mix In Nutrition'!A:A,'Solid Mix In Nutrition'!I:I,1)))  * _xlfn.XLOOKUP($H173,'Solid Mix In Nutrition'!A:A,'Solid Mix In Nutrition'!E:E,0))+(($W173 / MAX(1, _xlfn.XLOOKUP($I173,'Solid Mix In Nutrition'!A:A,'Solid Mix In Nutrition'!I:I,1)))  * _xlfn.XLOOKUP($I173,'Solid Mix In Nutrition'!A:A,'Solid Mix In Nutrition'!G:G,0))+(($X173 / 100)  * _xlfn.XLOOKUP($J173,'Sweetener Mix In Nutrition'!A:A,'Sweetener Mix In Nutrition'!E:E,0))+(($Y173 / 100)  * _xlfn.XLOOKUP($K173,'Sweetener Mix In Nutrition'!A:A,'Sweetener Mix In Nutrition'!E:E,0))</f>
        <v>0</v>
      </c>
      <c r="AD173" s="36">
        <f>(($R173 / 240) * _xlfn.XLOOKUP($D173,'Milk Types Nutrition Per Cup'!A:A,'Milk Types Nutrition Per Cup'!E:E,0)) +(($S173 / 240)  * _xlfn.XLOOKUP($E173,'Milk Types Nutrition Per Cup'!A:A,'Milk Types Nutrition Per Cup'!E:E,0)) +(($T173 / 15)  * _xlfn.XLOOKUP($F173,'Liquid Mix In Nutrition'!A:A,'Liquid Mix In Nutrition'!E:E,0)) +(($U173 / 15)  * _xlfn.XLOOKUP($G173,'Liquid Mix In Nutrition'!A:A,'Liquid Mix In Nutrition'!E:E,0))+(($X173 / 100)  * _xlfn.XLOOKUP($J173,'Sweetener Mix In Nutrition'!A:A,'Sweetener Mix In Nutrition'!E:E,0))+(($Y173 / 100)  * _xlfn.XLOOKUP($K173,'Sweetener Mix In Nutrition'!A:A,'Sweetener Mix In Nutrition'!E:E,0))</f>
        <v>0</v>
      </c>
      <c r="AE173" s="37">
        <f>(($R173 / 240) * _xlfn.XLOOKUP($D173,'Milk Types Nutrition Per Cup'!A:A,'Milk Types Nutrition Per Cup'!C:C,0)) +(($S173 / 240)  * _xlfn.XLOOKUP($E173,'Milk Types Nutrition Per Cup'!A:A,'Milk Types Nutrition Per Cup'!C:C,0)) +(($T173 / 15)  * _xlfn.XLOOKUP($F173,'Liquid Mix In Nutrition'!A:A,'Liquid Mix In Nutrition'!C:C,0))+(($U173 / 15)  * _xlfn.XLOOKUP($G173,'Liquid Mix In Nutrition'!A:A,'Liquid Mix In Nutrition'!C:C,0))+(($V173 / MAX(1, _xlfn.XLOOKUP($H173,'Solid Mix In Nutrition'!A:A,'Solid Mix In Nutrition'!I:I,1)))  * _xlfn.XLOOKUP($H173,'Solid Mix In Nutrition'!A:A,'Solid Mix In Nutrition'!C:C,0))+(($W173 / MAX(1, _xlfn.XLOOKUP($I173,'Solid Mix In Nutrition'!A:A,'Solid Mix In Nutrition'!I:I,1)))  * _xlfn.XLOOKUP($I173,'Solid Mix In Nutrition'!A:A,'Solid Mix In Nutrition'!C:C,0))+(($X173 / 100)  * _xlfn.XLOOKUP($J173,'Sweetener Mix In Nutrition'!A:A,'Sweetener Mix In Nutrition'!C:C,0))+(($Y173 / 100)  * _xlfn.XLOOKUP($K173,'Sweetener Mix In Nutrition'!A:A,'Sweetener Mix In Nutrition'!C:C,0))</f>
        <v>0</v>
      </c>
      <c r="AF173" s="38" t="e">
        <f>$AE173 / (_xlfn.XLOOKUP($L173,Specs!A:A,Specs!B:B,0))</f>
        <v>#DIV/0!</v>
      </c>
      <c r="AG173" s="37" t="e">
        <f>60* ($AB173 / _xlfn.XLOOKUP($L173,Specs!A:A,Specs!B:B,0))</f>
        <v>#DIV/0!</v>
      </c>
      <c r="AH173" s="37" t="e">
        <f>60* (AC173 / _xlfn.XLOOKUP($L173,Specs!$A:$A,Specs!$B:$B,0))</f>
        <v>#DIV/0!</v>
      </c>
      <c r="AI173" s="37" t="e">
        <f>60* (AE173 / _xlfn.XLOOKUP($L173,Specs!$A:$A,Specs!$B:$B,0))</f>
        <v>#DIV/0!</v>
      </c>
      <c r="AJ173" s="39">
        <f>(($R173 / 240) * _xlfn.XLOOKUP($D173,'Milk Types Nutrition Per Cup'!A:A,'Milk Types Nutrition Per Cup'!F:F,0)) +(($S173 / 240)  * _xlfn.XLOOKUP($E173,'Milk Types Nutrition Per Cup'!A:A,'Milk Types Nutrition Per Cup'!F:F,0)) +(($T173 / 15)  * _xlfn.XLOOKUP($F173,'Liquid Mix In Nutrition'!A:A,'Liquid Mix In Nutrition'!F:F,0))+(($U173 / 15)  * _xlfn.XLOOKUP($G173,'Liquid Mix In Nutrition'!A:A,'Liquid Mix In Nutrition'!F:F,0))+(($V173 / MAX(1, _xlfn.XLOOKUP($H173,'Solid Mix In Nutrition'!A:A,'Solid Mix In Nutrition'!I:I,1)))  * _xlfn.XLOOKUP($H173,'Solid Mix In Nutrition'!A:A,'Solid Mix In Nutrition'!F:F,0))+(($W173 / MAX(1, _xlfn.XLOOKUP($I173,'Solid Mix In Nutrition'!A:A,'Solid Mix In Nutrition'!I:I,1)))  * _xlfn.XLOOKUP($I173,'Solid Mix In Nutrition'!A:A,'Solid Mix In Nutrition'!F:F,0))+(($X173 / 100)  * _xlfn.XLOOKUP($J173,'Sweetener Mix In Nutrition'!A:A,'Sweetener Mix In Nutrition'!F:F,0))+(($Y173 / 100)  * _xlfn.XLOOKUP($K173,'Sweetener Mix In Nutrition'!A:A,'Sweetener Mix In Nutrition'!F:F,0))</f>
        <v>0</v>
      </c>
      <c r="AK173" s="46">
        <f>[2]Sheet1!AG173</f>
        <v>0</v>
      </c>
      <c r="AL173" s="47"/>
      <c r="AM173" s="40">
        <f>IF(ISERROR(((AL173/Specs!$L$3)*Specs!$L$2)*2),0,ROUNDUP((((AL173/Specs!$L$3)*Specs!$L$2)*2),0))</f>
        <v>0</v>
      </c>
      <c r="AN173" s="48">
        <f>ROUNDUP(((AJ173+Specs!$R$2+Specs!$S$2+_xlfn.XLOOKUP($L173,Specs!A:A,Specs!V:V,0))*Specs!$N$2)+AM173,0)</f>
        <v>1</v>
      </c>
      <c r="AO173" s="40">
        <f>ROUNDUP(((AJ173+Specs!$R$2+Specs!$S$2+_xlfn.XLOOKUP($L173,Specs!A:A,Specs!V:V,0))*Specs!$N$2),0)</f>
        <v>1</v>
      </c>
      <c r="AP173" s="30"/>
    </row>
    <row r="174" spans="1:42" x14ac:dyDescent="0.25">
      <c r="A174" s="41" t="str">
        <f>_xlfn.CONCAT(_xlfn.XLOOKUP("What's Your Name?",[1]Sheet1!$1:$1,[1]Sheet1!174:174)," | ",TEXT(_xlfn.XLOOKUP("Completion time",[1]Sheet1!$1:$1,[1]Sheet1!174:174),"dddd, mmm dd, yyyy hh:mm AM/PM"))</f>
        <v xml:space="preserve"> | Saturday, Jan 00, 1900 12:00 AM</v>
      </c>
      <c r="B174" s="76">
        <f>_xlfn.XLOOKUP("What's Your Email Address?",[1]Sheet1!$1:$1,[1]Sheet1!174:174)</f>
        <v>0</v>
      </c>
      <c r="C174" s="31">
        <f>IF(ISBLANK(_xlfn.XLOOKUP("Which Flavor? (Pint Price | Quart Price | Half Gallon Price) (NOTE: Prices may fluctuate based on market conditions)",[1]Sheet1!$1:$1,[1]Sheet1!174:174)),_xlfn.XLOOKUP("Name Your Ice Cream!",[1]Sheet1!$1:$1,[1]Sheet1!174:174),IF(ISNUMBER(FIND("(", _xlfn.XLOOKUP("Which Flavor? (Pint Price | Quart Price | Half Gallon Price) (NOTE: Prices may fluctuate based on market conditions)",[1]Sheet1!$1:$1,[1]Sheet1!174:174))), LEFT(_xlfn.XLOOKUP("Which Flavor? (Pint Price | Quart Price | Half Gallon Price) (NOTE: Prices may fluctuate based on market conditions)",[1]Sheet1!$1:$1,[1]Sheet1!174:174), FIND("(", _xlfn.XLOOKUP("Which Flavor? (Pint Price | Quart Price | Half Gallon Price) (NOTE: Prices may fluctuate based on market conditions)",[1]Sheet1!$1:$1,[1]Sheet1!174:174)) - 1), _xlfn.XLOOKUP("Which Flavor? (Pint Price | Quart Price | Half Gallon Price) (NOTE: Prices may fluctuate based on market conditions)",[1]Sheet1!$1:$1,[1]Sheet1!174:174)))</f>
        <v>0</v>
      </c>
      <c r="D174" s="31">
        <f>IF(COUNTIF('Premade Flavors'!$A:$A, $C174) &gt; 0,IF(ISBLANK(_xlfn.XLOOKUP("What Ice Cream Base Do You Want To Change It To?",[1]Sheet1!$1:$1,[1]Sheet1!174:174)),_xlfn.XLOOKUP($C174,'Premade Flavors'!$A:$A,'Premade Flavors'!B:B),_xlfn.XLOOKUP("What Ice Cream Base Do You Want To Change It To?",[1]Sheet1!$1:$1,[1]Sheet1!174:174)),_xlfn.XLOOKUP(_xlfn.XLOOKUP("What Kind Of Ice Cream Base Do You Want? ",[1]Sheet1!$1:$1,[1]Sheet1!174:174),'Milk Types Nutrition Per Cup'!O:O,'Milk Types Nutrition Per Cup'!P:P,""))</f>
        <v>0</v>
      </c>
      <c r="E174" s="31">
        <f>IF(COUNTIF('Premade Flavors'!$A:$A, $C174) &gt; 0,IF(ISBLANK(_xlfn.XLOOKUP("What Ice Cream Base Do You Want To Change It To?",[1]Sheet1!$1:$1,[1]Sheet1!174:174)),_xlfn.XLOOKUP($C174,'Premade Flavors'!$A:$A,'Premade Flavors'!C:C),_xlfn.XLOOKUP("What Ice Cream Base Do You Want To Change It To?",[1]Sheet1!$1:$1,[1]Sheet1!174:174)),_xlfn.XLOOKUP(_xlfn.XLOOKUP("What Kind Of Ice Cream Base Do You Want? ",[1]Sheet1!$1:$1,[1]Sheet1!174:174),'Milk Types Nutrition Per Cup'!$O:$O,'Milk Types Nutrition Per Cup'!$Q:$Q,""))</f>
        <v>0</v>
      </c>
      <c r="F174" s="31">
        <f>IF(COUNTIF('Premade Flavors'!$A:$A, $C174) &gt; 0,_xlfn.XLOOKUP($C174,'Premade Flavors'!$A:$A,'Premade Flavors'!E:E),_xlfn.XLOOKUP("What's The First Flavor You Want? ",[1]Sheet1!$1:$1,[1]Sheet1!174:174))</f>
        <v>0</v>
      </c>
      <c r="G174" s="31">
        <f>IF(COUNTIF('Premade Flavors'!$A:$A, $C174) &gt; 0,_xlfn.XLOOKUP($C174,'Premade Flavors'!$A:$A,'Premade Flavors'!F:F),_xlfn.XLOOKUP("What's the Second Flavor You Want?",[1]Sheet1!$1:$1,[1]Sheet1!174:174))</f>
        <v>0</v>
      </c>
      <c r="H174" s="31">
        <f>IF(COUNTIF('Premade Flavors'!$A:$A, $C174) &gt; 0,_xlfn.XLOOKUP($C174,'Premade Flavors'!$A:$A,'Premade Flavors'!G:G),_xlfn.XLOOKUP("What's The First Mix In That You Want? ",[1]Sheet1!$1:$1,[1]Sheet1!174:174))</f>
        <v>0</v>
      </c>
      <c r="I174" s="31">
        <f>IF(COUNTIF('Premade Flavors'!$A:$A, $C172) &gt; 0,_xlfn.XLOOKUP($C172,'Premade Flavors'!$A:$A,'Premade Flavors'!H:H),IF([2]Sheet1!W172= 0,,[2]Sheet1!W172))</f>
        <v>0</v>
      </c>
      <c r="J174" s="31">
        <f>IF(COUNTIF('Premade Flavors'!$A:$A,$C174)&gt;0,IF(_xlfn.XLOOKUP("Should It Use Sugar or A Non-Sugar Sweetner?",[1]Sheet1!$1:$1,[1]Sheet1!174:174)="Sugar",_xlfn.XLOOKUP($C174,'Premade Flavors'!$A:$A,'Premade Flavors'!I:I),"Stevia"),_xlfn.XLOOKUP("What Sweetner Do You Want?",[1]Sheet1!$1:$1,[1]Sheet1!174:174))</f>
        <v>0</v>
      </c>
      <c r="K174" s="31"/>
      <c r="L174" s="77">
        <f>_xlfn.XLOOKUP("How Much Ice Cream Do You Want?",[1]Sheet1!$1:$1,[1]Sheet1!174:174)</f>
        <v>0</v>
      </c>
      <c r="M174" s="45">
        <f>IF(COUNTIF('Premade Flavors'!$A:$A, $C174) &gt; 0,_xlfn.XLOOKUP($C174,'Premade Flavors'!$A:$A,'Premade Flavors'!M:M),_xlfn.XLOOKUP("How Strong Do You Want The First Flavor?",[1]Sheet1!$1:$1,[1]Sheet1!174:174))</f>
        <v>0</v>
      </c>
      <c r="N174" s="45">
        <f>IF(COUNTIF('Premade Flavors'!$A:$A, $C174) &gt; 0,_xlfn.XLOOKUP($C174,'Premade Flavors'!$A:$A,'Premade Flavors'!N:N),_xlfn.XLOOKUP("How Strong Do You Want The Second Flavor?",[1]Sheet1!$1:$1,[1]Sheet1!174:174))</f>
        <v>0</v>
      </c>
      <c r="O174" s="45">
        <f>IF(COUNTIF('Premade Flavors'!$A:$A, $C174) &gt; 0,_xlfn.XLOOKUP($C174,'Premade Flavors'!$A:$A,'Premade Flavors'!O:O),_xlfn.XLOOKUP("How Dense Should the Mix Ins Be?",[1]Sheet1!$1:$1,[1]Sheet1!174:174))</f>
        <v>0</v>
      </c>
      <c r="P174" s="45">
        <f>IF(COUNTIF('Premade Flavors'!$A:$A, $C174) &gt; 0,_xlfn.XLOOKUP($C174,'Premade Flavors'!$A:$A,'Premade Flavors'!P:P),_xlfn.XLOOKUP("How Much Of The First Sweetner? ",[1]Sheet1!$1:$1,[1]Sheet1!174:174))</f>
        <v>0</v>
      </c>
      <c r="Q174" s="45">
        <f>IF(COUNTIF('Premade Flavors'!$A:$A, $C174) &gt; 0,_xlfn.XLOOKUP($C174,'Premade Flavors'!$A:$A,'Premade Flavors'!Q:Q),[2]Sheet1!S174)</f>
        <v>0</v>
      </c>
      <c r="R174" s="30">
        <f>(_xlfn.XLOOKUP($L174,Specs!A:A,Specs!B:B,0)-(IF(_xlfn.XLOOKUP($F174,'Liquid Mix In Nutrition'!A:A,'Liquid Mix In Nutrition'!J:J,0)="Yes",0,$T174))-(IF(_xlfn.XLOOKUP($G174,'Liquid Mix In Nutrition'!A:A,'Liquid Mix In Nutrition'!J:J,0)="Yes",0,$U174))-(($V174/MAX(1,_xlfn.XLOOKUP($H174,'Solid Mix In Nutrition'!A:A,'Solid Mix In Nutrition'!I:I,1)))*240)-(($W174/MAX(1,_xlfn.XLOOKUP($I174,'Solid Mix In Nutrition'!A:A,'Solid Mix In Nutrition'!I:I,1)))*240))*0.66</f>
        <v>0</v>
      </c>
      <c r="S174" s="30">
        <f>(_xlfn.XLOOKUP($L174,Specs!A:A,Specs!B:B,0)-(IF(_xlfn.XLOOKUP($F174,'Liquid Mix In Nutrition'!A:A,'Liquid Mix In Nutrition'!J:J,0)="Yes",0,$T174))-(IF(_xlfn.XLOOKUP($G174,'Liquid Mix In Nutrition'!A:A,'Liquid Mix In Nutrition'!J:J,0)="Yes",0,$U174))-(($V174/MAX(1,_xlfn.XLOOKUP($H174,'Solid Mix In Nutrition'!A:A,'Solid Mix In Nutrition'!I:I,1)))*240)-(($W174/MAX(1,_xlfn.XLOOKUP($I174,'Solid Mix In Nutrition'!A:A,'Solid Mix In Nutrition'!I:I,1)))*240))*0.33</f>
        <v>0</v>
      </c>
      <c r="T174" s="30">
        <f>_xlfn.XLOOKUP($M174,Specs!$D:$D,Specs!$E:$E,0)*15*_xlfn.XLOOKUP($L174,Specs!$A:$A,Specs!$C:$C,0)</f>
        <v>0</v>
      </c>
      <c r="U174" s="30">
        <f>_xlfn.XLOOKUP($N174,Specs!$D:$D,Specs!$E:$E,0)*15*_xlfn.XLOOKUP($L174,Specs!$A:$A,Specs!$C:$C,0)</f>
        <v>0</v>
      </c>
      <c r="V174" s="30">
        <f>( ((_xlfn.XLOOKUP($O174,Specs!$H:$H,Specs!$I:$I,0)*_xlfn.XLOOKUP($L174,Specs!$A:$A,Specs!$B:$B,0))/240) *_xlfn.XLOOKUP($H174,'Solid Mix In Nutrition'!A:A,'Solid Mix In Nutrition'!I:I,0)) *IF(AND(NOT($I174=0), COUNTA($I174)),0.5,1)</f>
        <v>0</v>
      </c>
      <c r="W174" s="30">
        <f>( ((_xlfn.XLOOKUP($O174,Specs!$H:$H,Specs!$I:$I,0)*_xlfn.XLOOKUP($L174,Specs!$A:$A,Specs!$B:$B,0))/240) *_xlfn.XLOOKUP($I174,'Solid Mix In Nutrition'!A:A,'Solid Mix In Nutrition'!I:I,0)) *IF(AND(NOT($I174=0), COUNTA($I174)),0.5,0)</f>
        <v>0</v>
      </c>
      <c r="X174" s="30">
        <f>_xlfn.XLOOKUP($P174,Specs!F:F,Specs!G:G,0)*_xlfn.XLOOKUP($J174,'Sweetener Mix In Nutrition'!A:A,'Sweetener Mix In Nutrition'!I:I,0)*_xlfn.XLOOKUP($L174,Specs!A:A,Specs!C:C,0)</f>
        <v>0</v>
      </c>
      <c r="Y174" s="30">
        <f>_xlfn.XLOOKUP($Q174,Specs!F:F,Specs!G:G,0)*_xlfn.XLOOKUP($K174,'Sweetener Mix In Nutrition'!A:A,'Sweetener Mix In Nutrition'!I:I,0)*_xlfn.XLOOKUP($L174,Specs!A:A,Specs!C:C,0)</f>
        <v>0</v>
      </c>
      <c r="Z174" s="34">
        <f t="shared" si="6"/>
        <v>0</v>
      </c>
      <c r="AA174" s="35">
        <f t="shared" si="7"/>
        <v>0</v>
      </c>
      <c r="AB174" s="36">
        <f>(($R174 / 240) * _xlfn.XLOOKUP($D174,'Milk Types Nutrition Per Cup'!A:A,'Milk Types Nutrition Per Cup'!B:B,0)) +(($S174 / 240)  * _xlfn.XLOOKUP($E174,'Milk Types Nutrition Per Cup'!A:A,'Milk Types Nutrition Per Cup'!B:B,0)) +(($T174 / 15)  * _xlfn.XLOOKUP($F174,'Liquid Mix In Nutrition'!A:A,'Liquid Mix In Nutrition'!B:B,0))+(($U174 / 15)  * _xlfn.XLOOKUP($G174,'Liquid Mix In Nutrition'!A:A,'Liquid Mix In Nutrition'!B:B,0))+(($V174 /MAX(1, _xlfn.XLOOKUP($H174,'Solid Mix In Nutrition'!A:A,'Solid Mix In Nutrition'!I:I,1)))  * _xlfn.XLOOKUP($H174,'Solid Mix In Nutrition'!A:A,'Solid Mix In Nutrition'!B:B,0))+(($W174 / MAX(1, _xlfn.XLOOKUP($I174,'Solid Mix In Nutrition'!A:A,'Solid Mix In Nutrition'!I:I,1))))+(($X174 / 100)  * _xlfn.XLOOKUP($J174,'Sweetener Mix In Nutrition'!A:A,'Sweetener Mix In Nutrition'!B:B,0))+(($Y174 / 100)  * _xlfn.XLOOKUP($K174,'Sweetener Mix In Nutrition'!A:A,'Sweetener Mix In Nutrition'!B:B,0))</f>
        <v>0</v>
      </c>
      <c r="AC174" s="36">
        <f>(($R174 / 240) * _xlfn.XLOOKUP($D174,'Milk Types Nutrition Per Cup'!A:A,'Milk Types Nutrition Per Cup'!E:E,0)) +(($S174 / 240)  * _xlfn.XLOOKUP($E174,'Milk Types Nutrition Per Cup'!A:A,'Milk Types Nutrition Per Cup'!E:E,0)) +(($T174 / 15)  * _xlfn.XLOOKUP($F174,'Liquid Mix In Nutrition'!A:A,'Liquid Mix In Nutrition'!E:E,0)) +(($U174 / 15)  * _xlfn.XLOOKUP($G174,'Liquid Mix In Nutrition'!A:A,'Liquid Mix In Nutrition'!E:E,0))+(($V174 / MAX(1, _xlfn.XLOOKUP($H174,'Solid Mix In Nutrition'!A:A,'Solid Mix In Nutrition'!I:I,1)))  * _xlfn.XLOOKUP($H174,'Solid Mix In Nutrition'!A:A,'Solid Mix In Nutrition'!E:E,0))+(($W174 / MAX(1, _xlfn.XLOOKUP($I174,'Solid Mix In Nutrition'!A:A,'Solid Mix In Nutrition'!I:I,1)))  * _xlfn.XLOOKUP($I174,'Solid Mix In Nutrition'!A:A,'Solid Mix In Nutrition'!G:G,0))+(($X174 / 100)  * _xlfn.XLOOKUP($J174,'Sweetener Mix In Nutrition'!A:A,'Sweetener Mix In Nutrition'!E:E,0))+(($Y174 / 100)  * _xlfn.XLOOKUP($K174,'Sweetener Mix In Nutrition'!A:A,'Sweetener Mix In Nutrition'!E:E,0))</f>
        <v>0</v>
      </c>
      <c r="AD174" s="36">
        <f>(($R174 / 240) * _xlfn.XLOOKUP($D174,'Milk Types Nutrition Per Cup'!A:A,'Milk Types Nutrition Per Cup'!E:E,0)) +(($S174 / 240)  * _xlfn.XLOOKUP($E174,'Milk Types Nutrition Per Cup'!A:A,'Milk Types Nutrition Per Cup'!E:E,0)) +(($T174 / 15)  * _xlfn.XLOOKUP($F174,'Liquid Mix In Nutrition'!A:A,'Liquid Mix In Nutrition'!E:E,0)) +(($U174 / 15)  * _xlfn.XLOOKUP($G174,'Liquid Mix In Nutrition'!A:A,'Liquid Mix In Nutrition'!E:E,0))+(($X174 / 100)  * _xlfn.XLOOKUP($J174,'Sweetener Mix In Nutrition'!A:A,'Sweetener Mix In Nutrition'!E:E,0))+(($Y174 / 100)  * _xlfn.XLOOKUP($K174,'Sweetener Mix In Nutrition'!A:A,'Sweetener Mix In Nutrition'!E:E,0))</f>
        <v>0</v>
      </c>
      <c r="AE174" s="37">
        <f>(($R174 / 240) * _xlfn.XLOOKUP($D174,'Milk Types Nutrition Per Cup'!A:A,'Milk Types Nutrition Per Cup'!C:C,0)) +(($S174 / 240)  * _xlfn.XLOOKUP($E174,'Milk Types Nutrition Per Cup'!A:A,'Milk Types Nutrition Per Cup'!C:C,0)) +(($T174 / 15)  * _xlfn.XLOOKUP($F174,'Liquid Mix In Nutrition'!A:A,'Liquid Mix In Nutrition'!C:C,0))+(($U174 / 15)  * _xlfn.XLOOKUP($G174,'Liquid Mix In Nutrition'!A:A,'Liquid Mix In Nutrition'!C:C,0))+(($V174 / MAX(1, _xlfn.XLOOKUP($H174,'Solid Mix In Nutrition'!A:A,'Solid Mix In Nutrition'!I:I,1)))  * _xlfn.XLOOKUP($H174,'Solid Mix In Nutrition'!A:A,'Solid Mix In Nutrition'!C:C,0))+(($W174 / MAX(1, _xlfn.XLOOKUP($I174,'Solid Mix In Nutrition'!A:A,'Solid Mix In Nutrition'!I:I,1)))  * _xlfn.XLOOKUP($I174,'Solid Mix In Nutrition'!A:A,'Solid Mix In Nutrition'!C:C,0))+(($X174 / 100)  * _xlfn.XLOOKUP($J174,'Sweetener Mix In Nutrition'!A:A,'Sweetener Mix In Nutrition'!C:C,0))+(($Y174 / 100)  * _xlfn.XLOOKUP($K174,'Sweetener Mix In Nutrition'!A:A,'Sweetener Mix In Nutrition'!C:C,0))</f>
        <v>0</v>
      </c>
      <c r="AF174" s="38" t="e">
        <f>$AE174 / (_xlfn.XLOOKUP($L174,Specs!A:A,Specs!B:B,0))</f>
        <v>#DIV/0!</v>
      </c>
      <c r="AG174" s="37" t="e">
        <f>60* ($AB174 / _xlfn.XLOOKUP($L174,Specs!A:A,Specs!B:B,0))</f>
        <v>#DIV/0!</v>
      </c>
      <c r="AH174" s="37" t="e">
        <f>60* (AC174 / _xlfn.XLOOKUP($L174,Specs!$A:$A,Specs!$B:$B,0))</f>
        <v>#DIV/0!</v>
      </c>
      <c r="AI174" s="37" t="e">
        <f>60* (AE174 / _xlfn.XLOOKUP($L174,Specs!$A:$A,Specs!$B:$B,0))</f>
        <v>#DIV/0!</v>
      </c>
      <c r="AJ174" s="39">
        <f>(($R174 / 240) * _xlfn.XLOOKUP($D174,'Milk Types Nutrition Per Cup'!A:A,'Milk Types Nutrition Per Cup'!F:F,0)) +(($S174 / 240)  * _xlfn.XLOOKUP($E174,'Milk Types Nutrition Per Cup'!A:A,'Milk Types Nutrition Per Cup'!F:F,0)) +(($T174 / 15)  * _xlfn.XLOOKUP($F174,'Liquid Mix In Nutrition'!A:A,'Liquid Mix In Nutrition'!F:F,0))+(($U174 / 15)  * _xlfn.XLOOKUP($G174,'Liquid Mix In Nutrition'!A:A,'Liquid Mix In Nutrition'!F:F,0))+(($V174 / MAX(1, _xlfn.XLOOKUP($H174,'Solid Mix In Nutrition'!A:A,'Solid Mix In Nutrition'!I:I,1)))  * _xlfn.XLOOKUP($H174,'Solid Mix In Nutrition'!A:A,'Solid Mix In Nutrition'!F:F,0))+(($W174 / MAX(1, _xlfn.XLOOKUP($I174,'Solid Mix In Nutrition'!A:A,'Solid Mix In Nutrition'!I:I,1)))  * _xlfn.XLOOKUP($I174,'Solid Mix In Nutrition'!A:A,'Solid Mix In Nutrition'!F:F,0))+(($X174 / 100)  * _xlfn.XLOOKUP($J174,'Sweetener Mix In Nutrition'!A:A,'Sweetener Mix In Nutrition'!F:F,0))+(($Y174 / 100)  * _xlfn.XLOOKUP($K174,'Sweetener Mix In Nutrition'!A:A,'Sweetener Mix In Nutrition'!F:F,0))</f>
        <v>0</v>
      </c>
      <c r="AK174" s="46">
        <f>[2]Sheet1!AG174</f>
        <v>0</v>
      </c>
      <c r="AL174" s="47"/>
      <c r="AM174" s="40">
        <f>IF(ISERROR(((AL174/Specs!$L$3)*Specs!$L$2)*2),0,ROUNDUP((((AL174/Specs!$L$3)*Specs!$L$2)*2),0))</f>
        <v>0</v>
      </c>
      <c r="AN174" s="48">
        <f>ROUNDUP(((AJ174+Specs!$R$2+Specs!$S$2+_xlfn.XLOOKUP($L174,Specs!A:A,Specs!V:V,0))*Specs!$N$2)+AM174,0)</f>
        <v>1</v>
      </c>
      <c r="AO174" s="40">
        <f>ROUNDUP(((AJ174+Specs!$R$2+Specs!$S$2+_xlfn.XLOOKUP($L174,Specs!A:A,Specs!V:V,0))*Specs!$N$2),0)</f>
        <v>1</v>
      </c>
      <c r="AP174" s="30"/>
    </row>
    <row r="175" spans="1:42" x14ac:dyDescent="0.25">
      <c r="A175" s="41" t="str">
        <f>_xlfn.CONCAT(_xlfn.XLOOKUP("What's Your Name?",[1]Sheet1!$1:$1,[1]Sheet1!175:175)," | ",TEXT(_xlfn.XLOOKUP("Completion time",[1]Sheet1!$1:$1,[1]Sheet1!175:175),"dddd, mmm dd, yyyy hh:mm AM/PM"))</f>
        <v xml:space="preserve"> | Saturday, Jan 00, 1900 12:00 AM</v>
      </c>
      <c r="B175" s="76">
        <f>_xlfn.XLOOKUP("What's Your Email Address?",[1]Sheet1!$1:$1,[1]Sheet1!175:175)</f>
        <v>0</v>
      </c>
      <c r="C175" s="31">
        <f>IF(ISBLANK(_xlfn.XLOOKUP("Which Flavor? (Pint Price | Quart Price | Half Gallon Price) (NOTE: Prices may fluctuate based on market conditions)",[1]Sheet1!$1:$1,[1]Sheet1!175:175)),_xlfn.XLOOKUP("Name Your Ice Cream!",[1]Sheet1!$1:$1,[1]Sheet1!175:175),IF(ISNUMBER(FIND("(", _xlfn.XLOOKUP("Which Flavor? (Pint Price | Quart Price | Half Gallon Price) (NOTE: Prices may fluctuate based on market conditions)",[1]Sheet1!$1:$1,[1]Sheet1!175:175))), LEFT(_xlfn.XLOOKUP("Which Flavor? (Pint Price | Quart Price | Half Gallon Price) (NOTE: Prices may fluctuate based on market conditions)",[1]Sheet1!$1:$1,[1]Sheet1!175:175), FIND("(", _xlfn.XLOOKUP("Which Flavor? (Pint Price | Quart Price | Half Gallon Price) (NOTE: Prices may fluctuate based on market conditions)",[1]Sheet1!$1:$1,[1]Sheet1!175:175)) - 1), _xlfn.XLOOKUP("Which Flavor? (Pint Price | Quart Price | Half Gallon Price) (NOTE: Prices may fluctuate based on market conditions)",[1]Sheet1!$1:$1,[1]Sheet1!175:175)))</f>
        <v>0</v>
      </c>
      <c r="D175" s="31">
        <f>IF(COUNTIF('Premade Flavors'!$A:$A, $C175) &gt; 0,IF(ISBLANK(_xlfn.XLOOKUP("What Ice Cream Base Do You Want To Change It To?",[1]Sheet1!$1:$1,[1]Sheet1!175:175)),_xlfn.XLOOKUP($C175,'Premade Flavors'!$A:$A,'Premade Flavors'!B:B),_xlfn.XLOOKUP("What Ice Cream Base Do You Want To Change It To?",[1]Sheet1!$1:$1,[1]Sheet1!175:175)),_xlfn.XLOOKUP(_xlfn.XLOOKUP("What Kind Of Ice Cream Base Do You Want? ",[1]Sheet1!$1:$1,[1]Sheet1!175:175),'Milk Types Nutrition Per Cup'!O:O,'Milk Types Nutrition Per Cup'!P:P,""))</f>
        <v>0</v>
      </c>
      <c r="E175" s="31">
        <f>IF(COUNTIF('Premade Flavors'!$A:$A, $C175) &gt; 0,IF(ISBLANK(_xlfn.XLOOKUP("What Ice Cream Base Do You Want To Change It To?",[1]Sheet1!$1:$1,[1]Sheet1!175:175)),_xlfn.XLOOKUP($C175,'Premade Flavors'!$A:$A,'Premade Flavors'!C:C),_xlfn.XLOOKUP("What Ice Cream Base Do You Want To Change It To?",[1]Sheet1!$1:$1,[1]Sheet1!175:175)),_xlfn.XLOOKUP(_xlfn.XLOOKUP("What Kind Of Ice Cream Base Do You Want? ",[1]Sheet1!$1:$1,[1]Sheet1!175:175),'Milk Types Nutrition Per Cup'!$O:$O,'Milk Types Nutrition Per Cup'!$Q:$Q,""))</f>
        <v>0</v>
      </c>
      <c r="F175" s="31">
        <f>IF(COUNTIF('Premade Flavors'!$A:$A, $C175) &gt; 0,_xlfn.XLOOKUP($C175,'Premade Flavors'!$A:$A,'Premade Flavors'!E:E),_xlfn.XLOOKUP("What's The First Flavor You Want? ",[1]Sheet1!$1:$1,[1]Sheet1!175:175))</f>
        <v>0</v>
      </c>
      <c r="G175" s="31">
        <f>IF(COUNTIF('Premade Flavors'!$A:$A, $C175) &gt; 0,_xlfn.XLOOKUP($C175,'Premade Flavors'!$A:$A,'Premade Flavors'!F:F),_xlfn.XLOOKUP("What's the Second Flavor You Want?",[1]Sheet1!$1:$1,[1]Sheet1!175:175))</f>
        <v>0</v>
      </c>
      <c r="H175" s="31">
        <f>IF(COUNTIF('Premade Flavors'!$A:$A, $C175) &gt; 0,_xlfn.XLOOKUP($C175,'Premade Flavors'!$A:$A,'Premade Flavors'!G:G),_xlfn.XLOOKUP("What's The First Mix In That You Want? ",[1]Sheet1!$1:$1,[1]Sheet1!175:175))</f>
        <v>0</v>
      </c>
      <c r="I175" s="31">
        <f>IF(COUNTIF('Premade Flavors'!$A:$A, $C173) &gt; 0,_xlfn.XLOOKUP($C173,'Premade Flavors'!$A:$A,'Premade Flavors'!H:H),IF([2]Sheet1!W173= 0,,[2]Sheet1!W173))</f>
        <v>0</v>
      </c>
      <c r="J175" s="31">
        <f>IF(COUNTIF('Premade Flavors'!$A:$A,$C175)&gt;0,IF(_xlfn.XLOOKUP("Should It Use Sugar or A Non-Sugar Sweetner?",[1]Sheet1!$1:$1,[1]Sheet1!175:175)="Sugar",_xlfn.XLOOKUP($C175,'Premade Flavors'!$A:$A,'Premade Flavors'!I:I),"Stevia"),_xlfn.XLOOKUP("What Sweetner Do You Want?",[1]Sheet1!$1:$1,[1]Sheet1!175:175))</f>
        <v>0</v>
      </c>
      <c r="K175" s="31"/>
      <c r="L175" s="77">
        <f>_xlfn.XLOOKUP("How Much Ice Cream Do You Want?",[1]Sheet1!$1:$1,[1]Sheet1!175:175)</f>
        <v>0</v>
      </c>
      <c r="M175" s="45">
        <f>IF(COUNTIF('Premade Flavors'!$A:$A, $C175) &gt; 0,_xlfn.XLOOKUP($C175,'Premade Flavors'!$A:$A,'Premade Flavors'!M:M),_xlfn.XLOOKUP("How Strong Do You Want The First Flavor?",[1]Sheet1!$1:$1,[1]Sheet1!175:175))</f>
        <v>0</v>
      </c>
      <c r="N175" s="45">
        <f>IF(COUNTIF('Premade Flavors'!$A:$A, $C175) &gt; 0,_xlfn.XLOOKUP($C175,'Premade Flavors'!$A:$A,'Premade Flavors'!N:N),_xlfn.XLOOKUP("How Strong Do You Want The Second Flavor?",[1]Sheet1!$1:$1,[1]Sheet1!175:175))</f>
        <v>0</v>
      </c>
      <c r="O175" s="45">
        <f>IF(COUNTIF('Premade Flavors'!$A:$A, $C175) &gt; 0,_xlfn.XLOOKUP($C175,'Premade Flavors'!$A:$A,'Premade Flavors'!O:O),_xlfn.XLOOKUP("How Dense Should the Mix Ins Be?",[1]Sheet1!$1:$1,[1]Sheet1!175:175))</f>
        <v>0</v>
      </c>
      <c r="P175" s="45">
        <f>IF(COUNTIF('Premade Flavors'!$A:$A, $C175) &gt; 0,_xlfn.XLOOKUP($C175,'Premade Flavors'!$A:$A,'Premade Flavors'!P:P),_xlfn.XLOOKUP("How Much Of The First Sweetner? ",[1]Sheet1!$1:$1,[1]Sheet1!175:175))</f>
        <v>0</v>
      </c>
      <c r="Q175" s="45">
        <f>IF(COUNTIF('Premade Flavors'!$A:$A, $C175) &gt; 0,_xlfn.XLOOKUP($C175,'Premade Flavors'!$A:$A,'Premade Flavors'!Q:Q),[2]Sheet1!S175)</f>
        <v>0</v>
      </c>
      <c r="R175" s="30">
        <f>(_xlfn.XLOOKUP($L175,Specs!A:A,Specs!B:B,0)-(IF(_xlfn.XLOOKUP($F175,'Liquid Mix In Nutrition'!A:A,'Liquid Mix In Nutrition'!J:J,0)="Yes",0,$T175))-(IF(_xlfn.XLOOKUP($G175,'Liquid Mix In Nutrition'!A:A,'Liquid Mix In Nutrition'!J:J,0)="Yes",0,$U175))-(($V175/MAX(1,_xlfn.XLOOKUP($H175,'Solid Mix In Nutrition'!A:A,'Solid Mix In Nutrition'!I:I,1)))*240)-(($W175/MAX(1,_xlfn.XLOOKUP($I175,'Solid Mix In Nutrition'!A:A,'Solid Mix In Nutrition'!I:I,1)))*240))*0.66</f>
        <v>0</v>
      </c>
      <c r="S175" s="30">
        <f>(_xlfn.XLOOKUP($L175,Specs!A:A,Specs!B:B,0)-(IF(_xlfn.XLOOKUP($F175,'Liquid Mix In Nutrition'!A:A,'Liquid Mix In Nutrition'!J:J,0)="Yes",0,$T175))-(IF(_xlfn.XLOOKUP($G175,'Liquid Mix In Nutrition'!A:A,'Liquid Mix In Nutrition'!J:J,0)="Yes",0,$U175))-(($V175/MAX(1,_xlfn.XLOOKUP($H175,'Solid Mix In Nutrition'!A:A,'Solid Mix In Nutrition'!I:I,1)))*240)-(($W175/MAX(1,_xlfn.XLOOKUP($I175,'Solid Mix In Nutrition'!A:A,'Solid Mix In Nutrition'!I:I,1)))*240))*0.33</f>
        <v>0</v>
      </c>
      <c r="T175" s="30">
        <f>_xlfn.XLOOKUP($M175,Specs!$D:$D,Specs!$E:$E,0)*15*_xlfn.XLOOKUP($L175,Specs!$A:$A,Specs!$C:$C,0)</f>
        <v>0</v>
      </c>
      <c r="U175" s="30">
        <f>_xlfn.XLOOKUP($N175,Specs!$D:$D,Specs!$E:$E,0)*15*_xlfn.XLOOKUP($L175,Specs!$A:$A,Specs!$C:$C,0)</f>
        <v>0</v>
      </c>
      <c r="V175" s="30">
        <f>( ((_xlfn.XLOOKUP($O175,Specs!$H:$H,Specs!$I:$I,0)*_xlfn.XLOOKUP($L175,Specs!$A:$A,Specs!$B:$B,0))/240) *_xlfn.XLOOKUP($H175,'Solid Mix In Nutrition'!A:A,'Solid Mix In Nutrition'!I:I,0)) *IF(AND(NOT($I175=0), COUNTA($I175)),0.5,1)</f>
        <v>0</v>
      </c>
      <c r="W175" s="30">
        <f>( ((_xlfn.XLOOKUP($O175,Specs!$H:$H,Specs!$I:$I,0)*_xlfn.XLOOKUP($L175,Specs!$A:$A,Specs!$B:$B,0))/240) *_xlfn.XLOOKUP($I175,'Solid Mix In Nutrition'!A:A,'Solid Mix In Nutrition'!I:I,0)) *IF(AND(NOT($I175=0), COUNTA($I175)),0.5,0)</f>
        <v>0</v>
      </c>
      <c r="X175" s="30">
        <f>_xlfn.XLOOKUP($P175,Specs!F:F,Specs!G:G,0)*_xlfn.XLOOKUP($J175,'Sweetener Mix In Nutrition'!A:A,'Sweetener Mix In Nutrition'!I:I,0)*_xlfn.XLOOKUP($L175,Specs!A:A,Specs!C:C,0)</f>
        <v>0</v>
      </c>
      <c r="Y175" s="30">
        <f>_xlfn.XLOOKUP($Q175,Specs!F:F,Specs!G:G,0)*_xlfn.XLOOKUP($K175,'Sweetener Mix In Nutrition'!A:A,'Sweetener Mix In Nutrition'!I:I,0)*_xlfn.XLOOKUP($L175,Specs!A:A,Specs!C:C,0)</f>
        <v>0</v>
      </c>
      <c r="Z175" s="34">
        <f t="shared" si="6"/>
        <v>0</v>
      </c>
      <c r="AA175" s="35">
        <f t="shared" si="7"/>
        <v>0</v>
      </c>
      <c r="AB175" s="36">
        <f>(($R175 / 240) * _xlfn.XLOOKUP($D175,'Milk Types Nutrition Per Cup'!A:A,'Milk Types Nutrition Per Cup'!B:B,0)) +(($S175 / 240)  * _xlfn.XLOOKUP($E175,'Milk Types Nutrition Per Cup'!A:A,'Milk Types Nutrition Per Cup'!B:B,0)) +(($T175 / 15)  * _xlfn.XLOOKUP($F175,'Liquid Mix In Nutrition'!A:A,'Liquid Mix In Nutrition'!B:B,0))+(($U175 / 15)  * _xlfn.XLOOKUP($G175,'Liquid Mix In Nutrition'!A:A,'Liquid Mix In Nutrition'!B:B,0))+(($V175 /MAX(1, _xlfn.XLOOKUP($H175,'Solid Mix In Nutrition'!A:A,'Solid Mix In Nutrition'!I:I,1)))  * _xlfn.XLOOKUP($H175,'Solid Mix In Nutrition'!A:A,'Solid Mix In Nutrition'!B:B,0))+(($W175 / MAX(1, _xlfn.XLOOKUP($I175,'Solid Mix In Nutrition'!A:A,'Solid Mix In Nutrition'!I:I,1))))+(($X175 / 100)  * _xlfn.XLOOKUP($J175,'Sweetener Mix In Nutrition'!A:A,'Sweetener Mix In Nutrition'!B:B,0))+(($Y175 / 100)  * _xlfn.XLOOKUP($K175,'Sweetener Mix In Nutrition'!A:A,'Sweetener Mix In Nutrition'!B:B,0))</f>
        <v>0</v>
      </c>
      <c r="AC175" s="36">
        <f>(($R175 / 240) * _xlfn.XLOOKUP($D175,'Milk Types Nutrition Per Cup'!A:A,'Milk Types Nutrition Per Cup'!E:E,0)) +(($S175 / 240)  * _xlfn.XLOOKUP($E175,'Milk Types Nutrition Per Cup'!A:A,'Milk Types Nutrition Per Cup'!E:E,0)) +(($T175 / 15)  * _xlfn.XLOOKUP($F175,'Liquid Mix In Nutrition'!A:A,'Liquid Mix In Nutrition'!E:E,0)) +(($U175 / 15)  * _xlfn.XLOOKUP($G175,'Liquid Mix In Nutrition'!A:A,'Liquid Mix In Nutrition'!E:E,0))+(($V175 / MAX(1, _xlfn.XLOOKUP($H175,'Solid Mix In Nutrition'!A:A,'Solid Mix In Nutrition'!I:I,1)))  * _xlfn.XLOOKUP($H175,'Solid Mix In Nutrition'!A:A,'Solid Mix In Nutrition'!E:E,0))+(($W175 / MAX(1, _xlfn.XLOOKUP($I175,'Solid Mix In Nutrition'!A:A,'Solid Mix In Nutrition'!I:I,1)))  * _xlfn.XLOOKUP($I175,'Solid Mix In Nutrition'!A:A,'Solid Mix In Nutrition'!G:G,0))+(($X175 / 100)  * _xlfn.XLOOKUP($J175,'Sweetener Mix In Nutrition'!A:A,'Sweetener Mix In Nutrition'!E:E,0))+(($Y175 / 100)  * _xlfn.XLOOKUP($K175,'Sweetener Mix In Nutrition'!A:A,'Sweetener Mix In Nutrition'!E:E,0))</f>
        <v>0</v>
      </c>
      <c r="AD175" s="36">
        <f>(($R175 / 240) * _xlfn.XLOOKUP($D175,'Milk Types Nutrition Per Cup'!A:A,'Milk Types Nutrition Per Cup'!E:E,0)) +(($S175 / 240)  * _xlfn.XLOOKUP($E175,'Milk Types Nutrition Per Cup'!A:A,'Milk Types Nutrition Per Cup'!E:E,0)) +(($T175 / 15)  * _xlfn.XLOOKUP($F175,'Liquid Mix In Nutrition'!A:A,'Liquid Mix In Nutrition'!E:E,0)) +(($U175 / 15)  * _xlfn.XLOOKUP($G175,'Liquid Mix In Nutrition'!A:A,'Liquid Mix In Nutrition'!E:E,0))+(($X175 / 100)  * _xlfn.XLOOKUP($J175,'Sweetener Mix In Nutrition'!A:A,'Sweetener Mix In Nutrition'!E:E,0))+(($Y175 / 100)  * _xlfn.XLOOKUP($K175,'Sweetener Mix In Nutrition'!A:A,'Sweetener Mix In Nutrition'!E:E,0))</f>
        <v>0</v>
      </c>
      <c r="AE175" s="37">
        <f>(($R175 / 240) * _xlfn.XLOOKUP($D175,'Milk Types Nutrition Per Cup'!A:A,'Milk Types Nutrition Per Cup'!C:C,0)) +(($S175 / 240)  * _xlfn.XLOOKUP($E175,'Milk Types Nutrition Per Cup'!A:A,'Milk Types Nutrition Per Cup'!C:C,0)) +(($T175 / 15)  * _xlfn.XLOOKUP($F175,'Liquid Mix In Nutrition'!A:A,'Liquid Mix In Nutrition'!C:C,0))+(($U175 / 15)  * _xlfn.XLOOKUP($G175,'Liquid Mix In Nutrition'!A:A,'Liquid Mix In Nutrition'!C:C,0))+(($V175 / MAX(1, _xlfn.XLOOKUP($H175,'Solid Mix In Nutrition'!A:A,'Solid Mix In Nutrition'!I:I,1)))  * _xlfn.XLOOKUP($H175,'Solid Mix In Nutrition'!A:A,'Solid Mix In Nutrition'!C:C,0))+(($W175 / MAX(1, _xlfn.XLOOKUP($I175,'Solid Mix In Nutrition'!A:A,'Solid Mix In Nutrition'!I:I,1)))  * _xlfn.XLOOKUP($I175,'Solid Mix In Nutrition'!A:A,'Solid Mix In Nutrition'!C:C,0))+(($X175 / 100)  * _xlfn.XLOOKUP($J175,'Sweetener Mix In Nutrition'!A:A,'Sweetener Mix In Nutrition'!C:C,0))+(($Y175 / 100)  * _xlfn.XLOOKUP($K175,'Sweetener Mix In Nutrition'!A:A,'Sweetener Mix In Nutrition'!C:C,0))</f>
        <v>0</v>
      </c>
      <c r="AF175" s="38" t="e">
        <f>$AE175 / (_xlfn.XLOOKUP($L175,Specs!A:A,Specs!B:B,0))</f>
        <v>#DIV/0!</v>
      </c>
      <c r="AG175" s="37" t="e">
        <f>60* ($AB175 / _xlfn.XLOOKUP($L175,Specs!A:A,Specs!B:B,0))</f>
        <v>#DIV/0!</v>
      </c>
      <c r="AH175" s="37" t="e">
        <f>60* (AC175 / _xlfn.XLOOKUP($L175,Specs!$A:$A,Specs!$B:$B,0))</f>
        <v>#DIV/0!</v>
      </c>
      <c r="AI175" s="37" t="e">
        <f>60* (AE175 / _xlfn.XLOOKUP($L175,Specs!$A:$A,Specs!$B:$B,0))</f>
        <v>#DIV/0!</v>
      </c>
      <c r="AJ175" s="39">
        <f>(($R175 / 240) * _xlfn.XLOOKUP($D175,'Milk Types Nutrition Per Cup'!A:A,'Milk Types Nutrition Per Cup'!F:F,0)) +(($S175 / 240)  * _xlfn.XLOOKUP($E175,'Milk Types Nutrition Per Cup'!A:A,'Milk Types Nutrition Per Cup'!F:F,0)) +(($T175 / 15)  * _xlfn.XLOOKUP($F175,'Liquid Mix In Nutrition'!A:A,'Liquid Mix In Nutrition'!F:F,0))+(($U175 / 15)  * _xlfn.XLOOKUP($G175,'Liquid Mix In Nutrition'!A:A,'Liquid Mix In Nutrition'!F:F,0))+(($V175 / MAX(1, _xlfn.XLOOKUP($H175,'Solid Mix In Nutrition'!A:A,'Solid Mix In Nutrition'!I:I,1)))  * _xlfn.XLOOKUP($H175,'Solid Mix In Nutrition'!A:A,'Solid Mix In Nutrition'!F:F,0))+(($W175 / MAX(1, _xlfn.XLOOKUP($I175,'Solid Mix In Nutrition'!A:A,'Solid Mix In Nutrition'!I:I,1)))  * _xlfn.XLOOKUP($I175,'Solid Mix In Nutrition'!A:A,'Solid Mix In Nutrition'!F:F,0))+(($X175 / 100)  * _xlfn.XLOOKUP($J175,'Sweetener Mix In Nutrition'!A:A,'Sweetener Mix In Nutrition'!F:F,0))+(($Y175 / 100)  * _xlfn.XLOOKUP($K175,'Sweetener Mix In Nutrition'!A:A,'Sweetener Mix In Nutrition'!F:F,0))</f>
        <v>0</v>
      </c>
      <c r="AK175" s="46">
        <f>[2]Sheet1!AG175</f>
        <v>0</v>
      </c>
      <c r="AL175" s="47"/>
      <c r="AM175" s="40">
        <f>IF(ISERROR(((AL175/Specs!$L$3)*Specs!$L$2)*2),0,ROUNDUP((((AL175/Specs!$L$3)*Specs!$L$2)*2),0))</f>
        <v>0</v>
      </c>
      <c r="AN175" s="48">
        <f>ROUNDUP(((AJ175+Specs!$R$2+Specs!$S$2+_xlfn.XLOOKUP($L175,Specs!A:A,Specs!V:V,0))*Specs!$N$2)+AM175,0)</f>
        <v>1</v>
      </c>
      <c r="AO175" s="40">
        <f>ROUNDUP(((AJ175+Specs!$R$2+Specs!$S$2+_xlfn.XLOOKUP($L175,Specs!A:A,Specs!V:V,0))*Specs!$N$2),0)</f>
        <v>1</v>
      </c>
      <c r="AP175" s="30"/>
    </row>
    <row r="176" spans="1:42" x14ac:dyDescent="0.25">
      <c r="A176" s="41" t="str">
        <f>_xlfn.CONCAT(_xlfn.XLOOKUP("What's Your Name?",[1]Sheet1!$1:$1,[1]Sheet1!176:176)," | ",TEXT(_xlfn.XLOOKUP("Completion time",[1]Sheet1!$1:$1,[1]Sheet1!176:176),"dddd, mmm dd, yyyy hh:mm AM/PM"))</f>
        <v xml:space="preserve"> | Saturday, Jan 00, 1900 12:00 AM</v>
      </c>
      <c r="B176" s="76">
        <f>_xlfn.XLOOKUP("What's Your Email Address?",[1]Sheet1!$1:$1,[1]Sheet1!176:176)</f>
        <v>0</v>
      </c>
      <c r="C176" s="31">
        <f>IF(ISBLANK(_xlfn.XLOOKUP("Which Flavor? (Pint Price | Quart Price | Half Gallon Price) (NOTE: Prices may fluctuate based on market conditions)",[1]Sheet1!$1:$1,[1]Sheet1!176:176)),_xlfn.XLOOKUP("Name Your Ice Cream!",[1]Sheet1!$1:$1,[1]Sheet1!176:176),IF(ISNUMBER(FIND("(", _xlfn.XLOOKUP("Which Flavor? (Pint Price | Quart Price | Half Gallon Price) (NOTE: Prices may fluctuate based on market conditions)",[1]Sheet1!$1:$1,[1]Sheet1!176:176))), LEFT(_xlfn.XLOOKUP("Which Flavor? (Pint Price | Quart Price | Half Gallon Price) (NOTE: Prices may fluctuate based on market conditions)",[1]Sheet1!$1:$1,[1]Sheet1!176:176), FIND("(", _xlfn.XLOOKUP("Which Flavor? (Pint Price | Quart Price | Half Gallon Price) (NOTE: Prices may fluctuate based on market conditions)",[1]Sheet1!$1:$1,[1]Sheet1!176:176)) - 1), _xlfn.XLOOKUP("Which Flavor? (Pint Price | Quart Price | Half Gallon Price) (NOTE: Prices may fluctuate based on market conditions)",[1]Sheet1!$1:$1,[1]Sheet1!176:176)))</f>
        <v>0</v>
      </c>
      <c r="D176" s="31">
        <f>IF(COUNTIF('Premade Flavors'!$A:$A, $C176) &gt; 0,IF(ISBLANK(_xlfn.XLOOKUP("What Ice Cream Base Do You Want To Change It To?",[1]Sheet1!$1:$1,[1]Sheet1!176:176)),_xlfn.XLOOKUP($C176,'Premade Flavors'!$A:$A,'Premade Flavors'!B:B),_xlfn.XLOOKUP("What Ice Cream Base Do You Want To Change It To?",[1]Sheet1!$1:$1,[1]Sheet1!176:176)),_xlfn.XLOOKUP(_xlfn.XLOOKUP("What Kind Of Ice Cream Base Do You Want? ",[1]Sheet1!$1:$1,[1]Sheet1!176:176),'Milk Types Nutrition Per Cup'!O:O,'Milk Types Nutrition Per Cup'!P:P,""))</f>
        <v>0</v>
      </c>
      <c r="E176" s="31">
        <f>IF(COUNTIF('Premade Flavors'!$A:$A, $C176) &gt; 0,IF(ISBLANK(_xlfn.XLOOKUP("What Ice Cream Base Do You Want To Change It To?",[1]Sheet1!$1:$1,[1]Sheet1!176:176)),_xlfn.XLOOKUP($C176,'Premade Flavors'!$A:$A,'Premade Flavors'!C:C),_xlfn.XLOOKUP("What Ice Cream Base Do You Want To Change It To?",[1]Sheet1!$1:$1,[1]Sheet1!176:176)),_xlfn.XLOOKUP(_xlfn.XLOOKUP("What Kind Of Ice Cream Base Do You Want? ",[1]Sheet1!$1:$1,[1]Sheet1!176:176),'Milk Types Nutrition Per Cup'!$O:$O,'Milk Types Nutrition Per Cup'!$Q:$Q,""))</f>
        <v>0</v>
      </c>
      <c r="F176" s="31">
        <f>IF(COUNTIF('Premade Flavors'!$A:$A, $C176) &gt; 0,_xlfn.XLOOKUP($C176,'Premade Flavors'!$A:$A,'Premade Flavors'!E:E),_xlfn.XLOOKUP("What's The First Flavor You Want? ",[1]Sheet1!$1:$1,[1]Sheet1!176:176))</f>
        <v>0</v>
      </c>
      <c r="G176" s="31">
        <f>IF(COUNTIF('Premade Flavors'!$A:$A, $C176) &gt; 0,_xlfn.XLOOKUP($C176,'Premade Flavors'!$A:$A,'Premade Flavors'!F:F),_xlfn.XLOOKUP("What's the Second Flavor You Want?",[1]Sheet1!$1:$1,[1]Sheet1!176:176))</f>
        <v>0</v>
      </c>
      <c r="H176" s="31">
        <f>IF(COUNTIF('Premade Flavors'!$A:$A, $C176) &gt; 0,_xlfn.XLOOKUP($C176,'Premade Flavors'!$A:$A,'Premade Flavors'!G:G),_xlfn.XLOOKUP("What's The First Mix In That You Want? ",[1]Sheet1!$1:$1,[1]Sheet1!176:176))</f>
        <v>0</v>
      </c>
      <c r="I176" s="31">
        <f>IF(COUNTIF('Premade Flavors'!$A:$A, $C174) &gt; 0,_xlfn.XLOOKUP($C174,'Premade Flavors'!$A:$A,'Premade Flavors'!H:H),IF([2]Sheet1!W174= 0,,[2]Sheet1!W174))</f>
        <v>0</v>
      </c>
      <c r="J176" s="31">
        <f>IF(COUNTIF('Premade Flavors'!$A:$A,$C176)&gt;0,IF(_xlfn.XLOOKUP("Should It Use Sugar or A Non-Sugar Sweetner?",[1]Sheet1!$1:$1,[1]Sheet1!176:176)="Sugar",_xlfn.XLOOKUP($C176,'Premade Flavors'!$A:$A,'Premade Flavors'!I:I),"Stevia"),_xlfn.XLOOKUP("What Sweetner Do You Want?",[1]Sheet1!$1:$1,[1]Sheet1!176:176))</f>
        <v>0</v>
      </c>
      <c r="K176" s="31"/>
      <c r="L176" s="77">
        <f>_xlfn.XLOOKUP("How Much Ice Cream Do You Want?",[1]Sheet1!$1:$1,[1]Sheet1!176:176)</f>
        <v>0</v>
      </c>
      <c r="M176" s="45">
        <f>IF(COUNTIF('Premade Flavors'!$A:$A, $C176) &gt; 0,_xlfn.XLOOKUP($C176,'Premade Flavors'!$A:$A,'Premade Flavors'!M:M),_xlfn.XLOOKUP("How Strong Do You Want The First Flavor?",[1]Sheet1!$1:$1,[1]Sheet1!176:176))</f>
        <v>0</v>
      </c>
      <c r="N176" s="45">
        <f>IF(COUNTIF('Premade Flavors'!$A:$A, $C176) &gt; 0,_xlfn.XLOOKUP($C176,'Premade Flavors'!$A:$A,'Premade Flavors'!N:N),_xlfn.XLOOKUP("How Strong Do You Want The Second Flavor?",[1]Sheet1!$1:$1,[1]Sheet1!176:176))</f>
        <v>0</v>
      </c>
      <c r="O176" s="45">
        <f>IF(COUNTIF('Premade Flavors'!$A:$A, $C176) &gt; 0,_xlfn.XLOOKUP($C176,'Premade Flavors'!$A:$A,'Premade Flavors'!O:O),_xlfn.XLOOKUP("How Dense Should the Mix Ins Be?",[1]Sheet1!$1:$1,[1]Sheet1!176:176))</f>
        <v>0</v>
      </c>
      <c r="P176" s="45">
        <f>IF(COUNTIF('Premade Flavors'!$A:$A, $C176) &gt; 0,_xlfn.XLOOKUP($C176,'Premade Flavors'!$A:$A,'Premade Flavors'!P:P),_xlfn.XLOOKUP("How Much Of The First Sweetner? ",[1]Sheet1!$1:$1,[1]Sheet1!176:176))</f>
        <v>0</v>
      </c>
      <c r="Q176" s="45">
        <f>IF(COUNTIF('Premade Flavors'!$A:$A, $C176) &gt; 0,_xlfn.XLOOKUP($C176,'Premade Flavors'!$A:$A,'Premade Flavors'!Q:Q),[2]Sheet1!S176)</f>
        <v>0</v>
      </c>
      <c r="R176" s="30">
        <f>(_xlfn.XLOOKUP($L176,Specs!A:A,Specs!B:B,0)-(IF(_xlfn.XLOOKUP($F176,'Liquid Mix In Nutrition'!A:A,'Liquid Mix In Nutrition'!J:J,0)="Yes",0,$T176))-(IF(_xlfn.XLOOKUP($G176,'Liquid Mix In Nutrition'!A:A,'Liquid Mix In Nutrition'!J:J,0)="Yes",0,$U176))-(($V176/MAX(1,_xlfn.XLOOKUP($H176,'Solid Mix In Nutrition'!A:A,'Solid Mix In Nutrition'!I:I,1)))*240)-(($W176/MAX(1,_xlfn.XLOOKUP($I176,'Solid Mix In Nutrition'!A:A,'Solid Mix In Nutrition'!I:I,1)))*240))*0.66</f>
        <v>0</v>
      </c>
      <c r="S176" s="30">
        <f>(_xlfn.XLOOKUP($L176,Specs!A:A,Specs!B:B,0)-(IF(_xlfn.XLOOKUP($F176,'Liquid Mix In Nutrition'!A:A,'Liquid Mix In Nutrition'!J:J,0)="Yes",0,$T176))-(IF(_xlfn.XLOOKUP($G176,'Liquid Mix In Nutrition'!A:A,'Liquid Mix In Nutrition'!J:J,0)="Yes",0,$U176))-(($V176/MAX(1,_xlfn.XLOOKUP($H176,'Solid Mix In Nutrition'!A:A,'Solid Mix In Nutrition'!I:I,1)))*240)-(($W176/MAX(1,_xlfn.XLOOKUP($I176,'Solid Mix In Nutrition'!A:A,'Solid Mix In Nutrition'!I:I,1)))*240))*0.33</f>
        <v>0</v>
      </c>
      <c r="T176" s="30">
        <f>_xlfn.XLOOKUP($M176,Specs!$D:$D,Specs!$E:$E,0)*15*_xlfn.XLOOKUP($L176,Specs!$A:$A,Specs!$C:$C,0)</f>
        <v>0</v>
      </c>
      <c r="U176" s="30">
        <f>_xlfn.XLOOKUP($N176,Specs!$D:$D,Specs!$E:$E,0)*15*_xlfn.XLOOKUP($L176,Specs!$A:$A,Specs!$C:$C,0)</f>
        <v>0</v>
      </c>
      <c r="V176" s="30">
        <f>( ((_xlfn.XLOOKUP($O176,Specs!$H:$H,Specs!$I:$I,0)*_xlfn.XLOOKUP($L176,Specs!$A:$A,Specs!$B:$B,0))/240) *_xlfn.XLOOKUP($H176,'Solid Mix In Nutrition'!A:A,'Solid Mix In Nutrition'!I:I,0)) *IF(AND(NOT($I176=0), COUNTA($I176)),0.5,1)</f>
        <v>0</v>
      </c>
      <c r="W176" s="30">
        <f>( ((_xlfn.XLOOKUP($O176,Specs!$H:$H,Specs!$I:$I,0)*_xlfn.XLOOKUP($L176,Specs!$A:$A,Specs!$B:$B,0))/240) *_xlfn.XLOOKUP($I176,'Solid Mix In Nutrition'!A:A,'Solid Mix In Nutrition'!I:I,0)) *IF(AND(NOT($I176=0), COUNTA($I176)),0.5,0)</f>
        <v>0</v>
      </c>
      <c r="X176" s="30">
        <f>_xlfn.XLOOKUP($P176,Specs!F:F,Specs!G:G,0)*_xlfn.XLOOKUP($J176,'Sweetener Mix In Nutrition'!A:A,'Sweetener Mix In Nutrition'!I:I,0)*_xlfn.XLOOKUP($L176,Specs!A:A,Specs!C:C,0)</f>
        <v>0</v>
      </c>
      <c r="Y176" s="30">
        <f>_xlfn.XLOOKUP($Q176,Specs!F:F,Specs!G:G,0)*_xlfn.XLOOKUP($K176,'Sweetener Mix In Nutrition'!A:A,'Sweetener Mix In Nutrition'!I:I,0)*_xlfn.XLOOKUP($L176,Specs!A:A,Specs!C:C,0)</f>
        <v>0</v>
      </c>
      <c r="Z176" s="34">
        <f t="shared" si="6"/>
        <v>0</v>
      </c>
      <c r="AA176" s="35">
        <f t="shared" si="7"/>
        <v>0</v>
      </c>
      <c r="AB176" s="36">
        <f>(($R176 / 240) * _xlfn.XLOOKUP($D176,'Milk Types Nutrition Per Cup'!A:A,'Milk Types Nutrition Per Cup'!B:B,0)) +(($S176 / 240)  * _xlfn.XLOOKUP($E176,'Milk Types Nutrition Per Cup'!A:A,'Milk Types Nutrition Per Cup'!B:B,0)) +(($T176 / 15)  * _xlfn.XLOOKUP($F176,'Liquid Mix In Nutrition'!A:A,'Liquid Mix In Nutrition'!B:B,0))+(($U176 / 15)  * _xlfn.XLOOKUP($G176,'Liquid Mix In Nutrition'!A:A,'Liquid Mix In Nutrition'!B:B,0))+(($V176 /MAX(1, _xlfn.XLOOKUP($H176,'Solid Mix In Nutrition'!A:A,'Solid Mix In Nutrition'!I:I,1)))  * _xlfn.XLOOKUP($H176,'Solid Mix In Nutrition'!A:A,'Solid Mix In Nutrition'!B:B,0))+(($W176 / MAX(1, _xlfn.XLOOKUP($I176,'Solid Mix In Nutrition'!A:A,'Solid Mix In Nutrition'!I:I,1))))+(($X176 / 100)  * _xlfn.XLOOKUP($J176,'Sweetener Mix In Nutrition'!A:A,'Sweetener Mix In Nutrition'!B:B,0))+(($Y176 / 100)  * _xlfn.XLOOKUP($K176,'Sweetener Mix In Nutrition'!A:A,'Sweetener Mix In Nutrition'!B:B,0))</f>
        <v>0</v>
      </c>
      <c r="AC176" s="36">
        <f>(($R176 / 240) * _xlfn.XLOOKUP($D176,'Milk Types Nutrition Per Cup'!A:A,'Milk Types Nutrition Per Cup'!E:E,0)) +(($S176 / 240)  * _xlfn.XLOOKUP($E176,'Milk Types Nutrition Per Cup'!A:A,'Milk Types Nutrition Per Cup'!E:E,0)) +(($T176 / 15)  * _xlfn.XLOOKUP($F176,'Liquid Mix In Nutrition'!A:A,'Liquid Mix In Nutrition'!E:E,0)) +(($U176 / 15)  * _xlfn.XLOOKUP($G176,'Liquid Mix In Nutrition'!A:A,'Liquid Mix In Nutrition'!E:E,0))+(($V176 / MAX(1, _xlfn.XLOOKUP($H176,'Solid Mix In Nutrition'!A:A,'Solid Mix In Nutrition'!I:I,1)))  * _xlfn.XLOOKUP($H176,'Solid Mix In Nutrition'!A:A,'Solid Mix In Nutrition'!E:E,0))+(($W176 / MAX(1, _xlfn.XLOOKUP($I176,'Solid Mix In Nutrition'!A:A,'Solid Mix In Nutrition'!I:I,1)))  * _xlfn.XLOOKUP($I176,'Solid Mix In Nutrition'!A:A,'Solid Mix In Nutrition'!G:G,0))+(($X176 / 100)  * _xlfn.XLOOKUP($J176,'Sweetener Mix In Nutrition'!A:A,'Sweetener Mix In Nutrition'!E:E,0))+(($Y176 / 100)  * _xlfn.XLOOKUP($K176,'Sweetener Mix In Nutrition'!A:A,'Sweetener Mix In Nutrition'!E:E,0))</f>
        <v>0</v>
      </c>
      <c r="AD176" s="36">
        <f>(($R176 / 240) * _xlfn.XLOOKUP($D176,'Milk Types Nutrition Per Cup'!A:A,'Milk Types Nutrition Per Cup'!E:E,0)) +(($S176 / 240)  * _xlfn.XLOOKUP($E176,'Milk Types Nutrition Per Cup'!A:A,'Milk Types Nutrition Per Cup'!E:E,0)) +(($T176 / 15)  * _xlfn.XLOOKUP($F176,'Liquid Mix In Nutrition'!A:A,'Liquid Mix In Nutrition'!E:E,0)) +(($U176 / 15)  * _xlfn.XLOOKUP($G176,'Liquid Mix In Nutrition'!A:A,'Liquid Mix In Nutrition'!E:E,0))+(($X176 / 100)  * _xlfn.XLOOKUP($J176,'Sweetener Mix In Nutrition'!A:A,'Sweetener Mix In Nutrition'!E:E,0))+(($Y176 / 100)  * _xlfn.XLOOKUP($K176,'Sweetener Mix In Nutrition'!A:A,'Sweetener Mix In Nutrition'!E:E,0))</f>
        <v>0</v>
      </c>
      <c r="AE176" s="37">
        <f>(($R176 / 240) * _xlfn.XLOOKUP($D176,'Milk Types Nutrition Per Cup'!A:A,'Milk Types Nutrition Per Cup'!C:C,0)) +(($S176 / 240)  * _xlfn.XLOOKUP($E176,'Milk Types Nutrition Per Cup'!A:A,'Milk Types Nutrition Per Cup'!C:C,0)) +(($T176 / 15)  * _xlfn.XLOOKUP($F176,'Liquid Mix In Nutrition'!A:A,'Liquid Mix In Nutrition'!C:C,0))+(($U176 / 15)  * _xlfn.XLOOKUP($G176,'Liquid Mix In Nutrition'!A:A,'Liquid Mix In Nutrition'!C:C,0))+(($V176 / MAX(1, _xlfn.XLOOKUP($H176,'Solid Mix In Nutrition'!A:A,'Solid Mix In Nutrition'!I:I,1)))  * _xlfn.XLOOKUP($H176,'Solid Mix In Nutrition'!A:A,'Solid Mix In Nutrition'!C:C,0))+(($W176 / MAX(1, _xlfn.XLOOKUP($I176,'Solid Mix In Nutrition'!A:A,'Solid Mix In Nutrition'!I:I,1)))  * _xlfn.XLOOKUP($I176,'Solid Mix In Nutrition'!A:A,'Solid Mix In Nutrition'!C:C,0))+(($X176 / 100)  * _xlfn.XLOOKUP($J176,'Sweetener Mix In Nutrition'!A:A,'Sweetener Mix In Nutrition'!C:C,0))+(($Y176 / 100)  * _xlfn.XLOOKUP($K176,'Sweetener Mix In Nutrition'!A:A,'Sweetener Mix In Nutrition'!C:C,0))</f>
        <v>0</v>
      </c>
      <c r="AF176" s="38" t="e">
        <f>$AE176 / (_xlfn.XLOOKUP($L176,Specs!A:A,Specs!B:B,0))</f>
        <v>#DIV/0!</v>
      </c>
      <c r="AG176" s="37" t="e">
        <f>60* ($AB176 / _xlfn.XLOOKUP($L176,Specs!A:A,Specs!B:B,0))</f>
        <v>#DIV/0!</v>
      </c>
      <c r="AH176" s="37" t="e">
        <f>60* (AC176 / _xlfn.XLOOKUP($L176,Specs!$A:$A,Specs!$B:$B,0))</f>
        <v>#DIV/0!</v>
      </c>
      <c r="AI176" s="37" t="e">
        <f>60* (AE176 / _xlfn.XLOOKUP($L176,Specs!$A:$A,Specs!$B:$B,0))</f>
        <v>#DIV/0!</v>
      </c>
      <c r="AJ176" s="39">
        <f>(($R176 / 240) * _xlfn.XLOOKUP($D176,'Milk Types Nutrition Per Cup'!A:A,'Milk Types Nutrition Per Cup'!F:F,0)) +(($S176 / 240)  * _xlfn.XLOOKUP($E176,'Milk Types Nutrition Per Cup'!A:A,'Milk Types Nutrition Per Cup'!F:F,0)) +(($T176 / 15)  * _xlfn.XLOOKUP($F176,'Liquid Mix In Nutrition'!A:A,'Liquid Mix In Nutrition'!F:F,0))+(($U176 / 15)  * _xlfn.XLOOKUP($G176,'Liquid Mix In Nutrition'!A:A,'Liquid Mix In Nutrition'!F:F,0))+(($V176 / MAX(1, _xlfn.XLOOKUP($H176,'Solid Mix In Nutrition'!A:A,'Solid Mix In Nutrition'!I:I,1)))  * _xlfn.XLOOKUP($H176,'Solid Mix In Nutrition'!A:A,'Solid Mix In Nutrition'!F:F,0))+(($W176 / MAX(1, _xlfn.XLOOKUP($I176,'Solid Mix In Nutrition'!A:A,'Solid Mix In Nutrition'!I:I,1)))  * _xlfn.XLOOKUP($I176,'Solid Mix In Nutrition'!A:A,'Solid Mix In Nutrition'!F:F,0))+(($X176 / 100)  * _xlfn.XLOOKUP($J176,'Sweetener Mix In Nutrition'!A:A,'Sweetener Mix In Nutrition'!F:F,0))+(($Y176 / 100)  * _xlfn.XLOOKUP($K176,'Sweetener Mix In Nutrition'!A:A,'Sweetener Mix In Nutrition'!F:F,0))</f>
        <v>0</v>
      </c>
      <c r="AK176" s="46">
        <f>[2]Sheet1!AG176</f>
        <v>0</v>
      </c>
      <c r="AL176" s="47"/>
      <c r="AM176" s="40">
        <f>IF(ISERROR(((AL176/Specs!$L$3)*Specs!$L$2)*2),0,ROUNDUP((((AL176/Specs!$L$3)*Specs!$L$2)*2),0))</f>
        <v>0</v>
      </c>
      <c r="AN176" s="48">
        <f>ROUNDUP(((AJ176+Specs!$R$2+Specs!$S$2+_xlfn.XLOOKUP($L176,Specs!A:A,Specs!V:V,0))*Specs!$N$2)+AM176,0)</f>
        <v>1</v>
      </c>
      <c r="AO176" s="40">
        <f>ROUNDUP(((AJ176+Specs!$R$2+Specs!$S$2+_xlfn.XLOOKUP($L176,Specs!A:A,Specs!V:V,0))*Specs!$N$2),0)</f>
        <v>1</v>
      </c>
      <c r="AP176" s="30"/>
    </row>
    <row r="177" spans="1:42" x14ac:dyDescent="0.25">
      <c r="A177" s="41" t="str">
        <f>_xlfn.CONCAT(_xlfn.XLOOKUP("What's Your Name?",[1]Sheet1!$1:$1,[1]Sheet1!177:177)," | ",TEXT(_xlfn.XLOOKUP("Completion time",[1]Sheet1!$1:$1,[1]Sheet1!177:177),"dddd, mmm dd, yyyy hh:mm AM/PM"))</f>
        <v xml:space="preserve"> | Saturday, Jan 00, 1900 12:00 AM</v>
      </c>
      <c r="B177" s="76">
        <f>_xlfn.XLOOKUP("What's Your Email Address?",[1]Sheet1!$1:$1,[1]Sheet1!177:177)</f>
        <v>0</v>
      </c>
      <c r="C177" s="31">
        <f>IF(ISBLANK(_xlfn.XLOOKUP("Which Flavor? (Pint Price | Quart Price | Half Gallon Price) (NOTE: Prices may fluctuate based on market conditions)",[1]Sheet1!$1:$1,[1]Sheet1!177:177)),_xlfn.XLOOKUP("Name Your Ice Cream!",[1]Sheet1!$1:$1,[1]Sheet1!177:177),IF(ISNUMBER(FIND("(", _xlfn.XLOOKUP("Which Flavor? (Pint Price | Quart Price | Half Gallon Price) (NOTE: Prices may fluctuate based on market conditions)",[1]Sheet1!$1:$1,[1]Sheet1!177:177))), LEFT(_xlfn.XLOOKUP("Which Flavor? (Pint Price | Quart Price | Half Gallon Price) (NOTE: Prices may fluctuate based on market conditions)",[1]Sheet1!$1:$1,[1]Sheet1!177:177), FIND("(", _xlfn.XLOOKUP("Which Flavor? (Pint Price | Quart Price | Half Gallon Price) (NOTE: Prices may fluctuate based on market conditions)",[1]Sheet1!$1:$1,[1]Sheet1!177:177)) - 1), _xlfn.XLOOKUP("Which Flavor? (Pint Price | Quart Price | Half Gallon Price) (NOTE: Prices may fluctuate based on market conditions)",[1]Sheet1!$1:$1,[1]Sheet1!177:177)))</f>
        <v>0</v>
      </c>
      <c r="D177" s="31">
        <f>IF(COUNTIF('Premade Flavors'!$A:$A, $C177) &gt; 0,IF(ISBLANK(_xlfn.XLOOKUP("What Ice Cream Base Do You Want To Change It To?",[1]Sheet1!$1:$1,[1]Sheet1!177:177)),_xlfn.XLOOKUP($C177,'Premade Flavors'!$A:$A,'Premade Flavors'!B:B),_xlfn.XLOOKUP("What Ice Cream Base Do You Want To Change It To?",[1]Sheet1!$1:$1,[1]Sheet1!177:177)),_xlfn.XLOOKUP(_xlfn.XLOOKUP("What Kind Of Ice Cream Base Do You Want? ",[1]Sheet1!$1:$1,[1]Sheet1!177:177),'Milk Types Nutrition Per Cup'!O:O,'Milk Types Nutrition Per Cup'!P:P,""))</f>
        <v>0</v>
      </c>
      <c r="E177" s="31">
        <f>IF(COUNTIF('Premade Flavors'!$A:$A, $C177) &gt; 0,IF(ISBLANK(_xlfn.XLOOKUP("What Ice Cream Base Do You Want To Change It To?",[1]Sheet1!$1:$1,[1]Sheet1!177:177)),_xlfn.XLOOKUP($C177,'Premade Flavors'!$A:$A,'Premade Flavors'!C:C),_xlfn.XLOOKUP("What Ice Cream Base Do You Want To Change It To?",[1]Sheet1!$1:$1,[1]Sheet1!177:177)),_xlfn.XLOOKUP(_xlfn.XLOOKUP("What Kind Of Ice Cream Base Do You Want? ",[1]Sheet1!$1:$1,[1]Sheet1!177:177),'Milk Types Nutrition Per Cup'!$O:$O,'Milk Types Nutrition Per Cup'!$Q:$Q,""))</f>
        <v>0</v>
      </c>
      <c r="F177" s="31">
        <f>IF(COUNTIF('Premade Flavors'!$A:$A, $C177) &gt; 0,_xlfn.XLOOKUP($C177,'Premade Flavors'!$A:$A,'Premade Flavors'!E:E),_xlfn.XLOOKUP("What's The First Flavor You Want? ",[1]Sheet1!$1:$1,[1]Sheet1!177:177))</f>
        <v>0</v>
      </c>
      <c r="G177" s="31">
        <f>IF(COUNTIF('Premade Flavors'!$A:$A, $C177) &gt; 0,_xlfn.XLOOKUP($C177,'Premade Flavors'!$A:$A,'Premade Flavors'!F:F),_xlfn.XLOOKUP("What's the Second Flavor You Want?",[1]Sheet1!$1:$1,[1]Sheet1!177:177))</f>
        <v>0</v>
      </c>
      <c r="H177" s="31">
        <f>IF(COUNTIF('Premade Flavors'!$A:$A, $C177) &gt; 0,_xlfn.XLOOKUP($C177,'Premade Flavors'!$A:$A,'Premade Flavors'!G:G),_xlfn.XLOOKUP("What's The First Mix In That You Want? ",[1]Sheet1!$1:$1,[1]Sheet1!177:177))</f>
        <v>0</v>
      </c>
      <c r="I177" s="31">
        <f>IF(COUNTIF('Premade Flavors'!$A:$A, $C175) &gt; 0,_xlfn.XLOOKUP($C175,'Premade Flavors'!$A:$A,'Premade Flavors'!H:H),IF([2]Sheet1!W175= 0,,[2]Sheet1!W175))</f>
        <v>0</v>
      </c>
      <c r="J177" s="31">
        <f>IF(COUNTIF('Premade Flavors'!$A:$A,$C177)&gt;0,IF(_xlfn.XLOOKUP("Should It Use Sugar or A Non-Sugar Sweetner?",[1]Sheet1!$1:$1,[1]Sheet1!177:177)="Sugar",_xlfn.XLOOKUP($C177,'Premade Flavors'!$A:$A,'Premade Flavors'!I:I),"Stevia"),_xlfn.XLOOKUP("What Sweetner Do You Want?",[1]Sheet1!$1:$1,[1]Sheet1!177:177))</f>
        <v>0</v>
      </c>
      <c r="K177" s="31"/>
      <c r="L177" s="77">
        <f>_xlfn.XLOOKUP("How Much Ice Cream Do You Want?",[1]Sheet1!$1:$1,[1]Sheet1!177:177)</f>
        <v>0</v>
      </c>
      <c r="M177" s="45">
        <f>IF(COUNTIF('Premade Flavors'!$A:$A, $C177) &gt; 0,_xlfn.XLOOKUP($C177,'Premade Flavors'!$A:$A,'Premade Flavors'!M:M),_xlfn.XLOOKUP("How Strong Do You Want The First Flavor?",[1]Sheet1!$1:$1,[1]Sheet1!177:177))</f>
        <v>0</v>
      </c>
      <c r="N177" s="45">
        <f>IF(COUNTIF('Premade Flavors'!$A:$A, $C177) &gt; 0,_xlfn.XLOOKUP($C177,'Premade Flavors'!$A:$A,'Premade Flavors'!N:N),_xlfn.XLOOKUP("How Strong Do You Want The Second Flavor?",[1]Sheet1!$1:$1,[1]Sheet1!177:177))</f>
        <v>0</v>
      </c>
      <c r="O177" s="45">
        <f>IF(COUNTIF('Premade Flavors'!$A:$A, $C177) &gt; 0,_xlfn.XLOOKUP($C177,'Premade Flavors'!$A:$A,'Premade Flavors'!O:O),_xlfn.XLOOKUP("How Dense Should the Mix Ins Be?",[1]Sheet1!$1:$1,[1]Sheet1!177:177))</f>
        <v>0</v>
      </c>
      <c r="P177" s="45">
        <f>IF(COUNTIF('Premade Flavors'!$A:$A, $C177) &gt; 0,_xlfn.XLOOKUP($C177,'Premade Flavors'!$A:$A,'Premade Flavors'!P:P),_xlfn.XLOOKUP("How Much Of The First Sweetner? ",[1]Sheet1!$1:$1,[1]Sheet1!177:177))</f>
        <v>0</v>
      </c>
      <c r="Q177" s="45">
        <f>IF(COUNTIF('Premade Flavors'!$A:$A, $C177) &gt; 0,_xlfn.XLOOKUP($C177,'Premade Flavors'!$A:$A,'Premade Flavors'!Q:Q),[2]Sheet1!S177)</f>
        <v>0</v>
      </c>
      <c r="R177" s="30">
        <f>(_xlfn.XLOOKUP($L177,Specs!A:A,Specs!B:B,0)-(IF(_xlfn.XLOOKUP($F177,'Liquid Mix In Nutrition'!A:A,'Liquid Mix In Nutrition'!J:J,0)="Yes",0,$T177))-(IF(_xlfn.XLOOKUP($G177,'Liquid Mix In Nutrition'!A:A,'Liquid Mix In Nutrition'!J:J,0)="Yes",0,$U177))-(($V177/MAX(1,_xlfn.XLOOKUP($H177,'Solid Mix In Nutrition'!A:A,'Solid Mix In Nutrition'!I:I,1)))*240)-(($W177/MAX(1,_xlfn.XLOOKUP($I177,'Solid Mix In Nutrition'!A:A,'Solid Mix In Nutrition'!I:I,1)))*240))*0.66</f>
        <v>0</v>
      </c>
      <c r="S177" s="30">
        <f>(_xlfn.XLOOKUP($L177,Specs!A:A,Specs!B:B,0)-(IF(_xlfn.XLOOKUP($F177,'Liquid Mix In Nutrition'!A:A,'Liquid Mix In Nutrition'!J:J,0)="Yes",0,$T177))-(IF(_xlfn.XLOOKUP($G177,'Liquid Mix In Nutrition'!A:A,'Liquid Mix In Nutrition'!J:J,0)="Yes",0,$U177))-(($V177/MAX(1,_xlfn.XLOOKUP($H177,'Solid Mix In Nutrition'!A:A,'Solid Mix In Nutrition'!I:I,1)))*240)-(($W177/MAX(1,_xlfn.XLOOKUP($I177,'Solid Mix In Nutrition'!A:A,'Solid Mix In Nutrition'!I:I,1)))*240))*0.33</f>
        <v>0</v>
      </c>
      <c r="T177" s="30">
        <f>_xlfn.XLOOKUP($M177,Specs!$D:$D,Specs!$E:$E,0)*15*_xlfn.XLOOKUP($L177,Specs!$A:$A,Specs!$C:$C,0)</f>
        <v>0</v>
      </c>
      <c r="U177" s="30">
        <f>_xlfn.XLOOKUP($N177,Specs!$D:$D,Specs!$E:$E,0)*15*_xlfn.XLOOKUP($L177,Specs!$A:$A,Specs!$C:$C,0)</f>
        <v>0</v>
      </c>
      <c r="V177" s="30">
        <f>( ((_xlfn.XLOOKUP($O177,Specs!$H:$H,Specs!$I:$I,0)*_xlfn.XLOOKUP($L177,Specs!$A:$A,Specs!$B:$B,0))/240) *_xlfn.XLOOKUP($H177,'Solid Mix In Nutrition'!A:A,'Solid Mix In Nutrition'!I:I,0)) *IF(AND(NOT($I177=0), COUNTA($I177)),0.5,1)</f>
        <v>0</v>
      </c>
      <c r="W177" s="30">
        <f>( ((_xlfn.XLOOKUP($O177,Specs!$H:$H,Specs!$I:$I,0)*_xlfn.XLOOKUP($L177,Specs!$A:$A,Specs!$B:$B,0))/240) *_xlfn.XLOOKUP($I177,'Solid Mix In Nutrition'!A:A,'Solid Mix In Nutrition'!I:I,0)) *IF(AND(NOT($I177=0), COUNTA($I177)),0.5,0)</f>
        <v>0</v>
      </c>
      <c r="X177" s="30">
        <f>_xlfn.XLOOKUP($P177,Specs!F:F,Specs!G:G,0)*_xlfn.XLOOKUP($J177,'Sweetener Mix In Nutrition'!A:A,'Sweetener Mix In Nutrition'!I:I,0)*_xlfn.XLOOKUP($L177,Specs!A:A,Specs!C:C,0)</f>
        <v>0</v>
      </c>
      <c r="Y177" s="30">
        <f>_xlfn.XLOOKUP($Q177,Specs!F:F,Specs!G:G,0)*_xlfn.XLOOKUP($K177,'Sweetener Mix In Nutrition'!A:A,'Sweetener Mix In Nutrition'!I:I,0)*_xlfn.XLOOKUP($L177,Specs!A:A,Specs!C:C,0)</f>
        <v>0</v>
      </c>
      <c r="Z177" s="34">
        <f t="shared" si="6"/>
        <v>0</v>
      </c>
      <c r="AA177" s="35">
        <f t="shared" si="7"/>
        <v>0</v>
      </c>
      <c r="AB177" s="36">
        <f>(($R177 / 240) * _xlfn.XLOOKUP($D177,'Milk Types Nutrition Per Cup'!A:A,'Milk Types Nutrition Per Cup'!B:B,0)) +(($S177 / 240)  * _xlfn.XLOOKUP($E177,'Milk Types Nutrition Per Cup'!A:A,'Milk Types Nutrition Per Cup'!B:B,0)) +(($T177 / 15)  * _xlfn.XLOOKUP($F177,'Liquid Mix In Nutrition'!A:A,'Liquid Mix In Nutrition'!B:B,0))+(($U177 / 15)  * _xlfn.XLOOKUP($G177,'Liquid Mix In Nutrition'!A:A,'Liquid Mix In Nutrition'!B:B,0))+(($V177 /MAX(1, _xlfn.XLOOKUP($H177,'Solid Mix In Nutrition'!A:A,'Solid Mix In Nutrition'!I:I,1)))  * _xlfn.XLOOKUP($H177,'Solid Mix In Nutrition'!A:A,'Solid Mix In Nutrition'!B:B,0))+(($W177 / MAX(1, _xlfn.XLOOKUP($I177,'Solid Mix In Nutrition'!A:A,'Solid Mix In Nutrition'!I:I,1))))+(($X177 / 100)  * _xlfn.XLOOKUP($J177,'Sweetener Mix In Nutrition'!A:A,'Sweetener Mix In Nutrition'!B:B,0))+(($Y177 / 100)  * _xlfn.XLOOKUP($K177,'Sweetener Mix In Nutrition'!A:A,'Sweetener Mix In Nutrition'!B:B,0))</f>
        <v>0</v>
      </c>
      <c r="AC177" s="36">
        <f>(($R177 / 240) * _xlfn.XLOOKUP($D177,'Milk Types Nutrition Per Cup'!A:A,'Milk Types Nutrition Per Cup'!E:E,0)) +(($S177 / 240)  * _xlfn.XLOOKUP($E177,'Milk Types Nutrition Per Cup'!A:A,'Milk Types Nutrition Per Cup'!E:E,0)) +(($T177 / 15)  * _xlfn.XLOOKUP($F177,'Liquid Mix In Nutrition'!A:A,'Liquid Mix In Nutrition'!E:E,0)) +(($U177 / 15)  * _xlfn.XLOOKUP($G177,'Liquid Mix In Nutrition'!A:A,'Liquid Mix In Nutrition'!E:E,0))+(($V177 / MAX(1, _xlfn.XLOOKUP($H177,'Solid Mix In Nutrition'!A:A,'Solid Mix In Nutrition'!I:I,1)))  * _xlfn.XLOOKUP($H177,'Solid Mix In Nutrition'!A:A,'Solid Mix In Nutrition'!E:E,0))+(($W177 / MAX(1, _xlfn.XLOOKUP($I177,'Solid Mix In Nutrition'!A:A,'Solid Mix In Nutrition'!I:I,1)))  * _xlfn.XLOOKUP($I177,'Solid Mix In Nutrition'!A:A,'Solid Mix In Nutrition'!G:G,0))+(($X177 / 100)  * _xlfn.XLOOKUP($J177,'Sweetener Mix In Nutrition'!A:A,'Sweetener Mix In Nutrition'!E:E,0))+(($Y177 / 100)  * _xlfn.XLOOKUP($K177,'Sweetener Mix In Nutrition'!A:A,'Sweetener Mix In Nutrition'!E:E,0))</f>
        <v>0</v>
      </c>
      <c r="AD177" s="36">
        <f>(($R177 / 240) * _xlfn.XLOOKUP($D177,'Milk Types Nutrition Per Cup'!A:A,'Milk Types Nutrition Per Cup'!E:E,0)) +(($S177 / 240)  * _xlfn.XLOOKUP($E177,'Milk Types Nutrition Per Cup'!A:A,'Milk Types Nutrition Per Cup'!E:E,0)) +(($T177 / 15)  * _xlfn.XLOOKUP($F177,'Liquid Mix In Nutrition'!A:A,'Liquid Mix In Nutrition'!E:E,0)) +(($U177 / 15)  * _xlfn.XLOOKUP($G177,'Liquid Mix In Nutrition'!A:A,'Liquid Mix In Nutrition'!E:E,0))+(($X177 / 100)  * _xlfn.XLOOKUP($J177,'Sweetener Mix In Nutrition'!A:A,'Sweetener Mix In Nutrition'!E:E,0))+(($Y177 / 100)  * _xlfn.XLOOKUP($K177,'Sweetener Mix In Nutrition'!A:A,'Sweetener Mix In Nutrition'!E:E,0))</f>
        <v>0</v>
      </c>
      <c r="AE177" s="37">
        <f>(($R177 / 240) * _xlfn.XLOOKUP($D177,'Milk Types Nutrition Per Cup'!A:A,'Milk Types Nutrition Per Cup'!C:C,0)) +(($S177 / 240)  * _xlfn.XLOOKUP($E177,'Milk Types Nutrition Per Cup'!A:A,'Milk Types Nutrition Per Cup'!C:C,0)) +(($T177 / 15)  * _xlfn.XLOOKUP($F177,'Liquid Mix In Nutrition'!A:A,'Liquid Mix In Nutrition'!C:C,0))+(($U177 / 15)  * _xlfn.XLOOKUP($G177,'Liquid Mix In Nutrition'!A:A,'Liquid Mix In Nutrition'!C:C,0))+(($V177 / MAX(1, _xlfn.XLOOKUP($H177,'Solid Mix In Nutrition'!A:A,'Solid Mix In Nutrition'!I:I,1)))  * _xlfn.XLOOKUP($H177,'Solid Mix In Nutrition'!A:A,'Solid Mix In Nutrition'!C:C,0))+(($W177 / MAX(1, _xlfn.XLOOKUP($I177,'Solid Mix In Nutrition'!A:A,'Solid Mix In Nutrition'!I:I,1)))  * _xlfn.XLOOKUP($I177,'Solid Mix In Nutrition'!A:A,'Solid Mix In Nutrition'!C:C,0))+(($X177 / 100)  * _xlfn.XLOOKUP($J177,'Sweetener Mix In Nutrition'!A:A,'Sweetener Mix In Nutrition'!C:C,0))+(($Y177 / 100)  * _xlfn.XLOOKUP($K177,'Sweetener Mix In Nutrition'!A:A,'Sweetener Mix In Nutrition'!C:C,0))</f>
        <v>0</v>
      </c>
      <c r="AF177" s="38" t="e">
        <f>$AE177 / (_xlfn.XLOOKUP($L177,Specs!A:A,Specs!B:B,0))</f>
        <v>#DIV/0!</v>
      </c>
      <c r="AG177" s="37" t="e">
        <f>60* ($AB177 / _xlfn.XLOOKUP($L177,Specs!A:A,Specs!B:B,0))</f>
        <v>#DIV/0!</v>
      </c>
      <c r="AH177" s="37" t="e">
        <f>60* (AC177 / _xlfn.XLOOKUP($L177,Specs!$A:$A,Specs!$B:$B,0))</f>
        <v>#DIV/0!</v>
      </c>
      <c r="AI177" s="37" t="e">
        <f>60* (AE177 / _xlfn.XLOOKUP($L177,Specs!$A:$A,Specs!$B:$B,0))</f>
        <v>#DIV/0!</v>
      </c>
      <c r="AJ177" s="39">
        <f>(($R177 / 240) * _xlfn.XLOOKUP($D177,'Milk Types Nutrition Per Cup'!A:A,'Milk Types Nutrition Per Cup'!F:F,0)) +(($S177 / 240)  * _xlfn.XLOOKUP($E177,'Milk Types Nutrition Per Cup'!A:A,'Milk Types Nutrition Per Cup'!F:F,0)) +(($T177 / 15)  * _xlfn.XLOOKUP($F177,'Liquid Mix In Nutrition'!A:A,'Liquid Mix In Nutrition'!F:F,0))+(($U177 / 15)  * _xlfn.XLOOKUP($G177,'Liquid Mix In Nutrition'!A:A,'Liquid Mix In Nutrition'!F:F,0))+(($V177 / MAX(1, _xlfn.XLOOKUP($H177,'Solid Mix In Nutrition'!A:A,'Solid Mix In Nutrition'!I:I,1)))  * _xlfn.XLOOKUP($H177,'Solid Mix In Nutrition'!A:A,'Solid Mix In Nutrition'!F:F,0))+(($W177 / MAX(1, _xlfn.XLOOKUP($I177,'Solid Mix In Nutrition'!A:A,'Solid Mix In Nutrition'!I:I,1)))  * _xlfn.XLOOKUP($I177,'Solid Mix In Nutrition'!A:A,'Solid Mix In Nutrition'!F:F,0))+(($X177 / 100)  * _xlfn.XLOOKUP($J177,'Sweetener Mix In Nutrition'!A:A,'Sweetener Mix In Nutrition'!F:F,0))+(($Y177 / 100)  * _xlfn.XLOOKUP($K177,'Sweetener Mix In Nutrition'!A:A,'Sweetener Mix In Nutrition'!F:F,0))</f>
        <v>0</v>
      </c>
      <c r="AK177" s="46">
        <f>[2]Sheet1!AG177</f>
        <v>0</v>
      </c>
      <c r="AL177" s="47"/>
      <c r="AM177" s="40">
        <f>IF(ISERROR(((AL177/Specs!$L$3)*Specs!$L$2)*2),0,ROUNDUP((((AL177/Specs!$L$3)*Specs!$L$2)*2),0))</f>
        <v>0</v>
      </c>
      <c r="AN177" s="48">
        <f>ROUNDUP(((AJ177+Specs!$R$2+Specs!$S$2+_xlfn.XLOOKUP($L177,Specs!A:A,Specs!V:V,0))*Specs!$N$2)+AM177,0)</f>
        <v>1</v>
      </c>
      <c r="AO177" s="40">
        <f>ROUNDUP(((AJ177+Specs!$R$2+Specs!$S$2+_xlfn.XLOOKUP($L177,Specs!A:A,Specs!V:V,0))*Specs!$N$2),0)</f>
        <v>1</v>
      </c>
      <c r="AP177" s="30"/>
    </row>
    <row r="178" spans="1:42" x14ac:dyDescent="0.25">
      <c r="A178" s="41" t="str">
        <f>_xlfn.CONCAT(_xlfn.XLOOKUP("What's Your Name?",[1]Sheet1!$1:$1,[1]Sheet1!178:178)," | ",TEXT(_xlfn.XLOOKUP("Completion time",[1]Sheet1!$1:$1,[1]Sheet1!178:178),"dddd, mmm dd, yyyy hh:mm AM/PM"))</f>
        <v xml:space="preserve"> | Saturday, Jan 00, 1900 12:00 AM</v>
      </c>
      <c r="B178" s="76">
        <f>_xlfn.XLOOKUP("What's Your Email Address?",[1]Sheet1!$1:$1,[1]Sheet1!178:178)</f>
        <v>0</v>
      </c>
      <c r="C178" s="31">
        <f>IF(ISBLANK(_xlfn.XLOOKUP("Which Flavor? (Pint Price | Quart Price | Half Gallon Price) (NOTE: Prices may fluctuate based on market conditions)",[1]Sheet1!$1:$1,[1]Sheet1!178:178)),_xlfn.XLOOKUP("Name Your Ice Cream!",[1]Sheet1!$1:$1,[1]Sheet1!178:178),IF(ISNUMBER(FIND("(", _xlfn.XLOOKUP("Which Flavor? (Pint Price | Quart Price | Half Gallon Price) (NOTE: Prices may fluctuate based on market conditions)",[1]Sheet1!$1:$1,[1]Sheet1!178:178))), LEFT(_xlfn.XLOOKUP("Which Flavor? (Pint Price | Quart Price | Half Gallon Price) (NOTE: Prices may fluctuate based on market conditions)",[1]Sheet1!$1:$1,[1]Sheet1!178:178), FIND("(", _xlfn.XLOOKUP("Which Flavor? (Pint Price | Quart Price | Half Gallon Price) (NOTE: Prices may fluctuate based on market conditions)",[1]Sheet1!$1:$1,[1]Sheet1!178:178)) - 1), _xlfn.XLOOKUP("Which Flavor? (Pint Price | Quart Price | Half Gallon Price) (NOTE: Prices may fluctuate based on market conditions)",[1]Sheet1!$1:$1,[1]Sheet1!178:178)))</f>
        <v>0</v>
      </c>
      <c r="D178" s="31">
        <f>IF(COUNTIF('Premade Flavors'!$A:$A, $C178) &gt; 0,IF(ISBLANK(_xlfn.XLOOKUP("What Ice Cream Base Do You Want To Change It To?",[1]Sheet1!$1:$1,[1]Sheet1!178:178)),_xlfn.XLOOKUP($C178,'Premade Flavors'!$A:$A,'Premade Flavors'!B:B),_xlfn.XLOOKUP("What Ice Cream Base Do You Want To Change It To?",[1]Sheet1!$1:$1,[1]Sheet1!178:178)),_xlfn.XLOOKUP(_xlfn.XLOOKUP("What Kind Of Ice Cream Base Do You Want? ",[1]Sheet1!$1:$1,[1]Sheet1!178:178),'Milk Types Nutrition Per Cup'!O:O,'Milk Types Nutrition Per Cup'!P:P,""))</f>
        <v>0</v>
      </c>
      <c r="E178" s="31">
        <f>IF(COUNTIF('Premade Flavors'!$A:$A, $C178) &gt; 0,IF(ISBLANK(_xlfn.XLOOKUP("What Ice Cream Base Do You Want To Change It To?",[1]Sheet1!$1:$1,[1]Sheet1!178:178)),_xlfn.XLOOKUP($C178,'Premade Flavors'!$A:$A,'Premade Flavors'!C:C),_xlfn.XLOOKUP("What Ice Cream Base Do You Want To Change It To?",[1]Sheet1!$1:$1,[1]Sheet1!178:178)),_xlfn.XLOOKUP(_xlfn.XLOOKUP("What Kind Of Ice Cream Base Do You Want? ",[1]Sheet1!$1:$1,[1]Sheet1!178:178),'Milk Types Nutrition Per Cup'!$O:$O,'Milk Types Nutrition Per Cup'!$Q:$Q,""))</f>
        <v>0</v>
      </c>
      <c r="F178" s="31">
        <f>IF(COUNTIF('Premade Flavors'!$A:$A, $C178) &gt; 0,_xlfn.XLOOKUP($C178,'Premade Flavors'!$A:$A,'Premade Flavors'!E:E),_xlfn.XLOOKUP("What's The First Flavor You Want? ",[1]Sheet1!$1:$1,[1]Sheet1!178:178))</f>
        <v>0</v>
      </c>
      <c r="G178" s="31">
        <f>IF(COUNTIF('Premade Flavors'!$A:$A, $C178) &gt; 0,_xlfn.XLOOKUP($C178,'Premade Flavors'!$A:$A,'Premade Flavors'!F:F),_xlfn.XLOOKUP("What's the Second Flavor You Want?",[1]Sheet1!$1:$1,[1]Sheet1!178:178))</f>
        <v>0</v>
      </c>
      <c r="H178" s="31">
        <f>IF(COUNTIF('Premade Flavors'!$A:$A, $C178) &gt; 0,_xlfn.XLOOKUP($C178,'Premade Flavors'!$A:$A,'Premade Flavors'!G:G),_xlfn.XLOOKUP("What's The First Mix In That You Want? ",[1]Sheet1!$1:$1,[1]Sheet1!178:178))</f>
        <v>0</v>
      </c>
      <c r="I178" s="31">
        <f>IF(COUNTIF('Premade Flavors'!$A:$A, $C176) &gt; 0,_xlfn.XLOOKUP($C176,'Premade Flavors'!$A:$A,'Premade Flavors'!H:H),IF([2]Sheet1!W176= 0,,[2]Sheet1!W176))</f>
        <v>0</v>
      </c>
      <c r="J178" s="31">
        <f>IF(COUNTIF('Premade Flavors'!$A:$A,$C178)&gt;0,IF(_xlfn.XLOOKUP("Should It Use Sugar or A Non-Sugar Sweetner?",[1]Sheet1!$1:$1,[1]Sheet1!178:178)="Sugar",_xlfn.XLOOKUP($C178,'Premade Flavors'!$A:$A,'Premade Flavors'!I:I),"Stevia"),_xlfn.XLOOKUP("What Sweetner Do You Want?",[1]Sheet1!$1:$1,[1]Sheet1!178:178))</f>
        <v>0</v>
      </c>
      <c r="K178" s="31"/>
      <c r="L178" s="77">
        <f>_xlfn.XLOOKUP("How Much Ice Cream Do You Want?",[1]Sheet1!$1:$1,[1]Sheet1!178:178)</f>
        <v>0</v>
      </c>
      <c r="M178" s="45">
        <f>IF(COUNTIF('Premade Flavors'!$A:$A, $C178) &gt; 0,_xlfn.XLOOKUP($C178,'Premade Flavors'!$A:$A,'Premade Flavors'!M:M),_xlfn.XLOOKUP("How Strong Do You Want The First Flavor?",[1]Sheet1!$1:$1,[1]Sheet1!178:178))</f>
        <v>0</v>
      </c>
      <c r="N178" s="45">
        <f>IF(COUNTIF('Premade Flavors'!$A:$A, $C178) &gt; 0,_xlfn.XLOOKUP($C178,'Premade Flavors'!$A:$A,'Premade Flavors'!N:N),_xlfn.XLOOKUP("How Strong Do You Want The Second Flavor?",[1]Sheet1!$1:$1,[1]Sheet1!178:178))</f>
        <v>0</v>
      </c>
      <c r="O178" s="45">
        <f>IF(COUNTIF('Premade Flavors'!$A:$A, $C178) &gt; 0,_xlfn.XLOOKUP($C178,'Premade Flavors'!$A:$A,'Premade Flavors'!O:O),_xlfn.XLOOKUP("How Dense Should the Mix Ins Be?",[1]Sheet1!$1:$1,[1]Sheet1!178:178))</f>
        <v>0</v>
      </c>
      <c r="P178" s="45">
        <f>IF(COUNTIF('Premade Flavors'!$A:$A, $C178) &gt; 0,_xlfn.XLOOKUP($C178,'Premade Flavors'!$A:$A,'Premade Flavors'!P:P),_xlfn.XLOOKUP("How Much Of The First Sweetner? ",[1]Sheet1!$1:$1,[1]Sheet1!178:178))</f>
        <v>0</v>
      </c>
      <c r="Q178" s="45">
        <f>IF(COUNTIF('Premade Flavors'!$A:$A, $C178) &gt; 0,_xlfn.XLOOKUP($C178,'Premade Flavors'!$A:$A,'Premade Flavors'!Q:Q),[2]Sheet1!S178)</f>
        <v>0</v>
      </c>
      <c r="R178" s="30">
        <f>(_xlfn.XLOOKUP($L178,Specs!A:A,Specs!B:B,0)-(IF(_xlfn.XLOOKUP($F178,'Liquid Mix In Nutrition'!A:A,'Liquid Mix In Nutrition'!J:J,0)="Yes",0,$T178))-(IF(_xlfn.XLOOKUP($G178,'Liquid Mix In Nutrition'!A:A,'Liquid Mix In Nutrition'!J:J,0)="Yes",0,$U178))-(($V178/MAX(1,_xlfn.XLOOKUP($H178,'Solid Mix In Nutrition'!A:A,'Solid Mix In Nutrition'!I:I,1)))*240)-(($W178/MAX(1,_xlfn.XLOOKUP($I178,'Solid Mix In Nutrition'!A:A,'Solid Mix In Nutrition'!I:I,1)))*240))*0.66</f>
        <v>0</v>
      </c>
      <c r="S178" s="30">
        <f>(_xlfn.XLOOKUP($L178,Specs!A:A,Specs!B:B,0)-(IF(_xlfn.XLOOKUP($F178,'Liquid Mix In Nutrition'!A:A,'Liquid Mix In Nutrition'!J:J,0)="Yes",0,$T178))-(IF(_xlfn.XLOOKUP($G178,'Liquid Mix In Nutrition'!A:A,'Liquid Mix In Nutrition'!J:J,0)="Yes",0,$U178))-(($V178/MAX(1,_xlfn.XLOOKUP($H178,'Solid Mix In Nutrition'!A:A,'Solid Mix In Nutrition'!I:I,1)))*240)-(($W178/MAX(1,_xlfn.XLOOKUP($I178,'Solid Mix In Nutrition'!A:A,'Solid Mix In Nutrition'!I:I,1)))*240))*0.33</f>
        <v>0</v>
      </c>
      <c r="T178" s="30">
        <f>_xlfn.XLOOKUP($M178,Specs!$D:$D,Specs!$E:$E,0)*15*_xlfn.XLOOKUP($L178,Specs!$A:$A,Specs!$C:$C,0)</f>
        <v>0</v>
      </c>
      <c r="U178" s="30">
        <f>_xlfn.XLOOKUP($N178,Specs!$D:$D,Specs!$E:$E,0)*15*_xlfn.XLOOKUP($L178,Specs!$A:$A,Specs!$C:$C,0)</f>
        <v>0</v>
      </c>
      <c r="V178" s="30">
        <f>( ((_xlfn.XLOOKUP($O178,Specs!$H:$H,Specs!$I:$I,0)*_xlfn.XLOOKUP($L178,Specs!$A:$A,Specs!$B:$B,0))/240) *_xlfn.XLOOKUP($H178,'Solid Mix In Nutrition'!A:A,'Solid Mix In Nutrition'!I:I,0)) *IF(AND(NOT($I178=0), COUNTA($I178)),0.5,1)</f>
        <v>0</v>
      </c>
      <c r="W178" s="30">
        <f>( ((_xlfn.XLOOKUP($O178,Specs!$H:$H,Specs!$I:$I,0)*_xlfn.XLOOKUP($L178,Specs!$A:$A,Specs!$B:$B,0))/240) *_xlfn.XLOOKUP($I178,'Solid Mix In Nutrition'!A:A,'Solid Mix In Nutrition'!I:I,0)) *IF(AND(NOT($I178=0), COUNTA($I178)),0.5,0)</f>
        <v>0</v>
      </c>
      <c r="X178" s="30">
        <f>_xlfn.XLOOKUP($P178,Specs!F:F,Specs!G:G,0)*_xlfn.XLOOKUP($J178,'Sweetener Mix In Nutrition'!A:A,'Sweetener Mix In Nutrition'!I:I,0)*_xlfn.XLOOKUP($L178,Specs!A:A,Specs!C:C,0)</f>
        <v>0</v>
      </c>
      <c r="Y178" s="30">
        <f>_xlfn.XLOOKUP($Q178,Specs!F:F,Specs!G:G,0)*_xlfn.XLOOKUP($K178,'Sweetener Mix In Nutrition'!A:A,'Sweetener Mix In Nutrition'!I:I,0)*_xlfn.XLOOKUP($L178,Specs!A:A,Specs!C:C,0)</f>
        <v>0</v>
      </c>
      <c r="Z178" s="34">
        <f t="shared" si="6"/>
        <v>0</v>
      </c>
      <c r="AA178" s="35">
        <f t="shared" si="7"/>
        <v>0</v>
      </c>
      <c r="AB178" s="36">
        <f>(($R178 / 240) * _xlfn.XLOOKUP($D178,'Milk Types Nutrition Per Cup'!A:A,'Milk Types Nutrition Per Cup'!B:B,0)) +(($S178 / 240)  * _xlfn.XLOOKUP($E178,'Milk Types Nutrition Per Cup'!A:A,'Milk Types Nutrition Per Cup'!B:B,0)) +(($T178 / 15)  * _xlfn.XLOOKUP($F178,'Liquid Mix In Nutrition'!A:A,'Liquid Mix In Nutrition'!B:B,0))+(($U178 / 15)  * _xlfn.XLOOKUP($G178,'Liquid Mix In Nutrition'!A:A,'Liquid Mix In Nutrition'!B:B,0))+(($V178 /MAX(1, _xlfn.XLOOKUP($H178,'Solid Mix In Nutrition'!A:A,'Solid Mix In Nutrition'!I:I,1)))  * _xlfn.XLOOKUP($H178,'Solid Mix In Nutrition'!A:A,'Solid Mix In Nutrition'!B:B,0))+(($W178 / MAX(1, _xlfn.XLOOKUP($I178,'Solid Mix In Nutrition'!A:A,'Solid Mix In Nutrition'!I:I,1))))+(($X178 / 100)  * _xlfn.XLOOKUP($J178,'Sweetener Mix In Nutrition'!A:A,'Sweetener Mix In Nutrition'!B:B,0))+(($Y178 / 100)  * _xlfn.XLOOKUP($K178,'Sweetener Mix In Nutrition'!A:A,'Sweetener Mix In Nutrition'!B:B,0))</f>
        <v>0</v>
      </c>
      <c r="AC178" s="36">
        <f>(($R178 / 240) * _xlfn.XLOOKUP($D178,'Milk Types Nutrition Per Cup'!A:A,'Milk Types Nutrition Per Cup'!E:E,0)) +(($S178 / 240)  * _xlfn.XLOOKUP($E178,'Milk Types Nutrition Per Cup'!A:A,'Milk Types Nutrition Per Cup'!E:E,0)) +(($T178 / 15)  * _xlfn.XLOOKUP($F178,'Liquid Mix In Nutrition'!A:A,'Liquid Mix In Nutrition'!E:E,0)) +(($U178 / 15)  * _xlfn.XLOOKUP($G178,'Liquid Mix In Nutrition'!A:A,'Liquid Mix In Nutrition'!E:E,0))+(($V178 / MAX(1, _xlfn.XLOOKUP($H178,'Solid Mix In Nutrition'!A:A,'Solid Mix In Nutrition'!I:I,1)))  * _xlfn.XLOOKUP($H178,'Solid Mix In Nutrition'!A:A,'Solid Mix In Nutrition'!E:E,0))+(($W178 / MAX(1, _xlfn.XLOOKUP($I178,'Solid Mix In Nutrition'!A:A,'Solid Mix In Nutrition'!I:I,1)))  * _xlfn.XLOOKUP($I178,'Solid Mix In Nutrition'!A:A,'Solid Mix In Nutrition'!G:G,0))+(($X178 / 100)  * _xlfn.XLOOKUP($J178,'Sweetener Mix In Nutrition'!A:A,'Sweetener Mix In Nutrition'!E:E,0))+(($Y178 / 100)  * _xlfn.XLOOKUP($K178,'Sweetener Mix In Nutrition'!A:A,'Sweetener Mix In Nutrition'!E:E,0))</f>
        <v>0</v>
      </c>
      <c r="AD178" s="36">
        <f>(($R178 / 240) * _xlfn.XLOOKUP($D178,'Milk Types Nutrition Per Cup'!A:A,'Milk Types Nutrition Per Cup'!E:E,0)) +(($S178 / 240)  * _xlfn.XLOOKUP($E178,'Milk Types Nutrition Per Cup'!A:A,'Milk Types Nutrition Per Cup'!E:E,0)) +(($T178 / 15)  * _xlfn.XLOOKUP($F178,'Liquid Mix In Nutrition'!A:A,'Liquid Mix In Nutrition'!E:E,0)) +(($U178 / 15)  * _xlfn.XLOOKUP($G178,'Liquid Mix In Nutrition'!A:A,'Liquid Mix In Nutrition'!E:E,0))+(($X178 / 100)  * _xlfn.XLOOKUP($J178,'Sweetener Mix In Nutrition'!A:A,'Sweetener Mix In Nutrition'!E:E,0))+(($Y178 / 100)  * _xlfn.XLOOKUP($K178,'Sweetener Mix In Nutrition'!A:A,'Sweetener Mix In Nutrition'!E:E,0))</f>
        <v>0</v>
      </c>
      <c r="AE178" s="37">
        <f>(($R178 / 240) * _xlfn.XLOOKUP($D178,'Milk Types Nutrition Per Cup'!A:A,'Milk Types Nutrition Per Cup'!C:C,0)) +(($S178 / 240)  * _xlfn.XLOOKUP($E178,'Milk Types Nutrition Per Cup'!A:A,'Milk Types Nutrition Per Cup'!C:C,0)) +(($T178 / 15)  * _xlfn.XLOOKUP($F178,'Liquid Mix In Nutrition'!A:A,'Liquid Mix In Nutrition'!C:C,0))+(($U178 / 15)  * _xlfn.XLOOKUP($G178,'Liquid Mix In Nutrition'!A:A,'Liquid Mix In Nutrition'!C:C,0))+(($V178 / MAX(1, _xlfn.XLOOKUP($H178,'Solid Mix In Nutrition'!A:A,'Solid Mix In Nutrition'!I:I,1)))  * _xlfn.XLOOKUP($H178,'Solid Mix In Nutrition'!A:A,'Solid Mix In Nutrition'!C:C,0))+(($W178 / MAX(1, _xlfn.XLOOKUP($I178,'Solid Mix In Nutrition'!A:A,'Solid Mix In Nutrition'!I:I,1)))  * _xlfn.XLOOKUP($I178,'Solid Mix In Nutrition'!A:A,'Solid Mix In Nutrition'!C:C,0))+(($X178 / 100)  * _xlfn.XLOOKUP($J178,'Sweetener Mix In Nutrition'!A:A,'Sweetener Mix In Nutrition'!C:C,0))+(($Y178 / 100)  * _xlfn.XLOOKUP($K178,'Sweetener Mix In Nutrition'!A:A,'Sweetener Mix In Nutrition'!C:C,0))</f>
        <v>0</v>
      </c>
      <c r="AF178" s="38" t="e">
        <f>$AE178 / (_xlfn.XLOOKUP($L178,Specs!A:A,Specs!B:B,0))</f>
        <v>#DIV/0!</v>
      </c>
      <c r="AG178" s="37" t="e">
        <f>60* ($AB178 / _xlfn.XLOOKUP($L178,Specs!A:A,Specs!B:B,0))</f>
        <v>#DIV/0!</v>
      </c>
      <c r="AH178" s="37" t="e">
        <f>60* (AC178 / _xlfn.XLOOKUP($L178,Specs!$A:$A,Specs!$B:$B,0))</f>
        <v>#DIV/0!</v>
      </c>
      <c r="AI178" s="37" t="e">
        <f>60* (AE178 / _xlfn.XLOOKUP($L178,Specs!$A:$A,Specs!$B:$B,0))</f>
        <v>#DIV/0!</v>
      </c>
      <c r="AJ178" s="39">
        <f>(($R178 / 240) * _xlfn.XLOOKUP($D178,'Milk Types Nutrition Per Cup'!A:A,'Milk Types Nutrition Per Cup'!F:F,0)) +(($S178 / 240)  * _xlfn.XLOOKUP($E178,'Milk Types Nutrition Per Cup'!A:A,'Milk Types Nutrition Per Cup'!F:F,0)) +(($T178 / 15)  * _xlfn.XLOOKUP($F178,'Liquid Mix In Nutrition'!A:A,'Liquid Mix In Nutrition'!F:F,0))+(($U178 / 15)  * _xlfn.XLOOKUP($G178,'Liquid Mix In Nutrition'!A:A,'Liquid Mix In Nutrition'!F:F,0))+(($V178 / MAX(1, _xlfn.XLOOKUP($H178,'Solid Mix In Nutrition'!A:A,'Solid Mix In Nutrition'!I:I,1)))  * _xlfn.XLOOKUP($H178,'Solid Mix In Nutrition'!A:A,'Solid Mix In Nutrition'!F:F,0))+(($W178 / MAX(1, _xlfn.XLOOKUP($I178,'Solid Mix In Nutrition'!A:A,'Solid Mix In Nutrition'!I:I,1)))  * _xlfn.XLOOKUP($I178,'Solid Mix In Nutrition'!A:A,'Solid Mix In Nutrition'!F:F,0))+(($X178 / 100)  * _xlfn.XLOOKUP($J178,'Sweetener Mix In Nutrition'!A:A,'Sweetener Mix In Nutrition'!F:F,0))+(($Y178 / 100)  * _xlfn.XLOOKUP($K178,'Sweetener Mix In Nutrition'!A:A,'Sweetener Mix In Nutrition'!F:F,0))</f>
        <v>0</v>
      </c>
      <c r="AK178" s="46">
        <f>[2]Sheet1!AG178</f>
        <v>0</v>
      </c>
      <c r="AL178" s="47"/>
      <c r="AM178" s="40">
        <f>IF(ISERROR(((AL178/Specs!$L$3)*Specs!$L$2)*2),0,ROUNDUP((((AL178/Specs!$L$3)*Specs!$L$2)*2),0))</f>
        <v>0</v>
      </c>
      <c r="AN178" s="48">
        <f>ROUNDUP(((AJ178+Specs!$R$2+Specs!$S$2+_xlfn.XLOOKUP($L178,Specs!A:A,Specs!V:V,0))*Specs!$N$2)+AM178,0)</f>
        <v>1</v>
      </c>
      <c r="AO178" s="40">
        <f>ROUNDUP(((AJ178+Specs!$R$2+Specs!$S$2+_xlfn.XLOOKUP($L178,Specs!A:A,Specs!V:V,0))*Specs!$N$2),0)</f>
        <v>1</v>
      </c>
      <c r="AP178" s="30"/>
    </row>
    <row r="179" spans="1:42" x14ac:dyDescent="0.25">
      <c r="A179" s="41" t="str">
        <f>_xlfn.CONCAT(_xlfn.XLOOKUP("What's Your Name?",[1]Sheet1!$1:$1,[1]Sheet1!179:179)," | ",TEXT(_xlfn.XLOOKUP("Completion time",[1]Sheet1!$1:$1,[1]Sheet1!179:179),"dddd, mmm dd, yyyy hh:mm AM/PM"))</f>
        <v xml:space="preserve"> | Saturday, Jan 00, 1900 12:00 AM</v>
      </c>
      <c r="B179" s="76">
        <f>_xlfn.XLOOKUP("What's Your Email Address?",[1]Sheet1!$1:$1,[1]Sheet1!179:179)</f>
        <v>0</v>
      </c>
      <c r="C179" s="31">
        <f>IF(ISBLANK(_xlfn.XLOOKUP("Which Flavor? (Pint Price | Quart Price | Half Gallon Price) (NOTE: Prices may fluctuate based on market conditions)",[1]Sheet1!$1:$1,[1]Sheet1!179:179)),_xlfn.XLOOKUP("Name Your Ice Cream!",[1]Sheet1!$1:$1,[1]Sheet1!179:179),IF(ISNUMBER(FIND("(", _xlfn.XLOOKUP("Which Flavor? (Pint Price | Quart Price | Half Gallon Price) (NOTE: Prices may fluctuate based on market conditions)",[1]Sheet1!$1:$1,[1]Sheet1!179:179))), LEFT(_xlfn.XLOOKUP("Which Flavor? (Pint Price | Quart Price | Half Gallon Price) (NOTE: Prices may fluctuate based on market conditions)",[1]Sheet1!$1:$1,[1]Sheet1!179:179), FIND("(", _xlfn.XLOOKUP("Which Flavor? (Pint Price | Quart Price | Half Gallon Price) (NOTE: Prices may fluctuate based on market conditions)",[1]Sheet1!$1:$1,[1]Sheet1!179:179)) - 1), _xlfn.XLOOKUP("Which Flavor? (Pint Price | Quart Price | Half Gallon Price) (NOTE: Prices may fluctuate based on market conditions)",[1]Sheet1!$1:$1,[1]Sheet1!179:179)))</f>
        <v>0</v>
      </c>
      <c r="D179" s="31">
        <f>IF(COUNTIF('Premade Flavors'!$A:$A, $C179) &gt; 0,IF(ISBLANK(_xlfn.XLOOKUP("What Ice Cream Base Do You Want To Change It To?",[1]Sheet1!$1:$1,[1]Sheet1!179:179)),_xlfn.XLOOKUP($C179,'Premade Flavors'!$A:$A,'Premade Flavors'!B:B),_xlfn.XLOOKUP("What Ice Cream Base Do You Want To Change It To?",[1]Sheet1!$1:$1,[1]Sheet1!179:179)),_xlfn.XLOOKUP(_xlfn.XLOOKUP("What Kind Of Ice Cream Base Do You Want? ",[1]Sheet1!$1:$1,[1]Sheet1!179:179),'Milk Types Nutrition Per Cup'!O:O,'Milk Types Nutrition Per Cup'!P:P,""))</f>
        <v>0</v>
      </c>
      <c r="E179" s="31">
        <f>IF(COUNTIF('Premade Flavors'!$A:$A, $C179) &gt; 0,IF(ISBLANK(_xlfn.XLOOKUP("What Ice Cream Base Do You Want To Change It To?",[1]Sheet1!$1:$1,[1]Sheet1!179:179)),_xlfn.XLOOKUP($C179,'Premade Flavors'!$A:$A,'Premade Flavors'!C:C),_xlfn.XLOOKUP("What Ice Cream Base Do You Want To Change It To?",[1]Sheet1!$1:$1,[1]Sheet1!179:179)),_xlfn.XLOOKUP(_xlfn.XLOOKUP("What Kind Of Ice Cream Base Do You Want? ",[1]Sheet1!$1:$1,[1]Sheet1!179:179),'Milk Types Nutrition Per Cup'!$O:$O,'Milk Types Nutrition Per Cup'!$Q:$Q,""))</f>
        <v>0</v>
      </c>
      <c r="F179" s="31">
        <f>IF(COUNTIF('Premade Flavors'!$A:$A, $C179) &gt; 0,_xlfn.XLOOKUP($C179,'Premade Flavors'!$A:$A,'Premade Flavors'!E:E),_xlfn.XLOOKUP("What's The First Flavor You Want? ",[1]Sheet1!$1:$1,[1]Sheet1!179:179))</f>
        <v>0</v>
      </c>
      <c r="G179" s="31">
        <f>IF(COUNTIF('Premade Flavors'!$A:$A, $C179) &gt; 0,_xlfn.XLOOKUP($C179,'Premade Flavors'!$A:$A,'Premade Flavors'!F:F),_xlfn.XLOOKUP("What's the Second Flavor You Want?",[1]Sheet1!$1:$1,[1]Sheet1!179:179))</f>
        <v>0</v>
      </c>
      <c r="H179" s="31">
        <f>IF(COUNTIF('Premade Flavors'!$A:$A, $C179) &gt; 0,_xlfn.XLOOKUP($C179,'Premade Flavors'!$A:$A,'Premade Flavors'!G:G),_xlfn.XLOOKUP("What's The First Mix In That You Want? ",[1]Sheet1!$1:$1,[1]Sheet1!179:179))</f>
        <v>0</v>
      </c>
      <c r="I179" s="31">
        <f>IF(COUNTIF('Premade Flavors'!$A:$A, $C177) &gt; 0,_xlfn.XLOOKUP($C177,'Premade Flavors'!$A:$A,'Premade Flavors'!H:H),IF([2]Sheet1!W177= 0,,[2]Sheet1!W177))</f>
        <v>0</v>
      </c>
      <c r="J179" s="31">
        <f>IF(COUNTIF('Premade Flavors'!$A:$A,$C179)&gt;0,IF(_xlfn.XLOOKUP("Should It Use Sugar or A Non-Sugar Sweetner?",[1]Sheet1!$1:$1,[1]Sheet1!179:179)="Sugar",_xlfn.XLOOKUP($C179,'Premade Flavors'!$A:$A,'Premade Flavors'!I:I),"Stevia"),_xlfn.XLOOKUP("What Sweetner Do You Want?",[1]Sheet1!$1:$1,[1]Sheet1!179:179))</f>
        <v>0</v>
      </c>
      <c r="K179" s="31"/>
      <c r="L179" s="77">
        <f>_xlfn.XLOOKUP("How Much Ice Cream Do You Want?",[1]Sheet1!$1:$1,[1]Sheet1!179:179)</f>
        <v>0</v>
      </c>
      <c r="M179" s="45">
        <f>IF(COUNTIF('Premade Flavors'!$A:$A, $C179) &gt; 0,_xlfn.XLOOKUP($C179,'Premade Flavors'!$A:$A,'Premade Flavors'!M:M),_xlfn.XLOOKUP("How Strong Do You Want The First Flavor?",[1]Sheet1!$1:$1,[1]Sheet1!179:179))</f>
        <v>0</v>
      </c>
      <c r="N179" s="45">
        <f>IF(COUNTIF('Premade Flavors'!$A:$A, $C179) &gt; 0,_xlfn.XLOOKUP($C179,'Premade Flavors'!$A:$A,'Premade Flavors'!N:N),_xlfn.XLOOKUP("How Strong Do You Want The Second Flavor?",[1]Sheet1!$1:$1,[1]Sheet1!179:179))</f>
        <v>0</v>
      </c>
      <c r="O179" s="45">
        <f>IF(COUNTIF('Premade Flavors'!$A:$A, $C179) &gt; 0,_xlfn.XLOOKUP($C179,'Premade Flavors'!$A:$A,'Premade Flavors'!O:O),_xlfn.XLOOKUP("How Dense Should the Mix Ins Be?",[1]Sheet1!$1:$1,[1]Sheet1!179:179))</f>
        <v>0</v>
      </c>
      <c r="P179" s="45">
        <f>IF(COUNTIF('Premade Flavors'!$A:$A, $C179) &gt; 0,_xlfn.XLOOKUP($C179,'Premade Flavors'!$A:$A,'Premade Flavors'!P:P),_xlfn.XLOOKUP("How Much Of The First Sweetner? ",[1]Sheet1!$1:$1,[1]Sheet1!179:179))</f>
        <v>0</v>
      </c>
      <c r="Q179" s="45">
        <f>IF(COUNTIF('Premade Flavors'!$A:$A, $C179) &gt; 0,_xlfn.XLOOKUP($C179,'Premade Flavors'!$A:$A,'Premade Flavors'!Q:Q),[2]Sheet1!S179)</f>
        <v>0</v>
      </c>
      <c r="R179" s="30">
        <f>(_xlfn.XLOOKUP($L179,Specs!A:A,Specs!B:B,0)-(IF(_xlfn.XLOOKUP($F179,'Liquid Mix In Nutrition'!A:A,'Liquid Mix In Nutrition'!J:J,0)="Yes",0,$T179))-(IF(_xlfn.XLOOKUP($G179,'Liquid Mix In Nutrition'!A:A,'Liquid Mix In Nutrition'!J:J,0)="Yes",0,$U179))-(($V179/MAX(1,_xlfn.XLOOKUP($H179,'Solid Mix In Nutrition'!A:A,'Solid Mix In Nutrition'!I:I,1)))*240)-(($W179/MAX(1,_xlfn.XLOOKUP($I179,'Solid Mix In Nutrition'!A:A,'Solid Mix In Nutrition'!I:I,1)))*240))*0.66</f>
        <v>0</v>
      </c>
      <c r="S179" s="30">
        <f>(_xlfn.XLOOKUP($L179,Specs!A:A,Specs!B:B,0)-(IF(_xlfn.XLOOKUP($F179,'Liquid Mix In Nutrition'!A:A,'Liquid Mix In Nutrition'!J:J,0)="Yes",0,$T179))-(IF(_xlfn.XLOOKUP($G179,'Liquid Mix In Nutrition'!A:A,'Liquid Mix In Nutrition'!J:J,0)="Yes",0,$U179))-(($V179/MAX(1,_xlfn.XLOOKUP($H179,'Solid Mix In Nutrition'!A:A,'Solid Mix In Nutrition'!I:I,1)))*240)-(($W179/MAX(1,_xlfn.XLOOKUP($I179,'Solid Mix In Nutrition'!A:A,'Solid Mix In Nutrition'!I:I,1)))*240))*0.33</f>
        <v>0</v>
      </c>
      <c r="T179" s="30">
        <f>_xlfn.XLOOKUP($M179,Specs!$D:$D,Specs!$E:$E,0)*15*_xlfn.XLOOKUP($L179,Specs!$A:$A,Specs!$C:$C,0)</f>
        <v>0</v>
      </c>
      <c r="U179" s="30">
        <f>_xlfn.XLOOKUP($N179,Specs!$D:$D,Specs!$E:$E,0)*15*_xlfn.XLOOKUP($L179,Specs!$A:$A,Specs!$C:$C,0)</f>
        <v>0</v>
      </c>
      <c r="V179" s="30">
        <f>( ((_xlfn.XLOOKUP($O179,Specs!$H:$H,Specs!$I:$I,0)*_xlfn.XLOOKUP($L179,Specs!$A:$A,Specs!$B:$B,0))/240) *_xlfn.XLOOKUP($H179,'Solid Mix In Nutrition'!A:A,'Solid Mix In Nutrition'!I:I,0)) *IF(AND(NOT($I179=0), COUNTA($I179)),0.5,1)</f>
        <v>0</v>
      </c>
      <c r="W179" s="30">
        <f>( ((_xlfn.XLOOKUP($O179,Specs!$H:$H,Specs!$I:$I,0)*_xlfn.XLOOKUP($L179,Specs!$A:$A,Specs!$B:$B,0))/240) *_xlfn.XLOOKUP($I179,'Solid Mix In Nutrition'!A:A,'Solid Mix In Nutrition'!I:I,0)) *IF(AND(NOT($I179=0), COUNTA($I179)),0.5,0)</f>
        <v>0</v>
      </c>
      <c r="X179" s="30">
        <f>_xlfn.XLOOKUP($P179,Specs!F:F,Specs!G:G,0)*_xlfn.XLOOKUP($J179,'Sweetener Mix In Nutrition'!A:A,'Sweetener Mix In Nutrition'!I:I,0)*_xlfn.XLOOKUP($L179,Specs!A:A,Specs!C:C,0)</f>
        <v>0</v>
      </c>
      <c r="Y179" s="30">
        <f>_xlfn.XLOOKUP($Q179,Specs!F:F,Specs!G:G,0)*_xlfn.XLOOKUP($K179,'Sweetener Mix In Nutrition'!A:A,'Sweetener Mix In Nutrition'!I:I,0)*_xlfn.XLOOKUP($L179,Specs!A:A,Specs!C:C,0)</f>
        <v>0</v>
      </c>
      <c r="Z179" s="34">
        <f t="shared" si="6"/>
        <v>0</v>
      </c>
      <c r="AA179" s="35">
        <f t="shared" si="7"/>
        <v>0</v>
      </c>
      <c r="AB179" s="36">
        <f>(($R179 / 240) * _xlfn.XLOOKUP($D179,'Milk Types Nutrition Per Cup'!A:A,'Milk Types Nutrition Per Cup'!B:B,0)) +(($S179 / 240)  * _xlfn.XLOOKUP($E179,'Milk Types Nutrition Per Cup'!A:A,'Milk Types Nutrition Per Cup'!B:B,0)) +(($T179 / 15)  * _xlfn.XLOOKUP($F179,'Liquid Mix In Nutrition'!A:A,'Liquid Mix In Nutrition'!B:B,0))+(($U179 / 15)  * _xlfn.XLOOKUP($G179,'Liquid Mix In Nutrition'!A:A,'Liquid Mix In Nutrition'!B:B,0))+(($V179 /MAX(1, _xlfn.XLOOKUP($H179,'Solid Mix In Nutrition'!A:A,'Solid Mix In Nutrition'!I:I,1)))  * _xlfn.XLOOKUP($H179,'Solid Mix In Nutrition'!A:A,'Solid Mix In Nutrition'!B:B,0))+(($W179 / MAX(1, _xlfn.XLOOKUP($I179,'Solid Mix In Nutrition'!A:A,'Solid Mix In Nutrition'!I:I,1))))+(($X179 / 100)  * _xlfn.XLOOKUP($J179,'Sweetener Mix In Nutrition'!A:A,'Sweetener Mix In Nutrition'!B:B,0))+(($Y179 / 100)  * _xlfn.XLOOKUP($K179,'Sweetener Mix In Nutrition'!A:A,'Sweetener Mix In Nutrition'!B:B,0))</f>
        <v>0</v>
      </c>
      <c r="AC179" s="36">
        <f>(($R179 / 240) * _xlfn.XLOOKUP($D179,'Milk Types Nutrition Per Cup'!A:A,'Milk Types Nutrition Per Cup'!E:E,0)) +(($S179 / 240)  * _xlfn.XLOOKUP($E179,'Milk Types Nutrition Per Cup'!A:A,'Milk Types Nutrition Per Cup'!E:E,0)) +(($T179 / 15)  * _xlfn.XLOOKUP($F179,'Liquid Mix In Nutrition'!A:A,'Liquid Mix In Nutrition'!E:E,0)) +(($U179 / 15)  * _xlfn.XLOOKUP($G179,'Liquid Mix In Nutrition'!A:A,'Liquid Mix In Nutrition'!E:E,0))+(($V179 / MAX(1, _xlfn.XLOOKUP($H179,'Solid Mix In Nutrition'!A:A,'Solid Mix In Nutrition'!I:I,1)))  * _xlfn.XLOOKUP($H179,'Solid Mix In Nutrition'!A:A,'Solid Mix In Nutrition'!E:E,0))+(($W179 / MAX(1, _xlfn.XLOOKUP($I179,'Solid Mix In Nutrition'!A:A,'Solid Mix In Nutrition'!I:I,1)))  * _xlfn.XLOOKUP($I179,'Solid Mix In Nutrition'!A:A,'Solid Mix In Nutrition'!G:G,0))+(($X179 / 100)  * _xlfn.XLOOKUP($J179,'Sweetener Mix In Nutrition'!A:A,'Sweetener Mix In Nutrition'!E:E,0))+(($Y179 / 100)  * _xlfn.XLOOKUP($K179,'Sweetener Mix In Nutrition'!A:A,'Sweetener Mix In Nutrition'!E:E,0))</f>
        <v>0</v>
      </c>
      <c r="AD179" s="36">
        <f>(($R179 / 240) * _xlfn.XLOOKUP($D179,'Milk Types Nutrition Per Cup'!A:A,'Milk Types Nutrition Per Cup'!E:E,0)) +(($S179 / 240)  * _xlfn.XLOOKUP($E179,'Milk Types Nutrition Per Cup'!A:A,'Milk Types Nutrition Per Cup'!E:E,0)) +(($T179 / 15)  * _xlfn.XLOOKUP($F179,'Liquid Mix In Nutrition'!A:A,'Liquid Mix In Nutrition'!E:E,0)) +(($U179 / 15)  * _xlfn.XLOOKUP($G179,'Liquid Mix In Nutrition'!A:A,'Liquid Mix In Nutrition'!E:E,0))+(($X179 / 100)  * _xlfn.XLOOKUP($J179,'Sweetener Mix In Nutrition'!A:A,'Sweetener Mix In Nutrition'!E:E,0))+(($Y179 / 100)  * _xlfn.XLOOKUP($K179,'Sweetener Mix In Nutrition'!A:A,'Sweetener Mix In Nutrition'!E:E,0))</f>
        <v>0</v>
      </c>
      <c r="AE179" s="37">
        <f>(($R179 / 240) * _xlfn.XLOOKUP($D179,'Milk Types Nutrition Per Cup'!A:A,'Milk Types Nutrition Per Cup'!C:C,0)) +(($S179 / 240)  * _xlfn.XLOOKUP($E179,'Milk Types Nutrition Per Cup'!A:A,'Milk Types Nutrition Per Cup'!C:C,0)) +(($T179 / 15)  * _xlfn.XLOOKUP($F179,'Liquid Mix In Nutrition'!A:A,'Liquid Mix In Nutrition'!C:C,0))+(($U179 / 15)  * _xlfn.XLOOKUP($G179,'Liquid Mix In Nutrition'!A:A,'Liquid Mix In Nutrition'!C:C,0))+(($V179 / MAX(1, _xlfn.XLOOKUP($H179,'Solid Mix In Nutrition'!A:A,'Solid Mix In Nutrition'!I:I,1)))  * _xlfn.XLOOKUP($H179,'Solid Mix In Nutrition'!A:A,'Solid Mix In Nutrition'!C:C,0))+(($W179 / MAX(1, _xlfn.XLOOKUP($I179,'Solid Mix In Nutrition'!A:A,'Solid Mix In Nutrition'!I:I,1)))  * _xlfn.XLOOKUP($I179,'Solid Mix In Nutrition'!A:A,'Solid Mix In Nutrition'!C:C,0))+(($X179 / 100)  * _xlfn.XLOOKUP($J179,'Sweetener Mix In Nutrition'!A:A,'Sweetener Mix In Nutrition'!C:C,0))+(($Y179 / 100)  * _xlfn.XLOOKUP($K179,'Sweetener Mix In Nutrition'!A:A,'Sweetener Mix In Nutrition'!C:C,0))</f>
        <v>0</v>
      </c>
      <c r="AF179" s="38" t="e">
        <f>$AE179 / (_xlfn.XLOOKUP($L179,Specs!A:A,Specs!B:B,0))</f>
        <v>#DIV/0!</v>
      </c>
      <c r="AG179" s="37" t="e">
        <f>60* ($AB179 / _xlfn.XLOOKUP($L179,Specs!A:A,Specs!B:B,0))</f>
        <v>#DIV/0!</v>
      </c>
      <c r="AH179" s="37" t="e">
        <f>60* (AC179 / _xlfn.XLOOKUP($L179,Specs!$A:$A,Specs!$B:$B,0))</f>
        <v>#DIV/0!</v>
      </c>
      <c r="AI179" s="37" t="e">
        <f>60* (AE179 / _xlfn.XLOOKUP($L179,Specs!$A:$A,Specs!$B:$B,0))</f>
        <v>#DIV/0!</v>
      </c>
      <c r="AJ179" s="39">
        <f>(($R179 / 240) * _xlfn.XLOOKUP($D179,'Milk Types Nutrition Per Cup'!A:A,'Milk Types Nutrition Per Cup'!F:F,0)) +(($S179 / 240)  * _xlfn.XLOOKUP($E179,'Milk Types Nutrition Per Cup'!A:A,'Milk Types Nutrition Per Cup'!F:F,0)) +(($T179 / 15)  * _xlfn.XLOOKUP($F179,'Liquid Mix In Nutrition'!A:A,'Liquid Mix In Nutrition'!F:F,0))+(($U179 / 15)  * _xlfn.XLOOKUP($G179,'Liquid Mix In Nutrition'!A:A,'Liquid Mix In Nutrition'!F:F,0))+(($V179 / MAX(1, _xlfn.XLOOKUP($H179,'Solid Mix In Nutrition'!A:A,'Solid Mix In Nutrition'!I:I,1)))  * _xlfn.XLOOKUP($H179,'Solid Mix In Nutrition'!A:A,'Solid Mix In Nutrition'!F:F,0))+(($W179 / MAX(1, _xlfn.XLOOKUP($I179,'Solid Mix In Nutrition'!A:A,'Solid Mix In Nutrition'!I:I,1)))  * _xlfn.XLOOKUP($I179,'Solid Mix In Nutrition'!A:A,'Solid Mix In Nutrition'!F:F,0))+(($X179 / 100)  * _xlfn.XLOOKUP($J179,'Sweetener Mix In Nutrition'!A:A,'Sweetener Mix In Nutrition'!F:F,0))+(($Y179 / 100)  * _xlfn.XLOOKUP($K179,'Sweetener Mix In Nutrition'!A:A,'Sweetener Mix In Nutrition'!F:F,0))</f>
        <v>0</v>
      </c>
      <c r="AK179" s="46">
        <f>[2]Sheet1!AG179</f>
        <v>0</v>
      </c>
      <c r="AL179" s="47"/>
      <c r="AM179" s="40">
        <f>IF(ISERROR(((AL179/Specs!$L$3)*Specs!$L$2)*2),0,ROUNDUP((((AL179/Specs!$L$3)*Specs!$L$2)*2),0))</f>
        <v>0</v>
      </c>
      <c r="AN179" s="48">
        <f>ROUNDUP(((AJ179+Specs!$R$2+Specs!$S$2+_xlfn.XLOOKUP($L179,Specs!A:A,Specs!V:V,0))*Specs!$N$2)+AM179,0)</f>
        <v>1</v>
      </c>
      <c r="AO179" s="40">
        <f>ROUNDUP(((AJ179+Specs!$R$2+Specs!$S$2+_xlfn.XLOOKUP($L179,Specs!A:A,Specs!V:V,0))*Specs!$N$2),0)</f>
        <v>1</v>
      </c>
      <c r="AP179" s="30"/>
    </row>
    <row r="180" spans="1:42" x14ac:dyDescent="0.25">
      <c r="A180" s="41" t="str">
        <f>_xlfn.CONCAT(_xlfn.XLOOKUP("What's Your Name?",[1]Sheet1!$1:$1,[1]Sheet1!180:180)," | ",TEXT(_xlfn.XLOOKUP("Completion time",[1]Sheet1!$1:$1,[1]Sheet1!180:180),"dddd, mmm dd, yyyy hh:mm AM/PM"))</f>
        <v xml:space="preserve"> | Saturday, Jan 00, 1900 12:00 AM</v>
      </c>
      <c r="B180" s="76">
        <f>_xlfn.XLOOKUP("What's Your Email Address?",[1]Sheet1!$1:$1,[1]Sheet1!180:180)</f>
        <v>0</v>
      </c>
      <c r="C180" s="31">
        <f>IF(ISBLANK(_xlfn.XLOOKUP("Which Flavor? (Pint Price | Quart Price | Half Gallon Price) (NOTE: Prices may fluctuate based on market conditions)",[1]Sheet1!$1:$1,[1]Sheet1!180:180)),_xlfn.XLOOKUP("Name Your Ice Cream!",[1]Sheet1!$1:$1,[1]Sheet1!180:180),IF(ISNUMBER(FIND("(", _xlfn.XLOOKUP("Which Flavor? (Pint Price | Quart Price | Half Gallon Price) (NOTE: Prices may fluctuate based on market conditions)",[1]Sheet1!$1:$1,[1]Sheet1!180:180))), LEFT(_xlfn.XLOOKUP("Which Flavor? (Pint Price | Quart Price | Half Gallon Price) (NOTE: Prices may fluctuate based on market conditions)",[1]Sheet1!$1:$1,[1]Sheet1!180:180), FIND("(", _xlfn.XLOOKUP("Which Flavor? (Pint Price | Quart Price | Half Gallon Price) (NOTE: Prices may fluctuate based on market conditions)",[1]Sheet1!$1:$1,[1]Sheet1!180:180)) - 1), _xlfn.XLOOKUP("Which Flavor? (Pint Price | Quart Price | Half Gallon Price) (NOTE: Prices may fluctuate based on market conditions)",[1]Sheet1!$1:$1,[1]Sheet1!180:180)))</f>
        <v>0</v>
      </c>
      <c r="D180" s="31">
        <f>IF(COUNTIF('Premade Flavors'!$A:$A, $C180) &gt; 0,IF(ISBLANK(_xlfn.XLOOKUP("What Ice Cream Base Do You Want To Change It To?",[1]Sheet1!$1:$1,[1]Sheet1!180:180)),_xlfn.XLOOKUP($C180,'Premade Flavors'!$A:$A,'Premade Flavors'!B:B),_xlfn.XLOOKUP("What Ice Cream Base Do You Want To Change It To?",[1]Sheet1!$1:$1,[1]Sheet1!180:180)),_xlfn.XLOOKUP(_xlfn.XLOOKUP("What Kind Of Ice Cream Base Do You Want? ",[1]Sheet1!$1:$1,[1]Sheet1!180:180),'Milk Types Nutrition Per Cup'!O:O,'Milk Types Nutrition Per Cup'!P:P,""))</f>
        <v>0</v>
      </c>
      <c r="E180" s="31">
        <f>IF(COUNTIF('Premade Flavors'!$A:$A, $C180) &gt; 0,IF(ISBLANK(_xlfn.XLOOKUP("What Ice Cream Base Do You Want To Change It To?",[1]Sheet1!$1:$1,[1]Sheet1!180:180)),_xlfn.XLOOKUP($C180,'Premade Flavors'!$A:$A,'Premade Flavors'!C:C),_xlfn.XLOOKUP("What Ice Cream Base Do You Want To Change It To?",[1]Sheet1!$1:$1,[1]Sheet1!180:180)),_xlfn.XLOOKUP(_xlfn.XLOOKUP("What Kind Of Ice Cream Base Do You Want? ",[1]Sheet1!$1:$1,[1]Sheet1!180:180),'Milk Types Nutrition Per Cup'!$O:$O,'Milk Types Nutrition Per Cup'!$Q:$Q,""))</f>
        <v>0</v>
      </c>
      <c r="F180" s="31">
        <f>IF(COUNTIF('Premade Flavors'!$A:$A, $C180) &gt; 0,_xlfn.XLOOKUP($C180,'Premade Flavors'!$A:$A,'Premade Flavors'!E:E),_xlfn.XLOOKUP("What's The First Flavor You Want? ",[1]Sheet1!$1:$1,[1]Sheet1!180:180))</f>
        <v>0</v>
      </c>
      <c r="G180" s="31">
        <f>IF(COUNTIF('Premade Flavors'!$A:$A, $C180) &gt; 0,_xlfn.XLOOKUP($C180,'Premade Flavors'!$A:$A,'Premade Flavors'!F:F),_xlfn.XLOOKUP("What's the Second Flavor You Want?",[1]Sheet1!$1:$1,[1]Sheet1!180:180))</f>
        <v>0</v>
      </c>
      <c r="H180" s="31">
        <f>IF(COUNTIF('Premade Flavors'!$A:$A, $C180) &gt; 0,_xlfn.XLOOKUP($C180,'Premade Flavors'!$A:$A,'Premade Flavors'!G:G),_xlfn.XLOOKUP("What's The First Mix In That You Want? ",[1]Sheet1!$1:$1,[1]Sheet1!180:180))</f>
        <v>0</v>
      </c>
      <c r="I180" s="31">
        <f>IF(COUNTIF('Premade Flavors'!$A:$A, $C178) &gt; 0,_xlfn.XLOOKUP($C178,'Premade Flavors'!$A:$A,'Premade Flavors'!H:H),IF([2]Sheet1!W178= 0,,[2]Sheet1!W178))</f>
        <v>0</v>
      </c>
      <c r="J180" s="31">
        <f>IF(COUNTIF('Premade Flavors'!$A:$A,$C180)&gt;0,IF(_xlfn.XLOOKUP("Should It Use Sugar or A Non-Sugar Sweetner?",[1]Sheet1!$1:$1,[1]Sheet1!180:180)="Sugar",_xlfn.XLOOKUP($C180,'Premade Flavors'!$A:$A,'Premade Flavors'!I:I),"Stevia"),_xlfn.XLOOKUP("What Sweetner Do You Want?",[1]Sheet1!$1:$1,[1]Sheet1!180:180))</f>
        <v>0</v>
      </c>
      <c r="K180" s="31"/>
      <c r="L180" s="77">
        <f>_xlfn.XLOOKUP("How Much Ice Cream Do You Want?",[1]Sheet1!$1:$1,[1]Sheet1!180:180)</f>
        <v>0</v>
      </c>
      <c r="M180" s="45">
        <f>IF(COUNTIF('Premade Flavors'!$A:$A, $C180) &gt; 0,_xlfn.XLOOKUP($C180,'Premade Flavors'!$A:$A,'Premade Flavors'!M:M),_xlfn.XLOOKUP("How Strong Do You Want The First Flavor?",[1]Sheet1!$1:$1,[1]Sheet1!180:180))</f>
        <v>0</v>
      </c>
      <c r="N180" s="45">
        <f>IF(COUNTIF('Premade Flavors'!$A:$A, $C180) &gt; 0,_xlfn.XLOOKUP($C180,'Premade Flavors'!$A:$A,'Premade Flavors'!N:N),_xlfn.XLOOKUP("How Strong Do You Want The Second Flavor?",[1]Sheet1!$1:$1,[1]Sheet1!180:180))</f>
        <v>0</v>
      </c>
      <c r="O180" s="45">
        <f>IF(COUNTIF('Premade Flavors'!$A:$A, $C180) &gt; 0,_xlfn.XLOOKUP($C180,'Premade Flavors'!$A:$A,'Premade Flavors'!O:O),_xlfn.XLOOKUP("How Dense Should the Mix Ins Be?",[1]Sheet1!$1:$1,[1]Sheet1!180:180))</f>
        <v>0</v>
      </c>
      <c r="P180" s="45">
        <f>IF(COUNTIF('Premade Flavors'!$A:$A, $C180) &gt; 0,_xlfn.XLOOKUP($C180,'Premade Flavors'!$A:$A,'Premade Flavors'!P:P),_xlfn.XLOOKUP("How Much Of The First Sweetner? ",[1]Sheet1!$1:$1,[1]Sheet1!180:180))</f>
        <v>0</v>
      </c>
      <c r="Q180" s="45">
        <f>IF(COUNTIF('Premade Flavors'!$A:$A, $C180) &gt; 0,_xlfn.XLOOKUP($C180,'Premade Flavors'!$A:$A,'Premade Flavors'!Q:Q),[2]Sheet1!S180)</f>
        <v>0</v>
      </c>
      <c r="R180" s="30">
        <f>(_xlfn.XLOOKUP($L180,Specs!A:A,Specs!B:B,0)-(IF(_xlfn.XLOOKUP($F180,'Liquid Mix In Nutrition'!A:A,'Liquid Mix In Nutrition'!J:J,0)="Yes",0,$T180))-(IF(_xlfn.XLOOKUP($G180,'Liquid Mix In Nutrition'!A:A,'Liquid Mix In Nutrition'!J:J,0)="Yes",0,$U180))-(($V180/MAX(1,_xlfn.XLOOKUP($H180,'Solid Mix In Nutrition'!A:A,'Solid Mix In Nutrition'!I:I,1)))*240)-(($W180/MAX(1,_xlfn.XLOOKUP($I180,'Solid Mix In Nutrition'!A:A,'Solid Mix In Nutrition'!I:I,1)))*240))*0.66</f>
        <v>0</v>
      </c>
      <c r="S180" s="30">
        <f>(_xlfn.XLOOKUP($L180,Specs!A:A,Specs!B:B,0)-(IF(_xlfn.XLOOKUP($F180,'Liquid Mix In Nutrition'!A:A,'Liquid Mix In Nutrition'!J:J,0)="Yes",0,$T180))-(IF(_xlfn.XLOOKUP($G180,'Liquid Mix In Nutrition'!A:A,'Liquid Mix In Nutrition'!J:J,0)="Yes",0,$U180))-(($V180/MAX(1,_xlfn.XLOOKUP($H180,'Solid Mix In Nutrition'!A:A,'Solid Mix In Nutrition'!I:I,1)))*240)-(($W180/MAX(1,_xlfn.XLOOKUP($I180,'Solid Mix In Nutrition'!A:A,'Solid Mix In Nutrition'!I:I,1)))*240))*0.33</f>
        <v>0</v>
      </c>
      <c r="T180" s="30">
        <f>_xlfn.XLOOKUP($M180,Specs!$D:$D,Specs!$E:$E,0)*15*_xlfn.XLOOKUP($L180,Specs!$A:$A,Specs!$C:$C,0)</f>
        <v>0</v>
      </c>
      <c r="U180" s="30">
        <f>_xlfn.XLOOKUP($N180,Specs!$D:$D,Specs!$E:$E,0)*15*_xlfn.XLOOKUP($L180,Specs!$A:$A,Specs!$C:$C,0)</f>
        <v>0</v>
      </c>
      <c r="V180" s="30">
        <f>( ((_xlfn.XLOOKUP($O180,Specs!$H:$H,Specs!$I:$I,0)*_xlfn.XLOOKUP($L180,Specs!$A:$A,Specs!$B:$B,0))/240) *_xlfn.XLOOKUP($H180,'Solid Mix In Nutrition'!A:A,'Solid Mix In Nutrition'!I:I,0)) *IF(AND(NOT($I180=0), COUNTA($I180)),0.5,1)</f>
        <v>0</v>
      </c>
      <c r="W180" s="30">
        <f>( ((_xlfn.XLOOKUP($O180,Specs!$H:$H,Specs!$I:$I,0)*_xlfn.XLOOKUP($L180,Specs!$A:$A,Specs!$B:$B,0))/240) *_xlfn.XLOOKUP($I180,'Solid Mix In Nutrition'!A:A,'Solid Mix In Nutrition'!I:I,0)) *IF(AND(NOT($I180=0), COUNTA($I180)),0.5,0)</f>
        <v>0</v>
      </c>
      <c r="X180" s="30">
        <f>_xlfn.XLOOKUP($P180,Specs!F:F,Specs!G:G,0)*_xlfn.XLOOKUP($J180,'Sweetener Mix In Nutrition'!A:A,'Sweetener Mix In Nutrition'!I:I,0)*_xlfn.XLOOKUP($L180,Specs!A:A,Specs!C:C,0)</f>
        <v>0</v>
      </c>
      <c r="Y180" s="30">
        <f>_xlfn.XLOOKUP($Q180,Specs!F:F,Specs!G:G,0)*_xlfn.XLOOKUP($K180,'Sweetener Mix In Nutrition'!A:A,'Sweetener Mix In Nutrition'!I:I,0)*_xlfn.XLOOKUP($L180,Specs!A:A,Specs!C:C,0)</f>
        <v>0</v>
      </c>
      <c r="Z180" s="34">
        <f t="shared" si="6"/>
        <v>0</v>
      </c>
      <c r="AA180" s="35">
        <f t="shared" si="7"/>
        <v>0</v>
      </c>
      <c r="AB180" s="36">
        <f>(($R180 / 240) * _xlfn.XLOOKUP($D180,'Milk Types Nutrition Per Cup'!A:A,'Milk Types Nutrition Per Cup'!B:B,0)) +(($S180 / 240)  * _xlfn.XLOOKUP($E180,'Milk Types Nutrition Per Cup'!A:A,'Milk Types Nutrition Per Cup'!B:B,0)) +(($T180 / 15)  * _xlfn.XLOOKUP($F180,'Liquid Mix In Nutrition'!A:A,'Liquid Mix In Nutrition'!B:B,0))+(($U180 / 15)  * _xlfn.XLOOKUP($G180,'Liquid Mix In Nutrition'!A:A,'Liquid Mix In Nutrition'!B:B,0))+(($V180 /MAX(1, _xlfn.XLOOKUP($H180,'Solid Mix In Nutrition'!A:A,'Solid Mix In Nutrition'!I:I,1)))  * _xlfn.XLOOKUP($H180,'Solid Mix In Nutrition'!A:A,'Solid Mix In Nutrition'!B:B,0))+(($W180 / MAX(1, _xlfn.XLOOKUP($I180,'Solid Mix In Nutrition'!A:A,'Solid Mix In Nutrition'!I:I,1))))+(($X180 / 100)  * _xlfn.XLOOKUP($J180,'Sweetener Mix In Nutrition'!A:A,'Sweetener Mix In Nutrition'!B:B,0))+(($Y180 / 100)  * _xlfn.XLOOKUP($K180,'Sweetener Mix In Nutrition'!A:A,'Sweetener Mix In Nutrition'!B:B,0))</f>
        <v>0</v>
      </c>
      <c r="AC180" s="36">
        <f>(($R180 / 240) * _xlfn.XLOOKUP($D180,'Milk Types Nutrition Per Cup'!A:A,'Milk Types Nutrition Per Cup'!E:E,0)) +(($S180 / 240)  * _xlfn.XLOOKUP($E180,'Milk Types Nutrition Per Cup'!A:A,'Milk Types Nutrition Per Cup'!E:E,0)) +(($T180 / 15)  * _xlfn.XLOOKUP($F180,'Liquid Mix In Nutrition'!A:A,'Liquid Mix In Nutrition'!E:E,0)) +(($U180 / 15)  * _xlfn.XLOOKUP($G180,'Liquid Mix In Nutrition'!A:A,'Liquid Mix In Nutrition'!E:E,0))+(($V180 / MAX(1, _xlfn.XLOOKUP($H180,'Solid Mix In Nutrition'!A:A,'Solid Mix In Nutrition'!I:I,1)))  * _xlfn.XLOOKUP($H180,'Solid Mix In Nutrition'!A:A,'Solid Mix In Nutrition'!E:E,0))+(($W180 / MAX(1, _xlfn.XLOOKUP($I180,'Solid Mix In Nutrition'!A:A,'Solid Mix In Nutrition'!I:I,1)))  * _xlfn.XLOOKUP($I180,'Solid Mix In Nutrition'!A:A,'Solid Mix In Nutrition'!G:G,0))+(($X180 / 100)  * _xlfn.XLOOKUP($J180,'Sweetener Mix In Nutrition'!A:A,'Sweetener Mix In Nutrition'!E:E,0))+(($Y180 / 100)  * _xlfn.XLOOKUP($K180,'Sweetener Mix In Nutrition'!A:A,'Sweetener Mix In Nutrition'!E:E,0))</f>
        <v>0</v>
      </c>
      <c r="AD180" s="36">
        <f>(($R180 / 240) * _xlfn.XLOOKUP($D180,'Milk Types Nutrition Per Cup'!A:A,'Milk Types Nutrition Per Cup'!E:E,0)) +(($S180 / 240)  * _xlfn.XLOOKUP($E180,'Milk Types Nutrition Per Cup'!A:A,'Milk Types Nutrition Per Cup'!E:E,0)) +(($T180 / 15)  * _xlfn.XLOOKUP($F180,'Liquid Mix In Nutrition'!A:A,'Liquid Mix In Nutrition'!E:E,0)) +(($U180 / 15)  * _xlfn.XLOOKUP($G180,'Liquid Mix In Nutrition'!A:A,'Liquid Mix In Nutrition'!E:E,0))+(($X180 / 100)  * _xlfn.XLOOKUP($J180,'Sweetener Mix In Nutrition'!A:A,'Sweetener Mix In Nutrition'!E:E,0))+(($Y180 / 100)  * _xlfn.XLOOKUP($K180,'Sweetener Mix In Nutrition'!A:A,'Sweetener Mix In Nutrition'!E:E,0))</f>
        <v>0</v>
      </c>
      <c r="AE180" s="37">
        <f>(($R180 / 240) * _xlfn.XLOOKUP($D180,'Milk Types Nutrition Per Cup'!A:A,'Milk Types Nutrition Per Cup'!C:C,0)) +(($S180 / 240)  * _xlfn.XLOOKUP($E180,'Milk Types Nutrition Per Cup'!A:A,'Milk Types Nutrition Per Cup'!C:C,0)) +(($T180 / 15)  * _xlfn.XLOOKUP($F180,'Liquid Mix In Nutrition'!A:A,'Liquid Mix In Nutrition'!C:C,0))+(($U180 / 15)  * _xlfn.XLOOKUP($G180,'Liquid Mix In Nutrition'!A:A,'Liquid Mix In Nutrition'!C:C,0))+(($V180 / MAX(1, _xlfn.XLOOKUP($H180,'Solid Mix In Nutrition'!A:A,'Solid Mix In Nutrition'!I:I,1)))  * _xlfn.XLOOKUP($H180,'Solid Mix In Nutrition'!A:A,'Solid Mix In Nutrition'!C:C,0))+(($W180 / MAX(1, _xlfn.XLOOKUP($I180,'Solid Mix In Nutrition'!A:A,'Solid Mix In Nutrition'!I:I,1)))  * _xlfn.XLOOKUP($I180,'Solid Mix In Nutrition'!A:A,'Solid Mix In Nutrition'!C:C,0))+(($X180 / 100)  * _xlfn.XLOOKUP($J180,'Sweetener Mix In Nutrition'!A:A,'Sweetener Mix In Nutrition'!C:C,0))+(($Y180 / 100)  * _xlfn.XLOOKUP($K180,'Sweetener Mix In Nutrition'!A:A,'Sweetener Mix In Nutrition'!C:C,0))</f>
        <v>0</v>
      </c>
      <c r="AF180" s="38" t="e">
        <f>$AE180 / (_xlfn.XLOOKUP($L180,Specs!A:A,Specs!B:B,0))</f>
        <v>#DIV/0!</v>
      </c>
      <c r="AG180" s="37" t="e">
        <f>60* ($AB180 / _xlfn.XLOOKUP($L180,Specs!A:A,Specs!B:B,0))</f>
        <v>#DIV/0!</v>
      </c>
      <c r="AH180" s="37" t="e">
        <f>60* (AC180 / _xlfn.XLOOKUP($L180,Specs!$A:$A,Specs!$B:$B,0))</f>
        <v>#DIV/0!</v>
      </c>
      <c r="AI180" s="37" t="e">
        <f>60* (AE180 / _xlfn.XLOOKUP($L180,Specs!$A:$A,Specs!$B:$B,0))</f>
        <v>#DIV/0!</v>
      </c>
      <c r="AJ180" s="39">
        <f>(($R180 / 240) * _xlfn.XLOOKUP($D180,'Milk Types Nutrition Per Cup'!A:A,'Milk Types Nutrition Per Cup'!F:F,0)) +(($S180 / 240)  * _xlfn.XLOOKUP($E180,'Milk Types Nutrition Per Cup'!A:A,'Milk Types Nutrition Per Cup'!F:F,0)) +(($T180 / 15)  * _xlfn.XLOOKUP($F180,'Liquid Mix In Nutrition'!A:A,'Liquid Mix In Nutrition'!F:F,0))+(($U180 / 15)  * _xlfn.XLOOKUP($G180,'Liquid Mix In Nutrition'!A:A,'Liquid Mix In Nutrition'!F:F,0))+(($V180 / MAX(1, _xlfn.XLOOKUP($H180,'Solid Mix In Nutrition'!A:A,'Solid Mix In Nutrition'!I:I,1)))  * _xlfn.XLOOKUP($H180,'Solid Mix In Nutrition'!A:A,'Solid Mix In Nutrition'!F:F,0))+(($W180 / MAX(1, _xlfn.XLOOKUP($I180,'Solid Mix In Nutrition'!A:A,'Solid Mix In Nutrition'!I:I,1)))  * _xlfn.XLOOKUP($I180,'Solid Mix In Nutrition'!A:A,'Solid Mix In Nutrition'!F:F,0))+(($X180 / 100)  * _xlfn.XLOOKUP($J180,'Sweetener Mix In Nutrition'!A:A,'Sweetener Mix In Nutrition'!F:F,0))+(($Y180 / 100)  * _xlfn.XLOOKUP($K180,'Sweetener Mix In Nutrition'!A:A,'Sweetener Mix In Nutrition'!F:F,0))</f>
        <v>0</v>
      </c>
      <c r="AK180" s="46">
        <f>[2]Sheet1!AG180</f>
        <v>0</v>
      </c>
      <c r="AL180" s="47"/>
      <c r="AM180" s="40">
        <f>IF(ISERROR(((AL180/Specs!$L$3)*Specs!$L$2)*2),0,ROUNDUP((((AL180/Specs!$L$3)*Specs!$L$2)*2),0))</f>
        <v>0</v>
      </c>
      <c r="AN180" s="48">
        <f>ROUNDUP(((AJ180+Specs!$R$2+Specs!$S$2+_xlfn.XLOOKUP($L180,Specs!A:A,Specs!V:V,0))*Specs!$N$2)+AM180,0)</f>
        <v>1</v>
      </c>
      <c r="AO180" s="40">
        <f>ROUNDUP(((AJ180+Specs!$R$2+Specs!$S$2+_xlfn.XLOOKUP($L180,Specs!A:A,Specs!V:V,0))*Specs!$N$2),0)</f>
        <v>1</v>
      </c>
      <c r="AP180" s="30"/>
    </row>
    <row r="181" spans="1:42" x14ac:dyDescent="0.25">
      <c r="A181" s="41" t="str">
        <f>_xlfn.CONCAT(_xlfn.XLOOKUP("What's Your Name?",[1]Sheet1!$1:$1,[1]Sheet1!181:181)," | ",TEXT(_xlfn.XLOOKUP("Completion time",[1]Sheet1!$1:$1,[1]Sheet1!181:181),"dddd, mmm dd, yyyy hh:mm AM/PM"))</f>
        <v xml:space="preserve"> | Saturday, Jan 00, 1900 12:00 AM</v>
      </c>
      <c r="B181" s="76">
        <f>_xlfn.XLOOKUP("What's Your Email Address?",[1]Sheet1!$1:$1,[1]Sheet1!181:181)</f>
        <v>0</v>
      </c>
      <c r="C181" s="31">
        <f>IF(ISBLANK(_xlfn.XLOOKUP("Which Flavor? (Pint Price | Quart Price | Half Gallon Price) (NOTE: Prices may fluctuate based on market conditions)",[1]Sheet1!$1:$1,[1]Sheet1!181:181)),_xlfn.XLOOKUP("Name Your Ice Cream!",[1]Sheet1!$1:$1,[1]Sheet1!181:181),IF(ISNUMBER(FIND("(", _xlfn.XLOOKUP("Which Flavor? (Pint Price | Quart Price | Half Gallon Price) (NOTE: Prices may fluctuate based on market conditions)",[1]Sheet1!$1:$1,[1]Sheet1!181:181))), LEFT(_xlfn.XLOOKUP("Which Flavor? (Pint Price | Quart Price | Half Gallon Price) (NOTE: Prices may fluctuate based on market conditions)",[1]Sheet1!$1:$1,[1]Sheet1!181:181), FIND("(", _xlfn.XLOOKUP("Which Flavor? (Pint Price | Quart Price | Half Gallon Price) (NOTE: Prices may fluctuate based on market conditions)",[1]Sheet1!$1:$1,[1]Sheet1!181:181)) - 1), _xlfn.XLOOKUP("Which Flavor? (Pint Price | Quart Price | Half Gallon Price) (NOTE: Prices may fluctuate based on market conditions)",[1]Sheet1!$1:$1,[1]Sheet1!181:181)))</f>
        <v>0</v>
      </c>
      <c r="D181" s="31">
        <f>IF(COUNTIF('Premade Flavors'!$A:$A, $C181) &gt; 0,IF(ISBLANK(_xlfn.XLOOKUP("What Ice Cream Base Do You Want To Change It To?",[1]Sheet1!$1:$1,[1]Sheet1!181:181)),_xlfn.XLOOKUP($C181,'Premade Flavors'!$A:$A,'Premade Flavors'!B:B),_xlfn.XLOOKUP("What Ice Cream Base Do You Want To Change It To?",[1]Sheet1!$1:$1,[1]Sheet1!181:181)),_xlfn.XLOOKUP(_xlfn.XLOOKUP("What Kind Of Ice Cream Base Do You Want? ",[1]Sheet1!$1:$1,[1]Sheet1!181:181),'Milk Types Nutrition Per Cup'!O:O,'Milk Types Nutrition Per Cup'!P:P,""))</f>
        <v>0</v>
      </c>
      <c r="E181" s="31">
        <f>IF(COUNTIF('Premade Flavors'!$A:$A, $C181) &gt; 0,IF(ISBLANK(_xlfn.XLOOKUP("What Ice Cream Base Do You Want To Change It To?",[1]Sheet1!$1:$1,[1]Sheet1!181:181)),_xlfn.XLOOKUP($C181,'Premade Flavors'!$A:$A,'Premade Flavors'!C:C),_xlfn.XLOOKUP("What Ice Cream Base Do You Want To Change It To?",[1]Sheet1!$1:$1,[1]Sheet1!181:181)),_xlfn.XLOOKUP(_xlfn.XLOOKUP("What Kind Of Ice Cream Base Do You Want? ",[1]Sheet1!$1:$1,[1]Sheet1!181:181),'Milk Types Nutrition Per Cup'!$O:$O,'Milk Types Nutrition Per Cup'!$Q:$Q,""))</f>
        <v>0</v>
      </c>
      <c r="F181" s="31">
        <f>IF(COUNTIF('Premade Flavors'!$A:$A, $C181) &gt; 0,_xlfn.XLOOKUP($C181,'Premade Flavors'!$A:$A,'Premade Flavors'!E:E),_xlfn.XLOOKUP("What's The First Flavor You Want? ",[1]Sheet1!$1:$1,[1]Sheet1!181:181))</f>
        <v>0</v>
      </c>
      <c r="G181" s="31">
        <f>IF(COUNTIF('Premade Flavors'!$A:$A, $C181) &gt; 0,_xlfn.XLOOKUP($C181,'Premade Flavors'!$A:$A,'Premade Flavors'!F:F),_xlfn.XLOOKUP("What's the Second Flavor You Want?",[1]Sheet1!$1:$1,[1]Sheet1!181:181))</f>
        <v>0</v>
      </c>
      <c r="H181" s="31">
        <f>IF(COUNTIF('Premade Flavors'!$A:$A, $C181) &gt; 0,_xlfn.XLOOKUP($C181,'Premade Flavors'!$A:$A,'Premade Flavors'!G:G),_xlfn.XLOOKUP("What's The First Mix In That You Want? ",[1]Sheet1!$1:$1,[1]Sheet1!181:181))</f>
        <v>0</v>
      </c>
      <c r="I181" s="31">
        <f>IF(COUNTIF('Premade Flavors'!$A:$A, $C179) &gt; 0,_xlfn.XLOOKUP($C179,'Premade Flavors'!$A:$A,'Premade Flavors'!H:H),IF([2]Sheet1!W179= 0,,[2]Sheet1!W179))</f>
        <v>0</v>
      </c>
      <c r="J181" s="31">
        <f>IF(COUNTIF('Premade Flavors'!$A:$A,$C181)&gt;0,IF(_xlfn.XLOOKUP("Should It Use Sugar or A Non-Sugar Sweetner?",[1]Sheet1!$1:$1,[1]Sheet1!181:181)="Sugar",_xlfn.XLOOKUP($C181,'Premade Flavors'!$A:$A,'Premade Flavors'!I:I),"Stevia"),_xlfn.XLOOKUP("What Sweetner Do You Want?",[1]Sheet1!$1:$1,[1]Sheet1!181:181))</f>
        <v>0</v>
      </c>
      <c r="K181" s="31"/>
      <c r="L181" s="77">
        <f>_xlfn.XLOOKUP("How Much Ice Cream Do You Want?",[1]Sheet1!$1:$1,[1]Sheet1!181:181)</f>
        <v>0</v>
      </c>
      <c r="M181" s="45">
        <f>IF(COUNTIF('Premade Flavors'!$A:$A, $C181) &gt; 0,_xlfn.XLOOKUP($C181,'Premade Flavors'!$A:$A,'Premade Flavors'!M:M),_xlfn.XLOOKUP("How Strong Do You Want The First Flavor?",[1]Sheet1!$1:$1,[1]Sheet1!181:181))</f>
        <v>0</v>
      </c>
      <c r="N181" s="45">
        <f>IF(COUNTIF('Premade Flavors'!$A:$A, $C181) &gt; 0,_xlfn.XLOOKUP($C181,'Premade Flavors'!$A:$A,'Premade Flavors'!N:N),_xlfn.XLOOKUP("How Strong Do You Want The Second Flavor?",[1]Sheet1!$1:$1,[1]Sheet1!181:181))</f>
        <v>0</v>
      </c>
      <c r="O181" s="45">
        <f>IF(COUNTIF('Premade Flavors'!$A:$A, $C181) &gt; 0,_xlfn.XLOOKUP($C181,'Premade Flavors'!$A:$A,'Premade Flavors'!O:O),_xlfn.XLOOKUP("How Dense Should the Mix Ins Be?",[1]Sheet1!$1:$1,[1]Sheet1!181:181))</f>
        <v>0</v>
      </c>
      <c r="P181" s="45">
        <f>IF(COUNTIF('Premade Flavors'!$A:$A, $C181) &gt; 0,_xlfn.XLOOKUP($C181,'Premade Flavors'!$A:$A,'Premade Flavors'!P:P),_xlfn.XLOOKUP("How Much Of The First Sweetner? ",[1]Sheet1!$1:$1,[1]Sheet1!181:181))</f>
        <v>0</v>
      </c>
      <c r="Q181" s="45">
        <f>IF(COUNTIF('Premade Flavors'!$A:$A, $C181) &gt; 0,_xlfn.XLOOKUP($C181,'Premade Flavors'!$A:$A,'Premade Flavors'!Q:Q),[2]Sheet1!S181)</f>
        <v>0</v>
      </c>
      <c r="R181" s="30">
        <f>(_xlfn.XLOOKUP($L181,Specs!A:A,Specs!B:B,0)-(IF(_xlfn.XLOOKUP($F181,'Liquid Mix In Nutrition'!A:A,'Liquid Mix In Nutrition'!J:J,0)="Yes",0,$T181))-(IF(_xlfn.XLOOKUP($G181,'Liquid Mix In Nutrition'!A:A,'Liquid Mix In Nutrition'!J:J,0)="Yes",0,$U181))-(($V181/MAX(1,_xlfn.XLOOKUP($H181,'Solid Mix In Nutrition'!A:A,'Solid Mix In Nutrition'!I:I,1)))*240)-(($W181/MAX(1,_xlfn.XLOOKUP($I181,'Solid Mix In Nutrition'!A:A,'Solid Mix In Nutrition'!I:I,1)))*240))*0.66</f>
        <v>0</v>
      </c>
      <c r="S181" s="30">
        <f>(_xlfn.XLOOKUP($L181,Specs!A:A,Specs!B:B,0)-(IF(_xlfn.XLOOKUP($F181,'Liquid Mix In Nutrition'!A:A,'Liquid Mix In Nutrition'!J:J,0)="Yes",0,$T181))-(IF(_xlfn.XLOOKUP($G181,'Liquid Mix In Nutrition'!A:A,'Liquid Mix In Nutrition'!J:J,0)="Yes",0,$U181))-(($V181/MAX(1,_xlfn.XLOOKUP($H181,'Solid Mix In Nutrition'!A:A,'Solid Mix In Nutrition'!I:I,1)))*240)-(($W181/MAX(1,_xlfn.XLOOKUP($I181,'Solid Mix In Nutrition'!A:A,'Solid Mix In Nutrition'!I:I,1)))*240))*0.33</f>
        <v>0</v>
      </c>
      <c r="T181" s="30">
        <f>_xlfn.XLOOKUP($M181,Specs!$D:$D,Specs!$E:$E,0)*15*_xlfn.XLOOKUP($L181,Specs!$A:$A,Specs!$C:$C,0)</f>
        <v>0</v>
      </c>
      <c r="U181" s="30">
        <f>_xlfn.XLOOKUP($N181,Specs!$D:$D,Specs!$E:$E,0)*15*_xlfn.XLOOKUP($L181,Specs!$A:$A,Specs!$C:$C,0)</f>
        <v>0</v>
      </c>
      <c r="V181" s="30">
        <f>( ((_xlfn.XLOOKUP($O181,Specs!$H:$H,Specs!$I:$I,0)*_xlfn.XLOOKUP($L181,Specs!$A:$A,Specs!$B:$B,0))/240) *_xlfn.XLOOKUP($H181,'Solid Mix In Nutrition'!A:A,'Solid Mix In Nutrition'!I:I,0)) *IF(AND(NOT($I181=0), COUNTA($I181)),0.5,1)</f>
        <v>0</v>
      </c>
      <c r="W181" s="30">
        <f>( ((_xlfn.XLOOKUP($O181,Specs!$H:$H,Specs!$I:$I,0)*_xlfn.XLOOKUP($L181,Specs!$A:$A,Specs!$B:$B,0))/240) *_xlfn.XLOOKUP($I181,'Solid Mix In Nutrition'!A:A,'Solid Mix In Nutrition'!I:I,0)) *IF(AND(NOT($I181=0), COUNTA($I181)),0.5,0)</f>
        <v>0</v>
      </c>
      <c r="X181" s="30">
        <f>_xlfn.XLOOKUP($P181,Specs!F:F,Specs!G:G,0)*_xlfn.XLOOKUP($J181,'Sweetener Mix In Nutrition'!A:A,'Sweetener Mix In Nutrition'!I:I,0)*_xlfn.XLOOKUP($L181,Specs!A:A,Specs!C:C,0)</f>
        <v>0</v>
      </c>
      <c r="Y181" s="30">
        <f>_xlfn.XLOOKUP($Q181,Specs!F:F,Specs!G:G,0)*_xlfn.XLOOKUP($K181,'Sweetener Mix In Nutrition'!A:A,'Sweetener Mix In Nutrition'!I:I,0)*_xlfn.XLOOKUP($L181,Specs!A:A,Specs!C:C,0)</f>
        <v>0</v>
      </c>
      <c r="Z181" s="34">
        <f t="shared" si="6"/>
        <v>0</v>
      </c>
      <c r="AA181" s="35">
        <f t="shared" si="7"/>
        <v>0</v>
      </c>
      <c r="AB181" s="36">
        <f>(($R181 / 240) * _xlfn.XLOOKUP($D181,'Milk Types Nutrition Per Cup'!A:A,'Milk Types Nutrition Per Cup'!B:B,0)) +(($S181 / 240)  * _xlfn.XLOOKUP($E181,'Milk Types Nutrition Per Cup'!A:A,'Milk Types Nutrition Per Cup'!B:B,0)) +(($T181 / 15)  * _xlfn.XLOOKUP($F181,'Liquid Mix In Nutrition'!A:A,'Liquid Mix In Nutrition'!B:B,0))+(($U181 / 15)  * _xlfn.XLOOKUP($G181,'Liquid Mix In Nutrition'!A:A,'Liquid Mix In Nutrition'!B:B,0))+(($V181 /MAX(1, _xlfn.XLOOKUP($H181,'Solid Mix In Nutrition'!A:A,'Solid Mix In Nutrition'!I:I,1)))  * _xlfn.XLOOKUP($H181,'Solid Mix In Nutrition'!A:A,'Solid Mix In Nutrition'!B:B,0))+(($W181 / MAX(1, _xlfn.XLOOKUP($I181,'Solid Mix In Nutrition'!A:A,'Solid Mix In Nutrition'!I:I,1))))+(($X181 / 100)  * _xlfn.XLOOKUP($J181,'Sweetener Mix In Nutrition'!A:A,'Sweetener Mix In Nutrition'!B:B,0))+(($Y181 / 100)  * _xlfn.XLOOKUP($K181,'Sweetener Mix In Nutrition'!A:A,'Sweetener Mix In Nutrition'!B:B,0))</f>
        <v>0</v>
      </c>
      <c r="AC181" s="36">
        <f>(($R181 / 240) * _xlfn.XLOOKUP($D181,'Milk Types Nutrition Per Cup'!A:A,'Milk Types Nutrition Per Cup'!E:E,0)) +(($S181 / 240)  * _xlfn.XLOOKUP($E181,'Milk Types Nutrition Per Cup'!A:A,'Milk Types Nutrition Per Cup'!E:E,0)) +(($T181 / 15)  * _xlfn.XLOOKUP($F181,'Liquid Mix In Nutrition'!A:A,'Liquid Mix In Nutrition'!E:E,0)) +(($U181 / 15)  * _xlfn.XLOOKUP($G181,'Liquid Mix In Nutrition'!A:A,'Liquid Mix In Nutrition'!E:E,0))+(($V181 / MAX(1, _xlfn.XLOOKUP($H181,'Solid Mix In Nutrition'!A:A,'Solid Mix In Nutrition'!I:I,1)))  * _xlfn.XLOOKUP($H181,'Solid Mix In Nutrition'!A:A,'Solid Mix In Nutrition'!E:E,0))+(($W181 / MAX(1, _xlfn.XLOOKUP($I181,'Solid Mix In Nutrition'!A:A,'Solid Mix In Nutrition'!I:I,1)))  * _xlfn.XLOOKUP($I181,'Solid Mix In Nutrition'!A:A,'Solid Mix In Nutrition'!G:G,0))+(($X181 / 100)  * _xlfn.XLOOKUP($J181,'Sweetener Mix In Nutrition'!A:A,'Sweetener Mix In Nutrition'!E:E,0))+(($Y181 / 100)  * _xlfn.XLOOKUP($K181,'Sweetener Mix In Nutrition'!A:A,'Sweetener Mix In Nutrition'!E:E,0))</f>
        <v>0</v>
      </c>
      <c r="AD181" s="36">
        <f>(($R181 / 240) * _xlfn.XLOOKUP($D181,'Milk Types Nutrition Per Cup'!A:A,'Milk Types Nutrition Per Cup'!E:E,0)) +(($S181 / 240)  * _xlfn.XLOOKUP($E181,'Milk Types Nutrition Per Cup'!A:A,'Milk Types Nutrition Per Cup'!E:E,0)) +(($T181 / 15)  * _xlfn.XLOOKUP($F181,'Liquid Mix In Nutrition'!A:A,'Liquid Mix In Nutrition'!E:E,0)) +(($U181 / 15)  * _xlfn.XLOOKUP($G181,'Liquid Mix In Nutrition'!A:A,'Liquid Mix In Nutrition'!E:E,0))+(($X181 / 100)  * _xlfn.XLOOKUP($J181,'Sweetener Mix In Nutrition'!A:A,'Sweetener Mix In Nutrition'!E:E,0))+(($Y181 / 100)  * _xlfn.XLOOKUP($K181,'Sweetener Mix In Nutrition'!A:A,'Sweetener Mix In Nutrition'!E:E,0))</f>
        <v>0</v>
      </c>
      <c r="AE181" s="37">
        <f>(($R181 / 240) * _xlfn.XLOOKUP($D181,'Milk Types Nutrition Per Cup'!A:A,'Milk Types Nutrition Per Cup'!C:C,0)) +(($S181 / 240)  * _xlfn.XLOOKUP($E181,'Milk Types Nutrition Per Cup'!A:A,'Milk Types Nutrition Per Cup'!C:C,0)) +(($T181 / 15)  * _xlfn.XLOOKUP($F181,'Liquid Mix In Nutrition'!A:A,'Liquid Mix In Nutrition'!C:C,0))+(($U181 / 15)  * _xlfn.XLOOKUP($G181,'Liquid Mix In Nutrition'!A:A,'Liquid Mix In Nutrition'!C:C,0))+(($V181 / MAX(1, _xlfn.XLOOKUP($H181,'Solid Mix In Nutrition'!A:A,'Solid Mix In Nutrition'!I:I,1)))  * _xlfn.XLOOKUP($H181,'Solid Mix In Nutrition'!A:A,'Solid Mix In Nutrition'!C:C,0))+(($W181 / MAX(1, _xlfn.XLOOKUP($I181,'Solid Mix In Nutrition'!A:A,'Solid Mix In Nutrition'!I:I,1)))  * _xlfn.XLOOKUP($I181,'Solid Mix In Nutrition'!A:A,'Solid Mix In Nutrition'!C:C,0))+(($X181 / 100)  * _xlfn.XLOOKUP($J181,'Sweetener Mix In Nutrition'!A:A,'Sweetener Mix In Nutrition'!C:C,0))+(($Y181 / 100)  * _xlfn.XLOOKUP($K181,'Sweetener Mix In Nutrition'!A:A,'Sweetener Mix In Nutrition'!C:C,0))</f>
        <v>0</v>
      </c>
      <c r="AF181" s="38" t="e">
        <f>$AE181 / (_xlfn.XLOOKUP($L181,Specs!A:A,Specs!B:B,0))</f>
        <v>#DIV/0!</v>
      </c>
      <c r="AG181" s="37" t="e">
        <f>60* ($AB181 / _xlfn.XLOOKUP($L181,Specs!A:A,Specs!B:B,0))</f>
        <v>#DIV/0!</v>
      </c>
      <c r="AH181" s="37" t="e">
        <f>60* (AC181 / _xlfn.XLOOKUP($L181,Specs!$A:$A,Specs!$B:$B,0))</f>
        <v>#DIV/0!</v>
      </c>
      <c r="AI181" s="37" t="e">
        <f>60* (AE181 / _xlfn.XLOOKUP($L181,Specs!$A:$A,Specs!$B:$B,0))</f>
        <v>#DIV/0!</v>
      </c>
      <c r="AJ181" s="39">
        <f>(($R181 / 240) * _xlfn.XLOOKUP($D181,'Milk Types Nutrition Per Cup'!A:A,'Milk Types Nutrition Per Cup'!F:F,0)) +(($S181 / 240)  * _xlfn.XLOOKUP($E181,'Milk Types Nutrition Per Cup'!A:A,'Milk Types Nutrition Per Cup'!F:F,0)) +(($T181 / 15)  * _xlfn.XLOOKUP($F181,'Liquid Mix In Nutrition'!A:A,'Liquid Mix In Nutrition'!F:F,0))+(($U181 / 15)  * _xlfn.XLOOKUP($G181,'Liquid Mix In Nutrition'!A:A,'Liquid Mix In Nutrition'!F:F,0))+(($V181 / MAX(1, _xlfn.XLOOKUP($H181,'Solid Mix In Nutrition'!A:A,'Solid Mix In Nutrition'!I:I,1)))  * _xlfn.XLOOKUP($H181,'Solid Mix In Nutrition'!A:A,'Solid Mix In Nutrition'!F:F,0))+(($W181 / MAX(1, _xlfn.XLOOKUP($I181,'Solid Mix In Nutrition'!A:A,'Solid Mix In Nutrition'!I:I,1)))  * _xlfn.XLOOKUP($I181,'Solid Mix In Nutrition'!A:A,'Solid Mix In Nutrition'!F:F,0))+(($X181 / 100)  * _xlfn.XLOOKUP($J181,'Sweetener Mix In Nutrition'!A:A,'Sweetener Mix In Nutrition'!F:F,0))+(($Y181 / 100)  * _xlfn.XLOOKUP($K181,'Sweetener Mix In Nutrition'!A:A,'Sweetener Mix In Nutrition'!F:F,0))</f>
        <v>0</v>
      </c>
      <c r="AK181" s="46">
        <f>[2]Sheet1!AG181</f>
        <v>0</v>
      </c>
      <c r="AL181" s="47"/>
      <c r="AM181" s="40">
        <f>IF(ISERROR(((AL181/Specs!$L$3)*Specs!$L$2)*2),0,ROUNDUP((((AL181/Specs!$L$3)*Specs!$L$2)*2),0))</f>
        <v>0</v>
      </c>
      <c r="AN181" s="48">
        <f>ROUNDUP(((AJ181+Specs!$R$2+Specs!$S$2+_xlfn.XLOOKUP($L181,Specs!A:A,Specs!V:V,0))*Specs!$N$2)+AM181,0)</f>
        <v>1</v>
      </c>
      <c r="AO181" s="40">
        <f>ROUNDUP(((AJ181+Specs!$R$2+Specs!$S$2+_xlfn.XLOOKUP($L181,Specs!A:A,Specs!V:V,0))*Specs!$N$2),0)</f>
        <v>1</v>
      </c>
      <c r="AP181" s="30"/>
    </row>
    <row r="182" spans="1:42" x14ac:dyDescent="0.25">
      <c r="A182" s="41" t="str">
        <f>_xlfn.CONCAT(_xlfn.XLOOKUP("What's Your Name?",[1]Sheet1!$1:$1,[1]Sheet1!182:182)," | ",TEXT(_xlfn.XLOOKUP("Completion time",[1]Sheet1!$1:$1,[1]Sheet1!182:182),"dddd, mmm dd, yyyy hh:mm AM/PM"))</f>
        <v xml:space="preserve"> | Saturday, Jan 00, 1900 12:00 AM</v>
      </c>
      <c r="B182" s="76">
        <f>_xlfn.XLOOKUP("What's Your Email Address?",[1]Sheet1!$1:$1,[1]Sheet1!182:182)</f>
        <v>0</v>
      </c>
      <c r="C182" s="31">
        <f>IF(ISBLANK(_xlfn.XLOOKUP("Which Flavor? (Pint Price | Quart Price | Half Gallon Price) (NOTE: Prices may fluctuate based on market conditions)",[1]Sheet1!$1:$1,[1]Sheet1!182:182)),_xlfn.XLOOKUP("Name Your Ice Cream!",[1]Sheet1!$1:$1,[1]Sheet1!182:182),IF(ISNUMBER(FIND("(", _xlfn.XLOOKUP("Which Flavor? (Pint Price | Quart Price | Half Gallon Price) (NOTE: Prices may fluctuate based on market conditions)",[1]Sheet1!$1:$1,[1]Sheet1!182:182))), LEFT(_xlfn.XLOOKUP("Which Flavor? (Pint Price | Quart Price | Half Gallon Price) (NOTE: Prices may fluctuate based on market conditions)",[1]Sheet1!$1:$1,[1]Sheet1!182:182), FIND("(", _xlfn.XLOOKUP("Which Flavor? (Pint Price | Quart Price | Half Gallon Price) (NOTE: Prices may fluctuate based on market conditions)",[1]Sheet1!$1:$1,[1]Sheet1!182:182)) - 1), _xlfn.XLOOKUP("Which Flavor? (Pint Price | Quart Price | Half Gallon Price) (NOTE: Prices may fluctuate based on market conditions)",[1]Sheet1!$1:$1,[1]Sheet1!182:182)))</f>
        <v>0</v>
      </c>
      <c r="D182" s="31">
        <f>IF(COUNTIF('Premade Flavors'!$A:$A, $C182) &gt; 0,IF(ISBLANK(_xlfn.XLOOKUP("What Ice Cream Base Do You Want To Change It To?",[1]Sheet1!$1:$1,[1]Sheet1!182:182)),_xlfn.XLOOKUP($C182,'Premade Flavors'!$A:$A,'Premade Flavors'!B:B),_xlfn.XLOOKUP("What Ice Cream Base Do You Want To Change It To?",[1]Sheet1!$1:$1,[1]Sheet1!182:182)),_xlfn.XLOOKUP(_xlfn.XLOOKUP("What Kind Of Ice Cream Base Do You Want? ",[1]Sheet1!$1:$1,[1]Sheet1!182:182),'Milk Types Nutrition Per Cup'!O:O,'Milk Types Nutrition Per Cup'!P:P,""))</f>
        <v>0</v>
      </c>
      <c r="E182" s="31">
        <f>IF(COUNTIF('Premade Flavors'!$A:$A, $C182) &gt; 0,IF(ISBLANK(_xlfn.XLOOKUP("What Ice Cream Base Do You Want To Change It To?",[1]Sheet1!$1:$1,[1]Sheet1!182:182)),_xlfn.XLOOKUP($C182,'Premade Flavors'!$A:$A,'Premade Flavors'!C:C),_xlfn.XLOOKUP("What Ice Cream Base Do You Want To Change It To?",[1]Sheet1!$1:$1,[1]Sheet1!182:182)),_xlfn.XLOOKUP(_xlfn.XLOOKUP("What Kind Of Ice Cream Base Do You Want? ",[1]Sheet1!$1:$1,[1]Sheet1!182:182),'Milk Types Nutrition Per Cup'!$O:$O,'Milk Types Nutrition Per Cup'!$Q:$Q,""))</f>
        <v>0</v>
      </c>
      <c r="F182" s="31">
        <f>IF(COUNTIF('Premade Flavors'!$A:$A, $C182) &gt; 0,_xlfn.XLOOKUP($C182,'Premade Flavors'!$A:$A,'Premade Flavors'!E:E),_xlfn.XLOOKUP("What's The First Flavor You Want? ",[1]Sheet1!$1:$1,[1]Sheet1!182:182))</f>
        <v>0</v>
      </c>
      <c r="G182" s="31">
        <f>IF(COUNTIF('Premade Flavors'!$A:$A, $C182) &gt; 0,_xlfn.XLOOKUP($C182,'Premade Flavors'!$A:$A,'Premade Flavors'!F:F),_xlfn.XLOOKUP("What's the Second Flavor You Want?",[1]Sheet1!$1:$1,[1]Sheet1!182:182))</f>
        <v>0</v>
      </c>
      <c r="H182" s="31">
        <f>IF(COUNTIF('Premade Flavors'!$A:$A, $C182) &gt; 0,_xlfn.XLOOKUP($C182,'Premade Flavors'!$A:$A,'Premade Flavors'!G:G),_xlfn.XLOOKUP("What's The First Mix In That You Want? ",[1]Sheet1!$1:$1,[1]Sheet1!182:182))</f>
        <v>0</v>
      </c>
      <c r="I182" s="31">
        <f>IF(COUNTIF('Premade Flavors'!$A:$A, $C180) &gt; 0,_xlfn.XLOOKUP($C180,'Premade Flavors'!$A:$A,'Premade Flavors'!H:H),IF([2]Sheet1!W180= 0,,[2]Sheet1!W180))</f>
        <v>0</v>
      </c>
      <c r="J182" s="31">
        <f>IF(COUNTIF('Premade Flavors'!$A:$A,$C182)&gt;0,IF(_xlfn.XLOOKUP("Should It Use Sugar or A Non-Sugar Sweetner?",[1]Sheet1!$1:$1,[1]Sheet1!182:182)="Sugar",_xlfn.XLOOKUP($C182,'Premade Flavors'!$A:$A,'Premade Flavors'!I:I),"Stevia"),_xlfn.XLOOKUP("What Sweetner Do You Want?",[1]Sheet1!$1:$1,[1]Sheet1!182:182))</f>
        <v>0</v>
      </c>
      <c r="K182" s="31"/>
      <c r="L182" s="77">
        <f>_xlfn.XLOOKUP("How Much Ice Cream Do You Want?",[1]Sheet1!$1:$1,[1]Sheet1!182:182)</f>
        <v>0</v>
      </c>
      <c r="M182" s="45">
        <f>IF(COUNTIF('Premade Flavors'!$A:$A, $C182) &gt; 0,_xlfn.XLOOKUP($C182,'Premade Flavors'!$A:$A,'Premade Flavors'!M:M),_xlfn.XLOOKUP("How Strong Do You Want The First Flavor?",[1]Sheet1!$1:$1,[1]Sheet1!182:182))</f>
        <v>0</v>
      </c>
      <c r="N182" s="45">
        <f>IF(COUNTIF('Premade Flavors'!$A:$A, $C182) &gt; 0,_xlfn.XLOOKUP($C182,'Premade Flavors'!$A:$A,'Premade Flavors'!N:N),_xlfn.XLOOKUP("How Strong Do You Want The Second Flavor?",[1]Sheet1!$1:$1,[1]Sheet1!182:182))</f>
        <v>0</v>
      </c>
      <c r="O182" s="45">
        <f>IF(COUNTIF('Premade Flavors'!$A:$A, $C182) &gt; 0,_xlfn.XLOOKUP($C182,'Premade Flavors'!$A:$A,'Premade Flavors'!O:O),_xlfn.XLOOKUP("How Dense Should the Mix Ins Be?",[1]Sheet1!$1:$1,[1]Sheet1!182:182))</f>
        <v>0</v>
      </c>
      <c r="P182" s="45">
        <f>IF(COUNTIF('Premade Flavors'!$A:$A, $C182) &gt; 0,_xlfn.XLOOKUP($C182,'Premade Flavors'!$A:$A,'Premade Flavors'!P:P),_xlfn.XLOOKUP("How Much Of The First Sweetner? ",[1]Sheet1!$1:$1,[1]Sheet1!182:182))</f>
        <v>0</v>
      </c>
      <c r="Q182" s="45">
        <f>IF(COUNTIF('Premade Flavors'!$A:$A, $C182) &gt; 0,_xlfn.XLOOKUP($C182,'Premade Flavors'!$A:$A,'Premade Flavors'!Q:Q),[2]Sheet1!S182)</f>
        <v>0</v>
      </c>
      <c r="R182" s="30">
        <f>(_xlfn.XLOOKUP($L182,Specs!A:A,Specs!B:B,0)-(IF(_xlfn.XLOOKUP($F182,'Liquid Mix In Nutrition'!A:A,'Liquid Mix In Nutrition'!J:J,0)="Yes",0,$T182))-(IF(_xlfn.XLOOKUP($G182,'Liquid Mix In Nutrition'!A:A,'Liquid Mix In Nutrition'!J:J,0)="Yes",0,$U182))-(($V182/MAX(1,_xlfn.XLOOKUP($H182,'Solid Mix In Nutrition'!A:A,'Solid Mix In Nutrition'!I:I,1)))*240)-(($W182/MAX(1,_xlfn.XLOOKUP($I182,'Solid Mix In Nutrition'!A:A,'Solid Mix In Nutrition'!I:I,1)))*240))*0.66</f>
        <v>0</v>
      </c>
      <c r="S182" s="30">
        <f>(_xlfn.XLOOKUP($L182,Specs!A:A,Specs!B:B,0)-(IF(_xlfn.XLOOKUP($F182,'Liquid Mix In Nutrition'!A:A,'Liquid Mix In Nutrition'!J:J,0)="Yes",0,$T182))-(IF(_xlfn.XLOOKUP($G182,'Liquid Mix In Nutrition'!A:A,'Liquid Mix In Nutrition'!J:J,0)="Yes",0,$U182))-(($V182/MAX(1,_xlfn.XLOOKUP($H182,'Solid Mix In Nutrition'!A:A,'Solid Mix In Nutrition'!I:I,1)))*240)-(($W182/MAX(1,_xlfn.XLOOKUP($I182,'Solid Mix In Nutrition'!A:A,'Solid Mix In Nutrition'!I:I,1)))*240))*0.33</f>
        <v>0</v>
      </c>
      <c r="T182" s="30">
        <f>_xlfn.XLOOKUP($M182,Specs!$D:$D,Specs!$E:$E,0)*15*_xlfn.XLOOKUP($L182,Specs!$A:$A,Specs!$C:$C,0)</f>
        <v>0</v>
      </c>
      <c r="U182" s="30">
        <f>_xlfn.XLOOKUP($N182,Specs!$D:$D,Specs!$E:$E,0)*15*_xlfn.XLOOKUP($L182,Specs!$A:$A,Specs!$C:$C,0)</f>
        <v>0</v>
      </c>
      <c r="V182" s="30">
        <f>( ((_xlfn.XLOOKUP($O182,Specs!$H:$H,Specs!$I:$I,0)*_xlfn.XLOOKUP($L182,Specs!$A:$A,Specs!$B:$B,0))/240) *_xlfn.XLOOKUP($H182,'Solid Mix In Nutrition'!A:A,'Solid Mix In Nutrition'!I:I,0)) *IF(AND(NOT($I182=0), COUNTA($I182)),0.5,1)</f>
        <v>0</v>
      </c>
      <c r="W182" s="30">
        <f>( ((_xlfn.XLOOKUP($O182,Specs!$H:$H,Specs!$I:$I,0)*_xlfn.XLOOKUP($L182,Specs!$A:$A,Specs!$B:$B,0))/240) *_xlfn.XLOOKUP($I182,'Solid Mix In Nutrition'!A:A,'Solid Mix In Nutrition'!I:I,0)) *IF(AND(NOT($I182=0), COUNTA($I182)),0.5,0)</f>
        <v>0</v>
      </c>
      <c r="X182" s="30">
        <f>_xlfn.XLOOKUP($P182,Specs!F:F,Specs!G:G,0)*_xlfn.XLOOKUP($J182,'Sweetener Mix In Nutrition'!A:A,'Sweetener Mix In Nutrition'!I:I,0)*_xlfn.XLOOKUP($L182,Specs!A:A,Specs!C:C,0)</f>
        <v>0</v>
      </c>
      <c r="Y182" s="30">
        <f>_xlfn.XLOOKUP($Q182,Specs!F:F,Specs!G:G,0)*_xlfn.XLOOKUP($K182,'Sweetener Mix In Nutrition'!A:A,'Sweetener Mix In Nutrition'!I:I,0)*_xlfn.XLOOKUP($L182,Specs!A:A,Specs!C:C,0)</f>
        <v>0</v>
      </c>
      <c r="Z182" s="34">
        <f t="shared" si="6"/>
        <v>0</v>
      </c>
      <c r="AA182" s="35">
        <f t="shared" si="7"/>
        <v>0</v>
      </c>
      <c r="AB182" s="36">
        <f>(($R182 / 240) * _xlfn.XLOOKUP($D182,'Milk Types Nutrition Per Cup'!A:A,'Milk Types Nutrition Per Cup'!B:B,0)) +(($S182 / 240)  * _xlfn.XLOOKUP($E182,'Milk Types Nutrition Per Cup'!A:A,'Milk Types Nutrition Per Cup'!B:B,0)) +(($T182 / 15)  * _xlfn.XLOOKUP($F182,'Liquid Mix In Nutrition'!A:A,'Liquid Mix In Nutrition'!B:B,0))+(($U182 / 15)  * _xlfn.XLOOKUP($G182,'Liquid Mix In Nutrition'!A:A,'Liquid Mix In Nutrition'!B:B,0))+(($V182 /MAX(1, _xlfn.XLOOKUP($H182,'Solid Mix In Nutrition'!A:A,'Solid Mix In Nutrition'!I:I,1)))  * _xlfn.XLOOKUP($H182,'Solid Mix In Nutrition'!A:A,'Solid Mix In Nutrition'!B:B,0))+(($W182 / MAX(1, _xlfn.XLOOKUP($I182,'Solid Mix In Nutrition'!A:A,'Solid Mix In Nutrition'!I:I,1))))+(($X182 / 100)  * _xlfn.XLOOKUP($J182,'Sweetener Mix In Nutrition'!A:A,'Sweetener Mix In Nutrition'!B:B,0))+(($Y182 / 100)  * _xlfn.XLOOKUP($K182,'Sweetener Mix In Nutrition'!A:A,'Sweetener Mix In Nutrition'!B:B,0))</f>
        <v>0</v>
      </c>
      <c r="AC182" s="36">
        <f>(($R182 / 240) * _xlfn.XLOOKUP($D182,'Milk Types Nutrition Per Cup'!A:A,'Milk Types Nutrition Per Cup'!E:E,0)) +(($S182 / 240)  * _xlfn.XLOOKUP($E182,'Milk Types Nutrition Per Cup'!A:A,'Milk Types Nutrition Per Cup'!E:E,0)) +(($T182 / 15)  * _xlfn.XLOOKUP($F182,'Liquid Mix In Nutrition'!A:A,'Liquid Mix In Nutrition'!E:E,0)) +(($U182 / 15)  * _xlfn.XLOOKUP($G182,'Liquid Mix In Nutrition'!A:A,'Liquid Mix In Nutrition'!E:E,0))+(($V182 / MAX(1, _xlfn.XLOOKUP($H182,'Solid Mix In Nutrition'!A:A,'Solid Mix In Nutrition'!I:I,1)))  * _xlfn.XLOOKUP($H182,'Solid Mix In Nutrition'!A:A,'Solid Mix In Nutrition'!E:E,0))+(($W182 / MAX(1, _xlfn.XLOOKUP($I182,'Solid Mix In Nutrition'!A:A,'Solid Mix In Nutrition'!I:I,1)))  * _xlfn.XLOOKUP($I182,'Solid Mix In Nutrition'!A:A,'Solid Mix In Nutrition'!G:G,0))+(($X182 / 100)  * _xlfn.XLOOKUP($J182,'Sweetener Mix In Nutrition'!A:A,'Sweetener Mix In Nutrition'!E:E,0))+(($Y182 / 100)  * _xlfn.XLOOKUP($K182,'Sweetener Mix In Nutrition'!A:A,'Sweetener Mix In Nutrition'!E:E,0))</f>
        <v>0</v>
      </c>
      <c r="AD182" s="36">
        <f>(($R182 / 240) * _xlfn.XLOOKUP($D182,'Milk Types Nutrition Per Cup'!A:A,'Milk Types Nutrition Per Cup'!E:E,0)) +(($S182 / 240)  * _xlfn.XLOOKUP($E182,'Milk Types Nutrition Per Cup'!A:A,'Milk Types Nutrition Per Cup'!E:E,0)) +(($T182 / 15)  * _xlfn.XLOOKUP($F182,'Liquid Mix In Nutrition'!A:A,'Liquid Mix In Nutrition'!E:E,0)) +(($U182 / 15)  * _xlfn.XLOOKUP($G182,'Liquid Mix In Nutrition'!A:A,'Liquid Mix In Nutrition'!E:E,0))+(($X182 / 100)  * _xlfn.XLOOKUP($J182,'Sweetener Mix In Nutrition'!A:A,'Sweetener Mix In Nutrition'!E:E,0))+(($Y182 / 100)  * _xlfn.XLOOKUP($K182,'Sweetener Mix In Nutrition'!A:A,'Sweetener Mix In Nutrition'!E:E,0))</f>
        <v>0</v>
      </c>
      <c r="AE182" s="37">
        <f>(($R182 / 240) * _xlfn.XLOOKUP($D182,'Milk Types Nutrition Per Cup'!A:A,'Milk Types Nutrition Per Cup'!C:C,0)) +(($S182 / 240)  * _xlfn.XLOOKUP($E182,'Milk Types Nutrition Per Cup'!A:A,'Milk Types Nutrition Per Cup'!C:C,0)) +(($T182 / 15)  * _xlfn.XLOOKUP($F182,'Liquid Mix In Nutrition'!A:A,'Liquid Mix In Nutrition'!C:C,0))+(($U182 / 15)  * _xlfn.XLOOKUP($G182,'Liquid Mix In Nutrition'!A:A,'Liquid Mix In Nutrition'!C:C,0))+(($V182 / MAX(1, _xlfn.XLOOKUP($H182,'Solid Mix In Nutrition'!A:A,'Solid Mix In Nutrition'!I:I,1)))  * _xlfn.XLOOKUP($H182,'Solid Mix In Nutrition'!A:A,'Solid Mix In Nutrition'!C:C,0))+(($W182 / MAX(1, _xlfn.XLOOKUP($I182,'Solid Mix In Nutrition'!A:A,'Solid Mix In Nutrition'!I:I,1)))  * _xlfn.XLOOKUP($I182,'Solid Mix In Nutrition'!A:A,'Solid Mix In Nutrition'!C:C,0))+(($X182 / 100)  * _xlfn.XLOOKUP($J182,'Sweetener Mix In Nutrition'!A:A,'Sweetener Mix In Nutrition'!C:C,0))+(($Y182 / 100)  * _xlfn.XLOOKUP($K182,'Sweetener Mix In Nutrition'!A:A,'Sweetener Mix In Nutrition'!C:C,0))</f>
        <v>0</v>
      </c>
      <c r="AF182" s="38" t="e">
        <f>$AE182 / (_xlfn.XLOOKUP($L182,Specs!A:A,Specs!B:B,0))</f>
        <v>#DIV/0!</v>
      </c>
      <c r="AG182" s="37" t="e">
        <f>60* ($AB182 / _xlfn.XLOOKUP($L182,Specs!A:A,Specs!B:B,0))</f>
        <v>#DIV/0!</v>
      </c>
      <c r="AH182" s="37" t="e">
        <f>60* (AC182 / _xlfn.XLOOKUP($L182,Specs!$A:$A,Specs!$B:$B,0))</f>
        <v>#DIV/0!</v>
      </c>
      <c r="AI182" s="37" t="e">
        <f>60* (AE182 / _xlfn.XLOOKUP($L182,Specs!$A:$A,Specs!$B:$B,0))</f>
        <v>#DIV/0!</v>
      </c>
      <c r="AJ182" s="39">
        <f>(($R182 / 240) * _xlfn.XLOOKUP($D182,'Milk Types Nutrition Per Cup'!A:A,'Milk Types Nutrition Per Cup'!F:F,0)) +(($S182 / 240)  * _xlfn.XLOOKUP($E182,'Milk Types Nutrition Per Cup'!A:A,'Milk Types Nutrition Per Cup'!F:F,0)) +(($T182 / 15)  * _xlfn.XLOOKUP($F182,'Liquid Mix In Nutrition'!A:A,'Liquid Mix In Nutrition'!F:F,0))+(($U182 / 15)  * _xlfn.XLOOKUP($G182,'Liquid Mix In Nutrition'!A:A,'Liquid Mix In Nutrition'!F:F,0))+(($V182 / MAX(1, _xlfn.XLOOKUP($H182,'Solid Mix In Nutrition'!A:A,'Solid Mix In Nutrition'!I:I,1)))  * _xlfn.XLOOKUP($H182,'Solid Mix In Nutrition'!A:A,'Solid Mix In Nutrition'!F:F,0))+(($W182 / MAX(1, _xlfn.XLOOKUP($I182,'Solid Mix In Nutrition'!A:A,'Solid Mix In Nutrition'!I:I,1)))  * _xlfn.XLOOKUP($I182,'Solid Mix In Nutrition'!A:A,'Solid Mix In Nutrition'!F:F,0))+(($X182 / 100)  * _xlfn.XLOOKUP($J182,'Sweetener Mix In Nutrition'!A:A,'Sweetener Mix In Nutrition'!F:F,0))+(($Y182 / 100)  * _xlfn.XLOOKUP($K182,'Sweetener Mix In Nutrition'!A:A,'Sweetener Mix In Nutrition'!F:F,0))</f>
        <v>0</v>
      </c>
      <c r="AK182" s="46">
        <f>[2]Sheet1!AG182</f>
        <v>0</v>
      </c>
      <c r="AL182" s="47"/>
      <c r="AM182" s="40">
        <f>IF(ISERROR(((AL182/Specs!$L$3)*Specs!$L$2)*2),0,ROUNDUP((((AL182/Specs!$L$3)*Specs!$L$2)*2),0))</f>
        <v>0</v>
      </c>
      <c r="AN182" s="48">
        <f>ROUNDUP(((AJ182+Specs!$R$2+Specs!$S$2+_xlfn.XLOOKUP($L182,Specs!A:A,Specs!V:V,0))*Specs!$N$2)+AM182,0)</f>
        <v>1</v>
      </c>
      <c r="AO182" s="40">
        <f>ROUNDUP(((AJ182+Specs!$R$2+Specs!$S$2+_xlfn.XLOOKUP($L182,Specs!A:A,Specs!V:V,0))*Specs!$N$2),0)</f>
        <v>1</v>
      </c>
      <c r="AP182" s="30"/>
    </row>
    <row r="183" spans="1:42" x14ac:dyDescent="0.25">
      <c r="A183" s="41" t="str">
        <f>_xlfn.CONCAT(_xlfn.XLOOKUP("What's Your Name?",[1]Sheet1!$1:$1,[1]Sheet1!183:183)," | ",TEXT(_xlfn.XLOOKUP("Completion time",[1]Sheet1!$1:$1,[1]Sheet1!183:183),"dddd, mmm dd, yyyy hh:mm AM/PM"))</f>
        <v xml:space="preserve"> | Saturday, Jan 00, 1900 12:00 AM</v>
      </c>
      <c r="B183" s="76">
        <f>_xlfn.XLOOKUP("What's Your Email Address?",[1]Sheet1!$1:$1,[1]Sheet1!183:183)</f>
        <v>0</v>
      </c>
      <c r="C183" s="31">
        <f>IF(ISBLANK(_xlfn.XLOOKUP("Which Flavor? (Pint Price | Quart Price | Half Gallon Price) (NOTE: Prices may fluctuate based on market conditions)",[1]Sheet1!$1:$1,[1]Sheet1!183:183)),_xlfn.XLOOKUP("Name Your Ice Cream!",[1]Sheet1!$1:$1,[1]Sheet1!183:183),IF(ISNUMBER(FIND("(", _xlfn.XLOOKUP("Which Flavor? (Pint Price | Quart Price | Half Gallon Price) (NOTE: Prices may fluctuate based on market conditions)",[1]Sheet1!$1:$1,[1]Sheet1!183:183))), LEFT(_xlfn.XLOOKUP("Which Flavor? (Pint Price | Quart Price | Half Gallon Price) (NOTE: Prices may fluctuate based on market conditions)",[1]Sheet1!$1:$1,[1]Sheet1!183:183), FIND("(", _xlfn.XLOOKUP("Which Flavor? (Pint Price | Quart Price | Half Gallon Price) (NOTE: Prices may fluctuate based on market conditions)",[1]Sheet1!$1:$1,[1]Sheet1!183:183)) - 1), _xlfn.XLOOKUP("Which Flavor? (Pint Price | Quart Price | Half Gallon Price) (NOTE: Prices may fluctuate based on market conditions)",[1]Sheet1!$1:$1,[1]Sheet1!183:183)))</f>
        <v>0</v>
      </c>
      <c r="D183" s="31">
        <f>IF(COUNTIF('Premade Flavors'!$A:$A, $C183) &gt; 0,IF(ISBLANK(_xlfn.XLOOKUP("What Ice Cream Base Do You Want To Change It To?",[1]Sheet1!$1:$1,[1]Sheet1!183:183)),_xlfn.XLOOKUP($C183,'Premade Flavors'!$A:$A,'Premade Flavors'!B:B),_xlfn.XLOOKUP("What Ice Cream Base Do You Want To Change It To?",[1]Sheet1!$1:$1,[1]Sheet1!183:183)),_xlfn.XLOOKUP(_xlfn.XLOOKUP("What Kind Of Ice Cream Base Do You Want? ",[1]Sheet1!$1:$1,[1]Sheet1!183:183),'Milk Types Nutrition Per Cup'!O:O,'Milk Types Nutrition Per Cup'!P:P,""))</f>
        <v>0</v>
      </c>
      <c r="E183" s="31">
        <f>IF(COUNTIF('Premade Flavors'!$A:$A, $C183) &gt; 0,IF(ISBLANK(_xlfn.XLOOKUP("What Ice Cream Base Do You Want To Change It To?",[1]Sheet1!$1:$1,[1]Sheet1!183:183)),_xlfn.XLOOKUP($C183,'Premade Flavors'!$A:$A,'Premade Flavors'!C:C),_xlfn.XLOOKUP("What Ice Cream Base Do You Want To Change It To?",[1]Sheet1!$1:$1,[1]Sheet1!183:183)),_xlfn.XLOOKUP(_xlfn.XLOOKUP("What Kind Of Ice Cream Base Do You Want? ",[1]Sheet1!$1:$1,[1]Sheet1!183:183),'Milk Types Nutrition Per Cup'!$O:$O,'Milk Types Nutrition Per Cup'!$Q:$Q,""))</f>
        <v>0</v>
      </c>
      <c r="F183" s="31">
        <f>IF(COUNTIF('Premade Flavors'!$A:$A, $C183) &gt; 0,_xlfn.XLOOKUP($C183,'Premade Flavors'!$A:$A,'Premade Flavors'!E:E),_xlfn.XLOOKUP("What's The First Flavor You Want? ",[1]Sheet1!$1:$1,[1]Sheet1!183:183))</f>
        <v>0</v>
      </c>
      <c r="G183" s="31">
        <f>IF(COUNTIF('Premade Flavors'!$A:$A, $C183) &gt; 0,_xlfn.XLOOKUP($C183,'Premade Flavors'!$A:$A,'Premade Flavors'!F:F),_xlfn.XLOOKUP("What's the Second Flavor You Want?",[1]Sheet1!$1:$1,[1]Sheet1!183:183))</f>
        <v>0</v>
      </c>
      <c r="H183" s="31">
        <f>IF(COUNTIF('Premade Flavors'!$A:$A, $C183) &gt; 0,_xlfn.XLOOKUP($C183,'Premade Flavors'!$A:$A,'Premade Flavors'!G:G),_xlfn.XLOOKUP("What's The First Mix In That You Want? ",[1]Sheet1!$1:$1,[1]Sheet1!183:183))</f>
        <v>0</v>
      </c>
      <c r="I183" s="31">
        <f>IF(COUNTIF('Premade Flavors'!$A:$A, $C181) &gt; 0,_xlfn.XLOOKUP($C181,'Premade Flavors'!$A:$A,'Premade Flavors'!H:H),IF([2]Sheet1!W181= 0,,[2]Sheet1!W181))</f>
        <v>0</v>
      </c>
      <c r="J183" s="31">
        <f>IF(COUNTIF('Premade Flavors'!$A:$A,$C183)&gt;0,IF(_xlfn.XLOOKUP("Should It Use Sugar or A Non-Sugar Sweetner?",[1]Sheet1!$1:$1,[1]Sheet1!183:183)="Sugar",_xlfn.XLOOKUP($C183,'Premade Flavors'!$A:$A,'Premade Flavors'!I:I),"Stevia"),_xlfn.XLOOKUP("What Sweetner Do You Want?",[1]Sheet1!$1:$1,[1]Sheet1!183:183))</f>
        <v>0</v>
      </c>
      <c r="K183" s="31"/>
      <c r="L183" s="77">
        <f>_xlfn.XLOOKUP("How Much Ice Cream Do You Want?",[1]Sheet1!$1:$1,[1]Sheet1!183:183)</f>
        <v>0</v>
      </c>
      <c r="M183" s="45">
        <f>IF(COUNTIF('Premade Flavors'!$A:$A, $C183) &gt; 0,_xlfn.XLOOKUP($C183,'Premade Flavors'!$A:$A,'Premade Flavors'!M:M),_xlfn.XLOOKUP("How Strong Do You Want The First Flavor?",[1]Sheet1!$1:$1,[1]Sheet1!183:183))</f>
        <v>0</v>
      </c>
      <c r="N183" s="45">
        <f>IF(COUNTIF('Premade Flavors'!$A:$A, $C183) &gt; 0,_xlfn.XLOOKUP($C183,'Premade Flavors'!$A:$A,'Premade Flavors'!N:N),_xlfn.XLOOKUP("How Strong Do You Want The Second Flavor?",[1]Sheet1!$1:$1,[1]Sheet1!183:183))</f>
        <v>0</v>
      </c>
      <c r="O183" s="45">
        <f>IF(COUNTIF('Premade Flavors'!$A:$A, $C183) &gt; 0,_xlfn.XLOOKUP($C183,'Premade Flavors'!$A:$A,'Premade Flavors'!O:O),_xlfn.XLOOKUP("How Dense Should the Mix Ins Be?",[1]Sheet1!$1:$1,[1]Sheet1!183:183))</f>
        <v>0</v>
      </c>
      <c r="P183" s="45">
        <f>IF(COUNTIF('Premade Flavors'!$A:$A, $C183) &gt; 0,_xlfn.XLOOKUP($C183,'Premade Flavors'!$A:$A,'Premade Flavors'!P:P),_xlfn.XLOOKUP("How Much Of The First Sweetner? ",[1]Sheet1!$1:$1,[1]Sheet1!183:183))</f>
        <v>0</v>
      </c>
      <c r="Q183" s="45">
        <f>IF(COUNTIF('Premade Flavors'!$A:$A, $C183) &gt; 0,_xlfn.XLOOKUP($C183,'Premade Flavors'!$A:$A,'Premade Flavors'!Q:Q),[2]Sheet1!S183)</f>
        <v>0</v>
      </c>
      <c r="R183" s="30">
        <f>(_xlfn.XLOOKUP($L183,Specs!A:A,Specs!B:B,0)-(IF(_xlfn.XLOOKUP($F183,'Liquid Mix In Nutrition'!A:A,'Liquid Mix In Nutrition'!J:J,0)="Yes",0,$T183))-(IF(_xlfn.XLOOKUP($G183,'Liquid Mix In Nutrition'!A:A,'Liquid Mix In Nutrition'!J:J,0)="Yes",0,$U183))-(($V183/MAX(1,_xlfn.XLOOKUP($H183,'Solid Mix In Nutrition'!A:A,'Solid Mix In Nutrition'!I:I,1)))*240)-(($W183/MAX(1,_xlfn.XLOOKUP($I183,'Solid Mix In Nutrition'!A:A,'Solid Mix In Nutrition'!I:I,1)))*240))*0.66</f>
        <v>0</v>
      </c>
      <c r="S183" s="30">
        <f>(_xlfn.XLOOKUP($L183,Specs!A:A,Specs!B:B,0)-(IF(_xlfn.XLOOKUP($F183,'Liquid Mix In Nutrition'!A:A,'Liquid Mix In Nutrition'!J:J,0)="Yes",0,$T183))-(IF(_xlfn.XLOOKUP($G183,'Liquid Mix In Nutrition'!A:A,'Liquid Mix In Nutrition'!J:J,0)="Yes",0,$U183))-(($V183/MAX(1,_xlfn.XLOOKUP($H183,'Solid Mix In Nutrition'!A:A,'Solid Mix In Nutrition'!I:I,1)))*240)-(($W183/MAX(1,_xlfn.XLOOKUP($I183,'Solid Mix In Nutrition'!A:A,'Solid Mix In Nutrition'!I:I,1)))*240))*0.33</f>
        <v>0</v>
      </c>
      <c r="T183" s="30">
        <f>_xlfn.XLOOKUP($M183,Specs!$D:$D,Specs!$E:$E,0)*15*_xlfn.XLOOKUP($L183,Specs!$A:$A,Specs!$C:$C,0)</f>
        <v>0</v>
      </c>
      <c r="U183" s="30">
        <f>_xlfn.XLOOKUP($N183,Specs!$D:$D,Specs!$E:$E,0)*15*_xlfn.XLOOKUP($L183,Specs!$A:$A,Specs!$C:$C,0)</f>
        <v>0</v>
      </c>
      <c r="V183" s="30">
        <f>( ((_xlfn.XLOOKUP($O183,Specs!$H:$H,Specs!$I:$I,0)*_xlfn.XLOOKUP($L183,Specs!$A:$A,Specs!$B:$B,0))/240) *_xlfn.XLOOKUP($H183,'Solid Mix In Nutrition'!A:A,'Solid Mix In Nutrition'!I:I,0)) *IF(AND(NOT($I183=0), COUNTA($I183)),0.5,1)</f>
        <v>0</v>
      </c>
      <c r="W183" s="30">
        <f>( ((_xlfn.XLOOKUP($O183,Specs!$H:$H,Specs!$I:$I,0)*_xlfn.XLOOKUP($L183,Specs!$A:$A,Specs!$B:$B,0))/240) *_xlfn.XLOOKUP($I183,'Solid Mix In Nutrition'!A:A,'Solid Mix In Nutrition'!I:I,0)) *IF(AND(NOT($I183=0), COUNTA($I183)),0.5,0)</f>
        <v>0</v>
      </c>
      <c r="X183" s="30">
        <f>_xlfn.XLOOKUP($P183,Specs!F:F,Specs!G:G,0)*_xlfn.XLOOKUP($J183,'Sweetener Mix In Nutrition'!A:A,'Sweetener Mix In Nutrition'!I:I,0)*_xlfn.XLOOKUP($L183,Specs!A:A,Specs!C:C,0)</f>
        <v>0</v>
      </c>
      <c r="Y183" s="30">
        <f>_xlfn.XLOOKUP($Q183,Specs!F:F,Specs!G:G,0)*_xlfn.XLOOKUP($K183,'Sweetener Mix In Nutrition'!A:A,'Sweetener Mix In Nutrition'!I:I,0)*_xlfn.XLOOKUP($L183,Specs!A:A,Specs!C:C,0)</f>
        <v>0</v>
      </c>
      <c r="Z183" s="34">
        <f t="shared" si="6"/>
        <v>0</v>
      </c>
      <c r="AA183" s="35">
        <f t="shared" si="7"/>
        <v>0</v>
      </c>
      <c r="AB183" s="36">
        <f>(($R183 / 240) * _xlfn.XLOOKUP($D183,'Milk Types Nutrition Per Cup'!A:A,'Milk Types Nutrition Per Cup'!B:B,0)) +(($S183 / 240)  * _xlfn.XLOOKUP($E183,'Milk Types Nutrition Per Cup'!A:A,'Milk Types Nutrition Per Cup'!B:B,0)) +(($T183 / 15)  * _xlfn.XLOOKUP($F183,'Liquid Mix In Nutrition'!A:A,'Liquid Mix In Nutrition'!B:B,0))+(($U183 / 15)  * _xlfn.XLOOKUP($G183,'Liquid Mix In Nutrition'!A:A,'Liquid Mix In Nutrition'!B:B,0))+(($V183 /MAX(1, _xlfn.XLOOKUP($H183,'Solid Mix In Nutrition'!A:A,'Solid Mix In Nutrition'!I:I,1)))  * _xlfn.XLOOKUP($H183,'Solid Mix In Nutrition'!A:A,'Solid Mix In Nutrition'!B:B,0))+(($W183 / MAX(1, _xlfn.XLOOKUP($I183,'Solid Mix In Nutrition'!A:A,'Solid Mix In Nutrition'!I:I,1))))+(($X183 / 100)  * _xlfn.XLOOKUP($J183,'Sweetener Mix In Nutrition'!A:A,'Sweetener Mix In Nutrition'!B:B,0))+(($Y183 / 100)  * _xlfn.XLOOKUP($K183,'Sweetener Mix In Nutrition'!A:A,'Sweetener Mix In Nutrition'!B:B,0))</f>
        <v>0</v>
      </c>
      <c r="AC183" s="36">
        <f>(($R183 / 240) * _xlfn.XLOOKUP($D183,'Milk Types Nutrition Per Cup'!A:A,'Milk Types Nutrition Per Cup'!E:E,0)) +(($S183 / 240)  * _xlfn.XLOOKUP($E183,'Milk Types Nutrition Per Cup'!A:A,'Milk Types Nutrition Per Cup'!E:E,0)) +(($T183 / 15)  * _xlfn.XLOOKUP($F183,'Liquid Mix In Nutrition'!A:A,'Liquid Mix In Nutrition'!E:E,0)) +(($U183 / 15)  * _xlfn.XLOOKUP($G183,'Liquid Mix In Nutrition'!A:A,'Liquid Mix In Nutrition'!E:E,0))+(($V183 / MAX(1, _xlfn.XLOOKUP($H183,'Solid Mix In Nutrition'!A:A,'Solid Mix In Nutrition'!I:I,1)))  * _xlfn.XLOOKUP($H183,'Solid Mix In Nutrition'!A:A,'Solid Mix In Nutrition'!E:E,0))+(($W183 / MAX(1, _xlfn.XLOOKUP($I183,'Solid Mix In Nutrition'!A:A,'Solid Mix In Nutrition'!I:I,1)))  * _xlfn.XLOOKUP($I183,'Solid Mix In Nutrition'!A:A,'Solid Mix In Nutrition'!G:G,0))+(($X183 / 100)  * _xlfn.XLOOKUP($J183,'Sweetener Mix In Nutrition'!A:A,'Sweetener Mix In Nutrition'!E:E,0))+(($Y183 / 100)  * _xlfn.XLOOKUP($K183,'Sweetener Mix In Nutrition'!A:A,'Sweetener Mix In Nutrition'!E:E,0))</f>
        <v>0</v>
      </c>
      <c r="AD183" s="36">
        <f>(($R183 / 240) * _xlfn.XLOOKUP($D183,'Milk Types Nutrition Per Cup'!A:A,'Milk Types Nutrition Per Cup'!E:E,0)) +(($S183 / 240)  * _xlfn.XLOOKUP($E183,'Milk Types Nutrition Per Cup'!A:A,'Milk Types Nutrition Per Cup'!E:E,0)) +(($T183 / 15)  * _xlfn.XLOOKUP($F183,'Liquid Mix In Nutrition'!A:A,'Liquid Mix In Nutrition'!E:E,0)) +(($U183 / 15)  * _xlfn.XLOOKUP($G183,'Liquid Mix In Nutrition'!A:A,'Liquid Mix In Nutrition'!E:E,0))+(($X183 / 100)  * _xlfn.XLOOKUP($J183,'Sweetener Mix In Nutrition'!A:A,'Sweetener Mix In Nutrition'!E:E,0))+(($Y183 / 100)  * _xlfn.XLOOKUP($K183,'Sweetener Mix In Nutrition'!A:A,'Sweetener Mix In Nutrition'!E:E,0))</f>
        <v>0</v>
      </c>
      <c r="AE183" s="37">
        <f>(($R183 / 240) * _xlfn.XLOOKUP($D183,'Milk Types Nutrition Per Cup'!A:A,'Milk Types Nutrition Per Cup'!C:C,0)) +(($S183 / 240)  * _xlfn.XLOOKUP($E183,'Milk Types Nutrition Per Cup'!A:A,'Milk Types Nutrition Per Cup'!C:C,0)) +(($T183 / 15)  * _xlfn.XLOOKUP($F183,'Liquid Mix In Nutrition'!A:A,'Liquid Mix In Nutrition'!C:C,0))+(($U183 / 15)  * _xlfn.XLOOKUP($G183,'Liquid Mix In Nutrition'!A:A,'Liquid Mix In Nutrition'!C:C,0))+(($V183 / MAX(1, _xlfn.XLOOKUP($H183,'Solid Mix In Nutrition'!A:A,'Solid Mix In Nutrition'!I:I,1)))  * _xlfn.XLOOKUP($H183,'Solid Mix In Nutrition'!A:A,'Solid Mix In Nutrition'!C:C,0))+(($W183 / MAX(1, _xlfn.XLOOKUP($I183,'Solid Mix In Nutrition'!A:A,'Solid Mix In Nutrition'!I:I,1)))  * _xlfn.XLOOKUP($I183,'Solid Mix In Nutrition'!A:A,'Solid Mix In Nutrition'!C:C,0))+(($X183 / 100)  * _xlfn.XLOOKUP($J183,'Sweetener Mix In Nutrition'!A:A,'Sweetener Mix In Nutrition'!C:C,0))+(($Y183 / 100)  * _xlfn.XLOOKUP($K183,'Sweetener Mix In Nutrition'!A:A,'Sweetener Mix In Nutrition'!C:C,0))</f>
        <v>0</v>
      </c>
      <c r="AF183" s="38" t="e">
        <f>$AE183 / (_xlfn.XLOOKUP($L183,Specs!A:A,Specs!B:B,0))</f>
        <v>#DIV/0!</v>
      </c>
      <c r="AG183" s="37" t="e">
        <f>60* ($AB183 / _xlfn.XLOOKUP($L183,Specs!A:A,Specs!B:B,0))</f>
        <v>#DIV/0!</v>
      </c>
      <c r="AH183" s="37" t="e">
        <f>60* (AC183 / _xlfn.XLOOKUP($L183,Specs!$A:$A,Specs!$B:$B,0))</f>
        <v>#DIV/0!</v>
      </c>
      <c r="AI183" s="37" t="e">
        <f>60* (AE183 / _xlfn.XLOOKUP($L183,Specs!$A:$A,Specs!$B:$B,0))</f>
        <v>#DIV/0!</v>
      </c>
      <c r="AJ183" s="39">
        <f>(($R183 / 240) * _xlfn.XLOOKUP($D183,'Milk Types Nutrition Per Cup'!A:A,'Milk Types Nutrition Per Cup'!F:F,0)) +(($S183 / 240)  * _xlfn.XLOOKUP($E183,'Milk Types Nutrition Per Cup'!A:A,'Milk Types Nutrition Per Cup'!F:F,0)) +(($T183 / 15)  * _xlfn.XLOOKUP($F183,'Liquid Mix In Nutrition'!A:A,'Liquid Mix In Nutrition'!F:F,0))+(($U183 / 15)  * _xlfn.XLOOKUP($G183,'Liquid Mix In Nutrition'!A:A,'Liquid Mix In Nutrition'!F:F,0))+(($V183 / MAX(1, _xlfn.XLOOKUP($H183,'Solid Mix In Nutrition'!A:A,'Solid Mix In Nutrition'!I:I,1)))  * _xlfn.XLOOKUP($H183,'Solid Mix In Nutrition'!A:A,'Solid Mix In Nutrition'!F:F,0))+(($W183 / MAX(1, _xlfn.XLOOKUP($I183,'Solid Mix In Nutrition'!A:A,'Solid Mix In Nutrition'!I:I,1)))  * _xlfn.XLOOKUP($I183,'Solid Mix In Nutrition'!A:A,'Solid Mix In Nutrition'!F:F,0))+(($X183 / 100)  * _xlfn.XLOOKUP($J183,'Sweetener Mix In Nutrition'!A:A,'Sweetener Mix In Nutrition'!F:F,0))+(($Y183 / 100)  * _xlfn.XLOOKUP($K183,'Sweetener Mix In Nutrition'!A:A,'Sweetener Mix In Nutrition'!F:F,0))</f>
        <v>0</v>
      </c>
      <c r="AK183" s="46">
        <f>[2]Sheet1!AG183</f>
        <v>0</v>
      </c>
      <c r="AL183" s="47"/>
      <c r="AM183" s="40">
        <f>IF(ISERROR(((AL183/Specs!$L$3)*Specs!$L$2)*2),0,ROUNDUP((((AL183/Specs!$L$3)*Specs!$L$2)*2),0))</f>
        <v>0</v>
      </c>
      <c r="AN183" s="48">
        <f>ROUNDUP(((AJ183+Specs!$R$2+Specs!$S$2+_xlfn.XLOOKUP($L183,Specs!A:A,Specs!V:V,0))*Specs!$N$2)+AM183,0)</f>
        <v>1</v>
      </c>
      <c r="AO183" s="40">
        <f>ROUNDUP(((AJ183+Specs!$R$2+Specs!$S$2+_xlfn.XLOOKUP($L183,Specs!A:A,Specs!V:V,0))*Specs!$N$2),0)</f>
        <v>1</v>
      </c>
      <c r="AP183" s="30"/>
    </row>
    <row r="184" spans="1:42" x14ac:dyDescent="0.25">
      <c r="A184" s="41" t="str">
        <f>_xlfn.CONCAT(_xlfn.XLOOKUP("What's Your Name?",[1]Sheet1!$1:$1,[1]Sheet1!184:184)," | ",TEXT(_xlfn.XLOOKUP("Completion time",[1]Sheet1!$1:$1,[1]Sheet1!184:184),"dddd, mmm dd, yyyy hh:mm AM/PM"))</f>
        <v xml:space="preserve"> | Saturday, Jan 00, 1900 12:00 AM</v>
      </c>
      <c r="B184" s="76">
        <f>_xlfn.XLOOKUP("What's Your Email Address?",[1]Sheet1!$1:$1,[1]Sheet1!184:184)</f>
        <v>0</v>
      </c>
      <c r="C184" s="31">
        <f>IF(ISBLANK(_xlfn.XLOOKUP("Which Flavor? (Pint Price | Quart Price | Half Gallon Price) (NOTE: Prices may fluctuate based on market conditions)",[1]Sheet1!$1:$1,[1]Sheet1!184:184)),_xlfn.XLOOKUP("Name Your Ice Cream!",[1]Sheet1!$1:$1,[1]Sheet1!184:184),IF(ISNUMBER(FIND("(", _xlfn.XLOOKUP("Which Flavor? (Pint Price | Quart Price | Half Gallon Price) (NOTE: Prices may fluctuate based on market conditions)",[1]Sheet1!$1:$1,[1]Sheet1!184:184))), LEFT(_xlfn.XLOOKUP("Which Flavor? (Pint Price | Quart Price | Half Gallon Price) (NOTE: Prices may fluctuate based on market conditions)",[1]Sheet1!$1:$1,[1]Sheet1!184:184), FIND("(", _xlfn.XLOOKUP("Which Flavor? (Pint Price | Quart Price | Half Gallon Price) (NOTE: Prices may fluctuate based on market conditions)",[1]Sheet1!$1:$1,[1]Sheet1!184:184)) - 1), _xlfn.XLOOKUP("Which Flavor? (Pint Price | Quart Price | Half Gallon Price) (NOTE: Prices may fluctuate based on market conditions)",[1]Sheet1!$1:$1,[1]Sheet1!184:184)))</f>
        <v>0</v>
      </c>
      <c r="D184" s="31">
        <f>IF(COUNTIF('Premade Flavors'!$A:$A, $C184) &gt; 0,IF(ISBLANK(_xlfn.XLOOKUP("What Ice Cream Base Do You Want To Change It To?",[1]Sheet1!$1:$1,[1]Sheet1!184:184)),_xlfn.XLOOKUP($C184,'Premade Flavors'!$A:$A,'Premade Flavors'!B:B),_xlfn.XLOOKUP("What Ice Cream Base Do You Want To Change It To?",[1]Sheet1!$1:$1,[1]Sheet1!184:184)),_xlfn.XLOOKUP(_xlfn.XLOOKUP("What Kind Of Ice Cream Base Do You Want? ",[1]Sheet1!$1:$1,[1]Sheet1!184:184),'Milk Types Nutrition Per Cup'!O:O,'Milk Types Nutrition Per Cup'!P:P,""))</f>
        <v>0</v>
      </c>
      <c r="E184" s="31">
        <f>IF(COUNTIF('Premade Flavors'!$A:$A, $C184) &gt; 0,IF(ISBLANK(_xlfn.XLOOKUP("What Ice Cream Base Do You Want To Change It To?",[1]Sheet1!$1:$1,[1]Sheet1!184:184)),_xlfn.XLOOKUP($C184,'Premade Flavors'!$A:$A,'Premade Flavors'!C:C),_xlfn.XLOOKUP("What Ice Cream Base Do You Want To Change It To?",[1]Sheet1!$1:$1,[1]Sheet1!184:184)),_xlfn.XLOOKUP(_xlfn.XLOOKUP("What Kind Of Ice Cream Base Do You Want? ",[1]Sheet1!$1:$1,[1]Sheet1!184:184),'Milk Types Nutrition Per Cup'!$O:$O,'Milk Types Nutrition Per Cup'!$Q:$Q,""))</f>
        <v>0</v>
      </c>
      <c r="F184" s="31">
        <f>IF(COUNTIF('Premade Flavors'!$A:$A, $C184) &gt; 0,_xlfn.XLOOKUP($C184,'Premade Flavors'!$A:$A,'Premade Flavors'!E:E),_xlfn.XLOOKUP("What's The First Flavor You Want? ",[1]Sheet1!$1:$1,[1]Sheet1!184:184))</f>
        <v>0</v>
      </c>
      <c r="G184" s="31">
        <f>IF(COUNTIF('Premade Flavors'!$A:$A, $C184) &gt; 0,_xlfn.XLOOKUP($C184,'Premade Flavors'!$A:$A,'Premade Flavors'!F:F),_xlfn.XLOOKUP("What's the Second Flavor You Want?",[1]Sheet1!$1:$1,[1]Sheet1!184:184))</f>
        <v>0</v>
      </c>
      <c r="H184" s="31">
        <f>IF(COUNTIF('Premade Flavors'!$A:$A, $C184) &gt; 0,_xlfn.XLOOKUP($C184,'Premade Flavors'!$A:$A,'Premade Flavors'!G:G),_xlfn.XLOOKUP("What's The First Mix In That You Want? ",[1]Sheet1!$1:$1,[1]Sheet1!184:184))</f>
        <v>0</v>
      </c>
      <c r="I184" s="31">
        <f>IF(COUNTIF('Premade Flavors'!$A:$A, $C182) &gt; 0,_xlfn.XLOOKUP($C182,'Premade Flavors'!$A:$A,'Premade Flavors'!H:H),IF([2]Sheet1!W182= 0,,[2]Sheet1!W182))</f>
        <v>0</v>
      </c>
      <c r="J184" s="31">
        <f>IF(COUNTIF('Premade Flavors'!$A:$A,$C184)&gt;0,IF(_xlfn.XLOOKUP("Should It Use Sugar or A Non-Sugar Sweetner?",[1]Sheet1!$1:$1,[1]Sheet1!184:184)="Sugar",_xlfn.XLOOKUP($C184,'Premade Flavors'!$A:$A,'Premade Flavors'!I:I),"Stevia"),_xlfn.XLOOKUP("What Sweetner Do You Want?",[1]Sheet1!$1:$1,[1]Sheet1!184:184))</f>
        <v>0</v>
      </c>
      <c r="K184" s="31"/>
      <c r="L184" s="77">
        <f>_xlfn.XLOOKUP("How Much Ice Cream Do You Want?",[1]Sheet1!$1:$1,[1]Sheet1!184:184)</f>
        <v>0</v>
      </c>
      <c r="M184" s="45">
        <f>IF(COUNTIF('Premade Flavors'!$A:$A, $C184) &gt; 0,_xlfn.XLOOKUP($C184,'Premade Flavors'!$A:$A,'Premade Flavors'!M:M),_xlfn.XLOOKUP("How Strong Do You Want The First Flavor?",[1]Sheet1!$1:$1,[1]Sheet1!184:184))</f>
        <v>0</v>
      </c>
      <c r="N184" s="45">
        <f>IF(COUNTIF('Premade Flavors'!$A:$A, $C184) &gt; 0,_xlfn.XLOOKUP($C184,'Premade Flavors'!$A:$A,'Premade Flavors'!N:N),_xlfn.XLOOKUP("How Strong Do You Want The Second Flavor?",[1]Sheet1!$1:$1,[1]Sheet1!184:184))</f>
        <v>0</v>
      </c>
      <c r="O184" s="45">
        <f>IF(COUNTIF('Premade Flavors'!$A:$A, $C184) &gt; 0,_xlfn.XLOOKUP($C184,'Premade Flavors'!$A:$A,'Premade Flavors'!O:O),_xlfn.XLOOKUP("How Dense Should the Mix Ins Be?",[1]Sheet1!$1:$1,[1]Sheet1!184:184))</f>
        <v>0</v>
      </c>
      <c r="P184" s="45">
        <f>IF(COUNTIF('Premade Flavors'!$A:$A, $C184) &gt; 0,_xlfn.XLOOKUP($C184,'Premade Flavors'!$A:$A,'Premade Flavors'!P:P),_xlfn.XLOOKUP("How Much Of The First Sweetner? ",[1]Sheet1!$1:$1,[1]Sheet1!184:184))</f>
        <v>0</v>
      </c>
      <c r="Q184" s="45">
        <f>IF(COUNTIF('Premade Flavors'!$A:$A, $C184) &gt; 0,_xlfn.XLOOKUP($C184,'Premade Flavors'!$A:$A,'Premade Flavors'!Q:Q),[2]Sheet1!S184)</f>
        <v>0</v>
      </c>
      <c r="R184" s="30">
        <f>(_xlfn.XLOOKUP($L184,Specs!A:A,Specs!B:B,0)-(IF(_xlfn.XLOOKUP($F184,'Liquid Mix In Nutrition'!A:A,'Liquid Mix In Nutrition'!J:J,0)="Yes",0,$T184))-(IF(_xlfn.XLOOKUP($G184,'Liquid Mix In Nutrition'!A:A,'Liquid Mix In Nutrition'!J:J,0)="Yes",0,$U184))-(($V184/MAX(1,_xlfn.XLOOKUP($H184,'Solid Mix In Nutrition'!A:A,'Solid Mix In Nutrition'!I:I,1)))*240)-(($W184/MAX(1,_xlfn.XLOOKUP($I184,'Solid Mix In Nutrition'!A:A,'Solid Mix In Nutrition'!I:I,1)))*240))*0.66</f>
        <v>0</v>
      </c>
      <c r="S184" s="30">
        <f>(_xlfn.XLOOKUP($L184,Specs!A:A,Specs!B:B,0)-(IF(_xlfn.XLOOKUP($F184,'Liquid Mix In Nutrition'!A:A,'Liquid Mix In Nutrition'!J:J,0)="Yes",0,$T184))-(IF(_xlfn.XLOOKUP($G184,'Liquid Mix In Nutrition'!A:A,'Liquid Mix In Nutrition'!J:J,0)="Yes",0,$U184))-(($V184/MAX(1,_xlfn.XLOOKUP($H184,'Solid Mix In Nutrition'!A:A,'Solid Mix In Nutrition'!I:I,1)))*240)-(($W184/MAX(1,_xlfn.XLOOKUP($I184,'Solid Mix In Nutrition'!A:A,'Solid Mix In Nutrition'!I:I,1)))*240))*0.33</f>
        <v>0</v>
      </c>
      <c r="T184" s="30">
        <f>_xlfn.XLOOKUP($M184,Specs!$D:$D,Specs!$E:$E,0)*15*_xlfn.XLOOKUP($L184,Specs!$A:$A,Specs!$C:$C,0)</f>
        <v>0</v>
      </c>
      <c r="U184" s="30">
        <f>_xlfn.XLOOKUP($N184,Specs!$D:$D,Specs!$E:$E,0)*15*_xlfn.XLOOKUP($L184,Specs!$A:$A,Specs!$C:$C,0)</f>
        <v>0</v>
      </c>
      <c r="V184" s="30">
        <f>( ((_xlfn.XLOOKUP($O184,Specs!$H:$H,Specs!$I:$I,0)*_xlfn.XLOOKUP($L184,Specs!$A:$A,Specs!$B:$B,0))/240) *_xlfn.XLOOKUP($H184,'Solid Mix In Nutrition'!A:A,'Solid Mix In Nutrition'!I:I,0)) *IF(AND(NOT($I184=0), COUNTA($I184)),0.5,1)</f>
        <v>0</v>
      </c>
      <c r="W184" s="30">
        <f>( ((_xlfn.XLOOKUP($O184,Specs!$H:$H,Specs!$I:$I,0)*_xlfn.XLOOKUP($L184,Specs!$A:$A,Specs!$B:$B,0))/240) *_xlfn.XLOOKUP($I184,'Solid Mix In Nutrition'!A:A,'Solid Mix In Nutrition'!I:I,0)) *IF(AND(NOT($I184=0), COUNTA($I184)),0.5,0)</f>
        <v>0</v>
      </c>
      <c r="X184" s="30">
        <f>_xlfn.XLOOKUP($P184,Specs!F:F,Specs!G:G,0)*_xlfn.XLOOKUP($J184,'Sweetener Mix In Nutrition'!A:A,'Sweetener Mix In Nutrition'!I:I,0)*_xlfn.XLOOKUP($L184,Specs!A:A,Specs!C:C,0)</f>
        <v>0</v>
      </c>
      <c r="Y184" s="30">
        <f>_xlfn.XLOOKUP($Q184,Specs!F:F,Specs!G:G,0)*_xlfn.XLOOKUP($K184,'Sweetener Mix In Nutrition'!A:A,'Sweetener Mix In Nutrition'!I:I,0)*_xlfn.XLOOKUP($L184,Specs!A:A,Specs!C:C,0)</f>
        <v>0</v>
      </c>
      <c r="Z184" s="34">
        <f t="shared" si="6"/>
        <v>0</v>
      </c>
      <c r="AA184" s="35">
        <f t="shared" si="7"/>
        <v>0</v>
      </c>
      <c r="AB184" s="36">
        <f>(($R184 / 240) * _xlfn.XLOOKUP($D184,'Milk Types Nutrition Per Cup'!A:A,'Milk Types Nutrition Per Cup'!B:B,0)) +(($S184 / 240)  * _xlfn.XLOOKUP($E184,'Milk Types Nutrition Per Cup'!A:A,'Milk Types Nutrition Per Cup'!B:B,0)) +(($T184 / 15)  * _xlfn.XLOOKUP($F184,'Liquid Mix In Nutrition'!A:A,'Liquid Mix In Nutrition'!B:B,0))+(($U184 / 15)  * _xlfn.XLOOKUP($G184,'Liquid Mix In Nutrition'!A:A,'Liquid Mix In Nutrition'!B:B,0))+(($V184 /MAX(1, _xlfn.XLOOKUP($H184,'Solid Mix In Nutrition'!A:A,'Solid Mix In Nutrition'!I:I,1)))  * _xlfn.XLOOKUP($H184,'Solid Mix In Nutrition'!A:A,'Solid Mix In Nutrition'!B:B,0))+(($W184 / MAX(1, _xlfn.XLOOKUP($I184,'Solid Mix In Nutrition'!A:A,'Solid Mix In Nutrition'!I:I,1))))+(($X184 / 100)  * _xlfn.XLOOKUP($J184,'Sweetener Mix In Nutrition'!A:A,'Sweetener Mix In Nutrition'!B:B,0))+(($Y184 / 100)  * _xlfn.XLOOKUP($K184,'Sweetener Mix In Nutrition'!A:A,'Sweetener Mix In Nutrition'!B:B,0))</f>
        <v>0</v>
      </c>
      <c r="AC184" s="36">
        <f>(($R184 / 240) * _xlfn.XLOOKUP($D184,'Milk Types Nutrition Per Cup'!A:A,'Milk Types Nutrition Per Cup'!E:E,0)) +(($S184 / 240)  * _xlfn.XLOOKUP($E184,'Milk Types Nutrition Per Cup'!A:A,'Milk Types Nutrition Per Cup'!E:E,0)) +(($T184 / 15)  * _xlfn.XLOOKUP($F184,'Liquid Mix In Nutrition'!A:A,'Liquid Mix In Nutrition'!E:E,0)) +(($U184 / 15)  * _xlfn.XLOOKUP($G184,'Liquid Mix In Nutrition'!A:A,'Liquid Mix In Nutrition'!E:E,0))+(($V184 / MAX(1, _xlfn.XLOOKUP($H184,'Solid Mix In Nutrition'!A:A,'Solid Mix In Nutrition'!I:I,1)))  * _xlfn.XLOOKUP($H184,'Solid Mix In Nutrition'!A:A,'Solid Mix In Nutrition'!E:E,0))+(($W184 / MAX(1, _xlfn.XLOOKUP($I184,'Solid Mix In Nutrition'!A:A,'Solid Mix In Nutrition'!I:I,1)))  * _xlfn.XLOOKUP($I184,'Solid Mix In Nutrition'!A:A,'Solid Mix In Nutrition'!G:G,0))+(($X184 / 100)  * _xlfn.XLOOKUP($J184,'Sweetener Mix In Nutrition'!A:A,'Sweetener Mix In Nutrition'!E:E,0))+(($Y184 / 100)  * _xlfn.XLOOKUP($K184,'Sweetener Mix In Nutrition'!A:A,'Sweetener Mix In Nutrition'!E:E,0))</f>
        <v>0</v>
      </c>
      <c r="AD184" s="36">
        <f>(($R184 / 240) * _xlfn.XLOOKUP($D184,'Milk Types Nutrition Per Cup'!A:A,'Milk Types Nutrition Per Cup'!E:E,0)) +(($S184 / 240)  * _xlfn.XLOOKUP($E184,'Milk Types Nutrition Per Cup'!A:A,'Milk Types Nutrition Per Cup'!E:E,0)) +(($T184 / 15)  * _xlfn.XLOOKUP($F184,'Liquid Mix In Nutrition'!A:A,'Liquid Mix In Nutrition'!E:E,0)) +(($U184 / 15)  * _xlfn.XLOOKUP($G184,'Liquid Mix In Nutrition'!A:A,'Liquid Mix In Nutrition'!E:E,0))+(($X184 / 100)  * _xlfn.XLOOKUP($J184,'Sweetener Mix In Nutrition'!A:A,'Sweetener Mix In Nutrition'!E:E,0))+(($Y184 / 100)  * _xlfn.XLOOKUP($K184,'Sweetener Mix In Nutrition'!A:A,'Sweetener Mix In Nutrition'!E:E,0))</f>
        <v>0</v>
      </c>
      <c r="AE184" s="37">
        <f>(($R184 / 240) * _xlfn.XLOOKUP($D184,'Milk Types Nutrition Per Cup'!A:A,'Milk Types Nutrition Per Cup'!C:C,0)) +(($S184 / 240)  * _xlfn.XLOOKUP($E184,'Milk Types Nutrition Per Cup'!A:A,'Milk Types Nutrition Per Cup'!C:C,0)) +(($T184 / 15)  * _xlfn.XLOOKUP($F184,'Liquid Mix In Nutrition'!A:A,'Liquid Mix In Nutrition'!C:C,0))+(($U184 / 15)  * _xlfn.XLOOKUP($G184,'Liquid Mix In Nutrition'!A:A,'Liquid Mix In Nutrition'!C:C,0))+(($V184 / MAX(1, _xlfn.XLOOKUP($H184,'Solid Mix In Nutrition'!A:A,'Solid Mix In Nutrition'!I:I,1)))  * _xlfn.XLOOKUP($H184,'Solid Mix In Nutrition'!A:A,'Solid Mix In Nutrition'!C:C,0))+(($W184 / MAX(1, _xlfn.XLOOKUP($I184,'Solid Mix In Nutrition'!A:A,'Solid Mix In Nutrition'!I:I,1)))  * _xlfn.XLOOKUP($I184,'Solid Mix In Nutrition'!A:A,'Solid Mix In Nutrition'!C:C,0))+(($X184 / 100)  * _xlfn.XLOOKUP($J184,'Sweetener Mix In Nutrition'!A:A,'Sweetener Mix In Nutrition'!C:C,0))+(($Y184 / 100)  * _xlfn.XLOOKUP($K184,'Sweetener Mix In Nutrition'!A:A,'Sweetener Mix In Nutrition'!C:C,0))</f>
        <v>0</v>
      </c>
      <c r="AF184" s="38" t="e">
        <f>$AE184 / (_xlfn.XLOOKUP($L184,Specs!A:A,Specs!B:B,0))</f>
        <v>#DIV/0!</v>
      </c>
      <c r="AG184" s="37" t="e">
        <f>60* ($AB184 / _xlfn.XLOOKUP($L184,Specs!A:A,Specs!B:B,0))</f>
        <v>#DIV/0!</v>
      </c>
      <c r="AH184" s="37" t="e">
        <f>60* (AC184 / _xlfn.XLOOKUP($L184,Specs!$A:$A,Specs!$B:$B,0))</f>
        <v>#DIV/0!</v>
      </c>
      <c r="AI184" s="37" t="e">
        <f>60* (AE184 / _xlfn.XLOOKUP($L184,Specs!$A:$A,Specs!$B:$B,0))</f>
        <v>#DIV/0!</v>
      </c>
      <c r="AJ184" s="39">
        <f>(($R184 / 240) * _xlfn.XLOOKUP($D184,'Milk Types Nutrition Per Cup'!A:A,'Milk Types Nutrition Per Cup'!F:F,0)) +(($S184 / 240)  * _xlfn.XLOOKUP($E184,'Milk Types Nutrition Per Cup'!A:A,'Milk Types Nutrition Per Cup'!F:F,0)) +(($T184 / 15)  * _xlfn.XLOOKUP($F184,'Liquid Mix In Nutrition'!A:A,'Liquid Mix In Nutrition'!F:F,0))+(($U184 / 15)  * _xlfn.XLOOKUP($G184,'Liquid Mix In Nutrition'!A:A,'Liquid Mix In Nutrition'!F:F,0))+(($V184 / MAX(1, _xlfn.XLOOKUP($H184,'Solid Mix In Nutrition'!A:A,'Solid Mix In Nutrition'!I:I,1)))  * _xlfn.XLOOKUP($H184,'Solid Mix In Nutrition'!A:A,'Solid Mix In Nutrition'!F:F,0))+(($W184 / MAX(1, _xlfn.XLOOKUP($I184,'Solid Mix In Nutrition'!A:A,'Solid Mix In Nutrition'!I:I,1)))  * _xlfn.XLOOKUP($I184,'Solid Mix In Nutrition'!A:A,'Solid Mix In Nutrition'!F:F,0))+(($X184 / 100)  * _xlfn.XLOOKUP($J184,'Sweetener Mix In Nutrition'!A:A,'Sweetener Mix In Nutrition'!F:F,0))+(($Y184 / 100)  * _xlfn.XLOOKUP($K184,'Sweetener Mix In Nutrition'!A:A,'Sweetener Mix In Nutrition'!F:F,0))</f>
        <v>0</v>
      </c>
      <c r="AK184" s="46">
        <f>[2]Sheet1!AG184</f>
        <v>0</v>
      </c>
      <c r="AL184" s="47"/>
      <c r="AM184" s="40">
        <f>IF(ISERROR(((AL184/Specs!$L$3)*Specs!$L$2)*2),0,ROUNDUP((((AL184/Specs!$L$3)*Specs!$L$2)*2),0))</f>
        <v>0</v>
      </c>
      <c r="AN184" s="48">
        <f>ROUNDUP(((AJ184+Specs!$R$2+Specs!$S$2+_xlfn.XLOOKUP($L184,Specs!A:A,Specs!V:V,0))*Specs!$N$2)+AM184,0)</f>
        <v>1</v>
      </c>
      <c r="AO184" s="40">
        <f>ROUNDUP(((AJ184+Specs!$R$2+Specs!$S$2+_xlfn.XLOOKUP($L184,Specs!A:A,Specs!V:V,0))*Specs!$N$2),0)</f>
        <v>1</v>
      </c>
      <c r="AP184" s="30"/>
    </row>
    <row r="185" spans="1:42" x14ac:dyDescent="0.25">
      <c r="A185" s="41" t="str">
        <f>_xlfn.CONCAT(_xlfn.XLOOKUP("What's Your Name?",[1]Sheet1!$1:$1,[1]Sheet1!185:185)," | ",TEXT(_xlfn.XLOOKUP("Completion time",[1]Sheet1!$1:$1,[1]Sheet1!185:185),"dddd, mmm dd, yyyy hh:mm AM/PM"))</f>
        <v xml:space="preserve"> | Saturday, Jan 00, 1900 12:00 AM</v>
      </c>
      <c r="B185" s="76">
        <f>_xlfn.XLOOKUP("What's Your Email Address?",[1]Sheet1!$1:$1,[1]Sheet1!185:185)</f>
        <v>0</v>
      </c>
      <c r="C185" s="31">
        <f>IF(ISBLANK(_xlfn.XLOOKUP("Which Flavor? (Pint Price | Quart Price | Half Gallon Price) (NOTE: Prices may fluctuate based on market conditions)",[1]Sheet1!$1:$1,[1]Sheet1!185:185)),_xlfn.XLOOKUP("Name Your Ice Cream!",[1]Sheet1!$1:$1,[1]Sheet1!185:185),IF(ISNUMBER(FIND("(", _xlfn.XLOOKUP("Which Flavor? (Pint Price | Quart Price | Half Gallon Price) (NOTE: Prices may fluctuate based on market conditions)",[1]Sheet1!$1:$1,[1]Sheet1!185:185))), LEFT(_xlfn.XLOOKUP("Which Flavor? (Pint Price | Quart Price | Half Gallon Price) (NOTE: Prices may fluctuate based on market conditions)",[1]Sheet1!$1:$1,[1]Sheet1!185:185), FIND("(", _xlfn.XLOOKUP("Which Flavor? (Pint Price | Quart Price | Half Gallon Price) (NOTE: Prices may fluctuate based on market conditions)",[1]Sheet1!$1:$1,[1]Sheet1!185:185)) - 1), _xlfn.XLOOKUP("Which Flavor? (Pint Price | Quart Price | Half Gallon Price) (NOTE: Prices may fluctuate based on market conditions)",[1]Sheet1!$1:$1,[1]Sheet1!185:185)))</f>
        <v>0</v>
      </c>
      <c r="D185" s="31">
        <f>IF(COUNTIF('Premade Flavors'!$A:$A, $C185) &gt; 0,IF(ISBLANK(_xlfn.XLOOKUP("What Ice Cream Base Do You Want To Change It To?",[1]Sheet1!$1:$1,[1]Sheet1!185:185)),_xlfn.XLOOKUP($C185,'Premade Flavors'!$A:$A,'Premade Flavors'!B:B),_xlfn.XLOOKUP("What Ice Cream Base Do You Want To Change It To?",[1]Sheet1!$1:$1,[1]Sheet1!185:185)),_xlfn.XLOOKUP(_xlfn.XLOOKUP("What Kind Of Ice Cream Base Do You Want? ",[1]Sheet1!$1:$1,[1]Sheet1!185:185),'Milk Types Nutrition Per Cup'!O:O,'Milk Types Nutrition Per Cup'!P:P,""))</f>
        <v>0</v>
      </c>
      <c r="E185" s="31">
        <f>IF(COUNTIF('Premade Flavors'!$A:$A, $C185) &gt; 0,IF(ISBLANK(_xlfn.XLOOKUP("What Ice Cream Base Do You Want To Change It To?",[1]Sheet1!$1:$1,[1]Sheet1!185:185)),_xlfn.XLOOKUP($C185,'Premade Flavors'!$A:$A,'Premade Flavors'!C:C),_xlfn.XLOOKUP("What Ice Cream Base Do You Want To Change It To?",[1]Sheet1!$1:$1,[1]Sheet1!185:185)),_xlfn.XLOOKUP(_xlfn.XLOOKUP("What Kind Of Ice Cream Base Do You Want? ",[1]Sheet1!$1:$1,[1]Sheet1!185:185),'Milk Types Nutrition Per Cup'!$O:$O,'Milk Types Nutrition Per Cup'!$Q:$Q,""))</f>
        <v>0</v>
      </c>
      <c r="F185" s="31">
        <f>IF(COUNTIF('Premade Flavors'!$A:$A, $C185) &gt; 0,_xlfn.XLOOKUP($C185,'Premade Flavors'!$A:$A,'Premade Flavors'!E:E),_xlfn.XLOOKUP("What's The First Flavor You Want? ",[1]Sheet1!$1:$1,[1]Sheet1!185:185))</f>
        <v>0</v>
      </c>
      <c r="G185" s="31">
        <f>IF(COUNTIF('Premade Flavors'!$A:$A, $C185) &gt; 0,_xlfn.XLOOKUP($C185,'Premade Flavors'!$A:$A,'Premade Flavors'!F:F),_xlfn.XLOOKUP("What's the Second Flavor You Want?",[1]Sheet1!$1:$1,[1]Sheet1!185:185))</f>
        <v>0</v>
      </c>
      <c r="H185" s="31">
        <f>IF(COUNTIF('Premade Flavors'!$A:$A, $C185) &gt; 0,_xlfn.XLOOKUP($C185,'Premade Flavors'!$A:$A,'Premade Flavors'!G:G),_xlfn.XLOOKUP("What's The First Mix In That You Want? ",[1]Sheet1!$1:$1,[1]Sheet1!185:185))</f>
        <v>0</v>
      </c>
      <c r="I185" s="31">
        <f>IF(COUNTIF('Premade Flavors'!$A:$A, $C183) &gt; 0,_xlfn.XLOOKUP($C183,'Premade Flavors'!$A:$A,'Premade Flavors'!H:H),IF([2]Sheet1!W183= 0,,[2]Sheet1!W183))</f>
        <v>0</v>
      </c>
      <c r="J185" s="31">
        <f>IF(COUNTIF('Premade Flavors'!$A:$A,$C185)&gt;0,IF(_xlfn.XLOOKUP("Should It Use Sugar or A Non-Sugar Sweetner?",[1]Sheet1!$1:$1,[1]Sheet1!185:185)="Sugar",_xlfn.XLOOKUP($C185,'Premade Flavors'!$A:$A,'Premade Flavors'!I:I),"Stevia"),_xlfn.XLOOKUP("What Sweetner Do You Want?",[1]Sheet1!$1:$1,[1]Sheet1!185:185))</f>
        <v>0</v>
      </c>
      <c r="K185" s="31"/>
      <c r="L185" s="77">
        <f>_xlfn.XLOOKUP("How Much Ice Cream Do You Want?",[1]Sheet1!$1:$1,[1]Sheet1!185:185)</f>
        <v>0</v>
      </c>
      <c r="M185" s="45">
        <f>IF(COUNTIF('Premade Flavors'!$A:$A, $C185) &gt; 0,_xlfn.XLOOKUP($C185,'Premade Flavors'!$A:$A,'Premade Flavors'!M:M),_xlfn.XLOOKUP("How Strong Do You Want The First Flavor?",[1]Sheet1!$1:$1,[1]Sheet1!185:185))</f>
        <v>0</v>
      </c>
      <c r="N185" s="45">
        <f>IF(COUNTIF('Premade Flavors'!$A:$A, $C185) &gt; 0,_xlfn.XLOOKUP($C185,'Premade Flavors'!$A:$A,'Premade Flavors'!N:N),_xlfn.XLOOKUP("How Strong Do You Want The Second Flavor?",[1]Sheet1!$1:$1,[1]Sheet1!185:185))</f>
        <v>0</v>
      </c>
      <c r="O185" s="45">
        <f>IF(COUNTIF('Premade Flavors'!$A:$A, $C185) &gt; 0,_xlfn.XLOOKUP($C185,'Premade Flavors'!$A:$A,'Premade Flavors'!O:O),_xlfn.XLOOKUP("How Dense Should the Mix Ins Be?",[1]Sheet1!$1:$1,[1]Sheet1!185:185))</f>
        <v>0</v>
      </c>
      <c r="P185" s="45">
        <f>IF(COUNTIF('Premade Flavors'!$A:$A, $C185) &gt; 0,_xlfn.XLOOKUP($C185,'Premade Flavors'!$A:$A,'Premade Flavors'!P:P),_xlfn.XLOOKUP("How Much Of The First Sweetner? ",[1]Sheet1!$1:$1,[1]Sheet1!185:185))</f>
        <v>0</v>
      </c>
      <c r="Q185" s="45">
        <f>IF(COUNTIF('Premade Flavors'!$A:$A, $C185) &gt; 0,_xlfn.XLOOKUP($C185,'Premade Flavors'!$A:$A,'Premade Flavors'!Q:Q),[2]Sheet1!S185)</f>
        <v>0</v>
      </c>
      <c r="R185" s="30">
        <f>(_xlfn.XLOOKUP($L185,Specs!A:A,Specs!B:B,0)-(IF(_xlfn.XLOOKUP($F185,'Liquid Mix In Nutrition'!A:A,'Liquid Mix In Nutrition'!J:J,0)="Yes",0,$T185))-(IF(_xlfn.XLOOKUP($G185,'Liquid Mix In Nutrition'!A:A,'Liquid Mix In Nutrition'!J:J,0)="Yes",0,$U185))-(($V185/MAX(1,_xlfn.XLOOKUP($H185,'Solid Mix In Nutrition'!A:A,'Solid Mix In Nutrition'!I:I,1)))*240)-(($W185/MAX(1,_xlfn.XLOOKUP($I185,'Solid Mix In Nutrition'!A:A,'Solid Mix In Nutrition'!I:I,1)))*240))*0.66</f>
        <v>0</v>
      </c>
      <c r="S185" s="30">
        <f>(_xlfn.XLOOKUP($L185,Specs!A:A,Specs!B:B,0)-(IF(_xlfn.XLOOKUP($F185,'Liquid Mix In Nutrition'!A:A,'Liquid Mix In Nutrition'!J:J,0)="Yes",0,$T185))-(IF(_xlfn.XLOOKUP($G185,'Liquid Mix In Nutrition'!A:A,'Liquid Mix In Nutrition'!J:J,0)="Yes",0,$U185))-(($V185/MAX(1,_xlfn.XLOOKUP($H185,'Solid Mix In Nutrition'!A:A,'Solid Mix In Nutrition'!I:I,1)))*240)-(($W185/MAX(1,_xlfn.XLOOKUP($I185,'Solid Mix In Nutrition'!A:A,'Solid Mix In Nutrition'!I:I,1)))*240))*0.33</f>
        <v>0</v>
      </c>
      <c r="T185" s="30">
        <f>_xlfn.XLOOKUP($M185,Specs!$D:$D,Specs!$E:$E,0)*15*_xlfn.XLOOKUP($L185,Specs!$A:$A,Specs!$C:$C,0)</f>
        <v>0</v>
      </c>
      <c r="U185" s="30">
        <f>_xlfn.XLOOKUP($N185,Specs!$D:$D,Specs!$E:$E,0)*15*_xlfn.XLOOKUP($L185,Specs!$A:$A,Specs!$C:$C,0)</f>
        <v>0</v>
      </c>
      <c r="V185" s="30">
        <f>( ((_xlfn.XLOOKUP($O185,Specs!$H:$H,Specs!$I:$I,0)*_xlfn.XLOOKUP($L185,Specs!$A:$A,Specs!$B:$B,0))/240) *_xlfn.XLOOKUP($H185,'Solid Mix In Nutrition'!A:A,'Solid Mix In Nutrition'!I:I,0)) *IF(AND(NOT($I185=0), COUNTA($I185)),0.5,1)</f>
        <v>0</v>
      </c>
      <c r="W185" s="30">
        <f>( ((_xlfn.XLOOKUP($O185,Specs!$H:$H,Specs!$I:$I,0)*_xlfn.XLOOKUP($L185,Specs!$A:$A,Specs!$B:$B,0))/240) *_xlfn.XLOOKUP($I185,'Solid Mix In Nutrition'!A:A,'Solid Mix In Nutrition'!I:I,0)) *IF(AND(NOT($I185=0), COUNTA($I185)),0.5,0)</f>
        <v>0</v>
      </c>
      <c r="X185" s="30">
        <f>_xlfn.XLOOKUP($P185,Specs!F:F,Specs!G:G,0)*_xlfn.XLOOKUP($J185,'Sweetener Mix In Nutrition'!A:A,'Sweetener Mix In Nutrition'!I:I,0)*_xlfn.XLOOKUP($L185,Specs!A:A,Specs!C:C,0)</f>
        <v>0</v>
      </c>
      <c r="Y185" s="30">
        <f>_xlfn.XLOOKUP($Q185,Specs!F:F,Specs!G:G,0)*_xlfn.XLOOKUP($K185,'Sweetener Mix In Nutrition'!A:A,'Sweetener Mix In Nutrition'!I:I,0)*_xlfn.XLOOKUP($L185,Specs!A:A,Specs!C:C,0)</f>
        <v>0</v>
      </c>
      <c r="Z185" s="34">
        <f t="shared" si="6"/>
        <v>0</v>
      </c>
      <c r="AA185" s="35">
        <f t="shared" si="7"/>
        <v>0</v>
      </c>
      <c r="AB185" s="36">
        <f>(($R185 / 240) * _xlfn.XLOOKUP($D185,'Milk Types Nutrition Per Cup'!A:A,'Milk Types Nutrition Per Cup'!B:B,0)) +(($S185 / 240)  * _xlfn.XLOOKUP($E185,'Milk Types Nutrition Per Cup'!A:A,'Milk Types Nutrition Per Cup'!B:B,0)) +(($T185 / 15)  * _xlfn.XLOOKUP($F185,'Liquid Mix In Nutrition'!A:A,'Liquid Mix In Nutrition'!B:B,0))+(($U185 / 15)  * _xlfn.XLOOKUP($G185,'Liquid Mix In Nutrition'!A:A,'Liquid Mix In Nutrition'!B:B,0))+(($V185 /MAX(1, _xlfn.XLOOKUP($H185,'Solid Mix In Nutrition'!A:A,'Solid Mix In Nutrition'!I:I,1)))  * _xlfn.XLOOKUP($H185,'Solid Mix In Nutrition'!A:A,'Solid Mix In Nutrition'!B:B,0))+(($W185 / MAX(1, _xlfn.XLOOKUP($I185,'Solid Mix In Nutrition'!A:A,'Solid Mix In Nutrition'!I:I,1))))+(($X185 / 100)  * _xlfn.XLOOKUP($J185,'Sweetener Mix In Nutrition'!A:A,'Sweetener Mix In Nutrition'!B:B,0))+(($Y185 / 100)  * _xlfn.XLOOKUP($K185,'Sweetener Mix In Nutrition'!A:A,'Sweetener Mix In Nutrition'!B:B,0))</f>
        <v>0</v>
      </c>
      <c r="AC185" s="36">
        <f>(($R185 / 240) * _xlfn.XLOOKUP($D185,'Milk Types Nutrition Per Cup'!A:A,'Milk Types Nutrition Per Cup'!E:E,0)) +(($S185 / 240)  * _xlfn.XLOOKUP($E185,'Milk Types Nutrition Per Cup'!A:A,'Milk Types Nutrition Per Cup'!E:E,0)) +(($T185 / 15)  * _xlfn.XLOOKUP($F185,'Liquid Mix In Nutrition'!A:A,'Liquid Mix In Nutrition'!E:E,0)) +(($U185 / 15)  * _xlfn.XLOOKUP($G185,'Liquid Mix In Nutrition'!A:A,'Liquid Mix In Nutrition'!E:E,0))+(($V185 / MAX(1, _xlfn.XLOOKUP($H185,'Solid Mix In Nutrition'!A:A,'Solid Mix In Nutrition'!I:I,1)))  * _xlfn.XLOOKUP($H185,'Solid Mix In Nutrition'!A:A,'Solid Mix In Nutrition'!E:E,0))+(($W185 / MAX(1, _xlfn.XLOOKUP($I185,'Solid Mix In Nutrition'!A:A,'Solid Mix In Nutrition'!I:I,1)))  * _xlfn.XLOOKUP($I185,'Solid Mix In Nutrition'!A:A,'Solid Mix In Nutrition'!G:G,0))+(($X185 / 100)  * _xlfn.XLOOKUP($J185,'Sweetener Mix In Nutrition'!A:A,'Sweetener Mix In Nutrition'!E:E,0))+(($Y185 / 100)  * _xlfn.XLOOKUP($K185,'Sweetener Mix In Nutrition'!A:A,'Sweetener Mix In Nutrition'!E:E,0))</f>
        <v>0</v>
      </c>
      <c r="AD185" s="36">
        <f>(($R185 / 240) * _xlfn.XLOOKUP($D185,'Milk Types Nutrition Per Cup'!A:A,'Milk Types Nutrition Per Cup'!E:E,0)) +(($S185 / 240)  * _xlfn.XLOOKUP($E185,'Milk Types Nutrition Per Cup'!A:A,'Milk Types Nutrition Per Cup'!E:E,0)) +(($T185 / 15)  * _xlfn.XLOOKUP($F185,'Liquid Mix In Nutrition'!A:A,'Liquid Mix In Nutrition'!E:E,0)) +(($U185 / 15)  * _xlfn.XLOOKUP($G185,'Liquid Mix In Nutrition'!A:A,'Liquid Mix In Nutrition'!E:E,0))+(($X185 / 100)  * _xlfn.XLOOKUP($J185,'Sweetener Mix In Nutrition'!A:A,'Sweetener Mix In Nutrition'!E:E,0))+(($Y185 / 100)  * _xlfn.XLOOKUP($K185,'Sweetener Mix In Nutrition'!A:A,'Sweetener Mix In Nutrition'!E:E,0))</f>
        <v>0</v>
      </c>
      <c r="AE185" s="37">
        <f>(($R185 / 240) * _xlfn.XLOOKUP($D185,'Milk Types Nutrition Per Cup'!A:A,'Milk Types Nutrition Per Cup'!C:C,0)) +(($S185 / 240)  * _xlfn.XLOOKUP($E185,'Milk Types Nutrition Per Cup'!A:A,'Milk Types Nutrition Per Cup'!C:C,0)) +(($T185 / 15)  * _xlfn.XLOOKUP($F185,'Liquid Mix In Nutrition'!A:A,'Liquid Mix In Nutrition'!C:C,0))+(($U185 / 15)  * _xlfn.XLOOKUP($G185,'Liquid Mix In Nutrition'!A:A,'Liquid Mix In Nutrition'!C:C,0))+(($V185 / MAX(1, _xlfn.XLOOKUP($H185,'Solid Mix In Nutrition'!A:A,'Solid Mix In Nutrition'!I:I,1)))  * _xlfn.XLOOKUP($H185,'Solid Mix In Nutrition'!A:A,'Solid Mix In Nutrition'!C:C,0))+(($W185 / MAX(1, _xlfn.XLOOKUP($I185,'Solid Mix In Nutrition'!A:A,'Solid Mix In Nutrition'!I:I,1)))  * _xlfn.XLOOKUP($I185,'Solid Mix In Nutrition'!A:A,'Solid Mix In Nutrition'!C:C,0))+(($X185 / 100)  * _xlfn.XLOOKUP($J185,'Sweetener Mix In Nutrition'!A:A,'Sweetener Mix In Nutrition'!C:C,0))+(($Y185 / 100)  * _xlfn.XLOOKUP($K185,'Sweetener Mix In Nutrition'!A:A,'Sweetener Mix In Nutrition'!C:C,0))</f>
        <v>0</v>
      </c>
      <c r="AF185" s="38" t="e">
        <f>$AE185 / (_xlfn.XLOOKUP($L185,Specs!A:A,Specs!B:B,0))</f>
        <v>#DIV/0!</v>
      </c>
      <c r="AG185" s="37" t="e">
        <f>60* ($AB185 / _xlfn.XLOOKUP($L185,Specs!A:A,Specs!B:B,0))</f>
        <v>#DIV/0!</v>
      </c>
      <c r="AH185" s="37" t="e">
        <f>60* (AC185 / _xlfn.XLOOKUP($L185,Specs!$A:$A,Specs!$B:$B,0))</f>
        <v>#DIV/0!</v>
      </c>
      <c r="AI185" s="37" t="e">
        <f>60* (AE185 / _xlfn.XLOOKUP($L185,Specs!$A:$A,Specs!$B:$B,0))</f>
        <v>#DIV/0!</v>
      </c>
      <c r="AJ185" s="39">
        <f>(($R185 / 240) * _xlfn.XLOOKUP($D185,'Milk Types Nutrition Per Cup'!A:A,'Milk Types Nutrition Per Cup'!F:F,0)) +(($S185 / 240)  * _xlfn.XLOOKUP($E185,'Milk Types Nutrition Per Cup'!A:A,'Milk Types Nutrition Per Cup'!F:F,0)) +(($T185 / 15)  * _xlfn.XLOOKUP($F185,'Liquid Mix In Nutrition'!A:A,'Liquid Mix In Nutrition'!F:F,0))+(($U185 / 15)  * _xlfn.XLOOKUP($G185,'Liquid Mix In Nutrition'!A:A,'Liquid Mix In Nutrition'!F:F,0))+(($V185 / MAX(1, _xlfn.XLOOKUP($H185,'Solid Mix In Nutrition'!A:A,'Solid Mix In Nutrition'!I:I,1)))  * _xlfn.XLOOKUP($H185,'Solid Mix In Nutrition'!A:A,'Solid Mix In Nutrition'!F:F,0))+(($W185 / MAX(1, _xlfn.XLOOKUP($I185,'Solid Mix In Nutrition'!A:A,'Solid Mix In Nutrition'!I:I,1)))  * _xlfn.XLOOKUP($I185,'Solid Mix In Nutrition'!A:A,'Solid Mix In Nutrition'!F:F,0))+(($X185 / 100)  * _xlfn.XLOOKUP($J185,'Sweetener Mix In Nutrition'!A:A,'Sweetener Mix In Nutrition'!F:F,0))+(($Y185 / 100)  * _xlfn.XLOOKUP($K185,'Sweetener Mix In Nutrition'!A:A,'Sweetener Mix In Nutrition'!F:F,0))</f>
        <v>0</v>
      </c>
      <c r="AK185" s="46">
        <f>[2]Sheet1!AG185</f>
        <v>0</v>
      </c>
      <c r="AL185" s="47"/>
      <c r="AM185" s="40">
        <f>IF(ISERROR(((AL185/Specs!$L$3)*Specs!$L$2)*2),0,ROUNDUP((((AL185/Specs!$L$3)*Specs!$L$2)*2),0))</f>
        <v>0</v>
      </c>
      <c r="AN185" s="48">
        <f>ROUNDUP(((AJ185+Specs!$R$2+Specs!$S$2+_xlfn.XLOOKUP($L185,Specs!A:A,Specs!V:V,0))*Specs!$N$2)+AM185,0)</f>
        <v>1</v>
      </c>
      <c r="AO185" s="40">
        <f>ROUNDUP(((AJ185+Specs!$R$2+Specs!$S$2+_xlfn.XLOOKUP($L185,Specs!A:A,Specs!V:V,0))*Specs!$N$2),0)</f>
        <v>1</v>
      </c>
      <c r="AP185" s="30"/>
    </row>
    <row r="186" spans="1:42" x14ac:dyDescent="0.25">
      <c r="A186" s="41" t="str">
        <f>_xlfn.CONCAT(_xlfn.XLOOKUP("What's Your Name?",[1]Sheet1!$1:$1,[1]Sheet1!186:186)," | ",TEXT(_xlfn.XLOOKUP("Completion time",[1]Sheet1!$1:$1,[1]Sheet1!186:186),"dddd, mmm dd, yyyy hh:mm AM/PM"))</f>
        <v xml:space="preserve"> | Saturday, Jan 00, 1900 12:00 AM</v>
      </c>
      <c r="B186" s="76">
        <f>_xlfn.XLOOKUP("What's Your Email Address?",[1]Sheet1!$1:$1,[1]Sheet1!186:186)</f>
        <v>0</v>
      </c>
      <c r="C186" s="31">
        <f>IF(ISBLANK(_xlfn.XLOOKUP("Which Flavor? (Pint Price | Quart Price | Half Gallon Price) (NOTE: Prices may fluctuate based on market conditions)",[1]Sheet1!$1:$1,[1]Sheet1!186:186)),_xlfn.XLOOKUP("Name Your Ice Cream!",[1]Sheet1!$1:$1,[1]Sheet1!186:186),IF(ISNUMBER(FIND("(", _xlfn.XLOOKUP("Which Flavor? (Pint Price | Quart Price | Half Gallon Price) (NOTE: Prices may fluctuate based on market conditions)",[1]Sheet1!$1:$1,[1]Sheet1!186:186))), LEFT(_xlfn.XLOOKUP("Which Flavor? (Pint Price | Quart Price | Half Gallon Price) (NOTE: Prices may fluctuate based on market conditions)",[1]Sheet1!$1:$1,[1]Sheet1!186:186), FIND("(", _xlfn.XLOOKUP("Which Flavor? (Pint Price | Quart Price | Half Gallon Price) (NOTE: Prices may fluctuate based on market conditions)",[1]Sheet1!$1:$1,[1]Sheet1!186:186)) - 1), _xlfn.XLOOKUP("Which Flavor? (Pint Price | Quart Price | Half Gallon Price) (NOTE: Prices may fluctuate based on market conditions)",[1]Sheet1!$1:$1,[1]Sheet1!186:186)))</f>
        <v>0</v>
      </c>
      <c r="D186" s="31">
        <f>IF(COUNTIF('Premade Flavors'!$A:$A, $C186) &gt; 0,IF(ISBLANK(_xlfn.XLOOKUP("What Ice Cream Base Do You Want To Change It To?",[1]Sheet1!$1:$1,[1]Sheet1!186:186)),_xlfn.XLOOKUP($C186,'Premade Flavors'!$A:$A,'Premade Flavors'!B:B),_xlfn.XLOOKUP("What Ice Cream Base Do You Want To Change It To?",[1]Sheet1!$1:$1,[1]Sheet1!186:186)),_xlfn.XLOOKUP(_xlfn.XLOOKUP("What Kind Of Ice Cream Base Do You Want? ",[1]Sheet1!$1:$1,[1]Sheet1!186:186),'Milk Types Nutrition Per Cup'!O:O,'Milk Types Nutrition Per Cup'!P:P,""))</f>
        <v>0</v>
      </c>
      <c r="E186" s="31">
        <f>IF(COUNTIF('Premade Flavors'!$A:$A, $C186) &gt; 0,IF(ISBLANK(_xlfn.XLOOKUP("What Ice Cream Base Do You Want To Change It To?",[1]Sheet1!$1:$1,[1]Sheet1!186:186)),_xlfn.XLOOKUP($C186,'Premade Flavors'!$A:$A,'Premade Flavors'!C:C),_xlfn.XLOOKUP("What Ice Cream Base Do You Want To Change It To?",[1]Sheet1!$1:$1,[1]Sheet1!186:186)),_xlfn.XLOOKUP(_xlfn.XLOOKUP("What Kind Of Ice Cream Base Do You Want? ",[1]Sheet1!$1:$1,[1]Sheet1!186:186),'Milk Types Nutrition Per Cup'!$O:$O,'Milk Types Nutrition Per Cup'!$Q:$Q,""))</f>
        <v>0</v>
      </c>
      <c r="F186" s="31">
        <f>IF(COUNTIF('Premade Flavors'!$A:$A, $C186) &gt; 0,_xlfn.XLOOKUP($C186,'Premade Flavors'!$A:$A,'Premade Flavors'!E:E),_xlfn.XLOOKUP("What's The First Flavor You Want? ",[1]Sheet1!$1:$1,[1]Sheet1!186:186))</f>
        <v>0</v>
      </c>
      <c r="G186" s="31">
        <f>IF(COUNTIF('Premade Flavors'!$A:$A, $C186) &gt; 0,_xlfn.XLOOKUP($C186,'Premade Flavors'!$A:$A,'Premade Flavors'!F:F),_xlfn.XLOOKUP("What's the Second Flavor You Want?",[1]Sheet1!$1:$1,[1]Sheet1!186:186))</f>
        <v>0</v>
      </c>
      <c r="H186" s="31">
        <f>IF(COUNTIF('Premade Flavors'!$A:$A, $C186) &gt; 0,_xlfn.XLOOKUP($C186,'Premade Flavors'!$A:$A,'Premade Flavors'!G:G),_xlfn.XLOOKUP("What's The First Mix In That You Want? ",[1]Sheet1!$1:$1,[1]Sheet1!186:186))</f>
        <v>0</v>
      </c>
      <c r="I186" s="31">
        <f>IF(COUNTIF('Premade Flavors'!$A:$A, $C184) &gt; 0,_xlfn.XLOOKUP($C184,'Premade Flavors'!$A:$A,'Premade Flavors'!H:H),IF([2]Sheet1!W184= 0,,[2]Sheet1!W184))</f>
        <v>0</v>
      </c>
      <c r="J186" s="31">
        <f>IF(COUNTIF('Premade Flavors'!$A:$A,$C186)&gt;0,IF(_xlfn.XLOOKUP("Should It Use Sugar or A Non-Sugar Sweetner?",[1]Sheet1!$1:$1,[1]Sheet1!186:186)="Sugar",_xlfn.XLOOKUP($C186,'Premade Flavors'!$A:$A,'Premade Flavors'!I:I),"Stevia"),_xlfn.XLOOKUP("What Sweetner Do You Want?",[1]Sheet1!$1:$1,[1]Sheet1!186:186))</f>
        <v>0</v>
      </c>
      <c r="K186" s="31"/>
      <c r="L186" s="77">
        <f>_xlfn.XLOOKUP("How Much Ice Cream Do You Want?",[1]Sheet1!$1:$1,[1]Sheet1!186:186)</f>
        <v>0</v>
      </c>
      <c r="M186" s="45">
        <f>IF(COUNTIF('Premade Flavors'!$A:$A, $C186) &gt; 0,_xlfn.XLOOKUP($C186,'Premade Flavors'!$A:$A,'Premade Flavors'!M:M),_xlfn.XLOOKUP("How Strong Do You Want The First Flavor?",[1]Sheet1!$1:$1,[1]Sheet1!186:186))</f>
        <v>0</v>
      </c>
      <c r="N186" s="45">
        <f>IF(COUNTIF('Premade Flavors'!$A:$A, $C186) &gt; 0,_xlfn.XLOOKUP($C186,'Premade Flavors'!$A:$A,'Premade Flavors'!N:N),_xlfn.XLOOKUP("How Strong Do You Want The Second Flavor?",[1]Sheet1!$1:$1,[1]Sheet1!186:186))</f>
        <v>0</v>
      </c>
      <c r="O186" s="45">
        <f>IF(COUNTIF('Premade Flavors'!$A:$A, $C186) &gt; 0,_xlfn.XLOOKUP($C186,'Premade Flavors'!$A:$A,'Premade Flavors'!O:O),_xlfn.XLOOKUP("How Dense Should the Mix Ins Be?",[1]Sheet1!$1:$1,[1]Sheet1!186:186))</f>
        <v>0</v>
      </c>
      <c r="P186" s="45">
        <f>IF(COUNTIF('Premade Flavors'!$A:$A, $C186) &gt; 0,_xlfn.XLOOKUP($C186,'Premade Flavors'!$A:$A,'Premade Flavors'!P:P),_xlfn.XLOOKUP("How Much Of The First Sweetner? ",[1]Sheet1!$1:$1,[1]Sheet1!186:186))</f>
        <v>0</v>
      </c>
      <c r="Q186" s="45">
        <f>IF(COUNTIF('Premade Flavors'!$A:$A, $C186) &gt; 0,_xlfn.XLOOKUP($C186,'Premade Flavors'!$A:$A,'Premade Flavors'!Q:Q),[2]Sheet1!S186)</f>
        <v>0</v>
      </c>
      <c r="R186" s="30">
        <f>(_xlfn.XLOOKUP($L186,Specs!A:A,Specs!B:B,0)-(IF(_xlfn.XLOOKUP($F186,'Liquid Mix In Nutrition'!A:A,'Liquid Mix In Nutrition'!J:J,0)="Yes",0,$T186))-(IF(_xlfn.XLOOKUP($G186,'Liquid Mix In Nutrition'!A:A,'Liquid Mix In Nutrition'!J:J,0)="Yes",0,$U186))-(($V186/MAX(1,_xlfn.XLOOKUP($H186,'Solid Mix In Nutrition'!A:A,'Solid Mix In Nutrition'!I:I,1)))*240)-(($W186/MAX(1,_xlfn.XLOOKUP($I186,'Solid Mix In Nutrition'!A:A,'Solid Mix In Nutrition'!I:I,1)))*240))*0.66</f>
        <v>0</v>
      </c>
      <c r="S186" s="30">
        <f>(_xlfn.XLOOKUP($L186,Specs!A:A,Specs!B:B,0)-(IF(_xlfn.XLOOKUP($F186,'Liquid Mix In Nutrition'!A:A,'Liquid Mix In Nutrition'!J:J,0)="Yes",0,$T186))-(IF(_xlfn.XLOOKUP($G186,'Liquid Mix In Nutrition'!A:A,'Liquid Mix In Nutrition'!J:J,0)="Yes",0,$U186))-(($V186/MAX(1,_xlfn.XLOOKUP($H186,'Solid Mix In Nutrition'!A:A,'Solid Mix In Nutrition'!I:I,1)))*240)-(($W186/MAX(1,_xlfn.XLOOKUP($I186,'Solid Mix In Nutrition'!A:A,'Solid Mix In Nutrition'!I:I,1)))*240))*0.33</f>
        <v>0</v>
      </c>
      <c r="T186" s="30">
        <f>_xlfn.XLOOKUP($M186,Specs!$D:$D,Specs!$E:$E,0)*15*_xlfn.XLOOKUP($L186,Specs!$A:$A,Specs!$C:$C,0)</f>
        <v>0</v>
      </c>
      <c r="U186" s="30">
        <f>_xlfn.XLOOKUP($N186,Specs!$D:$D,Specs!$E:$E,0)*15*_xlfn.XLOOKUP($L186,Specs!$A:$A,Specs!$C:$C,0)</f>
        <v>0</v>
      </c>
      <c r="V186" s="30">
        <f>( ((_xlfn.XLOOKUP($O186,Specs!$H:$H,Specs!$I:$I,0)*_xlfn.XLOOKUP($L186,Specs!$A:$A,Specs!$B:$B,0))/240) *_xlfn.XLOOKUP($H186,'Solid Mix In Nutrition'!A:A,'Solid Mix In Nutrition'!I:I,0)) *IF(AND(NOT($I186=0), COUNTA($I186)),0.5,1)</f>
        <v>0</v>
      </c>
      <c r="W186" s="30">
        <f>( ((_xlfn.XLOOKUP($O186,Specs!$H:$H,Specs!$I:$I,0)*_xlfn.XLOOKUP($L186,Specs!$A:$A,Specs!$B:$B,0))/240) *_xlfn.XLOOKUP($I186,'Solid Mix In Nutrition'!A:A,'Solid Mix In Nutrition'!I:I,0)) *IF(AND(NOT($I186=0), COUNTA($I186)),0.5,0)</f>
        <v>0</v>
      </c>
      <c r="X186" s="30">
        <f>_xlfn.XLOOKUP($P186,Specs!F:F,Specs!G:G,0)*_xlfn.XLOOKUP($J186,'Sweetener Mix In Nutrition'!A:A,'Sweetener Mix In Nutrition'!I:I,0)*_xlfn.XLOOKUP($L186,Specs!A:A,Specs!C:C,0)</f>
        <v>0</v>
      </c>
      <c r="Y186" s="30">
        <f>_xlfn.XLOOKUP($Q186,Specs!F:F,Specs!G:G,0)*_xlfn.XLOOKUP($K186,'Sweetener Mix In Nutrition'!A:A,'Sweetener Mix In Nutrition'!I:I,0)*_xlfn.XLOOKUP($L186,Specs!A:A,Specs!C:C,0)</f>
        <v>0</v>
      </c>
      <c r="Z186" s="34">
        <f t="shared" si="6"/>
        <v>0</v>
      </c>
      <c r="AA186" s="35">
        <f t="shared" si="7"/>
        <v>0</v>
      </c>
      <c r="AB186" s="36">
        <f>(($R186 / 240) * _xlfn.XLOOKUP($D186,'Milk Types Nutrition Per Cup'!A:A,'Milk Types Nutrition Per Cup'!B:B,0)) +(($S186 / 240)  * _xlfn.XLOOKUP($E186,'Milk Types Nutrition Per Cup'!A:A,'Milk Types Nutrition Per Cup'!B:B,0)) +(($T186 / 15)  * _xlfn.XLOOKUP($F186,'Liquid Mix In Nutrition'!A:A,'Liquid Mix In Nutrition'!B:B,0))+(($U186 / 15)  * _xlfn.XLOOKUP($G186,'Liquid Mix In Nutrition'!A:A,'Liquid Mix In Nutrition'!B:B,0))+(($V186 /MAX(1, _xlfn.XLOOKUP($H186,'Solid Mix In Nutrition'!A:A,'Solid Mix In Nutrition'!I:I,1)))  * _xlfn.XLOOKUP($H186,'Solid Mix In Nutrition'!A:A,'Solid Mix In Nutrition'!B:B,0))+(($W186 / MAX(1, _xlfn.XLOOKUP($I186,'Solid Mix In Nutrition'!A:A,'Solid Mix In Nutrition'!I:I,1))))+(($X186 / 100)  * _xlfn.XLOOKUP($J186,'Sweetener Mix In Nutrition'!A:A,'Sweetener Mix In Nutrition'!B:B,0))+(($Y186 / 100)  * _xlfn.XLOOKUP($K186,'Sweetener Mix In Nutrition'!A:A,'Sweetener Mix In Nutrition'!B:B,0))</f>
        <v>0</v>
      </c>
      <c r="AC186" s="36">
        <f>(($R186 / 240) * _xlfn.XLOOKUP($D186,'Milk Types Nutrition Per Cup'!A:A,'Milk Types Nutrition Per Cup'!E:E,0)) +(($S186 / 240)  * _xlfn.XLOOKUP($E186,'Milk Types Nutrition Per Cup'!A:A,'Milk Types Nutrition Per Cup'!E:E,0)) +(($T186 / 15)  * _xlfn.XLOOKUP($F186,'Liquid Mix In Nutrition'!A:A,'Liquid Mix In Nutrition'!E:E,0)) +(($U186 / 15)  * _xlfn.XLOOKUP($G186,'Liquid Mix In Nutrition'!A:A,'Liquid Mix In Nutrition'!E:E,0))+(($V186 / MAX(1, _xlfn.XLOOKUP($H186,'Solid Mix In Nutrition'!A:A,'Solid Mix In Nutrition'!I:I,1)))  * _xlfn.XLOOKUP($H186,'Solid Mix In Nutrition'!A:A,'Solid Mix In Nutrition'!E:E,0))+(($W186 / MAX(1, _xlfn.XLOOKUP($I186,'Solid Mix In Nutrition'!A:A,'Solid Mix In Nutrition'!I:I,1)))  * _xlfn.XLOOKUP($I186,'Solid Mix In Nutrition'!A:A,'Solid Mix In Nutrition'!G:G,0))+(($X186 / 100)  * _xlfn.XLOOKUP($J186,'Sweetener Mix In Nutrition'!A:A,'Sweetener Mix In Nutrition'!E:E,0))+(($Y186 / 100)  * _xlfn.XLOOKUP($K186,'Sweetener Mix In Nutrition'!A:A,'Sweetener Mix In Nutrition'!E:E,0))</f>
        <v>0</v>
      </c>
      <c r="AD186" s="36">
        <f>(($R186 / 240) * _xlfn.XLOOKUP($D186,'Milk Types Nutrition Per Cup'!A:A,'Milk Types Nutrition Per Cup'!E:E,0)) +(($S186 / 240)  * _xlfn.XLOOKUP($E186,'Milk Types Nutrition Per Cup'!A:A,'Milk Types Nutrition Per Cup'!E:E,0)) +(($T186 / 15)  * _xlfn.XLOOKUP($F186,'Liquid Mix In Nutrition'!A:A,'Liquid Mix In Nutrition'!E:E,0)) +(($U186 / 15)  * _xlfn.XLOOKUP($G186,'Liquid Mix In Nutrition'!A:A,'Liquid Mix In Nutrition'!E:E,0))+(($X186 / 100)  * _xlfn.XLOOKUP($J186,'Sweetener Mix In Nutrition'!A:A,'Sweetener Mix In Nutrition'!E:E,0))+(($Y186 / 100)  * _xlfn.XLOOKUP($K186,'Sweetener Mix In Nutrition'!A:A,'Sweetener Mix In Nutrition'!E:E,0))</f>
        <v>0</v>
      </c>
      <c r="AE186" s="37">
        <f>(($R186 / 240) * _xlfn.XLOOKUP($D186,'Milk Types Nutrition Per Cup'!A:A,'Milk Types Nutrition Per Cup'!C:C,0)) +(($S186 / 240)  * _xlfn.XLOOKUP($E186,'Milk Types Nutrition Per Cup'!A:A,'Milk Types Nutrition Per Cup'!C:C,0)) +(($T186 / 15)  * _xlfn.XLOOKUP($F186,'Liquid Mix In Nutrition'!A:A,'Liquid Mix In Nutrition'!C:C,0))+(($U186 / 15)  * _xlfn.XLOOKUP($G186,'Liquid Mix In Nutrition'!A:A,'Liquid Mix In Nutrition'!C:C,0))+(($V186 / MAX(1, _xlfn.XLOOKUP($H186,'Solid Mix In Nutrition'!A:A,'Solid Mix In Nutrition'!I:I,1)))  * _xlfn.XLOOKUP($H186,'Solid Mix In Nutrition'!A:A,'Solid Mix In Nutrition'!C:C,0))+(($W186 / MAX(1, _xlfn.XLOOKUP($I186,'Solid Mix In Nutrition'!A:A,'Solid Mix In Nutrition'!I:I,1)))  * _xlfn.XLOOKUP($I186,'Solid Mix In Nutrition'!A:A,'Solid Mix In Nutrition'!C:C,0))+(($X186 / 100)  * _xlfn.XLOOKUP($J186,'Sweetener Mix In Nutrition'!A:A,'Sweetener Mix In Nutrition'!C:C,0))+(($Y186 / 100)  * _xlfn.XLOOKUP($K186,'Sweetener Mix In Nutrition'!A:A,'Sweetener Mix In Nutrition'!C:C,0))</f>
        <v>0</v>
      </c>
      <c r="AF186" s="38" t="e">
        <f>$AE186 / (_xlfn.XLOOKUP($L186,Specs!A:A,Specs!B:B,0))</f>
        <v>#DIV/0!</v>
      </c>
      <c r="AG186" s="37" t="e">
        <f>60* ($AB186 / _xlfn.XLOOKUP($L186,Specs!A:A,Specs!B:B,0))</f>
        <v>#DIV/0!</v>
      </c>
      <c r="AH186" s="37" t="e">
        <f>60* (AC186 / _xlfn.XLOOKUP($L186,Specs!$A:$A,Specs!$B:$B,0))</f>
        <v>#DIV/0!</v>
      </c>
      <c r="AI186" s="37" t="e">
        <f>60* (AE186 / _xlfn.XLOOKUP($L186,Specs!$A:$A,Specs!$B:$B,0))</f>
        <v>#DIV/0!</v>
      </c>
      <c r="AJ186" s="39">
        <f>(($R186 / 240) * _xlfn.XLOOKUP($D186,'Milk Types Nutrition Per Cup'!A:A,'Milk Types Nutrition Per Cup'!F:F,0)) +(($S186 / 240)  * _xlfn.XLOOKUP($E186,'Milk Types Nutrition Per Cup'!A:A,'Milk Types Nutrition Per Cup'!F:F,0)) +(($T186 / 15)  * _xlfn.XLOOKUP($F186,'Liquid Mix In Nutrition'!A:A,'Liquid Mix In Nutrition'!F:F,0))+(($U186 / 15)  * _xlfn.XLOOKUP($G186,'Liquid Mix In Nutrition'!A:A,'Liquid Mix In Nutrition'!F:F,0))+(($V186 / MAX(1, _xlfn.XLOOKUP($H186,'Solid Mix In Nutrition'!A:A,'Solid Mix In Nutrition'!I:I,1)))  * _xlfn.XLOOKUP($H186,'Solid Mix In Nutrition'!A:A,'Solid Mix In Nutrition'!F:F,0))+(($W186 / MAX(1, _xlfn.XLOOKUP($I186,'Solid Mix In Nutrition'!A:A,'Solid Mix In Nutrition'!I:I,1)))  * _xlfn.XLOOKUP($I186,'Solid Mix In Nutrition'!A:A,'Solid Mix In Nutrition'!F:F,0))+(($X186 / 100)  * _xlfn.XLOOKUP($J186,'Sweetener Mix In Nutrition'!A:A,'Sweetener Mix In Nutrition'!F:F,0))+(($Y186 / 100)  * _xlfn.XLOOKUP($K186,'Sweetener Mix In Nutrition'!A:A,'Sweetener Mix In Nutrition'!F:F,0))</f>
        <v>0</v>
      </c>
      <c r="AK186" s="46">
        <f>[2]Sheet1!AG186</f>
        <v>0</v>
      </c>
      <c r="AL186" s="47"/>
      <c r="AM186" s="40">
        <f>IF(ISERROR(((AL186/Specs!$L$3)*Specs!$L$2)*2),0,ROUNDUP((((AL186/Specs!$L$3)*Specs!$L$2)*2),0))</f>
        <v>0</v>
      </c>
      <c r="AN186" s="48">
        <f>ROUNDUP(((AJ186+Specs!$R$2+Specs!$S$2+_xlfn.XLOOKUP($L186,Specs!A:A,Specs!V:V,0))*Specs!$N$2)+AM186,0)</f>
        <v>1</v>
      </c>
      <c r="AO186" s="40">
        <f>ROUNDUP(((AJ186+Specs!$R$2+Specs!$S$2+_xlfn.XLOOKUP($L186,Specs!A:A,Specs!V:V,0))*Specs!$N$2),0)</f>
        <v>1</v>
      </c>
      <c r="AP186" s="30"/>
    </row>
    <row r="187" spans="1:42" x14ac:dyDescent="0.25">
      <c r="A187" s="41" t="str">
        <f>_xlfn.CONCAT(_xlfn.XLOOKUP("What's Your Name?",[1]Sheet1!$1:$1,[1]Sheet1!187:187)," | ",TEXT(_xlfn.XLOOKUP("Completion time",[1]Sheet1!$1:$1,[1]Sheet1!187:187),"dddd, mmm dd, yyyy hh:mm AM/PM"))</f>
        <v xml:space="preserve"> | Saturday, Jan 00, 1900 12:00 AM</v>
      </c>
      <c r="B187" s="76">
        <f>_xlfn.XLOOKUP("What's Your Email Address?",[1]Sheet1!$1:$1,[1]Sheet1!187:187)</f>
        <v>0</v>
      </c>
      <c r="C187" s="31">
        <f>IF(ISBLANK(_xlfn.XLOOKUP("Which Flavor? (Pint Price | Quart Price | Half Gallon Price) (NOTE: Prices may fluctuate based on market conditions)",[1]Sheet1!$1:$1,[1]Sheet1!187:187)),_xlfn.XLOOKUP("Name Your Ice Cream!",[1]Sheet1!$1:$1,[1]Sheet1!187:187),IF(ISNUMBER(FIND("(", _xlfn.XLOOKUP("Which Flavor? (Pint Price | Quart Price | Half Gallon Price) (NOTE: Prices may fluctuate based on market conditions)",[1]Sheet1!$1:$1,[1]Sheet1!187:187))), LEFT(_xlfn.XLOOKUP("Which Flavor? (Pint Price | Quart Price | Half Gallon Price) (NOTE: Prices may fluctuate based on market conditions)",[1]Sheet1!$1:$1,[1]Sheet1!187:187), FIND("(", _xlfn.XLOOKUP("Which Flavor? (Pint Price | Quart Price | Half Gallon Price) (NOTE: Prices may fluctuate based on market conditions)",[1]Sheet1!$1:$1,[1]Sheet1!187:187)) - 1), _xlfn.XLOOKUP("Which Flavor? (Pint Price | Quart Price | Half Gallon Price) (NOTE: Prices may fluctuate based on market conditions)",[1]Sheet1!$1:$1,[1]Sheet1!187:187)))</f>
        <v>0</v>
      </c>
      <c r="D187" s="31">
        <f>IF(COUNTIF('Premade Flavors'!$A:$A, $C187) &gt; 0,IF(ISBLANK(_xlfn.XLOOKUP("What Ice Cream Base Do You Want To Change It To?",[1]Sheet1!$1:$1,[1]Sheet1!187:187)),_xlfn.XLOOKUP($C187,'Premade Flavors'!$A:$A,'Premade Flavors'!B:B),_xlfn.XLOOKUP("What Ice Cream Base Do You Want To Change It To?",[1]Sheet1!$1:$1,[1]Sheet1!187:187)),_xlfn.XLOOKUP(_xlfn.XLOOKUP("What Kind Of Ice Cream Base Do You Want? ",[1]Sheet1!$1:$1,[1]Sheet1!187:187),'Milk Types Nutrition Per Cup'!O:O,'Milk Types Nutrition Per Cup'!P:P,""))</f>
        <v>0</v>
      </c>
      <c r="E187" s="31">
        <f>IF(COUNTIF('Premade Flavors'!$A:$A, $C187) &gt; 0,IF(ISBLANK(_xlfn.XLOOKUP("What Ice Cream Base Do You Want To Change It To?",[1]Sheet1!$1:$1,[1]Sheet1!187:187)),_xlfn.XLOOKUP($C187,'Premade Flavors'!$A:$A,'Premade Flavors'!C:C),_xlfn.XLOOKUP("What Ice Cream Base Do You Want To Change It To?",[1]Sheet1!$1:$1,[1]Sheet1!187:187)),_xlfn.XLOOKUP(_xlfn.XLOOKUP("What Kind Of Ice Cream Base Do You Want? ",[1]Sheet1!$1:$1,[1]Sheet1!187:187),'Milk Types Nutrition Per Cup'!$O:$O,'Milk Types Nutrition Per Cup'!$Q:$Q,""))</f>
        <v>0</v>
      </c>
      <c r="F187" s="31">
        <f>IF(COUNTIF('Premade Flavors'!$A:$A, $C187) &gt; 0,_xlfn.XLOOKUP($C187,'Premade Flavors'!$A:$A,'Premade Flavors'!E:E),_xlfn.XLOOKUP("What's The First Flavor You Want? ",[1]Sheet1!$1:$1,[1]Sheet1!187:187))</f>
        <v>0</v>
      </c>
      <c r="G187" s="31">
        <f>IF(COUNTIF('Premade Flavors'!$A:$A, $C187) &gt; 0,_xlfn.XLOOKUP($C187,'Premade Flavors'!$A:$A,'Premade Flavors'!F:F),_xlfn.XLOOKUP("What's the Second Flavor You Want?",[1]Sheet1!$1:$1,[1]Sheet1!187:187))</f>
        <v>0</v>
      </c>
      <c r="H187" s="31">
        <f>IF(COUNTIF('Premade Flavors'!$A:$A, $C187) &gt; 0,_xlfn.XLOOKUP($C187,'Premade Flavors'!$A:$A,'Premade Flavors'!G:G),_xlfn.XLOOKUP("What's The First Mix In That You Want? ",[1]Sheet1!$1:$1,[1]Sheet1!187:187))</f>
        <v>0</v>
      </c>
      <c r="I187" s="31">
        <f>IF(COUNTIF('Premade Flavors'!$A:$A, $C185) &gt; 0,_xlfn.XLOOKUP($C185,'Premade Flavors'!$A:$A,'Premade Flavors'!H:H),IF([2]Sheet1!W185= 0,,[2]Sheet1!W185))</f>
        <v>0</v>
      </c>
      <c r="J187" s="31">
        <f>IF(COUNTIF('Premade Flavors'!$A:$A,$C187)&gt;0,IF(_xlfn.XLOOKUP("Should It Use Sugar or A Non-Sugar Sweetner?",[1]Sheet1!$1:$1,[1]Sheet1!187:187)="Sugar",_xlfn.XLOOKUP($C187,'Premade Flavors'!$A:$A,'Premade Flavors'!I:I),"Stevia"),_xlfn.XLOOKUP("What Sweetner Do You Want?",[1]Sheet1!$1:$1,[1]Sheet1!187:187))</f>
        <v>0</v>
      </c>
      <c r="K187" s="31"/>
      <c r="L187" s="77">
        <f>_xlfn.XLOOKUP("How Much Ice Cream Do You Want?",[1]Sheet1!$1:$1,[1]Sheet1!187:187)</f>
        <v>0</v>
      </c>
      <c r="M187" s="45">
        <f>IF(COUNTIF('Premade Flavors'!$A:$A, $C187) &gt; 0,_xlfn.XLOOKUP($C187,'Premade Flavors'!$A:$A,'Premade Flavors'!M:M),_xlfn.XLOOKUP("How Strong Do You Want The First Flavor?",[1]Sheet1!$1:$1,[1]Sheet1!187:187))</f>
        <v>0</v>
      </c>
      <c r="N187" s="45">
        <f>IF(COUNTIF('Premade Flavors'!$A:$A, $C187) &gt; 0,_xlfn.XLOOKUP($C187,'Premade Flavors'!$A:$A,'Premade Flavors'!N:N),_xlfn.XLOOKUP("How Strong Do You Want The Second Flavor?",[1]Sheet1!$1:$1,[1]Sheet1!187:187))</f>
        <v>0</v>
      </c>
      <c r="O187" s="45">
        <f>IF(COUNTIF('Premade Flavors'!$A:$A, $C187) &gt; 0,_xlfn.XLOOKUP($C187,'Premade Flavors'!$A:$A,'Premade Flavors'!O:O),_xlfn.XLOOKUP("How Dense Should the Mix Ins Be?",[1]Sheet1!$1:$1,[1]Sheet1!187:187))</f>
        <v>0</v>
      </c>
      <c r="P187" s="45">
        <f>IF(COUNTIF('Premade Flavors'!$A:$A, $C187) &gt; 0,_xlfn.XLOOKUP($C187,'Premade Flavors'!$A:$A,'Premade Flavors'!P:P),_xlfn.XLOOKUP("How Much Of The First Sweetner? ",[1]Sheet1!$1:$1,[1]Sheet1!187:187))</f>
        <v>0</v>
      </c>
      <c r="Q187" s="45">
        <f>IF(COUNTIF('Premade Flavors'!$A:$A, $C187) &gt; 0,_xlfn.XLOOKUP($C187,'Premade Flavors'!$A:$A,'Premade Flavors'!Q:Q),[2]Sheet1!S187)</f>
        <v>0</v>
      </c>
      <c r="R187" s="30">
        <f>(_xlfn.XLOOKUP($L187,Specs!A:A,Specs!B:B,0)-(IF(_xlfn.XLOOKUP($F187,'Liquid Mix In Nutrition'!A:A,'Liquid Mix In Nutrition'!J:J,0)="Yes",0,$T187))-(IF(_xlfn.XLOOKUP($G187,'Liquid Mix In Nutrition'!A:A,'Liquid Mix In Nutrition'!J:J,0)="Yes",0,$U187))-(($V187/MAX(1,_xlfn.XLOOKUP($H187,'Solid Mix In Nutrition'!A:A,'Solid Mix In Nutrition'!I:I,1)))*240)-(($W187/MAX(1,_xlfn.XLOOKUP($I187,'Solid Mix In Nutrition'!A:A,'Solid Mix In Nutrition'!I:I,1)))*240))*0.66</f>
        <v>0</v>
      </c>
      <c r="S187" s="30">
        <f>(_xlfn.XLOOKUP($L187,Specs!A:A,Specs!B:B,0)-(IF(_xlfn.XLOOKUP($F187,'Liquid Mix In Nutrition'!A:A,'Liquid Mix In Nutrition'!J:J,0)="Yes",0,$T187))-(IF(_xlfn.XLOOKUP($G187,'Liquid Mix In Nutrition'!A:A,'Liquid Mix In Nutrition'!J:J,0)="Yes",0,$U187))-(($V187/MAX(1,_xlfn.XLOOKUP($H187,'Solid Mix In Nutrition'!A:A,'Solid Mix In Nutrition'!I:I,1)))*240)-(($W187/MAX(1,_xlfn.XLOOKUP($I187,'Solid Mix In Nutrition'!A:A,'Solid Mix In Nutrition'!I:I,1)))*240))*0.33</f>
        <v>0</v>
      </c>
      <c r="T187" s="30">
        <f>_xlfn.XLOOKUP($M187,Specs!$D:$D,Specs!$E:$E,0)*15*_xlfn.XLOOKUP($L187,Specs!$A:$A,Specs!$C:$C,0)</f>
        <v>0</v>
      </c>
      <c r="U187" s="30">
        <f>_xlfn.XLOOKUP($N187,Specs!$D:$D,Specs!$E:$E,0)*15*_xlfn.XLOOKUP($L187,Specs!$A:$A,Specs!$C:$C,0)</f>
        <v>0</v>
      </c>
      <c r="V187" s="30">
        <f>( ((_xlfn.XLOOKUP($O187,Specs!$H:$H,Specs!$I:$I,0)*_xlfn.XLOOKUP($L187,Specs!$A:$A,Specs!$B:$B,0))/240) *_xlfn.XLOOKUP($H187,'Solid Mix In Nutrition'!A:A,'Solid Mix In Nutrition'!I:I,0)) *IF(AND(NOT($I187=0), COUNTA($I187)),0.5,1)</f>
        <v>0</v>
      </c>
      <c r="W187" s="30">
        <f>( ((_xlfn.XLOOKUP($O187,Specs!$H:$H,Specs!$I:$I,0)*_xlfn.XLOOKUP($L187,Specs!$A:$A,Specs!$B:$B,0))/240) *_xlfn.XLOOKUP($I187,'Solid Mix In Nutrition'!A:A,'Solid Mix In Nutrition'!I:I,0)) *IF(AND(NOT($I187=0), COUNTA($I187)),0.5,0)</f>
        <v>0</v>
      </c>
      <c r="X187" s="30">
        <f>_xlfn.XLOOKUP($P187,Specs!F:F,Specs!G:G,0)*_xlfn.XLOOKUP($J187,'Sweetener Mix In Nutrition'!A:A,'Sweetener Mix In Nutrition'!I:I,0)*_xlfn.XLOOKUP($L187,Specs!A:A,Specs!C:C,0)</f>
        <v>0</v>
      </c>
      <c r="Y187" s="30">
        <f>_xlfn.XLOOKUP($Q187,Specs!F:F,Specs!G:G,0)*_xlfn.XLOOKUP($K187,'Sweetener Mix In Nutrition'!A:A,'Sweetener Mix In Nutrition'!I:I,0)*_xlfn.XLOOKUP($L187,Specs!A:A,Specs!C:C,0)</f>
        <v>0</v>
      </c>
      <c r="Z187" s="34">
        <f t="shared" si="6"/>
        <v>0</v>
      </c>
      <c r="AA187" s="35">
        <f t="shared" si="7"/>
        <v>0</v>
      </c>
      <c r="AB187" s="36">
        <f>(($R187 / 240) * _xlfn.XLOOKUP($D187,'Milk Types Nutrition Per Cup'!A:A,'Milk Types Nutrition Per Cup'!B:B,0)) +(($S187 / 240)  * _xlfn.XLOOKUP($E187,'Milk Types Nutrition Per Cup'!A:A,'Milk Types Nutrition Per Cup'!B:B,0)) +(($T187 / 15)  * _xlfn.XLOOKUP($F187,'Liquid Mix In Nutrition'!A:A,'Liquid Mix In Nutrition'!B:B,0))+(($U187 / 15)  * _xlfn.XLOOKUP($G187,'Liquid Mix In Nutrition'!A:A,'Liquid Mix In Nutrition'!B:B,0))+(($V187 /MAX(1, _xlfn.XLOOKUP($H187,'Solid Mix In Nutrition'!A:A,'Solid Mix In Nutrition'!I:I,1)))  * _xlfn.XLOOKUP($H187,'Solid Mix In Nutrition'!A:A,'Solid Mix In Nutrition'!B:B,0))+(($W187 / MAX(1, _xlfn.XLOOKUP($I187,'Solid Mix In Nutrition'!A:A,'Solid Mix In Nutrition'!I:I,1))))+(($X187 / 100)  * _xlfn.XLOOKUP($J187,'Sweetener Mix In Nutrition'!A:A,'Sweetener Mix In Nutrition'!B:B,0))+(($Y187 / 100)  * _xlfn.XLOOKUP($K187,'Sweetener Mix In Nutrition'!A:A,'Sweetener Mix In Nutrition'!B:B,0))</f>
        <v>0</v>
      </c>
      <c r="AC187" s="36">
        <f>(($R187 / 240) * _xlfn.XLOOKUP($D187,'Milk Types Nutrition Per Cup'!A:A,'Milk Types Nutrition Per Cup'!E:E,0)) +(($S187 / 240)  * _xlfn.XLOOKUP($E187,'Milk Types Nutrition Per Cup'!A:A,'Milk Types Nutrition Per Cup'!E:E,0)) +(($T187 / 15)  * _xlfn.XLOOKUP($F187,'Liquid Mix In Nutrition'!A:A,'Liquid Mix In Nutrition'!E:E,0)) +(($U187 / 15)  * _xlfn.XLOOKUP($G187,'Liquid Mix In Nutrition'!A:A,'Liquid Mix In Nutrition'!E:E,0))+(($V187 / MAX(1, _xlfn.XLOOKUP($H187,'Solid Mix In Nutrition'!A:A,'Solid Mix In Nutrition'!I:I,1)))  * _xlfn.XLOOKUP($H187,'Solid Mix In Nutrition'!A:A,'Solid Mix In Nutrition'!E:E,0))+(($W187 / MAX(1, _xlfn.XLOOKUP($I187,'Solid Mix In Nutrition'!A:A,'Solid Mix In Nutrition'!I:I,1)))  * _xlfn.XLOOKUP($I187,'Solid Mix In Nutrition'!A:A,'Solid Mix In Nutrition'!G:G,0))+(($X187 / 100)  * _xlfn.XLOOKUP($J187,'Sweetener Mix In Nutrition'!A:A,'Sweetener Mix In Nutrition'!E:E,0))+(($Y187 / 100)  * _xlfn.XLOOKUP($K187,'Sweetener Mix In Nutrition'!A:A,'Sweetener Mix In Nutrition'!E:E,0))</f>
        <v>0</v>
      </c>
      <c r="AD187" s="36">
        <f>(($R187 / 240) * _xlfn.XLOOKUP($D187,'Milk Types Nutrition Per Cup'!A:A,'Milk Types Nutrition Per Cup'!E:E,0)) +(($S187 / 240)  * _xlfn.XLOOKUP($E187,'Milk Types Nutrition Per Cup'!A:A,'Milk Types Nutrition Per Cup'!E:E,0)) +(($T187 / 15)  * _xlfn.XLOOKUP($F187,'Liquid Mix In Nutrition'!A:A,'Liquid Mix In Nutrition'!E:E,0)) +(($U187 / 15)  * _xlfn.XLOOKUP($G187,'Liquid Mix In Nutrition'!A:A,'Liquid Mix In Nutrition'!E:E,0))+(($X187 / 100)  * _xlfn.XLOOKUP($J187,'Sweetener Mix In Nutrition'!A:A,'Sweetener Mix In Nutrition'!E:E,0))+(($Y187 / 100)  * _xlfn.XLOOKUP($K187,'Sweetener Mix In Nutrition'!A:A,'Sweetener Mix In Nutrition'!E:E,0))</f>
        <v>0</v>
      </c>
      <c r="AE187" s="37">
        <f>(($R187 / 240) * _xlfn.XLOOKUP($D187,'Milk Types Nutrition Per Cup'!A:A,'Milk Types Nutrition Per Cup'!C:C,0)) +(($S187 / 240)  * _xlfn.XLOOKUP($E187,'Milk Types Nutrition Per Cup'!A:A,'Milk Types Nutrition Per Cup'!C:C,0)) +(($T187 / 15)  * _xlfn.XLOOKUP($F187,'Liquid Mix In Nutrition'!A:A,'Liquid Mix In Nutrition'!C:C,0))+(($U187 / 15)  * _xlfn.XLOOKUP($G187,'Liquid Mix In Nutrition'!A:A,'Liquid Mix In Nutrition'!C:C,0))+(($V187 / MAX(1, _xlfn.XLOOKUP($H187,'Solid Mix In Nutrition'!A:A,'Solid Mix In Nutrition'!I:I,1)))  * _xlfn.XLOOKUP($H187,'Solid Mix In Nutrition'!A:A,'Solid Mix In Nutrition'!C:C,0))+(($W187 / MAX(1, _xlfn.XLOOKUP($I187,'Solid Mix In Nutrition'!A:A,'Solid Mix In Nutrition'!I:I,1)))  * _xlfn.XLOOKUP($I187,'Solid Mix In Nutrition'!A:A,'Solid Mix In Nutrition'!C:C,0))+(($X187 / 100)  * _xlfn.XLOOKUP($J187,'Sweetener Mix In Nutrition'!A:A,'Sweetener Mix In Nutrition'!C:C,0))+(($Y187 / 100)  * _xlfn.XLOOKUP($K187,'Sweetener Mix In Nutrition'!A:A,'Sweetener Mix In Nutrition'!C:C,0))</f>
        <v>0</v>
      </c>
      <c r="AF187" s="38" t="e">
        <f>$AE187 / (_xlfn.XLOOKUP($L187,Specs!A:A,Specs!B:B,0))</f>
        <v>#DIV/0!</v>
      </c>
      <c r="AG187" s="37" t="e">
        <f>60* ($AB187 / _xlfn.XLOOKUP($L187,Specs!A:A,Specs!B:B,0))</f>
        <v>#DIV/0!</v>
      </c>
      <c r="AH187" s="37" t="e">
        <f>60* (AC187 / _xlfn.XLOOKUP($L187,Specs!$A:$A,Specs!$B:$B,0))</f>
        <v>#DIV/0!</v>
      </c>
      <c r="AI187" s="37" t="e">
        <f>60* (AE187 / _xlfn.XLOOKUP($L187,Specs!$A:$A,Specs!$B:$B,0))</f>
        <v>#DIV/0!</v>
      </c>
      <c r="AJ187" s="39">
        <f>(($R187 / 240) * _xlfn.XLOOKUP($D187,'Milk Types Nutrition Per Cup'!A:A,'Milk Types Nutrition Per Cup'!F:F,0)) +(($S187 / 240)  * _xlfn.XLOOKUP($E187,'Milk Types Nutrition Per Cup'!A:A,'Milk Types Nutrition Per Cup'!F:F,0)) +(($T187 / 15)  * _xlfn.XLOOKUP($F187,'Liquid Mix In Nutrition'!A:A,'Liquid Mix In Nutrition'!F:F,0))+(($U187 / 15)  * _xlfn.XLOOKUP($G187,'Liquid Mix In Nutrition'!A:A,'Liquid Mix In Nutrition'!F:F,0))+(($V187 / MAX(1, _xlfn.XLOOKUP($H187,'Solid Mix In Nutrition'!A:A,'Solid Mix In Nutrition'!I:I,1)))  * _xlfn.XLOOKUP($H187,'Solid Mix In Nutrition'!A:A,'Solid Mix In Nutrition'!F:F,0))+(($W187 / MAX(1, _xlfn.XLOOKUP($I187,'Solid Mix In Nutrition'!A:A,'Solid Mix In Nutrition'!I:I,1)))  * _xlfn.XLOOKUP($I187,'Solid Mix In Nutrition'!A:A,'Solid Mix In Nutrition'!F:F,0))+(($X187 / 100)  * _xlfn.XLOOKUP($J187,'Sweetener Mix In Nutrition'!A:A,'Sweetener Mix In Nutrition'!F:F,0))+(($Y187 / 100)  * _xlfn.XLOOKUP($K187,'Sweetener Mix In Nutrition'!A:A,'Sweetener Mix In Nutrition'!F:F,0))</f>
        <v>0</v>
      </c>
      <c r="AK187" s="46">
        <f>[2]Sheet1!AG187</f>
        <v>0</v>
      </c>
      <c r="AL187" s="47"/>
      <c r="AM187" s="40">
        <f>IF(ISERROR(((AL187/Specs!$L$3)*Specs!$L$2)*2),0,ROUNDUP((((AL187/Specs!$L$3)*Specs!$L$2)*2),0))</f>
        <v>0</v>
      </c>
      <c r="AN187" s="48">
        <f>ROUNDUP(((AJ187+Specs!$R$2+Specs!$S$2+_xlfn.XLOOKUP($L187,Specs!A:A,Specs!V:V,0))*Specs!$N$2)+AM187,0)</f>
        <v>1</v>
      </c>
      <c r="AO187" s="40">
        <f>ROUNDUP(((AJ187+Specs!$R$2+Specs!$S$2+_xlfn.XLOOKUP($L187,Specs!A:A,Specs!V:V,0))*Specs!$N$2),0)</f>
        <v>1</v>
      </c>
      <c r="AP187" s="30"/>
    </row>
    <row r="188" spans="1:42" x14ac:dyDescent="0.25">
      <c r="A188" s="41" t="str">
        <f>_xlfn.CONCAT(_xlfn.XLOOKUP("What's Your Name?",[1]Sheet1!$1:$1,[1]Sheet1!188:188)," | ",TEXT(_xlfn.XLOOKUP("Completion time",[1]Sheet1!$1:$1,[1]Sheet1!188:188),"dddd, mmm dd, yyyy hh:mm AM/PM"))</f>
        <v xml:space="preserve"> | Saturday, Jan 00, 1900 12:00 AM</v>
      </c>
      <c r="B188" s="76">
        <f>_xlfn.XLOOKUP("What's Your Email Address?",[1]Sheet1!$1:$1,[1]Sheet1!188:188)</f>
        <v>0</v>
      </c>
      <c r="C188" s="31">
        <f>IF(ISBLANK(_xlfn.XLOOKUP("Which Flavor? (Pint Price | Quart Price | Half Gallon Price) (NOTE: Prices may fluctuate based on market conditions)",[1]Sheet1!$1:$1,[1]Sheet1!188:188)),_xlfn.XLOOKUP("Name Your Ice Cream!",[1]Sheet1!$1:$1,[1]Sheet1!188:188),IF(ISNUMBER(FIND("(", _xlfn.XLOOKUP("Which Flavor? (Pint Price | Quart Price | Half Gallon Price) (NOTE: Prices may fluctuate based on market conditions)",[1]Sheet1!$1:$1,[1]Sheet1!188:188))), LEFT(_xlfn.XLOOKUP("Which Flavor? (Pint Price | Quart Price | Half Gallon Price) (NOTE: Prices may fluctuate based on market conditions)",[1]Sheet1!$1:$1,[1]Sheet1!188:188), FIND("(", _xlfn.XLOOKUP("Which Flavor? (Pint Price | Quart Price | Half Gallon Price) (NOTE: Prices may fluctuate based on market conditions)",[1]Sheet1!$1:$1,[1]Sheet1!188:188)) - 1), _xlfn.XLOOKUP("Which Flavor? (Pint Price | Quart Price | Half Gallon Price) (NOTE: Prices may fluctuate based on market conditions)",[1]Sheet1!$1:$1,[1]Sheet1!188:188)))</f>
        <v>0</v>
      </c>
      <c r="D188" s="31">
        <f>IF(COUNTIF('Premade Flavors'!$A:$A, $C188) &gt; 0,IF(ISBLANK(_xlfn.XLOOKUP("What Ice Cream Base Do You Want To Change It To?",[1]Sheet1!$1:$1,[1]Sheet1!188:188)),_xlfn.XLOOKUP($C188,'Premade Flavors'!$A:$A,'Premade Flavors'!B:B),_xlfn.XLOOKUP("What Ice Cream Base Do You Want To Change It To?",[1]Sheet1!$1:$1,[1]Sheet1!188:188)),_xlfn.XLOOKUP(_xlfn.XLOOKUP("What Kind Of Ice Cream Base Do You Want? ",[1]Sheet1!$1:$1,[1]Sheet1!188:188),'Milk Types Nutrition Per Cup'!O:O,'Milk Types Nutrition Per Cup'!P:P,""))</f>
        <v>0</v>
      </c>
      <c r="E188" s="31">
        <f>IF(COUNTIF('Premade Flavors'!$A:$A, $C188) &gt; 0,IF(ISBLANK(_xlfn.XLOOKUP("What Ice Cream Base Do You Want To Change It To?",[1]Sheet1!$1:$1,[1]Sheet1!188:188)),_xlfn.XLOOKUP($C188,'Premade Flavors'!$A:$A,'Premade Flavors'!C:C),_xlfn.XLOOKUP("What Ice Cream Base Do You Want To Change It To?",[1]Sheet1!$1:$1,[1]Sheet1!188:188)),_xlfn.XLOOKUP(_xlfn.XLOOKUP("What Kind Of Ice Cream Base Do You Want? ",[1]Sheet1!$1:$1,[1]Sheet1!188:188),'Milk Types Nutrition Per Cup'!$O:$O,'Milk Types Nutrition Per Cup'!$Q:$Q,""))</f>
        <v>0</v>
      </c>
      <c r="F188" s="31">
        <f>IF(COUNTIF('Premade Flavors'!$A:$A, $C188) &gt; 0,_xlfn.XLOOKUP($C188,'Premade Flavors'!$A:$A,'Premade Flavors'!E:E),_xlfn.XLOOKUP("What's The First Flavor You Want? ",[1]Sheet1!$1:$1,[1]Sheet1!188:188))</f>
        <v>0</v>
      </c>
      <c r="G188" s="31">
        <f>IF(COUNTIF('Premade Flavors'!$A:$A, $C188) &gt; 0,_xlfn.XLOOKUP($C188,'Premade Flavors'!$A:$A,'Premade Flavors'!F:F),_xlfn.XLOOKUP("What's the Second Flavor You Want?",[1]Sheet1!$1:$1,[1]Sheet1!188:188))</f>
        <v>0</v>
      </c>
      <c r="H188" s="31">
        <f>IF(COUNTIF('Premade Flavors'!$A:$A, $C188) &gt; 0,_xlfn.XLOOKUP($C188,'Premade Flavors'!$A:$A,'Premade Flavors'!G:G),_xlfn.XLOOKUP("What's The First Mix In That You Want? ",[1]Sheet1!$1:$1,[1]Sheet1!188:188))</f>
        <v>0</v>
      </c>
      <c r="I188" s="31">
        <f>IF(COUNTIF('Premade Flavors'!$A:$A, $C186) &gt; 0,_xlfn.XLOOKUP($C186,'Premade Flavors'!$A:$A,'Premade Flavors'!H:H),IF([2]Sheet1!W186= 0,,[2]Sheet1!W186))</f>
        <v>0</v>
      </c>
      <c r="J188" s="31">
        <f>IF(COUNTIF('Premade Flavors'!$A:$A,$C188)&gt;0,IF(_xlfn.XLOOKUP("Should It Use Sugar or A Non-Sugar Sweetner?",[1]Sheet1!$1:$1,[1]Sheet1!188:188)="Sugar",_xlfn.XLOOKUP($C188,'Premade Flavors'!$A:$A,'Premade Flavors'!I:I),"Stevia"),_xlfn.XLOOKUP("What Sweetner Do You Want?",[1]Sheet1!$1:$1,[1]Sheet1!188:188))</f>
        <v>0</v>
      </c>
      <c r="K188" s="31"/>
      <c r="L188" s="77">
        <f>_xlfn.XLOOKUP("How Much Ice Cream Do You Want?",[1]Sheet1!$1:$1,[1]Sheet1!188:188)</f>
        <v>0</v>
      </c>
      <c r="M188" s="45">
        <f>IF(COUNTIF('Premade Flavors'!$A:$A, $C188) &gt; 0,_xlfn.XLOOKUP($C188,'Premade Flavors'!$A:$A,'Premade Flavors'!M:M),_xlfn.XLOOKUP("How Strong Do You Want The First Flavor?",[1]Sheet1!$1:$1,[1]Sheet1!188:188))</f>
        <v>0</v>
      </c>
      <c r="N188" s="45">
        <f>IF(COUNTIF('Premade Flavors'!$A:$A, $C188) &gt; 0,_xlfn.XLOOKUP($C188,'Premade Flavors'!$A:$A,'Premade Flavors'!N:N),_xlfn.XLOOKUP("How Strong Do You Want The Second Flavor?",[1]Sheet1!$1:$1,[1]Sheet1!188:188))</f>
        <v>0</v>
      </c>
      <c r="O188" s="45">
        <f>IF(COUNTIF('Premade Flavors'!$A:$A, $C188) &gt; 0,_xlfn.XLOOKUP($C188,'Premade Flavors'!$A:$A,'Premade Flavors'!O:O),_xlfn.XLOOKUP("How Dense Should the Mix Ins Be?",[1]Sheet1!$1:$1,[1]Sheet1!188:188))</f>
        <v>0</v>
      </c>
      <c r="P188" s="45">
        <f>IF(COUNTIF('Premade Flavors'!$A:$A, $C188) &gt; 0,_xlfn.XLOOKUP($C188,'Premade Flavors'!$A:$A,'Premade Flavors'!P:P),_xlfn.XLOOKUP("How Much Of The First Sweetner? ",[1]Sheet1!$1:$1,[1]Sheet1!188:188))</f>
        <v>0</v>
      </c>
      <c r="Q188" s="45">
        <f>IF(COUNTIF('Premade Flavors'!$A:$A, $C188) &gt; 0,_xlfn.XLOOKUP($C188,'Premade Flavors'!$A:$A,'Premade Flavors'!Q:Q),[2]Sheet1!S188)</f>
        <v>0</v>
      </c>
      <c r="R188" s="30">
        <f>(_xlfn.XLOOKUP($L188,Specs!A:A,Specs!B:B,0)-(IF(_xlfn.XLOOKUP($F188,'Liquid Mix In Nutrition'!A:A,'Liquid Mix In Nutrition'!J:J,0)="Yes",0,$T188))-(IF(_xlfn.XLOOKUP($G188,'Liquid Mix In Nutrition'!A:A,'Liquid Mix In Nutrition'!J:J,0)="Yes",0,$U188))-(($V188/MAX(1,_xlfn.XLOOKUP($H188,'Solid Mix In Nutrition'!A:A,'Solid Mix In Nutrition'!I:I,1)))*240)-(($W188/MAX(1,_xlfn.XLOOKUP($I188,'Solid Mix In Nutrition'!A:A,'Solid Mix In Nutrition'!I:I,1)))*240))*0.66</f>
        <v>0</v>
      </c>
      <c r="S188" s="30">
        <f>(_xlfn.XLOOKUP($L188,Specs!A:A,Specs!B:B,0)-(IF(_xlfn.XLOOKUP($F188,'Liquid Mix In Nutrition'!A:A,'Liquid Mix In Nutrition'!J:J,0)="Yes",0,$T188))-(IF(_xlfn.XLOOKUP($G188,'Liquid Mix In Nutrition'!A:A,'Liquid Mix In Nutrition'!J:J,0)="Yes",0,$U188))-(($V188/MAX(1,_xlfn.XLOOKUP($H188,'Solid Mix In Nutrition'!A:A,'Solid Mix In Nutrition'!I:I,1)))*240)-(($W188/MAX(1,_xlfn.XLOOKUP($I188,'Solid Mix In Nutrition'!A:A,'Solid Mix In Nutrition'!I:I,1)))*240))*0.33</f>
        <v>0</v>
      </c>
      <c r="T188" s="30">
        <f>_xlfn.XLOOKUP($M188,Specs!$D:$D,Specs!$E:$E,0)*15*_xlfn.XLOOKUP($L188,Specs!$A:$A,Specs!$C:$C,0)</f>
        <v>0</v>
      </c>
      <c r="U188" s="30">
        <f>_xlfn.XLOOKUP($N188,Specs!$D:$D,Specs!$E:$E,0)*15*_xlfn.XLOOKUP($L188,Specs!$A:$A,Specs!$C:$C,0)</f>
        <v>0</v>
      </c>
      <c r="V188" s="30">
        <f>( ((_xlfn.XLOOKUP($O188,Specs!$H:$H,Specs!$I:$I,0)*_xlfn.XLOOKUP($L188,Specs!$A:$A,Specs!$B:$B,0))/240) *_xlfn.XLOOKUP($H188,'Solid Mix In Nutrition'!A:A,'Solid Mix In Nutrition'!I:I,0)) *IF(AND(NOT($I188=0), COUNTA($I188)),0.5,1)</f>
        <v>0</v>
      </c>
      <c r="W188" s="30">
        <f>( ((_xlfn.XLOOKUP($O188,Specs!$H:$H,Specs!$I:$I,0)*_xlfn.XLOOKUP($L188,Specs!$A:$A,Specs!$B:$B,0))/240) *_xlfn.XLOOKUP($I188,'Solid Mix In Nutrition'!A:A,'Solid Mix In Nutrition'!I:I,0)) *IF(AND(NOT($I188=0), COUNTA($I188)),0.5,0)</f>
        <v>0</v>
      </c>
      <c r="X188" s="30">
        <f>_xlfn.XLOOKUP($P188,Specs!F:F,Specs!G:G,0)*_xlfn.XLOOKUP($J188,'Sweetener Mix In Nutrition'!A:A,'Sweetener Mix In Nutrition'!I:I,0)*_xlfn.XLOOKUP($L188,Specs!A:A,Specs!C:C,0)</f>
        <v>0</v>
      </c>
      <c r="Y188" s="30">
        <f>_xlfn.XLOOKUP($Q188,Specs!F:F,Specs!G:G,0)*_xlfn.XLOOKUP($K188,'Sweetener Mix In Nutrition'!A:A,'Sweetener Mix In Nutrition'!I:I,0)*_xlfn.XLOOKUP($L188,Specs!A:A,Specs!C:C,0)</f>
        <v>0</v>
      </c>
      <c r="Z188" s="34">
        <f t="shared" si="6"/>
        <v>0</v>
      </c>
      <c r="AA188" s="35">
        <f t="shared" si="7"/>
        <v>0</v>
      </c>
      <c r="AB188" s="36">
        <f>(($R188 / 240) * _xlfn.XLOOKUP($D188,'Milk Types Nutrition Per Cup'!A:A,'Milk Types Nutrition Per Cup'!B:B,0)) +(($S188 / 240)  * _xlfn.XLOOKUP($E188,'Milk Types Nutrition Per Cup'!A:A,'Milk Types Nutrition Per Cup'!B:B,0)) +(($T188 / 15)  * _xlfn.XLOOKUP($F188,'Liquid Mix In Nutrition'!A:A,'Liquid Mix In Nutrition'!B:B,0))+(($U188 / 15)  * _xlfn.XLOOKUP($G188,'Liquid Mix In Nutrition'!A:A,'Liquid Mix In Nutrition'!B:B,0))+(($V188 /MAX(1, _xlfn.XLOOKUP($H188,'Solid Mix In Nutrition'!A:A,'Solid Mix In Nutrition'!I:I,1)))  * _xlfn.XLOOKUP($H188,'Solid Mix In Nutrition'!A:A,'Solid Mix In Nutrition'!B:B,0))+(($W188 / MAX(1, _xlfn.XLOOKUP($I188,'Solid Mix In Nutrition'!A:A,'Solid Mix In Nutrition'!I:I,1))))+(($X188 / 100)  * _xlfn.XLOOKUP($J188,'Sweetener Mix In Nutrition'!A:A,'Sweetener Mix In Nutrition'!B:B,0))+(($Y188 / 100)  * _xlfn.XLOOKUP($K188,'Sweetener Mix In Nutrition'!A:A,'Sweetener Mix In Nutrition'!B:B,0))</f>
        <v>0</v>
      </c>
      <c r="AC188" s="36">
        <f>(($R188 / 240) * _xlfn.XLOOKUP($D188,'Milk Types Nutrition Per Cup'!A:A,'Milk Types Nutrition Per Cup'!E:E,0)) +(($S188 / 240)  * _xlfn.XLOOKUP($E188,'Milk Types Nutrition Per Cup'!A:A,'Milk Types Nutrition Per Cup'!E:E,0)) +(($T188 / 15)  * _xlfn.XLOOKUP($F188,'Liquid Mix In Nutrition'!A:A,'Liquid Mix In Nutrition'!E:E,0)) +(($U188 / 15)  * _xlfn.XLOOKUP($G188,'Liquid Mix In Nutrition'!A:A,'Liquid Mix In Nutrition'!E:E,0))+(($V188 / MAX(1, _xlfn.XLOOKUP($H188,'Solid Mix In Nutrition'!A:A,'Solid Mix In Nutrition'!I:I,1)))  * _xlfn.XLOOKUP($H188,'Solid Mix In Nutrition'!A:A,'Solid Mix In Nutrition'!E:E,0))+(($W188 / MAX(1, _xlfn.XLOOKUP($I188,'Solid Mix In Nutrition'!A:A,'Solid Mix In Nutrition'!I:I,1)))  * _xlfn.XLOOKUP($I188,'Solid Mix In Nutrition'!A:A,'Solid Mix In Nutrition'!G:G,0))+(($X188 / 100)  * _xlfn.XLOOKUP($J188,'Sweetener Mix In Nutrition'!A:A,'Sweetener Mix In Nutrition'!E:E,0))+(($Y188 / 100)  * _xlfn.XLOOKUP($K188,'Sweetener Mix In Nutrition'!A:A,'Sweetener Mix In Nutrition'!E:E,0))</f>
        <v>0</v>
      </c>
      <c r="AD188" s="36">
        <f>(($R188 / 240) * _xlfn.XLOOKUP($D188,'Milk Types Nutrition Per Cup'!A:A,'Milk Types Nutrition Per Cup'!E:E,0)) +(($S188 / 240)  * _xlfn.XLOOKUP($E188,'Milk Types Nutrition Per Cup'!A:A,'Milk Types Nutrition Per Cup'!E:E,0)) +(($T188 / 15)  * _xlfn.XLOOKUP($F188,'Liquid Mix In Nutrition'!A:A,'Liquid Mix In Nutrition'!E:E,0)) +(($U188 / 15)  * _xlfn.XLOOKUP($G188,'Liquid Mix In Nutrition'!A:A,'Liquid Mix In Nutrition'!E:E,0))+(($X188 / 100)  * _xlfn.XLOOKUP($J188,'Sweetener Mix In Nutrition'!A:A,'Sweetener Mix In Nutrition'!E:E,0))+(($Y188 / 100)  * _xlfn.XLOOKUP($K188,'Sweetener Mix In Nutrition'!A:A,'Sweetener Mix In Nutrition'!E:E,0))</f>
        <v>0</v>
      </c>
      <c r="AE188" s="37">
        <f>(($R188 / 240) * _xlfn.XLOOKUP($D188,'Milk Types Nutrition Per Cup'!A:A,'Milk Types Nutrition Per Cup'!C:C,0)) +(($S188 / 240)  * _xlfn.XLOOKUP($E188,'Milk Types Nutrition Per Cup'!A:A,'Milk Types Nutrition Per Cup'!C:C,0)) +(($T188 / 15)  * _xlfn.XLOOKUP($F188,'Liquid Mix In Nutrition'!A:A,'Liquid Mix In Nutrition'!C:C,0))+(($U188 / 15)  * _xlfn.XLOOKUP($G188,'Liquid Mix In Nutrition'!A:A,'Liquid Mix In Nutrition'!C:C,0))+(($V188 / MAX(1, _xlfn.XLOOKUP($H188,'Solid Mix In Nutrition'!A:A,'Solid Mix In Nutrition'!I:I,1)))  * _xlfn.XLOOKUP($H188,'Solid Mix In Nutrition'!A:A,'Solid Mix In Nutrition'!C:C,0))+(($W188 / MAX(1, _xlfn.XLOOKUP($I188,'Solid Mix In Nutrition'!A:A,'Solid Mix In Nutrition'!I:I,1)))  * _xlfn.XLOOKUP($I188,'Solid Mix In Nutrition'!A:A,'Solid Mix In Nutrition'!C:C,0))+(($X188 / 100)  * _xlfn.XLOOKUP($J188,'Sweetener Mix In Nutrition'!A:A,'Sweetener Mix In Nutrition'!C:C,0))+(($Y188 / 100)  * _xlfn.XLOOKUP($K188,'Sweetener Mix In Nutrition'!A:A,'Sweetener Mix In Nutrition'!C:C,0))</f>
        <v>0</v>
      </c>
      <c r="AF188" s="38" t="e">
        <f>$AE188 / (_xlfn.XLOOKUP($L188,Specs!A:A,Specs!B:B,0))</f>
        <v>#DIV/0!</v>
      </c>
      <c r="AG188" s="37" t="e">
        <f>60* ($AB188 / _xlfn.XLOOKUP($L188,Specs!A:A,Specs!B:B,0))</f>
        <v>#DIV/0!</v>
      </c>
      <c r="AH188" s="37" t="e">
        <f>60* (AC188 / _xlfn.XLOOKUP($L188,Specs!$A:$A,Specs!$B:$B,0))</f>
        <v>#DIV/0!</v>
      </c>
      <c r="AI188" s="37" t="e">
        <f>60* (AE188 / _xlfn.XLOOKUP($L188,Specs!$A:$A,Specs!$B:$B,0))</f>
        <v>#DIV/0!</v>
      </c>
      <c r="AJ188" s="39">
        <f>(($R188 / 240) * _xlfn.XLOOKUP($D188,'Milk Types Nutrition Per Cup'!A:A,'Milk Types Nutrition Per Cup'!F:F,0)) +(($S188 / 240)  * _xlfn.XLOOKUP($E188,'Milk Types Nutrition Per Cup'!A:A,'Milk Types Nutrition Per Cup'!F:F,0)) +(($T188 / 15)  * _xlfn.XLOOKUP($F188,'Liquid Mix In Nutrition'!A:A,'Liquid Mix In Nutrition'!F:F,0))+(($U188 / 15)  * _xlfn.XLOOKUP($G188,'Liquid Mix In Nutrition'!A:A,'Liquid Mix In Nutrition'!F:F,0))+(($V188 / MAX(1, _xlfn.XLOOKUP($H188,'Solid Mix In Nutrition'!A:A,'Solid Mix In Nutrition'!I:I,1)))  * _xlfn.XLOOKUP($H188,'Solid Mix In Nutrition'!A:A,'Solid Mix In Nutrition'!F:F,0))+(($W188 / MAX(1, _xlfn.XLOOKUP($I188,'Solid Mix In Nutrition'!A:A,'Solid Mix In Nutrition'!I:I,1)))  * _xlfn.XLOOKUP($I188,'Solid Mix In Nutrition'!A:A,'Solid Mix In Nutrition'!F:F,0))+(($X188 / 100)  * _xlfn.XLOOKUP($J188,'Sweetener Mix In Nutrition'!A:A,'Sweetener Mix In Nutrition'!F:F,0))+(($Y188 / 100)  * _xlfn.XLOOKUP($K188,'Sweetener Mix In Nutrition'!A:A,'Sweetener Mix In Nutrition'!F:F,0))</f>
        <v>0</v>
      </c>
      <c r="AK188" s="46">
        <f>[2]Sheet1!AG188</f>
        <v>0</v>
      </c>
      <c r="AL188" s="47"/>
      <c r="AM188" s="40">
        <f>IF(ISERROR(((AL188/Specs!$L$3)*Specs!$L$2)*2),0,ROUNDUP((((AL188/Specs!$L$3)*Specs!$L$2)*2),0))</f>
        <v>0</v>
      </c>
      <c r="AN188" s="48">
        <f>ROUNDUP(((AJ188+Specs!$R$2+Specs!$S$2+_xlfn.XLOOKUP($L188,Specs!A:A,Specs!V:V,0))*Specs!$N$2)+AM188,0)</f>
        <v>1</v>
      </c>
      <c r="AO188" s="40">
        <f>ROUNDUP(((AJ188+Specs!$R$2+Specs!$S$2+_xlfn.XLOOKUP($L188,Specs!A:A,Specs!V:V,0))*Specs!$N$2),0)</f>
        <v>1</v>
      </c>
      <c r="AP188" s="30"/>
    </row>
    <row r="189" spans="1:42" x14ac:dyDescent="0.25">
      <c r="A189" s="41" t="str">
        <f>_xlfn.CONCAT(_xlfn.XLOOKUP("What's Your Name?",[1]Sheet1!$1:$1,[1]Sheet1!189:189)," | ",TEXT(_xlfn.XLOOKUP("Completion time",[1]Sheet1!$1:$1,[1]Sheet1!189:189),"dddd, mmm dd, yyyy hh:mm AM/PM"))</f>
        <v xml:space="preserve"> | Saturday, Jan 00, 1900 12:00 AM</v>
      </c>
      <c r="B189" s="76">
        <f>_xlfn.XLOOKUP("What's Your Email Address?",[1]Sheet1!$1:$1,[1]Sheet1!189:189)</f>
        <v>0</v>
      </c>
      <c r="C189" s="31">
        <f>IF(ISBLANK(_xlfn.XLOOKUP("Which Flavor? (Pint Price | Quart Price | Half Gallon Price) (NOTE: Prices may fluctuate based on market conditions)",[1]Sheet1!$1:$1,[1]Sheet1!189:189)),_xlfn.XLOOKUP("Name Your Ice Cream!",[1]Sheet1!$1:$1,[1]Sheet1!189:189),IF(ISNUMBER(FIND("(", _xlfn.XLOOKUP("Which Flavor? (Pint Price | Quart Price | Half Gallon Price) (NOTE: Prices may fluctuate based on market conditions)",[1]Sheet1!$1:$1,[1]Sheet1!189:189))), LEFT(_xlfn.XLOOKUP("Which Flavor? (Pint Price | Quart Price | Half Gallon Price) (NOTE: Prices may fluctuate based on market conditions)",[1]Sheet1!$1:$1,[1]Sheet1!189:189), FIND("(", _xlfn.XLOOKUP("Which Flavor? (Pint Price | Quart Price | Half Gallon Price) (NOTE: Prices may fluctuate based on market conditions)",[1]Sheet1!$1:$1,[1]Sheet1!189:189)) - 1), _xlfn.XLOOKUP("Which Flavor? (Pint Price | Quart Price | Half Gallon Price) (NOTE: Prices may fluctuate based on market conditions)",[1]Sheet1!$1:$1,[1]Sheet1!189:189)))</f>
        <v>0</v>
      </c>
      <c r="D189" s="31">
        <f>IF(COUNTIF('Premade Flavors'!$A:$A, $C189) &gt; 0,IF(ISBLANK(_xlfn.XLOOKUP("What Ice Cream Base Do You Want To Change It To?",[1]Sheet1!$1:$1,[1]Sheet1!189:189)),_xlfn.XLOOKUP($C189,'Premade Flavors'!$A:$A,'Premade Flavors'!B:B),_xlfn.XLOOKUP("What Ice Cream Base Do You Want To Change It To?",[1]Sheet1!$1:$1,[1]Sheet1!189:189)),_xlfn.XLOOKUP(_xlfn.XLOOKUP("What Kind Of Ice Cream Base Do You Want? ",[1]Sheet1!$1:$1,[1]Sheet1!189:189),'Milk Types Nutrition Per Cup'!O:O,'Milk Types Nutrition Per Cup'!P:P,""))</f>
        <v>0</v>
      </c>
      <c r="E189" s="31">
        <f>IF(COUNTIF('Premade Flavors'!$A:$A, $C189) &gt; 0,IF(ISBLANK(_xlfn.XLOOKUP("What Ice Cream Base Do You Want To Change It To?",[1]Sheet1!$1:$1,[1]Sheet1!189:189)),_xlfn.XLOOKUP($C189,'Premade Flavors'!$A:$A,'Premade Flavors'!C:C),_xlfn.XLOOKUP("What Ice Cream Base Do You Want To Change It To?",[1]Sheet1!$1:$1,[1]Sheet1!189:189)),_xlfn.XLOOKUP(_xlfn.XLOOKUP("What Kind Of Ice Cream Base Do You Want? ",[1]Sheet1!$1:$1,[1]Sheet1!189:189),'Milk Types Nutrition Per Cup'!$O:$O,'Milk Types Nutrition Per Cup'!$Q:$Q,""))</f>
        <v>0</v>
      </c>
      <c r="F189" s="31">
        <f>IF(COUNTIF('Premade Flavors'!$A:$A, $C189) &gt; 0,_xlfn.XLOOKUP($C189,'Premade Flavors'!$A:$A,'Premade Flavors'!E:E),_xlfn.XLOOKUP("What's The First Flavor You Want? ",[1]Sheet1!$1:$1,[1]Sheet1!189:189))</f>
        <v>0</v>
      </c>
      <c r="G189" s="31">
        <f>IF(COUNTIF('Premade Flavors'!$A:$A, $C189) &gt; 0,_xlfn.XLOOKUP($C189,'Premade Flavors'!$A:$A,'Premade Flavors'!F:F),_xlfn.XLOOKUP("What's the Second Flavor You Want?",[1]Sheet1!$1:$1,[1]Sheet1!189:189))</f>
        <v>0</v>
      </c>
      <c r="H189" s="31">
        <f>IF(COUNTIF('Premade Flavors'!$A:$A, $C189) &gt; 0,_xlfn.XLOOKUP($C189,'Premade Flavors'!$A:$A,'Premade Flavors'!G:G),_xlfn.XLOOKUP("What's The First Mix In That You Want? ",[1]Sheet1!$1:$1,[1]Sheet1!189:189))</f>
        <v>0</v>
      </c>
      <c r="I189" s="31">
        <f>IF(COUNTIF('Premade Flavors'!$A:$A, $C187) &gt; 0,_xlfn.XLOOKUP($C187,'Premade Flavors'!$A:$A,'Premade Flavors'!H:H),IF([2]Sheet1!W187= 0,,[2]Sheet1!W187))</f>
        <v>0</v>
      </c>
      <c r="J189" s="31">
        <f>IF(COUNTIF('Premade Flavors'!$A:$A,$C189)&gt;0,IF(_xlfn.XLOOKUP("Should It Use Sugar or A Non-Sugar Sweetner?",[1]Sheet1!$1:$1,[1]Sheet1!189:189)="Sugar",_xlfn.XLOOKUP($C189,'Premade Flavors'!$A:$A,'Premade Flavors'!I:I),"Stevia"),_xlfn.XLOOKUP("What Sweetner Do You Want?",[1]Sheet1!$1:$1,[1]Sheet1!189:189))</f>
        <v>0</v>
      </c>
      <c r="K189" s="31"/>
      <c r="L189" s="77">
        <f>_xlfn.XLOOKUP("How Much Ice Cream Do You Want?",[1]Sheet1!$1:$1,[1]Sheet1!189:189)</f>
        <v>0</v>
      </c>
      <c r="M189" s="45">
        <f>IF(COUNTIF('Premade Flavors'!$A:$A, $C189) &gt; 0,_xlfn.XLOOKUP($C189,'Premade Flavors'!$A:$A,'Premade Flavors'!M:M),_xlfn.XLOOKUP("How Strong Do You Want The First Flavor?",[1]Sheet1!$1:$1,[1]Sheet1!189:189))</f>
        <v>0</v>
      </c>
      <c r="N189" s="45">
        <f>IF(COUNTIF('Premade Flavors'!$A:$A, $C189) &gt; 0,_xlfn.XLOOKUP($C189,'Premade Flavors'!$A:$A,'Premade Flavors'!N:N),_xlfn.XLOOKUP("How Strong Do You Want The Second Flavor?",[1]Sheet1!$1:$1,[1]Sheet1!189:189))</f>
        <v>0</v>
      </c>
      <c r="O189" s="45">
        <f>IF(COUNTIF('Premade Flavors'!$A:$A, $C189) &gt; 0,_xlfn.XLOOKUP($C189,'Premade Flavors'!$A:$A,'Premade Flavors'!O:O),_xlfn.XLOOKUP("How Dense Should the Mix Ins Be?",[1]Sheet1!$1:$1,[1]Sheet1!189:189))</f>
        <v>0</v>
      </c>
      <c r="P189" s="45">
        <f>IF(COUNTIF('Premade Flavors'!$A:$A, $C189) &gt; 0,_xlfn.XLOOKUP($C189,'Premade Flavors'!$A:$A,'Premade Flavors'!P:P),_xlfn.XLOOKUP("How Much Of The First Sweetner? ",[1]Sheet1!$1:$1,[1]Sheet1!189:189))</f>
        <v>0</v>
      </c>
      <c r="Q189" s="45">
        <f>IF(COUNTIF('Premade Flavors'!$A:$A, $C189) &gt; 0,_xlfn.XLOOKUP($C189,'Premade Flavors'!$A:$A,'Premade Flavors'!Q:Q),[2]Sheet1!S189)</f>
        <v>0</v>
      </c>
      <c r="R189" s="30">
        <f>(_xlfn.XLOOKUP($L189,Specs!A:A,Specs!B:B,0)-(IF(_xlfn.XLOOKUP($F189,'Liquid Mix In Nutrition'!A:A,'Liquid Mix In Nutrition'!J:J,0)="Yes",0,$T189))-(IF(_xlfn.XLOOKUP($G189,'Liquid Mix In Nutrition'!A:A,'Liquid Mix In Nutrition'!J:J,0)="Yes",0,$U189))-(($V189/MAX(1,_xlfn.XLOOKUP($H189,'Solid Mix In Nutrition'!A:A,'Solid Mix In Nutrition'!I:I,1)))*240)-(($W189/MAX(1,_xlfn.XLOOKUP($I189,'Solid Mix In Nutrition'!A:A,'Solid Mix In Nutrition'!I:I,1)))*240))*0.66</f>
        <v>0</v>
      </c>
      <c r="S189" s="30">
        <f>(_xlfn.XLOOKUP($L189,Specs!A:A,Specs!B:B,0)-(IF(_xlfn.XLOOKUP($F189,'Liquid Mix In Nutrition'!A:A,'Liquid Mix In Nutrition'!J:J,0)="Yes",0,$T189))-(IF(_xlfn.XLOOKUP($G189,'Liquid Mix In Nutrition'!A:A,'Liquid Mix In Nutrition'!J:J,0)="Yes",0,$U189))-(($V189/MAX(1,_xlfn.XLOOKUP($H189,'Solid Mix In Nutrition'!A:A,'Solid Mix In Nutrition'!I:I,1)))*240)-(($W189/MAX(1,_xlfn.XLOOKUP($I189,'Solid Mix In Nutrition'!A:A,'Solid Mix In Nutrition'!I:I,1)))*240))*0.33</f>
        <v>0</v>
      </c>
      <c r="T189" s="30">
        <f>_xlfn.XLOOKUP($M189,Specs!$D:$D,Specs!$E:$E,0)*15*_xlfn.XLOOKUP($L189,Specs!$A:$A,Specs!$C:$C,0)</f>
        <v>0</v>
      </c>
      <c r="U189" s="30">
        <f>_xlfn.XLOOKUP($N189,Specs!$D:$D,Specs!$E:$E,0)*15*_xlfn.XLOOKUP($L189,Specs!$A:$A,Specs!$C:$C,0)</f>
        <v>0</v>
      </c>
      <c r="V189" s="30">
        <f>( ((_xlfn.XLOOKUP($O189,Specs!$H:$H,Specs!$I:$I,0)*_xlfn.XLOOKUP($L189,Specs!$A:$A,Specs!$B:$B,0))/240) *_xlfn.XLOOKUP($H189,'Solid Mix In Nutrition'!A:A,'Solid Mix In Nutrition'!I:I,0)) *IF(AND(NOT($I189=0), COUNTA($I189)),0.5,1)</f>
        <v>0</v>
      </c>
      <c r="W189" s="30">
        <f>( ((_xlfn.XLOOKUP($O189,Specs!$H:$H,Specs!$I:$I,0)*_xlfn.XLOOKUP($L189,Specs!$A:$A,Specs!$B:$B,0))/240) *_xlfn.XLOOKUP($I189,'Solid Mix In Nutrition'!A:A,'Solid Mix In Nutrition'!I:I,0)) *IF(AND(NOT($I189=0), COUNTA($I189)),0.5,0)</f>
        <v>0</v>
      </c>
      <c r="X189" s="30">
        <f>_xlfn.XLOOKUP($P189,Specs!F:F,Specs!G:G,0)*_xlfn.XLOOKUP($J189,'Sweetener Mix In Nutrition'!A:A,'Sweetener Mix In Nutrition'!I:I,0)*_xlfn.XLOOKUP($L189,Specs!A:A,Specs!C:C,0)</f>
        <v>0</v>
      </c>
      <c r="Y189" s="30">
        <f>_xlfn.XLOOKUP($Q189,Specs!F:F,Specs!G:G,0)*_xlfn.XLOOKUP($K189,'Sweetener Mix In Nutrition'!A:A,'Sweetener Mix In Nutrition'!I:I,0)*_xlfn.XLOOKUP($L189,Specs!A:A,Specs!C:C,0)</f>
        <v>0</v>
      </c>
      <c r="Z189" s="34">
        <f t="shared" si="6"/>
        <v>0</v>
      </c>
      <c r="AA189" s="35">
        <f t="shared" si="7"/>
        <v>0</v>
      </c>
      <c r="AB189" s="36">
        <f>(($R189 / 240) * _xlfn.XLOOKUP($D189,'Milk Types Nutrition Per Cup'!A:A,'Milk Types Nutrition Per Cup'!B:B,0)) +(($S189 / 240)  * _xlfn.XLOOKUP($E189,'Milk Types Nutrition Per Cup'!A:A,'Milk Types Nutrition Per Cup'!B:B,0)) +(($T189 / 15)  * _xlfn.XLOOKUP($F189,'Liquid Mix In Nutrition'!A:A,'Liquid Mix In Nutrition'!B:B,0))+(($U189 / 15)  * _xlfn.XLOOKUP($G189,'Liquid Mix In Nutrition'!A:A,'Liquid Mix In Nutrition'!B:B,0))+(($V189 /MAX(1, _xlfn.XLOOKUP($H189,'Solid Mix In Nutrition'!A:A,'Solid Mix In Nutrition'!I:I,1)))  * _xlfn.XLOOKUP($H189,'Solid Mix In Nutrition'!A:A,'Solid Mix In Nutrition'!B:B,0))+(($W189 / MAX(1, _xlfn.XLOOKUP($I189,'Solid Mix In Nutrition'!A:A,'Solid Mix In Nutrition'!I:I,1))))+(($X189 / 100)  * _xlfn.XLOOKUP($J189,'Sweetener Mix In Nutrition'!A:A,'Sweetener Mix In Nutrition'!B:B,0))+(($Y189 / 100)  * _xlfn.XLOOKUP($K189,'Sweetener Mix In Nutrition'!A:A,'Sweetener Mix In Nutrition'!B:B,0))</f>
        <v>0</v>
      </c>
      <c r="AC189" s="36">
        <f>(($R189 / 240) * _xlfn.XLOOKUP($D189,'Milk Types Nutrition Per Cup'!A:A,'Milk Types Nutrition Per Cup'!E:E,0)) +(($S189 / 240)  * _xlfn.XLOOKUP($E189,'Milk Types Nutrition Per Cup'!A:A,'Milk Types Nutrition Per Cup'!E:E,0)) +(($T189 / 15)  * _xlfn.XLOOKUP($F189,'Liquid Mix In Nutrition'!A:A,'Liquid Mix In Nutrition'!E:E,0)) +(($U189 / 15)  * _xlfn.XLOOKUP($G189,'Liquid Mix In Nutrition'!A:A,'Liquid Mix In Nutrition'!E:E,0))+(($V189 / MAX(1, _xlfn.XLOOKUP($H189,'Solid Mix In Nutrition'!A:A,'Solid Mix In Nutrition'!I:I,1)))  * _xlfn.XLOOKUP($H189,'Solid Mix In Nutrition'!A:A,'Solid Mix In Nutrition'!E:E,0))+(($W189 / MAX(1, _xlfn.XLOOKUP($I189,'Solid Mix In Nutrition'!A:A,'Solid Mix In Nutrition'!I:I,1)))  * _xlfn.XLOOKUP($I189,'Solid Mix In Nutrition'!A:A,'Solid Mix In Nutrition'!G:G,0))+(($X189 / 100)  * _xlfn.XLOOKUP($J189,'Sweetener Mix In Nutrition'!A:A,'Sweetener Mix In Nutrition'!E:E,0))+(($Y189 / 100)  * _xlfn.XLOOKUP($K189,'Sweetener Mix In Nutrition'!A:A,'Sweetener Mix In Nutrition'!E:E,0))</f>
        <v>0</v>
      </c>
      <c r="AD189" s="36">
        <f>(($R189 / 240) * _xlfn.XLOOKUP($D189,'Milk Types Nutrition Per Cup'!A:A,'Milk Types Nutrition Per Cup'!E:E,0)) +(($S189 / 240)  * _xlfn.XLOOKUP($E189,'Milk Types Nutrition Per Cup'!A:A,'Milk Types Nutrition Per Cup'!E:E,0)) +(($T189 / 15)  * _xlfn.XLOOKUP($F189,'Liquid Mix In Nutrition'!A:A,'Liquid Mix In Nutrition'!E:E,0)) +(($U189 / 15)  * _xlfn.XLOOKUP($G189,'Liquid Mix In Nutrition'!A:A,'Liquid Mix In Nutrition'!E:E,0))+(($X189 / 100)  * _xlfn.XLOOKUP($J189,'Sweetener Mix In Nutrition'!A:A,'Sweetener Mix In Nutrition'!E:E,0))+(($Y189 / 100)  * _xlfn.XLOOKUP($K189,'Sweetener Mix In Nutrition'!A:A,'Sweetener Mix In Nutrition'!E:E,0))</f>
        <v>0</v>
      </c>
      <c r="AE189" s="37">
        <f>(($R189 / 240) * _xlfn.XLOOKUP($D189,'Milk Types Nutrition Per Cup'!A:A,'Milk Types Nutrition Per Cup'!C:C,0)) +(($S189 / 240)  * _xlfn.XLOOKUP($E189,'Milk Types Nutrition Per Cup'!A:A,'Milk Types Nutrition Per Cup'!C:C,0)) +(($T189 / 15)  * _xlfn.XLOOKUP($F189,'Liquid Mix In Nutrition'!A:A,'Liquid Mix In Nutrition'!C:C,0))+(($U189 / 15)  * _xlfn.XLOOKUP($G189,'Liquid Mix In Nutrition'!A:A,'Liquid Mix In Nutrition'!C:C,0))+(($V189 / MAX(1, _xlfn.XLOOKUP($H189,'Solid Mix In Nutrition'!A:A,'Solid Mix In Nutrition'!I:I,1)))  * _xlfn.XLOOKUP($H189,'Solid Mix In Nutrition'!A:A,'Solid Mix In Nutrition'!C:C,0))+(($W189 / MAX(1, _xlfn.XLOOKUP($I189,'Solid Mix In Nutrition'!A:A,'Solid Mix In Nutrition'!I:I,1)))  * _xlfn.XLOOKUP($I189,'Solid Mix In Nutrition'!A:A,'Solid Mix In Nutrition'!C:C,0))+(($X189 / 100)  * _xlfn.XLOOKUP($J189,'Sweetener Mix In Nutrition'!A:A,'Sweetener Mix In Nutrition'!C:C,0))+(($Y189 / 100)  * _xlfn.XLOOKUP($K189,'Sweetener Mix In Nutrition'!A:A,'Sweetener Mix In Nutrition'!C:C,0))</f>
        <v>0</v>
      </c>
      <c r="AF189" s="38" t="e">
        <f>$AE189 / (_xlfn.XLOOKUP($L189,Specs!A:A,Specs!B:B,0))</f>
        <v>#DIV/0!</v>
      </c>
      <c r="AG189" s="37" t="e">
        <f>60* ($AB189 / _xlfn.XLOOKUP($L189,Specs!A:A,Specs!B:B,0))</f>
        <v>#DIV/0!</v>
      </c>
      <c r="AH189" s="37" t="e">
        <f>60* (AC189 / _xlfn.XLOOKUP($L189,Specs!$A:$A,Specs!$B:$B,0))</f>
        <v>#DIV/0!</v>
      </c>
      <c r="AI189" s="37" t="e">
        <f>60* (AE189 / _xlfn.XLOOKUP($L189,Specs!$A:$A,Specs!$B:$B,0))</f>
        <v>#DIV/0!</v>
      </c>
      <c r="AJ189" s="39">
        <f>(($R189 / 240) * _xlfn.XLOOKUP($D189,'Milk Types Nutrition Per Cup'!A:A,'Milk Types Nutrition Per Cup'!F:F,0)) +(($S189 / 240)  * _xlfn.XLOOKUP($E189,'Milk Types Nutrition Per Cup'!A:A,'Milk Types Nutrition Per Cup'!F:F,0)) +(($T189 / 15)  * _xlfn.XLOOKUP($F189,'Liquid Mix In Nutrition'!A:A,'Liquid Mix In Nutrition'!F:F,0))+(($U189 / 15)  * _xlfn.XLOOKUP($G189,'Liquid Mix In Nutrition'!A:A,'Liquid Mix In Nutrition'!F:F,0))+(($V189 / MAX(1, _xlfn.XLOOKUP($H189,'Solid Mix In Nutrition'!A:A,'Solid Mix In Nutrition'!I:I,1)))  * _xlfn.XLOOKUP($H189,'Solid Mix In Nutrition'!A:A,'Solid Mix In Nutrition'!F:F,0))+(($W189 / MAX(1, _xlfn.XLOOKUP($I189,'Solid Mix In Nutrition'!A:A,'Solid Mix In Nutrition'!I:I,1)))  * _xlfn.XLOOKUP($I189,'Solid Mix In Nutrition'!A:A,'Solid Mix In Nutrition'!F:F,0))+(($X189 / 100)  * _xlfn.XLOOKUP($J189,'Sweetener Mix In Nutrition'!A:A,'Sweetener Mix In Nutrition'!F:F,0))+(($Y189 / 100)  * _xlfn.XLOOKUP($K189,'Sweetener Mix In Nutrition'!A:A,'Sweetener Mix In Nutrition'!F:F,0))</f>
        <v>0</v>
      </c>
      <c r="AK189" s="46">
        <f>[2]Sheet1!AG189</f>
        <v>0</v>
      </c>
      <c r="AL189" s="47"/>
      <c r="AM189" s="40">
        <f>IF(ISERROR(((AL189/Specs!$L$3)*Specs!$L$2)*2),0,ROUNDUP((((AL189/Specs!$L$3)*Specs!$L$2)*2),0))</f>
        <v>0</v>
      </c>
      <c r="AN189" s="48">
        <f>ROUNDUP(((AJ189+Specs!$R$2+Specs!$S$2+_xlfn.XLOOKUP($L189,Specs!A:A,Specs!V:V,0))*Specs!$N$2)+AM189,0)</f>
        <v>1</v>
      </c>
      <c r="AO189" s="40">
        <f>ROUNDUP(((AJ189+Specs!$R$2+Specs!$S$2+_xlfn.XLOOKUP($L189,Specs!A:A,Specs!V:V,0))*Specs!$N$2),0)</f>
        <v>1</v>
      </c>
      <c r="AP189" s="30"/>
    </row>
    <row r="190" spans="1:42" x14ac:dyDescent="0.25">
      <c r="A190" s="41" t="str">
        <f>_xlfn.CONCAT(_xlfn.XLOOKUP("What's Your Name?",[1]Sheet1!$1:$1,[1]Sheet1!190:190)," | ",TEXT(_xlfn.XLOOKUP("Completion time",[1]Sheet1!$1:$1,[1]Sheet1!190:190),"dddd, mmm dd, yyyy hh:mm AM/PM"))</f>
        <v xml:space="preserve"> | Saturday, Jan 00, 1900 12:00 AM</v>
      </c>
      <c r="B190" s="76">
        <f>_xlfn.XLOOKUP("What's Your Email Address?",[1]Sheet1!$1:$1,[1]Sheet1!190:190)</f>
        <v>0</v>
      </c>
      <c r="C190" s="31">
        <f>IF(ISBLANK(_xlfn.XLOOKUP("Which Flavor? (Pint Price | Quart Price | Half Gallon Price) (NOTE: Prices may fluctuate based on market conditions)",[1]Sheet1!$1:$1,[1]Sheet1!190:190)),_xlfn.XLOOKUP("Name Your Ice Cream!",[1]Sheet1!$1:$1,[1]Sheet1!190:190),IF(ISNUMBER(FIND("(", _xlfn.XLOOKUP("Which Flavor? (Pint Price | Quart Price | Half Gallon Price) (NOTE: Prices may fluctuate based on market conditions)",[1]Sheet1!$1:$1,[1]Sheet1!190:190))), LEFT(_xlfn.XLOOKUP("Which Flavor? (Pint Price | Quart Price | Half Gallon Price) (NOTE: Prices may fluctuate based on market conditions)",[1]Sheet1!$1:$1,[1]Sheet1!190:190), FIND("(", _xlfn.XLOOKUP("Which Flavor? (Pint Price | Quart Price | Half Gallon Price) (NOTE: Prices may fluctuate based on market conditions)",[1]Sheet1!$1:$1,[1]Sheet1!190:190)) - 1), _xlfn.XLOOKUP("Which Flavor? (Pint Price | Quart Price | Half Gallon Price) (NOTE: Prices may fluctuate based on market conditions)",[1]Sheet1!$1:$1,[1]Sheet1!190:190)))</f>
        <v>0</v>
      </c>
      <c r="D190" s="31">
        <f>IF(COUNTIF('Premade Flavors'!$A:$A, $C190) &gt; 0,IF(ISBLANK(_xlfn.XLOOKUP("What Ice Cream Base Do You Want To Change It To?",[1]Sheet1!$1:$1,[1]Sheet1!190:190)),_xlfn.XLOOKUP($C190,'Premade Flavors'!$A:$A,'Premade Flavors'!B:B),_xlfn.XLOOKUP("What Ice Cream Base Do You Want To Change It To?",[1]Sheet1!$1:$1,[1]Sheet1!190:190)),_xlfn.XLOOKUP(_xlfn.XLOOKUP("What Kind Of Ice Cream Base Do You Want? ",[1]Sheet1!$1:$1,[1]Sheet1!190:190),'Milk Types Nutrition Per Cup'!O:O,'Milk Types Nutrition Per Cup'!P:P,""))</f>
        <v>0</v>
      </c>
      <c r="E190" s="31">
        <f>IF(COUNTIF('Premade Flavors'!$A:$A, $C190) &gt; 0,IF(ISBLANK(_xlfn.XLOOKUP("What Ice Cream Base Do You Want To Change It To?",[1]Sheet1!$1:$1,[1]Sheet1!190:190)),_xlfn.XLOOKUP($C190,'Premade Flavors'!$A:$A,'Premade Flavors'!C:C),_xlfn.XLOOKUP("What Ice Cream Base Do You Want To Change It To?",[1]Sheet1!$1:$1,[1]Sheet1!190:190)),_xlfn.XLOOKUP(_xlfn.XLOOKUP("What Kind Of Ice Cream Base Do You Want? ",[1]Sheet1!$1:$1,[1]Sheet1!190:190),'Milk Types Nutrition Per Cup'!$O:$O,'Milk Types Nutrition Per Cup'!$Q:$Q,""))</f>
        <v>0</v>
      </c>
      <c r="F190" s="31">
        <f>IF(COUNTIF('Premade Flavors'!$A:$A, $C190) &gt; 0,_xlfn.XLOOKUP($C190,'Premade Flavors'!$A:$A,'Premade Flavors'!E:E),_xlfn.XLOOKUP("What's The First Flavor You Want? ",[1]Sheet1!$1:$1,[1]Sheet1!190:190))</f>
        <v>0</v>
      </c>
      <c r="G190" s="31">
        <f>IF(COUNTIF('Premade Flavors'!$A:$A, $C190) &gt; 0,_xlfn.XLOOKUP($C190,'Premade Flavors'!$A:$A,'Premade Flavors'!F:F),_xlfn.XLOOKUP("What's the Second Flavor You Want?",[1]Sheet1!$1:$1,[1]Sheet1!190:190))</f>
        <v>0</v>
      </c>
      <c r="H190" s="31">
        <f>IF(COUNTIF('Premade Flavors'!$A:$A, $C190) &gt; 0,_xlfn.XLOOKUP($C190,'Premade Flavors'!$A:$A,'Premade Flavors'!G:G),_xlfn.XLOOKUP("What's The First Mix In That You Want? ",[1]Sheet1!$1:$1,[1]Sheet1!190:190))</f>
        <v>0</v>
      </c>
      <c r="I190" s="31">
        <f>IF(COUNTIF('Premade Flavors'!$A:$A, $C188) &gt; 0,_xlfn.XLOOKUP($C188,'Premade Flavors'!$A:$A,'Premade Flavors'!H:H),IF([2]Sheet1!W188= 0,,[2]Sheet1!W188))</f>
        <v>0</v>
      </c>
      <c r="J190" s="31">
        <f>IF(COUNTIF('Premade Flavors'!$A:$A,$C190)&gt;0,IF(_xlfn.XLOOKUP("Should It Use Sugar or A Non-Sugar Sweetner?",[1]Sheet1!$1:$1,[1]Sheet1!190:190)="Sugar",_xlfn.XLOOKUP($C190,'Premade Flavors'!$A:$A,'Premade Flavors'!I:I),"Stevia"),_xlfn.XLOOKUP("What Sweetner Do You Want?",[1]Sheet1!$1:$1,[1]Sheet1!190:190))</f>
        <v>0</v>
      </c>
      <c r="K190" s="31"/>
      <c r="L190" s="77">
        <f>_xlfn.XLOOKUP("How Much Ice Cream Do You Want?",[1]Sheet1!$1:$1,[1]Sheet1!190:190)</f>
        <v>0</v>
      </c>
      <c r="M190" s="45">
        <f>IF(COUNTIF('Premade Flavors'!$A:$A, $C190) &gt; 0,_xlfn.XLOOKUP($C190,'Premade Flavors'!$A:$A,'Premade Flavors'!M:M),_xlfn.XLOOKUP("How Strong Do You Want The First Flavor?",[1]Sheet1!$1:$1,[1]Sheet1!190:190))</f>
        <v>0</v>
      </c>
      <c r="N190" s="45">
        <f>IF(COUNTIF('Premade Flavors'!$A:$A, $C190) &gt; 0,_xlfn.XLOOKUP($C190,'Premade Flavors'!$A:$A,'Premade Flavors'!N:N),_xlfn.XLOOKUP("How Strong Do You Want The Second Flavor?",[1]Sheet1!$1:$1,[1]Sheet1!190:190))</f>
        <v>0</v>
      </c>
      <c r="O190" s="45">
        <f>IF(COUNTIF('Premade Flavors'!$A:$A, $C190) &gt; 0,_xlfn.XLOOKUP($C190,'Premade Flavors'!$A:$A,'Premade Flavors'!O:O),_xlfn.XLOOKUP("How Dense Should the Mix Ins Be?",[1]Sheet1!$1:$1,[1]Sheet1!190:190))</f>
        <v>0</v>
      </c>
      <c r="P190" s="45">
        <f>IF(COUNTIF('Premade Flavors'!$A:$A, $C190) &gt; 0,_xlfn.XLOOKUP($C190,'Premade Flavors'!$A:$A,'Premade Flavors'!P:P),_xlfn.XLOOKUP("How Much Of The First Sweetner? ",[1]Sheet1!$1:$1,[1]Sheet1!190:190))</f>
        <v>0</v>
      </c>
      <c r="Q190" s="45">
        <f>IF(COUNTIF('Premade Flavors'!$A:$A, $C190) &gt; 0,_xlfn.XLOOKUP($C190,'Premade Flavors'!$A:$A,'Premade Flavors'!Q:Q),[2]Sheet1!S190)</f>
        <v>0</v>
      </c>
      <c r="R190" s="30">
        <f>(_xlfn.XLOOKUP($L190,Specs!A:A,Specs!B:B,0)-(IF(_xlfn.XLOOKUP($F190,'Liquid Mix In Nutrition'!A:A,'Liquid Mix In Nutrition'!J:J,0)="Yes",0,$T190))-(IF(_xlfn.XLOOKUP($G190,'Liquid Mix In Nutrition'!A:A,'Liquid Mix In Nutrition'!J:J,0)="Yes",0,$U190))-(($V190/MAX(1,_xlfn.XLOOKUP($H190,'Solid Mix In Nutrition'!A:A,'Solid Mix In Nutrition'!I:I,1)))*240)-(($W190/MAX(1,_xlfn.XLOOKUP($I190,'Solid Mix In Nutrition'!A:A,'Solid Mix In Nutrition'!I:I,1)))*240))*0.66</f>
        <v>0</v>
      </c>
      <c r="S190" s="30">
        <f>(_xlfn.XLOOKUP($L190,Specs!A:A,Specs!B:B,0)-(IF(_xlfn.XLOOKUP($F190,'Liquid Mix In Nutrition'!A:A,'Liquid Mix In Nutrition'!J:J,0)="Yes",0,$T190))-(IF(_xlfn.XLOOKUP($G190,'Liquid Mix In Nutrition'!A:A,'Liquid Mix In Nutrition'!J:J,0)="Yes",0,$U190))-(($V190/MAX(1,_xlfn.XLOOKUP($H190,'Solid Mix In Nutrition'!A:A,'Solid Mix In Nutrition'!I:I,1)))*240)-(($W190/MAX(1,_xlfn.XLOOKUP($I190,'Solid Mix In Nutrition'!A:A,'Solid Mix In Nutrition'!I:I,1)))*240))*0.33</f>
        <v>0</v>
      </c>
      <c r="T190" s="30">
        <f>_xlfn.XLOOKUP($M190,Specs!$D:$D,Specs!$E:$E,0)*15*_xlfn.XLOOKUP($L190,Specs!$A:$A,Specs!$C:$C,0)</f>
        <v>0</v>
      </c>
      <c r="U190" s="30">
        <f>_xlfn.XLOOKUP($N190,Specs!$D:$D,Specs!$E:$E,0)*15*_xlfn.XLOOKUP($L190,Specs!$A:$A,Specs!$C:$C,0)</f>
        <v>0</v>
      </c>
      <c r="V190" s="30">
        <f>( ((_xlfn.XLOOKUP($O190,Specs!$H:$H,Specs!$I:$I,0)*_xlfn.XLOOKUP($L190,Specs!$A:$A,Specs!$B:$B,0))/240) *_xlfn.XLOOKUP($H190,'Solid Mix In Nutrition'!A:A,'Solid Mix In Nutrition'!I:I,0)) *IF(AND(NOT($I190=0), COUNTA($I190)),0.5,1)</f>
        <v>0</v>
      </c>
      <c r="W190" s="30">
        <f>( ((_xlfn.XLOOKUP($O190,Specs!$H:$H,Specs!$I:$I,0)*_xlfn.XLOOKUP($L190,Specs!$A:$A,Specs!$B:$B,0))/240) *_xlfn.XLOOKUP($I190,'Solid Mix In Nutrition'!A:A,'Solid Mix In Nutrition'!I:I,0)) *IF(AND(NOT($I190=0), COUNTA($I190)),0.5,0)</f>
        <v>0</v>
      </c>
      <c r="X190" s="30">
        <f>_xlfn.XLOOKUP($P190,Specs!F:F,Specs!G:G,0)*_xlfn.XLOOKUP($J190,'Sweetener Mix In Nutrition'!A:A,'Sweetener Mix In Nutrition'!I:I,0)*_xlfn.XLOOKUP($L190,Specs!A:A,Specs!C:C,0)</f>
        <v>0</v>
      </c>
      <c r="Y190" s="30">
        <f>_xlfn.XLOOKUP($Q190,Specs!F:F,Specs!G:G,0)*_xlfn.XLOOKUP($K190,'Sweetener Mix In Nutrition'!A:A,'Sweetener Mix In Nutrition'!I:I,0)*_xlfn.XLOOKUP($L190,Specs!A:A,Specs!C:C,0)</f>
        <v>0</v>
      </c>
      <c r="Z190" s="34">
        <f t="shared" si="6"/>
        <v>0</v>
      </c>
      <c r="AA190" s="35">
        <f t="shared" si="7"/>
        <v>0</v>
      </c>
      <c r="AB190" s="36">
        <f>(($R190 / 240) * _xlfn.XLOOKUP($D190,'Milk Types Nutrition Per Cup'!A:A,'Milk Types Nutrition Per Cup'!B:B,0)) +(($S190 / 240)  * _xlfn.XLOOKUP($E190,'Milk Types Nutrition Per Cup'!A:A,'Milk Types Nutrition Per Cup'!B:B,0)) +(($T190 / 15)  * _xlfn.XLOOKUP($F190,'Liquid Mix In Nutrition'!A:A,'Liquid Mix In Nutrition'!B:B,0))+(($U190 / 15)  * _xlfn.XLOOKUP($G190,'Liquid Mix In Nutrition'!A:A,'Liquid Mix In Nutrition'!B:B,0))+(($V190 /MAX(1, _xlfn.XLOOKUP($H190,'Solid Mix In Nutrition'!A:A,'Solid Mix In Nutrition'!I:I,1)))  * _xlfn.XLOOKUP($H190,'Solid Mix In Nutrition'!A:A,'Solid Mix In Nutrition'!B:B,0))+(($W190 / MAX(1, _xlfn.XLOOKUP($I190,'Solid Mix In Nutrition'!A:A,'Solid Mix In Nutrition'!I:I,1))))+(($X190 / 100)  * _xlfn.XLOOKUP($J190,'Sweetener Mix In Nutrition'!A:A,'Sweetener Mix In Nutrition'!B:B,0))+(($Y190 / 100)  * _xlfn.XLOOKUP($K190,'Sweetener Mix In Nutrition'!A:A,'Sweetener Mix In Nutrition'!B:B,0))</f>
        <v>0</v>
      </c>
      <c r="AC190" s="36">
        <f>(($R190 / 240) * _xlfn.XLOOKUP($D190,'Milk Types Nutrition Per Cup'!A:A,'Milk Types Nutrition Per Cup'!E:E,0)) +(($S190 / 240)  * _xlfn.XLOOKUP($E190,'Milk Types Nutrition Per Cup'!A:A,'Milk Types Nutrition Per Cup'!E:E,0)) +(($T190 / 15)  * _xlfn.XLOOKUP($F190,'Liquid Mix In Nutrition'!A:A,'Liquid Mix In Nutrition'!E:E,0)) +(($U190 / 15)  * _xlfn.XLOOKUP($G190,'Liquid Mix In Nutrition'!A:A,'Liquid Mix In Nutrition'!E:E,0))+(($V190 / MAX(1, _xlfn.XLOOKUP($H190,'Solid Mix In Nutrition'!A:A,'Solid Mix In Nutrition'!I:I,1)))  * _xlfn.XLOOKUP($H190,'Solid Mix In Nutrition'!A:A,'Solid Mix In Nutrition'!E:E,0))+(($W190 / MAX(1, _xlfn.XLOOKUP($I190,'Solid Mix In Nutrition'!A:A,'Solid Mix In Nutrition'!I:I,1)))  * _xlfn.XLOOKUP($I190,'Solid Mix In Nutrition'!A:A,'Solid Mix In Nutrition'!G:G,0))+(($X190 / 100)  * _xlfn.XLOOKUP($J190,'Sweetener Mix In Nutrition'!A:A,'Sweetener Mix In Nutrition'!E:E,0))+(($Y190 / 100)  * _xlfn.XLOOKUP($K190,'Sweetener Mix In Nutrition'!A:A,'Sweetener Mix In Nutrition'!E:E,0))</f>
        <v>0</v>
      </c>
      <c r="AD190" s="36">
        <f>(($R190 / 240) * _xlfn.XLOOKUP($D190,'Milk Types Nutrition Per Cup'!A:A,'Milk Types Nutrition Per Cup'!E:E,0)) +(($S190 / 240)  * _xlfn.XLOOKUP($E190,'Milk Types Nutrition Per Cup'!A:A,'Milk Types Nutrition Per Cup'!E:E,0)) +(($T190 / 15)  * _xlfn.XLOOKUP($F190,'Liquid Mix In Nutrition'!A:A,'Liquid Mix In Nutrition'!E:E,0)) +(($U190 / 15)  * _xlfn.XLOOKUP($G190,'Liquid Mix In Nutrition'!A:A,'Liquid Mix In Nutrition'!E:E,0))+(($X190 / 100)  * _xlfn.XLOOKUP($J190,'Sweetener Mix In Nutrition'!A:A,'Sweetener Mix In Nutrition'!E:E,0))+(($Y190 / 100)  * _xlfn.XLOOKUP($K190,'Sweetener Mix In Nutrition'!A:A,'Sweetener Mix In Nutrition'!E:E,0))</f>
        <v>0</v>
      </c>
      <c r="AE190" s="37">
        <f>(($R190 / 240) * _xlfn.XLOOKUP($D190,'Milk Types Nutrition Per Cup'!A:A,'Milk Types Nutrition Per Cup'!C:C,0)) +(($S190 / 240)  * _xlfn.XLOOKUP($E190,'Milk Types Nutrition Per Cup'!A:A,'Milk Types Nutrition Per Cup'!C:C,0)) +(($T190 / 15)  * _xlfn.XLOOKUP($F190,'Liquid Mix In Nutrition'!A:A,'Liquid Mix In Nutrition'!C:C,0))+(($U190 / 15)  * _xlfn.XLOOKUP($G190,'Liquid Mix In Nutrition'!A:A,'Liquid Mix In Nutrition'!C:C,0))+(($V190 / MAX(1, _xlfn.XLOOKUP($H190,'Solid Mix In Nutrition'!A:A,'Solid Mix In Nutrition'!I:I,1)))  * _xlfn.XLOOKUP($H190,'Solid Mix In Nutrition'!A:A,'Solid Mix In Nutrition'!C:C,0))+(($W190 / MAX(1, _xlfn.XLOOKUP($I190,'Solid Mix In Nutrition'!A:A,'Solid Mix In Nutrition'!I:I,1)))  * _xlfn.XLOOKUP($I190,'Solid Mix In Nutrition'!A:A,'Solid Mix In Nutrition'!C:C,0))+(($X190 / 100)  * _xlfn.XLOOKUP($J190,'Sweetener Mix In Nutrition'!A:A,'Sweetener Mix In Nutrition'!C:C,0))+(($Y190 / 100)  * _xlfn.XLOOKUP($K190,'Sweetener Mix In Nutrition'!A:A,'Sweetener Mix In Nutrition'!C:C,0))</f>
        <v>0</v>
      </c>
      <c r="AF190" s="38" t="e">
        <f>$AE190 / (_xlfn.XLOOKUP($L190,Specs!A:A,Specs!B:B,0))</f>
        <v>#DIV/0!</v>
      </c>
      <c r="AG190" s="37" t="e">
        <f>60* ($AB190 / _xlfn.XLOOKUP($L190,Specs!A:A,Specs!B:B,0))</f>
        <v>#DIV/0!</v>
      </c>
      <c r="AH190" s="37" t="e">
        <f>60* (AC190 / _xlfn.XLOOKUP($L190,Specs!$A:$A,Specs!$B:$B,0))</f>
        <v>#DIV/0!</v>
      </c>
      <c r="AI190" s="37" t="e">
        <f>60* (AE190 / _xlfn.XLOOKUP($L190,Specs!$A:$A,Specs!$B:$B,0))</f>
        <v>#DIV/0!</v>
      </c>
      <c r="AJ190" s="39">
        <f>(($R190 / 240) * _xlfn.XLOOKUP($D190,'Milk Types Nutrition Per Cup'!A:A,'Milk Types Nutrition Per Cup'!F:F,0)) +(($S190 / 240)  * _xlfn.XLOOKUP($E190,'Milk Types Nutrition Per Cup'!A:A,'Milk Types Nutrition Per Cup'!F:F,0)) +(($T190 / 15)  * _xlfn.XLOOKUP($F190,'Liquid Mix In Nutrition'!A:A,'Liquid Mix In Nutrition'!F:F,0))+(($U190 / 15)  * _xlfn.XLOOKUP($G190,'Liquid Mix In Nutrition'!A:A,'Liquid Mix In Nutrition'!F:F,0))+(($V190 / MAX(1, _xlfn.XLOOKUP($H190,'Solid Mix In Nutrition'!A:A,'Solid Mix In Nutrition'!I:I,1)))  * _xlfn.XLOOKUP($H190,'Solid Mix In Nutrition'!A:A,'Solid Mix In Nutrition'!F:F,0))+(($W190 / MAX(1, _xlfn.XLOOKUP($I190,'Solid Mix In Nutrition'!A:A,'Solid Mix In Nutrition'!I:I,1)))  * _xlfn.XLOOKUP($I190,'Solid Mix In Nutrition'!A:A,'Solid Mix In Nutrition'!F:F,0))+(($X190 / 100)  * _xlfn.XLOOKUP($J190,'Sweetener Mix In Nutrition'!A:A,'Sweetener Mix In Nutrition'!F:F,0))+(($Y190 / 100)  * _xlfn.XLOOKUP($K190,'Sweetener Mix In Nutrition'!A:A,'Sweetener Mix In Nutrition'!F:F,0))</f>
        <v>0</v>
      </c>
      <c r="AK190" s="46">
        <f>[2]Sheet1!AG190</f>
        <v>0</v>
      </c>
      <c r="AL190" s="47"/>
      <c r="AM190" s="40">
        <f>IF(ISERROR(((AL190/Specs!$L$3)*Specs!$L$2)*2),0,ROUNDUP((((AL190/Specs!$L$3)*Specs!$L$2)*2),0))</f>
        <v>0</v>
      </c>
      <c r="AN190" s="48">
        <f>ROUNDUP(((AJ190+Specs!$R$2+Specs!$S$2+_xlfn.XLOOKUP($L190,Specs!A:A,Specs!V:V,0))*Specs!$N$2)+AM190,0)</f>
        <v>1</v>
      </c>
      <c r="AO190" s="40">
        <f>ROUNDUP(((AJ190+Specs!$R$2+Specs!$S$2+_xlfn.XLOOKUP($L190,Specs!A:A,Specs!V:V,0))*Specs!$N$2),0)</f>
        <v>1</v>
      </c>
      <c r="AP190" s="30"/>
    </row>
    <row r="191" spans="1:42" x14ac:dyDescent="0.25">
      <c r="A191" s="41" t="str">
        <f>_xlfn.CONCAT(_xlfn.XLOOKUP("What's Your Name?",[1]Sheet1!$1:$1,[1]Sheet1!191:191)," | ",TEXT(_xlfn.XLOOKUP("Completion time",[1]Sheet1!$1:$1,[1]Sheet1!191:191),"dddd, mmm dd, yyyy hh:mm AM/PM"))</f>
        <v xml:space="preserve"> | Saturday, Jan 00, 1900 12:00 AM</v>
      </c>
      <c r="B191" s="76">
        <f>_xlfn.XLOOKUP("What's Your Email Address?",[1]Sheet1!$1:$1,[1]Sheet1!191:191)</f>
        <v>0</v>
      </c>
      <c r="C191" s="31">
        <f>IF(ISBLANK(_xlfn.XLOOKUP("Which Flavor? (Pint Price | Quart Price | Half Gallon Price) (NOTE: Prices may fluctuate based on market conditions)",[1]Sheet1!$1:$1,[1]Sheet1!191:191)),_xlfn.XLOOKUP("Name Your Ice Cream!",[1]Sheet1!$1:$1,[1]Sheet1!191:191),IF(ISNUMBER(FIND("(", _xlfn.XLOOKUP("Which Flavor? (Pint Price | Quart Price | Half Gallon Price) (NOTE: Prices may fluctuate based on market conditions)",[1]Sheet1!$1:$1,[1]Sheet1!191:191))), LEFT(_xlfn.XLOOKUP("Which Flavor? (Pint Price | Quart Price | Half Gallon Price) (NOTE: Prices may fluctuate based on market conditions)",[1]Sheet1!$1:$1,[1]Sheet1!191:191), FIND("(", _xlfn.XLOOKUP("Which Flavor? (Pint Price | Quart Price | Half Gallon Price) (NOTE: Prices may fluctuate based on market conditions)",[1]Sheet1!$1:$1,[1]Sheet1!191:191)) - 1), _xlfn.XLOOKUP("Which Flavor? (Pint Price | Quart Price | Half Gallon Price) (NOTE: Prices may fluctuate based on market conditions)",[1]Sheet1!$1:$1,[1]Sheet1!191:191)))</f>
        <v>0</v>
      </c>
      <c r="D191" s="31">
        <f>IF(COUNTIF('Premade Flavors'!$A:$A, $C191) &gt; 0,IF(ISBLANK(_xlfn.XLOOKUP("What Ice Cream Base Do You Want To Change It To?",[1]Sheet1!$1:$1,[1]Sheet1!191:191)),_xlfn.XLOOKUP($C191,'Premade Flavors'!$A:$A,'Premade Flavors'!B:B),_xlfn.XLOOKUP("What Ice Cream Base Do You Want To Change It To?",[1]Sheet1!$1:$1,[1]Sheet1!191:191)),_xlfn.XLOOKUP(_xlfn.XLOOKUP("What Kind Of Ice Cream Base Do You Want? ",[1]Sheet1!$1:$1,[1]Sheet1!191:191),'Milk Types Nutrition Per Cup'!O:O,'Milk Types Nutrition Per Cup'!P:P,""))</f>
        <v>0</v>
      </c>
      <c r="E191" s="31">
        <f>IF(COUNTIF('Premade Flavors'!$A:$A, $C191) &gt; 0,IF(ISBLANK(_xlfn.XLOOKUP("What Ice Cream Base Do You Want To Change It To?",[1]Sheet1!$1:$1,[1]Sheet1!191:191)),_xlfn.XLOOKUP($C191,'Premade Flavors'!$A:$A,'Premade Flavors'!C:C),_xlfn.XLOOKUP("What Ice Cream Base Do You Want To Change It To?",[1]Sheet1!$1:$1,[1]Sheet1!191:191)),_xlfn.XLOOKUP(_xlfn.XLOOKUP("What Kind Of Ice Cream Base Do You Want? ",[1]Sheet1!$1:$1,[1]Sheet1!191:191),'Milk Types Nutrition Per Cup'!$O:$O,'Milk Types Nutrition Per Cup'!$Q:$Q,""))</f>
        <v>0</v>
      </c>
      <c r="F191" s="31">
        <f>IF(COUNTIF('Premade Flavors'!$A:$A, $C191) &gt; 0,_xlfn.XLOOKUP($C191,'Premade Flavors'!$A:$A,'Premade Flavors'!E:E),_xlfn.XLOOKUP("What's The First Flavor You Want? ",[1]Sheet1!$1:$1,[1]Sheet1!191:191))</f>
        <v>0</v>
      </c>
      <c r="G191" s="31">
        <f>IF(COUNTIF('Premade Flavors'!$A:$A, $C191) &gt; 0,_xlfn.XLOOKUP($C191,'Premade Flavors'!$A:$A,'Premade Flavors'!F:F),_xlfn.XLOOKUP("What's the Second Flavor You Want?",[1]Sheet1!$1:$1,[1]Sheet1!191:191))</f>
        <v>0</v>
      </c>
      <c r="H191" s="31">
        <f>IF(COUNTIF('Premade Flavors'!$A:$A, $C191) &gt; 0,_xlfn.XLOOKUP($C191,'Premade Flavors'!$A:$A,'Premade Flavors'!G:G),_xlfn.XLOOKUP("What's The First Mix In That You Want? ",[1]Sheet1!$1:$1,[1]Sheet1!191:191))</f>
        <v>0</v>
      </c>
      <c r="I191" s="31">
        <f>IF(COUNTIF('Premade Flavors'!$A:$A, $C189) &gt; 0,_xlfn.XLOOKUP($C189,'Premade Flavors'!$A:$A,'Premade Flavors'!H:H),IF([2]Sheet1!W189= 0,,[2]Sheet1!W189))</f>
        <v>0</v>
      </c>
      <c r="J191" s="31">
        <f>IF(COUNTIF('Premade Flavors'!$A:$A,$C191)&gt;0,IF(_xlfn.XLOOKUP("Should It Use Sugar or A Non-Sugar Sweetner?",[1]Sheet1!$1:$1,[1]Sheet1!191:191)="Sugar",_xlfn.XLOOKUP($C191,'Premade Flavors'!$A:$A,'Premade Flavors'!I:I),"Stevia"),_xlfn.XLOOKUP("What Sweetner Do You Want?",[1]Sheet1!$1:$1,[1]Sheet1!191:191))</f>
        <v>0</v>
      </c>
      <c r="K191" s="31"/>
      <c r="L191" s="77">
        <f>_xlfn.XLOOKUP("How Much Ice Cream Do You Want?",[1]Sheet1!$1:$1,[1]Sheet1!191:191)</f>
        <v>0</v>
      </c>
      <c r="M191" s="45">
        <f>IF(COUNTIF('Premade Flavors'!$A:$A, $C191) &gt; 0,_xlfn.XLOOKUP($C191,'Premade Flavors'!$A:$A,'Premade Flavors'!M:M),_xlfn.XLOOKUP("How Strong Do You Want The First Flavor?",[1]Sheet1!$1:$1,[1]Sheet1!191:191))</f>
        <v>0</v>
      </c>
      <c r="N191" s="45">
        <f>IF(COUNTIF('Premade Flavors'!$A:$A, $C191) &gt; 0,_xlfn.XLOOKUP($C191,'Premade Flavors'!$A:$A,'Premade Flavors'!N:N),_xlfn.XLOOKUP("How Strong Do You Want The Second Flavor?",[1]Sheet1!$1:$1,[1]Sheet1!191:191))</f>
        <v>0</v>
      </c>
      <c r="O191" s="45">
        <f>IF(COUNTIF('Premade Flavors'!$A:$A, $C191) &gt; 0,_xlfn.XLOOKUP($C191,'Premade Flavors'!$A:$A,'Premade Flavors'!O:O),_xlfn.XLOOKUP("How Dense Should the Mix Ins Be?",[1]Sheet1!$1:$1,[1]Sheet1!191:191))</f>
        <v>0</v>
      </c>
      <c r="P191" s="45">
        <f>IF(COUNTIF('Premade Flavors'!$A:$A, $C191) &gt; 0,_xlfn.XLOOKUP($C191,'Premade Flavors'!$A:$A,'Premade Flavors'!P:P),_xlfn.XLOOKUP("How Much Of The First Sweetner? ",[1]Sheet1!$1:$1,[1]Sheet1!191:191))</f>
        <v>0</v>
      </c>
      <c r="Q191" s="45">
        <f>IF(COUNTIF('Premade Flavors'!$A:$A, $C191) &gt; 0,_xlfn.XLOOKUP($C191,'Premade Flavors'!$A:$A,'Premade Flavors'!Q:Q),[2]Sheet1!S191)</f>
        <v>0</v>
      </c>
      <c r="R191" s="30">
        <f>(_xlfn.XLOOKUP($L191,Specs!A:A,Specs!B:B,0)-(IF(_xlfn.XLOOKUP($F191,'Liquid Mix In Nutrition'!A:A,'Liquid Mix In Nutrition'!J:J,0)="Yes",0,$T191))-(IF(_xlfn.XLOOKUP($G191,'Liquid Mix In Nutrition'!A:A,'Liquid Mix In Nutrition'!J:J,0)="Yes",0,$U191))-(($V191/MAX(1,_xlfn.XLOOKUP($H191,'Solid Mix In Nutrition'!A:A,'Solid Mix In Nutrition'!I:I,1)))*240)-(($W191/MAX(1,_xlfn.XLOOKUP($I191,'Solid Mix In Nutrition'!A:A,'Solid Mix In Nutrition'!I:I,1)))*240))*0.66</f>
        <v>0</v>
      </c>
      <c r="S191" s="30">
        <f>(_xlfn.XLOOKUP($L191,Specs!A:A,Specs!B:B,0)-(IF(_xlfn.XLOOKUP($F191,'Liquid Mix In Nutrition'!A:A,'Liquid Mix In Nutrition'!J:J,0)="Yes",0,$T191))-(IF(_xlfn.XLOOKUP($G191,'Liquid Mix In Nutrition'!A:A,'Liquid Mix In Nutrition'!J:J,0)="Yes",0,$U191))-(($V191/MAX(1,_xlfn.XLOOKUP($H191,'Solid Mix In Nutrition'!A:A,'Solid Mix In Nutrition'!I:I,1)))*240)-(($W191/MAX(1,_xlfn.XLOOKUP($I191,'Solid Mix In Nutrition'!A:A,'Solid Mix In Nutrition'!I:I,1)))*240))*0.33</f>
        <v>0</v>
      </c>
      <c r="T191" s="30">
        <f>_xlfn.XLOOKUP($M191,Specs!$D:$D,Specs!$E:$E,0)*15*_xlfn.XLOOKUP($L191,Specs!$A:$A,Specs!$C:$C,0)</f>
        <v>0</v>
      </c>
      <c r="U191" s="30">
        <f>_xlfn.XLOOKUP($N191,Specs!$D:$D,Specs!$E:$E,0)*15*_xlfn.XLOOKUP($L191,Specs!$A:$A,Specs!$C:$C,0)</f>
        <v>0</v>
      </c>
      <c r="V191" s="30">
        <f>( ((_xlfn.XLOOKUP($O191,Specs!$H:$H,Specs!$I:$I,0)*_xlfn.XLOOKUP($L191,Specs!$A:$A,Specs!$B:$B,0))/240) *_xlfn.XLOOKUP($H191,'Solid Mix In Nutrition'!A:A,'Solid Mix In Nutrition'!I:I,0)) *IF(AND(NOT($I191=0), COUNTA($I191)),0.5,1)</f>
        <v>0</v>
      </c>
      <c r="W191" s="30">
        <f>( ((_xlfn.XLOOKUP($O191,Specs!$H:$H,Specs!$I:$I,0)*_xlfn.XLOOKUP($L191,Specs!$A:$A,Specs!$B:$B,0))/240) *_xlfn.XLOOKUP($I191,'Solid Mix In Nutrition'!A:A,'Solid Mix In Nutrition'!I:I,0)) *IF(AND(NOT($I191=0), COUNTA($I191)),0.5,0)</f>
        <v>0</v>
      </c>
      <c r="X191" s="30">
        <f>_xlfn.XLOOKUP($P191,Specs!F:F,Specs!G:G,0)*_xlfn.XLOOKUP($J191,'Sweetener Mix In Nutrition'!A:A,'Sweetener Mix In Nutrition'!I:I,0)*_xlfn.XLOOKUP($L191,Specs!A:A,Specs!C:C,0)</f>
        <v>0</v>
      </c>
      <c r="Y191" s="30">
        <f>_xlfn.XLOOKUP($Q191,Specs!F:F,Specs!G:G,0)*_xlfn.XLOOKUP($K191,'Sweetener Mix In Nutrition'!A:A,'Sweetener Mix In Nutrition'!I:I,0)*_xlfn.XLOOKUP($L191,Specs!A:A,Specs!C:C,0)</f>
        <v>0</v>
      </c>
      <c r="Z191" s="34">
        <f t="shared" si="6"/>
        <v>0</v>
      </c>
      <c r="AA191" s="35">
        <f t="shared" si="7"/>
        <v>0</v>
      </c>
      <c r="AB191" s="36">
        <f>(($R191 / 240) * _xlfn.XLOOKUP($D191,'Milk Types Nutrition Per Cup'!A:A,'Milk Types Nutrition Per Cup'!B:B,0)) +(($S191 / 240)  * _xlfn.XLOOKUP($E191,'Milk Types Nutrition Per Cup'!A:A,'Milk Types Nutrition Per Cup'!B:B,0)) +(($T191 / 15)  * _xlfn.XLOOKUP($F191,'Liquid Mix In Nutrition'!A:A,'Liquid Mix In Nutrition'!B:B,0))+(($U191 / 15)  * _xlfn.XLOOKUP($G191,'Liquid Mix In Nutrition'!A:A,'Liquid Mix In Nutrition'!B:B,0))+(($V191 /MAX(1, _xlfn.XLOOKUP($H191,'Solid Mix In Nutrition'!A:A,'Solid Mix In Nutrition'!I:I,1)))  * _xlfn.XLOOKUP($H191,'Solid Mix In Nutrition'!A:A,'Solid Mix In Nutrition'!B:B,0))+(($W191 / MAX(1, _xlfn.XLOOKUP($I191,'Solid Mix In Nutrition'!A:A,'Solid Mix In Nutrition'!I:I,1))))+(($X191 / 100)  * _xlfn.XLOOKUP($J191,'Sweetener Mix In Nutrition'!A:A,'Sweetener Mix In Nutrition'!B:B,0))+(($Y191 / 100)  * _xlfn.XLOOKUP($K191,'Sweetener Mix In Nutrition'!A:A,'Sweetener Mix In Nutrition'!B:B,0))</f>
        <v>0</v>
      </c>
      <c r="AC191" s="36">
        <f>(($R191 / 240) * _xlfn.XLOOKUP($D191,'Milk Types Nutrition Per Cup'!A:A,'Milk Types Nutrition Per Cup'!E:E,0)) +(($S191 / 240)  * _xlfn.XLOOKUP($E191,'Milk Types Nutrition Per Cup'!A:A,'Milk Types Nutrition Per Cup'!E:E,0)) +(($T191 / 15)  * _xlfn.XLOOKUP($F191,'Liquid Mix In Nutrition'!A:A,'Liquid Mix In Nutrition'!E:E,0)) +(($U191 / 15)  * _xlfn.XLOOKUP($G191,'Liquid Mix In Nutrition'!A:A,'Liquid Mix In Nutrition'!E:E,0))+(($V191 / MAX(1, _xlfn.XLOOKUP($H191,'Solid Mix In Nutrition'!A:A,'Solid Mix In Nutrition'!I:I,1)))  * _xlfn.XLOOKUP($H191,'Solid Mix In Nutrition'!A:A,'Solid Mix In Nutrition'!E:E,0))+(($W191 / MAX(1, _xlfn.XLOOKUP($I191,'Solid Mix In Nutrition'!A:A,'Solid Mix In Nutrition'!I:I,1)))  * _xlfn.XLOOKUP($I191,'Solid Mix In Nutrition'!A:A,'Solid Mix In Nutrition'!G:G,0))+(($X191 / 100)  * _xlfn.XLOOKUP($J191,'Sweetener Mix In Nutrition'!A:A,'Sweetener Mix In Nutrition'!E:E,0))+(($Y191 / 100)  * _xlfn.XLOOKUP($K191,'Sweetener Mix In Nutrition'!A:A,'Sweetener Mix In Nutrition'!E:E,0))</f>
        <v>0</v>
      </c>
      <c r="AD191" s="36">
        <f>(($R191 / 240) * _xlfn.XLOOKUP($D191,'Milk Types Nutrition Per Cup'!A:A,'Milk Types Nutrition Per Cup'!E:E,0)) +(($S191 / 240)  * _xlfn.XLOOKUP($E191,'Milk Types Nutrition Per Cup'!A:A,'Milk Types Nutrition Per Cup'!E:E,0)) +(($T191 / 15)  * _xlfn.XLOOKUP($F191,'Liquid Mix In Nutrition'!A:A,'Liquid Mix In Nutrition'!E:E,0)) +(($U191 / 15)  * _xlfn.XLOOKUP($G191,'Liquid Mix In Nutrition'!A:A,'Liquid Mix In Nutrition'!E:E,0))+(($X191 / 100)  * _xlfn.XLOOKUP($J191,'Sweetener Mix In Nutrition'!A:A,'Sweetener Mix In Nutrition'!E:E,0))+(($Y191 / 100)  * _xlfn.XLOOKUP($K191,'Sweetener Mix In Nutrition'!A:A,'Sweetener Mix In Nutrition'!E:E,0))</f>
        <v>0</v>
      </c>
      <c r="AE191" s="37">
        <f>(($R191 / 240) * _xlfn.XLOOKUP($D191,'Milk Types Nutrition Per Cup'!A:A,'Milk Types Nutrition Per Cup'!C:C,0)) +(($S191 / 240)  * _xlfn.XLOOKUP($E191,'Milk Types Nutrition Per Cup'!A:A,'Milk Types Nutrition Per Cup'!C:C,0)) +(($T191 / 15)  * _xlfn.XLOOKUP($F191,'Liquid Mix In Nutrition'!A:A,'Liquid Mix In Nutrition'!C:C,0))+(($U191 / 15)  * _xlfn.XLOOKUP($G191,'Liquid Mix In Nutrition'!A:A,'Liquid Mix In Nutrition'!C:C,0))+(($V191 / MAX(1, _xlfn.XLOOKUP($H191,'Solid Mix In Nutrition'!A:A,'Solid Mix In Nutrition'!I:I,1)))  * _xlfn.XLOOKUP($H191,'Solid Mix In Nutrition'!A:A,'Solid Mix In Nutrition'!C:C,0))+(($W191 / MAX(1, _xlfn.XLOOKUP($I191,'Solid Mix In Nutrition'!A:A,'Solid Mix In Nutrition'!I:I,1)))  * _xlfn.XLOOKUP($I191,'Solid Mix In Nutrition'!A:A,'Solid Mix In Nutrition'!C:C,0))+(($X191 / 100)  * _xlfn.XLOOKUP($J191,'Sweetener Mix In Nutrition'!A:A,'Sweetener Mix In Nutrition'!C:C,0))+(($Y191 / 100)  * _xlfn.XLOOKUP($K191,'Sweetener Mix In Nutrition'!A:A,'Sweetener Mix In Nutrition'!C:C,0))</f>
        <v>0</v>
      </c>
      <c r="AF191" s="38" t="e">
        <f>$AE191 / (_xlfn.XLOOKUP($L191,Specs!A:A,Specs!B:B,0))</f>
        <v>#DIV/0!</v>
      </c>
      <c r="AG191" s="37" t="e">
        <f>60* ($AB191 / _xlfn.XLOOKUP($L191,Specs!A:A,Specs!B:B,0))</f>
        <v>#DIV/0!</v>
      </c>
      <c r="AH191" s="37" t="e">
        <f>60* (AC191 / _xlfn.XLOOKUP($L191,Specs!$A:$A,Specs!$B:$B,0))</f>
        <v>#DIV/0!</v>
      </c>
      <c r="AI191" s="37" t="e">
        <f>60* (AE191 / _xlfn.XLOOKUP($L191,Specs!$A:$A,Specs!$B:$B,0))</f>
        <v>#DIV/0!</v>
      </c>
      <c r="AJ191" s="39">
        <f>(($R191 / 240) * _xlfn.XLOOKUP($D191,'Milk Types Nutrition Per Cup'!A:A,'Milk Types Nutrition Per Cup'!F:F,0)) +(($S191 / 240)  * _xlfn.XLOOKUP($E191,'Milk Types Nutrition Per Cup'!A:A,'Milk Types Nutrition Per Cup'!F:F,0)) +(($T191 / 15)  * _xlfn.XLOOKUP($F191,'Liquid Mix In Nutrition'!A:A,'Liquid Mix In Nutrition'!F:F,0))+(($U191 / 15)  * _xlfn.XLOOKUP($G191,'Liquid Mix In Nutrition'!A:A,'Liquid Mix In Nutrition'!F:F,0))+(($V191 / MAX(1, _xlfn.XLOOKUP($H191,'Solid Mix In Nutrition'!A:A,'Solid Mix In Nutrition'!I:I,1)))  * _xlfn.XLOOKUP($H191,'Solid Mix In Nutrition'!A:A,'Solid Mix In Nutrition'!F:F,0))+(($W191 / MAX(1, _xlfn.XLOOKUP($I191,'Solid Mix In Nutrition'!A:A,'Solid Mix In Nutrition'!I:I,1)))  * _xlfn.XLOOKUP($I191,'Solid Mix In Nutrition'!A:A,'Solid Mix In Nutrition'!F:F,0))+(($X191 / 100)  * _xlfn.XLOOKUP($J191,'Sweetener Mix In Nutrition'!A:A,'Sweetener Mix In Nutrition'!F:F,0))+(($Y191 / 100)  * _xlfn.XLOOKUP($K191,'Sweetener Mix In Nutrition'!A:A,'Sweetener Mix In Nutrition'!F:F,0))</f>
        <v>0</v>
      </c>
      <c r="AK191" s="46">
        <f>[2]Sheet1!AG191</f>
        <v>0</v>
      </c>
      <c r="AL191" s="47"/>
      <c r="AM191" s="40">
        <f>IF(ISERROR(((AL191/Specs!$L$3)*Specs!$L$2)*2),0,ROUNDUP((((AL191/Specs!$L$3)*Specs!$L$2)*2),0))</f>
        <v>0</v>
      </c>
      <c r="AN191" s="48">
        <f>ROUNDUP(((AJ191+Specs!$R$2+Specs!$S$2+_xlfn.XLOOKUP($L191,Specs!A:A,Specs!V:V,0))*Specs!$N$2)+AM191,0)</f>
        <v>1</v>
      </c>
      <c r="AO191" s="40">
        <f>ROUNDUP(((AJ191+Specs!$R$2+Specs!$S$2+_xlfn.XLOOKUP($L191,Specs!A:A,Specs!V:V,0))*Specs!$N$2),0)</f>
        <v>1</v>
      </c>
      <c r="AP191" s="30"/>
    </row>
    <row r="192" spans="1:42" x14ac:dyDescent="0.25">
      <c r="A192" s="41" t="str">
        <f>_xlfn.CONCAT(_xlfn.XLOOKUP("What's Your Name?",[1]Sheet1!$1:$1,[1]Sheet1!192:192)," | ",TEXT(_xlfn.XLOOKUP("Completion time",[1]Sheet1!$1:$1,[1]Sheet1!192:192),"dddd, mmm dd, yyyy hh:mm AM/PM"))</f>
        <v xml:space="preserve"> | Saturday, Jan 00, 1900 12:00 AM</v>
      </c>
      <c r="B192" s="76">
        <f>_xlfn.XLOOKUP("What's Your Email Address?",[1]Sheet1!$1:$1,[1]Sheet1!192:192)</f>
        <v>0</v>
      </c>
      <c r="C192" s="31">
        <f>IF(ISBLANK(_xlfn.XLOOKUP("Which Flavor? (Pint Price | Quart Price | Half Gallon Price) (NOTE: Prices may fluctuate based on market conditions)",[1]Sheet1!$1:$1,[1]Sheet1!192:192)),_xlfn.XLOOKUP("Name Your Ice Cream!",[1]Sheet1!$1:$1,[1]Sheet1!192:192),IF(ISNUMBER(FIND("(", _xlfn.XLOOKUP("Which Flavor? (Pint Price | Quart Price | Half Gallon Price) (NOTE: Prices may fluctuate based on market conditions)",[1]Sheet1!$1:$1,[1]Sheet1!192:192))), LEFT(_xlfn.XLOOKUP("Which Flavor? (Pint Price | Quart Price | Half Gallon Price) (NOTE: Prices may fluctuate based on market conditions)",[1]Sheet1!$1:$1,[1]Sheet1!192:192), FIND("(", _xlfn.XLOOKUP("Which Flavor? (Pint Price | Quart Price | Half Gallon Price) (NOTE: Prices may fluctuate based on market conditions)",[1]Sheet1!$1:$1,[1]Sheet1!192:192)) - 1), _xlfn.XLOOKUP("Which Flavor? (Pint Price | Quart Price | Half Gallon Price) (NOTE: Prices may fluctuate based on market conditions)",[1]Sheet1!$1:$1,[1]Sheet1!192:192)))</f>
        <v>0</v>
      </c>
      <c r="D192" s="31">
        <f>IF(COUNTIF('Premade Flavors'!$A:$A, $C192) &gt; 0,IF(ISBLANK(_xlfn.XLOOKUP("What Ice Cream Base Do You Want To Change It To?",[1]Sheet1!$1:$1,[1]Sheet1!192:192)),_xlfn.XLOOKUP($C192,'Premade Flavors'!$A:$A,'Premade Flavors'!B:B),_xlfn.XLOOKUP("What Ice Cream Base Do You Want To Change It To?",[1]Sheet1!$1:$1,[1]Sheet1!192:192)),_xlfn.XLOOKUP(_xlfn.XLOOKUP("What Kind Of Ice Cream Base Do You Want? ",[1]Sheet1!$1:$1,[1]Sheet1!192:192),'Milk Types Nutrition Per Cup'!O:O,'Milk Types Nutrition Per Cup'!P:P,""))</f>
        <v>0</v>
      </c>
      <c r="E192" s="31">
        <f>IF(COUNTIF('Premade Flavors'!$A:$A, $C192) &gt; 0,IF(ISBLANK(_xlfn.XLOOKUP("What Ice Cream Base Do You Want To Change It To?",[1]Sheet1!$1:$1,[1]Sheet1!192:192)),_xlfn.XLOOKUP($C192,'Premade Flavors'!$A:$A,'Premade Flavors'!C:C),_xlfn.XLOOKUP("What Ice Cream Base Do You Want To Change It To?",[1]Sheet1!$1:$1,[1]Sheet1!192:192)),_xlfn.XLOOKUP(_xlfn.XLOOKUP("What Kind Of Ice Cream Base Do You Want? ",[1]Sheet1!$1:$1,[1]Sheet1!192:192),'Milk Types Nutrition Per Cup'!$O:$O,'Milk Types Nutrition Per Cup'!$Q:$Q,""))</f>
        <v>0</v>
      </c>
      <c r="F192" s="31">
        <f>IF(COUNTIF('Premade Flavors'!$A:$A, $C192) &gt; 0,_xlfn.XLOOKUP($C192,'Premade Flavors'!$A:$A,'Premade Flavors'!E:E),_xlfn.XLOOKUP("What's The First Flavor You Want? ",[1]Sheet1!$1:$1,[1]Sheet1!192:192))</f>
        <v>0</v>
      </c>
      <c r="G192" s="31">
        <f>IF(COUNTIF('Premade Flavors'!$A:$A, $C192) &gt; 0,_xlfn.XLOOKUP($C192,'Premade Flavors'!$A:$A,'Premade Flavors'!F:F),_xlfn.XLOOKUP("What's the Second Flavor You Want?",[1]Sheet1!$1:$1,[1]Sheet1!192:192))</f>
        <v>0</v>
      </c>
      <c r="H192" s="31">
        <f>IF(COUNTIF('Premade Flavors'!$A:$A, $C192) &gt; 0,_xlfn.XLOOKUP($C192,'Premade Flavors'!$A:$A,'Premade Flavors'!G:G),_xlfn.XLOOKUP("What's The First Mix In That You Want? ",[1]Sheet1!$1:$1,[1]Sheet1!192:192))</f>
        <v>0</v>
      </c>
      <c r="I192" s="31">
        <f>IF(COUNTIF('Premade Flavors'!$A:$A, $C190) &gt; 0,_xlfn.XLOOKUP($C190,'Premade Flavors'!$A:$A,'Premade Flavors'!H:H),IF([2]Sheet1!W190= 0,,[2]Sheet1!W190))</f>
        <v>0</v>
      </c>
      <c r="J192" s="31">
        <f>IF(COUNTIF('Premade Flavors'!$A:$A,$C192)&gt;0,IF(_xlfn.XLOOKUP("Should It Use Sugar or A Non-Sugar Sweetner?",[1]Sheet1!$1:$1,[1]Sheet1!192:192)="Sugar",_xlfn.XLOOKUP($C192,'Premade Flavors'!$A:$A,'Premade Flavors'!I:I),"Stevia"),_xlfn.XLOOKUP("What Sweetner Do You Want?",[1]Sheet1!$1:$1,[1]Sheet1!192:192))</f>
        <v>0</v>
      </c>
      <c r="K192" s="31"/>
      <c r="L192" s="77">
        <f>_xlfn.XLOOKUP("How Much Ice Cream Do You Want?",[1]Sheet1!$1:$1,[1]Sheet1!192:192)</f>
        <v>0</v>
      </c>
      <c r="M192" s="45">
        <f>IF(COUNTIF('Premade Flavors'!$A:$A, $C192) &gt; 0,_xlfn.XLOOKUP($C192,'Premade Flavors'!$A:$A,'Premade Flavors'!M:M),_xlfn.XLOOKUP("How Strong Do You Want The First Flavor?",[1]Sheet1!$1:$1,[1]Sheet1!192:192))</f>
        <v>0</v>
      </c>
      <c r="N192" s="45">
        <f>IF(COUNTIF('Premade Flavors'!$A:$A, $C192) &gt; 0,_xlfn.XLOOKUP($C192,'Premade Flavors'!$A:$A,'Premade Flavors'!N:N),_xlfn.XLOOKUP("How Strong Do You Want The Second Flavor?",[1]Sheet1!$1:$1,[1]Sheet1!192:192))</f>
        <v>0</v>
      </c>
      <c r="O192" s="45">
        <f>IF(COUNTIF('Premade Flavors'!$A:$A, $C192) &gt; 0,_xlfn.XLOOKUP($C192,'Premade Flavors'!$A:$A,'Premade Flavors'!O:O),_xlfn.XLOOKUP("How Dense Should the Mix Ins Be?",[1]Sheet1!$1:$1,[1]Sheet1!192:192))</f>
        <v>0</v>
      </c>
      <c r="P192" s="45">
        <f>IF(COUNTIF('Premade Flavors'!$A:$A, $C192) &gt; 0,_xlfn.XLOOKUP($C192,'Premade Flavors'!$A:$A,'Premade Flavors'!P:P),_xlfn.XLOOKUP("How Much Of The First Sweetner? ",[1]Sheet1!$1:$1,[1]Sheet1!192:192))</f>
        <v>0</v>
      </c>
      <c r="Q192" s="45">
        <f>IF(COUNTIF('Premade Flavors'!$A:$A, $C192) &gt; 0,_xlfn.XLOOKUP($C192,'Premade Flavors'!$A:$A,'Premade Flavors'!Q:Q),[2]Sheet1!S192)</f>
        <v>0</v>
      </c>
      <c r="R192" s="30">
        <f>(_xlfn.XLOOKUP($L192,Specs!A:A,Specs!B:B,0)-(IF(_xlfn.XLOOKUP($F192,'Liquid Mix In Nutrition'!A:A,'Liquid Mix In Nutrition'!J:J,0)="Yes",0,$T192))-(IF(_xlfn.XLOOKUP($G192,'Liquid Mix In Nutrition'!A:A,'Liquid Mix In Nutrition'!J:J,0)="Yes",0,$U192))-(($V192/MAX(1,_xlfn.XLOOKUP($H192,'Solid Mix In Nutrition'!A:A,'Solid Mix In Nutrition'!I:I,1)))*240)-(($W192/MAX(1,_xlfn.XLOOKUP($I192,'Solid Mix In Nutrition'!A:A,'Solid Mix In Nutrition'!I:I,1)))*240))*0.66</f>
        <v>0</v>
      </c>
      <c r="S192" s="30">
        <f>(_xlfn.XLOOKUP($L192,Specs!A:A,Specs!B:B,0)-(IF(_xlfn.XLOOKUP($F192,'Liquid Mix In Nutrition'!A:A,'Liquid Mix In Nutrition'!J:J,0)="Yes",0,$T192))-(IF(_xlfn.XLOOKUP($G192,'Liquid Mix In Nutrition'!A:A,'Liquid Mix In Nutrition'!J:J,0)="Yes",0,$U192))-(($V192/MAX(1,_xlfn.XLOOKUP($H192,'Solid Mix In Nutrition'!A:A,'Solid Mix In Nutrition'!I:I,1)))*240)-(($W192/MAX(1,_xlfn.XLOOKUP($I192,'Solid Mix In Nutrition'!A:A,'Solid Mix In Nutrition'!I:I,1)))*240))*0.33</f>
        <v>0</v>
      </c>
      <c r="T192" s="30">
        <f>_xlfn.XLOOKUP($M192,Specs!$D:$D,Specs!$E:$E,0)*15*_xlfn.XLOOKUP($L192,Specs!$A:$A,Specs!$C:$C,0)</f>
        <v>0</v>
      </c>
      <c r="U192" s="30">
        <f>_xlfn.XLOOKUP($N192,Specs!$D:$D,Specs!$E:$E,0)*15*_xlfn.XLOOKUP($L192,Specs!$A:$A,Specs!$C:$C,0)</f>
        <v>0</v>
      </c>
      <c r="V192" s="30">
        <f>( ((_xlfn.XLOOKUP($O192,Specs!$H:$H,Specs!$I:$I,0)*_xlfn.XLOOKUP($L192,Specs!$A:$A,Specs!$B:$B,0))/240) *_xlfn.XLOOKUP($H192,'Solid Mix In Nutrition'!A:A,'Solid Mix In Nutrition'!I:I,0)) *IF(AND(NOT($I192=0), COUNTA($I192)),0.5,1)</f>
        <v>0</v>
      </c>
      <c r="W192" s="30">
        <f>( ((_xlfn.XLOOKUP($O192,Specs!$H:$H,Specs!$I:$I,0)*_xlfn.XLOOKUP($L192,Specs!$A:$A,Specs!$B:$B,0))/240) *_xlfn.XLOOKUP($I192,'Solid Mix In Nutrition'!A:A,'Solid Mix In Nutrition'!I:I,0)) *IF(AND(NOT($I192=0), COUNTA($I192)),0.5,0)</f>
        <v>0</v>
      </c>
      <c r="X192" s="30">
        <f>_xlfn.XLOOKUP($P192,Specs!F:F,Specs!G:G,0)*_xlfn.XLOOKUP($J192,'Sweetener Mix In Nutrition'!A:A,'Sweetener Mix In Nutrition'!I:I,0)*_xlfn.XLOOKUP($L192,Specs!A:A,Specs!C:C,0)</f>
        <v>0</v>
      </c>
      <c r="Y192" s="30">
        <f>_xlfn.XLOOKUP($Q192,Specs!F:F,Specs!G:G,0)*_xlfn.XLOOKUP($K192,'Sweetener Mix In Nutrition'!A:A,'Sweetener Mix In Nutrition'!I:I,0)*_xlfn.XLOOKUP($L192,Specs!A:A,Specs!C:C,0)</f>
        <v>0</v>
      </c>
      <c r="Z192" s="34">
        <f t="shared" si="6"/>
        <v>0</v>
      </c>
      <c r="AA192" s="35">
        <f t="shared" si="7"/>
        <v>0</v>
      </c>
      <c r="AB192" s="36">
        <f>(($R192 / 240) * _xlfn.XLOOKUP($D192,'Milk Types Nutrition Per Cup'!A:A,'Milk Types Nutrition Per Cup'!B:B,0)) +(($S192 / 240)  * _xlfn.XLOOKUP($E192,'Milk Types Nutrition Per Cup'!A:A,'Milk Types Nutrition Per Cup'!B:B,0)) +(($T192 / 15)  * _xlfn.XLOOKUP($F192,'Liquid Mix In Nutrition'!A:A,'Liquid Mix In Nutrition'!B:B,0))+(($U192 / 15)  * _xlfn.XLOOKUP($G192,'Liquid Mix In Nutrition'!A:A,'Liquid Mix In Nutrition'!B:B,0))+(($V192 /MAX(1, _xlfn.XLOOKUP($H192,'Solid Mix In Nutrition'!A:A,'Solid Mix In Nutrition'!I:I,1)))  * _xlfn.XLOOKUP($H192,'Solid Mix In Nutrition'!A:A,'Solid Mix In Nutrition'!B:B,0))+(($W192 / MAX(1, _xlfn.XLOOKUP($I192,'Solid Mix In Nutrition'!A:A,'Solid Mix In Nutrition'!I:I,1))))+(($X192 / 100)  * _xlfn.XLOOKUP($J192,'Sweetener Mix In Nutrition'!A:A,'Sweetener Mix In Nutrition'!B:B,0))+(($Y192 / 100)  * _xlfn.XLOOKUP($K192,'Sweetener Mix In Nutrition'!A:A,'Sweetener Mix In Nutrition'!B:B,0))</f>
        <v>0</v>
      </c>
      <c r="AC192" s="36">
        <f>(($R192 / 240) * _xlfn.XLOOKUP($D192,'Milk Types Nutrition Per Cup'!A:A,'Milk Types Nutrition Per Cup'!E:E,0)) +(($S192 / 240)  * _xlfn.XLOOKUP($E192,'Milk Types Nutrition Per Cup'!A:A,'Milk Types Nutrition Per Cup'!E:E,0)) +(($T192 / 15)  * _xlfn.XLOOKUP($F192,'Liquid Mix In Nutrition'!A:A,'Liquid Mix In Nutrition'!E:E,0)) +(($U192 / 15)  * _xlfn.XLOOKUP($G192,'Liquid Mix In Nutrition'!A:A,'Liquid Mix In Nutrition'!E:E,0))+(($V192 / MAX(1, _xlfn.XLOOKUP($H192,'Solid Mix In Nutrition'!A:A,'Solid Mix In Nutrition'!I:I,1)))  * _xlfn.XLOOKUP($H192,'Solid Mix In Nutrition'!A:A,'Solid Mix In Nutrition'!E:E,0))+(($W192 / MAX(1, _xlfn.XLOOKUP($I192,'Solid Mix In Nutrition'!A:A,'Solid Mix In Nutrition'!I:I,1)))  * _xlfn.XLOOKUP($I192,'Solid Mix In Nutrition'!A:A,'Solid Mix In Nutrition'!G:G,0))+(($X192 / 100)  * _xlfn.XLOOKUP($J192,'Sweetener Mix In Nutrition'!A:A,'Sweetener Mix In Nutrition'!E:E,0))+(($Y192 / 100)  * _xlfn.XLOOKUP($K192,'Sweetener Mix In Nutrition'!A:A,'Sweetener Mix In Nutrition'!E:E,0))</f>
        <v>0</v>
      </c>
      <c r="AD192" s="36">
        <f>(($R192 / 240) * _xlfn.XLOOKUP($D192,'Milk Types Nutrition Per Cup'!A:A,'Milk Types Nutrition Per Cup'!E:E,0)) +(($S192 / 240)  * _xlfn.XLOOKUP($E192,'Milk Types Nutrition Per Cup'!A:A,'Milk Types Nutrition Per Cup'!E:E,0)) +(($T192 / 15)  * _xlfn.XLOOKUP($F192,'Liquid Mix In Nutrition'!A:A,'Liquid Mix In Nutrition'!E:E,0)) +(($U192 / 15)  * _xlfn.XLOOKUP($G192,'Liquid Mix In Nutrition'!A:A,'Liquid Mix In Nutrition'!E:E,0))+(($X192 / 100)  * _xlfn.XLOOKUP($J192,'Sweetener Mix In Nutrition'!A:A,'Sweetener Mix In Nutrition'!E:E,0))+(($Y192 / 100)  * _xlfn.XLOOKUP($K192,'Sweetener Mix In Nutrition'!A:A,'Sweetener Mix In Nutrition'!E:E,0))</f>
        <v>0</v>
      </c>
      <c r="AE192" s="37">
        <f>(($R192 / 240) * _xlfn.XLOOKUP($D192,'Milk Types Nutrition Per Cup'!A:A,'Milk Types Nutrition Per Cup'!C:C,0)) +(($S192 / 240)  * _xlfn.XLOOKUP($E192,'Milk Types Nutrition Per Cup'!A:A,'Milk Types Nutrition Per Cup'!C:C,0)) +(($T192 / 15)  * _xlfn.XLOOKUP($F192,'Liquid Mix In Nutrition'!A:A,'Liquid Mix In Nutrition'!C:C,0))+(($U192 / 15)  * _xlfn.XLOOKUP($G192,'Liquid Mix In Nutrition'!A:A,'Liquid Mix In Nutrition'!C:C,0))+(($V192 / MAX(1, _xlfn.XLOOKUP($H192,'Solid Mix In Nutrition'!A:A,'Solid Mix In Nutrition'!I:I,1)))  * _xlfn.XLOOKUP($H192,'Solid Mix In Nutrition'!A:A,'Solid Mix In Nutrition'!C:C,0))+(($W192 / MAX(1, _xlfn.XLOOKUP($I192,'Solid Mix In Nutrition'!A:A,'Solid Mix In Nutrition'!I:I,1)))  * _xlfn.XLOOKUP($I192,'Solid Mix In Nutrition'!A:A,'Solid Mix In Nutrition'!C:C,0))+(($X192 / 100)  * _xlfn.XLOOKUP($J192,'Sweetener Mix In Nutrition'!A:A,'Sweetener Mix In Nutrition'!C:C,0))+(($Y192 / 100)  * _xlfn.XLOOKUP($K192,'Sweetener Mix In Nutrition'!A:A,'Sweetener Mix In Nutrition'!C:C,0))</f>
        <v>0</v>
      </c>
      <c r="AF192" s="38" t="e">
        <f>$AE192 / (_xlfn.XLOOKUP($L192,Specs!A:A,Specs!B:B,0))</f>
        <v>#DIV/0!</v>
      </c>
      <c r="AG192" s="37" t="e">
        <f>60* ($AB192 / _xlfn.XLOOKUP($L192,Specs!A:A,Specs!B:B,0))</f>
        <v>#DIV/0!</v>
      </c>
      <c r="AH192" s="37" t="e">
        <f>60* (AC192 / _xlfn.XLOOKUP($L192,Specs!$A:$A,Specs!$B:$B,0))</f>
        <v>#DIV/0!</v>
      </c>
      <c r="AI192" s="37" t="e">
        <f>60* (AE192 / _xlfn.XLOOKUP($L192,Specs!$A:$A,Specs!$B:$B,0))</f>
        <v>#DIV/0!</v>
      </c>
      <c r="AJ192" s="39">
        <f>(($R192 / 240) * _xlfn.XLOOKUP($D192,'Milk Types Nutrition Per Cup'!A:A,'Milk Types Nutrition Per Cup'!F:F,0)) +(($S192 / 240)  * _xlfn.XLOOKUP($E192,'Milk Types Nutrition Per Cup'!A:A,'Milk Types Nutrition Per Cup'!F:F,0)) +(($T192 / 15)  * _xlfn.XLOOKUP($F192,'Liquid Mix In Nutrition'!A:A,'Liquid Mix In Nutrition'!F:F,0))+(($U192 / 15)  * _xlfn.XLOOKUP($G192,'Liquid Mix In Nutrition'!A:A,'Liquid Mix In Nutrition'!F:F,0))+(($V192 / MAX(1, _xlfn.XLOOKUP($H192,'Solid Mix In Nutrition'!A:A,'Solid Mix In Nutrition'!I:I,1)))  * _xlfn.XLOOKUP($H192,'Solid Mix In Nutrition'!A:A,'Solid Mix In Nutrition'!F:F,0))+(($W192 / MAX(1, _xlfn.XLOOKUP($I192,'Solid Mix In Nutrition'!A:A,'Solid Mix In Nutrition'!I:I,1)))  * _xlfn.XLOOKUP($I192,'Solid Mix In Nutrition'!A:A,'Solid Mix In Nutrition'!F:F,0))+(($X192 / 100)  * _xlfn.XLOOKUP($J192,'Sweetener Mix In Nutrition'!A:A,'Sweetener Mix In Nutrition'!F:F,0))+(($Y192 / 100)  * _xlfn.XLOOKUP($K192,'Sweetener Mix In Nutrition'!A:A,'Sweetener Mix In Nutrition'!F:F,0))</f>
        <v>0</v>
      </c>
      <c r="AK192" s="46">
        <f>[2]Sheet1!AG192</f>
        <v>0</v>
      </c>
      <c r="AL192" s="47"/>
      <c r="AM192" s="40">
        <f>IF(ISERROR(((AL192/Specs!$L$3)*Specs!$L$2)*2),0,ROUNDUP((((AL192/Specs!$L$3)*Specs!$L$2)*2),0))</f>
        <v>0</v>
      </c>
      <c r="AN192" s="48">
        <f>ROUNDUP(((AJ192+Specs!$R$2+Specs!$S$2+_xlfn.XLOOKUP($L192,Specs!A:A,Specs!V:V,0))*Specs!$N$2)+AM192,0)</f>
        <v>1</v>
      </c>
      <c r="AO192" s="40">
        <f>ROUNDUP(((AJ192+Specs!$R$2+Specs!$S$2+_xlfn.XLOOKUP($L192,Specs!A:A,Specs!V:V,0))*Specs!$N$2),0)</f>
        <v>1</v>
      </c>
      <c r="AP192" s="30"/>
    </row>
    <row r="193" spans="1:42" x14ac:dyDescent="0.25">
      <c r="A193" s="41" t="str">
        <f>_xlfn.CONCAT(_xlfn.XLOOKUP("What's Your Name?",[1]Sheet1!$1:$1,[1]Sheet1!193:193)," | ",TEXT(_xlfn.XLOOKUP("Completion time",[1]Sheet1!$1:$1,[1]Sheet1!193:193),"dddd, mmm dd, yyyy hh:mm AM/PM"))</f>
        <v xml:space="preserve"> | Saturday, Jan 00, 1900 12:00 AM</v>
      </c>
      <c r="B193" s="76">
        <f>_xlfn.XLOOKUP("What's Your Email Address?",[1]Sheet1!$1:$1,[1]Sheet1!193:193)</f>
        <v>0</v>
      </c>
      <c r="C193" s="31">
        <f>IF(ISBLANK(_xlfn.XLOOKUP("Which Flavor? (Pint Price | Quart Price | Half Gallon Price) (NOTE: Prices may fluctuate based on market conditions)",[1]Sheet1!$1:$1,[1]Sheet1!193:193)),_xlfn.XLOOKUP("Name Your Ice Cream!",[1]Sheet1!$1:$1,[1]Sheet1!193:193),IF(ISNUMBER(FIND("(", _xlfn.XLOOKUP("Which Flavor? (Pint Price | Quart Price | Half Gallon Price) (NOTE: Prices may fluctuate based on market conditions)",[1]Sheet1!$1:$1,[1]Sheet1!193:193))), LEFT(_xlfn.XLOOKUP("Which Flavor? (Pint Price | Quart Price | Half Gallon Price) (NOTE: Prices may fluctuate based on market conditions)",[1]Sheet1!$1:$1,[1]Sheet1!193:193), FIND("(", _xlfn.XLOOKUP("Which Flavor? (Pint Price | Quart Price | Half Gallon Price) (NOTE: Prices may fluctuate based on market conditions)",[1]Sheet1!$1:$1,[1]Sheet1!193:193)) - 1), _xlfn.XLOOKUP("Which Flavor? (Pint Price | Quart Price | Half Gallon Price) (NOTE: Prices may fluctuate based on market conditions)",[1]Sheet1!$1:$1,[1]Sheet1!193:193)))</f>
        <v>0</v>
      </c>
      <c r="D193" s="31">
        <f>IF(COUNTIF('Premade Flavors'!$A:$A, $C193) &gt; 0,IF(ISBLANK(_xlfn.XLOOKUP("What Ice Cream Base Do You Want To Change It To?",[1]Sheet1!$1:$1,[1]Sheet1!193:193)),_xlfn.XLOOKUP($C193,'Premade Flavors'!$A:$A,'Premade Flavors'!B:B),_xlfn.XLOOKUP("What Ice Cream Base Do You Want To Change It To?",[1]Sheet1!$1:$1,[1]Sheet1!193:193)),_xlfn.XLOOKUP(_xlfn.XLOOKUP("What Kind Of Ice Cream Base Do You Want? ",[1]Sheet1!$1:$1,[1]Sheet1!193:193),'Milk Types Nutrition Per Cup'!O:O,'Milk Types Nutrition Per Cup'!P:P,""))</f>
        <v>0</v>
      </c>
      <c r="E193" s="31">
        <f>IF(COUNTIF('Premade Flavors'!$A:$A, $C193) &gt; 0,IF(ISBLANK(_xlfn.XLOOKUP("What Ice Cream Base Do You Want To Change It To?",[1]Sheet1!$1:$1,[1]Sheet1!193:193)),_xlfn.XLOOKUP($C193,'Premade Flavors'!$A:$A,'Premade Flavors'!C:C),_xlfn.XLOOKUP("What Ice Cream Base Do You Want To Change It To?",[1]Sheet1!$1:$1,[1]Sheet1!193:193)),_xlfn.XLOOKUP(_xlfn.XLOOKUP("What Kind Of Ice Cream Base Do You Want? ",[1]Sheet1!$1:$1,[1]Sheet1!193:193),'Milk Types Nutrition Per Cup'!$O:$O,'Milk Types Nutrition Per Cup'!$Q:$Q,""))</f>
        <v>0</v>
      </c>
      <c r="F193" s="31">
        <f>IF(COUNTIF('Premade Flavors'!$A:$A, $C193) &gt; 0,_xlfn.XLOOKUP($C193,'Premade Flavors'!$A:$A,'Premade Flavors'!E:E),_xlfn.XLOOKUP("What's The First Flavor You Want? ",[1]Sheet1!$1:$1,[1]Sheet1!193:193))</f>
        <v>0</v>
      </c>
      <c r="G193" s="31">
        <f>IF(COUNTIF('Premade Flavors'!$A:$A, $C193) &gt; 0,_xlfn.XLOOKUP($C193,'Premade Flavors'!$A:$A,'Premade Flavors'!F:F),_xlfn.XLOOKUP("What's the Second Flavor You Want?",[1]Sheet1!$1:$1,[1]Sheet1!193:193))</f>
        <v>0</v>
      </c>
      <c r="H193" s="31">
        <f>IF(COUNTIF('Premade Flavors'!$A:$A, $C193) &gt; 0,_xlfn.XLOOKUP($C193,'Premade Flavors'!$A:$A,'Premade Flavors'!G:G),_xlfn.XLOOKUP("What's The First Mix In That You Want? ",[1]Sheet1!$1:$1,[1]Sheet1!193:193))</f>
        <v>0</v>
      </c>
      <c r="I193" s="31">
        <f>IF(COUNTIF('Premade Flavors'!$A:$A, $C191) &gt; 0,_xlfn.XLOOKUP($C191,'Premade Flavors'!$A:$A,'Premade Flavors'!H:H),IF([2]Sheet1!W191= 0,,[2]Sheet1!W191))</f>
        <v>0</v>
      </c>
      <c r="J193" s="31">
        <f>IF(COUNTIF('Premade Flavors'!$A:$A,$C193)&gt;0,IF(_xlfn.XLOOKUP("Should It Use Sugar or A Non-Sugar Sweetner?",[1]Sheet1!$1:$1,[1]Sheet1!193:193)="Sugar",_xlfn.XLOOKUP($C193,'Premade Flavors'!$A:$A,'Premade Flavors'!I:I),"Stevia"),_xlfn.XLOOKUP("What Sweetner Do You Want?",[1]Sheet1!$1:$1,[1]Sheet1!193:193))</f>
        <v>0</v>
      </c>
      <c r="K193" s="31"/>
      <c r="L193" s="77">
        <f>_xlfn.XLOOKUP("How Much Ice Cream Do You Want?",[1]Sheet1!$1:$1,[1]Sheet1!193:193)</f>
        <v>0</v>
      </c>
      <c r="M193" s="45">
        <f>IF(COUNTIF('Premade Flavors'!$A:$A, $C193) &gt; 0,_xlfn.XLOOKUP($C193,'Premade Flavors'!$A:$A,'Premade Flavors'!M:M),_xlfn.XLOOKUP("How Strong Do You Want The First Flavor?",[1]Sheet1!$1:$1,[1]Sheet1!193:193))</f>
        <v>0</v>
      </c>
      <c r="N193" s="45">
        <f>IF(COUNTIF('Premade Flavors'!$A:$A, $C193) &gt; 0,_xlfn.XLOOKUP($C193,'Premade Flavors'!$A:$A,'Premade Flavors'!N:N),_xlfn.XLOOKUP("How Strong Do You Want The Second Flavor?",[1]Sheet1!$1:$1,[1]Sheet1!193:193))</f>
        <v>0</v>
      </c>
      <c r="O193" s="45">
        <f>IF(COUNTIF('Premade Flavors'!$A:$A, $C193) &gt; 0,_xlfn.XLOOKUP($C193,'Premade Flavors'!$A:$A,'Premade Flavors'!O:O),_xlfn.XLOOKUP("How Dense Should the Mix Ins Be?",[1]Sheet1!$1:$1,[1]Sheet1!193:193))</f>
        <v>0</v>
      </c>
      <c r="P193" s="45">
        <f>IF(COUNTIF('Premade Flavors'!$A:$A, $C193) &gt; 0,_xlfn.XLOOKUP($C193,'Premade Flavors'!$A:$A,'Premade Flavors'!P:P),_xlfn.XLOOKUP("How Much Of The First Sweetner? ",[1]Sheet1!$1:$1,[1]Sheet1!193:193))</f>
        <v>0</v>
      </c>
      <c r="Q193" s="45">
        <f>IF(COUNTIF('Premade Flavors'!$A:$A, $C193) &gt; 0,_xlfn.XLOOKUP($C193,'Premade Flavors'!$A:$A,'Premade Flavors'!Q:Q),[2]Sheet1!S193)</f>
        <v>0</v>
      </c>
      <c r="R193" s="30">
        <f>(_xlfn.XLOOKUP($L193,Specs!A:A,Specs!B:B,0)-(IF(_xlfn.XLOOKUP($F193,'Liquid Mix In Nutrition'!A:A,'Liquid Mix In Nutrition'!J:J,0)="Yes",0,$T193))-(IF(_xlfn.XLOOKUP($G193,'Liquid Mix In Nutrition'!A:A,'Liquid Mix In Nutrition'!J:J,0)="Yes",0,$U193))-(($V193/MAX(1,_xlfn.XLOOKUP($H193,'Solid Mix In Nutrition'!A:A,'Solid Mix In Nutrition'!I:I,1)))*240)-(($W193/MAX(1,_xlfn.XLOOKUP($I193,'Solid Mix In Nutrition'!A:A,'Solid Mix In Nutrition'!I:I,1)))*240))*0.66</f>
        <v>0</v>
      </c>
      <c r="S193" s="30">
        <f>(_xlfn.XLOOKUP($L193,Specs!A:A,Specs!B:B,0)-(IF(_xlfn.XLOOKUP($F193,'Liquid Mix In Nutrition'!A:A,'Liquid Mix In Nutrition'!J:J,0)="Yes",0,$T193))-(IF(_xlfn.XLOOKUP($G193,'Liquid Mix In Nutrition'!A:A,'Liquid Mix In Nutrition'!J:J,0)="Yes",0,$U193))-(($V193/MAX(1,_xlfn.XLOOKUP($H193,'Solid Mix In Nutrition'!A:A,'Solid Mix In Nutrition'!I:I,1)))*240)-(($W193/MAX(1,_xlfn.XLOOKUP($I193,'Solid Mix In Nutrition'!A:A,'Solid Mix In Nutrition'!I:I,1)))*240))*0.33</f>
        <v>0</v>
      </c>
      <c r="T193" s="30">
        <f>_xlfn.XLOOKUP($M193,Specs!$D:$D,Specs!$E:$E,0)*15*_xlfn.XLOOKUP($L193,Specs!$A:$A,Specs!$C:$C,0)</f>
        <v>0</v>
      </c>
      <c r="U193" s="30">
        <f>_xlfn.XLOOKUP($N193,Specs!$D:$D,Specs!$E:$E,0)*15*_xlfn.XLOOKUP($L193,Specs!$A:$A,Specs!$C:$C,0)</f>
        <v>0</v>
      </c>
      <c r="V193" s="30">
        <f>( ((_xlfn.XLOOKUP($O193,Specs!$H:$H,Specs!$I:$I,0)*_xlfn.XLOOKUP($L193,Specs!$A:$A,Specs!$B:$B,0))/240) *_xlfn.XLOOKUP($H193,'Solid Mix In Nutrition'!A:A,'Solid Mix In Nutrition'!I:I,0)) *IF(AND(NOT($I193=0), COUNTA($I193)),0.5,1)</f>
        <v>0</v>
      </c>
      <c r="W193" s="30">
        <f>( ((_xlfn.XLOOKUP($O193,Specs!$H:$H,Specs!$I:$I,0)*_xlfn.XLOOKUP($L193,Specs!$A:$A,Specs!$B:$B,0))/240) *_xlfn.XLOOKUP($I193,'Solid Mix In Nutrition'!A:A,'Solid Mix In Nutrition'!I:I,0)) *IF(AND(NOT($I193=0), COUNTA($I193)),0.5,0)</f>
        <v>0</v>
      </c>
      <c r="X193" s="30">
        <f>_xlfn.XLOOKUP($P193,Specs!F:F,Specs!G:G,0)*_xlfn.XLOOKUP($J193,'Sweetener Mix In Nutrition'!A:A,'Sweetener Mix In Nutrition'!I:I,0)*_xlfn.XLOOKUP($L193,Specs!A:A,Specs!C:C,0)</f>
        <v>0</v>
      </c>
      <c r="Y193" s="30">
        <f>_xlfn.XLOOKUP($Q193,Specs!F:F,Specs!G:G,0)*_xlfn.XLOOKUP($K193,'Sweetener Mix In Nutrition'!A:A,'Sweetener Mix In Nutrition'!I:I,0)*_xlfn.XLOOKUP($L193,Specs!A:A,Specs!C:C,0)</f>
        <v>0</v>
      </c>
      <c r="Z193" s="34">
        <f t="shared" si="6"/>
        <v>0</v>
      </c>
      <c r="AA193" s="35">
        <f t="shared" si="7"/>
        <v>0</v>
      </c>
      <c r="AB193" s="36">
        <f>(($R193 / 240) * _xlfn.XLOOKUP($D193,'Milk Types Nutrition Per Cup'!A:A,'Milk Types Nutrition Per Cup'!B:B,0)) +(($S193 / 240)  * _xlfn.XLOOKUP($E193,'Milk Types Nutrition Per Cup'!A:A,'Milk Types Nutrition Per Cup'!B:B,0)) +(($T193 / 15)  * _xlfn.XLOOKUP($F193,'Liquid Mix In Nutrition'!A:A,'Liquid Mix In Nutrition'!B:B,0))+(($U193 / 15)  * _xlfn.XLOOKUP($G193,'Liquid Mix In Nutrition'!A:A,'Liquid Mix In Nutrition'!B:B,0))+(($V193 /MAX(1, _xlfn.XLOOKUP($H193,'Solid Mix In Nutrition'!A:A,'Solid Mix In Nutrition'!I:I,1)))  * _xlfn.XLOOKUP($H193,'Solid Mix In Nutrition'!A:A,'Solid Mix In Nutrition'!B:B,0))+(($W193 / MAX(1, _xlfn.XLOOKUP($I193,'Solid Mix In Nutrition'!A:A,'Solid Mix In Nutrition'!I:I,1))))+(($X193 / 100)  * _xlfn.XLOOKUP($J193,'Sweetener Mix In Nutrition'!A:A,'Sweetener Mix In Nutrition'!B:B,0))+(($Y193 / 100)  * _xlfn.XLOOKUP($K193,'Sweetener Mix In Nutrition'!A:A,'Sweetener Mix In Nutrition'!B:B,0))</f>
        <v>0</v>
      </c>
      <c r="AC193" s="36">
        <f>(($R193 / 240) * _xlfn.XLOOKUP($D193,'Milk Types Nutrition Per Cup'!A:A,'Milk Types Nutrition Per Cup'!E:E,0)) +(($S193 / 240)  * _xlfn.XLOOKUP($E193,'Milk Types Nutrition Per Cup'!A:A,'Milk Types Nutrition Per Cup'!E:E,0)) +(($T193 / 15)  * _xlfn.XLOOKUP($F193,'Liquid Mix In Nutrition'!A:A,'Liquid Mix In Nutrition'!E:E,0)) +(($U193 / 15)  * _xlfn.XLOOKUP($G193,'Liquid Mix In Nutrition'!A:A,'Liquid Mix In Nutrition'!E:E,0))+(($V193 / MAX(1, _xlfn.XLOOKUP($H193,'Solid Mix In Nutrition'!A:A,'Solid Mix In Nutrition'!I:I,1)))  * _xlfn.XLOOKUP($H193,'Solid Mix In Nutrition'!A:A,'Solid Mix In Nutrition'!E:E,0))+(($W193 / MAX(1, _xlfn.XLOOKUP($I193,'Solid Mix In Nutrition'!A:A,'Solid Mix In Nutrition'!I:I,1)))  * _xlfn.XLOOKUP($I193,'Solid Mix In Nutrition'!A:A,'Solid Mix In Nutrition'!G:G,0))+(($X193 / 100)  * _xlfn.XLOOKUP($J193,'Sweetener Mix In Nutrition'!A:A,'Sweetener Mix In Nutrition'!E:E,0))+(($Y193 / 100)  * _xlfn.XLOOKUP($K193,'Sweetener Mix In Nutrition'!A:A,'Sweetener Mix In Nutrition'!E:E,0))</f>
        <v>0</v>
      </c>
      <c r="AD193" s="36">
        <f>(($R193 / 240) * _xlfn.XLOOKUP($D193,'Milk Types Nutrition Per Cup'!A:A,'Milk Types Nutrition Per Cup'!E:E,0)) +(($S193 / 240)  * _xlfn.XLOOKUP($E193,'Milk Types Nutrition Per Cup'!A:A,'Milk Types Nutrition Per Cup'!E:E,0)) +(($T193 / 15)  * _xlfn.XLOOKUP($F193,'Liquid Mix In Nutrition'!A:A,'Liquid Mix In Nutrition'!E:E,0)) +(($U193 / 15)  * _xlfn.XLOOKUP($G193,'Liquid Mix In Nutrition'!A:A,'Liquid Mix In Nutrition'!E:E,0))+(($X193 / 100)  * _xlfn.XLOOKUP($J193,'Sweetener Mix In Nutrition'!A:A,'Sweetener Mix In Nutrition'!E:E,0))+(($Y193 / 100)  * _xlfn.XLOOKUP($K193,'Sweetener Mix In Nutrition'!A:A,'Sweetener Mix In Nutrition'!E:E,0))</f>
        <v>0</v>
      </c>
      <c r="AE193" s="37">
        <f>(($R193 / 240) * _xlfn.XLOOKUP($D193,'Milk Types Nutrition Per Cup'!A:A,'Milk Types Nutrition Per Cup'!C:C,0)) +(($S193 / 240)  * _xlfn.XLOOKUP($E193,'Milk Types Nutrition Per Cup'!A:A,'Milk Types Nutrition Per Cup'!C:C,0)) +(($T193 / 15)  * _xlfn.XLOOKUP($F193,'Liquid Mix In Nutrition'!A:A,'Liquid Mix In Nutrition'!C:C,0))+(($U193 / 15)  * _xlfn.XLOOKUP($G193,'Liquid Mix In Nutrition'!A:A,'Liquid Mix In Nutrition'!C:C,0))+(($V193 / MAX(1, _xlfn.XLOOKUP($H193,'Solid Mix In Nutrition'!A:A,'Solid Mix In Nutrition'!I:I,1)))  * _xlfn.XLOOKUP($H193,'Solid Mix In Nutrition'!A:A,'Solid Mix In Nutrition'!C:C,0))+(($W193 / MAX(1, _xlfn.XLOOKUP($I193,'Solid Mix In Nutrition'!A:A,'Solid Mix In Nutrition'!I:I,1)))  * _xlfn.XLOOKUP($I193,'Solid Mix In Nutrition'!A:A,'Solid Mix In Nutrition'!C:C,0))+(($X193 / 100)  * _xlfn.XLOOKUP($J193,'Sweetener Mix In Nutrition'!A:A,'Sweetener Mix In Nutrition'!C:C,0))+(($Y193 / 100)  * _xlfn.XLOOKUP($K193,'Sweetener Mix In Nutrition'!A:A,'Sweetener Mix In Nutrition'!C:C,0))</f>
        <v>0</v>
      </c>
      <c r="AF193" s="38" t="e">
        <f>$AE193 / (_xlfn.XLOOKUP($L193,Specs!A:A,Specs!B:B,0))</f>
        <v>#DIV/0!</v>
      </c>
      <c r="AG193" s="37" t="e">
        <f>60* ($AB193 / _xlfn.XLOOKUP($L193,Specs!A:A,Specs!B:B,0))</f>
        <v>#DIV/0!</v>
      </c>
      <c r="AH193" s="37" t="e">
        <f>60* (AC193 / _xlfn.XLOOKUP($L193,Specs!$A:$A,Specs!$B:$B,0))</f>
        <v>#DIV/0!</v>
      </c>
      <c r="AI193" s="37" t="e">
        <f>60* (AE193 / _xlfn.XLOOKUP($L193,Specs!$A:$A,Specs!$B:$B,0))</f>
        <v>#DIV/0!</v>
      </c>
      <c r="AJ193" s="39">
        <f>(($R193 / 240) * _xlfn.XLOOKUP($D193,'Milk Types Nutrition Per Cup'!A:A,'Milk Types Nutrition Per Cup'!F:F,0)) +(($S193 / 240)  * _xlfn.XLOOKUP($E193,'Milk Types Nutrition Per Cup'!A:A,'Milk Types Nutrition Per Cup'!F:F,0)) +(($T193 / 15)  * _xlfn.XLOOKUP($F193,'Liquid Mix In Nutrition'!A:A,'Liquid Mix In Nutrition'!F:F,0))+(($U193 / 15)  * _xlfn.XLOOKUP($G193,'Liquid Mix In Nutrition'!A:A,'Liquid Mix In Nutrition'!F:F,0))+(($V193 / MAX(1, _xlfn.XLOOKUP($H193,'Solid Mix In Nutrition'!A:A,'Solid Mix In Nutrition'!I:I,1)))  * _xlfn.XLOOKUP($H193,'Solid Mix In Nutrition'!A:A,'Solid Mix In Nutrition'!F:F,0))+(($W193 / MAX(1, _xlfn.XLOOKUP($I193,'Solid Mix In Nutrition'!A:A,'Solid Mix In Nutrition'!I:I,1)))  * _xlfn.XLOOKUP($I193,'Solid Mix In Nutrition'!A:A,'Solid Mix In Nutrition'!F:F,0))+(($X193 / 100)  * _xlfn.XLOOKUP($J193,'Sweetener Mix In Nutrition'!A:A,'Sweetener Mix In Nutrition'!F:F,0))+(($Y193 / 100)  * _xlfn.XLOOKUP($K193,'Sweetener Mix In Nutrition'!A:A,'Sweetener Mix In Nutrition'!F:F,0))</f>
        <v>0</v>
      </c>
      <c r="AK193" s="46">
        <f>[2]Sheet1!AG193</f>
        <v>0</v>
      </c>
      <c r="AL193" s="47"/>
      <c r="AM193" s="40">
        <f>IF(ISERROR(((AL193/Specs!$L$3)*Specs!$L$2)*2),0,ROUNDUP((((AL193/Specs!$L$3)*Specs!$L$2)*2),0))</f>
        <v>0</v>
      </c>
      <c r="AN193" s="48">
        <f>ROUNDUP(((AJ193+Specs!$R$2+Specs!$S$2+_xlfn.XLOOKUP($L193,Specs!A:A,Specs!V:V,0))*Specs!$N$2)+AM193,0)</f>
        <v>1</v>
      </c>
      <c r="AO193" s="40">
        <f>ROUNDUP(((AJ193+Specs!$R$2+Specs!$S$2+_xlfn.XLOOKUP($L193,Specs!A:A,Specs!V:V,0))*Specs!$N$2),0)</f>
        <v>1</v>
      </c>
      <c r="AP193" s="30"/>
    </row>
    <row r="194" spans="1:42" x14ac:dyDescent="0.25">
      <c r="A194" s="41" t="str">
        <f>_xlfn.CONCAT(_xlfn.XLOOKUP("What's Your Name?",[1]Sheet1!$1:$1,[1]Sheet1!194:194)," | ",TEXT(_xlfn.XLOOKUP("Completion time",[1]Sheet1!$1:$1,[1]Sheet1!194:194),"dddd, mmm dd, yyyy hh:mm AM/PM"))</f>
        <v xml:space="preserve"> | Saturday, Jan 00, 1900 12:00 AM</v>
      </c>
      <c r="B194" s="76">
        <f>_xlfn.XLOOKUP("What's Your Email Address?",[1]Sheet1!$1:$1,[1]Sheet1!194:194)</f>
        <v>0</v>
      </c>
      <c r="C194" s="31">
        <f>IF(ISBLANK(_xlfn.XLOOKUP("Which Flavor? (Pint Price | Quart Price | Half Gallon Price) (NOTE: Prices may fluctuate based on market conditions)",[1]Sheet1!$1:$1,[1]Sheet1!194:194)),_xlfn.XLOOKUP("Name Your Ice Cream!",[1]Sheet1!$1:$1,[1]Sheet1!194:194),IF(ISNUMBER(FIND("(", _xlfn.XLOOKUP("Which Flavor? (Pint Price | Quart Price | Half Gallon Price) (NOTE: Prices may fluctuate based on market conditions)",[1]Sheet1!$1:$1,[1]Sheet1!194:194))), LEFT(_xlfn.XLOOKUP("Which Flavor? (Pint Price | Quart Price | Half Gallon Price) (NOTE: Prices may fluctuate based on market conditions)",[1]Sheet1!$1:$1,[1]Sheet1!194:194), FIND("(", _xlfn.XLOOKUP("Which Flavor? (Pint Price | Quart Price | Half Gallon Price) (NOTE: Prices may fluctuate based on market conditions)",[1]Sheet1!$1:$1,[1]Sheet1!194:194)) - 1), _xlfn.XLOOKUP("Which Flavor? (Pint Price | Quart Price | Half Gallon Price) (NOTE: Prices may fluctuate based on market conditions)",[1]Sheet1!$1:$1,[1]Sheet1!194:194)))</f>
        <v>0</v>
      </c>
      <c r="D194" s="31">
        <f>IF(COUNTIF('Premade Flavors'!$A:$A, $C194) &gt; 0,IF(ISBLANK(_xlfn.XLOOKUP("What Ice Cream Base Do You Want To Change It To?",[1]Sheet1!$1:$1,[1]Sheet1!194:194)),_xlfn.XLOOKUP($C194,'Premade Flavors'!$A:$A,'Premade Flavors'!B:B),_xlfn.XLOOKUP("What Ice Cream Base Do You Want To Change It To?",[1]Sheet1!$1:$1,[1]Sheet1!194:194)),_xlfn.XLOOKUP(_xlfn.XLOOKUP("What Kind Of Ice Cream Base Do You Want? ",[1]Sheet1!$1:$1,[1]Sheet1!194:194),'Milk Types Nutrition Per Cup'!O:O,'Milk Types Nutrition Per Cup'!P:P,""))</f>
        <v>0</v>
      </c>
      <c r="E194" s="31">
        <f>IF(COUNTIF('Premade Flavors'!$A:$A, $C194) &gt; 0,IF(ISBLANK(_xlfn.XLOOKUP("What Ice Cream Base Do You Want To Change It To?",[1]Sheet1!$1:$1,[1]Sheet1!194:194)),_xlfn.XLOOKUP($C194,'Premade Flavors'!$A:$A,'Premade Flavors'!C:C),_xlfn.XLOOKUP("What Ice Cream Base Do You Want To Change It To?",[1]Sheet1!$1:$1,[1]Sheet1!194:194)),_xlfn.XLOOKUP(_xlfn.XLOOKUP("What Kind Of Ice Cream Base Do You Want? ",[1]Sheet1!$1:$1,[1]Sheet1!194:194),'Milk Types Nutrition Per Cup'!$O:$O,'Milk Types Nutrition Per Cup'!$Q:$Q,""))</f>
        <v>0</v>
      </c>
      <c r="F194" s="31">
        <f>IF(COUNTIF('Premade Flavors'!$A:$A, $C194) &gt; 0,_xlfn.XLOOKUP($C194,'Premade Flavors'!$A:$A,'Premade Flavors'!E:E),_xlfn.XLOOKUP("What's The First Flavor You Want? ",[1]Sheet1!$1:$1,[1]Sheet1!194:194))</f>
        <v>0</v>
      </c>
      <c r="G194" s="31">
        <f>IF(COUNTIF('Premade Flavors'!$A:$A, $C194) &gt; 0,_xlfn.XLOOKUP($C194,'Premade Flavors'!$A:$A,'Premade Flavors'!F:F),_xlfn.XLOOKUP("What's the Second Flavor You Want?",[1]Sheet1!$1:$1,[1]Sheet1!194:194))</f>
        <v>0</v>
      </c>
      <c r="H194" s="31">
        <f>IF(COUNTIF('Premade Flavors'!$A:$A, $C194) &gt; 0,_xlfn.XLOOKUP($C194,'Premade Flavors'!$A:$A,'Premade Flavors'!G:G),_xlfn.XLOOKUP("What's The First Mix In That You Want? ",[1]Sheet1!$1:$1,[1]Sheet1!194:194))</f>
        <v>0</v>
      </c>
      <c r="I194" s="31">
        <f>IF(COUNTIF('Premade Flavors'!$A:$A, $C192) &gt; 0,_xlfn.XLOOKUP($C192,'Premade Flavors'!$A:$A,'Premade Flavors'!H:H),IF([2]Sheet1!W192= 0,,[2]Sheet1!W192))</f>
        <v>0</v>
      </c>
      <c r="J194" s="31">
        <f>IF(COUNTIF('Premade Flavors'!$A:$A,$C194)&gt;0,IF(_xlfn.XLOOKUP("Should It Use Sugar or A Non-Sugar Sweetner?",[1]Sheet1!$1:$1,[1]Sheet1!194:194)="Sugar",_xlfn.XLOOKUP($C194,'Premade Flavors'!$A:$A,'Premade Flavors'!I:I),"Stevia"),_xlfn.XLOOKUP("What Sweetner Do You Want?",[1]Sheet1!$1:$1,[1]Sheet1!194:194))</f>
        <v>0</v>
      </c>
      <c r="K194" s="31"/>
      <c r="L194" s="77">
        <f>_xlfn.XLOOKUP("How Much Ice Cream Do You Want?",[1]Sheet1!$1:$1,[1]Sheet1!194:194)</f>
        <v>0</v>
      </c>
      <c r="M194" s="45">
        <f>IF(COUNTIF('Premade Flavors'!$A:$A, $C194) &gt; 0,_xlfn.XLOOKUP($C194,'Premade Flavors'!$A:$A,'Premade Flavors'!M:M),_xlfn.XLOOKUP("How Strong Do You Want The First Flavor?",[1]Sheet1!$1:$1,[1]Sheet1!194:194))</f>
        <v>0</v>
      </c>
      <c r="N194" s="45">
        <f>IF(COUNTIF('Premade Flavors'!$A:$A, $C194) &gt; 0,_xlfn.XLOOKUP($C194,'Premade Flavors'!$A:$A,'Premade Flavors'!N:N),_xlfn.XLOOKUP("How Strong Do You Want The Second Flavor?",[1]Sheet1!$1:$1,[1]Sheet1!194:194))</f>
        <v>0</v>
      </c>
      <c r="O194" s="45">
        <f>IF(COUNTIF('Premade Flavors'!$A:$A, $C194) &gt; 0,_xlfn.XLOOKUP($C194,'Premade Flavors'!$A:$A,'Premade Flavors'!O:O),_xlfn.XLOOKUP("How Dense Should the Mix Ins Be?",[1]Sheet1!$1:$1,[1]Sheet1!194:194))</f>
        <v>0</v>
      </c>
      <c r="P194" s="45">
        <f>IF(COUNTIF('Premade Flavors'!$A:$A, $C194) &gt; 0,_xlfn.XLOOKUP($C194,'Premade Flavors'!$A:$A,'Premade Flavors'!P:P),_xlfn.XLOOKUP("How Much Of The First Sweetner? ",[1]Sheet1!$1:$1,[1]Sheet1!194:194))</f>
        <v>0</v>
      </c>
      <c r="Q194" s="45">
        <f>IF(COUNTIF('Premade Flavors'!$A:$A, $C194) &gt; 0,_xlfn.XLOOKUP($C194,'Premade Flavors'!$A:$A,'Premade Flavors'!Q:Q),[2]Sheet1!S194)</f>
        <v>0</v>
      </c>
      <c r="R194" s="30">
        <f>(_xlfn.XLOOKUP($L194,Specs!A:A,Specs!B:B,0)-(IF(_xlfn.XLOOKUP($F194,'Liquid Mix In Nutrition'!A:A,'Liquid Mix In Nutrition'!J:J,0)="Yes",0,$T194))-(IF(_xlfn.XLOOKUP($G194,'Liquid Mix In Nutrition'!A:A,'Liquid Mix In Nutrition'!J:J,0)="Yes",0,$U194))-(($V194/MAX(1,_xlfn.XLOOKUP($H194,'Solid Mix In Nutrition'!A:A,'Solid Mix In Nutrition'!I:I,1)))*240)-(($W194/MAX(1,_xlfn.XLOOKUP($I194,'Solid Mix In Nutrition'!A:A,'Solid Mix In Nutrition'!I:I,1)))*240))*0.66</f>
        <v>0</v>
      </c>
      <c r="S194" s="30">
        <f>(_xlfn.XLOOKUP($L194,Specs!A:A,Specs!B:B,0)-(IF(_xlfn.XLOOKUP($F194,'Liquid Mix In Nutrition'!A:A,'Liquid Mix In Nutrition'!J:J,0)="Yes",0,$T194))-(IF(_xlfn.XLOOKUP($G194,'Liquid Mix In Nutrition'!A:A,'Liquid Mix In Nutrition'!J:J,0)="Yes",0,$U194))-(($V194/MAX(1,_xlfn.XLOOKUP($H194,'Solid Mix In Nutrition'!A:A,'Solid Mix In Nutrition'!I:I,1)))*240)-(($W194/MAX(1,_xlfn.XLOOKUP($I194,'Solid Mix In Nutrition'!A:A,'Solid Mix In Nutrition'!I:I,1)))*240))*0.33</f>
        <v>0</v>
      </c>
      <c r="T194" s="30">
        <f>_xlfn.XLOOKUP($M194,Specs!$D:$D,Specs!$E:$E,0)*15*_xlfn.XLOOKUP($L194,Specs!$A:$A,Specs!$C:$C,0)</f>
        <v>0</v>
      </c>
      <c r="U194" s="30">
        <f>_xlfn.XLOOKUP($N194,Specs!$D:$D,Specs!$E:$E,0)*15*_xlfn.XLOOKUP($L194,Specs!$A:$A,Specs!$C:$C,0)</f>
        <v>0</v>
      </c>
      <c r="V194" s="30">
        <f>( ((_xlfn.XLOOKUP($O194,Specs!$H:$H,Specs!$I:$I,0)*_xlfn.XLOOKUP($L194,Specs!$A:$A,Specs!$B:$B,0))/240) *_xlfn.XLOOKUP($H194,'Solid Mix In Nutrition'!A:A,'Solid Mix In Nutrition'!I:I,0)) *IF(AND(NOT($I194=0), COUNTA($I194)),0.5,1)</f>
        <v>0</v>
      </c>
      <c r="W194" s="30">
        <f>( ((_xlfn.XLOOKUP($O194,Specs!$H:$H,Specs!$I:$I,0)*_xlfn.XLOOKUP($L194,Specs!$A:$A,Specs!$B:$B,0))/240) *_xlfn.XLOOKUP($I194,'Solid Mix In Nutrition'!A:A,'Solid Mix In Nutrition'!I:I,0)) *IF(AND(NOT($I194=0), COUNTA($I194)),0.5,0)</f>
        <v>0</v>
      </c>
      <c r="X194" s="30">
        <f>_xlfn.XLOOKUP($P194,Specs!F:F,Specs!G:G,0)*_xlfn.XLOOKUP($J194,'Sweetener Mix In Nutrition'!A:A,'Sweetener Mix In Nutrition'!I:I,0)*_xlfn.XLOOKUP($L194,Specs!A:A,Specs!C:C,0)</f>
        <v>0</v>
      </c>
      <c r="Y194" s="30">
        <f>_xlfn.XLOOKUP($Q194,Specs!F:F,Specs!G:G,0)*_xlfn.XLOOKUP($K194,'Sweetener Mix In Nutrition'!A:A,'Sweetener Mix In Nutrition'!I:I,0)*_xlfn.XLOOKUP($L194,Specs!A:A,Specs!C:C,0)</f>
        <v>0</v>
      </c>
      <c r="Z194" s="34">
        <f t="shared" si="6"/>
        <v>0</v>
      </c>
      <c r="AA194" s="35">
        <f t="shared" si="7"/>
        <v>0</v>
      </c>
      <c r="AB194" s="36">
        <f>(($R194 / 240) * _xlfn.XLOOKUP($D194,'Milk Types Nutrition Per Cup'!A:A,'Milk Types Nutrition Per Cup'!B:B,0)) +(($S194 / 240)  * _xlfn.XLOOKUP($E194,'Milk Types Nutrition Per Cup'!A:A,'Milk Types Nutrition Per Cup'!B:B,0)) +(($T194 / 15)  * _xlfn.XLOOKUP($F194,'Liquid Mix In Nutrition'!A:A,'Liquid Mix In Nutrition'!B:B,0))+(($U194 / 15)  * _xlfn.XLOOKUP($G194,'Liquid Mix In Nutrition'!A:A,'Liquid Mix In Nutrition'!B:B,0))+(($V194 /MAX(1, _xlfn.XLOOKUP($H194,'Solid Mix In Nutrition'!A:A,'Solid Mix In Nutrition'!I:I,1)))  * _xlfn.XLOOKUP($H194,'Solid Mix In Nutrition'!A:A,'Solid Mix In Nutrition'!B:B,0))+(($W194 / MAX(1, _xlfn.XLOOKUP($I194,'Solid Mix In Nutrition'!A:A,'Solid Mix In Nutrition'!I:I,1))))+(($X194 / 100)  * _xlfn.XLOOKUP($J194,'Sweetener Mix In Nutrition'!A:A,'Sweetener Mix In Nutrition'!B:B,0))+(($Y194 / 100)  * _xlfn.XLOOKUP($K194,'Sweetener Mix In Nutrition'!A:A,'Sweetener Mix In Nutrition'!B:B,0))</f>
        <v>0</v>
      </c>
      <c r="AC194" s="36">
        <f>(($R194 / 240) * _xlfn.XLOOKUP($D194,'Milk Types Nutrition Per Cup'!A:A,'Milk Types Nutrition Per Cup'!E:E,0)) +(($S194 / 240)  * _xlfn.XLOOKUP($E194,'Milk Types Nutrition Per Cup'!A:A,'Milk Types Nutrition Per Cup'!E:E,0)) +(($T194 / 15)  * _xlfn.XLOOKUP($F194,'Liquid Mix In Nutrition'!A:A,'Liquid Mix In Nutrition'!E:E,0)) +(($U194 / 15)  * _xlfn.XLOOKUP($G194,'Liquid Mix In Nutrition'!A:A,'Liquid Mix In Nutrition'!E:E,0))+(($V194 / MAX(1, _xlfn.XLOOKUP($H194,'Solid Mix In Nutrition'!A:A,'Solid Mix In Nutrition'!I:I,1)))  * _xlfn.XLOOKUP($H194,'Solid Mix In Nutrition'!A:A,'Solid Mix In Nutrition'!E:E,0))+(($W194 / MAX(1, _xlfn.XLOOKUP($I194,'Solid Mix In Nutrition'!A:A,'Solid Mix In Nutrition'!I:I,1)))  * _xlfn.XLOOKUP($I194,'Solid Mix In Nutrition'!A:A,'Solid Mix In Nutrition'!G:G,0))+(($X194 / 100)  * _xlfn.XLOOKUP($J194,'Sweetener Mix In Nutrition'!A:A,'Sweetener Mix In Nutrition'!E:E,0))+(($Y194 / 100)  * _xlfn.XLOOKUP($K194,'Sweetener Mix In Nutrition'!A:A,'Sweetener Mix In Nutrition'!E:E,0))</f>
        <v>0</v>
      </c>
      <c r="AD194" s="36">
        <f>(($R194 / 240) * _xlfn.XLOOKUP($D194,'Milk Types Nutrition Per Cup'!A:A,'Milk Types Nutrition Per Cup'!E:E,0)) +(($S194 / 240)  * _xlfn.XLOOKUP($E194,'Milk Types Nutrition Per Cup'!A:A,'Milk Types Nutrition Per Cup'!E:E,0)) +(($T194 / 15)  * _xlfn.XLOOKUP($F194,'Liquid Mix In Nutrition'!A:A,'Liquid Mix In Nutrition'!E:E,0)) +(($U194 / 15)  * _xlfn.XLOOKUP($G194,'Liquid Mix In Nutrition'!A:A,'Liquid Mix In Nutrition'!E:E,0))+(($X194 / 100)  * _xlfn.XLOOKUP($J194,'Sweetener Mix In Nutrition'!A:A,'Sweetener Mix In Nutrition'!E:E,0))+(($Y194 / 100)  * _xlfn.XLOOKUP($K194,'Sweetener Mix In Nutrition'!A:A,'Sweetener Mix In Nutrition'!E:E,0))</f>
        <v>0</v>
      </c>
      <c r="AE194" s="37">
        <f>(($R194 / 240) * _xlfn.XLOOKUP($D194,'Milk Types Nutrition Per Cup'!A:A,'Milk Types Nutrition Per Cup'!C:C,0)) +(($S194 / 240)  * _xlfn.XLOOKUP($E194,'Milk Types Nutrition Per Cup'!A:A,'Milk Types Nutrition Per Cup'!C:C,0)) +(($T194 / 15)  * _xlfn.XLOOKUP($F194,'Liquid Mix In Nutrition'!A:A,'Liquid Mix In Nutrition'!C:C,0))+(($U194 / 15)  * _xlfn.XLOOKUP($G194,'Liquid Mix In Nutrition'!A:A,'Liquid Mix In Nutrition'!C:C,0))+(($V194 / MAX(1, _xlfn.XLOOKUP($H194,'Solid Mix In Nutrition'!A:A,'Solid Mix In Nutrition'!I:I,1)))  * _xlfn.XLOOKUP($H194,'Solid Mix In Nutrition'!A:A,'Solid Mix In Nutrition'!C:C,0))+(($W194 / MAX(1, _xlfn.XLOOKUP($I194,'Solid Mix In Nutrition'!A:A,'Solid Mix In Nutrition'!I:I,1)))  * _xlfn.XLOOKUP($I194,'Solid Mix In Nutrition'!A:A,'Solid Mix In Nutrition'!C:C,0))+(($X194 / 100)  * _xlfn.XLOOKUP($J194,'Sweetener Mix In Nutrition'!A:A,'Sweetener Mix In Nutrition'!C:C,0))+(($Y194 / 100)  * _xlfn.XLOOKUP($K194,'Sweetener Mix In Nutrition'!A:A,'Sweetener Mix In Nutrition'!C:C,0))</f>
        <v>0</v>
      </c>
      <c r="AF194" s="38" t="e">
        <f>$AE194 / (_xlfn.XLOOKUP($L194,Specs!A:A,Specs!B:B,0))</f>
        <v>#DIV/0!</v>
      </c>
      <c r="AG194" s="37" t="e">
        <f>60* ($AB194 / _xlfn.XLOOKUP($L194,Specs!A:A,Specs!B:B,0))</f>
        <v>#DIV/0!</v>
      </c>
      <c r="AH194" s="37" t="e">
        <f>60* (AC194 / _xlfn.XLOOKUP($L194,Specs!$A:$A,Specs!$B:$B,0))</f>
        <v>#DIV/0!</v>
      </c>
      <c r="AI194" s="37" t="e">
        <f>60* (AE194 / _xlfn.XLOOKUP($L194,Specs!$A:$A,Specs!$B:$B,0))</f>
        <v>#DIV/0!</v>
      </c>
      <c r="AJ194" s="39">
        <f>(($R194 / 240) * _xlfn.XLOOKUP($D194,'Milk Types Nutrition Per Cup'!A:A,'Milk Types Nutrition Per Cup'!F:F,0)) +(($S194 / 240)  * _xlfn.XLOOKUP($E194,'Milk Types Nutrition Per Cup'!A:A,'Milk Types Nutrition Per Cup'!F:F,0)) +(($T194 / 15)  * _xlfn.XLOOKUP($F194,'Liquid Mix In Nutrition'!A:A,'Liquid Mix In Nutrition'!F:F,0))+(($U194 / 15)  * _xlfn.XLOOKUP($G194,'Liquid Mix In Nutrition'!A:A,'Liquid Mix In Nutrition'!F:F,0))+(($V194 / MAX(1, _xlfn.XLOOKUP($H194,'Solid Mix In Nutrition'!A:A,'Solid Mix In Nutrition'!I:I,1)))  * _xlfn.XLOOKUP($H194,'Solid Mix In Nutrition'!A:A,'Solid Mix In Nutrition'!F:F,0))+(($W194 / MAX(1, _xlfn.XLOOKUP($I194,'Solid Mix In Nutrition'!A:A,'Solid Mix In Nutrition'!I:I,1)))  * _xlfn.XLOOKUP($I194,'Solid Mix In Nutrition'!A:A,'Solid Mix In Nutrition'!F:F,0))+(($X194 / 100)  * _xlfn.XLOOKUP($J194,'Sweetener Mix In Nutrition'!A:A,'Sweetener Mix In Nutrition'!F:F,0))+(($Y194 / 100)  * _xlfn.XLOOKUP($K194,'Sweetener Mix In Nutrition'!A:A,'Sweetener Mix In Nutrition'!F:F,0))</f>
        <v>0</v>
      </c>
      <c r="AK194" s="46">
        <f>[2]Sheet1!AG194</f>
        <v>0</v>
      </c>
      <c r="AL194" s="47"/>
      <c r="AM194" s="40">
        <f>IF(ISERROR(((AL194/Specs!$L$3)*Specs!$L$2)*2),0,ROUNDUP((((AL194/Specs!$L$3)*Specs!$L$2)*2),0))</f>
        <v>0</v>
      </c>
      <c r="AN194" s="48">
        <f>ROUNDUP(((AJ194+Specs!$R$2+Specs!$S$2+_xlfn.XLOOKUP($L194,Specs!A:A,Specs!V:V,0))*Specs!$N$2)+AM194,0)</f>
        <v>1</v>
      </c>
      <c r="AO194" s="40">
        <f>ROUNDUP(((AJ194+Specs!$R$2+Specs!$S$2+_xlfn.XLOOKUP($L194,Specs!A:A,Specs!V:V,0))*Specs!$N$2),0)</f>
        <v>1</v>
      </c>
      <c r="AP194" s="30"/>
    </row>
    <row r="195" spans="1:42" x14ac:dyDescent="0.25">
      <c r="A195" s="41" t="str">
        <f>_xlfn.CONCAT(_xlfn.XLOOKUP("What's Your Name?",[1]Sheet1!$1:$1,[1]Sheet1!195:195)," | ",TEXT(_xlfn.XLOOKUP("Completion time",[1]Sheet1!$1:$1,[1]Sheet1!195:195),"dddd, mmm dd, yyyy hh:mm AM/PM"))</f>
        <v xml:space="preserve"> | Saturday, Jan 00, 1900 12:00 AM</v>
      </c>
      <c r="B195" s="76">
        <f>_xlfn.XLOOKUP("What's Your Email Address?",[1]Sheet1!$1:$1,[1]Sheet1!195:195)</f>
        <v>0</v>
      </c>
      <c r="C195" s="31">
        <f>IF(ISBLANK(_xlfn.XLOOKUP("Which Flavor? (Pint Price | Quart Price | Half Gallon Price) (NOTE: Prices may fluctuate based on market conditions)",[1]Sheet1!$1:$1,[1]Sheet1!195:195)),_xlfn.XLOOKUP("Name Your Ice Cream!",[1]Sheet1!$1:$1,[1]Sheet1!195:195),IF(ISNUMBER(FIND("(", _xlfn.XLOOKUP("Which Flavor? (Pint Price | Quart Price | Half Gallon Price) (NOTE: Prices may fluctuate based on market conditions)",[1]Sheet1!$1:$1,[1]Sheet1!195:195))), LEFT(_xlfn.XLOOKUP("Which Flavor? (Pint Price | Quart Price | Half Gallon Price) (NOTE: Prices may fluctuate based on market conditions)",[1]Sheet1!$1:$1,[1]Sheet1!195:195), FIND("(", _xlfn.XLOOKUP("Which Flavor? (Pint Price | Quart Price | Half Gallon Price) (NOTE: Prices may fluctuate based on market conditions)",[1]Sheet1!$1:$1,[1]Sheet1!195:195)) - 1), _xlfn.XLOOKUP("Which Flavor? (Pint Price | Quart Price | Half Gallon Price) (NOTE: Prices may fluctuate based on market conditions)",[1]Sheet1!$1:$1,[1]Sheet1!195:195)))</f>
        <v>0</v>
      </c>
      <c r="D195" s="31">
        <f>IF(COUNTIF('Premade Flavors'!$A:$A, $C195) &gt; 0,IF(ISBLANK(_xlfn.XLOOKUP("What Ice Cream Base Do You Want To Change It To?",[1]Sheet1!$1:$1,[1]Sheet1!195:195)),_xlfn.XLOOKUP($C195,'Premade Flavors'!$A:$A,'Premade Flavors'!B:B),_xlfn.XLOOKUP("What Ice Cream Base Do You Want To Change It To?",[1]Sheet1!$1:$1,[1]Sheet1!195:195)),_xlfn.XLOOKUP(_xlfn.XLOOKUP("What Kind Of Ice Cream Base Do You Want? ",[1]Sheet1!$1:$1,[1]Sheet1!195:195),'Milk Types Nutrition Per Cup'!O:O,'Milk Types Nutrition Per Cup'!P:P,""))</f>
        <v>0</v>
      </c>
      <c r="E195" s="31">
        <f>IF(COUNTIF('Premade Flavors'!$A:$A, $C195) &gt; 0,IF(ISBLANK(_xlfn.XLOOKUP("What Ice Cream Base Do You Want To Change It To?",[1]Sheet1!$1:$1,[1]Sheet1!195:195)),_xlfn.XLOOKUP($C195,'Premade Flavors'!$A:$A,'Premade Flavors'!C:C),_xlfn.XLOOKUP("What Ice Cream Base Do You Want To Change It To?",[1]Sheet1!$1:$1,[1]Sheet1!195:195)),_xlfn.XLOOKUP(_xlfn.XLOOKUP("What Kind Of Ice Cream Base Do You Want? ",[1]Sheet1!$1:$1,[1]Sheet1!195:195),'Milk Types Nutrition Per Cup'!$O:$O,'Milk Types Nutrition Per Cup'!$Q:$Q,""))</f>
        <v>0</v>
      </c>
      <c r="F195" s="31">
        <f>IF(COUNTIF('Premade Flavors'!$A:$A, $C195) &gt; 0,_xlfn.XLOOKUP($C195,'Premade Flavors'!$A:$A,'Premade Flavors'!E:E),_xlfn.XLOOKUP("What's The First Flavor You Want? ",[1]Sheet1!$1:$1,[1]Sheet1!195:195))</f>
        <v>0</v>
      </c>
      <c r="G195" s="31">
        <f>IF(COUNTIF('Premade Flavors'!$A:$A, $C195) &gt; 0,_xlfn.XLOOKUP($C195,'Premade Flavors'!$A:$A,'Premade Flavors'!F:F),_xlfn.XLOOKUP("What's the Second Flavor You Want?",[1]Sheet1!$1:$1,[1]Sheet1!195:195))</f>
        <v>0</v>
      </c>
      <c r="H195" s="31">
        <f>IF(COUNTIF('Premade Flavors'!$A:$A, $C195) &gt; 0,_xlfn.XLOOKUP($C195,'Premade Flavors'!$A:$A,'Premade Flavors'!G:G),_xlfn.XLOOKUP("What's The First Mix In That You Want? ",[1]Sheet1!$1:$1,[1]Sheet1!195:195))</f>
        <v>0</v>
      </c>
      <c r="I195" s="31">
        <f>IF(COUNTIF('Premade Flavors'!$A:$A, $C193) &gt; 0,_xlfn.XLOOKUP($C193,'Premade Flavors'!$A:$A,'Premade Flavors'!H:H),IF([2]Sheet1!W193= 0,,[2]Sheet1!W193))</f>
        <v>0</v>
      </c>
      <c r="J195" s="31">
        <f>IF(COUNTIF('Premade Flavors'!$A:$A,$C195)&gt;0,IF(_xlfn.XLOOKUP("Should It Use Sugar or A Non-Sugar Sweetner?",[1]Sheet1!$1:$1,[1]Sheet1!195:195)="Sugar",_xlfn.XLOOKUP($C195,'Premade Flavors'!$A:$A,'Premade Flavors'!I:I),"Stevia"),_xlfn.XLOOKUP("What Sweetner Do You Want?",[1]Sheet1!$1:$1,[1]Sheet1!195:195))</f>
        <v>0</v>
      </c>
      <c r="K195" s="31"/>
      <c r="L195" s="77">
        <f>_xlfn.XLOOKUP("How Much Ice Cream Do You Want?",[1]Sheet1!$1:$1,[1]Sheet1!195:195)</f>
        <v>0</v>
      </c>
      <c r="M195" s="45">
        <f>IF(COUNTIF('Premade Flavors'!$A:$A, $C195) &gt; 0,_xlfn.XLOOKUP($C195,'Premade Flavors'!$A:$A,'Premade Flavors'!M:M),_xlfn.XLOOKUP("How Strong Do You Want The First Flavor?",[1]Sheet1!$1:$1,[1]Sheet1!195:195))</f>
        <v>0</v>
      </c>
      <c r="N195" s="45">
        <f>IF(COUNTIF('Premade Flavors'!$A:$A, $C195) &gt; 0,_xlfn.XLOOKUP($C195,'Premade Flavors'!$A:$A,'Premade Flavors'!N:N),_xlfn.XLOOKUP("How Strong Do You Want The Second Flavor?",[1]Sheet1!$1:$1,[1]Sheet1!195:195))</f>
        <v>0</v>
      </c>
      <c r="O195" s="45">
        <f>IF(COUNTIF('Premade Flavors'!$A:$A, $C195) &gt; 0,_xlfn.XLOOKUP($C195,'Premade Flavors'!$A:$A,'Premade Flavors'!O:O),_xlfn.XLOOKUP("How Dense Should the Mix Ins Be?",[1]Sheet1!$1:$1,[1]Sheet1!195:195))</f>
        <v>0</v>
      </c>
      <c r="P195" s="45">
        <f>IF(COUNTIF('Premade Flavors'!$A:$A, $C195) &gt; 0,_xlfn.XLOOKUP($C195,'Premade Flavors'!$A:$A,'Premade Flavors'!P:P),_xlfn.XLOOKUP("How Much Of The First Sweetner? ",[1]Sheet1!$1:$1,[1]Sheet1!195:195))</f>
        <v>0</v>
      </c>
      <c r="Q195" s="45">
        <f>IF(COUNTIF('Premade Flavors'!$A:$A, $C195) &gt; 0,_xlfn.XLOOKUP($C195,'Premade Flavors'!$A:$A,'Premade Flavors'!Q:Q),[2]Sheet1!S195)</f>
        <v>0</v>
      </c>
      <c r="R195" s="30">
        <f>(_xlfn.XLOOKUP($L195,Specs!A:A,Specs!B:B,0)-(IF(_xlfn.XLOOKUP($F195,'Liquid Mix In Nutrition'!A:A,'Liquid Mix In Nutrition'!J:J,0)="Yes",0,$T195))-(IF(_xlfn.XLOOKUP($G195,'Liquid Mix In Nutrition'!A:A,'Liquid Mix In Nutrition'!J:J,0)="Yes",0,$U195))-(($V195/MAX(1,_xlfn.XLOOKUP($H195,'Solid Mix In Nutrition'!A:A,'Solid Mix In Nutrition'!I:I,1)))*240)-(($W195/MAX(1,_xlfn.XLOOKUP($I195,'Solid Mix In Nutrition'!A:A,'Solid Mix In Nutrition'!I:I,1)))*240))*0.66</f>
        <v>0</v>
      </c>
      <c r="S195" s="30">
        <f>(_xlfn.XLOOKUP($L195,Specs!A:A,Specs!B:B,0)-(IF(_xlfn.XLOOKUP($F195,'Liquid Mix In Nutrition'!A:A,'Liquid Mix In Nutrition'!J:J,0)="Yes",0,$T195))-(IF(_xlfn.XLOOKUP($G195,'Liquid Mix In Nutrition'!A:A,'Liquid Mix In Nutrition'!J:J,0)="Yes",0,$U195))-(($V195/MAX(1,_xlfn.XLOOKUP($H195,'Solid Mix In Nutrition'!A:A,'Solid Mix In Nutrition'!I:I,1)))*240)-(($W195/MAX(1,_xlfn.XLOOKUP($I195,'Solid Mix In Nutrition'!A:A,'Solid Mix In Nutrition'!I:I,1)))*240))*0.33</f>
        <v>0</v>
      </c>
      <c r="T195" s="30">
        <f>_xlfn.XLOOKUP($M195,Specs!$D:$D,Specs!$E:$E,0)*15*_xlfn.XLOOKUP($L195,Specs!$A:$A,Specs!$C:$C,0)</f>
        <v>0</v>
      </c>
      <c r="U195" s="30">
        <f>_xlfn.XLOOKUP($N195,Specs!$D:$D,Specs!$E:$E,0)*15*_xlfn.XLOOKUP($L195,Specs!$A:$A,Specs!$C:$C,0)</f>
        <v>0</v>
      </c>
      <c r="V195" s="30">
        <f>( ((_xlfn.XLOOKUP($O195,Specs!$H:$H,Specs!$I:$I,0)*_xlfn.XLOOKUP($L195,Specs!$A:$A,Specs!$B:$B,0))/240) *_xlfn.XLOOKUP($H195,'Solid Mix In Nutrition'!A:A,'Solid Mix In Nutrition'!I:I,0)) *IF(AND(NOT($I195=0), COUNTA($I195)),0.5,1)</f>
        <v>0</v>
      </c>
      <c r="W195" s="30">
        <f>( ((_xlfn.XLOOKUP($O195,Specs!$H:$H,Specs!$I:$I,0)*_xlfn.XLOOKUP($L195,Specs!$A:$A,Specs!$B:$B,0))/240) *_xlfn.XLOOKUP($I195,'Solid Mix In Nutrition'!A:A,'Solid Mix In Nutrition'!I:I,0)) *IF(AND(NOT($I195=0), COUNTA($I195)),0.5,0)</f>
        <v>0</v>
      </c>
      <c r="X195" s="30">
        <f>_xlfn.XLOOKUP($P195,Specs!F:F,Specs!G:G,0)*_xlfn.XLOOKUP($J195,'Sweetener Mix In Nutrition'!A:A,'Sweetener Mix In Nutrition'!I:I,0)*_xlfn.XLOOKUP($L195,Specs!A:A,Specs!C:C,0)</f>
        <v>0</v>
      </c>
      <c r="Y195" s="30">
        <f>_xlfn.XLOOKUP($Q195,Specs!F:F,Specs!G:G,0)*_xlfn.XLOOKUP($K195,'Sweetener Mix In Nutrition'!A:A,'Sweetener Mix In Nutrition'!I:I,0)*_xlfn.XLOOKUP($L195,Specs!A:A,Specs!C:C,0)</f>
        <v>0</v>
      </c>
      <c r="Z195" s="34">
        <f t="shared" si="6"/>
        <v>0</v>
      </c>
      <c r="AA195" s="35">
        <f t="shared" si="7"/>
        <v>0</v>
      </c>
      <c r="AB195" s="36">
        <f>(($R195 / 240) * _xlfn.XLOOKUP($D195,'Milk Types Nutrition Per Cup'!A:A,'Milk Types Nutrition Per Cup'!B:B,0)) +(($S195 / 240)  * _xlfn.XLOOKUP($E195,'Milk Types Nutrition Per Cup'!A:A,'Milk Types Nutrition Per Cup'!B:B,0)) +(($T195 / 15)  * _xlfn.XLOOKUP($F195,'Liquid Mix In Nutrition'!A:A,'Liquid Mix In Nutrition'!B:B,0))+(($U195 / 15)  * _xlfn.XLOOKUP($G195,'Liquid Mix In Nutrition'!A:A,'Liquid Mix In Nutrition'!B:B,0))+(($V195 /MAX(1, _xlfn.XLOOKUP($H195,'Solid Mix In Nutrition'!A:A,'Solid Mix In Nutrition'!I:I,1)))  * _xlfn.XLOOKUP($H195,'Solid Mix In Nutrition'!A:A,'Solid Mix In Nutrition'!B:B,0))+(($W195 / MAX(1, _xlfn.XLOOKUP($I195,'Solid Mix In Nutrition'!A:A,'Solid Mix In Nutrition'!I:I,1))))+(($X195 / 100)  * _xlfn.XLOOKUP($J195,'Sweetener Mix In Nutrition'!A:A,'Sweetener Mix In Nutrition'!B:B,0))+(($Y195 / 100)  * _xlfn.XLOOKUP($K195,'Sweetener Mix In Nutrition'!A:A,'Sweetener Mix In Nutrition'!B:B,0))</f>
        <v>0</v>
      </c>
      <c r="AC195" s="36">
        <f>(($R195 / 240) * _xlfn.XLOOKUP($D195,'Milk Types Nutrition Per Cup'!A:A,'Milk Types Nutrition Per Cup'!E:E,0)) +(($S195 / 240)  * _xlfn.XLOOKUP($E195,'Milk Types Nutrition Per Cup'!A:A,'Milk Types Nutrition Per Cup'!E:E,0)) +(($T195 / 15)  * _xlfn.XLOOKUP($F195,'Liquid Mix In Nutrition'!A:A,'Liquid Mix In Nutrition'!E:E,0)) +(($U195 / 15)  * _xlfn.XLOOKUP($G195,'Liquid Mix In Nutrition'!A:A,'Liquid Mix In Nutrition'!E:E,0))+(($V195 / MAX(1, _xlfn.XLOOKUP($H195,'Solid Mix In Nutrition'!A:A,'Solid Mix In Nutrition'!I:I,1)))  * _xlfn.XLOOKUP($H195,'Solid Mix In Nutrition'!A:A,'Solid Mix In Nutrition'!E:E,0))+(($W195 / MAX(1, _xlfn.XLOOKUP($I195,'Solid Mix In Nutrition'!A:A,'Solid Mix In Nutrition'!I:I,1)))  * _xlfn.XLOOKUP($I195,'Solid Mix In Nutrition'!A:A,'Solid Mix In Nutrition'!G:G,0))+(($X195 / 100)  * _xlfn.XLOOKUP($J195,'Sweetener Mix In Nutrition'!A:A,'Sweetener Mix In Nutrition'!E:E,0))+(($Y195 / 100)  * _xlfn.XLOOKUP($K195,'Sweetener Mix In Nutrition'!A:A,'Sweetener Mix In Nutrition'!E:E,0))</f>
        <v>0</v>
      </c>
      <c r="AD195" s="36">
        <f>(($R195 / 240) * _xlfn.XLOOKUP($D195,'Milk Types Nutrition Per Cup'!A:A,'Milk Types Nutrition Per Cup'!E:E,0)) +(($S195 / 240)  * _xlfn.XLOOKUP($E195,'Milk Types Nutrition Per Cup'!A:A,'Milk Types Nutrition Per Cup'!E:E,0)) +(($T195 / 15)  * _xlfn.XLOOKUP($F195,'Liquid Mix In Nutrition'!A:A,'Liquid Mix In Nutrition'!E:E,0)) +(($U195 / 15)  * _xlfn.XLOOKUP($G195,'Liquid Mix In Nutrition'!A:A,'Liquid Mix In Nutrition'!E:E,0))+(($X195 / 100)  * _xlfn.XLOOKUP($J195,'Sweetener Mix In Nutrition'!A:A,'Sweetener Mix In Nutrition'!E:E,0))+(($Y195 / 100)  * _xlfn.XLOOKUP($K195,'Sweetener Mix In Nutrition'!A:A,'Sweetener Mix In Nutrition'!E:E,0))</f>
        <v>0</v>
      </c>
      <c r="AE195" s="37">
        <f>(($R195 / 240) * _xlfn.XLOOKUP($D195,'Milk Types Nutrition Per Cup'!A:A,'Milk Types Nutrition Per Cup'!C:C,0)) +(($S195 / 240)  * _xlfn.XLOOKUP($E195,'Milk Types Nutrition Per Cup'!A:A,'Milk Types Nutrition Per Cup'!C:C,0)) +(($T195 / 15)  * _xlfn.XLOOKUP($F195,'Liquid Mix In Nutrition'!A:A,'Liquid Mix In Nutrition'!C:C,0))+(($U195 / 15)  * _xlfn.XLOOKUP($G195,'Liquid Mix In Nutrition'!A:A,'Liquid Mix In Nutrition'!C:C,0))+(($V195 / MAX(1, _xlfn.XLOOKUP($H195,'Solid Mix In Nutrition'!A:A,'Solid Mix In Nutrition'!I:I,1)))  * _xlfn.XLOOKUP($H195,'Solid Mix In Nutrition'!A:A,'Solid Mix In Nutrition'!C:C,0))+(($W195 / MAX(1, _xlfn.XLOOKUP($I195,'Solid Mix In Nutrition'!A:A,'Solid Mix In Nutrition'!I:I,1)))  * _xlfn.XLOOKUP($I195,'Solid Mix In Nutrition'!A:A,'Solid Mix In Nutrition'!C:C,0))+(($X195 / 100)  * _xlfn.XLOOKUP($J195,'Sweetener Mix In Nutrition'!A:A,'Sweetener Mix In Nutrition'!C:C,0))+(($Y195 / 100)  * _xlfn.XLOOKUP($K195,'Sweetener Mix In Nutrition'!A:A,'Sweetener Mix In Nutrition'!C:C,0))</f>
        <v>0</v>
      </c>
      <c r="AF195" s="38" t="e">
        <f>$AE195 / (_xlfn.XLOOKUP($L195,Specs!A:A,Specs!B:B,0))</f>
        <v>#DIV/0!</v>
      </c>
      <c r="AG195" s="37" t="e">
        <f>60* ($AB195 / _xlfn.XLOOKUP($L195,Specs!A:A,Specs!B:B,0))</f>
        <v>#DIV/0!</v>
      </c>
      <c r="AH195" s="37" t="e">
        <f>60* (AC195 / _xlfn.XLOOKUP($L195,Specs!$A:$A,Specs!$B:$B,0))</f>
        <v>#DIV/0!</v>
      </c>
      <c r="AI195" s="37" t="e">
        <f>60* (AE195 / _xlfn.XLOOKUP($L195,Specs!$A:$A,Specs!$B:$B,0))</f>
        <v>#DIV/0!</v>
      </c>
      <c r="AJ195" s="39">
        <f>(($R195 / 240) * _xlfn.XLOOKUP($D195,'Milk Types Nutrition Per Cup'!A:A,'Milk Types Nutrition Per Cup'!F:F,0)) +(($S195 / 240)  * _xlfn.XLOOKUP($E195,'Milk Types Nutrition Per Cup'!A:A,'Milk Types Nutrition Per Cup'!F:F,0)) +(($T195 / 15)  * _xlfn.XLOOKUP($F195,'Liquid Mix In Nutrition'!A:A,'Liquid Mix In Nutrition'!F:F,0))+(($U195 / 15)  * _xlfn.XLOOKUP($G195,'Liquid Mix In Nutrition'!A:A,'Liquid Mix In Nutrition'!F:F,0))+(($V195 / MAX(1, _xlfn.XLOOKUP($H195,'Solid Mix In Nutrition'!A:A,'Solid Mix In Nutrition'!I:I,1)))  * _xlfn.XLOOKUP($H195,'Solid Mix In Nutrition'!A:A,'Solid Mix In Nutrition'!F:F,0))+(($W195 / MAX(1, _xlfn.XLOOKUP($I195,'Solid Mix In Nutrition'!A:A,'Solid Mix In Nutrition'!I:I,1)))  * _xlfn.XLOOKUP($I195,'Solid Mix In Nutrition'!A:A,'Solid Mix In Nutrition'!F:F,0))+(($X195 / 100)  * _xlfn.XLOOKUP($J195,'Sweetener Mix In Nutrition'!A:A,'Sweetener Mix In Nutrition'!F:F,0))+(($Y195 / 100)  * _xlfn.XLOOKUP($K195,'Sweetener Mix In Nutrition'!A:A,'Sweetener Mix In Nutrition'!F:F,0))</f>
        <v>0</v>
      </c>
      <c r="AK195" s="46">
        <f>[2]Sheet1!AG195</f>
        <v>0</v>
      </c>
      <c r="AL195" s="47"/>
      <c r="AM195" s="40">
        <f>IF(ISERROR(((AL195/Specs!$L$3)*Specs!$L$2)*2),0,ROUNDUP((((AL195/Specs!$L$3)*Specs!$L$2)*2),0))</f>
        <v>0</v>
      </c>
      <c r="AN195" s="48">
        <f>ROUNDUP(((AJ195+Specs!$R$2+Specs!$S$2+_xlfn.XLOOKUP($L195,Specs!A:A,Specs!V:V,0))*Specs!$N$2)+AM195,0)</f>
        <v>1</v>
      </c>
      <c r="AO195" s="40">
        <f>ROUNDUP(((AJ195+Specs!$R$2+Specs!$S$2+_xlfn.XLOOKUP($L195,Specs!A:A,Specs!V:V,0))*Specs!$N$2),0)</f>
        <v>1</v>
      </c>
      <c r="AP195" s="30"/>
    </row>
    <row r="196" spans="1:42" x14ac:dyDescent="0.25">
      <c r="A196" s="41" t="str">
        <f>_xlfn.CONCAT(_xlfn.XLOOKUP("What's Your Name?",[1]Sheet1!$1:$1,[1]Sheet1!196:196)," | ",TEXT(_xlfn.XLOOKUP("Completion time",[1]Sheet1!$1:$1,[1]Sheet1!196:196),"dddd, mmm dd, yyyy hh:mm AM/PM"))</f>
        <v xml:space="preserve"> | Saturday, Jan 00, 1900 12:00 AM</v>
      </c>
      <c r="B196" s="76">
        <f>_xlfn.XLOOKUP("What's Your Email Address?",[1]Sheet1!$1:$1,[1]Sheet1!196:196)</f>
        <v>0</v>
      </c>
      <c r="C196" s="31">
        <f>IF(ISBLANK(_xlfn.XLOOKUP("Which Flavor? (Pint Price | Quart Price | Half Gallon Price) (NOTE: Prices may fluctuate based on market conditions)",[1]Sheet1!$1:$1,[1]Sheet1!196:196)),_xlfn.XLOOKUP("Name Your Ice Cream!",[1]Sheet1!$1:$1,[1]Sheet1!196:196),IF(ISNUMBER(FIND("(", _xlfn.XLOOKUP("Which Flavor? (Pint Price | Quart Price | Half Gallon Price) (NOTE: Prices may fluctuate based on market conditions)",[1]Sheet1!$1:$1,[1]Sheet1!196:196))), LEFT(_xlfn.XLOOKUP("Which Flavor? (Pint Price | Quart Price | Half Gallon Price) (NOTE: Prices may fluctuate based on market conditions)",[1]Sheet1!$1:$1,[1]Sheet1!196:196), FIND("(", _xlfn.XLOOKUP("Which Flavor? (Pint Price | Quart Price | Half Gallon Price) (NOTE: Prices may fluctuate based on market conditions)",[1]Sheet1!$1:$1,[1]Sheet1!196:196)) - 1), _xlfn.XLOOKUP("Which Flavor? (Pint Price | Quart Price | Half Gallon Price) (NOTE: Prices may fluctuate based on market conditions)",[1]Sheet1!$1:$1,[1]Sheet1!196:196)))</f>
        <v>0</v>
      </c>
      <c r="D196" s="31">
        <f>IF(COUNTIF('Premade Flavors'!$A:$A, $C196) &gt; 0,IF(ISBLANK(_xlfn.XLOOKUP("What Ice Cream Base Do You Want To Change It To?",[1]Sheet1!$1:$1,[1]Sheet1!196:196)),_xlfn.XLOOKUP($C196,'Premade Flavors'!$A:$A,'Premade Flavors'!B:B),_xlfn.XLOOKUP("What Ice Cream Base Do You Want To Change It To?",[1]Sheet1!$1:$1,[1]Sheet1!196:196)),_xlfn.XLOOKUP(_xlfn.XLOOKUP("What Kind Of Ice Cream Base Do You Want? ",[1]Sheet1!$1:$1,[1]Sheet1!196:196),'Milk Types Nutrition Per Cup'!O:O,'Milk Types Nutrition Per Cup'!P:P,""))</f>
        <v>0</v>
      </c>
      <c r="E196" s="31">
        <f>IF(COUNTIF('Premade Flavors'!$A:$A, $C196) &gt; 0,IF(ISBLANK(_xlfn.XLOOKUP("What Ice Cream Base Do You Want To Change It To?",[1]Sheet1!$1:$1,[1]Sheet1!196:196)),_xlfn.XLOOKUP($C196,'Premade Flavors'!$A:$A,'Premade Flavors'!C:C),_xlfn.XLOOKUP("What Ice Cream Base Do You Want To Change It To?",[1]Sheet1!$1:$1,[1]Sheet1!196:196)),_xlfn.XLOOKUP(_xlfn.XLOOKUP("What Kind Of Ice Cream Base Do You Want? ",[1]Sheet1!$1:$1,[1]Sheet1!196:196),'Milk Types Nutrition Per Cup'!$O:$O,'Milk Types Nutrition Per Cup'!$Q:$Q,""))</f>
        <v>0</v>
      </c>
      <c r="F196" s="31">
        <f>IF(COUNTIF('Premade Flavors'!$A:$A, $C196) &gt; 0,_xlfn.XLOOKUP($C196,'Premade Flavors'!$A:$A,'Premade Flavors'!E:E),_xlfn.XLOOKUP("What's The First Flavor You Want? ",[1]Sheet1!$1:$1,[1]Sheet1!196:196))</f>
        <v>0</v>
      </c>
      <c r="G196" s="31">
        <f>IF(COUNTIF('Premade Flavors'!$A:$A, $C196) &gt; 0,_xlfn.XLOOKUP($C196,'Premade Flavors'!$A:$A,'Premade Flavors'!F:F),_xlfn.XLOOKUP("What's the Second Flavor You Want?",[1]Sheet1!$1:$1,[1]Sheet1!196:196))</f>
        <v>0</v>
      </c>
      <c r="H196" s="31">
        <f>IF(COUNTIF('Premade Flavors'!$A:$A, $C196) &gt; 0,_xlfn.XLOOKUP($C196,'Premade Flavors'!$A:$A,'Premade Flavors'!G:G),_xlfn.XLOOKUP("What's The First Mix In That You Want? ",[1]Sheet1!$1:$1,[1]Sheet1!196:196))</f>
        <v>0</v>
      </c>
      <c r="I196" s="31">
        <f>IF(COUNTIF('Premade Flavors'!$A:$A, $C194) &gt; 0,_xlfn.XLOOKUP($C194,'Premade Flavors'!$A:$A,'Premade Flavors'!H:H),IF([2]Sheet1!W194= 0,,[2]Sheet1!W194))</f>
        <v>0</v>
      </c>
      <c r="J196" s="31">
        <f>IF(COUNTIF('Premade Flavors'!$A:$A,$C196)&gt;0,IF(_xlfn.XLOOKUP("Should It Use Sugar or A Non-Sugar Sweetner?",[1]Sheet1!$1:$1,[1]Sheet1!196:196)="Sugar",_xlfn.XLOOKUP($C196,'Premade Flavors'!$A:$A,'Premade Flavors'!I:I),"Stevia"),_xlfn.XLOOKUP("What Sweetner Do You Want?",[1]Sheet1!$1:$1,[1]Sheet1!196:196))</f>
        <v>0</v>
      </c>
      <c r="K196" s="31"/>
      <c r="L196" s="77">
        <f>_xlfn.XLOOKUP("How Much Ice Cream Do You Want?",[1]Sheet1!$1:$1,[1]Sheet1!196:196)</f>
        <v>0</v>
      </c>
      <c r="M196" s="45">
        <f>IF(COUNTIF('Premade Flavors'!$A:$A, $C196) &gt; 0,_xlfn.XLOOKUP($C196,'Premade Flavors'!$A:$A,'Premade Flavors'!M:M),_xlfn.XLOOKUP("How Strong Do You Want The First Flavor?",[1]Sheet1!$1:$1,[1]Sheet1!196:196))</f>
        <v>0</v>
      </c>
      <c r="N196" s="45">
        <f>IF(COUNTIF('Premade Flavors'!$A:$A, $C196) &gt; 0,_xlfn.XLOOKUP($C196,'Premade Flavors'!$A:$A,'Premade Flavors'!N:N),_xlfn.XLOOKUP("How Strong Do You Want The Second Flavor?",[1]Sheet1!$1:$1,[1]Sheet1!196:196))</f>
        <v>0</v>
      </c>
      <c r="O196" s="45">
        <f>IF(COUNTIF('Premade Flavors'!$A:$A, $C196) &gt; 0,_xlfn.XLOOKUP($C196,'Premade Flavors'!$A:$A,'Premade Flavors'!O:O),_xlfn.XLOOKUP("How Dense Should the Mix Ins Be?",[1]Sheet1!$1:$1,[1]Sheet1!196:196))</f>
        <v>0</v>
      </c>
      <c r="P196" s="45">
        <f>IF(COUNTIF('Premade Flavors'!$A:$A, $C196) &gt; 0,_xlfn.XLOOKUP($C196,'Premade Flavors'!$A:$A,'Premade Flavors'!P:P),_xlfn.XLOOKUP("How Much Of The First Sweetner? ",[1]Sheet1!$1:$1,[1]Sheet1!196:196))</f>
        <v>0</v>
      </c>
      <c r="Q196" s="45">
        <f>IF(COUNTIF('Premade Flavors'!$A:$A, $C196) &gt; 0,_xlfn.XLOOKUP($C196,'Premade Flavors'!$A:$A,'Premade Flavors'!Q:Q),[2]Sheet1!S196)</f>
        <v>0</v>
      </c>
      <c r="R196" s="30">
        <f>(_xlfn.XLOOKUP($L196,Specs!A:A,Specs!B:B,0)-(IF(_xlfn.XLOOKUP($F196,'Liquid Mix In Nutrition'!A:A,'Liquid Mix In Nutrition'!J:J,0)="Yes",0,$T196))-(IF(_xlfn.XLOOKUP($G196,'Liquid Mix In Nutrition'!A:A,'Liquid Mix In Nutrition'!J:J,0)="Yes",0,$U196))-(($V196/MAX(1,_xlfn.XLOOKUP($H196,'Solid Mix In Nutrition'!A:A,'Solid Mix In Nutrition'!I:I,1)))*240)-(($W196/MAX(1,_xlfn.XLOOKUP($I196,'Solid Mix In Nutrition'!A:A,'Solid Mix In Nutrition'!I:I,1)))*240))*0.66</f>
        <v>0</v>
      </c>
      <c r="S196" s="30">
        <f>(_xlfn.XLOOKUP($L196,Specs!A:A,Specs!B:B,0)-(IF(_xlfn.XLOOKUP($F196,'Liquid Mix In Nutrition'!A:A,'Liquid Mix In Nutrition'!J:J,0)="Yes",0,$T196))-(IF(_xlfn.XLOOKUP($G196,'Liquid Mix In Nutrition'!A:A,'Liquid Mix In Nutrition'!J:J,0)="Yes",0,$U196))-(($V196/MAX(1,_xlfn.XLOOKUP($H196,'Solid Mix In Nutrition'!A:A,'Solid Mix In Nutrition'!I:I,1)))*240)-(($W196/MAX(1,_xlfn.XLOOKUP($I196,'Solid Mix In Nutrition'!A:A,'Solid Mix In Nutrition'!I:I,1)))*240))*0.33</f>
        <v>0</v>
      </c>
      <c r="T196" s="30">
        <f>_xlfn.XLOOKUP($M196,Specs!$D:$D,Specs!$E:$E,0)*15*_xlfn.XLOOKUP($L196,Specs!$A:$A,Specs!$C:$C,0)</f>
        <v>0</v>
      </c>
      <c r="U196" s="30">
        <f>_xlfn.XLOOKUP($N196,Specs!$D:$D,Specs!$E:$E,0)*15*_xlfn.XLOOKUP($L196,Specs!$A:$A,Specs!$C:$C,0)</f>
        <v>0</v>
      </c>
      <c r="V196" s="30">
        <f>( ((_xlfn.XLOOKUP($O196,Specs!$H:$H,Specs!$I:$I,0)*_xlfn.XLOOKUP($L196,Specs!$A:$A,Specs!$B:$B,0))/240) *_xlfn.XLOOKUP($H196,'Solid Mix In Nutrition'!A:A,'Solid Mix In Nutrition'!I:I,0)) *IF(AND(NOT($I196=0), COUNTA($I196)),0.5,1)</f>
        <v>0</v>
      </c>
      <c r="W196" s="30">
        <f>( ((_xlfn.XLOOKUP($O196,Specs!$H:$H,Specs!$I:$I,0)*_xlfn.XLOOKUP($L196,Specs!$A:$A,Specs!$B:$B,0))/240) *_xlfn.XLOOKUP($I196,'Solid Mix In Nutrition'!A:A,'Solid Mix In Nutrition'!I:I,0)) *IF(AND(NOT($I196=0), COUNTA($I196)),0.5,0)</f>
        <v>0</v>
      </c>
      <c r="X196" s="30">
        <f>_xlfn.XLOOKUP($P196,Specs!F:F,Specs!G:G,0)*_xlfn.XLOOKUP($J196,'Sweetener Mix In Nutrition'!A:A,'Sweetener Mix In Nutrition'!I:I,0)*_xlfn.XLOOKUP($L196,Specs!A:A,Specs!C:C,0)</f>
        <v>0</v>
      </c>
      <c r="Y196" s="30">
        <f>_xlfn.XLOOKUP($Q196,Specs!F:F,Specs!G:G,0)*_xlfn.XLOOKUP($K196,'Sweetener Mix In Nutrition'!A:A,'Sweetener Mix In Nutrition'!I:I,0)*_xlfn.XLOOKUP($L196,Specs!A:A,Specs!C:C,0)</f>
        <v>0</v>
      </c>
      <c r="Z196" s="34">
        <f t="shared" si="6"/>
        <v>0</v>
      </c>
      <c r="AA196" s="35">
        <f t="shared" si="7"/>
        <v>0</v>
      </c>
      <c r="AB196" s="36">
        <f>(($R196 / 240) * _xlfn.XLOOKUP($D196,'Milk Types Nutrition Per Cup'!A:A,'Milk Types Nutrition Per Cup'!B:B,0)) +(($S196 / 240)  * _xlfn.XLOOKUP($E196,'Milk Types Nutrition Per Cup'!A:A,'Milk Types Nutrition Per Cup'!B:B,0)) +(($T196 / 15)  * _xlfn.XLOOKUP($F196,'Liquid Mix In Nutrition'!A:A,'Liquid Mix In Nutrition'!B:B,0))+(($U196 / 15)  * _xlfn.XLOOKUP($G196,'Liquid Mix In Nutrition'!A:A,'Liquid Mix In Nutrition'!B:B,0))+(($V196 /MAX(1, _xlfn.XLOOKUP($H196,'Solid Mix In Nutrition'!A:A,'Solid Mix In Nutrition'!I:I,1)))  * _xlfn.XLOOKUP($H196,'Solid Mix In Nutrition'!A:A,'Solid Mix In Nutrition'!B:B,0))+(($W196 / MAX(1, _xlfn.XLOOKUP($I196,'Solid Mix In Nutrition'!A:A,'Solid Mix In Nutrition'!I:I,1))))+(($X196 / 100)  * _xlfn.XLOOKUP($J196,'Sweetener Mix In Nutrition'!A:A,'Sweetener Mix In Nutrition'!B:B,0))+(($Y196 / 100)  * _xlfn.XLOOKUP($K196,'Sweetener Mix In Nutrition'!A:A,'Sweetener Mix In Nutrition'!B:B,0))</f>
        <v>0</v>
      </c>
      <c r="AC196" s="36">
        <f>(($R196 / 240) * _xlfn.XLOOKUP($D196,'Milk Types Nutrition Per Cup'!A:A,'Milk Types Nutrition Per Cup'!E:E,0)) +(($S196 / 240)  * _xlfn.XLOOKUP($E196,'Milk Types Nutrition Per Cup'!A:A,'Milk Types Nutrition Per Cup'!E:E,0)) +(($T196 / 15)  * _xlfn.XLOOKUP($F196,'Liquid Mix In Nutrition'!A:A,'Liquid Mix In Nutrition'!E:E,0)) +(($U196 / 15)  * _xlfn.XLOOKUP($G196,'Liquid Mix In Nutrition'!A:A,'Liquid Mix In Nutrition'!E:E,0))+(($V196 / MAX(1, _xlfn.XLOOKUP($H196,'Solid Mix In Nutrition'!A:A,'Solid Mix In Nutrition'!I:I,1)))  * _xlfn.XLOOKUP($H196,'Solid Mix In Nutrition'!A:A,'Solid Mix In Nutrition'!E:E,0))+(($W196 / MAX(1, _xlfn.XLOOKUP($I196,'Solid Mix In Nutrition'!A:A,'Solid Mix In Nutrition'!I:I,1)))  * _xlfn.XLOOKUP($I196,'Solid Mix In Nutrition'!A:A,'Solid Mix In Nutrition'!G:G,0))+(($X196 / 100)  * _xlfn.XLOOKUP($J196,'Sweetener Mix In Nutrition'!A:A,'Sweetener Mix In Nutrition'!E:E,0))+(($Y196 / 100)  * _xlfn.XLOOKUP($K196,'Sweetener Mix In Nutrition'!A:A,'Sweetener Mix In Nutrition'!E:E,0))</f>
        <v>0</v>
      </c>
      <c r="AD196" s="36">
        <f>(($R196 / 240) * _xlfn.XLOOKUP($D196,'Milk Types Nutrition Per Cup'!A:A,'Milk Types Nutrition Per Cup'!E:E,0)) +(($S196 / 240)  * _xlfn.XLOOKUP($E196,'Milk Types Nutrition Per Cup'!A:A,'Milk Types Nutrition Per Cup'!E:E,0)) +(($T196 / 15)  * _xlfn.XLOOKUP($F196,'Liquid Mix In Nutrition'!A:A,'Liquid Mix In Nutrition'!E:E,0)) +(($U196 / 15)  * _xlfn.XLOOKUP($G196,'Liquid Mix In Nutrition'!A:A,'Liquid Mix In Nutrition'!E:E,0))+(($X196 / 100)  * _xlfn.XLOOKUP($J196,'Sweetener Mix In Nutrition'!A:A,'Sweetener Mix In Nutrition'!E:E,0))+(($Y196 / 100)  * _xlfn.XLOOKUP($K196,'Sweetener Mix In Nutrition'!A:A,'Sweetener Mix In Nutrition'!E:E,0))</f>
        <v>0</v>
      </c>
      <c r="AE196" s="37">
        <f>(($R196 / 240) * _xlfn.XLOOKUP($D196,'Milk Types Nutrition Per Cup'!A:A,'Milk Types Nutrition Per Cup'!C:C,0)) +(($S196 / 240)  * _xlfn.XLOOKUP($E196,'Milk Types Nutrition Per Cup'!A:A,'Milk Types Nutrition Per Cup'!C:C,0)) +(($T196 / 15)  * _xlfn.XLOOKUP($F196,'Liquid Mix In Nutrition'!A:A,'Liquid Mix In Nutrition'!C:C,0))+(($U196 / 15)  * _xlfn.XLOOKUP($G196,'Liquid Mix In Nutrition'!A:A,'Liquid Mix In Nutrition'!C:C,0))+(($V196 / MAX(1, _xlfn.XLOOKUP($H196,'Solid Mix In Nutrition'!A:A,'Solid Mix In Nutrition'!I:I,1)))  * _xlfn.XLOOKUP($H196,'Solid Mix In Nutrition'!A:A,'Solid Mix In Nutrition'!C:C,0))+(($W196 / MAX(1, _xlfn.XLOOKUP($I196,'Solid Mix In Nutrition'!A:A,'Solid Mix In Nutrition'!I:I,1)))  * _xlfn.XLOOKUP($I196,'Solid Mix In Nutrition'!A:A,'Solid Mix In Nutrition'!C:C,0))+(($X196 / 100)  * _xlfn.XLOOKUP($J196,'Sweetener Mix In Nutrition'!A:A,'Sweetener Mix In Nutrition'!C:C,0))+(($Y196 / 100)  * _xlfn.XLOOKUP($K196,'Sweetener Mix In Nutrition'!A:A,'Sweetener Mix In Nutrition'!C:C,0))</f>
        <v>0</v>
      </c>
      <c r="AF196" s="38" t="e">
        <f>$AE196 / (_xlfn.XLOOKUP($L196,Specs!A:A,Specs!B:B,0))</f>
        <v>#DIV/0!</v>
      </c>
      <c r="AG196" s="37" t="e">
        <f>60* ($AB196 / _xlfn.XLOOKUP($L196,Specs!A:A,Specs!B:B,0))</f>
        <v>#DIV/0!</v>
      </c>
      <c r="AH196" s="37" t="e">
        <f>60* (AC196 / _xlfn.XLOOKUP($L196,Specs!$A:$A,Specs!$B:$B,0))</f>
        <v>#DIV/0!</v>
      </c>
      <c r="AI196" s="37" t="e">
        <f>60* (AE196 / _xlfn.XLOOKUP($L196,Specs!$A:$A,Specs!$B:$B,0))</f>
        <v>#DIV/0!</v>
      </c>
      <c r="AJ196" s="39">
        <f>(($R196 / 240) * _xlfn.XLOOKUP($D196,'Milk Types Nutrition Per Cup'!A:A,'Milk Types Nutrition Per Cup'!F:F,0)) +(($S196 / 240)  * _xlfn.XLOOKUP($E196,'Milk Types Nutrition Per Cup'!A:A,'Milk Types Nutrition Per Cup'!F:F,0)) +(($T196 / 15)  * _xlfn.XLOOKUP($F196,'Liquid Mix In Nutrition'!A:A,'Liquid Mix In Nutrition'!F:F,0))+(($U196 / 15)  * _xlfn.XLOOKUP($G196,'Liquid Mix In Nutrition'!A:A,'Liquid Mix In Nutrition'!F:F,0))+(($V196 / MAX(1, _xlfn.XLOOKUP($H196,'Solid Mix In Nutrition'!A:A,'Solid Mix In Nutrition'!I:I,1)))  * _xlfn.XLOOKUP($H196,'Solid Mix In Nutrition'!A:A,'Solid Mix In Nutrition'!F:F,0))+(($W196 / MAX(1, _xlfn.XLOOKUP($I196,'Solid Mix In Nutrition'!A:A,'Solid Mix In Nutrition'!I:I,1)))  * _xlfn.XLOOKUP($I196,'Solid Mix In Nutrition'!A:A,'Solid Mix In Nutrition'!F:F,0))+(($X196 / 100)  * _xlfn.XLOOKUP($J196,'Sweetener Mix In Nutrition'!A:A,'Sweetener Mix In Nutrition'!F:F,0))+(($Y196 / 100)  * _xlfn.XLOOKUP($K196,'Sweetener Mix In Nutrition'!A:A,'Sweetener Mix In Nutrition'!F:F,0))</f>
        <v>0</v>
      </c>
      <c r="AK196" s="46">
        <f>[2]Sheet1!AG196</f>
        <v>0</v>
      </c>
      <c r="AL196" s="47"/>
      <c r="AM196" s="40">
        <f>IF(ISERROR(((AL196/Specs!$L$3)*Specs!$L$2)*2),0,ROUNDUP((((AL196/Specs!$L$3)*Specs!$L$2)*2),0))</f>
        <v>0</v>
      </c>
      <c r="AN196" s="48">
        <f>ROUNDUP(((AJ196+Specs!$R$2+Specs!$S$2+_xlfn.XLOOKUP($L196,Specs!A:A,Specs!V:V,0))*Specs!$N$2)+AM196,0)</f>
        <v>1</v>
      </c>
      <c r="AO196" s="40">
        <f>ROUNDUP(((AJ196+Specs!$R$2+Specs!$S$2+_xlfn.XLOOKUP($L196,Specs!A:A,Specs!V:V,0))*Specs!$N$2),0)</f>
        <v>1</v>
      </c>
      <c r="AP196" s="30"/>
    </row>
    <row r="197" spans="1:42" x14ac:dyDescent="0.25">
      <c r="A197" s="41" t="str">
        <f>_xlfn.CONCAT(_xlfn.XLOOKUP("What's Your Name?",[1]Sheet1!$1:$1,[1]Sheet1!197:197)," | ",TEXT(_xlfn.XLOOKUP("Completion time",[1]Sheet1!$1:$1,[1]Sheet1!197:197),"dddd, mmm dd, yyyy hh:mm AM/PM"))</f>
        <v xml:space="preserve"> | Saturday, Jan 00, 1900 12:00 AM</v>
      </c>
      <c r="B197" s="76">
        <f>_xlfn.XLOOKUP("What's Your Email Address?",[1]Sheet1!$1:$1,[1]Sheet1!197:197)</f>
        <v>0</v>
      </c>
      <c r="C197" s="31">
        <f>IF(ISBLANK(_xlfn.XLOOKUP("Which Flavor? (Pint Price | Quart Price | Half Gallon Price) (NOTE: Prices may fluctuate based on market conditions)",[1]Sheet1!$1:$1,[1]Sheet1!197:197)),_xlfn.XLOOKUP("Name Your Ice Cream!",[1]Sheet1!$1:$1,[1]Sheet1!197:197),IF(ISNUMBER(FIND("(", _xlfn.XLOOKUP("Which Flavor? (Pint Price | Quart Price | Half Gallon Price) (NOTE: Prices may fluctuate based on market conditions)",[1]Sheet1!$1:$1,[1]Sheet1!197:197))), LEFT(_xlfn.XLOOKUP("Which Flavor? (Pint Price | Quart Price | Half Gallon Price) (NOTE: Prices may fluctuate based on market conditions)",[1]Sheet1!$1:$1,[1]Sheet1!197:197), FIND("(", _xlfn.XLOOKUP("Which Flavor? (Pint Price | Quart Price | Half Gallon Price) (NOTE: Prices may fluctuate based on market conditions)",[1]Sheet1!$1:$1,[1]Sheet1!197:197)) - 1), _xlfn.XLOOKUP("Which Flavor? (Pint Price | Quart Price | Half Gallon Price) (NOTE: Prices may fluctuate based on market conditions)",[1]Sheet1!$1:$1,[1]Sheet1!197:197)))</f>
        <v>0</v>
      </c>
      <c r="D197" s="31">
        <f>IF(COUNTIF('Premade Flavors'!$A:$A, $C197) &gt; 0,IF(ISBLANK(_xlfn.XLOOKUP("What Ice Cream Base Do You Want To Change It To?",[1]Sheet1!$1:$1,[1]Sheet1!197:197)),_xlfn.XLOOKUP($C197,'Premade Flavors'!$A:$A,'Premade Flavors'!B:B),_xlfn.XLOOKUP("What Ice Cream Base Do You Want To Change It To?",[1]Sheet1!$1:$1,[1]Sheet1!197:197)),_xlfn.XLOOKUP(_xlfn.XLOOKUP("What Kind Of Ice Cream Base Do You Want? ",[1]Sheet1!$1:$1,[1]Sheet1!197:197),'Milk Types Nutrition Per Cup'!O:O,'Milk Types Nutrition Per Cup'!P:P,""))</f>
        <v>0</v>
      </c>
      <c r="E197" s="31">
        <f>IF(COUNTIF('Premade Flavors'!$A:$A, $C197) &gt; 0,IF(ISBLANK(_xlfn.XLOOKUP("What Ice Cream Base Do You Want To Change It To?",[1]Sheet1!$1:$1,[1]Sheet1!197:197)),_xlfn.XLOOKUP($C197,'Premade Flavors'!$A:$A,'Premade Flavors'!C:C),_xlfn.XLOOKUP("What Ice Cream Base Do You Want To Change It To?",[1]Sheet1!$1:$1,[1]Sheet1!197:197)),_xlfn.XLOOKUP(_xlfn.XLOOKUP("What Kind Of Ice Cream Base Do You Want? ",[1]Sheet1!$1:$1,[1]Sheet1!197:197),'Milk Types Nutrition Per Cup'!$O:$O,'Milk Types Nutrition Per Cup'!$Q:$Q,""))</f>
        <v>0</v>
      </c>
      <c r="F197" s="31">
        <f>IF(COUNTIF('Premade Flavors'!$A:$A, $C197) &gt; 0,_xlfn.XLOOKUP($C197,'Premade Flavors'!$A:$A,'Premade Flavors'!E:E),_xlfn.XLOOKUP("What's The First Flavor You Want? ",[1]Sheet1!$1:$1,[1]Sheet1!197:197))</f>
        <v>0</v>
      </c>
      <c r="G197" s="31">
        <f>IF(COUNTIF('Premade Flavors'!$A:$A, $C197) &gt; 0,_xlfn.XLOOKUP($C197,'Premade Flavors'!$A:$A,'Premade Flavors'!F:F),_xlfn.XLOOKUP("What's the Second Flavor You Want?",[1]Sheet1!$1:$1,[1]Sheet1!197:197))</f>
        <v>0</v>
      </c>
      <c r="H197" s="31">
        <f>IF(COUNTIF('Premade Flavors'!$A:$A, $C197) &gt; 0,_xlfn.XLOOKUP($C197,'Premade Flavors'!$A:$A,'Premade Flavors'!G:G),_xlfn.XLOOKUP("What's The First Mix In That You Want? ",[1]Sheet1!$1:$1,[1]Sheet1!197:197))</f>
        <v>0</v>
      </c>
      <c r="I197" s="31">
        <f>IF(COUNTIF('Premade Flavors'!$A:$A, $C195) &gt; 0,_xlfn.XLOOKUP($C195,'Premade Flavors'!$A:$A,'Premade Flavors'!H:H),IF([2]Sheet1!W195= 0,,[2]Sheet1!W195))</f>
        <v>0</v>
      </c>
      <c r="J197" s="31">
        <f>IF(COUNTIF('Premade Flavors'!$A:$A,$C197)&gt;0,IF(_xlfn.XLOOKUP("Should It Use Sugar or A Non-Sugar Sweetner?",[1]Sheet1!$1:$1,[1]Sheet1!197:197)="Sugar",_xlfn.XLOOKUP($C197,'Premade Flavors'!$A:$A,'Premade Flavors'!I:I),"Stevia"),_xlfn.XLOOKUP("What Sweetner Do You Want?",[1]Sheet1!$1:$1,[1]Sheet1!197:197))</f>
        <v>0</v>
      </c>
      <c r="K197" s="31"/>
      <c r="L197" s="77">
        <f>_xlfn.XLOOKUP("How Much Ice Cream Do You Want?",[1]Sheet1!$1:$1,[1]Sheet1!197:197)</f>
        <v>0</v>
      </c>
      <c r="M197" s="45">
        <f>IF(COUNTIF('Premade Flavors'!$A:$A, $C197) &gt; 0,_xlfn.XLOOKUP($C197,'Premade Flavors'!$A:$A,'Premade Flavors'!M:M),_xlfn.XLOOKUP("How Strong Do You Want The First Flavor?",[1]Sheet1!$1:$1,[1]Sheet1!197:197))</f>
        <v>0</v>
      </c>
      <c r="N197" s="45">
        <f>IF(COUNTIF('Premade Flavors'!$A:$A, $C197) &gt; 0,_xlfn.XLOOKUP($C197,'Premade Flavors'!$A:$A,'Premade Flavors'!N:N),_xlfn.XLOOKUP("How Strong Do You Want The Second Flavor?",[1]Sheet1!$1:$1,[1]Sheet1!197:197))</f>
        <v>0</v>
      </c>
      <c r="O197" s="45">
        <f>IF(COUNTIF('Premade Flavors'!$A:$A, $C197) &gt; 0,_xlfn.XLOOKUP($C197,'Premade Flavors'!$A:$A,'Premade Flavors'!O:O),_xlfn.XLOOKUP("How Dense Should the Mix Ins Be?",[1]Sheet1!$1:$1,[1]Sheet1!197:197))</f>
        <v>0</v>
      </c>
      <c r="P197" s="45">
        <f>IF(COUNTIF('Premade Flavors'!$A:$A, $C197) &gt; 0,_xlfn.XLOOKUP($C197,'Premade Flavors'!$A:$A,'Premade Flavors'!P:P),_xlfn.XLOOKUP("How Much Of The First Sweetner? ",[1]Sheet1!$1:$1,[1]Sheet1!197:197))</f>
        <v>0</v>
      </c>
      <c r="Q197" s="45">
        <f>IF(COUNTIF('Premade Flavors'!$A:$A, $C197) &gt; 0,_xlfn.XLOOKUP($C197,'Premade Flavors'!$A:$A,'Premade Flavors'!Q:Q),[2]Sheet1!S197)</f>
        <v>0</v>
      </c>
      <c r="R197" s="30">
        <f>(_xlfn.XLOOKUP($L197,Specs!A:A,Specs!B:B,0)-(IF(_xlfn.XLOOKUP($F197,'Liquid Mix In Nutrition'!A:A,'Liquid Mix In Nutrition'!J:J,0)="Yes",0,$T197))-(IF(_xlfn.XLOOKUP($G197,'Liquid Mix In Nutrition'!A:A,'Liquid Mix In Nutrition'!J:J,0)="Yes",0,$U197))-(($V197/MAX(1,_xlfn.XLOOKUP($H197,'Solid Mix In Nutrition'!A:A,'Solid Mix In Nutrition'!I:I,1)))*240)-(($W197/MAX(1,_xlfn.XLOOKUP($I197,'Solid Mix In Nutrition'!A:A,'Solid Mix In Nutrition'!I:I,1)))*240))*0.66</f>
        <v>0</v>
      </c>
      <c r="S197" s="30">
        <f>(_xlfn.XLOOKUP($L197,Specs!A:A,Specs!B:B,0)-(IF(_xlfn.XLOOKUP($F197,'Liquid Mix In Nutrition'!A:A,'Liquid Mix In Nutrition'!J:J,0)="Yes",0,$T197))-(IF(_xlfn.XLOOKUP($G197,'Liquid Mix In Nutrition'!A:A,'Liquid Mix In Nutrition'!J:J,0)="Yes",0,$U197))-(($V197/MAX(1,_xlfn.XLOOKUP($H197,'Solid Mix In Nutrition'!A:A,'Solid Mix In Nutrition'!I:I,1)))*240)-(($W197/MAX(1,_xlfn.XLOOKUP($I197,'Solid Mix In Nutrition'!A:A,'Solid Mix In Nutrition'!I:I,1)))*240))*0.33</f>
        <v>0</v>
      </c>
      <c r="T197" s="30">
        <f>_xlfn.XLOOKUP($M197,Specs!$D:$D,Specs!$E:$E,0)*15*_xlfn.XLOOKUP($L197,Specs!$A:$A,Specs!$C:$C,0)</f>
        <v>0</v>
      </c>
      <c r="U197" s="30">
        <f>_xlfn.XLOOKUP($N197,Specs!$D:$D,Specs!$E:$E,0)*15*_xlfn.XLOOKUP($L197,Specs!$A:$A,Specs!$C:$C,0)</f>
        <v>0</v>
      </c>
      <c r="V197" s="30">
        <f>( ((_xlfn.XLOOKUP($O197,Specs!$H:$H,Specs!$I:$I,0)*_xlfn.XLOOKUP($L197,Specs!$A:$A,Specs!$B:$B,0))/240) *_xlfn.XLOOKUP($H197,'Solid Mix In Nutrition'!A:A,'Solid Mix In Nutrition'!I:I,0)) *IF(AND(NOT($I197=0), COUNTA($I197)),0.5,1)</f>
        <v>0</v>
      </c>
      <c r="W197" s="30">
        <f>( ((_xlfn.XLOOKUP($O197,Specs!$H:$H,Specs!$I:$I,0)*_xlfn.XLOOKUP($L197,Specs!$A:$A,Specs!$B:$B,0))/240) *_xlfn.XLOOKUP($I197,'Solid Mix In Nutrition'!A:A,'Solid Mix In Nutrition'!I:I,0)) *IF(AND(NOT($I197=0), COUNTA($I197)),0.5,0)</f>
        <v>0</v>
      </c>
      <c r="X197" s="30">
        <f>_xlfn.XLOOKUP($P197,Specs!F:F,Specs!G:G,0)*_xlfn.XLOOKUP($J197,'Sweetener Mix In Nutrition'!A:A,'Sweetener Mix In Nutrition'!I:I,0)*_xlfn.XLOOKUP($L197,Specs!A:A,Specs!C:C,0)</f>
        <v>0</v>
      </c>
      <c r="Y197" s="30">
        <f>_xlfn.XLOOKUP($Q197,Specs!F:F,Specs!G:G,0)*_xlfn.XLOOKUP($K197,'Sweetener Mix In Nutrition'!A:A,'Sweetener Mix In Nutrition'!I:I,0)*_xlfn.XLOOKUP($L197,Specs!A:A,Specs!C:C,0)</f>
        <v>0</v>
      </c>
      <c r="Z197" s="34">
        <f t="shared" si="6"/>
        <v>0</v>
      </c>
      <c r="AA197" s="35">
        <f t="shared" si="7"/>
        <v>0</v>
      </c>
      <c r="AB197" s="36">
        <f>(($R197 / 240) * _xlfn.XLOOKUP($D197,'Milk Types Nutrition Per Cup'!A:A,'Milk Types Nutrition Per Cup'!B:B,0)) +(($S197 / 240)  * _xlfn.XLOOKUP($E197,'Milk Types Nutrition Per Cup'!A:A,'Milk Types Nutrition Per Cup'!B:B,0)) +(($T197 / 15)  * _xlfn.XLOOKUP($F197,'Liquid Mix In Nutrition'!A:A,'Liquid Mix In Nutrition'!B:B,0))+(($U197 / 15)  * _xlfn.XLOOKUP($G197,'Liquid Mix In Nutrition'!A:A,'Liquid Mix In Nutrition'!B:B,0))+(($V197 /MAX(1, _xlfn.XLOOKUP($H197,'Solid Mix In Nutrition'!A:A,'Solid Mix In Nutrition'!I:I,1)))  * _xlfn.XLOOKUP($H197,'Solid Mix In Nutrition'!A:A,'Solid Mix In Nutrition'!B:B,0))+(($W197 / MAX(1, _xlfn.XLOOKUP($I197,'Solid Mix In Nutrition'!A:A,'Solid Mix In Nutrition'!I:I,1))))+(($X197 / 100)  * _xlfn.XLOOKUP($J197,'Sweetener Mix In Nutrition'!A:A,'Sweetener Mix In Nutrition'!B:B,0))+(($Y197 / 100)  * _xlfn.XLOOKUP($K197,'Sweetener Mix In Nutrition'!A:A,'Sweetener Mix In Nutrition'!B:B,0))</f>
        <v>0</v>
      </c>
      <c r="AC197" s="36">
        <f>(($R197 / 240) * _xlfn.XLOOKUP($D197,'Milk Types Nutrition Per Cup'!A:A,'Milk Types Nutrition Per Cup'!E:E,0)) +(($S197 / 240)  * _xlfn.XLOOKUP($E197,'Milk Types Nutrition Per Cup'!A:A,'Milk Types Nutrition Per Cup'!E:E,0)) +(($T197 / 15)  * _xlfn.XLOOKUP($F197,'Liquid Mix In Nutrition'!A:A,'Liquid Mix In Nutrition'!E:E,0)) +(($U197 / 15)  * _xlfn.XLOOKUP($G197,'Liquid Mix In Nutrition'!A:A,'Liquid Mix In Nutrition'!E:E,0))+(($V197 / MAX(1, _xlfn.XLOOKUP($H197,'Solid Mix In Nutrition'!A:A,'Solid Mix In Nutrition'!I:I,1)))  * _xlfn.XLOOKUP($H197,'Solid Mix In Nutrition'!A:A,'Solid Mix In Nutrition'!E:E,0))+(($W197 / MAX(1, _xlfn.XLOOKUP($I197,'Solid Mix In Nutrition'!A:A,'Solid Mix In Nutrition'!I:I,1)))  * _xlfn.XLOOKUP($I197,'Solid Mix In Nutrition'!A:A,'Solid Mix In Nutrition'!G:G,0))+(($X197 / 100)  * _xlfn.XLOOKUP($J197,'Sweetener Mix In Nutrition'!A:A,'Sweetener Mix In Nutrition'!E:E,0))+(($Y197 / 100)  * _xlfn.XLOOKUP($K197,'Sweetener Mix In Nutrition'!A:A,'Sweetener Mix In Nutrition'!E:E,0))</f>
        <v>0</v>
      </c>
      <c r="AD197" s="36">
        <f>(($R197 / 240) * _xlfn.XLOOKUP($D197,'Milk Types Nutrition Per Cup'!A:A,'Milk Types Nutrition Per Cup'!E:E,0)) +(($S197 / 240)  * _xlfn.XLOOKUP($E197,'Milk Types Nutrition Per Cup'!A:A,'Milk Types Nutrition Per Cup'!E:E,0)) +(($T197 / 15)  * _xlfn.XLOOKUP($F197,'Liquid Mix In Nutrition'!A:A,'Liquid Mix In Nutrition'!E:E,0)) +(($U197 / 15)  * _xlfn.XLOOKUP($G197,'Liquid Mix In Nutrition'!A:A,'Liquid Mix In Nutrition'!E:E,0))+(($X197 / 100)  * _xlfn.XLOOKUP($J197,'Sweetener Mix In Nutrition'!A:A,'Sweetener Mix In Nutrition'!E:E,0))+(($Y197 / 100)  * _xlfn.XLOOKUP($K197,'Sweetener Mix In Nutrition'!A:A,'Sweetener Mix In Nutrition'!E:E,0))</f>
        <v>0</v>
      </c>
      <c r="AE197" s="37">
        <f>(($R197 / 240) * _xlfn.XLOOKUP($D197,'Milk Types Nutrition Per Cup'!A:A,'Milk Types Nutrition Per Cup'!C:C,0)) +(($S197 / 240)  * _xlfn.XLOOKUP($E197,'Milk Types Nutrition Per Cup'!A:A,'Milk Types Nutrition Per Cup'!C:C,0)) +(($T197 / 15)  * _xlfn.XLOOKUP($F197,'Liquid Mix In Nutrition'!A:A,'Liquid Mix In Nutrition'!C:C,0))+(($U197 / 15)  * _xlfn.XLOOKUP($G197,'Liquid Mix In Nutrition'!A:A,'Liquid Mix In Nutrition'!C:C,0))+(($V197 / MAX(1, _xlfn.XLOOKUP($H197,'Solid Mix In Nutrition'!A:A,'Solid Mix In Nutrition'!I:I,1)))  * _xlfn.XLOOKUP($H197,'Solid Mix In Nutrition'!A:A,'Solid Mix In Nutrition'!C:C,0))+(($W197 / MAX(1, _xlfn.XLOOKUP($I197,'Solid Mix In Nutrition'!A:A,'Solid Mix In Nutrition'!I:I,1)))  * _xlfn.XLOOKUP($I197,'Solid Mix In Nutrition'!A:A,'Solid Mix In Nutrition'!C:C,0))+(($X197 / 100)  * _xlfn.XLOOKUP($J197,'Sweetener Mix In Nutrition'!A:A,'Sweetener Mix In Nutrition'!C:C,0))+(($Y197 / 100)  * _xlfn.XLOOKUP($K197,'Sweetener Mix In Nutrition'!A:A,'Sweetener Mix In Nutrition'!C:C,0))</f>
        <v>0</v>
      </c>
      <c r="AF197" s="38" t="e">
        <f>$AE197 / (_xlfn.XLOOKUP($L197,Specs!A:A,Specs!B:B,0))</f>
        <v>#DIV/0!</v>
      </c>
      <c r="AG197" s="37" t="e">
        <f>60* ($AB197 / _xlfn.XLOOKUP($L197,Specs!A:A,Specs!B:B,0))</f>
        <v>#DIV/0!</v>
      </c>
      <c r="AH197" s="37" t="e">
        <f>60* (AC197 / _xlfn.XLOOKUP($L197,Specs!$A:$A,Specs!$B:$B,0))</f>
        <v>#DIV/0!</v>
      </c>
      <c r="AI197" s="37" t="e">
        <f>60* (AE197 / _xlfn.XLOOKUP($L197,Specs!$A:$A,Specs!$B:$B,0))</f>
        <v>#DIV/0!</v>
      </c>
      <c r="AJ197" s="39">
        <f>(($R197 / 240) * _xlfn.XLOOKUP($D197,'Milk Types Nutrition Per Cup'!A:A,'Milk Types Nutrition Per Cup'!F:F,0)) +(($S197 / 240)  * _xlfn.XLOOKUP($E197,'Milk Types Nutrition Per Cup'!A:A,'Milk Types Nutrition Per Cup'!F:F,0)) +(($T197 / 15)  * _xlfn.XLOOKUP($F197,'Liquid Mix In Nutrition'!A:A,'Liquid Mix In Nutrition'!F:F,0))+(($U197 / 15)  * _xlfn.XLOOKUP($G197,'Liquid Mix In Nutrition'!A:A,'Liquid Mix In Nutrition'!F:F,0))+(($V197 / MAX(1, _xlfn.XLOOKUP($H197,'Solid Mix In Nutrition'!A:A,'Solid Mix In Nutrition'!I:I,1)))  * _xlfn.XLOOKUP($H197,'Solid Mix In Nutrition'!A:A,'Solid Mix In Nutrition'!F:F,0))+(($W197 / MAX(1, _xlfn.XLOOKUP($I197,'Solid Mix In Nutrition'!A:A,'Solid Mix In Nutrition'!I:I,1)))  * _xlfn.XLOOKUP($I197,'Solid Mix In Nutrition'!A:A,'Solid Mix In Nutrition'!F:F,0))+(($X197 / 100)  * _xlfn.XLOOKUP($J197,'Sweetener Mix In Nutrition'!A:A,'Sweetener Mix In Nutrition'!F:F,0))+(($Y197 / 100)  * _xlfn.XLOOKUP($K197,'Sweetener Mix In Nutrition'!A:A,'Sweetener Mix In Nutrition'!F:F,0))</f>
        <v>0</v>
      </c>
      <c r="AK197" s="46">
        <f>[2]Sheet1!AG197</f>
        <v>0</v>
      </c>
      <c r="AL197" s="47"/>
      <c r="AM197" s="40">
        <f>IF(ISERROR(((AL197/Specs!$L$3)*Specs!$L$2)*2),0,ROUNDUP((((AL197/Specs!$L$3)*Specs!$L$2)*2),0))</f>
        <v>0</v>
      </c>
      <c r="AN197" s="48">
        <f>ROUNDUP(((AJ197+Specs!$R$2+Specs!$S$2+_xlfn.XLOOKUP($L197,Specs!A:A,Specs!V:V,0))*Specs!$N$2)+AM197,0)</f>
        <v>1</v>
      </c>
      <c r="AO197" s="40">
        <f>ROUNDUP(((AJ197+Specs!$R$2+Specs!$S$2+_xlfn.XLOOKUP($L197,Specs!A:A,Specs!V:V,0))*Specs!$N$2),0)</f>
        <v>1</v>
      </c>
      <c r="AP197" s="30"/>
    </row>
    <row r="198" spans="1:42" x14ac:dyDescent="0.25">
      <c r="A198" s="41" t="str">
        <f>_xlfn.CONCAT(_xlfn.XLOOKUP("What's Your Name?",[1]Sheet1!$1:$1,[1]Sheet1!198:198)," | ",TEXT(_xlfn.XLOOKUP("Completion time",[1]Sheet1!$1:$1,[1]Sheet1!198:198),"dddd, mmm dd, yyyy hh:mm AM/PM"))</f>
        <v xml:space="preserve"> | Saturday, Jan 00, 1900 12:00 AM</v>
      </c>
      <c r="B198" s="76">
        <f>_xlfn.XLOOKUP("What's Your Email Address?",[1]Sheet1!$1:$1,[1]Sheet1!198:198)</f>
        <v>0</v>
      </c>
      <c r="C198" s="31">
        <f>IF(ISBLANK(_xlfn.XLOOKUP("Which Flavor? (Pint Price | Quart Price | Half Gallon Price) (NOTE: Prices may fluctuate based on market conditions)",[1]Sheet1!$1:$1,[1]Sheet1!198:198)),_xlfn.XLOOKUP("Name Your Ice Cream!",[1]Sheet1!$1:$1,[1]Sheet1!198:198),IF(ISNUMBER(FIND("(", _xlfn.XLOOKUP("Which Flavor? (Pint Price | Quart Price | Half Gallon Price) (NOTE: Prices may fluctuate based on market conditions)",[1]Sheet1!$1:$1,[1]Sheet1!198:198))), LEFT(_xlfn.XLOOKUP("Which Flavor? (Pint Price | Quart Price | Half Gallon Price) (NOTE: Prices may fluctuate based on market conditions)",[1]Sheet1!$1:$1,[1]Sheet1!198:198), FIND("(", _xlfn.XLOOKUP("Which Flavor? (Pint Price | Quart Price | Half Gallon Price) (NOTE: Prices may fluctuate based on market conditions)",[1]Sheet1!$1:$1,[1]Sheet1!198:198)) - 1), _xlfn.XLOOKUP("Which Flavor? (Pint Price | Quart Price | Half Gallon Price) (NOTE: Prices may fluctuate based on market conditions)",[1]Sheet1!$1:$1,[1]Sheet1!198:198)))</f>
        <v>0</v>
      </c>
      <c r="D198" s="31">
        <f>IF(COUNTIF('Premade Flavors'!$A:$A, $C198) &gt; 0,IF(ISBLANK(_xlfn.XLOOKUP("What Ice Cream Base Do You Want To Change It To?",[1]Sheet1!$1:$1,[1]Sheet1!198:198)),_xlfn.XLOOKUP($C198,'Premade Flavors'!$A:$A,'Premade Flavors'!B:B),_xlfn.XLOOKUP("What Ice Cream Base Do You Want To Change It To?",[1]Sheet1!$1:$1,[1]Sheet1!198:198)),_xlfn.XLOOKUP(_xlfn.XLOOKUP("What Kind Of Ice Cream Base Do You Want? ",[1]Sheet1!$1:$1,[1]Sheet1!198:198),'Milk Types Nutrition Per Cup'!O:O,'Milk Types Nutrition Per Cup'!P:P,""))</f>
        <v>0</v>
      </c>
      <c r="E198" s="31">
        <f>IF(COUNTIF('Premade Flavors'!$A:$A, $C198) &gt; 0,IF(ISBLANK(_xlfn.XLOOKUP("What Ice Cream Base Do You Want To Change It To?",[1]Sheet1!$1:$1,[1]Sheet1!198:198)),_xlfn.XLOOKUP($C198,'Premade Flavors'!$A:$A,'Premade Flavors'!C:C),_xlfn.XLOOKUP("What Ice Cream Base Do You Want To Change It To?",[1]Sheet1!$1:$1,[1]Sheet1!198:198)),_xlfn.XLOOKUP(_xlfn.XLOOKUP("What Kind Of Ice Cream Base Do You Want? ",[1]Sheet1!$1:$1,[1]Sheet1!198:198),'Milk Types Nutrition Per Cup'!$O:$O,'Milk Types Nutrition Per Cup'!$Q:$Q,""))</f>
        <v>0</v>
      </c>
      <c r="F198" s="31">
        <f>IF(COUNTIF('Premade Flavors'!$A:$A, $C198) &gt; 0,_xlfn.XLOOKUP($C198,'Premade Flavors'!$A:$A,'Premade Flavors'!E:E),_xlfn.XLOOKUP("What's The First Flavor You Want? ",[1]Sheet1!$1:$1,[1]Sheet1!198:198))</f>
        <v>0</v>
      </c>
      <c r="G198" s="31">
        <f>IF(COUNTIF('Premade Flavors'!$A:$A, $C198) &gt; 0,_xlfn.XLOOKUP($C198,'Premade Flavors'!$A:$A,'Premade Flavors'!F:F),_xlfn.XLOOKUP("What's the Second Flavor You Want?",[1]Sheet1!$1:$1,[1]Sheet1!198:198))</f>
        <v>0</v>
      </c>
      <c r="H198" s="31">
        <f>IF(COUNTIF('Premade Flavors'!$A:$A, $C198) &gt; 0,_xlfn.XLOOKUP($C198,'Premade Flavors'!$A:$A,'Premade Flavors'!G:G),_xlfn.XLOOKUP("What's The First Mix In That You Want? ",[1]Sheet1!$1:$1,[1]Sheet1!198:198))</f>
        <v>0</v>
      </c>
      <c r="I198" s="31">
        <f>IF(COUNTIF('Premade Flavors'!$A:$A, $C196) &gt; 0,_xlfn.XLOOKUP($C196,'Premade Flavors'!$A:$A,'Premade Flavors'!H:H),IF([2]Sheet1!W196= 0,,[2]Sheet1!W196))</f>
        <v>0</v>
      </c>
      <c r="J198" s="31">
        <f>IF(COUNTIF('Premade Flavors'!$A:$A,$C198)&gt;0,IF(_xlfn.XLOOKUP("Should It Use Sugar or A Non-Sugar Sweetner?",[1]Sheet1!$1:$1,[1]Sheet1!198:198)="Sugar",_xlfn.XLOOKUP($C198,'Premade Flavors'!$A:$A,'Premade Flavors'!I:I),"Stevia"),_xlfn.XLOOKUP("What Sweetner Do You Want?",[1]Sheet1!$1:$1,[1]Sheet1!198:198))</f>
        <v>0</v>
      </c>
      <c r="K198" s="31"/>
      <c r="L198" s="77">
        <f>_xlfn.XLOOKUP("How Much Ice Cream Do You Want?",[1]Sheet1!$1:$1,[1]Sheet1!198:198)</f>
        <v>0</v>
      </c>
      <c r="M198" s="45">
        <f>IF(COUNTIF('Premade Flavors'!$A:$A, $C198) &gt; 0,_xlfn.XLOOKUP($C198,'Premade Flavors'!$A:$A,'Premade Flavors'!M:M),_xlfn.XLOOKUP("How Strong Do You Want The First Flavor?",[1]Sheet1!$1:$1,[1]Sheet1!198:198))</f>
        <v>0</v>
      </c>
      <c r="N198" s="45">
        <f>IF(COUNTIF('Premade Flavors'!$A:$A, $C198) &gt; 0,_xlfn.XLOOKUP($C198,'Premade Flavors'!$A:$A,'Premade Flavors'!N:N),_xlfn.XLOOKUP("How Strong Do You Want The Second Flavor?",[1]Sheet1!$1:$1,[1]Sheet1!198:198))</f>
        <v>0</v>
      </c>
      <c r="O198" s="45">
        <f>IF(COUNTIF('Premade Flavors'!$A:$A, $C198) &gt; 0,_xlfn.XLOOKUP($C198,'Premade Flavors'!$A:$A,'Premade Flavors'!O:O),_xlfn.XLOOKUP("How Dense Should the Mix Ins Be?",[1]Sheet1!$1:$1,[1]Sheet1!198:198))</f>
        <v>0</v>
      </c>
      <c r="P198" s="45">
        <f>IF(COUNTIF('Premade Flavors'!$A:$A, $C198) &gt; 0,_xlfn.XLOOKUP($C198,'Premade Flavors'!$A:$A,'Premade Flavors'!P:P),_xlfn.XLOOKUP("How Much Of The First Sweetner? ",[1]Sheet1!$1:$1,[1]Sheet1!198:198))</f>
        <v>0</v>
      </c>
      <c r="Q198" s="45">
        <f>IF(COUNTIF('Premade Flavors'!$A:$A, $C198) &gt; 0,_xlfn.XLOOKUP($C198,'Premade Flavors'!$A:$A,'Premade Flavors'!Q:Q),[2]Sheet1!S198)</f>
        <v>0</v>
      </c>
      <c r="R198" s="30">
        <f>(_xlfn.XLOOKUP($L198,Specs!A:A,Specs!B:B,0)-(IF(_xlfn.XLOOKUP($F198,'Liquid Mix In Nutrition'!A:A,'Liquid Mix In Nutrition'!J:J,0)="Yes",0,$T198))-(IF(_xlfn.XLOOKUP($G198,'Liquid Mix In Nutrition'!A:A,'Liquid Mix In Nutrition'!J:J,0)="Yes",0,$U198))-(($V198/MAX(1,_xlfn.XLOOKUP($H198,'Solid Mix In Nutrition'!A:A,'Solid Mix In Nutrition'!I:I,1)))*240)-(($W198/MAX(1,_xlfn.XLOOKUP($I198,'Solid Mix In Nutrition'!A:A,'Solid Mix In Nutrition'!I:I,1)))*240))*0.66</f>
        <v>0</v>
      </c>
      <c r="S198" s="30">
        <f>(_xlfn.XLOOKUP($L198,Specs!A:A,Specs!B:B,0)-(IF(_xlfn.XLOOKUP($F198,'Liquid Mix In Nutrition'!A:A,'Liquid Mix In Nutrition'!J:J,0)="Yes",0,$T198))-(IF(_xlfn.XLOOKUP($G198,'Liquid Mix In Nutrition'!A:A,'Liquid Mix In Nutrition'!J:J,0)="Yes",0,$U198))-(($V198/MAX(1,_xlfn.XLOOKUP($H198,'Solid Mix In Nutrition'!A:A,'Solid Mix In Nutrition'!I:I,1)))*240)-(($W198/MAX(1,_xlfn.XLOOKUP($I198,'Solid Mix In Nutrition'!A:A,'Solid Mix In Nutrition'!I:I,1)))*240))*0.33</f>
        <v>0</v>
      </c>
      <c r="T198" s="30">
        <f>_xlfn.XLOOKUP($M198,Specs!$D:$D,Specs!$E:$E,0)*15*_xlfn.XLOOKUP($L198,Specs!$A:$A,Specs!$C:$C,0)</f>
        <v>0</v>
      </c>
      <c r="U198" s="30">
        <f>_xlfn.XLOOKUP($N198,Specs!$D:$D,Specs!$E:$E,0)*15*_xlfn.XLOOKUP($L198,Specs!$A:$A,Specs!$C:$C,0)</f>
        <v>0</v>
      </c>
      <c r="V198" s="30">
        <f>( ((_xlfn.XLOOKUP($O198,Specs!$H:$H,Specs!$I:$I,0)*_xlfn.XLOOKUP($L198,Specs!$A:$A,Specs!$B:$B,0))/240) *_xlfn.XLOOKUP($H198,'Solid Mix In Nutrition'!A:A,'Solid Mix In Nutrition'!I:I,0)) *IF(AND(NOT($I198=0), COUNTA($I198)),0.5,1)</f>
        <v>0</v>
      </c>
      <c r="W198" s="30">
        <f>( ((_xlfn.XLOOKUP($O198,Specs!$H:$H,Specs!$I:$I,0)*_xlfn.XLOOKUP($L198,Specs!$A:$A,Specs!$B:$B,0))/240) *_xlfn.XLOOKUP($I198,'Solid Mix In Nutrition'!A:A,'Solid Mix In Nutrition'!I:I,0)) *IF(AND(NOT($I198=0), COUNTA($I198)),0.5,0)</f>
        <v>0</v>
      </c>
      <c r="X198" s="30">
        <f>_xlfn.XLOOKUP($P198,Specs!F:F,Specs!G:G,0)*_xlfn.XLOOKUP($J198,'Sweetener Mix In Nutrition'!A:A,'Sweetener Mix In Nutrition'!I:I,0)*_xlfn.XLOOKUP($L198,Specs!A:A,Specs!C:C,0)</f>
        <v>0</v>
      </c>
      <c r="Y198" s="30">
        <f>_xlfn.XLOOKUP($Q198,Specs!F:F,Specs!G:G,0)*_xlfn.XLOOKUP($K198,'Sweetener Mix In Nutrition'!A:A,'Sweetener Mix In Nutrition'!I:I,0)*_xlfn.XLOOKUP($L198,Specs!A:A,Specs!C:C,0)</f>
        <v>0</v>
      </c>
      <c r="Z198" s="34">
        <f t="shared" si="6"/>
        <v>0</v>
      </c>
      <c r="AA198" s="35">
        <f t="shared" si="7"/>
        <v>0</v>
      </c>
      <c r="AB198" s="36">
        <f>(($R198 / 240) * _xlfn.XLOOKUP($D198,'Milk Types Nutrition Per Cup'!A:A,'Milk Types Nutrition Per Cup'!B:B,0)) +(($S198 / 240)  * _xlfn.XLOOKUP($E198,'Milk Types Nutrition Per Cup'!A:A,'Milk Types Nutrition Per Cup'!B:B,0)) +(($T198 / 15)  * _xlfn.XLOOKUP($F198,'Liquid Mix In Nutrition'!A:A,'Liquid Mix In Nutrition'!B:B,0))+(($U198 / 15)  * _xlfn.XLOOKUP($G198,'Liquid Mix In Nutrition'!A:A,'Liquid Mix In Nutrition'!B:B,0))+(($V198 /MAX(1, _xlfn.XLOOKUP($H198,'Solid Mix In Nutrition'!A:A,'Solid Mix In Nutrition'!I:I,1)))  * _xlfn.XLOOKUP($H198,'Solid Mix In Nutrition'!A:A,'Solid Mix In Nutrition'!B:B,0))+(($W198 / MAX(1, _xlfn.XLOOKUP($I198,'Solid Mix In Nutrition'!A:A,'Solid Mix In Nutrition'!I:I,1))))+(($X198 / 100)  * _xlfn.XLOOKUP($J198,'Sweetener Mix In Nutrition'!A:A,'Sweetener Mix In Nutrition'!B:B,0))+(($Y198 / 100)  * _xlfn.XLOOKUP($K198,'Sweetener Mix In Nutrition'!A:A,'Sweetener Mix In Nutrition'!B:B,0))</f>
        <v>0</v>
      </c>
      <c r="AC198" s="36">
        <f>(($R198 / 240) * _xlfn.XLOOKUP($D198,'Milk Types Nutrition Per Cup'!A:A,'Milk Types Nutrition Per Cup'!E:E,0)) +(($S198 / 240)  * _xlfn.XLOOKUP($E198,'Milk Types Nutrition Per Cup'!A:A,'Milk Types Nutrition Per Cup'!E:E,0)) +(($T198 / 15)  * _xlfn.XLOOKUP($F198,'Liquid Mix In Nutrition'!A:A,'Liquid Mix In Nutrition'!E:E,0)) +(($U198 / 15)  * _xlfn.XLOOKUP($G198,'Liquid Mix In Nutrition'!A:A,'Liquid Mix In Nutrition'!E:E,0))+(($V198 / MAX(1, _xlfn.XLOOKUP($H198,'Solid Mix In Nutrition'!A:A,'Solid Mix In Nutrition'!I:I,1)))  * _xlfn.XLOOKUP($H198,'Solid Mix In Nutrition'!A:A,'Solid Mix In Nutrition'!E:E,0))+(($W198 / MAX(1, _xlfn.XLOOKUP($I198,'Solid Mix In Nutrition'!A:A,'Solid Mix In Nutrition'!I:I,1)))  * _xlfn.XLOOKUP($I198,'Solid Mix In Nutrition'!A:A,'Solid Mix In Nutrition'!G:G,0))+(($X198 / 100)  * _xlfn.XLOOKUP($J198,'Sweetener Mix In Nutrition'!A:A,'Sweetener Mix In Nutrition'!E:E,0))+(($Y198 / 100)  * _xlfn.XLOOKUP($K198,'Sweetener Mix In Nutrition'!A:A,'Sweetener Mix In Nutrition'!E:E,0))</f>
        <v>0</v>
      </c>
      <c r="AD198" s="36">
        <f>(($R198 / 240) * _xlfn.XLOOKUP($D198,'Milk Types Nutrition Per Cup'!A:A,'Milk Types Nutrition Per Cup'!E:E,0)) +(($S198 / 240)  * _xlfn.XLOOKUP($E198,'Milk Types Nutrition Per Cup'!A:A,'Milk Types Nutrition Per Cup'!E:E,0)) +(($T198 / 15)  * _xlfn.XLOOKUP($F198,'Liquid Mix In Nutrition'!A:A,'Liquid Mix In Nutrition'!E:E,0)) +(($U198 / 15)  * _xlfn.XLOOKUP($G198,'Liquid Mix In Nutrition'!A:A,'Liquid Mix In Nutrition'!E:E,0))+(($X198 / 100)  * _xlfn.XLOOKUP($J198,'Sweetener Mix In Nutrition'!A:A,'Sweetener Mix In Nutrition'!E:E,0))+(($Y198 / 100)  * _xlfn.XLOOKUP($K198,'Sweetener Mix In Nutrition'!A:A,'Sweetener Mix In Nutrition'!E:E,0))</f>
        <v>0</v>
      </c>
      <c r="AE198" s="37">
        <f>(($R198 / 240) * _xlfn.XLOOKUP($D198,'Milk Types Nutrition Per Cup'!A:A,'Milk Types Nutrition Per Cup'!C:C,0)) +(($S198 / 240)  * _xlfn.XLOOKUP($E198,'Milk Types Nutrition Per Cup'!A:A,'Milk Types Nutrition Per Cup'!C:C,0)) +(($T198 / 15)  * _xlfn.XLOOKUP($F198,'Liquid Mix In Nutrition'!A:A,'Liquid Mix In Nutrition'!C:C,0))+(($U198 / 15)  * _xlfn.XLOOKUP($G198,'Liquid Mix In Nutrition'!A:A,'Liquid Mix In Nutrition'!C:C,0))+(($V198 / MAX(1, _xlfn.XLOOKUP($H198,'Solid Mix In Nutrition'!A:A,'Solid Mix In Nutrition'!I:I,1)))  * _xlfn.XLOOKUP($H198,'Solid Mix In Nutrition'!A:A,'Solid Mix In Nutrition'!C:C,0))+(($W198 / MAX(1, _xlfn.XLOOKUP($I198,'Solid Mix In Nutrition'!A:A,'Solid Mix In Nutrition'!I:I,1)))  * _xlfn.XLOOKUP($I198,'Solid Mix In Nutrition'!A:A,'Solid Mix In Nutrition'!C:C,0))+(($X198 / 100)  * _xlfn.XLOOKUP($J198,'Sweetener Mix In Nutrition'!A:A,'Sweetener Mix In Nutrition'!C:C,0))+(($Y198 / 100)  * _xlfn.XLOOKUP($K198,'Sweetener Mix In Nutrition'!A:A,'Sweetener Mix In Nutrition'!C:C,0))</f>
        <v>0</v>
      </c>
      <c r="AF198" s="38" t="e">
        <f>$AE198 / (_xlfn.XLOOKUP($L198,Specs!A:A,Specs!B:B,0))</f>
        <v>#DIV/0!</v>
      </c>
      <c r="AG198" s="37" t="e">
        <f>60* ($AB198 / _xlfn.XLOOKUP($L198,Specs!A:A,Specs!B:B,0))</f>
        <v>#DIV/0!</v>
      </c>
      <c r="AH198" s="37" t="e">
        <f>60* (AC198 / _xlfn.XLOOKUP($L198,Specs!$A:$A,Specs!$B:$B,0))</f>
        <v>#DIV/0!</v>
      </c>
      <c r="AI198" s="37" t="e">
        <f>60* (AE198 / _xlfn.XLOOKUP($L198,Specs!$A:$A,Specs!$B:$B,0))</f>
        <v>#DIV/0!</v>
      </c>
      <c r="AJ198" s="39">
        <f>(($R198 / 240) * _xlfn.XLOOKUP($D198,'Milk Types Nutrition Per Cup'!A:A,'Milk Types Nutrition Per Cup'!F:F,0)) +(($S198 / 240)  * _xlfn.XLOOKUP($E198,'Milk Types Nutrition Per Cup'!A:A,'Milk Types Nutrition Per Cup'!F:F,0)) +(($T198 / 15)  * _xlfn.XLOOKUP($F198,'Liquid Mix In Nutrition'!A:A,'Liquid Mix In Nutrition'!F:F,0))+(($U198 / 15)  * _xlfn.XLOOKUP($G198,'Liquid Mix In Nutrition'!A:A,'Liquid Mix In Nutrition'!F:F,0))+(($V198 / MAX(1, _xlfn.XLOOKUP($H198,'Solid Mix In Nutrition'!A:A,'Solid Mix In Nutrition'!I:I,1)))  * _xlfn.XLOOKUP($H198,'Solid Mix In Nutrition'!A:A,'Solid Mix In Nutrition'!F:F,0))+(($W198 / MAX(1, _xlfn.XLOOKUP($I198,'Solid Mix In Nutrition'!A:A,'Solid Mix In Nutrition'!I:I,1)))  * _xlfn.XLOOKUP($I198,'Solid Mix In Nutrition'!A:A,'Solid Mix In Nutrition'!F:F,0))+(($X198 / 100)  * _xlfn.XLOOKUP($J198,'Sweetener Mix In Nutrition'!A:A,'Sweetener Mix In Nutrition'!F:F,0))+(($Y198 / 100)  * _xlfn.XLOOKUP($K198,'Sweetener Mix In Nutrition'!A:A,'Sweetener Mix In Nutrition'!F:F,0))</f>
        <v>0</v>
      </c>
      <c r="AK198" s="46">
        <f>[2]Sheet1!AG198</f>
        <v>0</v>
      </c>
      <c r="AL198" s="47"/>
      <c r="AM198" s="40">
        <f>IF(ISERROR(((AL198/Specs!$L$3)*Specs!$L$2)*2),0,ROUNDUP((((AL198/Specs!$L$3)*Specs!$L$2)*2),0))</f>
        <v>0</v>
      </c>
      <c r="AN198" s="48">
        <f>ROUNDUP(((AJ198+Specs!$R$2+Specs!$S$2+_xlfn.XLOOKUP($L198,Specs!A:A,Specs!V:V,0))*Specs!$N$2)+AM198,0)</f>
        <v>1</v>
      </c>
      <c r="AO198" s="40">
        <f>ROUNDUP(((AJ198+Specs!$R$2+Specs!$S$2+_xlfn.XLOOKUP($L198,Specs!A:A,Specs!V:V,0))*Specs!$N$2),0)</f>
        <v>1</v>
      </c>
      <c r="AP198" s="30"/>
    </row>
    <row r="199" spans="1:42" x14ac:dyDescent="0.25">
      <c r="A199" s="41" t="str">
        <f>_xlfn.CONCAT(_xlfn.XLOOKUP("What's Your Name?",[1]Sheet1!$1:$1,[1]Sheet1!199:199)," | ",TEXT(_xlfn.XLOOKUP("Completion time",[1]Sheet1!$1:$1,[1]Sheet1!199:199),"dddd, mmm dd, yyyy hh:mm AM/PM"))</f>
        <v xml:space="preserve"> | Saturday, Jan 00, 1900 12:00 AM</v>
      </c>
      <c r="B199" s="76">
        <f>_xlfn.XLOOKUP("What's Your Email Address?",[1]Sheet1!$1:$1,[1]Sheet1!199:199)</f>
        <v>0</v>
      </c>
      <c r="C199" s="31">
        <f>IF(ISBLANK(_xlfn.XLOOKUP("Which Flavor? (Pint Price | Quart Price | Half Gallon Price) (NOTE: Prices may fluctuate based on market conditions)",[1]Sheet1!$1:$1,[1]Sheet1!199:199)),_xlfn.XLOOKUP("Name Your Ice Cream!",[1]Sheet1!$1:$1,[1]Sheet1!199:199),IF(ISNUMBER(FIND("(", _xlfn.XLOOKUP("Which Flavor? (Pint Price | Quart Price | Half Gallon Price) (NOTE: Prices may fluctuate based on market conditions)",[1]Sheet1!$1:$1,[1]Sheet1!199:199))), LEFT(_xlfn.XLOOKUP("Which Flavor? (Pint Price | Quart Price | Half Gallon Price) (NOTE: Prices may fluctuate based on market conditions)",[1]Sheet1!$1:$1,[1]Sheet1!199:199), FIND("(", _xlfn.XLOOKUP("Which Flavor? (Pint Price | Quart Price | Half Gallon Price) (NOTE: Prices may fluctuate based on market conditions)",[1]Sheet1!$1:$1,[1]Sheet1!199:199)) - 1), _xlfn.XLOOKUP("Which Flavor? (Pint Price | Quart Price | Half Gallon Price) (NOTE: Prices may fluctuate based on market conditions)",[1]Sheet1!$1:$1,[1]Sheet1!199:199)))</f>
        <v>0</v>
      </c>
      <c r="D199" s="31">
        <f>IF(COUNTIF('Premade Flavors'!$A:$A, $C199) &gt; 0,IF(ISBLANK(_xlfn.XLOOKUP("What Ice Cream Base Do You Want To Change It To?",[1]Sheet1!$1:$1,[1]Sheet1!199:199)),_xlfn.XLOOKUP($C199,'Premade Flavors'!$A:$A,'Premade Flavors'!B:B),_xlfn.XLOOKUP("What Ice Cream Base Do You Want To Change It To?",[1]Sheet1!$1:$1,[1]Sheet1!199:199)),_xlfn.XLOOKUP(_xlfn.XLOOKUP("What Kind Of Ice Cream Base Do You Want? ",[1]Sheet1!$1:$1,[1]Sheet1!199:199),'Milk Types Nutrition Per Cup'!O:O,'Milk Types Nutrition Per Cup'!P:P,""))</f>
        <v>0</v>
      </c>
      <c r="E199" s="31">
        <f>IF(COUNTIF('Premade Flavors'!$A:$A, $C199) &gt; 0,IF(ISBLANK(_xlfn.XLOOKUP("What Ice Cream Base Do You Want To Change It To?",[1]Sheet1!$1:$1,[1]Sheet1!199:199)),_xlfn.XLOOKUP($C199,'Premade Flavors'!$A:$A,'Premade Flavors'!C:C),_xlfn.XLOOKUP("What Ice Cream Base Do You Want To Change It To?",[1]Sheet1!$1:$1,[1]Sheet1!199:199)),_xlfn.XLOOKUP(_xlfn.XLOOKUP("What Kind Of Ice Cream Base Do You Want? ",[1]Sheet1!$1:$1,[1]Sheet1!199:199),'Milk Types Nutrition Per Cup'!$O:$O,'Milk Types Nutrition Per Cup'!$Q:$Q,""))</f>
        <v>0</v>
      </c>
      <c r="F199" s="31">
        <f>IF(COUNTIF('Premade Flavors'!$A:$A, $C199) &gt; 0,_xlfn.XLOOKUP($C199,'Premade Flavors'!$A:$A,'Premade Flavors'!E:E),_xlfn.XLOOKUP("What's The First Flavor You Want? ",[1]Sheet1!$1:$1,[1]Sheet1!199:199))</f>
        <v>0</v>
      </c>
      <c r="G199" s="31">
        <f>IF(COUNTIF('Premade Flavors'!$A:$A, $C199) &gt; 0,_xlfn.XLOOKUP($C199,'Premade Flavors'!$A:$A,'Premade Flavors'!F:F),_xlfn.XLOOKUP("What's the Second Flavor You Want?",[1]Sheet1!$1:$1,[1]Sheet1!199:199))</f>
        <v>0</v>
      </c>
      <c r="H199" s="31">
        <f>IF(COUNTIF('Premade Flavors'!$A:$A, $C199) &gt; 0,_xlfn.XLOOKUP($C199,'Premade Flavors'!$A:$A,'Premade Flavors'!G:G),_xlfn.XLOOKUP("What's The First Mix In That You Want? ",[1]Sheet1!$1:$1,[1]Sheet1!199:199))</f>
        <v>0</v>
      </c>
      <c r="I199" s="31">
        <f>IF(COUNTIF('Premade Flavors'!$A:$A, $C197) &gt; 0,_xlfn.XLOOKUP($C197,'Premade Flavors'!$A:$A,'Premade Flavors'!H:H),IF([2]Sheet1!W197= 0,,[2]Sheet1!W197))</f>
        <v>0</v>
      </c>
      <c r="J199" s="31">
        <f>IF(COUNTIF('Premade Flavors'!$A:$A,$C199)&gt;0,IF(_xlfn.XLOOKUP("Should It Use Sugar or A Non-Sugar Sweetner?",[1]Sheet1!$1:$1,[1]Sheet1!199:199)="Sugar",_xlfn.XLOOKUP($C199,'Premade Flavors'!$A:$A,'Premade Flavors'!I:I),"Stevia"),_xlfn.XLOOKUP("What Sweetner Do You Want?",[1]Sheet1!$1:$1,[1]Sheet1!199:199))</f>
        <v>0</v>
      </c>
      <c r="K199" s="31"/>
      <c r="L199" s="77">
        <f>_xlfn.XLOOKUP("How Much Ice Cream Do You Want?",[1]Sheet1!$1:$1,[1]Sheet1!199:199)</f>
        <v>0</v>
      </c>
      <c r="M199" s="45">
        <f>IF(COUNTIF('Premade Flavors'!$A:$A, $C199) &gt; 0,_xlfn.XLOOKUP($C199,'Premade Flavors'!$A:$A,'Premade Flavors'!M:M),_xlfn.XLOOKUP("How Strong Do You Want The First Flavor?",[1]Sheet1!$1:$1,[1]Sheet1!199:199))</f>
        <v>0</v>
      </c>
      <c r="N199" s="45">
        <f>IF(COUNTIF('Premade Flavors'!$A:$A, $C199) &gt; 0,_xlfn.XLOOKUP($C199,'Premade Flavors'!$A:$A,'Premade Flavors'!N:N),_xlfn.XLOOKUP("How Strong Do You Want The Second Flavor?",[1]Sheet1!$1:$1,[1]Sheet1!199:199))</f>
        <v>0</v>
      </c>
      <c r="O199" s="45">
        <f>IF(COUNTIF('Premade Flavors'!$A:$A, $C199) &gt; 0,_xlfn.XLOOKUP($C199,'Premade Flavors'!$A:$A,'Premade Flavors'!O:O),_xlfn.XLOOKUP("How Dense Should the Mix Ins Be?",[1]Sheet1!$1:$1,[1]Sheet1!199:199))</f>
        <v>0</v>
      </c>
      <c r="P199" s="45">
        <f>IF(COUNTIF('Premade Flavors'!$A:$A, $C199) &gt; 0,_xlfn.XLOOKUP($C199,'Premade Flavors'!$A:$A,'Premade Flavors'!P:P),_xlfn.XLOOKUP("How Much Of The First Sweetner? ",[1]Sheet1!$1:$1,[1]Sheet1!199:199))</f>
        <v>0</v>
      </c>
      <c r="Q199" s="45">
        <f>IF(COUNTIF('Premade Flavors'!$A:$A, $C199) &gt; 0,_xlfn.XLOOKUP($C199,'Premade Flavors'!$A:$A,'Premade Flavors'!Q:Q),[2]Sheet1!S199)</f>
        <v>0</v>
      </c>
      <c r="R199" s="30">
        <f>(_xlfn.XLOOKUP($L199,Specs!A:A,Specs!B:B,0)-(IF(_xlfn.XLOOKUP($F199,'Liquid Mix In Nutrition'!A:A,'Liquid Mix In Nutrition'!J:J,0)="Yes",0,$T199))-(IF(_xlfn.XLOOKUP($G199,'Liquid Mix In Nutrition'!A:A,'Liquid Mix In Nutrition'!J:J,0)="Yes",0,$U199))-(($V199/MAX(1,_xlfn.XLOOKUP($H199,'Solid Mix In Nutrition'!A:A,'Solid Mix In Nutrition'!I:I,1)))*240)-(($W199/MAX(1,_xlfn.XLOOKUP($I199,'Solid Mix In Nutrition'!A:A,'Solid Mix In Nutrition'!I:I,1)))*240))*0.66</f>
        <v>0</v>
      </c>
      <c r="S199" s="30">
        <f>(_xlfn.XLOOKUP($L199,Specs!A:A,Specs!B:B,0)-(IF(_xlfn.XLOOKUP($F199,'Liquid Mix In Nutrition'!A:A,'Liquid Mix In Nutrition'!J:J,0)="Yes",0,$T199))-(IF(_xlfn.XLOOKUP($G199,'Liquid Mix In Nutrition'!A:A,'Liquid Mix In Nutrition'!J:J,0)="Yes",0,$U199))-(($V199/MAX(1,_xlfn.XLOOKUP($H199,'Solid Mix In Nutrition'!A:A,'Solid Mix In Nutrition'!I:I,1)))*240)-(($W199/MAX(1,_xlfn.XLOOKUP($I199,'Solid Mix In Nutrition'!A:A,'Solid Mix In Nutrition'!I:I,1)))*240))*0.33</f>
        <v>0</v>
      </c>
      <c r="T199" s="30">
        <f>_xlfn.XLOOKUP($M199,Specs!$D:$D,Specs!$E:$E,0)*15*_xlfn.XLOOKUP($L199,Specs!$A:$A,Specs!$C:$C,0)</f>
        <v>0</v>
      </c>
      <c r="U199" s="30">
        <f>_xlfn.XLOOKUP($N199,Specs!$D:$D,Specs!$E:$E,0)*15*_xlfn.XLOOKUP($L199,Specs!$A:$A,Specs!$C:$C,0)</f>
        <v>0</v>
      </c>
      <c r="V199" s="30">
        <f>( ((_xlfn.XLOOKUP($O199,Specs!$H:$H,Specs!$I:$I,0)*_xlfn.XLOOKUP($L199,Specs!$A:$A,Specs!$B:$B,0))/240) *_xlfn.XLOOKUP($H199,'Solid Mix In Nutrition'!A:A,'Solid Mix In Nutrition'!I:I,0)) *IF(AND(NOT($I199=0), COUNTA($I199)),0.5,1)</f>
        <v>0</v>
      </c>
      <c r="W199" s="30">
        <f>( ((_xlfn.XLOOKUP($O199,Specs!$H:$H,Specs!$I:$I,0)*_xlfn.XLOOKUP($L199,Specs!$A:$A,Specs!$B:$B,0))/240) *_xlfn.XLOOKUP($I199,'Solid Mix In Nutrition'!A:A,'Solid Mix In Nutrition'!I:I,0)) *IF(AND(NOT($I199=0), COUNTA($I199)),0.5,0)</f>
        <v>0</v>
      </c>
      <c r="X199" s="30">
        <f>_xlfn.XLOOKUP($P199,Specs!F:F,Specs!G:G,0)*_xlfn.XLOOKUP($J199,'Sweetener Mix In Nutrition'!A:A,'Sweetener Mix In Nutrition'!I:I,0)*_xlfn.XLOOKUP($L199,Specs!A:A,Specs!C:C,0)</f>
        <v>0</v>
      </c>
      <c r="Y199" s="30">
        <f>_xlfn.XLOOKUP($Q199,Specs!F:F,Specs!G:G,0)*_xlfn.XLOOKUP($K199,'Sweetener Mix In Nutrition'!A:A,'Sweetener Mix In Nutrition'!I:I,0)*_xlfn.XLOOKUP($L199,Specs!A:A,Specs!C:C,0)</f>
        <v>0</v>
      </c>
      <c r="Z199" s="34">
        <f t="shared" si="6"/>
        <v>0</v>
      </c>
      <c r="AA199" s="35">
        <f t="shared" si="7"/>
        <v>0</v>
      </c>
      <c r="AB199" s="36">
        <f>(($R199 / 240) * _xlfn.XLOOKUP($D199,'Milk Types Nutrition Per Cup'!A:A,'Milk Types Nutrition Per Cup'!B:B,0)) +(($S199 / 240)  * _xlfn.XLOOKUP($E199,'Milk Types Nutrition Per Cup'!A:A,'Milk Types Nutrition Per Cup'!B:B,0)) +(($T199 / 15)  * _xlfn.XLOOKUP($F199,'Liquid Mix In Nutrition'!A:A,'Liquid Mix In Nutrition'!B:B,0))+(($U199 / 15)  * _xlfn.XLOOKUP($G199,'Liquid Mix In Nutrition'!A:A,'Liquid Mix In Nutrition'!B:B,0))+(($V199 /MAX(1, _xlfn.XLOOKUP($H199,'Solid Mix In Nutrition'!A:A,'Solid Mix In Nutrition'!I:I,1)))  * _xlfn.XLOOKUP($H199,'Solid Mix In Nutrition'!A:A,'Solid Mix In Nutrition'!B:B,0))+(($W199 / MAX(1, _xlfn.XLOOKUP($I199,'Solid Mix In Nutrition'!A:A,'Solid Mix In Nutrition'!I:I,1))))+(($X199 / 100)  * _xlfn.XLOOKUP($J199,'Sweetener Mix In Nutrition'!A:A,'Sweetener Mix In Nutrition'!B:B,0))+(($Y199 / 100)  * _xlfn.XLOOKUP($K199,'Sweetener Mix In Nutrition'!A:A,'Sweetener Mix In Nutrition'!B:B,0))</f>
        <v>0</v>
      </c>
      <c r="AC199" s="36">
        <f>(($R199 / 240) * _xlfn.XLOOKUP($D199,'Milk Types Nutrition Per Cup'!A:A,'Milk Types Nutrition Per Cup'!E:E,0)) +(($S199 / 240)  * _xlfn.XLOOKUP($E199,'Milk Types Nutrition Per Cup'!A:A,'Milk Types Nutrition Per Cup'!E:E,0)) +(($T199 / 15)  * _xlfn.XLOOKUP($F199,'Liquid Mix In Nutrition'!A:A,'Liquid Mix In Nutrition'!E:E,0)) +(($U199 / 15)  * _xlfn.XLOOKUP($G199,'Liquid Mix In Nutrition'!A:A,'Liquid Mix In Nutrition'!E:E,0))+(($V199 / MAX(1, _xlfn.XLOOKUP($H199,'Solid Mix In Nutrition'!A:A,'Solid Mix In Nutrition'!I:I,1)))  * _xlfn.XLOOKUP($H199,'Solid Mix In Nutrition'!A:A,'Solid Mix In Nutrition'!E:E,0))+(($W199 / MAX(1, _xlfn.XLOOKUP($I199,'Solid Mix In Nutrition'!A:A,'Solid Mix In Nutrition'!I:I,1)))  * _xlfn.XLOOKUP($I199,'Solid Mix In Nutrition'!A:A,'Solid Mix In Nutrition'!G:G,0))+(($X199 / 100)  * _xlfn.XLOOKUP($J199,'Sweetener Mix In Nutrition'!A:A,'Sweetener Mix In Nutrition'!E:E,0))+(($Y199 / 100)  * _xlfn.XLOOKUP($K199,'Sweetener Mix In Nutrition'!A:A,'Sweetener Mix In Nutrition'!E:E,0))</f>
        <v>0</v>
      </c>
      <c r="AD199" s="36">
        <f>(($R199 / 240) * _xlfn.XLOOKUP($D199,'Milk Types Nutrition Per Cup'!A:A,'Milk Types Nutrition Per Cup'!E:E,0)) +(($S199 / 240)  * _xlfn.XLOOKUP($E199,'Milk Types Nutrition Per Cup'!A:A,'Milk Types Nutrition Per Cup'!E:E,0)) +(($T199 / 15)  * _xlfn.XLOOKUP($F199,'Liquid Mix In Nutrition'!A:A,'Liquid Mix In Nutrition'!E:E,0)) +(($U199 / 15)  * _xlfn.XLOOKUP($G199,'Liquid Mix In Nutrition'!A:A,'Liquid Mix In Nutrition'!E:E,0))+(($X199 / 100)  * _xlfn.XLOOKUP($J199,'Sweetener Mix In Nutrition'!A:A,'Sweetener Mix In Nutrition'!E:E,0))+(($Y199 / 100)  * _xlfn.XLOOKUP($K199,'Sweetener Mix In Nutrition'!A:A,'Sweetener Mix In Nutrition'!E:E,0))</f>
        <v>0</v>
      </c>
      <c r="AE199" s="37">
        <f>(($R199 / 240) * _xlfn.XLOOKUP($D199,'Milk Types Nutrition Per Cup'!A:A,'Milk Types Nutrition Per Cup'!C:C,0)) +(($S199 / 240)  * _xlfn.XLOOKUP($E199,'Milk Types Nutrition Per Cup'!A:A,'Milk Types Nutrition Per Cup'!C:C,0)) +(($T199 / 15)  * _xlfn.XLOOKUP($F199,'Liquid Mix In Nutrition'!A:A,'Liquid Mix In Nutrition'!C:C,0))+(($U199 / 15)  * _xlfn.XLOOKUP($G199,'Liquid Mix In Nutrition'!A:A,'Liquid Mix In Nutrition'!C:C,0))+(($V199 / MAX(1, _xlfn.XLOOKUP($H199,'Solid Mix In Nutrition'!A:A,'Solid Mix In Nutrition'!I:I,1)))  * _xlfn.XLOOKUP($H199,'Solid Mix In Nutrition'!A:A,'Solid Mix In Nutrition'!C:C,0))+(($W199 / MAX(1, _xlfn.XLOOKUP($I199,'Solid Mix In Nutrition'!A:A,'Solid Mix In Nutrition'!I:I,1)))  * _xlfn.XLOOKUP($I199,'Solid Mix In Nutrition'!A:A,'Solid Mix In Nutrition'!C:C,0))+(($X199 / 100)  * _xlfn.XLOOKUP($J199,'Sweetener Mix In Nutrition'!A:A,'Sweetener Mix In Nutrition'!C:C,0))+(($Y199 / 100)  * _xlfn.XLOOKUP($K199,'Sweetener Mix In Nutrition'!A:A,'Sweetener Mix In Nutrition'!C:C,0))</f>
        <v>0</v>
      </c>
      <c r="AF199" s="38" t="e">
        <f>$AE199 / (_xlfn.XLOOKUP($L199,Specs!A:A,Specs!B:B,0))</f>
        <v>#DIV/0!</v>
      </c>
      <c r="AG199" s="37" t="e">
        <f>60* ($AB199 / _xlfn.XLOOKUP($L199,Specs!A:A,Specs!B:B,0))</f>
        <v>#DIV/0!</v>
      </c>
      <c r="AH199" s="37" t="e">
        <f>60* (AC199 / _xlfn.XLOOKUP($L199,Specs!$A:$A,Specs!$B:$B,0))</f>
        <v>#DIV/0!</v>
      </c>
      <c r="AI199" s="37" t="e">
        <f>60* (AE199 / _xlfn.XLOOKUP($L199,Specs!$A:$A,Specs!$B:$B,0))</f>
        <v>#DIV/0!</v>
      </c>
      <c r="AJ199" s="39">
        <f>(($R199 / 240) * _xlfn.XLOOKUP($D199,'Milk Types Nutrition Per Cup'!A:A,'Milk Types Nutrition Per Cup'!F:F,0)) +(($S199 / 240)  * _xlfn.XLOOKUP($E199,'Milk Types Nutrition Per Cup'!A:A,'Milk Types Nutrition Per Cup'!F:F,0)) +(($T199 / 15)  * _xlfn.XLOOKUP($F199,'Liquid Mix In Nutrition'!A:A,'Liquid Mix In Nutrition'!F:F,0))+(($U199 / 15)  * _xlfn.XLOOKUP($G199,'Liquid Mix In Nutrition'!A:A,'Liquid Mix In Nutrition'!F:F,0))+(($V199 / MAX(1, _xlfn.XLOOKUP($H199,'Solid Mix In Nutrition'!A:A,'Solid Mix In Nutrition'!I:I,1)))  * _xlfn.XLOOKUP($H199,'Solid Mix In Nutrition'!A:A,'Solid Mix In Nutrition'!F:F,0))+(($W199 / MAX(1, _xlfn.XLOOKUP($I199,'Solid Mix In Nutrition'!A:A,'Solid Mix In Nutrition'!I:I,1)))  * _xlfn.XLOOKUP($I199,'Solid Mix In Nutrition'!A:A,'Solid Mix In Nutrition'!F:F,0))+(($X199 / 100)  * _xlfn.XLOOKUP($J199,'Sweetener Mix In Nutrition'!A:A,'Sweetener Mix In Nutrition'!F:F,0))+(($Y199 / 100)  * _xlfn.XLOOKUP($K199,'Sweetener Mix In Nutrition'!A:A,'Sweetener Mix In Nutrition'!F:F,0))</f>
        <v>0</v>
      </c>
      <c r="AK199" s="46">
        <f>[2]Sheet1!AG199</f>
        <v>0</v>
      </c>
      <c r="AL199" s="47"/>
      <c r="AM199" s="40">
        <f>IF(ISERROR(((AL199/Specs!$L$3)*Specs!$L$2)*2),0,ROUNDUP((((AL199/Specs!$L$3)*Specs!$L$2)*2),0))</f>
        <v>0</v>
      </c>
      <c r="AN199" s="48">
        <f>ROUNDUP(((AJ199+Specs!$R$2+Specs!$S$2+_xlfn.XLOOKUP($L199,Specs!A:A,Specs!V:V,0))*Specs!$N$2)+AM199,0)</f>
        <v>1</v>
      </c>
      <c r="AO199" s="40">
        <f>ROUNDUP(((AJ199+Specs!$R$2+Specs!$S$2+_xlfn.XLOOKUP($L199,Specs!A:A,Specs!V:V,0))*Specs!$N$2),0)</f>
        <v>1</v>
      </c>
      <c r="AP199" s="30"/>
    </row>
    <row r="200" spans="1:42" x14ac:dyDescent="0.25">
      <c r="A200" s="41" t="str">
        <f>_xlfn.CONCAT(_xlfn.XLOOKUP("What's Your Name?",[1]Sheet1!$1:$1,[1]Sheet1!200:200)," | ",TEXT(_xlfn.XLOOKUP("Completion time",[1]Sheet1!$1:$1,[1]Sheet1!200:200),"dddd, mmm dd, yyyy hh:mm AM/PM"))</f>
        <v xml:space="preserve"> | Saturday, Jan 00, 1900 12:00 AM</v>
      </c>
      <c r="B200" s="76">
        <f>_xlfn.XLOOKUP("What's Your Email Address?",[1]Sheet1!$1:$1,[1]Sheet1!200:200)</f>
        <v>0</v>
      </c>
      <c r="C200" s="31">
        <f>IF(ISBLANK(_xlfn.XLOOKUP("Which Flavor? (Pint Price | Quart Price | Half Gallon Price) (NOTE: Prices may fluctuate based on market conditions)",[1]Sheet1!$1:$1,[1]Sheet1!200:200)),_xlfn.XLOOKUP("Name Your Ice Cream!",[1]Sheet1!$1:$1,[1]Sheet1!200:200),IF(ISNUMBER(FIND("(", _xlfn.XLOOKUP("Which Flavor? (Pint Price | Quart Price | Half Gallon Price) (NOTE: Prices may fluctuate based on market conditions)",[1]Sheet1!$1:$1,[1]Sheet1!200:200))), LEFT(_xlfn.XLOOKUP("Which Flavor? (Pint Price | Quart Price | Half Gallon Price) (NOTE: Prices may fluctuate based on market conditions)",[1]Sheet1!$1:$1,[1]Sheet1!200:200), FIND("(", _xlfn.XLOOKUP("Which Flavor? (Pint Price | Quart Price | Half Gallon Price) (NOTE: Prices may fluctuate based on market conditions)",[1]Sheet1!$1:$1,[1]Sheet1!200:200)) - 1), _xlfn.XLOOKUP("Which Flavor? (Pint Price | Quart Price | Half Gallon Price) (NOTE: Prices may fluctuate based on market conditions)",[1]Sheet1!$1:$1,[1]Sheet1!200:200)))</f>
        <v>0</v>
      </c>
      <c r="D200" s="31">
        <f>IF(COUNTIF('Premade Flavors'!$A:$A, $C200) &gt; 0,IF(ISBLANK(_xlfn.XLOOKUP("What Ice Cream Base Do You Want To Change It To?",[1]Sheet1!$1:$1,[1]Sheet1!200:200)),_xlfn.XLOOKUP($C200,'Premade Flavors'!$A:$A,'Premade Flavors'!B:B),_xlfn.XLOOKUP("What Ice Cream Base Do You Want To Change It To?",[1]Sheet1!$1:$1,[1]Sheet1!200:200)),_xlfn.XLOOKUP(_xlfn.XLOOKUP("What Kind Of Ice Cream Base Do You Want? ",[1]Sheet1!$1:$1,[1]Sheet1!200:200),'Milk Types Nutrition Per Cup'!O:O,'Milk Types Nutrition Per Cup'!P:P,""))</f>
        <v>0</v>
      </c>
      <c r="E200" s="31">
        <f>IF(COUNTIF('Premade Flavors'!$A:$A, $C200) &gt; 0,IF(ISBLANK(_xlfn.XLOOKUP("What Ice Cream Base Do You Want To Change It To?",[1]Sheet1!$1:$1,[1]Sheet1!200:200)),_xlfn.XLOOKUP($C200,'Premade Flavors'!$A:$A,'Premade Flavors'!C:C),_xlfn.XLOOKUP("What Ice Cream Base Do You Want To Change It To?",[1]Sheet1!$1:$1,[1]Sheet1!200:200)),_xlfn.XLOOKUP(_xlfn.XLOOKUP("What Kind Of Ice Cream Base Do You Want? ",[1]Sheet1!$1:$1,[1]Sheet1!200:200),'Milk Types Nutrition Per Cup'!$O:$O,'Milk Types Nutrition Per Cup'!$Q:$Q,""))</f>
        <v>0</v>
      </c>
      <c r="F200" s="31">
        <f>IF(COUNTIF('Premade Flavors'!$A:$A, $C200) &gt; 0,_xlfn.XLOOKUP($C200,'Premade Flavors'!$A:$A,'Premade Flavors'!E:E),_xlfn.XLOOKUP("What's The First Flavor You Want? ",[1]Sheet1!$1:$1,[1]Sheet1!200:200))</f>
        <v>0</v>
      </c>
      <c r="G200" s="31">
        <f>IF(COUNTIF('Premade Flavors'!$A:$A, $C200) &gt; 0,_xlfn.XLOOKUP($C200,'Premade Flavors'!$A:$A,'Premade Flavors'!F:F),_xlfn.XLOOKUP("What's the Second Flavor You Want?",[1]Sheet1!$1:$1,[1]Sheet1!200:200))</f>
        <v>0</v>
      </c>
      <c r="H200" s="31">
        <f>IF(COUNTIF('Premade Flavors'!$A:$A, $C200) &gt; 0,_xlfn.XLOOKUP($C200,'Premade Flavors'!$A:$A,'Premade Flavors'!G:G),_xlfn.XLOOKUP("What's The First Mix In That You Want? ",[1]Sheet1!$1:$1,[1]Sheet1!200:200))</f>
        <v>0</v>
      </c>
      <c r="I200" s="31">
        <f>IF(COUNTIF('Premade Flavors'!$A:$A, $C198) &gt; 0,_xlfn.XLOOKUP($C198,'Premade Flavors'!$A:$A,'Premade Flavors'!H:H),IF([2]Sheet1!W198= 0,,[2]Sheet1!W198))</f>
        <v>0</v>
      </c>
      <c r="J200" s="31">
        <f>IF(COUNTIF('Premade Flavors'!$A:$A,$C200)&gt;0,IF(_xlfn.XLOOKUP("Should It Use Sugar or A Non-Sugar Sweetner?",[1]Sheet1!$1:$1,[1]Sheet1!200:200)="Sugar",_xlfn.XLOOKUP($C200,'Premade Flavors'!$A:$A,'Premade Flavors'!I:I),"Stevia"),_xlfn.XLOOKUP("What Sweetner Do You Want?",[1]Sheet1!$1:$1,[1]Sheet1!200:200))</f>
        <v>0</v>
      </c>
      <c r="K200" s="31"/>
      <c r="L200" s="77">
        <f>_xlfn.XLOOKUP("How Much Ice Cream Do You Want?",[1]Sheet1!$1:$1,[1]Sheet1!200:200)</f>
        <v>0</v>
      </c>
      <c r="M200" s="45">
        <f>IF(COUNTIF('Premade Flavors'!$A:$A, $C200) &gt; 0,_xlfn.XLOOKUP($C200,'Premade Flavors'!$A:$A,'Premade Flavors'!M:M),_xlfn.XLOOKUP("How Strong Do You Want The First Flavor?",[1]Sheet1!$1:$1,[1]Sheet1!200:200))</f>
        <v>0</v>
      </c>
      <c r="N200" s="45">
        <f>IF(COUNTIF('Premade Flavors'!$A:$A, $C200) &gt; 0,_xlfn.XLOOKUP($C200,'Premade Flavors'!$A:$A,'Premade Flavors'!N:N),_xlfn.XLOOKUP("How Strong Do You Want The Second Flavor?",[1]Sheet1!$1:$1,[1]Sheet1!200:200))</f>
        <v>0</v>
      </c>
      <c r="O200" s="45">
        <f>IF(COUNTIF('Premade Flavors'!$A:$A, $C200) &gt; 0,_xlfn.XLOOKUP($C200,'Premade Flavors'!$A:$A,'Premade Flavors'!O:O),_xlfn.XLOOKUP("How Dense Should the Mix Ins Be?",[1]Sheet1!$1:$1,[1]Sheet1!200:200))</f>
        <v>0</v>
      </c>
      <c r="P200" s="45">
        <f>IF(COUNTIF('Premade Flavors'!$A:$A, $C200) &gt; 0,_xlfn.XLOOKUP($C200,'Premade Flavors'!$A:$A,'Premade Flavors'!P:P),_xlfn.XLOOKUP("How Much Of The First Sweetner? ",[1]Sheet1!$1:$1,[1]Sheet1!200:200))</f>
        <v>0</v>
      </c>
      <c r="Q200" s="45">
        <f>IF(COUNTIF('Premade Flavors'!$A:$A, $C200) &gt; 0,_xlfn.XLOOKUP($C200,'Premade Flavors'!$A:$A,'Premade Flavors'!Q:Q),[2]Sheet1!S200)</f>
        <v>0</v>
      </c>
      <c r="R200" s="30">
        <f>(_xlfn.XLOOKUP($L200,Specs!A:A,Specs!B:B,0)-(IF(_xlfn.XLOOKUP($F200,'Liquid Mix In Nutrition'!A:A,'Liquid Mix In Nutrition'!J:J,0)="Yes",0,$T200))-(IF(_xlfn.XLOOKUP($G200,'Liquid Mix In Nutrition'!A:A,'Liquid Mix In Nutrition'!J:J,0)="Yes",0,$U200))-(($V200/MAX(1,_xlfn.XLOOKUP($H200,'Solid Mix In Nutrition'!A:A,'Solid Mix In Nutrition'!I:I,1)))*240)-(($W200/MAX(1,_xlfn.XLOOKUP($I200,'Solid Mix In Nutrition'!A:A,'Solid Mix In Nutrition'!I:I,1)))*240))*0.66</f>
        <v>0</v>
      </c>
      <c r="S200" s="30">
        <f>(_xlfn.XLOOKUP($L200,Specs!A:A,Specs!B:B,0)-(IF(_xlfn.XLOOKUP($F200,'Liquid Mix In Nutrition'!A:A,'Liquid Mix In Nutrition'!J:J,0)="Yes",0,$T200))-(IF(_xlfn.XLOOKUP($G200,'Liquid Mix In Nutrition'!A:A,'Liquid Mix In Nutrition'!J:J,0)="Yes",0,$U200))-(($V200/MAX(1,_xlfn.XLOOKUP($H200,'Solid Mix In Nutrition'!A:A,'Solid Mix In Nutrition'!I:I,1)))*240)-(($W200/MAX(1,_xlfn.XLOOKUP($I200,'Solid Mix In Nutrition'!A:A,'Solid Mix In Nutrition'!I:I,1)))*240))*0.33</f>
        <v>0</v>
      </c>
      <c r="T200" s="30">
        <f>_xlfn.XLOOKUP($M200,Specs!$D:$D,Specs!$E:$E,0)*15*_xlfn.XLOOKUP($L200,Specs!$A:$A,Specs!$C:$C,0)</f>
        <v>0</v>
      </c>
      <c r="U200" s="30">
        <f>_xlfn.XLOOKUP($N200,Specs!$D:$D,Specs!$E:$E,0)*15*_xlfn.XLOOKUP($L200,Specs!$A:$A,Specs!$C:$C,0)</f>
        <v>0</v>
      </c>
      <c r="V200" s="30">
        <f>( ((_xlfn.XLOOKUP($O200,Specs!$H:$H,Specs!$I:$I,0)*_xlfn.XLOOKUP($L200,Specs!$A:$A,Specs!$B:$B,0))/240) *_xlfn.XLOOKUP($H200,'Solid Mix In Nutrition'!A:A,'Solid Mix In Nutrition'!I:I,0)) *IF(AND(NOT($I200=0), COUNTA($I200)),0.5,1)</f>
        <v>0</v>
      </c>
      <c r="W200" s="30">
        <f>( ((_xlfn.XLOOKUP($O200,Specs!$H:$H,Specs!$I:$I,0)*_xlfn.XLOOKUP($L200,Specs!$A:$A,Specs!$B:$B,0))/240) *_xlfn.XLOOKUP($I200,'Solid Mix In Nutrition'!A:A,'Solid Mix In Nutrition'!I:I,0)) *IF(AND(NOT($I200=0), COUNTA($I200)),0.5,0)</f>
        <v>0</v>
      </c>
      <c r="X200" s="30">
        <f>_xlfn.XLOOKUP($P200,Specs!F:F,Specs!G:G,0)*_xlfn.XLOOKUP($J200,'Sweetener Mix In Nutrition'!A:A,'Sweetener Mix In Nutrition'!I:I,0)*_xlfn.XLOOKUP($L200,Specs!A:A,Specs!C:C,0)</f>
        <v>0</v>
      </c>
      <c r="Y200" s="30">
        <f>_xlfn.XLOOKUP($Q200,Specs!F:F,Specs!G:G,0)*_xlfn.XLOOKUP($K200,'Sweetener Mix In Nutrition'!A:A,'Sweetener Mix In Nutrition'!I:I,0)*_xlfn.XLOOKUP($L200,Specs!A:A,Specs!C:C,0)</f>
        <v>0</v>
      </c>
      <c r="Z200" s="34">
        <f t="shared" si="6"/>
        <v>0</v>
      </c>
      <c r="AA200" s="35">
        <f t="shared" si="7"/>
        <v>0</v>
      </c>
      <c r="AB200" s="36">
        <f>(($R200 / 240) * _xlfn.XLOOKUP($D200,'Milk Types Nutrition Per Cup'!A:A,'Milk Types Nutrition Per Cup'!B:B,0)) +(($S200 / 240)  * _xlfn.XLOOKUP($E200,'Milk Types Nutrition Per Cup'!A:A,'Milk Types Nutrition Per Cup'!B:B,0)) +(($T200 / 15)  * _xlfn.XLOOKUP($F200,'Liquid Mix In Nutrition'!A:A,'Liquid Mix In Nutrition'!B:B,0))+(($U200 / 15)  * _xlfn.XLOOKUP($G200,'Liquid Mix In Nutrition'!A:A,'Liquid Mix In Nutrition'!B:B,0))+(($V200 /MAX(1, _xlfn.XLOOKUP($H200,'Solid Mix In Nutrition'!A:A,'Solid Mix In Nutrition'!I:I,1)))  * _xlfn.XLOOKUP($H200,'Solid Mix In Nutrition'!A:A,'Solid Mix In Nutrition'!B:B,0))+(($W200 / MAX(1, _xlfn.XLOOKUP($I200,'Solid Mix In Nutrition'!A:A,'Solid Mix In Nutrition'!I:I,1))))+(($X200 / 100)  * _xlfn.XLOOKUP($J200,'Sweetener Mix In Nutrition'!A:A,'Sweetener Mix In Nutrition'!B:B,0))+(($Y200 / 100)  * _xlfn.XLOOKUP($K200,'Sweetener Mix In Nutrition'!A:A,'Sweetener Mix In Nutrition'!B:B,0))</f>
        <v>0</v>
      </c>
      <c r="AC200" s="36">
        <f>(($R200 / 240) * _xlfn.XLOOKUP($D200,'Milk Types Nutrition Per Cup'!A:A,'Milk Types Nutrition Per Cup'!E:E,0)) +(($S200 / 240)  * _xlfn.XLOOKUP($E200,'Milk Types Nutrition Per Cup'!A:A,'Milk Types Nutrition Per Cup'!E:E,0)) +(($T200 / 15)  * _xlfn.XLOOKUP($F200,'Liquid Mix In Nutrition'!A:A,'Liquid Mix In Nutrition'!E:E,0)) +(($U200 / 15)  * _xlfn.XLOOKUP($G200,'Liquid Mix In Nutrition'!A:A,'Liquid Mix In Nutrition'!E:E,0))+(($V200 / MAX(1, _xlfn.XLOOKUP($H200,'Solid Mix In Nutrition'!A:A,'Solid Mix In Nutrition'!I:I,1)))  * _xlfn.XLOOKUP($H200,'Solid Mix In Nutrition'!A:A,'Solid Mix In Nutrition'!E:E,0))+(($W200 / MAX(1, _xlfn.XLOOKUP($I200,'Solid Mix In Nutrition'!A:A,'Solid Mix In Nutrition'!I:I,1)))  * _xlfn.XLOOKUP($I200,'Solid Mix In Nutrition'!A:A,'Solid Mix In Nutrition'!G:G,0))+(($X200 / 100)  * _xlfn.XLOOKUP($J200,'Sweetener Mix In Nutrition'!A:A,'Sweetener Mix In Nutrition'!E:E,0))+(($Y200 / 100)  * _xlfn.XLOOKUP($K200,'Sweetener Mix In Nutrition'!A:A,'Sweetener Mix In Nutrition'!E:E,0))</f>
        <v>0</v>
      </c>
      <c r="AD200" s="36">
        <f>(($R200 / 240) * _xlfn.XLOOKUP($D200,'Milk Types Nutrition Per Cup'!A:A,'Milk Types Nutrition Per Cup'!E:E,0)) +(($S200 / 240)  * _xlfn.XLOOKUP($E200,'Milk Types Nutrition Per Cup'!A:A,'Milk Types Nutrition Per Cup'!E:E,0)) +(($T200 / 15)  * _xlfn.XLOOKUP($F200,'Liquid Mix In Nutrition'!A:A,'Liquid Mix In Nutrition'!E:E,0)) +(($U200 / 15)  * _xlfn.XLOOKUP($G200,'Liquid Mix In Nutrition'!A:A,'Liquid Mix In Nutrition'!E:E,0))+(($X200 / 100)  * _xlfn.XLOOKUP($J200,'Sweetener Mix In Nutrition'!A:A,'Sweetener Mix In Nutrition'!E:E,0))+(($Y200 / 100)  * _xlfn.XLOOKUP($K200,'Sweetener Mix In Nutrition'!A:A,'Sweetener Mix In Nutrition'!E:E,0))</f>
        <v>0</v>
      </c>
      <c r="AE200" s="37">
        <f>(($R200 / 240) * _xlfn.XLOOKUP($D200,'Milk Types Nutrition Per Cup'!A:A,'Milk Types Nutrition Per Cup'!C:C,0)) +(($S200 / 240)  * _xlfn.XLOOKUP($E200,'Milk Types Nutrition Per Cup'!A:A,'Milk Types Nutrition Per Cup'!C:C,0)) +(($T200 / 15)  * _xlfn.XLOOKUP($F200,'Liquid Mix In Nutrition'!A:A,'Liquid Mix In Nutrition'!C:C,0))+(($U200 / 15)  * _xlfn.XLOOKUP($G200,'Liquid Mix In Nutrition'!A:A,'Liquid Mix In Nutrition'!C:C,0))+(($V200 / MAX(1, _xlfn.XLOOKUP($H200,'Solid Mix In Nutrition'!A:A,'Solid Mix In Nutrition'!I:I,1)))  * _xlfn.XLOOKUP($H200,'Solid Mix In Nutrition'!A:A,'Solid Mix In Nutrition'!C:C,0))+(($W200 / MAX(1, _xlfn.XLOOKUP($I200,'Solid Mix In Nutrition'!A:A,'Solid Mix In Nutrition'!I:I,1)))  * _xlfn.XLOOKUP($I200,'Solid Mix In Nutrition'!A:A,'Solid Mix In Nutrition'!C:C,0))+(($X200 / 100)  * _xlfn.XLOOKUP($J200,'Sweetener Mix In Nutrition'!A:A,'Sweetener Mix In Nutrition'!C:C,0))+(($Y200 / 100)  * _xlfn.XLOOKUP($K200,'Sweetener Mix In Nutrition'!A:A,'Sweetener Mix In Nutrition'!C:C,0))</f>
        <v>0</v>
      </c>
      <c r="AF200" s="38" t="e">
        <f>$AE200 / (_xlfn.XLOOKUP($L200,Specs!A:A,Specs!B:B,0))</f>
        <v>#DIV/0!</v>
      </c>
      <c r="AG200" s="37" t="e">
        <f>60* ($AB200 / _xlfn.XLOOKUP($L200,Specs!A:A,Specs!B:B,0))</f>
        <v>#DIV/0!</v>
      </c>
      <c r="AH200" s="37" t="e">
        <f>60* (AC200 / _xlfn.XLOOKUP($L200,Specs!$A:$A,Specs!$B:$B,0))</f>
        <v>#DIV/0!</v>
      </c>
      <c r="AI200" s="37" t="e">
        <f>60* (AE200 / _xlfn.XLOOKUP($L200,Specs!$A:$A,Specs!$B:$B,0))</f>
        <v>#DIV/0!</v>
      </c>
      <c r="AJ200" s="39">
        <f>(($R200 / 240) * _xlfn.XLOOKUP($D200,'Milk Types Nutrition Per Cup'!A:A,'Milk Types Nutrition Per Cup'!F:F,0)) +(($S200 / 240)  * _xlfn.XLOOKUP($E200,'Milk Types Nutrition Per Cup'!A:A,'Milk Types Nutrition Per Cup'!F:F,0)) +(($T200 / 15)  * _xlfn.XLOOKUP($F200,'Liquid Mix In Nutrition'!A:A,'Liquid Mix In Nutrition'!F:F,0))+(($U200 / 15)  * _xlfn.XLOOKUP($G200,'Liquid Mix In Nutrition'!A:A,'Liquid Mix In Nutrition'!F:F,0))+(($V200 / MAX(1, _xlfn.XLOOKUP($H200,'Solid Mix In Nutrition'!A:A,'Solid Mix In Nutrition'!I:I,1)))  * _xlfn.XLOOKUP($H200,'Solid Mix In Nutrition'!A:A,'Solid Mix In Nutrition'!F:F,0))+(($W200 / MAX(1, _xlfn.XLOOKUP($I200,'Solid Mix In Nutrition'!A:A,'Solid Mix In Nutrition'!I:I,1)))  * _xlfn.XLOOKUP($I200,'Solid Mix In Nutrition'!A:A,'Solid Mix In Nutrition'!F:F,0))+(($X200 / 100)  * _xlfn.XLOOKUP($J200,'Sweetener Mix In Nutrition'!A:A,'Sweetener Mix In Nutrition'!F:F,0))+(($Y200 / 100)  * _xlfn.XLOOKUP($K200,'Sweetener Mix In Nutrition'!A:A,'Sweetener Mix In Nutrition'!F:F,0))</f>
        <v>0</v>
      </c>
      <c r="AK200" s="46">
        <f>[2]Sheet1!AG200</f>
        <v>0</v>
      </c>
      <c r="AL200" s="47"/>
      <c r="AM200" s="40">
        <f>IF(ISERROR(((AL200/Specs!$L$3)*Specs!$L$2)*2),0,ROUNDUP((((AL200/Specs!$L$3)*Specs!$L$2)*2),0))</f>
        <v>0</v>
      </c>
      <c r="AN200" s="48">
        <f>ROUNDUP(((AJ200+Specs!$R$2+Specs!$S$2+_xlfn.XLOOKUP($L200,Specs!A:A,Specs!V:V,0))*Specs!$N$2)+AM200,0)</f>
        <v>1</v>
      </c>
      <c r="AO200" s="40">
        <f>ROUNDUP(((AJ200+Specs!$R$2+Specs!$S$2+_xlfn.XLOOKUP($L200,Specs!A:A,Specs!V:V,0))*Specs!$N$2),0)</f>
        <v>1</v>
      </c>
      <c r="AP200" s="30"/>
    </row>
    <row r="201" spans="1:42" x14ac:dyDescent="0.25">
      <c r="A201" s="41" t="str">
        <f>_xlfn.CONCAT(_xlfn.XLOOKUP("What's Your Name?",[1]Sheet1!$1:$1,[1]Sheet1!201:201)," | ",TEXT(_xlfn.XLOOKUP("Completion time",[1]Sheet1!$1:$1,[1]Sheet1!201:201),"dddd, mmm dd, yyyy hh:mm AM/PM"))</f>
        <v xml:space="preserve"> | Saturday, Jan 00, 1900 12:00 AM</v>
      </c>
      <c r="B201" s="76">
        <f>_xlfn.XLOOKUP("What's Your Email Address?",[1]Sheet1!$1:$1,[1]Sheet1!201:201)</f>
        <v>0</v>
      </c>
      <c r="C201" s="31">
        <f>IF(ISBLANK(_xlfn.XLOOKUP("Which Flavor? (Pint Price | Quart Price | Half Gallon Price) (NOTE: Prices may fluctuate based on market conditions)",[1]Sheet1!$1:$1,[1]Sheet1!201:201)),_xlfn.XLOOKUP("Name Your Ice Cream!",[1]Sheet1!$1:$1,[1]Sheet1!201:201),IF(ISNUMBER(FIND("(", _xlfn.XLOOKUP("Which Flavor? (Pint Price | Quart Price | Half Gallon Price) (NOTE: Prices may fluctuate based on market conditions)",[1]Sheet1!$1:$1,[1]Sheet1!201:201))), LEFT(_xlfn.XLOOKUP("Which Flavor? (Pint Price | Quart Price | Half Gallon Price) (NOTE: Prices may fluctuate based on market conditions)",[1]Sheet1!$1:$1,[1]Sheet1!201:201), FIND("(", _xlfn.XLOOKUP("Which Flavor? (Pint Price | Quart Price | Half Gallon Price) (NOTE: Prices may fluctuate based on market conditions)",[1]Sheet1!$1:$1,[1]Sheet1!201:201)) - 1), _xlfn.XLOOKUP("Which Flavor? (Pint Price | Quart Price | Half Gallon Price) (NOTE: Prices may fluctuate based on market conditions)",[1]Sheet1!$1:$1,[1]Sheet1!201:201)))</f>
        <v>0</v>
      </c>
      <c r="D201" s="31">
        <f>IF(COUNTIF('Premade Flavors'!$A:$A, $C201) &gt; 0,IF(ISBLANK(_xlfn.XLOOKUP("What Ice Cream Base Do You Want To Change It To?",[1]Sheet1!$1:$1,[1]Sheet1!201:201)),_xlfn.XLOOKUP($C201,'Premade Flavors'!$A:$A,'Premade Flavors'!B:B),_xlfn.XLOOKUP("What Ice Cream Base Do You Want To Change It To?",[1]Sheet1!$1:$1,[1]Sheet1!201:201)),_xlfn.XLOOKUP(_xlfn.XLOOKUP("What Kind Of Ice Cream Base Do You Want? ",[1]Sheet1!$1:$1,[1]Sheet1!201:201),'Milk Types Nutrition Per Cup'!O:O,'Milk Types Nutrition Per Cup'!P:P,""))</f>
        <v>0</v>
      </c>
      <c r="E201" s="31">
        <f>IF(COUNTIF('Premade Flavors'!$A:$A, $C201) &gt; 0,IF(ISBLANK(_xlfn.XLOOKUP("What Ice Cream Base Do You Want To Change It To?",[1]Sheet1!$1:$1,[1]Sheet1!201:201)),_xlfn.XLOOKUP($C201,'Premade Flavors'!$A:$A,'Premade Flavors'!C:C),_xlfn.XLOOKUP("What Ice Cream Base Do You Want To Change It To?",[1]Sheet1!$1:$1,[1]Sheet1!201:201)),_xlfn.XLOOKUP(_xlfn.XLOOKUP("What Kind Of Ice Cream Base Do You Want? ",[1]Sheet1!$1:$1,[1]Sheet1!201:201),'Milk Types Nutrition Per Cup'!$O:$O,'Milk Types Nutrition Per Cup'!$Q:$Q,""))</f>
        <v>0</v>
      </c>
      <c r="F201" s="31">
        <f>IF(COUNTIF('Premade Flavors'!$A:$A, $C201) &gt; 0,_xlfn.XLOOKUP($C201,'Premade Flavors'!$A:$A,'Premade Flavors'!E:E),_xlfn.XLOOKUP("What's The First Flavor You Want? ",[1]Sheet1!$1:$1,[1]Sheet1!201:201))</f>
        <v>0</v>
      </c>
      <c r="G201" s="31">
        <f>IF(COUNTIF('Premade Flavors'!$A:$A, $C201) &gt; 0,_xlfn.XLOOKUP($C201,'Premade Flavors'!$A:$A,'Premade Flavors'!F:F),_xlfn.XLOOKUP("What's the Second Flavor You Want?",[1]Sheet1!$1:$1,[1]Sheet1!201:201))</f>
        <v>0</v>
      </c>
      <c r="H201" s="31">
        <f>IF(COUNTIF('Premade Flavors'!$A:$A, $C201) &gt; 0,_xlfn.XLOOKUP($C201,'Premade Flavors'!$A:$A,'Premade Flavors'!G:G),_xlfn.XLOOKUP("What's The First Mix In That You Want? ",[1]Sheet1!$1:$1,[1]Sheet1!201:201))</f>
        <v>0</v>
      </c>
      <c r="I201" s="31">
        <f>IF(COUNTIF('Premade Flavors'!$A:$A, $C199) &gt; 0,_xlfn.XLOOKUP($C199,'Premade Flavors'!$A:$A,'Premade Flavors'!H:H),IF([2]Sheet1!W199= 0,,[2]Sheet1!W199))</f>
        <v>0</v>
      </c>
      <c r="J201" s="31">
        <f>IF(COUNTIF('Premade Flavors'!$A:$A,$C201)&gt;0,IF(_xlfn.XLOOKUP("Should It Use Sugar or A Non-Sugar Sweetner?",[1]Sheet1!$1:$1,[1]Sheet1!201:201)="Sugar",_xlfn.XLOOKUP($C201,'Premade Flavors'!$A:$A,'Premade Flavors'!I:I),"Stevia"),_xlfn.XLOOKUP("What Sweetner Do You Want?",[1]Sheet1!$1:$1,[1]Sheet1!201:201))</f>
        <v>0</v>
      </c>
      <c r="K201" s="31"/>
      <c r="L201" s="77">
        <f>_xlfn.XLOOKUP("How Much Ice Cream Do You Want?",[1]Sheet1!$1:$1,[1]Sheet1!201:201)</f>
        <v>0</v>
      </c>
      <c r="M201" s="45">
        <f>IF(COUNTIF('Premade Flavors'!$A:$A, $C201) &gt; 0,_xlfn.XLOOKUP($C201,'Premade Flavors'!$A:$A,'Premade Flavors'!M:M),_xlfn.XLOOKUP("How Strong Do You Want The First Flavor?",[1]Sheet1!$1:$1,[1]Sheet1!201:201))</f>
        <v>0</v>
      </c>
      <c r="N201" s="45">
        <f>IF(COUNTIF('Premade Flavors'!$A:$A, $C201) &gt; 0,_xlfn.XLOOKUP($C201,'Premade Flavors'!$A:$A,'Premade Flavors'!N:N),_xlfn.XLOOKUP("How Strong Do You Want The Second Flavor?",[1]Sheet1!$1:$1,[1]Sheet1!201:201))</f>
        <v>0</v>
      </c>
      <c r="O201" s="45">
        <f>IF(COUNTIF('Premade Flavors'!$A:$A, $C201) &gt; 0,_xlfn.XLOOKUP($C201,'Premade Flavors'!$A:$A,'Premade Flavors'!O:O),_xlfn.XLOOKUP("How Dense Should the Mix Ins Be?",[1]Sheet1!$1:$1,[1]Sheet1!201:201))</f>
        <v>0</v>
      </c>
      <c r="P201" s="45">
        <f>IF(COUNTIF('Premade Flavors'!$A:$A, $C201) &gt; 0,_xlfn.XLOOKUP($C201,'Premade Flavors'!$A:$A,'Premade Flavors'!P:P),_xlfn.XLOOKUP("How Much Of The First Sweetner? ",[1]Sheet1!$1:$1,[1]Sheet1!201:201))</f>
        <v>0</v>
      </c>
      <c r="Q201" s="45">
        <f>IF(COUNTIF('Premade Flavors'!$A:$A, $C201) &gt; 0,_xlfn.XLOOKUP($C201,'Premade Flavors'!$A:$A,'Premade Flavors'!Q:Q),[2]Sheet1!S201)</f>
        <v>0</v>
      </c>
      <c r="R201" s="30">
        <f>(_xlfn.XLOOKUP($L201,Specs!A:A,Specs!B:B,0)-(IF(_xlfn.XLOOKUP($F201,'Liquid Mix In Nutrition'!A:A,'Liquid Mix In Nutrition'!J:J,0)="Yes",0,$T201))-(IF(_xlfn.XLOOKUP($G201,'Liquid Mix In Nutrition'!A:A,'Liquid Mix In Nutrition'!J:J,0)="Yes",0,$U201))-(($V201/MAX(1,_xlfn.XLOOKUP($H201,'Solid Mix In Nutrition'!A:A,'Solid Mix In Nutrition'!I:I,1)))*240)-(($W201/MAX(1,_xlfn.XLOOKUP($I201,'Solid Mix In Nutrition'!A:A,'Solid Mix In Nutrition'!I:I,1)))*240))*0.66</f>
        <v>0</v>
      </c>
      <c r="S201" s="30">
        <f>(_xlfn.XLOOKUP($L201,Specs!A:A,Specs!B:B,0)-(IF(_xlfn.XLOOKUP($F201,'Liquid Mix In Nutrition'!A:A,'Liquid Mix In Nutrition'!J:J,0)="Yes",0,$T201))-(IF(_xlfn.XLOOKUP($G201,'Liquid Mix In Nutrition'!A:A,'Liquid Mix In Nutrition'!J:J,0)="Yes",0,$U201))-(($V201/MAX(1,_xlfn.XLOOKUP($H201,'Solid Mix In Nutrition'!A:A,'Solid Mix In Nutrition'!I:I,1)))*240)-(($W201/MAX(1,_xlfn.XLOOKUP($I201,'Solid Mix In Nutrition'!A:A,'Solid Mix In Nutrition'!I:I,1)))*240))*0.33</f>
        <v>0</v>
      </c>
      <c r="T201" s="30">
        <f>_xlfn.XLOOKUP($M201,Specs!$D:$D,Specs!$E:$E,0)*15*_xlfn.XLOOKUP($L201,Specs!$A:$A,Specs!$C:$C,0)</f>
        <v>0</v>
      </c>
      <c r="U201" s="30">
        <f>_xlfn.XLOOKUP($N201,Specs!$D:$D,Specs!$E:$E,0)*15*_xlfn.XLOOKUP($L201,Specs!$A:$A,Specs!$C:$C,0)</f>
        <v>0</v>
      </c>
      <c r="V201" s="30">
        <f>( ((_xlfn.XLOOKUP($O201,Specs!$H:$H,Specs!$I:$I,0)*_xlfn.XLOOKUP($L201,Specs!$A:$A,Specs!$B:$B,0))/240) *_xlfn.XLOOKUP($H201,'Solid Mix In Nutrition'!A:A,'Solid Mix In Nutrition'!I:I,0)) *IF(AND(NOT($I201=0), COUNTA($I201)),0.5,1)</f>
        <v>0</v>
      </c>
      <c r="W201" s="30">
        <f>( ((_xlfn.XLOOKUP($O201,Specs!$H:$H,Specs!$I:$I,0)*_xlfn.XLOOKUP($L201,Specs!$A:$A,Specs!$B:$B,0))/240) *_xlfn.XLOOKUP($I201,'Solid Mix In Nutrition'!A:A,'Solid Mix In Nutrition'!I:I,0)) *IF(AND(NOT($I201=0), COUNTA($I201)),0.5,0)</f>
        <v>0</v>
      </c>
      <c r="X201" s="30">
        <f>_xlfn.XLOOKUP($P201,Specs!F:F,Specs!G:G,0)*_xlfn.XLOOKUP($J201,'Sweetener Mix In Nutrition'!A:A,'Sweetener Mix In Nutrition'!I:I,0)*_xlfn.XLOOKUP($L201,Specs!A:A,Specs!C:C,0)</f>
        <v>0</v>
      </c>
      <c r="Y201" s="30">
        <f>_xlfn.XLOOKUP($Q201,Specs!F:F,Specs!G:G,0)*_xlfn.XLOOKUP($K201,'Sweetener Mix In Nutrition'!A:A,'Sweetener Mix In Nutrition'!I:I,0)*_xlfn.XLOOKUP($L201,Specs!A:A,Specs!C:C,0)</f>
        <v>0</v>
      </c>
      <c r="Z201" s="34">
        <f t="shared" si="6"/>
        <v>0</v>
      </c>
      <c r="AA201" s="35">
        <f t="shared" si="7"/>
        <v>0</v>
      </c>
      <c r="AB201" s="36">
        <f>(($R201 / 240) * _xlfn.XLOOKUP($D201,'Milk Types Nutrition Per Cup'!A:A,'Milk Types Nutrition Per Cup'!B:B,0)) +(($S201 / 240)  * _xlfn.XLOOKUP($E201,'Milk Types Nutrition Per Cup'!A:A,'Milk Types Nutrition Per Cup'!B:B,0)) +(($T201 / 15)  * _xlfn.XLOOKUP($F201,'Liquid Mix In Nutrition'!A:A,'Liquid Mix In Nutrition'!B:B,0))+(($U201 / 15)  * _xlfn.XLOOKUP($G201,'Liquid Mix In Nutrition'!A:A,'Liquid Mix In Nutrition'!B:B,0))+(($V201 /MAX(1, _xlfn.XLOOKUP($H201,'Solid Mix In Nutrition'!A:A,'Solid Mix In Nutrition'!I:I,1)))  * _xlfn.XLOOKUP($H201,'Solid Mix In Nutrition'!A:A,'Solid Mix In Nutrition'!B:B,0))+(($W201 / MAX(1, _xlfn.XLOOKUP($I201,'Solid Mix In Nutrition'!A:A,'Solid Mix In Nutrition'!I:I,1))))+(($X201 / 100)  * _xlfn.XLOOKUP($J201,'Sweetener Mix In Nutrition'!A:A,'Sweetener Mix In Nutrition'!B:B,0))+(($Y201 / 100)  * _xlfn.XLOOKUP($K201,'Sweetener Mix In Nutrition'!A:A,'Sweetener Mix In Nutrition'!B:B,0))</f>
        <v>0</v>
      </c>
      <c r="AC201" s="36">
        <f>(($R201 / 240) * _xlfn.XLOOKUP($D201,'Milk Types Nutrition Per Cup'!A:A,'Milk Types Nutrition Per Cup'!E:E,0)) +(($S201 / 240)  * _xlfn.XLOOKUP($E201,'Milk Types Nutrition Per Cup'!A:A,'Milk Types Nutrition Per Cup'!E:E,0)) +(($T201 / 15)  * _xlfn.XLOOKUP($F201,'Liquid Mix In Nutrition'!A:A,'Liquid Mix In Nutrition'!E:E,0)) +(($U201 / 15)  * _xlfn.XLOOKUP($G201,'Liquid Mix In Nutrition'!A:A,'Liquid Mix In Nutrition'!E:E,0))+(($V201 / MAX(1, _xlfn.XLOOKUP($H201,'Solid Mix In Nutrition'!A:A,'Solid Mix In Nutrition'!I:I,1)))  * _xlfn.XLOOKUP($H201,'Solid Mix In Nutrition'!A:A,'Solid Mix In Nutrition'!E:E,0))+(($W201 / MAX(1, _xlfn.XLOOKUP($I201,'Solid Mix In Nutrition'!A:A,'Solid Mix In Nutrition'!I:I,1)))  * _xlfn.XLOOKUP($I201,'Solid Mix In Nutrition'!A:A,'Solid Mix In Nutrition'!G:G,0))+(($X201 / 100)  * _xlfn.XLOOKUP($J201,'Sweetener Mix In Nutrition'!A:A,'Sweetener Mix In Nutrition'!E:E,0))+(($Y201 / 100)  * _xlfn.XLOOKUP($K201,'Sweetener Mix In Nutrition'!A:A,'Sweetener Mix In Nutrition'!E:E,0))</f>
        <v>0</v>
      </c>
      <c r="AD201" s="36">
        <f>(($R201 / 240) * _xlfn.XLOOKUP($D201,'Milk Types Nutrition Per Cup'!A:A,'Milk Types Nutrition Per Cup'!E:E,0)) +(($S201 / 240)  * _xlfn.XLOOKUP($E201,'Milk Types Nutrition Per Cup'!A:A,'Milk Types Nutrition Per Cup'!E:E,0)) +(($T201 / 15)  * _xlfn.XLOOKUP($F201,'Liquid Mix In Nutrition'!A:A,'Liquid Mix In Nutrition'!E:E,0)) +(($U201 / 15)  * _xlfn.XLOOKUP($G201,'Liquid Mix In Nutrition'!A:A,'Liquid Mix In Nutrition'!E:E,0))+(($X201 / 100)  * _xlfn.XLOOKUP($J201,'Sweetener Mix In Nutrition'!A:A,'Sweetener Mix In Nutrition'!E:E,0))+(($Y201 / 100)  * _xlfn.XLOOKUP($K201,'Sweetener Mix In Nutrition'!A:A,'Sweetener Mix In Nutrition'!E:E,0))</f>
        <v>0</v>
      </c>
      <c r="AE201" s="37">
        <f>(($R201 / 240) * _xlfn.XLOOKUP($D201,'Milk Types Nutrition Per Cup'!A:A,'Milk Types Nutrition Per Cup'!C:C,0)) +(($S201 / 240)  * _xlfn.XLOOKUP($E201,'Milk Types Nutrition Per Cup'!A:A,'Milk Types Nutrition Per Cup'!C:C,0)) +(($T201 / 15)  * _xlfn.XLOOKUP($F201,'Liquid Mix In Nutrition'!A:A,'Liquid Mix In Nutrition'!C:C,0))+(($U201 / 15)  * _xlfn.XLOOKUP($G201,'Liquid Mix In Nutrition'!A:A,'Liquid Mix In Nutrition'!C:C,0))+(($V201 / MAX(1, _xlfn.XLOOKUP($H201,'Solid Mix In Nutrition'!A:A,'Solid Mix In Nutrition'!I:I,1)))  * _xlfn.XLOOKUP($H201,'Solid Mix In Nutrition'!A:A,'Solid Mix In Nutrition'!C:C,0))+(($W201 / MAX(1, _xlfn.XLOOKUP($I201,'Solid Mix In Nutrition'!A:A,'Solid Mix In Nutrition'!I:I,1)))  * _xlfn.XLOOKUP($I201,'Solid Mix In Nutrition'!A:A,'Solid Mix In Nutrition'!C:C,0))+(($X201 / 100)  * _xlfn.XLOOKUP($J201,'Sweetener Mix In Nutrition'!A:A,'Sweetener Mix In Nutrition'!C:C,0))+(($Y201 / 100)  * _xlfn.XLOOKUP($K201,'Sweetener Mix In Nutrition'!A:A,'Sweetener Mix In Nutrition'!C:C,0))</f>
        <v>0</v>
      </c>
      <c r="AF201" s="38" t="e">
        <f>$AE201 / (_xlfn.XLOOKUP($L201,Specs!A:A,Specs!B:B,0))</f>
        <v>#DIV/0!</v>
      </c>
      <c r="AG201" s="37" t="e">
        <f>60* ($AB201 / _xlfn.XLOOKUP($L201,Specs!A:A,Specs!B:B,0))</f>
        <v>#DIV/0!</v>
      </c>
      <c r="AH201" s="37" t="e">
        <f>60* (AC201 / _xlfn.XLOOKUP($L201,Specs!$A:$A,Specs!$B:$B,0))</f>
        <v>#DIV/0!</v>
      </c>
      <c r="AI201" s="37" t="e">
        <f>60* (AE201 / _xlfn.XLOOKUP($L201,Specs!$A:$A,Specs!$B:$B,0))</f>
        <v>#DIV/0!</v>
      </c>
      <c r="AJ201" s="39">
        <f>(($R201 / 240) * _xlfn.XLOOKUP($D201,'Milk Types Nutrition Per Cup'!A:A,'Milk Types Nutrition Per Cup'!F:F,0)) +(($S201 / 240)  * _xlfn.XLOOKUP($E201,'Milk Types Nutrition Per Cup'!A:A,'Milk Types Nutrition Per Cup'!F:F,0)) +(($T201 / 15)  * _xlfn.XLOOKUP($F201,'Liquid Mix In Nutrition'!A:A,'Liquid Mix In Nutrition'!F:F,0))+(($U201 / 15)  * _xlfn.XLOOKUP($G201,'Liquid Mix In Nutrition'!A:A,'Liquid Mix In Nutrition'!F:F,0))+(($V201 / MAX(1, _xlfn.XLOOKUP($H201,'Solid Mix In Nutrition'!A:A,'Solid Mix In Nutrition'!I:I,1)))  * _xlfn.XLOOKUP($H201,'Solid Mix In Nutrition'!A:A,'Solid Mix In Nutrition'!F:F,0))+(($W201 / MAX(1, _xlfn.XLOOKUP($I201,'Solid Mix In Nutrition'!A:A,'Solid Mix In Nutrition'!I:I,1)))  * _xlfn.XLOOKUP($I201,'Solid Mix In Nutrition'!A:A,'Solid Mix In Nutrition'!F:F,0))+(($X201 / 100)  * _xlfn.XLOOKUP($J201,'Sweetener Mix In Nutrition'!A:A,'Sweetener Mix In Nutrition'!F:F,0))+(($Y201 / 100)  * _xlfn.XLOOKUP($K201,'Sweetener Mix In Nutrition'!A:A,'Sweetener Mix In Nutrition'!F:F,0))</f>
        <v>0</v>
      </c>
      <c r="AK201" s="46">
        <f>[2]Sheet1!AG201</f>
        <v>0</v>
      </c>
      <c r="AL201" s="47"/>
      <c r="AM201" s="40">
        <f>IF(ISERROR(((AL201/Specs!$L$3)*Specs!$L$2)*2),0,ROUNDUP((((AL201/Specs!$L$3)*Specs!$L$2)*2),0))</f>
        <v>0</v>
      </c>
      <c r="AN201" s="48">
        <f>ROUNDUP(((AJ201+Specs!$R$2+Specs!$S$2+_xlfn.XLOOKUP($L201,Specs!A:A,Specs!V:V,0))*Specs!$N$2)+AM201,0)</f>
        <v>1</v>
      </c>
      <c r="AO201" s="40">
        <f>ROUNDUP(((AJ201+Specs!$R$2+Specs!$S$2+_xlfn.XLOOKUP($L201,Specs!A:A,Specs!V:V,0))*Specs!$N$2),0)</f>
        <v>1</v>
      </c>
      <c r="AP201" s="30"/>
    </row>
    <row r="202" spans="1:42" x14ac:dyDescent="0.25">
      <c r="A202" s="41" t="str">
        <f>_xlfn.CONCAT(_xlfn.XLOOKUP("What's Your Name?",[1]Sheet1!$1:$1,[1]Sheet1!202:202)," | ",TEXT(_xlfn.XLOOKUP("Completion time",[1]Sheet1!$1:$1,[1]Sheet1!202:202),"dddd, mmm dd, yyyy hh:mm AM/PM"))</f>
        <v xml:space="preserve"> | Saturday, Jan 00, 1900 12:00 AM</v>
      </c>
      <c r="B202" s="76">
        <f>_xlfn.XLOOKUP("What's Your Email Address?",[1]Sheet1!$1:$1,[1]Sheet1!202:202)</f>
        <v>0</v>
      </c>
      <c r="C202" s="31">
        <f>IF(ISBLANK(_xlfn.XLOOKUP("Which Flavor? (Pint Price | Quart Price | Half Gallon Price) (NOTE: Prices may fluctuate based on market conditions)",[1]Sheet1!$1:$1,[1]Sheet1!202:202)),_xlfn.XLOOKUP("Name Your Ice Cream!",[1]Sheet1!$1:$1,[1]Sheet1!202:202),IF(ISNUMBER(FIND("(", _xlfn.XLOOKUP("Which Flavor? (Pint Price | Quart Price | Half Gallon Price) (NOTE: Prices may fluctuate based on market conditions)",[1]Sheet1!$1:$1,[1]Sheet1!202:202))), LEFT(_xlfn.XLOOKUP("Which Flavor? (Pint Price | Quart Price | Half Gallon Price) (NOTE: Prices may fluctuate based on market conditions)",[1]Sheet1!$1:$1,[1]Sheet1!202:202), FIND("(", _xlfn.XLOOKUP("Which Flavor? (Pint Price | Quart Price | Half Gallon Price) (NOTE: Prices may fluctuate based on market conditions)",[1]Sheet1!$1:$1,[1]Sheet1!202:202)) - 1), _xlfn.XLOOKUP("Which Flavor? (Pint Price | Quart Price | Half Gallon Price) (NOTE: Prices may fluctuate based on market conditions)",[1]Sheet1!$1:$1,[1]Sheet1!202:202)))</f>
        <v>0</v>
      </c>
      <c r="D202" s="31">
        <f>IF(COUNTIF('Premade Flavors'!$A:$A, $C202) &gt; 0,IF(ISBLANK(_xlfn.XLOOKUP("What Ice Cream Base Do You Want To Change It To?",[1]Sheet1!$1:$1,[1]Sheet1!202:202)),_xlfn.XLOOKUP($C202,'Premade Flavors'!$A:$A,'Premade Flavors'!B:B),_xlfn.XLOOKUP("What Ice Cream Base Do You Want To Change It To?",[1]Sheet1!$1:$1,[1]Sheet1!202:202)),_xlfn.XLOOKUP(_xlfn.XLOOKUP("What Kind Of Ice Cream Base Do You Want? ",[1]Sheet1!$1:$1,[1]Sheet1!202:202),'Milk Types Nutrition Per Cup'!O:O,'Milk Types Nutrition Per Cup'!P:P,""))</f>
        <v>0</v>
      </c>
      <c r="E202" s="31">
        <f>IF(COUNTIF('Premade Flavors'!$A:$A, $C202) &gt; 0,IF(ISBLANK(_xlfn.XLOOKUP("What Ice Cream Base Do You Want To Change It To?",[1]Sheet1!$1:$1,[1]Sheet1!202:202)),_xlfn.XLOOKUP($C202,'Premade Flavors'!$A:$A,'Premade Flavors'!C:C),_xlfn.XLOOKUP("What Ice Cream Base Do You Want To Change It To?",[1]Sheet1!$1:$1,[1]Sheet1!202:202)),_xlfn.XLOOKUP(_xlfn.XLOOKUP("What Kind Of Ice Cream Base Do You Want? ",[1]Sheet1!$1:$1,[1]Sheet1!202:202),'Milk Types Nutrition Per Cup'!$O:$O,'Milk Types Nutrition Per Cup'!$Q:$Q,""))</f>
        <v>0</v>
      </c>
      <c r="F202" s="31">
        <f>IF(COUNTIF('Premade Flavors'!$A:$A, $C202) &gt; 0,_xlfn.XLOOKUP($C202,'Premade Flavors'!$A:$A,'Premade Flavors'!E:E),_xlfn.XLOOKUP("What's The First Flavor You Want? ",[1]Sheet1!$1:$1,[1]Sheet1!202:202))</f>
        <v>0</v>
      </c>
      <c r="G202" s="31">
        <f>IF(COUNTIF('Premade Flavors'!$A:$A, $C202) &gt; 0,_xlfn.XLOOKUP($C202,'Premade Flavors'!$A:$A,'Premade Flavors'!F:F),_xlfn.XLOOKUP("What's the Second Flavor You Want?",[1]Sheet1!$1:$1,[1]Sheet1!202:202))</f>
        <v>0</v>
      </c>
      <c r="H202" s="31">
        <f>IF(COUNTIF('Premade Flavors'!$A:$A, $C202) &gt; 0,_xlfn.XLOOKUP($C202,'Premade Flavors'!$A:$A,'Premade Flavors'!G:G),_xlfn.XLOOKUP("What's The First Mix In That You Want? ",[1]Sheet1!$1:$1,[1]Sheet1!202:202))</f>
        <v>0</v>
      </c>
      <c r="I202" s="31">
        <f>IF(COUNTIF('Premade Flavors'!$A:$A, $C200) &gt; 0,_xlfn.XLOOKUP($C200,'Premade Flavors'!$A:$A,'Premade Flavors'!H:H),IF([2]Sheet1!W200= 0,,[2]Sheet1!W200))</f>
        <v>0</v>
      </c>
      <c r="J202" s="31">
        <f>IF(COUNTIF('Premade Flavors'!$A:$A,$C202)&gt;0,IF(_xlfn.XLOOKUP("Should It Use Sugar or A Non-Sugar Sweetner?",[1]Sheet1!$1:$1,[1]Sheet1!202:202)="Sugar",_xlfn.XLOOKUP($C202,'Premade Flavors'!$A:$A,'Premade Flavors'!I:I),"Stevia"),_xlfn.XLOOKUP("What Sweetner Do You Want?",[1]Sheet1!$1:$1,[1]Sheet1!202:202))</f>
        <v>0</v>
      </c>
      <c r="K202" s="31"/>
      <c r="L202" s="77">
        <f>_xlfn.XLOOKUP("How Much Ice Cream Do You Want?",[1]Sheet1!$1:$1,[1]Sheet1!202:202)</f>
        <v>0</v>
      </c>
      <c r="M202" s="45">
        <f>IF(COUNTIF('Premade Flavors'!$A:$A, $C202) &gt; 0,_xlfn.XLOOKUP($C202,'Premade Flavors'!$A:$A,'Premade Flavors'!M:M),_xlfn.XLOOKUP("How Strong Do You Want The First Flavor?",[1]Sheet1!$1:$1,[1]Sheet1!202:202))</f>
        <v>0</v>
      </c>
      <c r="N202" s="45">
        <f>IF(COUNTIF('Premade Flavors'!$A:$A, $C202) &gt; 0,_xlfn.XLOOKUP($C202,'Premade Flavors'!$A:$A,'Premade Flavors'!N:N),_xlfn.XLOOKUP("How Strong Do You Want The Second Flavor?",[1]Sheet1!$1:$1,[1]Sheet1!202:202))</f>
        <v>0</v>
      </c>
      <c r="O202" s="45">
        <f>IF(COUNTIF('Premade Flavors'!$A:$A, $C202) &gt; 0,_xlfn.XLOOKUP($C202,'Premade Flavors'!$A:$A,'Premade Flavors'!O:O),_xlfn.XLOOKUP("How Dense Should the Mix Ins Be?",[1]Sheet1!$1:$1,[1]Sheet1!202:202))</f>
        <v>0</v>
      </c>
      <c r="P202" s="45">
        <f>IF(COUNTIF('Premade Flavors'!$A:$A, $C202) &gt; 0,_xlfn.XLOOKUP($C202,'Premade Flavors'!$A:$A,'Premade Flavors'!P:P),_xlfn.XLOOKUP("How Much Of The First Sweetner? ",[1]Sheet1!$1:$1,[1]Sheet1!202:202))</f>
        <v>0</v>
      </c>
      <c r="Q202" s="45">
        <f>IF(COUNTIF('Premade Flavors'!$A:$A, $C202) &gt; 0,_xlfn.XLOOKUP($C202,'Premade Flavors'!$A:$A,'Premade Flavors'!Q:Q),[2]Sheet1!S202)</f>
        <v>0</v>
      </c>
      <c r="R202" s="30">
        <f>(_xlfn.XLOOKUP($L202,Specs!A:A,Specs!B:B,0)-(IF(_xlfn.XLOOKUP($F202,'Liquid Mix In Nutrition'!A:A,'Liquid Mix In Nutrition'!J:J,0)="Yes",0,$T202))-(IF(_xlfn.XLOOKUP($G202,'Liquid Mix In Nutrition'!A:A,'Liquid Mix In Nutrition'!J:J,0)="Yes",0,$U202))-(($V202/MAX(1,_xlfn.XLOOKUP($H202,'Solid Mix In Nutrition'!A:A,'Solid Mix In Nutrition'!I:I,1)))*240)-(($W202/MAX(1,_xlfn.XLOOKUP($I202,'Solid Mix In Nutrition'!A:A,'Solid Mix In Nutrition'!I:I,1)))*240))*0.66</f>
        <v>0</v>
      </c>
      <c r="S202" s="30">
        <f>(_xlfn.XLOOKUP($L202,Specs!A:A,Specs!B:B,0)-(IF(_xlfn.XLOOKUP($F202,'Liquid Mix In Nutrition'!A:A,'Liquid Mix In Nutrition'!J:J,0)="Yes",0,$T202))-(IF(_xlfn.XLOOKUP($G202,'Liquid Mix In Nutrition'!A:A,'Liquid Mix In Nutrition'!J:J,0)="Yes",0,$U202))-(($V202/MAX(1,_xlfn.XLOOKUP($H202,'Solid Mix In Nutrition'!A:A,'Solid Mix In Nutrition'!I:I,1)))*240)-(($W202/MAX(1,_xlfn.XLOOKUP($I202,'Solid Mix In Nutrition'!A:A,'Solid Mix In Nutrition'!I:I,1)))*240))*0.33</f>
        <v>0</v>
      </c>
      <c r="T202" s="30">
        <f>_xlfn.XLOOKUP($M202,Specs!$D:$D,Specs!$E:$E,0)*15*_xlfn.XLOOKUP($L202,Specs!$A:$A,Specs!$C:$C,0)</f>
        <v>0</v>
      </c>
      <c r="U202" s="30">
        <f>_xlfn.XLOOKUP($N202,Specs!$D:$D,Specs!$E:$E,0)*15*_xlfn.XLOOKUP($L202,Specs!$A:$A,Specs!$C:$C,0)</f>
        <v>0</v>
      </c>
      <c r="V202" s="30">
        <f>( ((_xlfn.XLOOKUP($O202,Specs!$H:$H,Specs!$I:$I,0)*_xlfn.XLOOKUP($L202,Specs!$A:$A,Specs!$B:$B,0))/240) *_xlfn.XLOOKUP($H202,'Solid Mix In Nutrition'!A:A,'Solid Mix In Nutrition'!I:I,0)) *IF(AND(NOT($I202=0), COUNTA($I202)),0.5,1)</f>
        <v>0</v>
      </c>
      <c r="W202" s="30">
        <f>( ((_xlfn.XLOOKUP($O202,Specs!$H:$H,Specs!$I:$I,0)*_xlfn.XLOOKUP($L202,Specs!$A:$A,Specs!$B:$B,0))/240) *_xlfn.XLOOKUP($I202,'Solid Mix In Nutrition'!A:A,'Solid Mix In Nutrition'!I:I,0)) *IF(AND(NOT($I202=0), COUNTA($I202)),0.5,0)</f>
        <v>0</v>
      </c>
      <c r="X202" s="30">
        <f>_xlfn.XLOOKUP($P202,Specs!F:F,Specs!G:G,0)*_xlfn.XLOOKUP($J202,'Sweetener Mix In Nutrition'!A:A,'Sweetener Mix In Nutrition'!I:I,0)*_xlfn.XLOOKUP($L202,Specs!A:A,Specs!C:C,0)</f>
        <v>0</v>
      </c>
      <c r="Y202" s="30">
        <f>_xlfn.XLOOKUP($Q202,Specs!F:F,Specs!G:G,0)*_xlfn.XLOOKUP($K202,'Sweetener Mix In Nutrition'!A:A,'Sweetener Mix In Nutrition'!I:I,0)*_xlfn.XLOOKUP($L202,Specs!A:A,Specs!C:C,0)</f>
        <v>0</v>
      </c>
      <c r="Z202" s="34">
        <f t="shared" si="6"/>
        <v>0</v>
      </c>
      <c r="AA202" s="35">
        <f t="shared" si="7"/>
        <v>0</v>
      </c>
      <c r="AB202" s="36">
        <f>(($R202 / 240) * _xlfn.XLOOKUP($D202,'Milk Types Nutrition Per Cup'!A:A,'Milk Types Nutrition Per Cup'!B:B,0)) +(($S202 / 240)  * _xlfn.XLOOKUP($E202,'Milk Types Nutrition Per Cup'!A:A,'Milk Types Nutrition Per Cup'!B:B,0)) +(($T202 / 15)  * _xlfn.XLOOKUP($F202,'Liquid Mix In Nutrition'!A:A,'Liquid Mix In Nutrition'!B:B,0))+(($U202 / 15)  * _xlfn.XLOOKUP($G202,'Liquid Mix In Nutrition'!A:A,'Liquid Mix In Nutrition'!B:B,0))+(($V202 /MAX(1, _xlfn.XLOOKUP($H202,'Solid Mix In Nutrition'!A:A,'Solid Mix In Nutrition'!I:I,1)))  * _xlfn.XLOOKUP($H202,'Solid Mix In Nutrition'!A:A,'Solid Mix In Nutrition'!B:B,0))+(($W202 / MAX(1, _xlfn.XLOOKUP($I202,'Solid Mix In Nutrition'!A:A,'Solid Mix In Nutrition'!I:I,1))))+(($X202 / 100)  * _xlfn.XLOOKUP($J202,'Sweetener Mix In Nutrition'!A:A,'Sweetener Mix In Nutrition'!B:B,0))+(($Y202 / 100)  * _xlfn.XLOOKUP($K202,'Sweetener Mix In Nutrition'!A:A,'Sweetener Mix In Nutrition'!B:B,0))</f>
        <v>0</v>
      </c>
      <c r="AC202" s="36">
        <f>(($R202 / 240) * _xlfn.XLOOKUP($D202,'Milk Types Nutrition Per Cup'!A:A,'Milk Types Nutrition Per Cup'!E:E,0)) +(($S202 / 240)  * _xlfn.XLOOKUP($E202,'Milk Types Nutrition Per Cup'!A:A,'Milk Types Nutrition Per Cup'!E:E,0)) +(($T202 / 15)  * _xlfn.XLOOKUP($F202,'Liquid Mix In Nutrition'!A:A,'Liquid Mix In Nutrition'!E:E,0)) +(($U202 / 15)  * _xlfn.XLOOKUP($G202,'Liquid Mix In Nutrition'!A:A,'Liquid Mix In Nutrition'!E:E,0))+(($V202 / MAX(1, _xlfn.XLOOKUP($H202,'Solid Mix In Nutrition'!A:A,'Solid Mix In Nutrition'!I:I,1)))  * _xlfn.XLOOKUP($H202,'Solid Mix In Nutrition'!A:A,'Solid Mix In Nutrition'!E:E,0))+(($W202 / MAX(1, _xlfn.XLOOKUP($I202,'Solid Mix In Nutrition'!A:A,'Solid Mix In Nutrition'!I:I,1)))  * _xlfn.XLOOKUP($I202,'Solid Mix In Nutrition'!A:A,'Solid Mix In Nutrition'!G:G,0))+(($X202 / 100)  * _xlfn.XLOOKUP($J202,'Sweetener Mix In Nutrition'!A:A,'Sweetener Mix In Nutrition'!E:E,0))+(($Y202 / 100)  * _xlfn.XLOOKUP($K202,'Sweetener Mix In Nutrition'!A:A,'Sweetener Mix In Nutrition'!E:E,0))</f>
        <v>0</v>
      </c>
      <c r="AD202" s="36">
        <f>(($R202 / 240) * _xlfn.XLOOKUP($D202,'Milk Types Nutrition Per Cup'!A:A,'Milk Types Nutrition Per Cup'!E:E,0)) +(($S202 / 240)  * _xlfn.XLOOKUP($E202,'Milk Types Nutrition Per Cup'!A:A,'Milk Types Nutrition Per Cup'!E:E,0)) +(($T202 / 15)  * _xlfn.XLOOKUP($F202,'Liquid Mix In Nutrition'!A:A,'Liquid Mix In Nutrition'!E:E,0)) +(($U202 / 15)  * _xlfn.XLOOKUP($G202,'Liquid Mix In Nutrition'!A:A,'Liquid Mix In Nutrition'!E:E,0))+(($X202 / 100)  * _xlfn.XLOOKUP($J202,'Sweetener Mix In Nutrition'!A:A,'Sweetener Mix In Nutrition'!E:E,0))+(($Y202 / 100)  * _xlfn.XLOOKUP($K202,'Sweetener Mix In Nutrition'!A:A,'Sweetener Mix In Nutrition'!E:E,0))</f>
        <v>0</v>
      </c>
      <c r="AE202" s="37">
        <f>(($R202 / 240) * _xlfn.XLOOKUP($D202,'Milk Types Nutrition Per Cup'!A:A,'Milk Types Nutrition Per Cup'!C:C,0)) +(($S202 / 240)  * _xlfn.XLOOKUP($E202,'Milk Types Nutrition Per Cup'!A:A,'Milk Types Nutrition Per Cup'!C:C,0)) +(($T202 / 15)  * _xlfn.XLOOKUP($F202,'Liquid Mix In Nutrition'!A:A,'Liquid Mix In Nutrition'!C:C,0))+(($U202 / 15)  * _xlfn.XLOOKUP($G202,'Liquid Mix In Nutrition'!A:A,'Liquid Mix In Nutrition'!C:C,0))+(($V202 / MAX(1, _xlfn.XLOOKUP($H202,'Solid Mix In Nutrition'!A:A,'Solid Mix In Nutrition'!I:I,1)))  * _xlfn.XLOOKUP($H202,'Solid Mix In Nutrition'!A:A,'Solid Mix In Nutrition'!C:C,0))+(($W202 / MAX(1, _xlfn.XLOOKUP($I202,'Solid Mix In Nutrition'!A:A,'Solid Mix In Nutrition'!I:I,1)))  * _xlfn.XLOOKUP($I202,'Solid Mix In Nutrition'!A:A,'Solid Mix In Nutrition'!C:C,0))+(($X202 / 100)  * _xlfn.XLOOKUP($J202,'Sweetener Mix In Nutrition'!A:A,'Sweetener Mix In Nutrition'!C:C,0))+(($Y202 / 100)  * _xlfn.XLOOKUP($K202,'Sweetener Mix In Nutrition'!A:A,'Sweetener Mix In Nutrition'!C:C,0))</f>
        <v>0</v>
      </c>
      <c r="AF202" s="38" t="e">
        <f>$AE202 / (_xlfn.XLOOKUP($L202,Specs!A:A,Specs!B:B,0))</f>
        <v>#DIV/0!</v>
      </c>
      <c r="AG202" s="37" t="e">
        <f>60* ($AB202 / _xlfn.XLOOKUP($L202,Specs!A:A,Specs!B:B,0))</f>
        <v>#DIV/0!</v>
      </c>
      <c r="AH202" s="37" t="e">
        <f>60* (AC202 / _xlfn.XLOOKUP($L202,Specs!$A:$A,Specs!$B:$B,0))</f>
        <v>#DIV/0!</v>
      </c>
      <c r="AI202" s="37" t="e">
        <f>60* (AE202 / _xlfn.XLOOKUP($L202,Specs!$A:$A,Specs!$B:$B,0))</f>
        <v>#DIV/0!</v>
      </c>
      <c r="AJ202" s="39">
        <f>(($R202 / 240) * _xlfn.XLOOKUP($D202,'Milk Types Nutrition Per Cup'!A:A,'Milk Types Nutrition Per Cup'!F:F,0)) +(($S202 / 240)  * _xlfn.XLOOKUP($E202,'Milk Types Nutrition Per Cup'!A:A,'Milk Types Nutrition Per Cup'!F:F,0)) +(($T202 / 15)  * _xlfn.XLOOKUP($F202,'Liquid Mix In Nutrition'!A:A,'Liquid Mix In Nutrition'!F:F,0))+(($U202 / 15)  * _xlfn.XLOOKUP($G202,'Liquid Mix In Nutrition'!A:A,'Liquid Mix In Nutrition'!F:F,0))+(($V202 / MAX(1, _xlfn.XLOOKUP($H202,'Solid Mix In Nutrition'!A:A,'Solid Mix In Nutrition'!I:I,1)))  * _xlfn.XLOOKUP($H202,'Solid Mix In Nutrition'!A:A,'Solid Mix In Nutrition'!F:F,0))+(($W202 / MAX(1, _xlfn.XLOOKUP($I202,'Solid Mix In Nutrition'!A:A,'Solid Mix In Nutrition'!I:I,1)))  * _xlfn.XLOOKUP($I202,'Solid Mix In Nutrition'!A:A,'Solid Mix In Nutrition'!F:F,0))+(($X202 / 100)  * _xlfn.XLOOKUP($J202,'Sweetener Mix In Nutrition'!A:A,'Sweetener Mix In Nutrition'!F:F,0))+(($Y202 / 100)  * _xlfn.XLOOKUP($K202,'Sweetener Mix In Nutrition'!A:A,'Sweetener Mix In Nutrition'!F:F,0))</f>
        <v>0</v>
      </c>
      <c r="AK202" s="46">
        <f>[2]Sheet1!AG202</f>
        <v>0</v>
      </c>
      <c r="AL202" s="47"/>
      <c r="AM202" s="40">
        <f>IF(ISERROR(((AL202/Specs!$L$3)*Specs!$L$2)*2),0,ROUNDUP((((AL202/Specs!$L$3)*Specs!$L$2)*2),0))</f>
        <v>0</v>
      </c>
      <c r="AN202" s="48">
        <f>ROUNDUP(((AJ202+Specs!$R$2+Specs!$S$2+_xlfn.XLOOKUP($L202,Specs!A:A,Specs!V:V,0))*Specs!$N$2)+AM202,0)</f>
        <v>1</v>
      </c>
      <c r="AO202" s="40">
        <f>ROUNDUP(((AJ202+Specs!$R$2+Specs!$S$2+_xlfn.XLOOKUP($L202,Specs!A:A,Specs!V:V,0))*Specs!$N$2),0)</f>
        <v>1</v>
      </c>
      <c r="AP202" s="30"/>
    </row>
    <row r="203" spans="1:42" x14ac:dyDescent="0.25">
      <c r="A203" s="41" t="str">
        <f>_xlfn.CONCAT(_xlfn.XLOOKUP("What's Your Name?",[1]Sheet1!$1:$1,[1]Sheet1!203:203)," | ",TEXT(_xlfn.XLOOKUP("Completion time",[1]Sheet1!$1:$1,[1]Sheet1!203:203),"dddd, mmm dd, yyyy hh:mm AM/PM"))</f>
        <v xml:space="preserve"> | Saturday, Jan 00, 1900 12:00 AM</v>
      </c>
      <c r="B203" s="76">
        <f>_xlfn.XLOOKUP("What's Your Email Address?",[1]Sheet1!$1:$1,[1]Sheet1!203:203)</f>
        <v>0</v>
      </c>
      <c r="C203" s="31">
        <f>IF(ISBLANK(_xlfn.XLOOKUP("Which Flavor? (Pint Price | Quart Price | Half Gallon Price) (NOTE: Prices may fluctuate based on market conditions)",[1]Sheet1!$1:$1,[1]Sheet1!203:203)),_xlfn.XLOOKUP("Name Your Ice Cream!",[1]Sheet1!$1:$1,[1]Sheet1!203:203),IF(ISNUMBER(FIND("(", _xlfn.XLOOKUP("Which Flavor? (Pint Price | Quart Price | Half Gallon Price) (NOTE: Prices may fluctuate based on market conditions)",[1]Sheet1!$1:$1,[1]Sheet1!203:203))), LEFT(_xlfn.XLOOKUP("Which Flavor? (Pint Price | Quart Price | Half Gallon Price) (NOTE: Prices may fluctuate based on market conditions)",[1]Sheet1!$1:$1,[1]Sheet1!203:203), FIND("(", _xlfn.XLOOKUP("Which Flavor? (Pint Price | Quart Price | Half Gallon Price) (NOTE: Prices may fluctuate based on market conditions)",[1]Sheet1!$1:$1,[1]Sheet1!203:203)) - 1), _xlfn.XLOOKUP("Which Flavor? (Pint Price | Quart Price | Half Gallon Price) (NOTE: Prices may fluctuate based on market conditions)",[1]Sheet1!$1:$1,[1]Sheet1!203:203)))</f>
        <v>0</v>
      </c>
      <c r="D203" s="31">
        <f>IF(COUNTIF('Premade Flavors'!$A:$A, $C203) &gt; 0,IF(ISBLANK(_xlfn.XLOOKUP("What Ice Cream Base Do You Want To Change It To?",[1]Sheet1!$1:$1,[1]Sheet1!203:203)),_xlfn.XLOOKUP($C203,'Premade Flavors'!$A:$A,'Premade Flavors'!B:B),_xlfn.XLOOKUP("What Ice Cream Base Do You Want To Change It To?",[1]Sheet1!$1:$1,[1]Sheet1!203:203)),_xlfn.XLOOKUP(_xlfn.XLOOKUP("What Kind Of Ice Cream Base Do You Want? ",[1]Sheet1!$1:$1,[1]Sheet1!203:203),'Milk Types Nutrition Per Cup'!O:O,'Milk Types Nutrition Per Cup'!P:P,""))</f>
        <v>0</v>
      </c>
      <c r="E203" s="31">
        <f>IF(COUNTIF('Premade Flavors'!$A:$A, $C203) &gt; 0,IF(ISBLANK(_xlfn.XLOOKUP("What Ice Cream Base Do You Want To Change It To?",[1]Sheet1!$1:$1,[1]Sheet1!203:203)),_xlfn.XLOOKUP($C203,'Premade Flavors'!$A:$A,'Premade Flavors'!C:C),_xlfn.XLOOKUP("What Ice Cream Base Do You Want To Change It To?",[1]Sheet1!$1:$1,[1]Sheet1!203:203)),_xlfn.XLOOKUP(_xlfn.XLOOKUP("What Kind Of Ice Cream Base Do You Want? ",[1]Sheet1!$1:$1,[1]Sheet1!203:203),'Milk Types Nutrition Per Cup'!$O:$O,'Milk Types Nutrition Per Cup'!$Q:$Q,""))</f>
        <v>0</v>
      </c>
      <c r="F203" s="31">
        <f>IF(COUNTIF('Premade Flavors'!$A:$A, $C203) &gt; 0,_xlfn.XLOOKUP($C203,'Premade Flavors'!$A:$A,'Premade Flavors'!E:E),_xlfn.XLOOKUP("What's The First Flavor You Want? ",[1]Sheet1!$1:$1,[1]Sheet1!203:203))</f>
        <v>0</v>
      </c>
      <c r="G203" s="31">
        <f>IF(COUNTIF('Premade Flavors'!$A:$A, $C203) &gt; 0,_xlfn.XLOOKUP($C203,'Premade Flavors'!$A:$A,'Premade Flavors'!F:F),_xlfn.XLOOKUP("What's the Second Flavor You Want?",[1]Sheet1!$1:$1,[1]Sheet1!203:203))</f>
        <v>0</v>
      </c>
      <c r="H203" s="31">
        <f>IF(COUNTIF('Premade Flavors'!$A:$A, $C203) &gt; 0,_xlfn.XLOOKUP($C203,'Premade Flavors'!$A:$A,'Premade Flavors'!G:G),_xlfn.XLOOKUP("What's The First Mix In That You Want? ",[1]Sheet1!$1:$1,[1]Sheet1!203:203))</f>
        <v>0</v>
      </c>
      <c r="I203" s="31">
        <f>IF(COUNTIF('Premade Flavors'!$A:$A, $C201) &gt; 0,_xlfn.XLOOKUP($C201,'Premade Flavors'!$A:$A,'Premade Flavors'!H:H),IF([2]Sheet1!W201= 0,,[2]Sheet1!W201))</f>
        <v>0</v>
      </c>
      <c r="J203" s="31">
        <f>IF(COUNTIF('Premade Flavors'!$A:$A,$C203)&gt;0,IF(_xlfn.XLOOKUP("Should It Use Sugar or A Non-Sugar Sweetner?",[1]Sheet1!$1:$1,[1]Sheet1!203:203)="Sugar",_xlfn.XLOOKUP($C203,'Premade Flavors'!$A:$A,'Premade Flavors'!I:I),"Stevia"),_xlfn.XLOOKUP("What Sweetner Do You Want?",[1]Sheet1!$1:$1,[1]Sheet1!203:203))</f>
        <v>0</v>
      </c>
      <c r="K203" s="31"/>
      <c r="L203" s="77">
        <f>_xlfn.XLOOKUP("How Much Ice Cream Do You Want?",[1]Sheet1!$1:$1,[1]Sheet1!203:203)</f>
        <v>0</v>
      </c>
      <c r="M203" s="45">
        <f>IF(COUNTIF('Premade Flavors'!$A:$A, $C203) &gt; 0,_xlfn.XLOOKUP($C203,'Premade Flavors'!$A:$A,'Premade Flavors'!M:M),_xlfn.XLOOKUP("How Strong Do You Want The First Flavor?",[1]Sheet1!$1:$1,[1]Sheet1!203:203))</f>
        <v>0</v>
      </c>
      <c r="N203" s="45">
        <f>IF(COUNTIF('Premade Flavors'!$A:$A, $C203) &gt; 0,_xlfn.XLOOKUP($C203,'Premade Flavors'!$A:$A,'Premade Flavors'!N:N),_xlfn.XLOOKUP("How Strong Do You Want The Second Flavor?",[1]Sheet1!$1:$1,[1]Sheet1!203:203))</f>
        <v>0</v>
      </c>
      <c r="O203" s="45">
        <f>IF(COUNTIF('Premade Flavors'!$A:$A, $C203) &gt; 0,_xlfn.XLOOKUP($C203,'Premade Flavors'!$A:$A,'Premade Flavors'!O:O),_xlfn.XLOOKUP("How Dense Should the Mix Ins Be?",[1]Sheet1!$1:$1,[1]Sheet1!203:203))</f>
        <v>0</v>
      </c>
      <c r="P203" s="45">
        <f>IF(COUNTIF('Premade Flavors'!$A:$A, $C203) &gt; 0,_xlfn.XLOOKUP($C203,'Premade Flavors'!$A:$A,'Premade Flavors'!P:P),_xlfn.XLOOKUP("How Much Of The First Sweetner? ",[1]Sheet1!$1:$1,[1]Sheet1!203:203))</f>
        <v>0</v>
      </c>
      <c r="Q203" s="45">
        <f>IF(COUNTIF('Premade Flavors'!$A:$A, $C203) &gt; 0,_xlfn.XLOOKUP($C203,'Premade Flavors'!$A:$A,'Premade Flavors'!Q:Q),[2]Sheet1!S203)</f>
        <v>0</v>
      </c>
      <c r="R203" s="30">
        <f>(_xlfn.XLOOKUP($L203,Specs!A:A,Specs!B:B,0)-(IF(_xlfn.XLOOKUP($F203,'Liquid Mix In Nutrition'!A:A,'Liquid Mix In Nutrition'!J:J,0)="Yes",0,$T203))-(IF(_xlfn.XLOOKUP($G203,'Liquid Mix In Nutrition'!A:A,'Liquid Mix In Nutrition'!J:J,0)="Yes",0,$U203))-(($V203/MAX(1,_xlfn.XLOOKUP($H203,'Solid Mix In Nutrition'!A:A,'Solid Mix In Nutrition'!I:I,1)))*240)-(($W203/MAX(1,_xlfn.XLOOKUP($I203,'Solid Mix In Nutrition'!A:A,'Solid Mix In Nutrition'!I:I,1)))*240))*0.66</f>
        <v>0</v>
      </c>
      <c r="S203" s="30">
        <f>(_xlfn.XLOOKUP($L203,Specs!A:A,Specs!B:B,0)-(IF(_xlfn.XLOOKUP($F203,'Liquid Mix In Nutrition'!A:A,'Liquid Mix In Nutrition'!J:J,0)="Yes",0,$T203))-(IF(_xlfn.XLOOKUP($G203,'Liquid Mix In Nutrition'!A:A,'Liquid Mix In Nutrition'!J:J,0)="Yes",0,$U203))-(($V203/MAX(1,_xlfn.XLOOKUP($H203,'Solid Mix In Nutrition'!A:A,'Solid Mix In Nutrition'!I:I,1)))*240)-(($W203/MAX(1,_xlfn.XLOOKUP($I203,'Solid Mix In Nutrition'!A:A,'Solid Mix In Nutrition'!I:I,1)))*240))*0.33</f>
        <v>0</v>
      </c>
      <c r="T203" s="30">
        <f>_xlfn.XLOOKUP($M203,Specs!$D:$D,Specs!$E:$E,0)*15*_xlfn.XLOOKUP($L203,Specs!$A:$A,Specs!$C:$C,0)</f>
        <v>0</v>
      </c>
      <c r="U203" s="30">
        <f>_xlfn.XLOOKUP($N203,Specs!$D:$D,Specs!$E:$E,0)*15*_xlfn.XLOOKUP($L203,Specs!$A:$A,Specs!$C:$C,0)</f>
        <v>0</v>
      </c>
      <c r="V203" s="30">
        <f>( ((_xlfn.XLOOKUP($O203,Specs!$H:$H,Specs!$I:$I,0)*_xlfn.XLOOKUP($L203,Specs!$A:$A,Specs!$B:$B,0))/240) *_xlfn.XLOOKUP($H203,'Solid Mix In Nutrition'!A:A,'Solid Mix In Nutrition'!I:I,0)) *IF(AND(NOT($I203=0), COUNTA($I203)),0.5,1)</f>
        <v>0</v>
      </c>
      <c r="W203" s="30">
        <f>( ((_xlfn.XLOOKUP($O203,Specs!$H:$H,Specs!$I:$I,0)*_xlfn.XLOOKUP($L203,Specs!$A:$A,Specs!$B:$B,0))/240) *_xlfn.XLOOKUP($I203,'Solid Mix In Nutrition'!A:A,'Solid Mix In Nutrition'!I:I,0)) *IF(AND(NOT($I203=0), COUNTA($I203)),0.5,0)</f>
        <v>0</v>
      </c>
      <c r="X203" s="30">
        <f>_xlfn.XLOOKUP($P203,Specs!F:F,Specs!G:G,0)*_xlfn.XLOOKUP($J203,'Sweetener Mix In Nutrition'!A:A,'Sweetener Mix In Nutrition'!I:I,0)*_xlfn.XLOOKUP($L203,Specs!A:A,Specs!C:C,0)</f>
        <v>0</v>
      </c>
      <c r="Y203" s="30">
        <f>_xlfn.XLOOKUP($Q203,Specs!F:F,Specs!G:G,0)*_xlfn.XLOOKUP($K203,'Sweetener Mix In Nutrition'!A:A,'Sweetener Mix In Nutrition'!I:I,0)*_xlfn.XLOOKUP($L203,Specs!A:A,Specs!C:C,0)</f>
        <v>0</v>
      </c>
      <c r="Z203" s="34">
        <f t="shared" si="6"/>
        <v>0</v>
      </c>
      <c r="AA203" s="35">
        <f t="shared" si="7"/>
        <v>0</v>
      </c>
      <c r="AB203" s="36">
        <f>(($R203 / 240) * _xlfn.XLOOKUP($D203,'Milk Types Nutrition Per Cup'!A:A,'Milk Types Nutrition Per Cup'!B:B,0)) +(($S203 / 240)  * _xlfn.XLOOKUP($E203,'Milk Types Nutrition Per Cup'!A:A,'Milk Types Nutrition Per Cup'!B:B,0)) +(($T203 / 15)  * _xlfn.XLOOKUP($F203,'Liquid Mix In Nutrition'!A:A,'Liquid Mix In Nutrition'!B:B,0))+(($U203 / 15)  * _xlfn.XLOOKUP($G203,'Liquid Mix In Nutrition'!A:A,'Liquid Mix In Nutrition'!B:B,0))+(($V203 /MAX(1, _xlfn.XLOOKUP($H203,'Solid Mix In Nutrition'!A:A,'Solid Mix In Nutrition'!I:I,1)))  * _xlfn.XLOOKUP($H203,'Solid Mix In Nutrition'!A:A,'Solid Mix In Nutrition'!B:B,0))+(($W203 / MAX(1, _xlfn.XLOOKUP($I203,'Solid Mix In Nutrition'!A:A,'Solid Mix In Nutrition'!I:I,1))))+(($X203 / 100)  * _xlfn.XLOOKUP($J203,'Sweetener Mix In Nutrition'!A:A,'Sweetener Mix In Nutrition'!B:B,0))+(($Y203 / 100)  * _xlfn.XLOOKUP($K203,'Sweetener Mix In Nutrition'!A:A,'Sweetener Mix In Nutrition'!B:B,0))</f>
        <v>0</v>
      </c>
      <c r="AC203" s="36">
        <f>(($R203 / 240) * _xlfn.XLOOKUP($D203,'Milk Types Nutrition Per Cup'!A:A,'Milk Types Nutrition Per Cup'!E:E,0)) +(($S203 / 240)  * _xlfn.XLOOKUP($E203,'Milk Types Nutrition Per Cup'!A:A,'Milk Types Nutrition Per Cup'!E:E,0)) +(($T203 / 15)  * _xlfn.XLOOKUP($F203,'Liquid Mix In Nutrition'!A:A,'Liquid Mix In Nutrition'!E:E,0)) +(($U203 / 15)  * _xlfn.XLOOKUP($G203,'Liquid Mix In Nutrition'!A:A,'Liquid Mix In Nutrition'!E:E,0))+(($V203 / MAX(1, _xlfn.XLOOKUP($H203,'Solid Mix In Nutrition'!A:A,'Solid Mix In Nutrition'!I:I,1)))  * _xlfn.XLOOKUP($H203,'Solid Mix In Nutrition'!A:A,'Solid Mix In Nutrition'!E:E,0))+(($W203 / MAX(1, _xlfn.XLOOKUP($I203,'Solid Mix In Nutrition'!A:A,'Solid Mix In Nutrition'!I:I,1)))  * _xlfn.XLOOKUP($I203,'Solid Mix In Nutrition'!A:A,'Solid Mix In Nutrition'!G:G,0))+(($X203 / 100)  * _xlfn.XLOOKUP($J203,'Sweetener Mix In Nutrition'!A:A,'Sweetener Mix In Nutrition'!E:E,0))+(($Y203 / 100)  * _xlfn.XLOOKUP($K203,'Sweetener Mix In Nutrition'!A:A,'Sweetener Mix In Nutrition'!E:E,0))</f>
        <v>0</v>
      </c>
      <c r="AD203" s="36">
        <f>(($R203 / 240) * _xlfn.XLOOKUP($D203,'Milk Types Nutrition Per Cup'!A:A,'Milk Types Nutrition Per Cup'!E:E,0)) +(($S203 / 240)  * _xlfn.XLOOKUP($E203,'Milk Types Nutrition Per Cup'!A:A,'Milk Types Nutrition Per Cup'!E:E,0)) +(($T203 / 15)  * _xlfn.XLOOKUP($F203,'Liquid Mix In Nutrition'!A:A,'Liquid Mix In Nutrition'!E:E,0)) +(($U203 / 15)  * _xlfn.XLOOKUP($G203,'Liquid Mix In Nutrition'!A:A,'Liquid Mix In Nutrition'!E:E,0))+(($X203 / 100)  * _xlfn.XLOOKUP($J203,'Sweetener Mix In Nutrition'!A:A,'Sweetener Mix In Nutrition'!E:E,0))+(($Y203 / 100)  * _xlfn.XLOOKUP($K203,'Sweetener Mix In Nutrition'!A:A,'Sweetener Mix In Nutrition'!E:E,0))</f>
        <v>0</v>
      </c>
      <c r="AE203" s="37">
        <f>(($R203 / 240) * _xlfn.XLOOKUP($D203,'Milk Types Nutrition Per Cup'!A:A,'Milk Types Nutrition Per Cup'!C:C,0)) +(($S203 / 240)  * _xlfn.XLOOKUP($E203,'Milk Types Nutrition Per Cup'!A:A,'Milk Types Nutrition Per Cup'!C:C,0)) +(($T203 / 15)  * _xlfn.XLOOKUP($F203,'Liquid Mix In Nutrition'!A:A,'Liquid Mix In Nutrition'!C:C,0))+(($U203 / 15)  * _xlfn.XLOOKUP($G203,'Liquid Mix In Nutrition'!A:A,'Liquid Mix In Nutrition'!C:C,0))+(($V203 / MAX(1, _xlfn.XLOOKUP($H203,'Solid Mix In Nutrition'!A:A,'Solid Mix In Nutrition'!I:I,1)))  * _xlfn.XLOOKUP($H203,'Solid Mix In Nutrition'!A:A,'Solid Mix In Nutrition'!C:C,0))+(($W203 / MAX(1, _xlfn.XLOOKUP($I203,'Solid Mix In Nutrition'!A:A,'Solid Mix In Nutrition'!I:I,1)))  * _xlfn.XLOOKUP($I203,'Solid Mix In Nutrition'!A:A,'Solid Mix In Nutrition'!C:C,0))+(($X203 / 100)  * _xlfn.XLOOKUP($J203,'Sweetener Mix In Nutrition'!A:A,'Sweetener Mix In Nutrition'!C:C,0))+(($Y203 / 100)  * _xlfn.XLOOKUP($K203,'Sweetener Mix In Nutrition'!A:A,'Sweetener Mix In Nutrition'!C:C,0))</f>
        <v>0</v>
      </c>
      <c r="AF203" s="38" t="e">
        <f>$AE203 / (_xlfn.XLOOKUP($L203,Specs!A:A,Specs!B:B,0))</f>
        <v>#DIV/0!</v>
      </c>
      <c r="AG203" s="37" t="e">
        <f>60* ($AB203 / _xlfn.XLOOKUP($L203,Specs!A:A,Specs!B:B,0))</f>
        <v>#DIV/0!</v>
      </c>
      <c r="AH203" s="37" t="e">
        <f>60* (AC203 / _xlfn.XLOOKUP($L203,Specs!$A:$A,Specs!$B:$B,0))</f>
        <v>#DIV/0!</v>
      </c>
      <c r="AI203" s="37" t="e">
        <f>60* (AE203 / _xlfn.XLOOKUP($L203,Specs!$A:$A,Specs!$B:$B,0))</f>
        <v>#DIV/0!</v>
      </c>
      <c r="AJ203" s="39">
        <f>(($R203 / 240) * _xlfn.XLOOKUP($D203,'Milk Types Nutrition Per Cup'!A:A,'Milk Types Nutrition Per Cup'!F:F,0)) +(($S203 / 240)  * _xlfn.XLOOKUP($E203,'Milk Types Nutrition Per Cup'!A:A,'Milk Types Nutrition Per Cup'!F:F,0)) +(($T203 / 15)  * _xlfn.XLOOKUP($F203,'Liquid Mix In Nutrition'!A:A,'Liquid Mix In Nutrition'!F:F,0))+(($U203 / 15)  * _xlfn.XLOOKUP($G203,'Liquid Mix In Nutrition'!A:A,'Liquid Mix In Nutrition'!F:F,0))+(($V203 / MAX(1, _xlfn.XLOOKUP($H203,'Solid Mix In Nutrition'!A:A,'Solid Mix In Nutrition'!I:I,1)))  * _xlfn.XLOOKUP($H203,'Solid Mix In Nutrition'!A:A,'Solid Mix In Nutrition'!F:F,0))+(($W203 / MAX(1, _xlfn.XLOOKUP($I203,'Solid Mix In Nutrition'!A:A,'Solid Mix In Nutrition'!I:I,1)))  * _xlfn.XLOOKUP($I203,'Solid Mix In Nutrition'!A:A,'Solid Mix In Nutrition'!F:F,0))+(($X203 / 100)  * _xlfn.XLOOKUP($J203,'Sweetener Mix In Nutrition'!A:A,'Sweetener Mix In Nutrition'!F:F,0))+(($Y203 / 100)  * _xlfn.XLOOKUP($K203,'Sweetener Mix In Nutrition'!A:A,'Sweetener Mix In Nutrition'!F:F,0))</f>
        <v>0</v>
      </c>
      <c r="AK203" s="46">
        <f>[2]Sheet1!AG203</f>
        <v>0</v>
      </c>
      <c r="AL203" s="47"/>
      <c r="AM203" s="40">
        <f>IF(ISERROR(((AL203/Specs!$L$3)*Specs!$L$2)*2),0,ROUNDUP((((AL203/Specs!$L$3)*Specs!$L$2)*2),0))</f>
        <v>0</v>
      </c>
      <c r="AN203" s="48">
        <f>ROUNDUP(((AJ203+Specs!$R$2+Specs!$S$2+_xlfn.XLOOKUP($L203,Specs!A:A,Specs!V:V,0))*Specs!$N$2)+AM203,0)</f>
        <v>1</v>
      </c>
      <c r="AO203" s="40">
        <f>ROUNDUP(((AJ203+Specs!$R$2+Specs!$S$2+_xlfn.XLOOKUP($L203,Specs!A:A,Specs!V:V,0))*Specs!$N$2),0)</f>
        <v>1</v>
      </c>
      <c r="AP203" s="30"/>
    </row>
    <row r="204" spans="1:42" x14ac:dyDescent="0.25">
      <c r="A204" s="41" t="str">
        <f>_xlfn.CONCAT(_xlfn.XLOOKUP("What's Your Name?",[1]Sheet1!$1:$1,[1]Sheet1!204:204)," | ",TEXT(_xlfn.XLOOKUP("Completion time",[1]Sheet1!$1:$1,[1]Sheet1!204:204),"dddd, mmm dd, yyyy hh:mm AM/PM"))</f>
        <v xml:space="preserve"> | Saturday, Jan 00, 1900 12:00 AM</v>
      </c>
      <c r="B204" s="76">
        <f>_xlfn.XLOOKUP("What's Your Email Address?",[1]Sheet1!$1:$1,[1]Sheet1!204:204)</f>
        <v>0</v>
      </c>
      <c r="C204" s="31">
        <f>IF(ISBLANK(_xlfn.XLOOKUP("Which Flavor? (Pint Price | Quart Price | Half Gallon Price) (NOTE: Prices may fluctuate based on market conditions)",[1]Sheet1!$1:$1,[1]Sheet1!204:204)),_xlfn.XLOOKUP("Name Your Ice Cream!",[1]Sheet1!$1:$1,[1]Sheet1!204:204),IF(ISNUMBER(FIND("(", _xlfn.XLOOKUP("Which Flavor? (Pint Price | Quart Price | Half Gallon Price) (NOTE: Prices may fluctuate based on market conditions)",[1]Sheet1!$1:$1,[1]Sheet1!204:204))), LEFT(_xlfn.XLOOKUP("Which Flavor? (Pint Price | Quart Price | Half Gallon Price) (NOTE: Prices may fluctuate based on market conditions)",[1]Sheet1!$1:$1,[1]Sheet1!204:204), FIND("(", _xlfn.XLOOKUP("Which Flavor? (Pint Price | Quart Price | Half Gallon Price) (NOTE: Prices may fluctuate based on market conditions)",[1]Sheet1!$1:$1,[1]Sheet1!204:204)) - 1), _xlfn.XLOOKUP("Which Flavor? (Pint Price | Quart Price | Half Gallon Price) (NOTE: Prices may fluctuate based on market conditions)",[1]Sheet1!$1:$1,[1]Sheet1!204:204)))</f>
        <v>0</v>
      </c>
      <c r="D204" s="31">
        <f>IF(COUNTIF('Premade Flavors'!$A:$A, $C204) &gt; 0,IF(ISBLANK(_xlfn.XLOOKUP("What Ice Cream Base Do You Want To Change It To?",[1]Sheet1!$1:$1,[1]Sheet1!204:204)),_xlfn.XLOOKUP($C204,'Premade Flavors'!$A:$A,'Premade Flavors'!B:B),_xlfn.XLOOKUP("What Ice Cream Base Do You Want To Change It To?",[1]Sheet1!$1:$1,[1]Sheet1!204:204)),_xlfn.XLOOKUP(_xlfn.XLOOKUP("What Kind Of Ice Cream Base Do You Want? ",[1]Sheet1!$1:$1,[1]Sheet1!204:204),'Milk Types Nutrition Per Cup'!O:O,'Milk Types Nutrition Per Cup'!P:P,""))</f>
        <v>0</v>
      </c>
      <c r="E204" s="31">
        <f>IF(COUNTIF('Premade Flavors'!$A:$A, $C204) &gt; 0,IF(ISBLANK(_xlfn.XLOOKUP("What Ice Cream Base Do You Want To Change It To?",[1]Sheet1!$1:$1,[1]Sheet1!204:204)),_xlfn.XLOOKUP($C204,'Premade Flavors'!$A:$A,'Premade Flavors'!C:C),_xlfn.XLOOKUP("What Ice Cream Base Do You Want To Change It To?",[1]Sheet1!$1:$1,[1]Sheet1!204:204)),_xlfn.XLOOKUP(_xlfn.XLOOKUP("What Kind Of Ice Cream Base Do You Want? ",[1]Sheet1!$1:$1,[1]Sheet1!204:204),'Milk Types Nutrition Per Cup'!$O:$O,'Milk Types Nutrition Per Cup'!$Q:$Q,""))</f>
        <v>0</v>
      </c>
      <c r="F204" s="31">
        <f>IF(COUNTIF('Premade Flavors'!$A:$A, $C204) &gt; 0,_xlfn.XLOOKUP($C204,'Premade Flavors'!$A:$A,'Premade Flavors'!E:E),_xlfn.XLOOKUP("What's The First Flavor You Want? ",[1]Sheet1!$1:$1,[1]Sheet1!204:204))</f>
        <v>0</v>
      </c>
      <c r="G204" s="31">
        <f>IF(COUNTIF('Premade Flavors'!$A:$A, $C204) &gt; 0,_xlfn.XLOOKUP($C204,'Premade Flavors'!$A:$A,'Premade Flavors'!F:F),_xlfn.XLOOKUP("What's the Second Flavor You Want?",[1]Sheet1!$1:$1,[1]Sheet1!204:204))</f>
        <v>0</v>
      </c>
      <c r="H204" s="31">
        <f>IF(COUNTIF('Premade Flavors'!$A:$A, $C204) &gt; 0,_xlfn.XLOOKUP($C204,'Premade Flavors'!$A:$A,'Premade Flavors'!G:G),_xlfn.XLOOKUP("What's The First Mix In That You Want? ",[1]Sheet1!$1:$1,[1]Sheet1!204:204))</f>
        <v>0</v>
      </c>
      <c r="I204" s="31">
        <f>IF(COUNTIF('Premade Flavors'!$A:$A, $C202) &gt; 0,_xlfn.XLOOKUP($C202,'Premade Flavors'!$A:$A,'Premade Flavors'!H:H),IF([2]Sheet1!W202= 0,,[2]Sheet1!W202))</f>
        <v>0</v>
      </c>
      <c r="J204" s="31">
        <f>IF(COUNTIF('Premade Flavors'!$A:$A,$C204)&gt;0,IF(_xlfn.XLOOKUP("Should It Use Sugar or A Non-Sugar Sweetner?",[1]Sheet1!$1:$1,[1]Sheet1!204:204)="Sugar",_xlfn.XLOOKUP($C204,'Premade Flavors'!$A:$A,'Premade Flavors'!I:I),"Stevia"),_xlfn.XLOOKUP("What Sweetner Do You Want?",[1]Sheet1!$1:$1,[1]Sheet1!204:204))</f>
        <v>0</v>
      </c>
      <c r="K204" s="31"/>
      <c r="L204" s="77">
        <f>_xlfn.XLOOKUP("How Much Ice Cream Do You Want?",[1]Sheet1!$1:$1,[1]Sheet1!204:204)</f>
        <v>0</v>
      </c>
      <c r="M204" s="45">
        <f>IF(COUNTIF('Premade Flavors'!$A:$A, $C204) &gt; 0,_xlfn.XLOOKUP($C204,'Premade Flavors'!$A:$A,'Premade Flavors'!M:M),_xlfn.XLOOKUP("How Strong Do You Want The First Flavor?",[1]Sheet1!$1:$1,[1]Sheet1!204:204))</f>
        <v>0</v>
      </c>
      <c r="N204" s="45">
        <f>IF(COUNTIF('Premade Flavors'!$A:$A, $C204) &gt; 0,_xlfn.XLOOKUP($C204,'Premade Flavors'!$A:$A,'Premade Flavors'!N:N),_xlfn.XLOOKUP("How Strong Do You Want The Second Flavor?",[1]Sheet1!$1:$1,[1]Sheet1!204:204))</f>
        <v>0</v>
      </c>
      <c r="O204" s="45">
        <f>IF(COUNTIF('Premade Flavors'!$A:$A, $C204) &gt; 0,_xlfn.XLOOKUP($C204,'Premade Flavors'!$A:$A,'Premade Flavors'!O:O),_xlfn.XLOOKUP("How Dense Should the Mix Ins Be?",[1]Sheet1!$1:$1,[1]Sheet1!204:204))</f>
        <v>0</v>
      </c>
      <c r="P204" s="45">
        <f>IF(COUNTIF('Premade Flavors'!$A:$A, $C204) &gt; 0,_xlfn.XLOOKUP($C204,'Premade Flavors'!$A:$A,'Premade Flavors'!P:P),_xlfn.XLOOKUP("How Much Of The First Sweetner? ",[1]Sheet1!$1:$1,[1]Sheet1!204:204))</f>
        <v>0</v>
      </c>
      <c r="Q204" s="45">
        <f>IF(COUNTIF('Premade Flavors'!$A:$A, $C204) &gt; 0,_xlfn.XLOOKUP($C204,'Premade Flavors'!$A:$A,'Premade Flavors'!Q:Q),[2]Sheet1!S204)</f>
        <v>0</v>
      </c>
      <c r="R204" s="30">
        <f>(_xlfn.XLOOKUP($L204,Specs!A:A,Specs!B:B,0)-(IF(_xlfn.XLOOKUP($F204,'Liquid Mix In Nutrition'!A:A,'Liquid Mix In Nutrition'!J:J,0)="Yes",0,$T204))-(IF(_xlfn.XLOOKUP($G204,'Liquid Mix In Nutrition'!A:A,'Liquid Mix In Nutrition'!J:J,0)="Yes",0,$U204))-(($V204/MAX(1,_xlfn.XLOOKUP($H204,'Solid Mix In Nutrition'!A:A,'Solid Mix In Nutrition'!I:I,1)))*240)-(($W204/MAX(1,_xlfn.XLOOKUP($I204,'Solid Mix In Nutrition'!A:A,'Solid Mix In Nutrition'!I:I,1)))*240))*0.66</f>
        <v>0</v>
      </c>
      <c r="S204" s="30">
        <f>(_xlfn.XLOOKUP($L204,Specs!A:A,Specs!B:B,0)-(IF(_xlfn.XLOOKUP($F204,'Liquid Mix In Nutrition'!A:A,'Liquid Mix In Nutrition'!J:J,0)="Yes",0,$T204))-(IF(_xlfn.XLOOKUP($G204,'Liquid Mix In Nutrition'!A:A,'Liquid Mix In Nutrition'!J:J,0)="Yes",0,$U204))-(($V204/MAX(1,_xlfn.XLOOKUP($H204,'Solid Mix In Nutrition'!A:A,'Solid Mix In Nutrition'!I:I,1)))*240)-(($W204/MAX(1,_xlfn.XLOOKUP($I204,'Solid Mix In Nutrition'!A:A,'Solid Mix In Nutrition'!I:I,1)))*240))*0.33</f>
        <v>0</v>
      </c>
      <c r="T204" s="30">
        <f>_xlfn.XLOOKUP($M204,Specs!$D:$D,Specs!$E:$E,0)*15*_xlfn.XLOOKUP($L204,Specs!$A:$A,Specs!$C:$C,0)</f>
        <v>0</v>
      </c>
      <c r="U204" s="30">
        <f>_xlfn.XLOOKUP($N204,Specs!$D:$D,Specs!$E:$E,0)*15*_xlfn.XLOOKUP($L204,Specs!$A:$A,Specs!$C:$C,0)</f>
        <v>0</v>
      </c>
      <c r="V204" s="30">
        <f>( ((_xlfn.XLOOKUP($O204,Specs!$H:$H,Specs!$I:$I,0)*_xlfn.XLOOKUP($L204,Specs!$A:$A,Specs!$B:$B,0))/240) *_xlfn.XLOOKUP($H204,'Solid Mix In Nutrition'!A:A,'Solid Mix In Nutrition'!I:I,0)) *IF(AND(NOT($I204=0), COUNTA($I204)),0.5,1)</f>
        <v>0</v>
      </c>
      <c r="W204" s="30">
        <f>( ((_xlfn.XLOOKUP($O204,Specs!$H:$H,Specs!$I:$I,0)*_xlfn.XLOOKUP($L204,Specs!$A:$A,Specs!$B:$B,0))/240) *_xlfn.XLOOKUP($I204,'Solid Mix In Nutrition'!A:A,'Solid Mix In Nutrition'!I:I,0)) *IF(AND(NOT($I204=0), COUNTA($I204)),0.5,0)</f>
        <v>0</v>
      </c>
      <c r="X204" s="30">
        <f>_xlfn.XLOOKUP($P204,Specs!F:F,Specs!G:G,0)*_xlfn.XLOOKUP($J204,'Sweetener Mix In Nutrition'!A:A,'Sweetener Mix In Nutrition'!I:I,0)*_xlfn.XLOOKUP($L204,Specs!A:A,Specs!C:C,0)</f>
        <v>0</v>
      </c>
      <c r="Y204" s="30">
        <f>_xlfn.XLOOKUP($Q204,Specs!F:F,Specs!G:G,0)*_xlfn.XLOOKUP($K204,'Sweetener Mix In Nutrition'!A:A,'Sweetener Mix In Nutrition'!I:I,0)*_xlfn.XLOOKUP($L204,Specs!A:A,Specs!C:C,0)</f>
        <v>0</v>
      </c>
      <c r="Z204" s="34">
        <f t="shared" si="6"/>
        <v>0</v>
      </c>
      <c r="AA204" s="35">
        <f t="shared" si="7"/>
        <v>0</v>
      </c>
      <c r="AB204" s="36">
        <f>(($R204 / 240) * _xlfn.XLOOKUP($D204,'Milk Types Nutrition Per Cup'!A:A,'Milk Types Nutrition Per Cup'!B:B,0)) +(($S204 / 240)  * _xlfn.XLOOKUP($E204,'Milk Types Nutrition Per Cup'!A:A,'Milk Types Nutrition Per Cup'!B:B,0)) +(($T204 / 15)  * _xlfn.XLOOKUP($F204,'Liquid Mix In Nutrition'!A:A,'Liquid Mix In Nutrition'!B:B,0))+(($U204 / 15)  * _xlfn.XLOOKUP($G204,'Liquid Mix In Nutrition'!A:A,'Liquid Mix In Nutrition'!B:B,0))+(($V204 /MAX(1, _xlfn.XLOOKUP($H204,'Solid Mix In Nutrition'!A:A,'Solid Mix In Nutrition'!I:I,1)))  * _xlfn.XLOOKUP($H204,'Solid Mix In Nutrition'!A:A,'Solid Mix In Nutrition'!B:B,0))+(($W204 / MAX(1, _xlfn.XLOOKUP($I204,'Solid Mix In Nutrition'!A:A,'Solid Mix In Nutrition'!I:I,1))))+(($X204 / 100)  * _xlfn.XLOOKUP($J204,'Sweetener Mix In Nutrition'!A:A,'Sweetener Mix In Nutrition'!B:B,0))+(($Y204 / 100)  * _xlfn.XLOOKUP($K204,'Sweetener Mix In Nutrition'!A:A,'Sweetener Mix In Nutrition'!B:B,0))</f>
        <v>0</v>
      </c>
      <c r="AC204" s="36">
        <f>(($R204 / 240) * _xlfn.XLOOKUP($D204,'Milk Types Nutrition Per Cup'!A:A,'Milk Types Nutrition Per Cup'!E:E,0)) +(($S204 / 240)  * _xlfn.XLOOKUP($E204,'Milk Types Nutrition Per Cup'!A:A,'Milk Types Nutrition Per Cup'!E:E,0)) +(($T204 / 15)  * _xlfn.XLOOKUP($F204,'Liquid Mix In Nutrition'!A:A,'Liquid Mix In Nutrition'!E:E,0)) +(($U204 / 15)  * _xlfn.XLOOKUP($G204,'Liquid Mix In Nutrition'!A:A,'Liquid Mix In Nutrition'!E:E,0))+(($V204 / MAX(1, _xlfn.XLOOKUP($H204,'Solid Mix In Nutrition'!A:A,'Solid Mix In Nutrition'!I:I,1)))  * _xlfn.XLOOKUP($H204,'Solid Mix In Nutrition'!A:A,'Solid Mix In Nutrition'!E:E,0))+(($W204 / MAX(1, _xlfn.XLOOKUP($I204,'Solid Mix In Nutrition'!A:A,'Solid Mix In Nutrition'!I:I,1)))  * _xlfn.XLOOKUP($I204,'Solid Mix In Nutrition'!A:A,'Solid Mix In Nutrition'!G:G,0))+(($X204 / 100)  * _xlfn.XLOOKUP($J204,'Sweetener Mix In Nutrition'!A:A,'Sweetener Mix In Nutrition'!E:E,0))+(($Y204 / 100)  * _xlfn.XLOOKUP($K204,'Sweetener Mix In Nutrition'!A:A,'Sweetener Mix In Nutrition'!E:E,0))</f>
        <v>0</v>
      </c>
      <c r="AD204" s="36">
        <f>(($R204 / 240) * _xlfn.XLOOKUP($D204,'Milk Types Nutrition Per Cup'!A:A,'Milk Types Nutrition Per Cup'!E:E,0)) +(($S204 / 240)  * _xlfn.XLOOKUP($E204,'Milk Types Nutrition Per Cup'!A:A,'Milk Types Nutrition Per Cup'!E:E,0)) +(($T204 / 15)  * _xlfn.XLOOKUP($F204,'Liquid Mix In Nutrition'!A:A,'Liquid Mix In Nutrition'!E:E,0)) +(($U204 / 15)  * _xlfn.XLOOKUP($G204,'Liquid Mix In Nutrition'!A:A,'Liquid Mix In Nutrition'!E:E,0))+(($X204 / 100)  * _xlfn.XLOOKUP($J204,'Sweetener Mix In Nutrition'!A:A,'Sweetener Mix In Nutrition'!E:E,0))+(($Y204 / 100)  * _xlfn.XLOOKUP($K204,'Sweetener Mix In Nutrition'!A:A,'Sweetener Mix In Nutrition'!E:E,0))</f>
        <v>0</v>
      </c>
      <c r="AE204" s="37">
        <f>(($R204 / 240) * _xlfn.XLOOKUP($D204,'Milk Types Nutrition Per Cup'!A:A,'Milk Types Nutrition Per Cup'!C:C,0)) +(($S204 / 240)  * _xlfn.XLOOKUP($E204,'Milk Types Nutrition Per Cup'!A:A,'Milk Types Nutrition Per Cup'!C:C,0)) +(($T204 / 15)  * _xlfn.XLOOKUP($F204,'Liquid Mix In Nutrition'!A:A,'Liquid Mix In Nutrition'!C:C,0))+(($U204 / 15)  * _xlfn.XLOOKUP($G204,'Liquid Mix In Nutrition'!A:A,'Liquid Mix In Nutrition'!C:C,0))+(($V204 / MAX(1, _xlfn.XLOOKUP($H204,'Solid Mix In Nutrition'!A:A,'Solid Mix In Nutrition'!I:I,1)))  * _xlfn.XLOOKUP($H204,'Solid Mix In Nutrition'!A:A,'Solid Mix In Nutrition'!C:C,0))+(($W204 / MAX(1, _xlfn.XLOOKUP($I204,'Solid Mix In Nutrition'!A:A,'Solid Mix In Nutrition'!I:I,1)))  * _xlfn.XLOOKUP($I204,'Solid Mix In Nutrition'!A:A,'Solid Mix In Nutrition'!C:C,0))+(($X204 / 100)  * _xlfn.XLOOKUP($J204,'Sweetener Mix In Nutrition'!A:A,'Sweetener Mix In Nutrition'!C:C,0))+(($Y204 / 100)  * _xlfn.XLOOKUP($K204,'Sweetener Mix In Nutrition'!A:A,'Sweetener Mix In Nutrition'!C:C,0))</f>
        <v>0</v>
      </c>
      <c r="AF204" s="38" t="e">
        <f>$AE204 / (_xlfn.XLOOKUP($L204,Specs!A:A,Specs!B:B,0))</f>
        <v>#DIV/0!</v>
      </c>
      <c r="AG204" s="37" t="e">
        <f>60* ($AB204 / _xlfn.XLOOKUP($L204,Specs!A:A,Specs!B:B,0))</f>
        <v>#DIV/0!</v>
      </c>
      <c r="AH204" s="37" t="e">
        <f>60* (AC204 / _xlfn.XLOOKUP($L204,Specs!$A:$A,Specs!$B:$B,0))</f>
        <v>#DIV/0!</v>
      </c>
      <c r="AI204" s="37" t="e">
        <f>60* (AE204 / _xlfn.XLOOKUP($L204,Specs!$A:$A,Specs!$B:$B,0))</f>
        <v>#DIV/0!</v>
      </c>
      <c r="AJ204" s="39">
        <f>(($R204 / 240) * _xlfn.XLOOKUP($D204,'Milk Types Nutrition Per Cup'!A:A,'Milk Types Nutrition Per Cup'!F:F,0)) +(($S204 / 240)  * _xlfn.XLOOKUP($E204,'Milk Types Nutrition Per Cup'!A:A,'Milk Types Nutrition Per Cup'!F:F,0)) +(($T204 / 15)  * _xlfn.XLOOKUP($F204,'Liquid Mix In Nutrition'!A:A,'Liquid Mix In Nutrition'!F:F,0))+(($U204 / 15)  * _xlfn.XLOOKUP($G204,'Liquid Mix In Nutrition'!A:A,'Liquid Mix In Nutrition'!F:F,0))+(($V204 / MAX(1, _xlfn.XLOOKUP($H204,'Solid Mix In Nutrition'!A:A,'Solid Mix In Nutrition'!I:I,1)))  * _xlfn.XLOOKUP($H204,'Solid Mix In Nutrition'!A:A,'Solid Mix In Nutrition'!F:F,0))+(($W204 / MAX(1, _xlfn.XLOOKUP($I204,'Solid Mix In Nutrition'!A:A,'Solid Mix In Nutrition'!I:I,1)))  * _xlfn.XLOOKUP($I204,'Solid Mix In Nutrition'!A:A,'Solid Mix In Nutrition'!F:F,0))+(($X204 / 100)  * _xlfn.XLOOKUP($J204,'Sweetener Mix In Nutrition'!A:A,'Sweetener Mix In Nutrition'!F:F,0))+(($Y204 / 100)  * _xlfn.XLOOKUP($K204,'Sweetener Mix In Nutrition'!A:A,'Sweetener Mix In Nutrition'!F:F,0))</f>
        <v>0</v>
      </c>
      <c r="AK204" s="46">
        <f>[2]Sheet1!AG204</f>
        <v>0</v>
      </c>
      <c r="AL204" s="47"/>
      <c r="AM204" s="40">
        <f>IF(ISERROR(((AL204/Specs!$L$3)*Specs!$L$2)*2),0,ROUNDUP((((AL204/Specs!$L$3)*Specs!$L$2)*2),0))</f>
        <v>0</v>
      </c>
      <c r="AN204" s="48">
        <f>ROUNDUP(((AJ204+Specs!$R$2+Specs!$S$2+_xlfn.XLOOKUP($L204,Specs!A:A,Specs!V:V,0))*Specs!$N$2)+AM204,0)</f>
        <v>1</v>
      </c>
      <c r="AO204" s="40">
        <f>ROUNDUP(((AJ204+Specs!$R$2+Specs!$S$2+_xlfn.XLOOKUP($L204,Specs!A:A,Specs!V:V,0))*Specs!$N$2),0)</f>
        <v>1</v>
      </c>
      <c r="AP204" s="30"/>
    </row>
    <row r="205" spans="1:42" x14ac:dyDescent="0.25">
      <c r="A205" s="41" t="str">
        <f>_xlfn.CONCAT(_xlfn.XLOOKUP("What's Your Name?",[1]Sheet1!$1:$1,[1]Sheet1!205:205)," | ",TEXT(_xlfn.XLOOKUP("Completion time",[1]Sheet1!$1:$1,[1]Sheet1!205:205),"dddd, mmm dd, yyyy hh:mm AM/PM"))</f>
        <v xml:space="preserve"> | Saturday, Jan 00, 1900 12:00 AM</v>
      </c>
      <c r="B205" s="76">
        <f>_xlfn.XLOOKUP("What's Your Email Address?",[1]Sheet1!$1:$1,[1]Sheet1!205:205)</f>
        <v>0</v>
      </c>
      <c r="C205" s="31">
        <f>IF(ISBLANK(_xlfn.XLOOKUP("Which Flavor? (Pint Price | Quart Price | Half Gallon Price) (NOTE: Prices may fluctuate based on market conditions)",[1]Sheet1!$1:$1,[1]Sheet1!205:205)),_xlfn.XLOOKUP("Name Your Ice Cream!",[1]Sheet1!$1:$1,[1]Sheet1!205:205),IF(ISNUMBER(FIND("(", _xlfn.XLOOKUP("Which Flavor? (Pint Price | Quart Price | Half Gallon Price) (NOTE: Prices may fluctuate based on market conditions)",[1]Sheet1!$1:$1,[1]Sheet1!205:205))), LEFT(_xlfn.XLOOKUP("Which Flavor? (Pint Price | Quart Price | Half Gallon Price) (NOTE: Prices may fluctuate based on market conditions)",[1]Sheet1!$1:$1,[1]Sheet1!205:205), FIND("(", _xlfn.XLOOKUP("Which Flavor? (Pint Price | Quart Price | Half Gallon Price) (NOTE: Prices may fluctuate based on market conditions)",[1]Sheet1!$1:$1,[1]Sheet1!205:205)) - 1), _xlfn.XLOOKUP("Which Flavor? (Pint Price | Quart Price | Half Gallon Price) (NOTE: Prices may fluctuate based on market conditions)",[1]Sheet1!$1:$1,[1]Sheet1!205:205)))</f>
        <v>0</v>
      </c>
      <c r="D205" s="31">
        <f>IF(COUNTIF('Premade Flavors'!$A:$A, $C205) &gt; 0,IF(ISBLANK(_xlfn.XLOOKUP("What Ice Cream Base Do You Want To Change It To?",[1]Sheet1!$1:$1,[1]Sheet1!205:205)),_xlfn.XLOOKUP($C205,'Premade Flavors'!$A:$A,'Premade Flavors'!B:B),_xlfn.XLOOKUP("What Ice Cream Base Do You Want To Change It To?",[1]Sheet1!$1:$1,[1]Sheet1!205:205)),_xlfn.XLOOKUP(_xlfn.XLOOKUP("What Kind Of Ice Cream Base Do You Want? ",[1]Sheet1!$1:$1,[1]Sheet1!205:205),'Milk Types Nutrition Per Cup'!O:O,'Milk Types Nutrition Per Cup'!P:P,""))</f>
        <v>0</v>
      </c>
      <c r="E205" s="31">
        <f>IF(COUNTIF('Premade Flavors'!$A:$A, $C205) &gt; 0,IF(ISBLANK(_xlfn.XLOOKUP("What Ice Cream Base Do You Want To Change It To?",[1]Sheet1!$1:$1,[1]Sheet1!205:205)),_xlfn.XLOOKUP($C205,'Premade Flavors'!$A:$A,'Premade Flavors'!C:C),_xlfn.XLOOKUP("What Ice Cream Base Do You Want To Change It To?",[1]Sheet1!$1:$1,[1]Sheet1!205:205)),_xlfn.XLOOKUP(_xlfn.XLOOKUP("What Kind Of Ice Cream Base Do You Want? ",[1]Sheet1!$1:$1,[1]Sheet1!205:205),'Milk Types Nutrition Per Cup'!$O:$O,'Milk Types Nutrition Per Cup'!$Q:$Q,""))</f>
        <v>0</v>
      </c>
      <c r="F205" s="31">
        <f>IF(COUNTIF('Premade Flavors'!$A:$A, $C205) &gt; 0,_xlfn.XLOOKUP($C205,'Premade Flavors'!$A:$A,'Premade Flavors'!E:E),_xlfn.XLOOKUP("What's The First Flavor You Want? ",[1]Sheet1!$1:$1,[1]Sheet1!205:205))</f>
        <v>0</v>
      </c>
      <c r="G205" s="31">
        <f>IF(COUNTIF('Premade Flavors'!$A:$A, $C205) &gt; 0,_xlfn.XLOOKUP($C205,'Premade Flavors'!$A:$A,'Premade Flavors'!F:F),_xlfn.XLOOKUP("What's the Second Flavor You Want?",[1]Sheet1!$1:$1,[1]Sheet1!205:205))</f>
        <v>0</v>
      </c>
      <c r="H205" s="31">
        <f>IF(COUNTIF('Premade Flavors'!$A:$A, $C205) &gt; 0,_xlfn.XLOOKUP($C205,'Premade Flavors'!$A:$A,'Premade Flavors'!G:G),_xlfn.XLOOKUP("What's The First Mix In That You Want? ",[1]Sheet1!$1:$1,[1]Sheet1!205:205))</f>
        <v>0</v>
      </c>
      <c r="I205" s="31">
        <f>IF(COUNTIF('Premade Flavors'!$A:$A, $C203) &gt; 0,_xlfn.XLOOKUP($C203,'Premade Flavors'!$A:$A,'Premade Flavors'!H:H),IF([2]Sheet1!W203= 0,,[2]Sheet1!W203))</f>
        <v>0</v>
      </c>
      <c r="J205" s="31">
        <f>IF(COUNTIF('Premade Flavors'!$A:$A,$C205)&gt;0,IF(_xlfn.XLOOKUP("Should It Use Sugar or A Non-Sugar Sweetner?",[1]Sheet1!$1:$1,[1]Sheet1!205:205)="Sugar",_xlfn.XLOOKUP($C205,'Premade Flavors'!$A:$A,'Premade Flavors'!I:I),"Stevia"),_xlfn.XLOOKUP("What Sweetner Do You Want?",[1]Sheet1!$1:$1,[1]Sheet1!205:205))</f>
        <v>0</v>
      </c>
      <c r="K205" s="31"/>
      <c r="L205" s="77">
        <f>_xlfn.XLOOKUP("How Much Ice Cream Do You Want?",[1]Sheet1!$1:$1,[1]Sheet1!205:205)</f>
        <v>0</v>
      </c>
      <c r="M205" s="45">
        <f>IF(COUNTIF('Premade Flavors'!$A:$A, $C205) &gt; 0,_xlfn.XLOOKUP($C205,'Premade Flavors'!$A:$A,'Premade Flavors'!M:M),_xlfn.XLOOKUP("How Strong Do You Want The First Flavor?",[1]Sheet1!$1:$1,[1]Sheet1!205:205))</f>
        <v>0</v>
      </c>
      <c r="N205" s="45">
        <f>IF(COUNTIF('Premade Flavors'!$A:$A, $C205) &gt; 0,_xlfn.XLOOKUP($C205,'Premade Flavors'!$A:$A,'Premade Flavors'!N:N),_xlfn.XLOOKUP("How Strong Do You Want The Second Flavor?",[1]Sheet1!$1:$1,[1]Sheet1!205:205))</f>
        <v>0</v>
      </c>
      <c r="O205" s="45">
        <f>IF(COUNTIF('Premade Flavors'!$A:$A, $C205) &gt; 0,_xlfn.XLOOKUP($C205,'Premade Flavors'!$A:$A,'Premade Flavors'!O:O),_xlfn.XLOOKUP("How Dense Should the Mix Ins Be?",[1]Sheet1!$1:$1,[1]Sheet1!205:205))</f>
        <v>0</v>
      </c>
      <c r="P205" s="45">
        <f>IF(COUNTIF('Premade Flavors'!$A:$A, $C205) &gt; 0,_xlfn.XLOOKUP($C205,'Premade Flavors'!$A:$A,'Premade Flavors'!P:P),_xlfn.XLOOKUP("How Much Of The First Sweetner? ",[1]Sheet1!$1:$1,[1]Sheet1!205:205))</f>
        <v>0</v>
      </c>
      <c r="Q205" s="45">
        <f>IF(COUNTIF('Premade Flavors'!$A:$A, $C205) &gt; 0,_xlfn.XLOOKUP($C205,'Premade Flavors'!$A:$A,'Premade Flavors'!Q:Q),[2]Sheet1!S205)</f>
        <v>0</v>
      </c>
      <c r="R205" s="30">
        <f>(_xlfn.XLOOKUP($L205,Specs!A:A,Specs!B:B,0)-(IF(_xlfn.XLOOKUP($F205,'Liquid Mix In Nutrition'!A:A,'Liquid Mix In Nutrition'!J:J,0)="Yes",0,$T205))-(IF(_xlfn.XLOOKUP($G205,'Liquid Mix In Nutrition'!A:A,'Liquid Mix In Nutrition'!J:J,0)="Yes",0,$U205))-(($V205/MAX(1,_xlfn.XLOOKUP($H205,'Solid Mix In Nutrition'!A:A,'Solid Mix In Nutrition'!I:I,1)))*240)-(($W205/MAX(1,_xlfn.XLOOKUP($I205,'Solid Mix In Nutrition'!A:A,'Solid Mix In Nutrition'!I:I,1)))*240))*0.66</f>
        <v>0</v>
      </c>
      <c r="S205" s="30">
        <f>(_xlfn.XLOOKUP($L205,Specs!A:A,Specs!B:B,0)-(IF(_xlfn.XLOOKUP($F205,'Liquid Mix In Nutrition'!A:A,'Liquid Mix In Nutrition'!J:J,0)="Yes",0,$T205))-(IF(_xlfn.XLOOKUP($G205,'Liquid Mix In Nutrition'!A:A,'Liquid Mix In Nutrition'!J:J,0)="Yes",0,$U205))-(($V205/MAX(1,_xlfn.XLOOKUP($H205,'Solid Mix In Nutrition'!A:A,'Solid Mix In Nutrition'!I:I,1)))*240)-(($W205/MAX(1,_xlfn.XLOOKUP($I205,'Solid Mix In Nutrition'!A:A,'Solid Mix In Nutrition'!I:I,1)))*240))*0.33</f>
        <v>0</v>
      </c>
      <c r="T205" s="30">
        <f>_xlfn.XLOOKUP($M205,Specs!$D:$D,Specs!$E:$E,0)*15*_xlfn.XLOOKUP($L205,Specs!$A:$A,Specs!$C:$C,0)</f>
        <v>0</v>
      </c>
      <c r="U205" s="30">
        <f>_xlfn.XLOOKUP($N205,Specs!$D:$D,Specs!$E:$E,0)*15*_xlfn.XLOOKUP($L205,Specs!$A:$A,Specs!$C:$C,0)</f>
        <v>0</v>
      </c>
      <c r="V205" s="30">
        <f>( ((_xlfn.XLOOKUP($O205,Specs!$H:$H,Specs!$I:$I,0)*_xlfn.XLOOKUP($L205,Specs!$A:$A,Specs!$B:$B,0))/240) *_xlfn.XLOOKUP($H205,'Solid Mix In Nutrition'!A:A,'Solid Mix In Nutrition'!I:I,0)) *IF(AND(NOT($I205=0), COUNTA($I205)),0.5,1)</f>
        <v>0</v>
      </c>
      <c r="W205" s="30">
        <f>( ((_xlfn.XLOOKUP($O205,Specs!$H:$H,Specs!$I:$I,0)*_xlfn.XLOOKUP($L205,Specs!$A:$A,Specs!$B:$B,0))/240) *_xlfn.XLOOKUP($I205,'Solid Mix In Nutrition'!A:A,'Solid Mix In Nutrition'!I:I,0)) *IF(AND(NOT($I205=0), COUNTA($I205)),0.5,0)</f>
        <v>0</v>
      </c>
      <c r="X205" s="30">
        <f>_xlfn.XLOOKUP($P205,Specs!F:F,Specs!G:G,0)*_xlfn.XLOOKUP($J205,'Sweetener Mix In Nutrition'!A:A,'Sweetener Mix In Nutrition'!I:I,0)*_xlfn.XLOOKUP($L205,Specs!A:A,Specs!C:C,0)</f>
        <v>0</v>
      </c>
      <c r="Y205" s="30">
        <f>_xlfn.XLOOKUP($Q205,Specs!F:F,Specs!G:G,0)*_xlfn.XLOOKUP($K205,'Sweetener Mix In Nutrition'!A:A,'Sweetener Mix In Nutrition'!I:I,0)*_xlfn.XLOOKUP($L205,Specs!A:A,Specs!C:C,0)</f>
        <v>0</v>
      </c>
      <c r="Z205" s="34">
        <f t="shared" si="6"/>
        <v>0</v>
      </c>
      <c r="AA205" s="35">
        <f t="shared" si="7"/>
        <v>0</v>
      </c>
      <c r="AB205" s="36">
        <f>(($R205 / 240) * _xlfn.XLOOKUP($D205,'Milk Types Nutrition Per Cup'!A:A,'Milk Types Nutrition Per Cup'!B:B,0)) +(($S205 / 240)  * _xlfn.XLOOKUP($E205,'Milk Types Nutrition Per Cup'!A:A,'Milk Types Nutrition Per Cup'!B:B,0)) +(($T205 / 15)  * _xlfn.XLOOKUP($F205,'Liquid Mix In Nutrition'!A:A,'Liquid Mix In Nutrition'!B:B,0))+(($U205 / 15)  * _xlfn.XLOOKUP($G205,'Liquid Mix In Nutrition'!A:A,'Liquid Mix In Nutrition'!B:B,0))+(($V205 /MAX(1, _xlfn.XLOOKUP($H205,'Solid Mix In Nutrition'!A:A,'Solid Mix In Nutrition'!I:I,1)))  * _xlfn.XLOOKUP($H205,'Solid Mix In Nutrition'!A:A,'Solid Mix In Nutrition'!B:B,0))+(($W205 / MAX(1, _xlfn.XLOOKUP($I205,'Solid Mix In Nutrition'!A:A,'Solid Mix In Nutrition'!I:I,1))))+(($X205 / 100)  * _xlfn.XLOOKUP($J205,'Sweetener Mix In Nutrition'!A:A,'Sweetener Mix In Nutrition'!B:B,0))+(($Y205 / 100)  * _xlfn.XLOOKUP($K205,'Sweetener Mix In Nutrition'!A:A,'Sweetener Mix In Nutrition'!B:B,0))</f>
        <v>0</v>
      </c>
      <c r="AC205" s="36">
        <f>(($R205 / 240) * _xlfn.XLOOKUP($D205,'Milk Types Nutrition Per Cup'!A:A,'Milk Types Nutrition Per Cup'!E:E,0)) +(($S205 / 240)  * _xlfn.XLOOKUP($E205,'Milk Types Nutrition Per Cup'!A:A,'Milk Types Nutrition Per Cup'!E:E,0)) +(($T205 / 15)  * _xlfn.XLOOKUP($F205,'Liquid Mix In Nutrition'!A:A,'Liquid Mix In Nutrition'!E:E,0)) +(($U205 / 15)  * _xlfn.XLOOKUP($G205,'Liquid Mix In Nutrition'!A:A,'Liquid Mix In Nutrition'!E:E,0))+(($V205 / MAX(1, _xlfn.XLOOKUP($H205,'Solid Mix In Nutrition'!A:A,'Solid Mix In Nutrition'!I:I,1)))  * _xlfn.XLOOKUP($H205,'Solid Mix In Nutrition'!A:A,'Solid Mix In Nutrition'!E:E,0))+(($W205 / MAX(1, _xlfn.XLOOKUP($I205,'Solid Mix In Nutrition'!A:A,'Solid Mix In Nutrition'!I:I,1)))  * _xlfn.XLOOKUP($I205,'Solid Mix In Nutrition'!A:A,'Solid Mix In Nutrition'!G:G,0))+(($X205 / 100)  * _xlfn.XLOOKUP($J205,'Sweetener Mix In Nutrition'!A:A,'Sweetener Mix In Nutrition'!E:E,0))+(($Y205 / 100)  * _xlfn.XLOOKUP($K205,'Sweetener Mix In Nutrition'!A:A,'Sweetener Mix In Nutrition'!E:E,0))</f>
        <v>0</v>
      </c>
      <c r="AD205" s="36">
        <f>(($R205 / 240) * _xlfn.XLOOKUP($D205,'Milk Types Nutrition Per Cup'!A:A,'Milk Types Nutrition Per Cup'!E:E,0)) +(($S205 / 240)  * _xlfn.XLOOKUP($E205,'Milk Types Nutrition Per Cup'!A:A,'Milk Types Nutrition Per Cup'!E:E,0)) +(($T205 / 15)  * _xlfn.XLOOKUP($F205,'Liquid Mix In Nutrition'!A:A,'Liquid Mix In Nutrition'!E:E,0)) +(($U205 / 15)  * _xlfn.XLOOKUP($G205,'Liquid Mix In Nutrition'!A:A,'Liquid Mix In Nutrition'!E:E,0))+(($X205 / 100)  * _xlfn.XLOOKUP($J205,'Sweetener Mix In Nutrition'!A:A,'Sweetener Mix In Nutrition'!E:E,0))+(($Y205 / 100)  * _xlfn.XLOOKUP($K205,'Sweetener Mix In Nutrition'!A:A,'Sweetener Mix In Nutrition'!E:E,0))</f>
        <v>0</v>
      </c>
      <c r="AE205" s="37">
        <f>(($R205 / 240) * _xlfn.XLOOKUP($D205,'Milk Types Nutrition Per Cup'!A:A,'Milk Types Nutrition Per Cup'!C:C,0)) +(($S205 / 240)  * _xlfn.XLOOKUP($E205,'Milk Types Nutrition Per Cup'!A:A,'Milk Types Nutrition Per Cup'!C:C,0)) +(($T205 / 15)  * _xlfn.XLOOKUP($F205,'Liquid Mix In Nutrition'!A:A,'Liquid Mix In Nutrition'!C:C,0))+(($U205 / 15)  * _xlfn.XLOOKUP($G205,'Liquid Mix In Nutrition'!A:A,'Liquid Mix In Nutrition'!C:C,0))+(($V205 / MAX(1, _xlfn.XLOOKUP($H205,'Solid Mix In Nutrition'!A:A,'Solid Mix In Nutrition'!I:I,1)))  * _xlfn.XLOOKUP($H205,'Solid Mix In Nutrition'!A:A,'Solid Mix In Nutrition'!C:C,0))+(($W205 / MAX(1, _xlfn.XLOOKUP($I205,'Solid Mix In Nutrition'!A:A,'Solid Mix In Nutrition'!I:I,1)))  * _xlfn.XLOOKUP($I205,'Solid Mix In Nutrition'!A:A,'Solid Mix In Nutrition'!C:C,0))+(($X205 / 100)  * _xlfn.XLOOKUP($J205,'Sweetener Mix In Nutrition'!A:A,'Sweetener Mix In Nutrition'!C:C,0))+(($Y205 / 100)  * _xlfn.XLOOKUP($K205,'Sweetener Mix In Nutrition'!A:A,'Sweetener Mix In Nutrition'!C:C,0))</f>
        <v>0</v>
      </c>
      <c r="AF205" s="38" t="e">
        <f>$AE205 / (_xlfn.XLOOKUP($L205,Specs!A:A,Specs!B:B,0))</f>
        <v>#DIV/0!</v>
      </c>
      <c r="AG205" s="37" t="e">
        <f>60* ($AB205 / _xlfn.XLOOKUP($L205,Specs!A:A,Specs!B:B,0))</f>
        <v>#DIV/0!</v>
      </c>
      <c r="AH205" s="37" t="e">
        <f>60* (AC205 / _xlfn.XLOOKUP($L205,Specs!$A:$A,Specs!$B:$B,0))</f>
        <v>#DIV/0!</v>
      </c>
      <c r="AI205" s="37" t="e">
        <f>60* (AE205 / _xlfn.XLOOKUP($L205,Specs!$A:$A,Specs!$B:$B,0))</f>
        <v>#DIV/0!</v>
      </c>
      <c r="AJ205" s="39">
        <f>(($R205 / 240) * _xlfn.XLOOKUP($D205,'Milk Types Nutrition Per Cup'!A:A,'Milk Types Nutrition Per Cup'!F:F,0)) +(($S205 / 240)  * _xlfn.XLOOKUP($E205,'Milk Types Nutrition Per Cup'!A:A,'Milk Types Nutrition Per Cup'!F:F,0)) +(($T205 / 15)  * _xlfn.XLOOKUP($F205,'Liquid Mix In Nutrition'!A:A,'Liquid Mix In Nutrition'!F:F,0))+(($U205 / 15)  * _xlfn.XLOOKUP($G205,'Liquid Mix In Nutrition'!A:A,'Liquid Mix In Nutrition'!F:F,0))+(($V205 / MAX(1, _xlfn.XLOOKUP($H205,'Solid Mix In Nutrition'!A:A,'Solid Mix In Nutrition'!I:I,1)))  * _xlfn.XLOOKUP($H205,'Solid Mix In Nutrition'!A:A,'Solid Mix In Nutrition'!F:F,0))+(($W205 / MAX(1, _xlfn.XLOOKUP($I205,'Solid Mix In Nutrition'!A:A,'Solid Mix In Nutrition'!I:I,1)))  * _xlfn.XLOOKUP($I205,'Solid Mix In Nutrition'!A:A,'Solid Mix In Nutrition'!F:F,0))+(($X205 / 100)  * _xlfn.XLOOKUP($J205,'Sweetener Mix In Nutrition'!A:A,'Sweetener Mix In Nutrition'!F:F,0))+(($Y205 / 100)  * _xlfn.XLOOKUP($K205,'Sweetener Mix In Nutrition'!A:A,'Sweetener Mix In Nutrition'!F:F,0))</f>
        <v>0</v>
      </c>
      <c r="AK205" s="46">
        <f>[2]Sheet1!AG205</f>
        <v>0</v>
      </c>
      <c r="AL205" s="47"/>
      <c r="AM205" s="40">
        <f>IF(ISERROR(((AL205/Specs!$L$3)*Specs!$L$2)*2),0,ROUNDUP((((AL205/Specs!$L$3)*Specs!$L$2)*2),0))</f>
        <v>0</v>
      </c>
      <c r="AN205" s="48">
        <f>ROUNDUP(((AJ205+Specs!$R$2+Specs!$S$2+_xlfn.XLOOKUP($L205,Specs!A:A,Specs!V:V,0))*Specs!$N$2)+AM205,0)</f>
        <v>1</v>
      </c>
      <c r="AO205" s="40">
        <f>ROUNDUP(((AJ205+Specs!$R$2+Specs!$S$2+_xlfn.XLOOKUP($L205,Specs!A:A,Specs!V:V,0))*Specs!$N$2),0)</f>
        <v>1</v>
      </c>
      <c r="AP205" s="30"/>
    </row>
    <row r="206" spans="1:42" x14ac:dyDescent="0.25">
      <c r="A206" s="41" t="str">
        <f>_xlfn.CONCAT(_xlfn.XLOOKUP("What's Your Name?",[1]Sheet1!$1:$1,[1]Sheet1!206:206)," | ",TEXT(_xlfn.XLOOKUP("Completion time",[1]Sheet1!$1:$1,[1]Sheet1!206:206),"dddd, mmm dd, yyyy hh:mm AM/PM"))</f>
        <v xml:space="preserve"> | Saturday, Jan 00, 1900 12:00 AM</v>
      </c>
      <c r="B206" s="76">
        <f>_xlfn.XLOOKUP("What's Your Email Address?",[1]Sheet1!$1:$1,[1]Sheet1!206:206)</f>
        <v>0</v>
      </c>
      <c r="C206" s="31">
        <f>IF(ISBLANK(_xlfn.XLOOKUP("Which Flavor? (Pint Price | Quart Price | Half Gallon Price) (NOTE: Prices may fluctuate based on market conditions)",[1]Sheet1!$1:$1,[1]Sheet1!206:206)),_xlfn.XLOOKUP("Name Your Ice Cream!",[1]Sheet1!$1:$1,[1]Sheet1!206:206),IF(ISNUMBER(FIND("(", _xlfn.XLOOKUP("Which Flavor? (Pint Price | Quart Price | Half Gallon Price) (NOTE: Prices may fluctuate based on market conditions)",[1]Sheet1!$1:$1,[1]Sheet1!206:206))), LEFT(_xlfn.XLOOKUP("Which Flavor? (Pint Price | Quart Price | Half Gallon Price) (NOTE: Prices may fluctuate based on market conditions)",[1]Sheet1!$1:$1,[1]Sheet1!206:206), FIND("(", _xlfn.XLOOKUP("Which Flavor? (Pint Price | Quart Price | Half Gallon Price) (NOTE: Prices may fluctuate based on market conditions)",[1]Sheet1!$1:$1,[1]Sheet1!206:206)) - 1), _xlfn.XLOOKUP("Which Flavor? (Pint Price | Quart Price | Half Gallon Price) (NOTE: Prices may fluctuate based on market conditions)",[1]Sheet1!$1:$1,[1]Sheet1!206:206)))</f>
        <v>0</v>
      </c>
      <c r="D206" s="31">
        <f>IF(COUNTIF('Premade Flavors'!$A:$A, $C206) &gt; 0,IF(ISBLANK(_xlfn.XLOOKUP("What Ice Cream Base Do You Want To Change It To?",[1]Sheet1!$1:$1,[1]Sheet1!206:206)),_xlfn.XLOOKUP($C206,'Premade Flavors'!$A:$A,'Premade Flavors'!B:B),_xlfn.XLOOKUP("What Ice Cream Base Do You Want To Change It To?",[1]Sheet1!$1:$1,[1]Sheet1!206:206)),_xlfn.XLOOKUP(_xlfn.XLOOKUP("What Kind Of Ice Cream Base Do You Want? ",[1]Sheet1!$1:$1,[1]Sheet1!206:206),'Milk Types Nutrition Per Cup'!O:O,'Milk Types Nutrition Per Cup'!P:P,""))</f>
        <v>0</v>
      </c>
      <c r="E206" s="31">
        <f>IF(COUNTIF('Premade Flavors'!$A:$A, $C206) &gt; 0,IF(ISBLANK(_xlfn.XLOOKUP("What Ice Cream Base Do You Want To Change It To?",[1]Sheet1!$1:$1,[1]Sheet1!206:206)),_xlfn.XLOOKUP($C206,'Premade Flavors'!$A:$A,'Premade Flavors'!C:C),_xlfn.XLOOKUP("What Ice Cream Base Do You Want To Change It To?",[1]Sheet1!$1:$1,[1]Sheet1!206:206)),_xlfn.XLOOKUP(_xlfn.XLOOKUP("What Kind Of Ice Cream Base Do You Want? ",[1]Sheet1!$1:$1,[1]Sheet1!206:206),'Milk Types Nutrition Per Cup'!$O:$O,'Milk Types Nutrition Per Cup'!$Q:$Q,""))</f>
        <v>0</v>
      </c>
      <c r="F206" s="31">
        <f>IF(COUNTIF('Premade Flavors'!$A:$A, $C206) &gt; 0,_xlfn.XLOOKUP($C206,'Premade Flavors'!$A:$A,'Premade Flavors'!E:E),_xlfn.XLOOKUP("What's The First Flavor You Want? ",[1]Sheet1!$1:$1,[1]Sheet1!206:206))</f>
        <v>0</v>
      </c>
      <c r="G206" s="31">
        <f>IF(COUNTIF('Premade Flavors'!$A:$A, $C206) &gt; 0,_xlfn.XLOOKUP($C206,'Premade Flavors'!$A:$A,'Premade Flavors'!F:F),_xlfn.XLOOKUP("What's the Second Flavor You Want?",[1]Sheet1!$1:$1,[1]Sheet1!206:206))</f>
        <v>0</v>
      </c>
      <c r="H206" s="31">
        <f>IF(COUNTIF('Premade Flavors'!$A:$A, $C206) &gt; 0,_xlfn.XLOOKUP($C206,'Premade Flavors'!$A:$A,'Premade Flavors'!G:G),_xlfn.XLOOKUP("What's The First Mix In That You Want? ",[1]Sheet1!$1:$1,[1]Sheet1!206:206))</f>
        <v>0</v>
      </c>
      <c r="I206" s="31">
        <f>IF(COUNTIF('Premade Flavors'!$A:$A, $C204) &gt; 0,_xlfn.XLOOKUP($C204,'Premade Flavors'!$A:$A,'Premade Flavors'!H:H),IF([2]Sheet1!W204= 0,,[2]Sheet1!W204))</f>
        <v>0</v>
      </c>
      <c r="J206" s="31">
        <f>IF(COUNTIF('Premade Flavors'!$A:$A,$C206)&gt;0,IF(_xlfn.XLOOKUP("Should It Use Sugar or A Non-Sugar Sweetner?",[1]Sheet1!$1:$1,[1]Sheet1!206:206)="Sugar",_xlfn.XLOOKUP($C206,'Premade Flavors'!$A:$A,'Premade Flavors'!I:I),"Stevia"),_xlfn.XLOOKUP("What Sweetner Do You Want?",[1]Sheet1!$1:$1,[1]Sheet1!206:206))</f>
        <v>0</v>
      </c>
      <c r="K206" s="31"/>
      <c r="L206" s="77">
        <f>_xlfn.XLOOKUP("How Much Ice Cream Do You Want?",[1]Sheet1!$1:$1,[1]Sheet1!206:206)</f>
        <v>0</v>
      </c>
      <c r="M206" s="45">
        <f>IF(COUNTIF('Premade Flavors'!$A:$A, $C206) &gt; 0,_xlfn.XLOOKUP($C206,'Premade Flavors'!$A:$A,'Premade Flavors'!M:M),_xlfn.XLOOKUP("How Strong Do You Want The First Flavor?",[1]Sheet1!$1:$1,[1]Sheet1!206:206))</f>
        <v>0</v>
      </c>
      <c r="N206" s="45">
        <f>IF(COUNTIF('Premade Flavors'!$A:$A, $C206) &gt; 0,_xlfn.XLOOKUP($C206,'Premade Flavors'!$A:$A,'Premade Flavors'!N:N),_xlfn.XLOOKUP("How Strong Do You Want The Second Flavor?",[1]Sheet1!$1:$1,[1]Sheet1!206:206))</f>
        <v>0</v>
      </c>
      <c r="O206" s="45">
        <f>IF(COUNTIF('Premade Flavors'!$A:$A, $C206) &gt; 0,_xlfn.XLOOKUP($C206,'Premade Flavors'!$A:$A,'Premade Flavors'!O:O),_xlfn.XLOOKUP("How Dense Should the Mix Ins Be?",[1]Sheet1!$1:$1,[1]Sheet1!206:206))</f>
        <v>0</v>
      </c>
      <c r="P206" s="45">
        <f>IF(COUNTIF('Premade Flavors'!$A:$A, $C206) &gt; 0,_xlfn.XLOOKUP($C206,'Premade Flavors'!$A:$A,'Premade Flavors'!P:P),_xlfn.XLOOKUP("How Much Of The First Sweetner? ",[1]Sheet1!$1:$1,[1]Sheet1!206:206))</f>
        <v>0</v>
      </c>
      <c r="Q206" s="45">
        <f>IF(COUNTIF('Premade Flavors'!$A:$A, $C206) &gt; 0,_xlfn.XLOOKUP($C206,'Premade Flavors'!$A:$A,'Premade Flavors'!Q:Q),[2]Sheet1!S206)</f>
        <v>0</v>
      </c>
      <c r="R206" s="30">
        <f>(_xlfn.XLOOKUP($L206,Specs!A:A,Specs!B:B,0)-(IF(_xlfn.XLOOKUP($F206,'Liquid Mix In Nutrition'!A:A,'Liquid Mix In Nutrition'!J:J,0)="Yes",0,$T206))-(IF(_xlfn.XLOOKUP($G206,'Liquid Mix In Nutrition'!A:A,'Liquid Mix In Nutrition'!J:J,0)="Yes",0,$U206))-(($V206/MAX(1,_xlfn.XLOOKUP($H206,'Solid Mix In Nutrition'!A:A,'Solid Mix In Nutrition'!I:I,1)))*240)-(($W206/MAX(1,_xlfn.XLOOKUP($I206,'Solid Mix In Nutrition'!A:A,'Solid Mix In Nutrition'!I:I,1)))*240))*0.66</f>
        <v>0</v>
      </c>
      <c r="S206" s="30">
        <f>(_xlfn.XLOOKUP($L206,Specs!A:A,Specs!B:B,0)-(IF(_xlfn.XLOOKUP($F206,'Liquid Mix In Nutrition'!A:A,'Liquid Mix In Nutrition'!J:J,0)="Yes",0,$T206))-(IF(_xlfn.XLOOKUP($G206,'Liquid Mix In Nutrition'!A:A,'Liquid Mix In Nutrition'!J:J,0)="Yes",0,$U206))-(($V206/MAX(1,_xlfn.XLOOKUP($H206,'Solid Mix In Nutrition'!A:A,'Solid Mix In Nutrition'!I:I,1)))*240)-(($W206/MAX(1,_xlfn.XLOOKUP($I206,'Solid Mix In Nutrition'!A:A,'Solid Mix In Nutrition'!I:I,1)))*240))*0.33</f>
        <v>0</v>
      </c>
      <c r="T206" s="30">
        <f>_xlfn.XLOOKUP($M206,Specs!$D:$D,Specs!$E:$E,0)*15*_xlfn.XLOOKUP($L206,Specs!$A:$A,Specs!$C:$C,0)</f>
        <v>0</v>
      </c>
      <c r="U206" s="30">
        <f>_xlfn.XLOOKUP($N206,Specs!$D:$D,Specs!$E:$E,0)*15*_xlfn.XLOOKUP($L206,Specs!$A:$A,Specs!$C:$C,0)</f>
        <v>0</v>
      </c>
      <c r="V206" s="30">
        <f>( ((_xlfn.XLOOKUP($O206,Specs!$H:$H,Specs!$I:$I,0)*_xlfn.XLOOKUP($L206,Specs!$A:$A,Specs!$B:$B,0))/240) *_xlfn.XLOOKUP($H206,'Solid Mix In Nutrition'!A:A,'Solid Mix In Nutrition'!I:I,0)) *IF(AND(NOT($I206=0), COUNTA($I206)),0.5,1)</f>
        <v>0</v>
      </c>
      <c r="W206" s="30">
        <f>( ((_xlfn.XLOOKUP($O206,Specs!$H:$H,Specs!$I:$I,0)*_xlfn.XLOOKUP($L206,Specs!$A:$A,Specs!$B:$B,0))/240) *_xlfn.XLOOKUP($I206,'Solid Mix In Nutrition'!A:A,'Solid Mix In Nutrition'!I:I,0)) *IF(AND(NOT($I206=0), COUNTA($I206)),0.5,0)</f>
        <v>0</v>
      </c>
      <c r="X206" s="30">
        <f>_xlfn.XLOOKUP($P206,Specs!F:F,Specs!G:G,0)*_xlfn.XLOOKUP($J206,'Sweetener Mix In Nutrition'!A:A,'Sweetener Mix In Nutrition'!I:I,0)*_xlfn.XLOOKUP($L206,Specs!A:A,Specs!C:C,0)</f>
        <v>0</v>
      </c>
      <c r="Y206" s="30">
        <f>_xlfn.XLOOKUP($Q206,Specs!F:F,Specs!G:G,0)*_xlfn.XLOOKUP($K206,'Sweetener Mix In Nutrition'!A:A,'Sweetener Mix In Nutrition'!I:I,0)*_xlfn.XLOOKUP($L206,Specs!A:A,Specs!C:C,0)</f>
        <v>0</v>
      </c>
      <c r="Z206" s="34">
        <f t="shared" si="6"/>
        <v>0</v>
      </c>
      <c r="AA206" s="35">
        <f t="shared" si="7"/>
        <v>0</v>
      </c>
      <c r="AB206" s="36">
        <f>(($R206 / 240) * _xlfn.XLOOKUP($D206,'Milk Types Nutrition Per Cup'!A:A,'Milk Types Nutrition Per Cup'!B:B,0)) +(($S206 / 240)  * _xlfn.XLOOKUP($E206,'Milk Types Nutrition Per Cup'!A:A,'Milk Types Nutrition Per Cup'!B:B,0)) +(($T206 / 15)  * _xlfn.XLOOKUP($F206,'Liquid Mix In Nutrition'!A:A,'Liquid Mix In Nutrition'!B:B,0))+(($U206 / 15)  * _xlfn.XLOOKUP($G206,'Liquid Mix In Nutrition'!A:A,'Liquid Mix In Nutrition'!B:B,0))+(($V206 /MAX(1, _xlfn.XLOOKUP($H206,'Solid Mix In Nutrition'!A:A,'Solid Mix In Nutrition'!I:I,1)))  * _xlfn.XLOOKUP($H206,'Solid Mix In Nutrition'!A:A,'Solid Mix In Nutrition'!B:B,0))+(($W206 / MAX(1, _xlfn.XLOOKUP($I206,'Solid Mix In Nutrition'!A:A,'Solid Mix In Nutrition'!I:I,1))))+(($X206 / 100)  * _xlfn.XLOOKUP($J206,'Sweetener Mix In Nutrition'!A:A,'Sweetener Mix In Nutrition'!B:B,0))+(($Y206 / 100)  * _xlfn.XLOOKUP($K206,'Sweetener Mix In Nutrition'!A:A,'Sweetener Mix In Nutrition'!B:B,0))</f>
        <v>0</v>
      </c>
      <c r="AC206" s="36">
        <f>(($R206 / 240) * _xlfn.XLOOKUP($D206,'Milk Types Nutrition Per Cup'!A:A,'Milk Types Nutrition Per Cup'!E:E,0)) +(($S206 / 240)  * _xlfn.XLOOKUP($E206,'Milk Types Nutrition Per Cup'!A:A,'Milk Types Nutrition Per Cup'!E:E,0)) +(($T206 / 15)  * _xlfn.XLOOKUP($F206,'Liquid Mix In Nutrition'!A:A,'Liquid Mix In Nutrition'!E:E,0)) +(($U206 / 15)  * _xlfn.XLOOKUP($G206,'Liquid Mix In Nutrition'!A:A,'Liquid Mix In Nutrition'!E:E,0))+(($V206 / MAX(1, _xlfn.XLOOKUP($H206,'Solid Mix In Nutrition'!A:A,'Solid Mix In Nutrition'!I:I,1)))  * _xlfn.XLOOKUP($H206,'Solid Mix In Nutrition'!A:A,'Solid Mix In Nutrition'!E:E,0))+(($W206 / MAX(1, _xlfn.XLOOKUP($I206,'Solid Mix In Nutrition'!A:A,'Solid Mix In Nutrition'!I:I,1)))  * _xlfn.XLOOKUP($I206,'Solid Mix In Nutrition'!A:A,'Solid Mix In Nutrition'!G:G,0))+(($X206 / 100)  * _xlfn.XLOOKUP($J206,'Sweetener Mix In Nutrition'!A:A,'Sweetener Mix In Nutrition'!E:E,0))+(($Y206 / 100)  * _xlfn.XLOOKUP($K206,'Sweetener Mix In Nutrition'!A:A,'Sweetener Mix In Nutrition'!E:E,0))</f>
        <v>0</v>
      </c>
      <c r="AD206" s="36">
        <f>(($R206 / 240) * _xlfn.XLOOKUP($D206,'Milk Types Nutrition Per Cup'!A:A,'Milk Types Nutrition Per Cup'!E:E,0)) +(($S206 / 240)  * _xlfn.XLOOKUP($E206,'Milk Types Nutrition Per Cup'!A:A,'Milk Types Nutrition Per Cup'!E:E,0)) +(($T206 / 15)  * _xlfn.XLOOKUP($F206,'Liquid Mix In Nutrition'!A:A,'Liquid Mix In Nutrition'!E:E,0)) +(($U206 / 15)  * _xlfn.XLOOKUP($G206,'Liquid Mix In Nutrition'!A:A,'Liquid Mix In Nutrition'!E:E,0))+(($X206 / 100)  * _xlfn.XLOOKUP($J206,'Sweetener Mix In Nutrition'!A:A,'Sweetener Mix In Nutrition'!E:E,0))+(($Y206 / 100)  * _xlfn.XLOOKUP($K206,'Sweetener Mix In Nutrition'!A:A,'Sweetener Mix In Nutrition'!E:E,0))</f>
        <v>0</v>
      </c>
      <c r="AE206" s="37">
        <f>(($R206 / 240) * _xlfn.XLOOKUP($D206,'Milk Types Nutrition Per Cup'!A:A,'Milk Types Nutrition Per Cup'!C:C,0)) +(($S206 / 240)  * _xlfn.XLOOKUP($E206,'Milk Types Nutrition Per Cup'!A:A,'Milk Types Nutrition Per Cup'!C:C,0)) +(($T206 / 15)  * _xlfn.XLOOKUP($F206,'Liquid Mix In Nutrition'!A:A,'Liquid Mix In Nutrition'!C:C,0))+(($U206 / 15)  * _xlfn.XLOOKUP($G206,'Liquid Mix In Nutrition'!A:A,'Liquid Mix In Nutrition'!C:C,0))+(($V206 / MAX(1, _xlfn.XLOOKUP($H206,'Solid Mix In Nutrition'!A:A,'Solid Mix In Nutrition'!I:I,1)))  * _xlfn.XLOOKUP($H206,'Solid Mix In Nutrition'!A:A,'Solid Mix In Nutrition'!C:C,0))+(($W206 / MAX(1, _xlfn.XLOOKUP($I206,'Solid Mix In Nutrition'!A:A,'Solid Mix In Nutrition'!I:I,1)))  * _xlfn.XLOOKUP($I206,'Solid Mix In Nutrition'!A:A,'Solid Mix In Nutrition'!C:C,0))+(($X206 / 100)  * _xlfn.XLOOKUP($J206,'Sweetener Mix In Nutrition'!A:A,'Sweetener Mix In Nutrition'!C:C,0))+(($Y206 / 100)  * _xlfn.XLOOKUP($K206,'Sweetener Mix In Nutrition'!A:A,'Sweetener Mix In Nutrition'!C:C,0))</f>
        <v>0</v>
      </c>
      <c r="AF206" s="38" t="e">
        <f>$AE206 / (_xlfn.XLOOKUP($L206,Specs!A:A,Specs!B:B,0))</f>
        <v>#DIV/0!</v>
      </c>
      <c r="AG206" s="37" t="e">
        <f>60* ($AB206 / _xlfn.XLOOKUP($L206,Specs!A:A,Specs!B:B,0))</f>
        <v>#DIV/0!</v>
      </c>
      <c r="AH206" s="37" t="e">
        <f>60* (AC206 / _xlfn.XLOOKUP($L206,Specs!$A:$A,Specs!$B:$B,0))</f>
        <v>#DIV/0!</v>
      </c>
      <c r="AI206" s="37" t="e">
        <f>60* (AE206 / _xlfn.XLOOKUP($L206,Specs!$A:$A,Specs!$B:$B,0))</f>
        <v>#DIV/0!</v>
      </c>
      <c r="AJ206" s="39">
        <f>(($R206 / 240) * _xlfn.XLOOKUP($D206,'Milk Types Nutrition Per Cup'!A:A,'Milk Types Nutrition Per Cup'!F:F,0)) +(($S206 / 240)  * _xlfn.XLOOKUP($E206,'Milk Types Nutrition Per Cup'!A:A,'Milk Types Nutrition Per Cup'!F:F,0)) +(($T206 / 15)  * _xlfn.XLOOKUP($F206,'Liquid Mix In Nutrition'!A:A,'Liquid Mix In Nutrition'!F:F,0))+(($U206 / 15)  * _xlfn.XLOOKUP($G206,'Liquid Mix In Nutrition'!A:A,'Liquid Mix In Nutrition'!F:F,0))+(($V206 / MAX(1, _xlfn.XLOOKUP($H206,'Solid Mix In Nutrition'!A:A,'Solid Mix In Nutrition'!I:I,1)))  * _xlfn.XLOOKUP($H206,'Solid Mix In Nutrition'!A:A,'Solid Mix In Nutrition'!F:F,0))+(($W206 / MAX(1, _xlfn.XLOOKUP($I206,'Solid Mix In Nutrition'!A:A,'Solid Mix In Nutrition'!I:I,1)))  * _xlfn.XLOOKUP($I206,'Solid Mix In Nutrition'!A:A,'Solid Mix In Nutrition'!F:F,0))+(($X206 / 100)  * _xlfn.XLOOKUP($J206,'Sweetener Mix In Nutrition'!A:A,'Sweetener Mix In Nutrition'!F:F,0))+(($Y206 / 100)  * _xlfn.XLOOKUP($K206,'Sweetener Mix In Nutrition'!A:A,'Sweetener Mix In Nutrition'!F:F,0))</f>
        <v>0</v>
      </c>
      <c r="AK206" s="46">
        <f>[2]Sheet1!AG206</f>
        <v>0</v>
      </c>
      <c r="AL206" s="47"/>
      <c r="AM206" s="40">
        <f>IF(ISERROR(((AL206/Specs!$L$3)*Specs!$L$2)*2),0,ROUNDUP((((AL206/Specs!$L$3)*Specs!$L$2)*2),0))</f>
        <v>0</v>
      </c>
      <c r="AN206" s="48">
        <f>ROUNDUP(((AJ206+Specs!$R$2+Specs!$S$2+_xlfn.XLOOKUP($L206,Specs!A:A,Specs!V:V,0))*Specs!$N$2)+AM206,0)</f>
        <v>1</v>
      </c>
      <c r="AO206" s="40">
        <f>ROUNDUP(((AJ206+Specs!$R$2+Specs!$S$2+_xlfn.XLOOKUP($L206,Specs!A:A,Specs!V:V,0))*Specs!$N$2),0)</f>
        <v>1</v>
      </c>
      <c r="AP206" s="30"/>
    </row>
    <row r="207" spans="1:42" x14ac:dyDescent="0.25">
      <c r="A207" s="41" t="str">
        <f>_xlfn.CONCAT(_xlfn.XLOOKUP("What's Your Name?",[1]Sheet1!$1:$1,[1]Sheet1!207:207)," | ",TEXT(_xlfn.XLOOKUP("Completion time",[1]Sheet1!$1:$1,[1]Sheet1!207:207),"dddd, mmm dd, yyyy hh:mm AM/PM"))</f>
        <v xml:space="preserve"> | Saturday, Jan 00, 1900 12:00 AM</v>
      </c>
      <c r="B207" s="76">
        <f>_xlfn.XLOOKUP("What's Your Email Address?",[1]Sheet1!$1:$1,[1]Sheet1!207:207)</f>
        <v>0</v>
      </c>
      <c r="C207" s="31">
        <f>IF(ISBLANK(_xlfn.XLOOKUP("Which Flavor? (Pint Price | Quart Price | Half Gallon Price) (NOTE: Prices may fluctuate based on market conditions)",[1]Sheet1!$1:$1,[1]Sheet1!207:207)),_xlfn.XLOOKUP("Name Your Ice Cream!",[1]Sheet1!$1:$1,[1]Sheet1!207:207),IF(ISNUMBER(FIND("(", _xlfn.XLOOKUP("Which Flavor? (Pint Price | Quart Price | Half Gallon Price) (NOTE: Prices may fluctuate based on market conditions)",[1]Sheet1!$1:$1,[1]Sheet1!207:207))), LEFT(_xlfn.XLOOKUP("Which Flavor? (Pint Price | Quart Price | Half Gallon Price) (NOTE: Prices may fluctuate based on market conditions)",[1]Sheet1!$1:$1,[1]Sheet1!207:207), FIND("(", _xlfn.XLOOKUP("Which Flavor? (Pint Price | Quart Price | Half Gallon Price) (NOTE: Prices may fluctuate based on market conditions)",[1]Sheet1!$1:$1,[1]Sheet1!207:207)) - 1), _xlfn.XLOOKUP("Which Flavor? (Pint Price | Quart Price | Half Gallon Price) (NOTE: Prices may fluctuate based on market conditions)",[1]Sheet1!$1:$1,[1]Sheet1!207:207)))</f>
        <v>0</v>
      </c>
      <c r="D207" s="31">
        <f>IF(COUNTIF('Premade Flavors'!$A:$A, $C207) &gt; 0,IF(ISBLANK(_xlfn.XLOOKUP("What Ice Cream Base Do You Want To Change It To?",[1]Sheet1!$1:$1,[1]Sheet1!207:207)),_xlfn.XLOOKUP($C207,'Premade Flavors'!$A:$A,'Premade Flavors'!B:B),_xlfn.XLOOKUP("What Ice Cream Base Do You Want To Change It To?",[1]Sheet1!$1:$1,[1]Sheet1!207:207)),_xlfn.XLOOKUP(_xlfn.XLOOKUP("What Kind Of Ice Cream Base Do You Want? ",[1]Sheet1!$1:$1,[1]Sheet1!207:207),'Milk Types Nutrition Per Cup'!O:O,'Milk Types Nutrition Per Cup'!P:P,""))</f>
        <v>0</v>
      </c>
      <c r="E207" s="31">
        <f>IF(COUNTIF('Premade Flavors'!$A:$A, $C207) &gt; 0,IF(ISBLANK(_xlfn.XLOOKUP("What Ice Cream Base Do You Want To Change It To?",[1]Sheet1!$1:$1,[1]Sheet1!207:207)),_xlfn.XLOOKUP($C207,'Premade Flavors'!$A:$A,'Premade Flavors'!C:C),_xlfn.XLOOKUP("What Ice Cream Base Do You Want To Change It To?",[1]Sheet1!$1:$1,[1]Sheet1!207:207)),_xlfn.XLOOKUP(_xlfn.XLOOKUP("What Kind Of Ice Cream Base Do You Want? ",[1]Sheet1!$1:$1,[1]Sheet1!207:207),'Milk Types Nutrition Per Cup'!$O:$O,'Milk Types Nutrition Per Cup'!$Q:$Q,""))</f>
        <v>0</v>
      </c>
      <c r="F207" s="31">
        <f>IF(COUNTIF('Premade Flavors'!$A:$A, $C207) &gt; 0,_xlfn.XLOOKUP($C207,'Premade Flavors'!$A:$A,'Premade Flavors'!E:E),_xlfn.XLOOKUP("What's The First Flavor You Want? ",[1]Sheet1!$1:$1,[1]Sheet1!207:207))</f>
        <v>0</v>
      </c>
      <c r="G207" s="31">
        <f>IF(COUNTIF('Premade Flavors'!$A:$A, $C207) &gt; 0,_xlfn.XLOOKUP($C207,'Premade Flavors'!$A:$A,'Premade Flavors'!F:F),_xlfn.XLOOKUP("What's the Second Flavor You Want?",[1]Sheet1!$1:$1,[1]Sheet1!207:207))</f>
        <v>0</v>
      </c>
      <c r="H207" s="31">
        <f>IF(COUNTIF('Premade Flavors'!$A:$A, $C207) &gt; 0,_xlfn.XLOOKUP($C207,'Premade Flavors'!$A:$A,'Premade Flavors'!G:G),_xlfn.XLOOKUP("What's The First Mix In That You Want? ",[1]Sheet1!$1:$1,[1]Sheet1!207:207))</f>
        <v>0</v>
      </c>
      <c r="I207" s="31">
        <f>IF(COUNTIF('Premade Flavors'!$A:$A, $C205) &gt; 0,_xlfn.XLOOKUP($C205,'Premade Flavors'!$A:$A,'Premade Flavors'!H:H),IF([2]Sheet1!W205= 0,,[2]Sheet1!W205))</f>
        <v>0</v>
      </c>
      <c r="J207" s="31">
        <f>IF(COUNTIF('Premade Flavors'!$A:$A,$C207)&gt;0,IF(_xlfn.XLOOKUP("Should It Use Sugar or A Non-Sugar Sweetner?",[1]Sheet1!$1:$1,[1]Sheet1!207:207)="Sugar",_xlfn.XLOOKUP($C207,'Premade Flavors'!$A:$A,'Premade Flavors'!I:I),"Stevia"),_xlfn.XLOOKUP("What Sweetner Do You Want?",[1]Sheet1!$1:$1,[1]Sheet1!207:207))</f>
        <v>0</v>
      </c>
      <c r="K207" s="31"/>
      <c r="L207" s="77">
        <f>_xlfn.XLOOKUP("How Much Ice Cream Do You Want?",[1]Sheet1!$1:$1,[1]Sheet1!207:207)</f>
        <v>0</v>
      </c>
      <c r="M207" s="45">
        <f>IF(COUNTIF('Premade Flavors'!$A:$A, $C207) &gt; 0,_xlfn.XLOOKUP($C207,'Premade Flavors'!$A:$A,'Premade Flavors'!M:M),_xlfn.XLOOKUP("How Strong Do You Want The First Flavor?",[1]Sheet1!$1:$1,[1]Sheet1!207:207))</f>
        <v>0</v>
      </c>
      <c r="N207" s="45">
        <f>IF(COUNTIF('Premade Flavors'!$A:$A, $C207) &gt; 0,_xlfn.XLOOKUP($C207,'Premade Flavors'!$A:$A,'Premade Flavors'!N:N),_xlfn.XLOOKUP("How Strong Do You Want The Second Flavor?",[1]Sheet1!$1:$1,[1]Sheet1!207:207))</f>
        <v>0</v>
      </c>
      <c r="O207" s="45">
        <f>IF(COUNTIF('Premade Flavors'!$A:$A, $C207) &gt; 0,_xlfn.XLOOKUP($C207,'Premade Flavors'!$A:$A,'Premade Flavors'!O:O),_xlfn.XLOOKUP("How Dense Should the Mix Ins Be?",[1]Sheet1!$1:$1,[1]Sheet1!207:207))</f>
        <v>0</v>
      </c>
      <c r="P207" s="45">
        <f>IF(COUNTIF('Premade Flavors'!$A:$A, $C207) &gt; 0,_xlfn.XLOOKUP($C207,'Premade Flavors'!$A:$A,'Premade Flavors'!P:P),_xlfn.XLOOKUP("How Much Of The First Sweetner? ",[1]Sheet1!$1:$1,[1]Sheet1!207:207))</f>
        <v>0</v>
      </c>
      <c r="Q207" s="45">
        <f>IF(COUNTIF('Premade Flavors'!$A:$A, $C207) &gt; 0,_xlfn.XLOOKUP($C207,'Premade Flavors'!$A:$A,'Premade Flavors'!Q:Q),[2]Sheet1!S207)</f>
        <v>0</v>
      </c>
      <c r="R207" s="30">
        <f>(_xlfn.XLOOKUP($L207,Specs!A:A,Specs!B:B,0)-(IF(_xlfn.XLOOKUP($F207,'Liquid Mix In Nutrition'!A:A,'Liquid Mix In Nutrition'!J:J,0)="Yes",0,$T207))-(IF(_xlfn.XLOOKUP($G207,'Liquid Mix In Nutrition'!A:A,'Liquid Mix In Nutrition'!J:J,0)="Yes",0,$U207))-(($V207/MAX(1,_xlfn.XLOOKUP($H207,'Solid Mix In Nutrition'!A:A,'Solid Mix In Nutrition'!I:I,1)))*240)-(($W207/MAX(1,_xlfn.XLOOKUP($I207,'Solid Mix In Nutrition'!A:A,'Solid Mix In Nutrition'!I:I,1)))*240))*0.66</f>
        <v>0</v>
      </c>
      <c r="S207" s="30">
        <f>(_xlfn.XLOOKUP($L207,Specs!A:A,Specs!B:B,0)-(IF(_xlfn.XLOOKUP($F207,'Liquid Mix In Nutrition'!A:A,'Liquid Mix In Nutrition'!J:J,0)="Yes",0,$T207))-(IF(_xlfn.XLOOKUP($G207,'Liquid Mix In Nutrition'!A:A,'Liquid Mix In Nutrition'!J:J,0)="Yes",0,$U207))-(($V207/MAX(1,_xlfn.XLOOKUP($H207,'Solid Mix In Nutrition'!A:A,'Solid Mix In Nutrition'!I:I,1)))*240)-(($W207/MAX(1,_xlfn.XLOOKUP($I207,'Solid Mix In Nutrition'!A:A,'Solid Mix In Nutrition'!I:I,1)))*240))*0.33</f>
        <v>0</v>
      </c>
      <c r="T207" s="30">
        <f>_xlfn.XLOOKUP($M207,Specs!$D:$D,Specs!$E:$E,0)*15*_xlfn.XLOOKUP($L207,Specs!$A:$A,Specs!$C:$C,0)</f>
        <v>0</v>
      </c>
      <c r="U207" s="30">
        <f>_xlfn.XLOOKUP($N207,Specs!$D:$D,Specs!$E:$E,0)*15*_xlfn.XLOOKUP($L207,Specs!$A:$A,Specs!$C:$C,0)</f>
        <v>0</v>
      </c>
      <c r="V207" s="30">
        <f>( ((_xlfn.XLOOKUP($O207,Specs!$H:$H,Specs!$I:$I,0)*_xlfn.XLOOKUP($L207,Specs!$A:$A,Specs!$B:$B,0))/240) *_xlfn.XLOOKUP($H207,'Solid Mix In Nutrition'!A:A,'Solid Mix In Nutrition'!I:I,0)) *IF(AND(NOT($I207=0), COUNTA($I207)),0.5,1)</f>
        <v>0</v>
      </c>
      <c r="W207" s="30">
        <f>( ((_xlfn.XLOOKUP($O207,Specs!$H:$H,Specs!$I:$I,0)*_xlfn.XLOOKUP($L207,Specs!$A:$A,Specs!$B:$B,0))/240) *_xlfn.XLOOKUP($I207,'Solid Mix In Nutrition'!A:A,'Solid Mix In Nutrition'!I:I,0)) *IF(AND(NOT($I207=0), COUNTA($I207)),0.5,0)</f>
        <v>0</v>
      </c>
      <c r="X207" s="30">
        <f>_xlfn.XLOOKUP($P207,Specs!F:F,Specs!G:G,0)*_xlfn.XLOOKUP($J207,'Sweetener Mix In Nutrition'!A:A,'Sweetener Mix In Nutrition'!I:I,0)*_xlfn.XLOOKUP($L207,Specs!A:A,Specs!C:C,0)</f>
        <v>0</v>
      </c>
      <c r="Y207" s="30">
        <f>_xlfn.XLOOKUP($Q207,Specs!F:F,Specs!G:G,0)*_xlfn.XLOOKUP($K207,'Sweetener Mix In Nutrition'!A:A,'Sweetener Mix In Nutrition'!I:I,0)*_xlfn.XLOOKUP($L207,Specs!A:A,Specs!C:C,0)</f>
        <v>0</v>
      </c>
      <c r="Z207" s="34">
        <f t="shared" si="6"/>
        <v>0</v>
      </c>
      <c r="AA207" s="35">
        <f t="shared" si="7"/>
        <v>0</v>
      </c>
      <c r="AB207" s="36">
        <f>(($R207 / 240) * _xlfn.XLOOKUP($D207,'Milk Types Nutrition Per Cup'!A:A,'Milk Types Nutrition Per Cup'!B:B,0)) +(($S207 / 240)  * _xlfn.XLOOKUP($E207,'Milk Types Nutrition Per Cup'!A:A,'Milk Types Nutrition Per Cup'!B:B,0)) +(($T207 / 15)  * _xlfn.XLOOKUP($F207,'Liquid Mix In Nutrition'!A:A,'Liquid Mix In Nutrition'!B:B,0))+(($U207 / 15)  * _xlfn.XLOOKUP($G207,'Liquid Mix In Nutrition'!A:A,'Liquid Mix In Nutrition'!B:B,0))+(($V207 /MAX(1, _xlfn.XLOOKUP($H207,'Solid Mix In Nutrition'!A:A,'Solid Mix In Nutrition'!I:I,1)))  * _xlfn.XLOOKUP($H207,'Solid Mix In Nutrition'!A:A,'Solid Mix In Nutrition'!B:B,0))+(($W207 / MAX(1, _xlfn.XLOOKUP($I207,'Solid Mix In Nutrition'!A:A,'Solid Mix In Nutrition'!I:I,1))))+(($X207 / 100)  * _xlfn.XLOOKUP($J207,'Sweetener Mix In Nutrition'!A:A,'Sweetener Mix In Nutrition'!B:B,0))+(($Y207 / 100)  * _xlfn.XLOOKUP($K207,'Sweetener Mix In Nutrition'!A:A,'Sweetener Mix In Nutrition'!B:B,0))</f>
        <v>0</v>
      </c>
      <c r="AC207" s="36">
        <f>(($R207 / 240) * _xlfn.XLOOKUP($D207,'Milk Types Nutrition Per Cup'!A:A,'Milk Types Nutrition Per Cup'!E:E,0)) +(($S207 / 240)  * _xlfn.XLOOKUP($E207,'Milk Types Nutrition Per Cup'!A:A,'Milk Types Nutrition Per Cup'!E:E,0)) +(($T207 / 15)  * _xlfn.XLOOKUP($F207,'Liquid Mix In Nutrition'!A:A,'Liquid Mix In Nutrition'!E:E,0)) +(($U207 / 15)  * _xlfn.XLOOKUP($G207,'Liquid Mix In Nutrition'!A:A,'Liquid Mix In Nutrition'!E:E,0))+(($V207 / MAX(1, _xlfn.XLOOKUP($H207,'Solid Mix In Nutrition'!A:A,'Solid Mix In Nutrition'!I:I,1)))  * _xlfn.XLOOKUP($H207,'Solid Mix In Nutrition'!A:A,'Solid Mix In Nutrition'!E:E,0))+(($W207 / MAX(1, _xlfn.XLOOKUP($I207,'Solid Mix In Nutrition'!A:A,'Solid Mix In Nutrition'!I:I,1)))  * _xlfn.XLOOKUP($I207,'Solid Mix In Nutrition'!A:A,'Solid Mix In Nutrition'!G:G,0))+(($X207 / 100)  * _xlfn.XLOOKUP($J207,'Sweetener Mix In Nutrition'!A:A,'Sweetener Mix In Nutrition'!E:E,0))+(($Y207 / 100)  * _xlfn.XLOOKUP($K207,'Sweetener Mix In Nutrition'!A:A,'Sweetener Mix In Nutrition'!E:E,0))</f>
        <v>0</v>
      </c>
      <c r="AD207" s="36">
        <f>(($R207 / 240) * _xlfn.XLOOKUP($D207,'Milk Types Nutrition Per Cup'!A:A,'Milk Types Nutrition Per Cup'!E:E,0)) +(($S207 / 240)  * _xlfn.XLOOKUP($E207,'Milk Types Nutrition Per Cup'!A:A,'Milk Types Nutrition Per Cup'!E:E,0)) +(($T207 / 15)  * _xlfn.XLOOKUP($F207,'Liquid Mix In Nutrition'!A:A,'Liquid Mix In Nutrition'!E:E,0)) +(($U207 / 15)  * _xlfn.XLOOKUP($G207,'Liquid Mix In Nutrition'!A:A,'Liquid Mix In Nutrition'!E:E,0))+(($X207 / 100)  * _xlfn.XLOOKUP($J207,'Sweetener Mix In Nutrition'!A:A,'Sweetener Mix In Nutrition'!E:E,0))+(($Y207 / 100)  * _xlfn.XLOOKUP($K207,'Sweetener Mix In Nutrition'!A:A,'Sweetener Mix In Nutrition'!E:E,0))</f>
        <v>0</v>
      </c>
      <c r="AE207" s="37">
        <f>(($R207 / 240) * _xlfn.XLOOKUP($D207,'Milk Types Nutrition Per Cup'!A:A,'Milk Types Nutrition Per Cup'!C:C,0)) +(($S207 / 240)  * _xlfn.XLOOKUP($E207,'Milk Types Nutrition Per Cup'!A:A,'Milk Types Nutrition Per Cup'!C:C,0)) +(($T207 / 15)  * _xlfn.XLOOKUP($F207,'Liquid Mix In Nutrition'!A:A,'Liquid Mix In Nutrition'!C:C,0))+(($U207 / 15)  * _xlfn.XLOOKUP($G207,'Liquid Mix In Nutrition'!A:A,'Liquid Mix In Nutrition'!C:C,0))+(($V207 / MAX(1, _xlfn.XLOOKUP($H207,'Solid Mix In Nutrition'!A:A,'Solid Mix In Nutrition'!I:I,1)))  * _xlfn.XLOOKUP($H207,'Solid Mix In Nutrition'!A:A,'Solid Mix In Nutrition'!C:C,0))+(($W207 / MAX(1, _xlfn.XLOOKUP($I207,'Solid Mix In Nutrition'!A:A,'Solid Mix In Nutrition'!I:I,1)))  * _xlfn.XLOOKUP($I207,'Solid Mix In Nutrition'!A:A,'Solid Mix In Nutrition'!C:C,0))+(($X207 / 100)  * _xlfn.XLOOKUP($J207,'Sweetener Mix In Nutrition'!A:A,'Sweetener Mix In Nutrition'!C:C,0))+(($Y207 / 100)  * _xlfn.XLOOKUP($K207,'Sweetener Mix In Nutrition'!A:A,'Sweetener Mix In Nutrition'!C:C,0))</f>
        <v>0</v>
      </c>
      <c r="AF207" s="38" t="e">
        <f>$AE207 / (_xlfn.XLOOKUP($L207,Specs!A:A,Specs!B:B,0))</f>
        <v>#DIV/0!</v>
      </c>
      <c r="AG207" s="37" t="e">
        <f>60* ($AB207 / _xlfn.XLOOKUP($L207,Specs!A:A,Specs!B:B,0))</f>
        <v>#DIV/0!</v>
      </c>
      <c r="AH207" s="37" t="e">
        <f>60* (AC207 / _xlfn.XLOOKUP($L207,Specs!$A:$A,Specs!$B:$B,0))</f>
        <v>#DIV/0!</v>
      </c>
      <c r="AI207" s="37" t="e">
        <f>60* (AE207 / _xlfn.XLOOKUP($L207,Specs!$A:$A,Specs!$B:$B,0))</f>
        <v>#DIV/0!</v>
      </c>
      <c r="AJ207" s="39">
        <f>(($R207 / 240) * _xlfn.XLOOKUP($D207,'Milk Types Nutrition Per Cup'!A:A,'Milk Types Nutrition Per Cup'!F:F,0)) +(($S207 / 240)  * _xlfn.XLOOKUP($E207,'Milk Types Nutrition Per Cup'!A:A,'Milk Types Nutrition Per Cup'!F:F,0)) +(($T207 / 15)  * _xlfn.XLOOKUP($F207,'Liquid Mix In Nutrition'!A:A,'Liquid Mix In Nutrition'!F:F,0))+(($U207 / 15)  * _xlfn.XLOOKUP($G207,'Liquid Mix In Nutrition'!A:A,'Liquid Mix In Nutrition'!F:F,0))+(($V207 / MAX(1, _xlfn.XLOOKUP($H207,'Solid Mix In Nutrition'!A:A,'Solid Mix In Nutrition'!I:I,1)))  * _xlfn.XLOOKUP($H207,'Solid Mix In Nutrition'!A:A,'Solid Mix In Nutrition'!F:F,0))+(($W207 / MAX(1, _xlfn.XLOOKUP($I207,'Solid Mix In Nutrition'!A:A,'Solid Mix In Nutrition'!I:I,1)))  * _xlfn.XLOOKUP($I207,'Solid Mix In Nutrition'!A:A,'Solid Mix In Nutrition'!F:F,0))+(($X207 / 100)  * _xlfn.XLOOKUP($J207,'Sweetener Mix In Nutrition'!A:A,'Sweetener Mix In Nutrition'!F:F,0))+(($Y207 / 100)  * _xlfn.XLOOKUP($K207,'Sweetener Mix In Nutrition'!A:A,'Sweetener Mix In Nutrition'!F:F,0))</f>
        <v>0</v>
      </c>
      <c r="AK207" s="46">
        <f>[2]Sheet1!AG207</f>
        <v>0</v>
      </c>
      <c r="AL207" s="47"/>
      <c r="AM207" s="40">
        <f>IF(ISERROR(((AL207/Specs!$L$3)*Specs!$L$2)*2),0,ROUNDUP((((AL207/Specs!$L$3)*Specs!$L$2)*2),0))</f>
        <v>0</v>
      </c>
      <c r="AN207" s="48">
        <f>ROUNDUP(((AJ207+Specs!$R$2+Specs!$S$2+_xlfn.XLOOKUP($L207,Specs!A:A,Specs!V:V,0))*Specs!$N$2)+AM207,0)</f>
        <v>1</v>
      </c>
      <c r="AO207" s="40">
        <f>ROUNDUP(((AJ207+Specs!$R$2+Specs!$S$2+_xlfn.XLOOKUP($L207,Specs!A:A,Specs!V:V,0))*Specs!$N$2),0)</f>
        <v>1</v>
      </c>
      <c r="AP207" s="30"/>
    </row>
    <row r="208" spans="1:42" x14ac:dyDescent="0.25">
      <c r="A208" s="41" t="str">
        <f>_xlfn.CONCAT(_xlfn.XLOOKUP("What's Your Name?",[1]Sheet1!$1:$1,[1]Sheet1!208:208)," | ",TEXT(_xlfn.XLOOKUP("Completion time",[1]Sheet1!$1:$1,[1]Sheet1!208:208),"dddd, mmm dd, yyyy hh:mm AM/PM"))</f>
        <v xml:space="preserve"> | Saturday, Jan 00, 1900 12:00 AM</v>
      </c>
      <c r="B208" s="76">
        <f>_xlfn.XLOOKUP("What's Your Email Address?",[1]Sheet1!$1:$1,[1]Sheet1!208:208)</f>
        <v>0</v>
      </c>
      <c r="C208" s="31">
        <f>IF(ISBLANK(_xlfn.XLOOKUP("Which Flavor? (Pint Price | Quart Price | Half Gallon Price) (NOTE: Prices may fluctuate based on market conditions)",[1]Sheet1!$1:$1,[1]Sheet1!208:208)),_xlfn.XLOOKUP("Name Your Ice Cream!",[1]Sheet1!$1:$1,[1]Sheet1!208:208),IF(ISNUMBER(FIND("(", _xlfn.XLOOKUP("Which Flavor? (Pint Price | Quart Price | Half Gallon Price) (NOTE: Prices may fluctuate based on market conditions)",[1]Sheet1!$1:$1,[1]Sheet1!208:208))), LEFT(_xlfn.XLOOKUP("Which Flavor? (Pint Price | Quart Price | Half Gallon Price) (NOTE: Prices may fluctuate based on market conditions)",[1]Sheet1!$1:$1,[1]Sheet1!208:208), FIND("(", _xlfn.XLOOKUP("Which Flavor? (Pint Price | Quart Price | Half Gallon Price) (NOTE: Prices may fluctuate based on market conditions)",[1]Sheet1!$1:$1,[1]Sheet1!208:208)) - 1), _xlfn.XLOOKUP("Which Flavor? (Pint Price | Quart Price | Half Gallon Price) (NOTE: Prices may fluctuate based on market conditions)",[1]Sheet1!$1:$1,[1]Sheet1!208:208)))</f>
        <v>0</v>
      </c>
      <c r="D208" s="31">
        <f>IF(COUNTIF('Premade Flavors'!$A:$A, $C208) &gt; 0,IF(ISBLANK(_xlfn.XLOOKUP("What Ice Cream Base Do You Want To Change It To?",[1]Sheet1!$1:$1,[1]Sheet1!208:208)),_xlfn.XLOOKUP($C208,'Premade Flavors'!$A:$A,'Premade Flavors'!B:B),_xlfn.XLOOKUP("What Ice Cream Base Do You Want To Change It To?",[1]Sheet1!$1:$1,[1]Sheet1!208:208)),_xlfn.XLOOKUP(_xlfn.XLOOKUP("What Kind Of Ice Cream Base Do You Want? ",[1]Sheet1!$1:$1,[1]Sheet1!208:208),'Milk Types Nutrition Per Cup'!O:O,'Milk Types Nutrition Per Cup'!P:P,""))</f>
        <v>0</v>
      </c>
      <c r="E208" s="31">
        <f>IF(COUNTIF('Premade Flavors'!$A:$A, $C208) &gt; 0,IF(ISBLANK(_xlfn.XLOOKUP("What Ice Cream Base Do You Want To Change It To?",[1]Sheet1!$1:$1,[1]Sheet1!208:208)),_xlfn.XLOOKUP($C208,'Premade Flavors'!$A:$A,'Premade Flavors'!C:C),_xlfn.XLOOKUP("What Ice Cream Base Do You Want To Change It To?",[1]Sheet1!$1:$1,[1]Sheet1!208:208)),_xlfn.XLOOKUP(_xlfn.XLOOKUP("What Kind Of Ice Cream Base Do You Want? ",[1]Sheet1!$1:$1,[1]Sheet1!208:208),'Milk Types Nutrition Per Cup'!$O:$O,'Milk Types Nutrition Per Cup'!$Q:$Q,""))</f>
        <v>0</v>
      </c>
      <c r="F208" s="31">
        <f>IF(COUNTIF('Premade Flavors'!$A:$A, $C208) &gt; 0,_xlfn.XLOOKUP($C208,'Premade Flavors'!$A:$A,'Premade Flavors'!E:E),_xlfn.XLOOKUP("What's The First Flavor You Want? ",[1]Sheet1!$1:$1,[1]Sheet1!208:208))</f>
        <v>0</v>
      </c>
      <c r="G208" s="31">
        <f>IF(COUNTIF('Premade Flavors'!$A:$A, $C208) &gt; 0,_xlfn.XLOOKUP($C208,'Premade Flavors'!$A:$A,'Premade Flavors'!F:F),_xlfn.XLOOKUP("What's the Second Flavor You Want?",[1]Sheet1!$1:$1,[1]Sheet1!208:208))</f>
        <v>0</v>
      </c>
      <c r="H208" s="31">
        <f>IF(COUNTIF('Premade Flavors'!$A:$A, $C208) &gt; 0,_xlfn.XLOOKUP($C208,'Premade Flavors'!$A:$A,'Premade Flavors'!G:G),_xlfn.XLOOKUP("What's The First Mix In That You Want? ",[1]Sheet1!$1:$1,[1]Sheet1!208:208))</f>
        <v>0</v>
      </c>
      <c r="I208" s="31">
        <f>IF(COUNTIF('Premade Flavors'!$A:$A, $C206) &gt; 0,_xlfn.XLOOKUP($C206,'Premade Flavors'!$A:$A,'Premade Flavors'!H:H),IF([2]Sheet1!W206= 0,,[2]Sheet1!W206))</f>
        <v>0</v>
      </c>
      <c r="J208" s="31">
        <f>IF(COUNTIF('Premade Flavors'!$A:$A,$C208)&gt;0,IF(_xlfn.XLOOKUP("Should It Use Sugar or A Non-Sugar Sweetner?",[1]Sheet1!$1:$1,[1]Sheet1!208:208)="Sugar",_xlfn.XLOOKUP($C208,'Premade Flavors'!$A:$A,'Premade Flavors'!I:I),"Stevia"),_xlfn.XLOOKUP("What Sweetner Do You Want?",[1]Sheet1!$1:$1,[1]Sheet1!208:208))</f>
        <v>0</v>
      </c>
      <c r="K208" s="31"/>
      <c r="L208" s="77">
        <f>_xlfn.XLOOKUP("How Much Ice Cream Do You Want?",[1]Sheet1!$1:$1,[1]Sheet1!208:208)</f>
        <v>0</v>
      </c>
      <c r="M208" s="45">
        <f>IF(COUNTIF('Premade Flavors'!$A:$A, $C208) &gt; 0,_xlfn.XLOOKUP($C208,'Premade Flavors'!$A:$A,'Premade Flavors'!M:M),_xlfn.XLOOKUP("How Strong Do You Want The First Flavor?",[1]Sheet1!$1:$1,[1]Sheet1!208:208))</f>
        <v>0</v>
      </c>
      <c r="N208" s="45">
        <f>IF(COUNTIF('Premade Flavors'!$A:$A, $C208) &gt; 0,_xlfn.XLOOKUP($C208,'Premade Flavors'!$A:$A,'Premade Flavors'!N:N),_xlfn.XLOOKUP("How Strong Do You Want The Second Flavor?",[1]Sheet1!$1:$1,[1]Sheet1!208:208))</f>
        <v>0</v>
      </c>
      <c r="O208" s="45">
        <f>IF(COUNTIF('Premade Flavors'!$A:$A, $C208) &gt; 0,_xlfn.XLOOKUP($C208,'Premade Flavors'!$A:$A,'Premade Flavors'!O:O),_xlfn.XLOOKUP("How Dense Should the Mix Ins Be?",[1]Sheet1!$1:$1,[1]Sheet1!208:208))</f>
        <v>0</v>
      </c>
      <c r="P208" s="45">
        <f>IF(COUNTIF('Premade Flavors'!$A:$A, $C208) &gt; 0,_xlfn.XLOOKUP($C208,'Premade Flavors'!$A:$A,'Premade Flavors'!P:P),_xlfn.XLOOKUP("How Much Of The First Sweetner? ",[1]Sheet1!$1:$1,[1]Sheet1!208:208))</f>
        <v>0</v>
      </c>
      <c r="Q208" s="45">
        <f>IF(COUNTIF('Premade Flavors'!$A:$A, $C208) &gt; 0,_xlfn.XLOOKUP($C208,'Premade Flavors'!$A:$A,'Premade Flavors'!Q:Q),[2]Sheet1!S208)</f>
        <v>0</v>
      </c>
      <c r="R208" s="30">
        <f>(_xlfn.XLOOKUP($L208,Specs!A:A,Specs!B:B,0)-(IF(_xlfn.XLOOKUP($F208,'Liquid Mix In Nutrition'!A:A,'Liquid Mix In Nutrition'!J:J,0)="Yes",0,$T208))-(IF(_xlfn.XLOOKUP($G208,'Liquid Mix In Nutrition'!A:A,'Liquid Mix In Nutrition'!J:J,0)="Yes",0,$U208))-(($V208/MAX(1,_xlfn.XLOOKUP($H208,'Solid Mix In Nutrition'!A:A,'Solid Mix In Nutrition'!I:I,1)))*240)-(($W208/MAX(1,_xlfn.XLOOKUP($I208,'Solid Mix In Nutrition'!A:A,'Solid Mix In Nutrition'!I:I,1)))*240))*0.66</f>
        <v>0</v>
      </c>
      <c r="S208" s="30">
        <f>(_xlfn.XLOOKUP($L208,Specs!A:A,Specs!B:B,0)-(IF(_xlfn.XLOOKUP($F208,'Liquid Mix In Nutrition'!A:A,'Liquid Mix In Nutrition'!J:J,0)="Yes",0,$T208))-(IF(_xlfn.XLOOKUP($G208,'Liquid Mix In Nutrition'!A:A,'Liquid Mix In Nutrition'!J:J,0)="Yes",0,$U208))-(($V208/MAX(1,_xlfn.XLOOKUP($H208,'Solid Mix In Nutrition'!A:A,'Solid Mix In Nutrition'!I:I,1)))*240)-(($W208/MAX(1,_xlfn.XLOOKUP($I208,'Solid Mix In Nutrition'!A:A,'Solid Mix In Nutrition'!I:I,1)))*240))*0.33</f>
        <v>0</v>
      </c>
      <c r="T208" s="30">
        <f>_xlfn.XLOOKUP($M208,Specs!$D:$D,Specs!$E:$E,0)*15*_xlfn.XLOOKUP($L208,Specs!$A:$A,Specs!$C:$C,0)</f>
        <v>0</v>
      </c>
      <c r="U208" s="30">
        <f>_xlfn.XLOOKUP($N208,Specs!$D:$D,Specs!$E:$E,0)*15*_xlfn.XLOOKUP($L208,Specs!$A:$A,Specs!$C:$C,0)</f>
        <v>0</v>
      </c>
      <c r="V208" s="30">
        <f>( ((_xlfn.XLOOKUP($O208,Specs!$H:$H,Specs!$I:$I,0)*_xlfn.XLOOKUP($L208,Specs!$A:$A,Specs!$B:$B,0))/240) *_xlfn.XLOOKUP($H208,'Solid Mix In Nutrition'!A:A,'Solid Mix In Nutrition'!I:I,0)) *IF(AND(NOT($I208=0), COUNTA($I208)),0.5,1)</f>
        <v>0</v>
      </c>
      <c r="W208" s="30">
        <f>( ((_xlfn.XLOOKUP($O208,Specs!$H:$H,Specs!$I:$I,0)*_xlfn.XLOOKUP($L208,Specs!$A:$A,Specs!$B:$B,0))/240) *_xlfn.XLOOKUP($I208,'Solid Mix In Nutrition'!A:A,'Solid Mix In Nutrition'!I:I,0)) *IF(AND(NOT($I208=0), COUNTA($I208)),0.5,0)</f>
        <v>0</v>
      </c>
      <c r="X208" s="30">
        <f>_xlfn.XLOOKUP($P208,Specs!F:F,Specs!G:G,0)*_xlfn.XLOOKUP($J208,'Sweetener Mix In Nutrition'!A:A,'Sweetener Mix In Nutrition'!I:I,0)*_xlfn.XLOOKUP($L208,Specs!A:A,Specs!C:C,0)</f>
        <v>0</v>
      </c>
      <c r="Y208" s="30">
        <f>_xlfn.XLOOKUP($Q208,Specs!F:F,Specs!G:G,0)*_xlfn.XLOOKUP($K208,'Sweetener Mix In Nutrition'!A:A,'Sweetener Mix In Nutrition'!I:I,0)*_xlfn.XLOOKUP($L208,Specs!A:A,Specs!C:C,0)</f>
        <v>0</v>
      </c>
      <c r="Z208" s="34">
        <f t="shared" si="6"/>
        <v>0</v>
      </c>
      <c r="AA208" s="35">
        <f t="shared" si="7"/>
        <v>0</v>
      </c>
      <c r="AB208" s="36">
        <f>(($R208 / 240) * _xlfn.XLOOKUP($D208,'Milk Types Nutrition Per Cup'!A:A,'Milk Types Nutrition Per Cup'!B:B,0)) +(($S208 / 240)  * _xlfn.XLOOKUP($E208,'Milk Types Nutrition Per Cup'!A:A,'Milk Types Nutrition Per Cup'!B:B,0)) +(($T208 / 15)  * _xlfn.XLOOKUP($F208,'Liquid Mix In Nutrition'!A:A,'Liquid Mix In Nutrition'!B:B,0))+(($U208 / 15)  * _xlfn.XLOOKUP($G208,'Liquid Mix In Nutrition'!A:A,'Liquid Mix In Nutrition'!B:B,0))+(($V208 /MAX(1, _xlfn.XLOOKUP($H208,'Solid Mix In Nutrition'!A:A,'Solid Mix In Nutrition'!I:I,1)))  * _xlfn.XLOOKUP($H208,'Solid Mix In Nutrition'!A:A,'Solid Mix In Nutrition'!B:B,0))+(($W208 / MAX(1, _xlfn.XLOOKUP($I208,'Solid Mix In Nutrition'!A:A,'Solid Mix In Nutrition'!I:I,1))))+(($X208 / 100)  * _xlfn.XLOOKUP($J208,'Sweetener Mix In Nutrition'!A:A,'Sweetener Mix In Nutrition'!B:B,0))+(($Y208 / 100)  * _xlfn.XLOOKUP($K208,'Sweetener Mix In Nutrition'!A:A,'Sweetener Mix In Nutrition'!B:B,0))</f>
        <v>0</v>
      </c>
      <c r="AC208" s="36">
        <f>(($R208 / 240) * _xlfn.XLOOKUP($D208,'Milk Types Nutrition Per Cup'!A:A,'Milk Types Nutrition Per Cup'!E:E,0)) +(($S208 / 240)  * _xlfn.XLOOKUP($E208,'Milk Types Nutrition Per Cup'!A:A,'Milk Types Nutrition Per Cup'!E:E,0)) +(($T208 / 15)  * _xlfn.XLOOKUP($F208,'Liquid Mix In Nutrition'!A:A,'Liquid Mix In Nutrition'!E:E,0)) +(($U208 / 15)  * _xlfn.XLOOKUP($G208,'Liquid Mix In Nutrition'!A:A,'Liquid Mix In Nutrition'!E:E,0))+(($V208 / MAX(1, _xlfn.XLOOKUP($H208,'Solid Mix In Nutrition'!A:A,'Solid Mix In Nutrition'!I:I,1)))  * _xlfn.XLOOKUP($H208,'Solid Mix In Nutrition'!A:A,'Solid Mix In Nutrition'!E:E,0))+(($W208 / MAX(1, _xlfn.XLOOKUP($I208,'Solid Mix In Nutrition'!A:A,'Solid Mix In Nutrition'!I:I,1)))  * _xlfn.XLOOKUP($I208,'Solid Mix In Nutrition'!A:A,'Solid Mix In Nutrition'!G:G,0))+(($X208 / 100)  * _xlfn.XLOOKUP($J208,'Sweetener Mix In Nutrition'!A:A,'Sweetener Mix In Nutrition'!E:E,0))+(($Y208 / 100)  * _xlfn.XLOOKUP($K208,'Sweetener Mix In Nutrition'!A:A,'Sweetener Mix In Nutrition'!E:E,0))</f>
        <v>0</v>
      </c>
      <c r="AD208" s="36">
        <f>(($R208 / 240) * _xlfn.XLOOKUP($D208,'Milk Types Nutrition Per Cup'!A:A,'Milk Types Nutrition Per Cup'!E:E,0)) +(($S208 / 240)  * _xlfn.XLOOKUP($E208,'Milk Types Nutrition Per Cup'!A:A,'Milk Types Nutrition Per Cup'!E:E,0)) +(($T208 / 15)  * _xlfn.XLOOKUP($F208,'Liquid Mix In Nutrition'!A:A,'Liquid Mix In Nutrition'!E:E,0)) +(($U208 / 15)  * _xlfn.XLOOKUP($G208,'Liquid Mix In Nutrition'!A:A,'Liquid Mix In Nutrition'!E:E,0))+(($X208 / 100)  * _xlfn.XLOOKUP($J208,'Sweetener Mix In Nutrition'!A:A,'Sweetener Mix In Nutrition'!E:E,0))+(($Y208 / 100)  * _xlfn.XLOOKUP($K208,'Sweetener Mix In Nutrition'!A:A,'Sweetener Mix In Nutrition'!E:E,0))</f>
        <v>0</v>
      </c>
      <c r="AE208" s="37">
        <f>(($R208 / 240) * _xlfn.XLOOKUP($D208,'Milk Types Nutrition Per Cup'!A:A,'Milk Types Nutrition Per Cup'!C:C,0)) +(($S208 / 240)  * _xlfn.XLOOKUP($E208,'Milk Types Nutrition Per Cup'!A:A,'Milk Types Nutrition Per Cup'!C:C,0)) +(($T208 / 15)  * _xlfn.XLOOKUP($F208,'Liquid Mix In Nutrition'!A:A,'Liquid Mix In Nutrition'!C:C,0))+(($U208 / 15)  * _xlfn.XLOOKUP($G208,'Liquid Mix In Nutrition'!A:A,'Liquid Mix In Nutrition'!C:C,0))+(($V208 / MAX(1, _xlfn.XLOOKUP($H208,'Solid Mix In Nutrition'!A:A,'Solid Mix In Nutrition'!I:I,1)))  * _xlfn.XLOOKUP($H208,'Solid Mix In Nutrition'!A:A,'Solid Mix In Nutrition'!C:C,0))+(($W208 / MAX(1, _xlfn.XLOOKUP($I208,'Solid Mix In Nutrition'!A:A,'Solid Mix In Nutrition'!I:I,1)))  * _xlfn.XLOOKUP($I208,'Solid Mix In Nutrition'!A:A,'Solid Mix In Nutrition'!C:C,0))+(($X208 / 100)  * _xlfn.XLOOKUP($J208,'Sweetener Mix In Nutrition'!A:A,'Sweetener Mix In Nutrition'!C:C,0))+(($Y208 / 100)  * _xlfn.XLOOKUP($K208,'Sweetener Mix In Nutrition'!A:A,'Sweetener Mix In Nutrition'!C:C,0))</f>
        <v>0</v>
      </c>
      <c r="AF208" s="38" t="e">
        <f>$AE208 / (_xlfn.XLOOKUP($L208,Specs!A:A,Specs!B:B,0))</f>
        <v>#DIV/0!</v>
      </c>
      <c r="AG208" s="37" t="e">
        <f>60* ($AB208 / _xlfn.XLOOKUP($L208,Specs!A:A,Specs!B:B,0))</f>
        <v>#DIV/0!</v>
      </c>
      <c r="AH208" s="37" t="e">
        <f>60* (AC208 / _xlfn.XLOOKUP($L208,Specs!$A:$A,Specs!$B:$B,0))</f>
        <v>#DIV/0!</v>
      </c>
      <c r="AI208" s="37" t="e">
        <f>60* (AE208 / _xlfn.XLOOKUP($L208,Specs!$A:$A,Specs!$B:$B,0))</f>
        <v>#DIV/0!</v>
      </c>
      <c r="AJ208" s="39">
        <f>(($R208 / 240) * _xlfn.XLOOKUP($D208,'Milk Types Nutrition Per Cup'!A:A,'Milk Types Nutrition Per Cup'!F:F,0)) +(($S208 / 240)  * _xlfn.XLOOKUP($E208,'Milk Types Nutrition Per Cup'!A:A,'Milk Types Nutrition Per Cup'!F:F,0)) +(($T208 / 15)  * _xlfn.XLOOKUP($F208,'Liquid Mix In Nutrition'!A:A,'Liquid Mix In Nutrition'!F:F,0))+(($U208 / 15)  * _xlfn.XLOOKUP($G208,'Liquid Mix In Nutrition'!A:A,'Liquid Mix In Nutrition'!F:F,0))+(($V208 / MAX(1, _xlfn.XLOOKUP($H208,'Solid Mix In Nutrition'!A:A,'Solid Mix In Nutrition'!I:I,1)))  * _xlfn.XLOOKUP($H208,'Solid Mix In Nutrition'!A:A,'Solid Mix In Nutrition'!F:F,0))+(($W208 / MAX(1, _xlfn.XLOOKUP($I208,'Solid Mix In Nutrition'!A:A,'Solid Mix In Nutrition'!I:I,1)))  * _xlfn.XLOOKUP($I208,'Solid Mix In Nutrition'!A:A,'Solid Mix In Nutrition'!F:F,0))+(($X208 / 100)  * _xlfn.XLOOKUP($J208,'Sweetener Mix In Nutrition'!A:A,'Sweetener Mix In Nutrition'!F:F,0))+(($Y208 / 100)  * _xlfn.XLOOKUP($K208,'Sweetener Mix In Nutrition'!A:A,'Sweetener Mix In Nutrition'!F:F,0))</f>
        <v>0</v>
      </c>
      <c r="AK208" s="46">
        <f>[2]Sheet1!AG208</f>
        <v>0</v>
      </c>
      <c r="AL208" s="47"/>
      <c r="AM208" s="40">
        <f>IF(ISERROR(((AL208/Specs!$L$3)*Specs!$L$2)*2),0,ROUNDUP((((AL208/Specs!$L$3)*Specs!$L$2)*2),0))</f>
        <v>0</v>
      </c>
      <c r="AN208" s="48">
        <f>ROUNDUP(((AJ208+Specs!$R$2+Specs!$S$2+_xlfn.XLOOKUP($L208,Specs!A:A,Specs!V:V,0))*Specs!$N$2)+AM208,0)</f>
        <v>1</v>
      </c>
      <c r="AO208" s="40">
        <f>ROUNDUP(((AJ208+Specs!$R$2+Specs!$S$2+_xlfn.XLOOKUP($L208,Specs!A:A,Specs!V:V,0))*Specs!$N$2),0)</f>
        <v>1</v>
      </c>
      <c r="AP208" s="30"/>
    </row>
    <row r="209" spans="1:42" x14ac:dyDescent="0.25">
      <c r="A209" s="41" t="str">
        <f>_xlfn.CONCAT(_xlfn.XLOOKUP("What's Your Name?",[1]Sheet1!$1:$1,[1]Sheet1!209:209)," | ",TEXT(_xlfn.XLOOKUP("Completion time",[1]Sheet1!$1:$1,[1]Sheet1!209:209),"dddd, mmm dd, yyyy hh:mm AM/PM"))</f>
        <v xml:space="preserve"> | Saturday, Jan 00, 1900 12:00 AM</v>
      </c>
      <c r="B209" s="76">
        <f>_xlfn.XLOOKUP("What's Your Email Address?",[1]Sheet1!$1:$1,[1]Sheet1!209:209)</f>
        <v>0</v>
      </c>
      <c r="C209" s="31">
        <f>IF(ISBLANK(_xlfn.XLOOKUP("Which Flavor? (Pint Price | Quart Price | Half Gallon Price) (NOTE: Prices may fluctuate based on market conditions)",[1]Sheet1!$1:$1,[1]Sheet1!209:209)),_xlfn.XLOOKUP("Name Your Ice Cream!",[1]Sheet1!$1:$1,[1]Sheet1!209:209),IF(ISNUMBER(FIND("(", _xlfn.XLOOKUP("Which Flavor? (Pint Price | Quart Price | Half Gallon Price) (NOTE: Prices may fluctuate based on market conditions)",[1]Sheet1!$1:$1,[1]Sheet1!209:209))), LEFT(_xlfn.XLOOKUP("Which Flavor? (Pint Price | Quart Price | Half Gallon Price) (NOTE: Prices may fluctuate based on market conditions)",[1]Sheet1!$1:$1,[1]Sheet1!209:209), FIND("(", _xlfn.XLOOKUP("Which Flavor? (Pint Price | Quart Price | Half Gallon Price) (NOTE: Prices may fluctuate based on market conditions)",[1]Sheet1!$1:$1,[1]Sheet1!209:209)) - 1), _xlfn.XLOOKUP("Which Flavor? (Pint Price | Quart Price | Half Gallon Price) (NOTE: Prices may fluctuate based on market conditions)",[1]Sheet1!$1:$1,[1]Sheet1!209:209)))</f>
        <v>0</v>
      </c>
      <c r="D209" s="31">
        <f>IF(COUNTIF('Premade Flavors'!$A:$A, $C209) &gt; 0,IF(ISBLANK(_xlfn.XLOOKUP("What Ice Cream Base Do You Want To Change It To?",[1]Sheet1!$1:$1,[1]Sheet1!209:209)),_xlfn.XLOOKUP($C209,'Premade Flavors'!$A:$A,'Premade Flavors'!B:B),_xlfn.XLOOKUP("What Ice Cream Base Do You Want To Change It To?",[1]Sheet1!$1:$1,[1]Sheet1!209:209)),_xlfn.XLOOKUP(_xlfn.XLOOKUP("What Kind Of Ice Cream Base Do You Want? ",[1]Sheet1!$1:$1,[1]Sheet1!209:209),'Milk Types Nutrition Per Cup'!O:O,'Milk Types Nutrition Per Cup'!P:P,""))</f>
        <v>0</v>
      </c>
      <c r="E209" s="31">
        <f>IF(COUNTIF('Premade Flavors'!$A:$A, $C209) &gt; 0,IF(ISBLANK(_xlfn.XLOOKUP("What Ice Cream Base Do You Want To Change It To?",[1]Sheet1!$1:$1,[1]Sheet1!209:209)),_xlfn.XLOOKUP($C209,'Premade Flavors'!$A:$A,'Premade Flavors'!C:C),_xlfn.XLOOKUP("What Ice Cream Base Do You Want To Change It To?",[1]Sheet1!$1:$1,[1]Sheet1!209:209)),_xlfn.XLOOKUP(_xlfn.XLOOKUP("What Kind Of Ice Cream Base Do You Want? ",[1]Sheet1!$1:$1,[1]Sheet1!209:209),'Milk Types Nutrition Per Cup'!$O:$O,'Milk Types Nutrition Per Cup'!$Q:$Q,""))</f>
        <v>0</v>
      </c>
      <c r="F209" s="31">
        <f>IF(COUNTIF('Premade Flavors'!$A:$A, $C209) &gt; 0,_xlfn.XLOOKUP($C209,'Premade Flavors'!$A:$A,'Premade Flavors'!E:E),_xlfn.XLOOKUP("What's The First Flavor You Want? ",[1]Sheet1!$1:$1,[1]Sheet1!209:209))</f>
        <v>0</v>
      </c>
      <c r="G209" s="31">
        <f>IF(COUNTIF('Premade Flavors'!$A:$A, $C209) &gt; 0,_xlfn.XLOOKUP($C209,'Premade Flavors'!$A:$A,'Premade Flavors'!F:F),_xlfn.XLOOKUP("What's the Second Flavor You Want?",[1]Sheet1!$1:$1,[1]Sheet1!209:209))</f>
        <v>0</v>
      </c>
      <c r="H209" s="31">
        <f>IF(COUNTIF('Premade Flavors'!$A:$A, $C209) &gt; 0,_xlfn.XLOOKUP($C209,'Premade Flavors'!$A:$A,'Premade Flavors'!G:G),_xlfn.XLOOKUP("What's The First Mix In That You Want? ",[1]Sheet1!$1:$1,[1]Sheet1!209:209))</f>
        <v>0</v>
      </c>
      <c r="I209" s="31">
        <f>IF(COUNTIF('Premade Flavors'!$A:$A, $C207) &gt; 0,_xlfn.XLOOKUP($C207,'Premade Flavors'!$A:$A,'Premade Flavors'!H:H),IF([2]Sheet1!W207= 0,,[2]Sheet1!W207))</f>
        <v>0</v>
      </c>
      <c r="J209" s="31">
        <f>IF(COUNTIF('Premade Flavors'!$A:$A,$C209)&gt;0,IF(_xlfn.XLOOKUP("Should It Use Sugar or A Non-Sugar Sweetner?",[1]Sheet1!$1:$1,[1]Sheet1!209:209)="Sugar",_xlfn.XLOOKUP($C209,'Premade Flavors'!$A:$A,'Premade Flavors'!I:I),"Stevia"),_xlfn.XLOOKUP("What Sweetner Do You Want?",[1]Sheet1!$1:$1,[1]Sheet1!209:209))</f>
        <v>0</v>
      </c>
      <c r="K209" s="31"/>
      <c r="L209" s="77">
        <f>_xlfn.XLOOKUP("How Much Ice Cream Do You Want?",[1]Sheet1!$1:$1,[1]Sheet1!209:209)</f>
        <v>0</v>
      </c>
      <c r="M209" s="45">
        <f>IF(COUNTIF('Premade Flavors'!$A:$A, $C209) &gt; 0,_xlfn.XLOOKUP($C209,'Premade Flavors'!$A:$A,'Premade Flavors'!M:M),_xlfn.XLOOKUP("How Strong Do You Want The First Flavor?",[1]Sheet1!$1:$1,[1]Sheet1!209:209))</f>
        <v>0</v>
      </c>
      <c r="N209" s="45">
        <f>IF(COUNTIF('Premade Flavors'!$A:$A, $C209) &gt; 0,_xlfn.XLOOKUP($C209,'Premade Flavors'!$A:$A,'Premade Flavors'!N:N),_xlfn.XLOOKUP("How Strong Do You Want The Second Flavor?",[1]Sheet1!$1:$1,[1]Sheet1!209:209))</f>
        <v>0</v>
      </c>
      <c r="O209" s="45">
        <f>IF(COUNTIF('Premade Flavors'!$A:$A, $C209) &gt; 0,_xlfn.XLOOKUP($C209,'Premade Flavors'!$A:$A,'Premade Flavors'!O:O),_xlfn.XLOOKUP("How Dense Should the Mix Ins Be?",[1]Sheet1!$1:$1,[1]Sheet1!209:209))</f>
        <v>0</v>
      </c>
      <c r="P209" s="45">
        <f>IF(COUNTIF('Premade Flavors'!$A:$A, $C209) &gt; 0,_xlfn.XLOOKUP($C209,'Premade Flavors'!$A:$A,'Premade Flavors'!P:P),_xlfn.XLOOKUP("How Much Of The First Sweetner? ",[1]Sheet1!$1:$1,[1]Sheet1!209:209))</f>
        <v>0</v>
      </c>
      <c r="Q209" s="45">
        <f>IF(COUNTIF('Premade Flavors'!$A:$A, $C209) &gt; 0,_xlfn.XLOOKUP($C209,'Premade Flavors'!$A:$A,'Premade Flavors'!Q:Q),[2]Sheet1!S209)</f>
        <v>0</v>
      </c>
      <c r="R209" s="30">
        <f>(_xlfn.XLOOKUP($L209,Specs!A:A,Specs!B:B,0)-(IF(_xlfn.XLOOKUP($F209,'Liquid Mix In Nutrition'!A:A,'Liquid Mix In Nutrition'!J:J,0)="Yes",0,$T209))-(IF(_xlfn.XLOOKUP($G209,'Liquid Mix In Nutrition'!A:A,'Liquid Mix In Nutrition'!J:J,0)="Yes",0,$U209))-(($V209/MAX(1,_xlfn.XLOOKUP($H209,'Solid Mix In Nutrition'!A:A,'Solid Mix In Nutrition'!I:I,1)))*240)-(($W209/MAX(1,_xlfn.XLOOKUP($I209,'Solid Mix In Nutrition'!A:A,'Solid Mix In Nutrition'!I:I,1)))*240))*0.66</f>
        <v>0</v>
      </c>
      <c r="S209" s="30">
        <f>(_xlfn.XLOOKUP($L209,Specs!A:A,Specs!B:B,0)-(IF(_xlfn.XLOOKUP($F209,'Liquid Mix In Nutrition'!A:A,'Liquid Mix In Nutrition'!J:J,0)="Yes",0,$T209))-(IF(_xlfn.XLOOKUP($G209,'Liquid Mix In Nutrition'!A:A,'Liquid Mix In Nutrition'!J:J,0)="Yes",0,$U209))-(($V209/MAX(1,_xlfn.XLOOKUP($H209,'Solid Mix In Nutrition'!A:A,'Solid Mix In Nutrition'!I:I,1)))*240)-(($W209/MAX(1,_xlfn.XLOOKUP($I209,'Solid Mix In Nutrition'!A:A,'Solid Mix In Nutrition'!I:I,1)))*240))*0.33</f>
        <v>0</v>
      </c>
      <c r="T209" s="30">
        <f>_xlfn.XLOOKUP($M209,Specs!$D:$D,Specs!$E:$E,0)*15*_xlfn.XLOOKUP($L209,Specs!$A:$A,Specs!$C:$C,0)</f>
        <v>0</v>
      </c>
      <c r="U209" s="30">
        <f>_xlfn.XLOOKUP($N209,Specs!$D:$D,Specs!$E:$E,0)*15*_xlfn.XLOOKUP($L209,Specs!$A:$A,Specs!$C:$C,0)</f>
        <v>0</v>
      </c>
      <c r="V209" s="30">
        <f>( ((_xlfn.XLOOKUP($O209,Specs!$H:$H,Specs!$I:$I,0)*_xlfn.XLOOKUP($L209,Specs!$A:$A,Specs!$B:$B,0))/240) *_xlfn.XLOOKUP($H209,'Solid Mix In Nutrition'!A:A,'Solid Mix In Nutrition'!I:I,0)) *IF(AND(NOT($I209=0), COUNTA($I209)),0.5,1)</f>
        <v>0</v>
      </c>
      <c r="W209" s="30">
        <f>( ((_xlfn.XLOOKUP($O209,Specs!$H:$H,Specs!$I:$I,0)*_xlfn.XLOOKUP($L209,Specs!$A:$A,Specs!$B:$B,0))/240) *_xlfn.XLOOKUP($I209,'Solid Mix In Nutrition'!A:A,'Solid Mix In Nutrition'!I:I,0)) *IF(AND(NOT($I209=0), COUNTA($I209)),0.5,0)</f>
        <v>0</v>
      </c>
      <c r="X209" s="30">
        <f>_xlfn.XLOOKUP($P209,Specs!F:F,Specs!G:G,0)*_xlfn.XLOOKUP($J209,'Sweetener Mix In Nutrition'!A:A,'Sweetener Mix In Nutrition'!I:I,0)*_xlfn.XLOOKUP($L209,Specs!A:A,Specs!C:C,0)</f>
        <v>0</v>
      </c>
      <c r="Y209" s="30">
        <f>_xlfn.XLOOKUP($Q209,Specs!F:F,Specs!G:G,0)*_xlfn.XLOOKUP($K209,'Sweetener Mix In Nutrition'!A:A,'Sweetener Mix In Nutrition'!I:I,0)*_xlfn.XLOOKUP($L209,Specs!A:A,Specs!C:C,0)</f>
        <v>0</v>
      </c>
      <c r="Z209" s="34">
        <f t="shared" si="6"/>
        <v>0</v>
      </c>
      <c r="AA209" s="35">
        <f t="shared" si="7"/>
        <v>0</v>
      </c>
      <c r="AB209" s="36">
        <f>(($R209 / 240) * _xlfn.XLOOKUP($D209,'Milk Types Nutrition Per Cup'!A:A,'Milk Types Nutrition Per Cup'!B:B,0)) +(($S209 / 240)  * _xlfn.XLOOKUP($E209,'Milk Types Nutrition Per Cup'!A:A,'Milk Types Nutrition Per Cup'!B:B,0)) +(($T209 / 15)  * _xlfn.XLOOKUP($F209,'Liquid Mix In Nutrition'!A:A,'Liquid Mix In Nutrition'!B:B,0))+(($U209 / 15)  * _xlfn.XLOOKUP($G209,'Liquid Mix In Nutrition'!A:A,'Liquid Mix In Nutrition'!B:B,0))+(($V209 /MAX(1, _xlfn.XLOOKUP($H209,'Solid Mix In Nutrition'!A:A,'Solid Mix In Nutrition'!I:I,1)))  * _xlfn.XLOOKUP($H209,'Solid Mix In Nutrition'!A:A,'Solid Mix In Nutrition'!B:B,0))+(($W209 / MAX(1, _xlfn.XLOOKUP($I209,'Solid Mix In Nutrition'!A:A,'Solid Mix In Nutrition'!I:I,1))))+(($X209 / 100)  * _xlfn.XLOOKUP($J209,'Sweetener Mix In Nutrition'!A:A,'Sweetener Mix In Nutrition'!B:B,0))+(($Y209 / 100)  * _xlfn.XLOOKUP($K209,'Sweetener Mix In Nutrition'!A:A,'Sweetener Mix In Nutrition'!B:B,0))</f>
        <v>0</v>
      </c>
      <c r="AC209" s="36">
        <f>(($R209 / 240) * _xlfn.XLOOKUP($D209,'Milk Types Nutrition Per Cup'!A:A,'Milk Types Nutrition Per Cup'!E:E,0)) +(($S209 / 240)  * _xlfn.XLOOKUP($E209,'Milk Types Nutrition Per Cup'!A:A,'Milk Types Nutrition Per Cup'!E:E,0)) +(($T209 / 15)  * _xlfn.XLOOKUP($F209,'Liquid Mix In Nutrition'!A:A,'Liquid Mix In Nutrition'!E:E,0)) +(($U209 / 15)  * _xlfn.XLOOKUP($G209,'Liquid Mix In Nutrition'!A:A,'Liquid Mix In Nutrition'!E:E,0))+(($V209 / MAX(1, _xlfn.XLOOKUP($H209,'Solid Mix In Nutrition'!A:A,'Solid Mix In Nutrition'!I:I,1)))  * _xlfn.XLOOKUP($H209,'Solid Mix In Nutrition'!A:A,'Solid Mix In Nutrition'!E:E,0))+(($W209 / MAX(1, _xlfn.XLOOKUP($I209,'Solid Mix In Nutrition'!A:A,'Solid Mix In Nutrition'!I:I,1)))  * _xlfn.XLOOKUP($I209,'Solid Mix In Nutrition'!A:A,'Solid Mix In Nutrition'!G:G,0))+(($X209 / 100)  * _xlfn.XLOOKUP($J209,'Sweetener Mix In Nutrition'!A:A,'Sweetener Mix In Nutrition'!E:E,0))+(($Y209 / 100)  * _xlfn.XLOOKUP($K209,'Sweetener Mix In Nutrition'!A:A,'Sweetener Mix In Nutrition'!E:E,0))</f>
        <v>0</v>
      </c>
      <c r="AD209" s="36">
        <f>(($R209 / 240) * _xlfn.XLOOKUP($D209,'Milk Types Nutrition Per Cup'!A:A,'Milk Types Nutrition Per Cup'!E:E,0)) +(($S209 / 240)  * _xlfn.XLOOKUP($E209,'Milk Types Nutrition Per Cup'!A:A,'Milk Types Nutrition Per Cup'!E:E,0)) +(($T209 / 15)  * _xlfn.XLOOKUP($F209,'Liquid Mix In Nutrition'!A:A,'Liquid Mix In Nutrition'!E:E,0)) +(($U209 / 15)  * _xlfn.XLOOKUP($G209,'Liquid Mix In Nutrition'!A:A,'Liquid Mix In Nutrition'!E:E,0))+(($X209 / 100)  * _xlfn.XLOOKUP($J209,'Sweetener Mix In Nutrition'!A:A,'Sweetener Mix In Nutrition'!E:E,0))+(($Y209 / 100)  * _xlfn.XLOOKUP($K209,'Sweetener Mix In Nutrition'!A:A,'Sweetener Mix In Nutrition'!E:E,0))</f>
        <v>0</v>
      </c>
      <c r="AE209" s="37">
        <f>(($R209 / 240) * _xlfn.XLOOKUP($D209,'Milk Types Nutrition Per Cup'!A:A,'Milk Types Nutrition Per Cup'!C:C,0)) +(($S209 / 240)  * _xlfn.XLOOKUP($E209,'Milk Types Nutrition Per Cup'!A:A,'Milk Types Nutrition Per Cup'!C:C,0)) +(($T209 / 15)  * _xlfn.XLOOKUP($F209,'Liquid Mix In Nutrition'!A:A,'Liquid Mix In Nutrition'!C:C,0))+(($U209 / 15)  * _xlfn.XLOOKUP($G209,'Liquid Mix In Nutrition'!A:A,'Liquid Mix In Nutrition'!C:C,0))+(($V209 / MAX(1, _xlfn.XLOOKUP($H209,'Solid Mix In Nutrition'!A:A,'Solid Mix In Nutrition'!I:I,1)))  * _xlfn.XLOOKUP($H209,'Solid Mix In Nutrition'!A:A,'Solid Mix In Nutrition'!C:C,0))+(($W209 / MAX(1, _xlfn.XLOOKUP($I209,'Solid Mix In Nutrition'!A:A,'Solid Mix In Nutrition'!I:I,1)))  * _xlfn.XLOOKUP($I209,'Solid Mix In Nutrition'!A:A,'Solid Mix In Nutrition'!C:C,0))+(($X209 / 100)  * _xlfn.XLOOKUP($J209,'Sweetener Mix In Nutrition'!A:A,'Sweetener Mix In Nutrition'!C:C,0))+(($Y209 / 100)  * _xlfn.XLOOKUP($K209,'Sweetener Mix In Nutrition'!A:A,'Sweetener Mix In Nutrition'!C:C,0))</f>
        <v>0</v>
      </c>
      <c r="AF209" s="38" t="e">
        <f>$AE209 / (_xlfn.XLOOKUP($L209,Specs!A:A,Specs!B:B,0))</f>
        <v>#DIV/0!</v>
      </c>
      <c r="AG209" s="37" t="e">
        <f>60* ($AB209 / _xlfn.XLOOKUP($L209,Specs!A:A,Specs!B:B,0))</f>
        <v>#DIV/0!</v>
      </c>
      <c r="AH209" s="37" t="e">
        <f>60* (AC209 / _xlfn.XLOOKUP($L209,Specs!$A:$A,Specs!$B:$B,0))</f>
        <v>#DIV/0!</v>
      </c>
      <c r="AI209" s="37" t="e">
        <f>60* (AE209 / _xlfn.XLOOKUP($L209,Specs!$A:$A,Specs!$B:$B,0))</f>
        <v>#DIV/0!</v>
      </c>
      <c r="AJ209" s="39">
        <f>(($R209 / 240) * _xlfn.XLOOKUP($D209,'Milk Types Nutrition Per Cup'!A:A,'Milk Types Nutrition Per Cup'!F:F,0)) +(($S209 / 240)  * _xlfn.XLOOKUP($E209,'Milk Types Nutrition Per Cup'!A:A,'Milk Types Nutrition Per Cup'!F:F,0)) +(($T209 / 15)  * _xlfn.XLOOKUP($F209,'Liquid Mix In Nutrition'!A:A,'Liquid Mix In Nutrition'!F:F,0))+(($U209 / 15)  * _xlfn.XLOOKUP($G209,'Liquid Mix In Nutrition'!A:A,'Liquid Mix In Nutrition'!F:F,0))+(($V209 / MAX(1, _xlfn.XLOOKUP($H209,'Solid Mix In Nutrition'!A:A,'Solid Mix In Nutrition'!I:I,1)))  * _xlfn.XLOOKUP($H209,'Solid Mix In Nutrition'!A:A,'Solid Mix In Nutrition'!F:F,0))+(($W209 / MAX(1, _xlfn.XLOOKUP($I209,'Solid Mix In Nutrition'!A:A,'Solid Mix In Nutrition'!I:I,1)))  * _xlfn.XLOOKUP($I209,'Solid Mix In Nutrition'!A:A,'Solid Mix In Nutrition'!F:F,0))+(($X209 / 100)  * _xlfn.XLOOKUP($J209,'Sweetener Mix In Nutrition'!A:A,'Sweetener Mix In Nutrition'!F:F,0))+(($Y209 / 100)  * _xlfn.XLOOKUP($K209,'Sweetener Mix In Nutrition'!A:A,'Sweetener Mix In Nutrition'!F:F,0))</f>
        <v>0</v>
      </c>
      <c r="AK209" s="46">
        <f>[2]Sheet1!AG209</f>
        <v>0</v>
      </c>
      <c r="AL209" s="47"/>
      <c r="AM209" s="40">
        <f>IF(ISERROR(((AL209/Specs!$L$3)*Specs!$L$2)*2),0,ROUNDUP((((AL209/Specs!$L$3)*Specs!$L$2)*2),0))</f>
        <v>0</v>
      </c>
      <c r="AN209" s="48">
        <f>ROUNDUP(((AJ209+Specs!$R$2+Specs!$S$2+_xlfn.XLOOKUP($L209,Specs!A:A,Specs!V:V,0))*Specs!$N$2)+AM209,0)</f>
        <v>1</v>
      </c>
      <c r="AO209" s="40">
        <f>ROUNDUP(((AJ209+Specs!$R$2+Specs!$S$2+_xlfn.XLOOKUP($L209,Specs!A:A,Specs!V:V,0))*Specs!$N$2),0)</f>
        <v>1</v>
      </c>
      <c r="AP209" s="30"/>
    </row>
    <row r="210" spans="1:42" x14ac:dyDescent="0.25">
      <c r="A210" s="41" t="str">
        <f>_xlfn.CONCAT(_xlfn.XLOOKUP("What's Your Name?",[1]Sheet1!$1:$1,[1]Sheet1!210:210)," | ",TEXT(_xlfn.XLOOKUP("Completion time",[1]Sheet1!$1:$1,[1]Sheet1!210:210),"dddd, mmm dd, yyyy hh:mm AM/PM"))</f>
        <v xml:space="preserve"> | Saturday, Jan 00, 1900 12:00 AM</v>
      </c>
      <c r="B210" s="76">
        <f>_xlfn.XLOOKUP("What's Your Email Address?",[1]Sheet1!$1:$1,[1]Sheet1!210:210)</f>
        <v>0</v>
      </c>
      <c r="C210" s="31">
        <f>IF(ISBLANK(_xlfn.XLOOKUP("Which Flavor? (Pint Price | Quart Price | Half Gallon Price) (NOTE: Prices may fluctuate based on market conditions)",[1]Sheet1!$1:$1,[1]Sheet1!210:210)),_xlfn.XLOOKUP("Name Your Ice Cream!",[1]Sheet1!$1:$1,[1]Sheet1!210:210),IF(ISNUMBER(FIND("(", _xlfn.XLOOKUP("Which Flavor? (Pint Price | Quart Price | Half Gallon Price) (NOTE: Prices may fluctuate based on market conditions)",[1]Sheet1!$1:$1,[1]Sheet1!210:210))), LEFT(_xlfn.XLOOKUP("Which Flavor? (Pint Price | Quart Price | Half Gallon Price) (NOTE: Prices may fluctuate based on market conditions)",[1]Sheet1!$1:$1,[1]Sheet1!210:210), FIND("(", _xlfn.XLOOKUP("Which Flavor? (Pint Price | Quart Price | Half Gallon Price) (NOTE: Prices may fluctuate based on market conditions)",[1]Sheet1!$1:$1,[1]Sheet1!210:210)) - 1), _xlfn.XLOOKUP("Which Flavor? (Pint Price | Quart Price | Half Gallon Price) (NOTE: Prices may fluctuate based on market conditions)",[1]Sheet1!$1:$1,[1]Sheet1!210:210)))</f>
        <v>0</v>
      </c>
      <c r="D210" s="31">
        <f>IF(COUNTIF('Premade Flavors'!$A:$A, $C210) &gt; 0,IF(ISBLANK(_xlfn.XLOOKUP("What Ice Cream Base Do You Want To Change It To?",[1]Sheet1!$1:$1,[1]Sheet1!210:210)),_xlfn.XLOOKUP($C210,'Premade Flavors'!$A:$A,'Premade Flavors'!B:B),_xlfn.XLOOKUP("What Ice Cream Base Do You Want To Change It To?",[1]Sheet1!$1:$1,[1]Sheet1!210:210)),_xlfn.XLOOKUP(_xlfn.XLOOKUP("What Kind Of Ice Cream Base Do You Want? ",[1]Sheet1!$1:$1,[1]Sheet1!210:210),'Milk Types Nutrition Per Cup'!O:O,'Milk Types Nutrition Per Cup'!P:P,""))</f>
        <v>0</v>
      </c>
      <c r="E210" s="31">
        <f>IF(COUNTIF('Premade Flavors'!$A:$A, $C210) &gt; 0,IF(ISBLANK(_xlfn.XLOOKUP("What Ice Cream Base Do You Want To Change It To?",[1]Sheet1!$1:$1,[1]Sheet1!210:210)),_xlfn.XLOOKUP($C210,'Premade Flavors'!$A:$A,'Premade Flavors'!C:C),_xlfn.XLOOKUP("What Ice Cream Base Do You Want To Change It To?",[1]Sheet1!$1:$1,[1]Sheet1!210:210)),_xlfn.XLOOKUP(_xlfn.XLOOKUP("What Kind Of Ice Cream Base Do You Want? ",[1]Sheet1!$1:$1,[1]Sheet1!210:210),'Milk Types Nutrition Per Cup'!$O:$O,'Milk Types Nutrition Per Cup'!$Q:$Q,""))</f>
        <v>0</v>
      </c>
      <c r="F210" s="31">
        <f>IF(COUNTIF('Premade Flavors'!$A:$A, $C210) &gt; 0,_xlfn.XLOOKUP($C210,'Premade Flavors'!$A:$A,'Premade Flavors'!E:E),_xlfn.XLOOKUP("What's The First Flavor You Want? ",[1]Sheet1!$1:$1,[1]Sheet1!210:210))</f>
        <v>0</v>
      </c>
      <c r="G210" s="31">
        <f>IF(COUNTIF('Premade Flavors'!$A:$A, $C210) &gt; 0,_xlfn.XLOOKUP($C210,'Premade Flavors'!$A:$A,'Premade Flavors'!F:F),_xlfn.XLOOKUP("What's the Second Flavor You Want?",[1]Sheet1!$1:$1,[1]Sheet1!210:210))</f>
        <v>0</v>
      </c>
      <c r="H210" s="31">
        <f>IF(COUNTIF('Premade Flavors'!$A:$A, $C210) &gt; 0,_xlfn.XLOOKUP($C210,'Premade Flavors'!$A:$A,'Premade Flavors'!G:G),_xlfn.XLOOKUP("What's The First Mix In That You Want? ",[1]Sheet1!$1:$1,[1]Sheet1!210:210))</f>
        <v>0</v>
      </c>
      <c r="I210" s="31">
        <f>IF(COUNTIF('Premade Flavors'!$A:$A, $C208) &gt; 0,_xlfn.XLOOKUP($C208,'Premade Flavors'!$A:$A,'Premade Flavors'!H:H),IF([2]Sheet1!W208= 0,,[2]Sheet1!W208))</f>
        <v>0</v>
      </c>
      <c r="J210" s="31">
        <f>IF(COUNTIF('Premade Flavors'!$A:$A,$C210)&gt;0,IF(_xlfn.XLOOKUP("Should It Use Sugar or A Non-Sugar Sweetner?",[1]Sheet1!$1:$1,[1]Sheet1!210:210)="Sugar",_xlfn.XLOOKUP($C210,'Premade Flavors'!$A:$A,'Premade Flavors'!I:I),"Stevia"),_xlfn.XLOOKUP("What Sweetner Do You Want?",[1]Sheet1!$1:$1,[1]Sheet1!210:210))</f>
        <v>0</v>
      </c>
      <c r="K210" s="31"/>
      <c r="L210" s="77">
        <f>_xlfn.XLOOKUP("How Much Ice Cream Do You Want?",[1]Sheet1!$1:$1,[1]Sheet1!210:210)</f>
        <v>0</v>
      </c>
      <c r="M210" s="45">
        <f>IF(COUNTIF('Premade Flavors'!$A:$A, $C210) &gt; 0,_xlfn.XLOOKUP($C210,'Premade Flavors'!$A:$A,'Premade Flavors'!M:M),_xlfn.XLOOKUP("How Strong Do You Want The First Flavor?",[1]Sheet1!$1:$1,[1]Sheet1!210:210))</f>
        <v>0</v>
      </c>
      <c r="N210" s="45">
        <f>IF(COUNTIF('Premade Flavors'!$A:$A, $C210) &gt; 0,_xlfn.XLOOKUP($C210,'Premade Flavors'!$A:$A,'Premade Flavors'!N:N),_xlfn.XLOOKUP("How Strong Do You Want The Second Flavor?",[1]Sheet1!$1:$1,[1]Sheet1!210:210))</f>
        <v>0</v>
      </c>
      <c r="O210" s="45">
        <f>IF(COUNTIF('Premade Flavors'!$A:$A, $C210) &gt; 0,_xlfn.XLOOKUP($C210,'Premade Flavors'!$A:$A,'Premade Flavors'!O:O),_xlfn.XLOOKUP("How Dense Should the Mix Ins Be?",[1]Sheet1!$1:$1,[1]Sheet1!210:210))</f>
        <v>0</v>
      </c>
      <c r="P210" s="45">
        <f>IF(COUNTIF('Premade Flavors'!$A:$A, $C210) &gt; 0,_xlfn.XLOOKUP($C210,'Premade Flavors'!$A:$A,'Premade Flavors'!P:P),_xlfn.XLOOKUP("How Much Of The First Sweetner? ",[1]Sheet1!$1:$1,[1]Sheet1!210:210))</f>
        <v>0</v>
      </c>
      <c r="Q210" s="45">
        <f>IF(COUNTIF('Premade Flavors'!$A:$A, $C210) &gt; 0,_xlfn.XLOOKUP($C210,'Premade Flavors'!$A:$A,'Premade Flavors'!Q:Q),[2]Sheet1!S210)</f>
        <v>0</v>
      </c>
      <c r="R210" s="30">
        <f>(_xlfn.XLOOKUP($L210,Specs!A:A,Specs!B:B,0)-(IF(_xlfn.XLOOKUP($F210,'Liquid Mix In Nutrition'!A:A,'Liquid Mix In Nutrition'!J:J,0)="Yes",0,$T210))-(IF(_xlfn.XLOOKUP($G210,'Liquid Mix In Nutrition'!A:A,'Liquid Mix In Nutrition'!J:J,0)="Yes",0,$U210))-(($V210/MAX(1,_xlfn.XLOOKUP($H210,'Solid Mix In Nutrition'!A:A,'Solid Mix In Nutrition'!I:I,1)))*240)-(($W210/MAX(1,_xlfn.XLOOKUP($I210,'Solid Mix In Nutrition'!A:A,'Solid Mix In Nutrition'!I:I,1)))*240))*0.66</f>
        <v>0</v>
      </c>
      <c r="S210" s="30">
        <f>(_xlfn.XLOOKUP($L210,Specs!A:A,Specs!B:B,0)-(IF(_xlfn.XLOOKUP($F210,'Liquid Mix In Nutrition'!A:A,'Liquid Mix In Nutrition'!J:J,0)="Yes",0,$T210))-(IF(_xlfn.XLOOKUP($G210,'Liquid Mix In Nutrition'!A:A,'Liquid Mix In Nutrition'!J:J,0)="Yes",0,$U210))-(($V210/MAX(1,_xlfn.XLOOKUP($H210,'Solid Mix In Nutrition'!A:A,'Solid Mix In Nutrition'!I:I,1)))*240)-(($W210/MAX(1,_xlfn.XLOOKUP($I210,'Solid Mix In Nutrition'!A:A,'Solid Mix In Nutrition'!I:I,1)))*240))*0.33</f>
        <v>0</v>
      </c>
      <c r="T210" s="30">
        <f>_xlfn.XLOOKUP($M210,Specs!$D:$D,Specs!$E:$E,0)*15*_xlfn.XLOOKUP($L210,Specs!$A:$A,Specs!$C:$C,0)</f>
        <v>0</v>
      </c>
      <c r="U210" s="30">
        <f>_xlfn.XLOOKUP($N210,Specs!$D:$D,Specs!$E:$E,0)*15*_xlfn.XLOOKUP($L210,Specs!$A:$A,Specs!$C:$C,0)</f>
        <v>0</v>
      </c>
      <c r="V210" s="30">
        <f>( ((_xlfn.XLOOKUP($O210,Specs!$H:$H,Specs!$I:$I,0)*_xlfn.XLOOKUP($L210,Specs!$A:$A,Specs!$B:$B,0))/240) *_xlfn.XLOOKUP($H210,'Solid Mix In Nutrition'!A:A,'Solid Mix In Nutrition'!I:I,0)) *IF(AND(NOT($I210=0), COUNTA($I210)),0.5,1)</f>
        <v>0</v>
      </c>
      <c r="W210" s="30">
        <f>( ((_xlfn.XLOOKUP($O210,Specs!$H:$H,Specs!$I:$I,0)*_xlfn.XLOOKUP($L210,Specs!$A:$A,Specs!$B:$B,0))/240) *_xlfn.XLOOKUP($I210,'Solid Mix In Nutrition'!A:A,'Solid Mix In Nutrition'!I:I,0)) *IF(AND(NOT($I210=0), COUNTA($I210)),0.5,0)</f>
        <v>0</v>
      </c>
      <c r="X210" s="30">
        <f>_xlfn.XLOOKUP($P210,Specs!F:F,Specs!G:G,0)*_xlfn.XLOOKUP($J210,'Sweetener Mix In Nutrition'!A:A,'Sweetener Mix In Nutrition'!I:I,0)*_xlfn.XLOOKUP($L210,Specs!A:A,Specs!C:C,0)</f>
        <v>0</v>
      </c>
      <c r="Y210" s="30">
        <f>_xlfn.XLOOKUP($Q210,Specs!F:F,Specs!G:G,0)*_xlfn.XLOOKUP($K210,'Sweetener Mix In Nutrition'!A:A,'Sweetener Mix In Nutrition'!I:I,0)*_xlfn.XLOOKUP($L210,Specs!A:A,Specs!C:C,0)</f>
        <v>0</v>
      </c>
      <c r="Z210" s="34">
        <f t="shared" si="6"/>
        <v>0</v>
      </c>
      <c r="AA210" s="35">
        <f t="shared" si="7"/>
        <v>0</v>
      </c>
      <c r="AB210" s="36">
        <f>(($R210 / 240) * _xlfn.XLOOKUP($D210,'Milk Types Nutrition Per Cup'!A:A,'Milk Types Nutrition Per Cup'!B:B,0)) +(($S210 / 240)  * _xlfn.XLOOKUP($E210,'Milk Types Nutrition Per Cup'!A:A,'Milk Types Nutrition Per Cup'!B:B,0)) +(($T210 / 15)  * _xlfn.XLOOKUP($F210,'Liquid Mix In Nutrition'!A:A,'Liquid Mix In Nutrition'!B:B,0))+(($U210 / 15)  * _xlfn.XLOOKUP($G210,'Liquid Mix In Nutrition'!A:A,'Liquid Mix In Nutrition'!B:B,0))+(($V210 /MAX(1, _xlfn.XLOOKUP($H210,'Solid Mix In Nutrition'!A:A,'Solid Mix In Nutrition'!I:I,1)))  * _xlfn.XLOOKUP($H210,'Solid Mix In Nutrition'!A:A,'Solid Mix In Nutrition'!B:B,0))+(($W210 / MAX(1, _xlfn.XLOOKUP($I210,'Solid Mix In Nutrition'!A:A,'Solid Mix In Nutrition'!I:I,1))))+(($X210 / 100)  * _xlfn.XLOOKUP($J210,'Sweetener Mix In Nutrition'!A:A,'Sweetener Mix In Nutrition'!B:B,0))+(($Y210 / 100)  * _xlfn.XLOOKUP($K210,'Sweetener Mix In Nutrition'!A:A,'Sweetener Mix In Nutrition'!B:B,0))</f>
        <v>0</v>
      </c>
      <c r="AC210" s="36">
        <f>(($R210 / 240) * _xlfn.XLOOKUP($D210,'Milk Types Nutrition Per Cup'!A:A,'Milk Types Nutrition Per Cup'!E:E,0)) +(($S210 / 240)  * _xlfn.XLOOKUP($E210,'Milk Types Nutrition Per Cup'!A:A,'Milk Types Nutrition Per Cup'!E:E,0)) +(($T210 / 15)  * _xlfn.XLOOKUP($F210,'Liquid Mix In Nutrition'!A:A,'Liquid Mix In Nutrition'!E:E,0)) +(($U210 / 15)  * _xlfn.XLOOKUP($G210,'Liquid Mix In Nutrition'!A:A,'Liquid Mix In Nutrition'!E:E,0))+(($V210 / MAX(1, _xlfn.XLOOKUP($H210,'Solid Mix In Nutrition'!A:A,'Solid Mix In Nutrition'!I:I,1)))  * _xlfn.XLOOKUP($H210,'Solid Mix In Nutrition'!A:A,'Solid Mix In Nutrition'!E:E,0))+(($W210 / MAX(1, _xlfn.XLOOKUP($I210,'Solid Mix In Nutrition'!A:A,'Solid Mix In Nutrition'!I:I,1)))  * _xlfn.XLOOKUP($I210,'Solid Mix In Nutrition'!A:A,'Solid Mix In Nutrition'!G:G,0))+(($X210 / 100)  * _xlfn.XLOOKUP($J210,'Sweetener Mix In Nutrition'!A:A,'Sweetener Mix In Nutrition'!E:E,0))+(($Y210 / 100)  * _xlfn.XLOOKUP($K210,'Sweetener Mix In Nutrition'!A:A,'Sweetener Mix In Nutrition'!E:E,0))</f>
        <v>0</v>
      </c>
      <c r="AD210" s="36">
        <f>(($R210 / 240) * _xlfn.XLOOKUP($D210,'Milk Types Nutrition Per Cup'!A:A,'Milk Types Nutrition Per Cup'!E:E,0)) +(($S210 / 240)  * _xlfn.XLOOKUP($E210,'Milk Types Nutrition Per Cup'!A:A,'Milk Types Nutrition Per Cup'!E:E,0)) +(($T210 / 15)  * _xlfn.XLOOKUP($F210,'Liquid Mix In Nutrition'!A:A,'Liquid Mix In Nutrition'!E:E,0)) +(($U210 / 15)  * _xlfn.XLOOKUP($G210,'Liquid Mix In Nutrition'!A:A,'Liquid Mix In Nutrition'!E:E,0))+(($X210 / 100)  * _xlfn.XLOOKUP($J210,'Sweetener Mix In Nutrition'!A:A,'Sweetener Mix In Nutrition'!E:E,0))+(($Y210 / 100)  * _xlfn.XLOOKUP($K210,'Sweetener Mix In Nutrition'!A:A,'Sweetener Mix In Nutrition'!E:E,0))</f>
        <v>0</v>
      </c>
      <c r="AE210" s="37">
        <f>(($R210 / 240) * _xlfn.XLOOKUP($D210,'Milk Types Nutrition Per Cup'!A:A,'Milk Types Nutrition Per Cup'!C:C,0)) +(($S210 / 240)  * _xlfn.XLOOKUP($E210,'Milk Types Nutrition Per Cup'!A:A,'Milk Types Nutrition Per Cup'!C:C,0)) +(($T210 / 15)  * _xlfn.XLOOKUP($F210,'Liquid Mix In Nutrition'!A:A,'Liquid Mix In Nutrition'!C:C,0))+(($U210 / 15)  * _xlfn.XLOOKUP($G210,'Liquid Mix In Nutrition'!A:A,'Liquid Mix In Nutrition'!C:C,0))+(($V210 / MAX(1, _xlfn.XLOOKUP($H210,'Solid Mix In Nutrition'!A:A,'Solid Mix In Nutrition'!I:I,1)))  * _xlfn.XLOOKUP($H210,'Solid Mix In Nutrition'!A:A,'Solid Mix In Nutrition'!C:C,0))+(($W210 / MAX(1, _xlfn.XLOOKUP($I210,'Solid Mix In Nutrition'!A:A,'Solid Mix In Nutrition'!I:I,1)))  * _xlfn.XLOOKUP($I210,'Solid Mix In Nutrition'!A:A,'Solid Mix In Nutrition'!C:C,0))+(($X210 / 100)  * _xlfn.XLOOKUP($J210,'Sweetener Mix In Nutrition'!A:A,'Sweetener Mix In Nutrition'!C:C,0))+(($Y210 / 100)  * _xlfn.XLOOKUP($K210,'Sweetener Mix In Nutrition'!A:A,'Sweetener Mix In Nutrition'!C:C,0))</f>
        <v>0</v>
      </c>
      <c r="AF210" s="38" t="e">
        <f>$AE210 / (_xlfn.XLOOKUP($L210,Specs!A:A,Specs!B:B,0))</f>
        <v>#DIV/0!</v>
      </c>
      <c r="AG210" s="37" t="e">
        <f>60* ($AB210 / _xlfn.XLOOKUP($L210,Specs!A:A,Specs!B:B,0))</f>
        <v>#DIV/0!</v>
      </c>
      <c r="AH210" s="37" t="e">
        <f>60* (AC210 / _xlfn.XLOOKUP($L210,Specs!$A:$A,Specs!$B:$B,0))</f>
        <v>#DIV/0!</v>
      </c>
      <c r="AI210" s="37" t="e">
        <f>60* (AE210 / _xlfn.XLOOKUP($L210,Specs!$A:$A,Specs!$B:$B,0))</f>
        <v>#DIV/0!</v>
      </c>
      <c r="AJ210" s="39">
        <f>(($R210 / 240) * _xlfn.XLOOKUP($D210,'Milk Types Nutrition Per Cup'!A:A,'Milk Types Nutrition Per Cup'!F:F,0)) +(($S210 / 240)  * _xlfn.XLOOKUP($E210,'Milk Types Nutrition Per Cup'!A:A,'Milk Types Nutrition Per Cup'!F:F,0)) +(($T210 / 15)  * _xlfn.XLOOKUP($F210,'Liquid Mix In Nutrition'!A:A,'Liquid Mix In Nutrition'!F:F,0))+(($U210 / 15)  * _xlfn.XLOOKUP($G210,'Liquid Mix In Nutrition'!A:A,'Liquid Mix In Nutrition'!F:F,0))+(($V210 / MAX(1, _xlfn.XLOOKUP($H210,'Solid Mix In Nutrition'!A:A,'Solid Mix In Nutrition'!I:I,1)))  * _xlfn.XLOOKUP($H210,'Solid Mix In Nutrition'!A:A,'Solid Mix In Nutrition'!F:F,0))+(($W210 / MAX(1, _xlfn.XLOOKUP($I210,'Solid Mix In Nutrition'!A:A,'Solid Mix In Nutrition'!I:I,1)))  * _xlfn.XLOOKUP($I210,'Solid Mix In Nutrition'!A:A,'Solid Mix In Nutrition'!F:F,0))+(($X210 / 100)  * _xlfn.XLOOKUP($J210,'Sweetener Mix In Nutrition'!A:A,'Sweetener Mix In Nutrition'!F:F,0))+(($Y210 / 100)  * _xlfn.XLOOKUP($K210,'Sweetener Mix In Nutrition'!A:A,'Sweetener Mix In Nutrition'!F:F,0))</f>
        <v>0</v>
      </c>
      <c r="AK210" s="46">
        <f>[2]Sheet1!AG210</f>
        <v>0</v>
      </c>
      <c r="AL210" s="47"/>
      <c r="AM210" s="40">
        <f>IF(ISERROR(((AL210/Specs!$L$3)*Specs!$L$2)*2),0,ROUNDUP((((AL210/Specs!$L$3)*Specs!$L$2)*2),0))</f>
        <v>0</v>
      </c>
      <c r="AN210" s="48">
        <f>ROUNDUP(((AJ210+Specs!$R$2+Specs!$S$2+_xlfn.XLOOKUP($L210,Specs!A:A,Specs!V:V,0))*Specs!$N$2)+AM210,0)</f>
        <v>1</v>
      </c>
      <c r="AO210" s="40">
        <f>ROUNDUP(((AJ210+Specs!$R$2+Specs!$S$2+_xlfn.XLOOKUP($L210,Specs!A:A,Specs!V:V,0))*Specs!$N$2),0)</f>
        <v>1</v>
      </c>
      <c r="AP210" s="30"/>
    </row>
    <row r="211" spans="1:42" x14ac:dyDescent="0.25">
      <c r="A211" s="41" t="str">
        <f>_xlfn.CONCAT(_xlfn.XLOOKUP("What's Your Name?",[1]Sheet1!$1:$1,[1]Sheet1!211:211)," | ",TEXT(_xlfn.XLOOKUP("Completion time",[1]Sheet1!$1:$1,[1]Sheet1!211:211),"dddd, mmm dd, yyyy hh:mm AM/PM"))</f>
        <v xml:space="preserve"> | Saturday, Jan 00, 1900 12:00 AM</v>
      </c>
      <c r="B211" s="76">
        <f>_xlfn.XLOOKUP("What's Your Email Address?",[1]Sheet1!$1:$1,[1]Sheet1!211:211)</f>
        <v>0</v>
      </c>
      <c r="C211" s="31">
        <f>IF(ISBLANK(_xlfn.XLOOKUP("Which Flavor? (Pint Price | Quart Price | Half Gallon Price) (NOTE: Prices may fluctuate based on market conditions)",[1]Sheet1!$1:$1,[1]Sheet1!211:211)),_xlfn.XLOOKUP("Name Your Ice Cream!",[1]Sheet1!$1:$1,[1]Sheet1!211:211),IF(ISNUMBER(FIND("(", _xlfn.XLOOKUP("Which Flavor? (Pint Price | Quart Price | Half Gallon Price) (NOTE: Prices may fluctuate based on market conditions)",[1]Sheet1!$1:$1,[1]Sheet1!211:211))), LEFT(_xlfn.XLOOKUP("Which Flavor? (Pint Price | Quart Price | Half Gallon Price) (NOTE: Prices may fluctuate based on market conditions)",[1]Sheet1!$1:$1,[1]Sheet1!211:211), FIND("(", _xlfn.XLOOKUP("Which Flavor? (Pint Price | Quart Price | Half Gallon Price) (NOTE: Prices may fluctuate based on market conditions)",[1]Sheet1!$1:$1,[1]Sheet1!211:211)) - 1), _xlfn.XLOOKUP("Which Flavor? (Pint Price | Quart Price | Half Gallon Price) (NOTE: Prices may fluctuate based on market conditions)",[1]Sheet1!$1:$1,[1]Sheet1!211:211)))</f>
        <v>0</v>
      </c>
      <c r="D211" s="31">
        <f>IF(COUNTIF('Premade Flavors'!$A:$A, $C211) &gt; 0,IF(ISBLANK(_xlfn.XLOOKUP("What Ice Cream Base Do You Want To Change It To?",[1]Sheet1!$1:$1,[1]Sheet1!211:211)),_xlfn.XLOOKUP($C211,'Premade Flavors'!$A:$A,'Premade Flavors'!B:B),_xlfn.XLOOKUP("What Ice Cream Base Do You Want To Change It To?",[1]Sheet1!$1:$1,[1]Sheet1!211:211)),_xlfn.XLOOKUP(_xlfn.XLOOKUP("What Kind Of Ice Cream Base Do You Want? ",[1]Sheet1!$1:$1,[1]Sheet1!211:211),'Milk Types Nutrition Per Cup'!O:O,'Milk Types Nutrition Per Cup'!P:P,""))</f>
        <v>0</v>
      </c>
      <c r="E211" s="31">
        <f>IF(COUNTIF('Premade Flavors'!$A:$A, $C211) &gt; 0,IF(ISBLANK(_xlfn.XLOOKUP("What Ice Cream Base Do You Want To Change It To?",[1]Sheet1!$1:$1,[1]Sheet1!211:211)),_xlfn.XLOOKUP($C211,'Premade Flavors'!$A:$A,'Premade Flavors'!C:C),_xlfn.XLOOKUP("What Ice Cream Base Do You Want To Change It To?",[1]Sheet1!$1:$1,[1]Sheet1!211:211)),_xlfn.XLOOKUP(_xlfn.XLOOKUP("What Kind Of Ice Cream Base Do You Want? ",[1]Sheet1!$1:$1,[1]Sheet1!211:211),'Milk Types Nutrition Per Cup'!$O:$O,'Milk Types Nutrition Per Cup'!$Q:$Q,""))</f>
        <v>0</v>
      </c>
      <c r="F211" s="31">
        <f>IF(COUNTIF('Premade Flavors'!$A:$A, $C211) &gt; 0,_xlfn.XLOOKUP($C211,'Premade Flavors'!$A:$A,'Premade Flavors'!E:E),_xlfn.XLOOKUP("What's The First Flavor You Want? ",[1]Sheet1!$1:$1,[1]Sheet1!211:211))</f>
        <v>0</v>
      </c>
      <c r="G211" s="31">
        <f>IF(COUNTIF('Premade Flavors'!$A:$A, $C211) &gt; 0,_xlfn.XLOOKUP($C211,'Premade Flavors'!$A:$A,'Premade Flavors'!F:F),_xlfn.XLOOKUP("What's the Second Flavor You Want?",[1]Sheet1!$1:$1,[1]Sheet1!211:211))</f>
        <v>0</v>
      </c>
      <c r="H211" s="31">
        <f>IF(COUNTIF('Premade Flavors'!$A:$A, $C211) &gt; 0,_xlfn.XLOOKUP($C211,'Premade Flavors'!$A:$A,'Premade Flavors'!G:G),_xlfn.XLOOKUP("What's The First Mix In That You Want? ",[1]Sheet1!$1:$1,[1]Sheet1!211:211))</f>
        <v>0</v>
      </c>
      <c r="I211" s="31">
        <f>IF(COUNTIF('Premade Flavors'!$A:$A, $C209) &gt; 0,_xlfn.XLOOKUP($C209,'Premade Flavors'!$A:$A,'Premade Flavors'!H:H),IF([2]Sheet1!W209= 0,,[2]Sheet1!W209))</f>
        <v>0</v>
      </c>
      <c r="J211" s="31">
        <f>IF(COUNTIF('Premade Flavors'!$A:$A,$C211)&gt;0,IF(_xlfn.XLOOKUP("Should It Use Sugar or A Non-Sugar Sweetner?",[1]Sheet1!$1:$1,[1]Sheet1!211:211)="Sugar",_xlfn.XLOOKUP($C211,'Premade Flavors'!$A:$A,'Premade Flavors'!I:I),"Stevia"),_xlfn.XLOOKUP("What Sweetner Do You Want?",[1]Sheet1!$1:$1,[1]Sheet1!211:211))</f>
        <v>0</v>
      </c>
      <c r="K211" s="31"/>
      <c r="L211" s="77">
        <f>_xlfn.XLOOKUP("How Much Ice Cream Do You Want?",[1]Sheet1!$1:$1,[1]Sheet1!211:211)</f>
        <v>0</v>
      </c>
      <c r="M211" s="45">
        <f>IF(COUNTIF('Premade Flavors'!$A:$A, $C211) &gt; 0,_xlfn.XLOOKUP($C211,'Premade Flavors'!$A:$A,'Premade Flavors'!M:M),_xlfn.XLOOKUP("How Strong Do You Want The First Flavor?",[1]Sheet1!$1:$1,[1]Sheet1!211:211))</f>
        <v>0</v>
      </c>
      <c r="N211" s="45">
        <f>IF(COUNTIF('Premade Flavors'!$A:$A, $C211) &gt; 0,_xlfn.XLOOKUP($C211,'Premade Flavors'!$A:$A,'Premade Flavors'!N:N),_xlfn.XLOOKUP("How Strong Do You Want The Second Flavor?",[1]Sheet1!$1:$1,[1]Sheet1!211:211))</f>
        <v>0</v>
      </c>
      <c r="O211" s="45">
        <f>IF(COUNTIF('Premade Flavors'!$A:$A, $C211) &gt; 0,_xlfn.XLOOKUP($C211,'Premade Flavors'!$A:$A,'Premade Flavors'!O:O),_xlfn.XLOOKUP("How Dense Should the Mix Ins Be?",[1]Sheet1!$1:$1,[1]Sheet1!211:211))</f>
        <v>0</v>
      </c>
      <c r="P211" s="45">
        <f>IF(COUNTIF('Premade Flavors'!$A:$A, $C211) &gt; 0,_xlfn.XLOOKUP($C211,'Premade Flavors'!$A:$A,'Premade Flavors'!P:P),_xlfn.XLOOKUP("How Much Of The First Sweetner? ",[1]Sheet1!$1:$1,[1]Sheet1!211:211))</f>
        <v>0</v>
      </c>
      <c r="Q211" s="45">
        <f>IF(COUNTIF('Premade Flavors'!$A:$A, $C211) &gt; 0,_xlfn.XLOOKUP($C211,'Premade Flavors'!$A:$A,'Premade Flavors'!Q:Q),[2]Sheet1!S211)</f>
        <v>0</v>
      </c>
      <c r="R211" s="30">
        <f>(_xlfn.XLOOKUP($L211,Specs!A:A,Specs!B:B,0)-(IF(_xlfn.XLOOKUP($F211,'Liquid Mix In Nutrition'!A:A,'Liquid Mix In Nutrition'!J:J,0)="Yes",0,$T211))-(IF(_xlfn.XLOOKUP($G211,'Liquid Mix In Nutrition'!A:A,'Liquid Mix In Nutrition'!J:J,0)="Yes",0,$U211))-(($V211/MAX(1,_xlfn.XLOOKUP($H211,'Solid Mix In Nutrition'!A:A,'Solid Mix In Nutrition'!I:I,1)))*240)-(($W211/MAX(1,_xlfn.XLOOKUP($I211,'Solid Mix In Nutrition'!A:A,'Solid Mix In Nutrition'!I:I,1)))*240))*0.66</f>
        <v>0</v>
      </c>
      <c r="S211" s="30">
        <f>(_xlfn.XLOOKUP($L211,Specs!A:A,Specs!B:B,0)-(IF(_xlfn.XLOOKUP($F211,'Liquid Mix In Nutrition'!A:A,'Liquid Mix In Nutrition'!J:J,0)="Yes",0,$T211))-(IF(_xlfn.XLOOKUP($G211,'Liquid Mix In Nutrition'!A:A,'Liquid Mix In Nutrition'!J:J,0)="Yes",0,$U211))-(($V211/MAX(1,_xlfn.XLOOKUP($H211,'Solid Mix In Nutrition'!A:A,'Solid Mix In Nutrition'!I:I,1)))*240)-(($W211/MAX(1,_xlfn.XLOOKUP($I211,'Solid Mix In Nutrition'!A:A,'Solid Mix In Nutrition'!I:I,1)))*240))*0.33</f>
        <v>0</v>
      </c>
      <c r="T211" s="30">
        <f>_xlfn.XLOOKUP($M211,Specs!$D:$D,Specs!$E:$E,0)*15*_xlfn.XLOOKUP($L211,Specs!$A:$A,Specs!$C:$C,0)</f>
        <v>0</v>
      </c>
      <c r="U211" s="30">
        <f>_xlfn.XLOOKUP($N211,Specs!$D:$D,Specs!$E:$E,0)*15*_xlfn.XLOOKUP($L211,Specs!$A:$A,Specs!$C:$C,0)</f>
        <v>0</v>
      </c>
      <c r="V211" s="30">
        <f>( ((_xlfn.XLOOKUP($O211,Specs!$H:$H,Specs!$I:$I,0)*_xlfn.XLOOKUP($L211,Specs!$A:$A,Specs!$B:$B,0))/240) *_xlfn.XLOOKUP($H211,'Solid Mix In Nutrition'!A:A,'Solid Mix In Nutrition'!I:I,0)) *IF(AND(NOT($I211=0), COUNTA($I211)),0.5,1)</f>
        <v>0</v>
      </c>
      <c r="W211" s="30">
        <f>( ((_xlfn.XLOOKUP($O211,Specs!$H:$H,Specs!$I:$I,0)*_xlfn.XLOOKUP($L211,Specs!$A:$A,Specs!$B:$B,0))/240) *_xlfn.XLOOKUP($I211,'Solid Mix In Nutrition'!A:A,'Solid Mix In Nutrition'!I:I,0)) *IF(AND(NOT($I211=0), COUNTA($I211)),0.5,0)</f>
        <v>0</v>
      </c>
      <c r="X211" s="30">
        <f>_xlfn.XLOOKUP($P211,Specs!F:F,Specs!G:G,0)*_xlfn.XLOOKUP($J211,'Sweetener Mix In Nutrition'!A:A,'Sweetener Mix In Nutrition'!I:I,0)*_xlfn.XLOOKUP($L211,Specs!A:A,Specs!C:C,0)</f>
        <v>0</v>
      </c>
      <c r="Y211" s="30">
        <f>_xlfn.XLOOKUP($Q211,Specs!F:F,Specs!G:G,0)*_xlfn.XLOOKUP($K211,'Sweetener Mix In Nutrition'!A:A,'Sweetener Mix In Nutrition'!I:I,0)*_xlfn.XLOOKUP($L211,Specs!A:A,Specs!C:C,0)</f>
        <v>0</v>
      </c>
      <c r="Z211" s="34">
        <f t="shared" si="6"/>
        <v>0</v>
      </c>
      <c r="AA211" s="35">
        <f t="shared" si="7"/>
        <v>0</v>
      </c>
      <c r="AB211" s="36">
        <f>(($R211 / 240) * _xlfn.XLOOKUP($D211,'Milk Types Nutrition Per Cup'!A:A,'Milk Types Nutrition Per Cup'!B:B,0)) +(($S211 / 240)  * _xlfn.XLOOKUP($E211,'Milk Types Nutrition Per Cup'!A:A,'Milk Types Nutrition Per Cup'!B:B,0)) +(($T211 / 15)  * _xlfn.XLOOKUP($F211,'Liquid Mix In Nutrition'!A:A,'Liquid Mix In Nutrition'!B:B,0))+(($U211 / 15)  * _xlfn.XLOOKUP($G211,'Liquid Mix In Nutrition'!A:A,'Liquid Mix In Nutrition'!B:B,0))+(($V211 /MAX(1, _xlfn.XLOOKUP($H211,'Solid Mix In Nutrition'!A:A,'Solid Mix In Nutrition'!I:I,1)))  * _xlfn.XLOOKUP($H211,'Solid Mix In Nutrition'!A:A,'Solid Mix In Nutrition'!B:B,0))+(($W211 / MAX(1, _xlfn.XLOOKUP($I211,'Solid Mix In Nutrition'!A:A,'Solid Mix In Nutrition'!I:I,1))))+(($X211 / 100)  * _xlfn.XLOOKUP($J211,'Sweetener Mix In Nutrition'!A:A,'Sweetener Mix In Nutrition'!B:B,0))+(($Y211 / 100)  * _xlfn.XLOOKUP($K211,'Sweetener Mix In Nutrition'!A:A,'Sweetener Mix In Nutrition'!B:B,0))</f>
        <v>0</v>
      </c>
      <c r="AC211" s="36">
        <f>(($R211 / 240) * _xlfn.XLOOKUP($D211,'Milk Types Nutrition Per Cup'!A:A,'Milk Types Nutrition Per Cup'!E:E,0)) +(($S211 / 240)  * _xlfn.XLOOKUP($E211,'Milk Types Nutrition Per Cup'!A:A,'Milk Types Nutrition Per Cup'!E:E,0)) +(($T211 / 15)  * _xlfn.XLOOKUP($F211,'Liquid Mix In Nutrition'!A:A,'Liquid Mix In Nutrition'!E:E,0)) +(($U211 / 15)  * _xlfn.XLOOKUP($G211,'Liquid Mix In Nutrition'!A:A,'Liquid Mix In Nutrition'!E:E,0))+(($V211 / MAX(1, _xlfn.XLOOKUP($H211,'Solid Mix In Nutrition'!A:A,'Solid Mix In Nutrition'!I:I,1)))  * _xlfn.XLOOKUP($H211,'Solid Mix In Nutrition'!A:A,'Solid Mix In Nutrition'!E:E,0))+(($W211 / MAX(1, _xlfn.XLOOKUP($I211,'Solid Mix In Nutrition'!A:A,'Solid Mix In Nutrition'!I:I,1)))  * _xlfn.XLOOKUP($I211,'Solid Mix In Nutrition'!A:A,'Solid Mix In Nutrition'!G:G,0))+(($X211 / 100)  * _xlfn.XLOOKUP($J211,'Sweetener Mix In Nutrition'!A:A,'Sweetener Mix In Nutrition'!E:E,0))+(($Y211 / 100)  * _xlfn.XLOOKUP($K211,'Sweetener Mix In Nutrition'!A:A,'Sweetener Mix In Nutrition'!E:E,0))</f>
        <v>0</v>
      </c>
      <c r="AD211" s="36">
        <f>(($R211 / 240) * _xlfn.XLOOKUP($D211,'Milk Types Nutrition Per Cup'!A:A,'Milk Types Nutrition Per Cup'!E:E,0)) +(($S211 / 240)  * _xlfn.XLOOKUP($E211,'Milk Types Nutrition Per Cup'!A:A,'Milk Types Nutrition Per Cup'!E:E,0)) +(($T211 / 15)  * _xlfn.XLOOKUP($F211,'Liquid Mix In Nutrition'!A:A,'Liquid Mix In Nutrition'!E:E,0)) +(($U211 / 15)  * _xlfn.XLOOKUP($G211,'Liquid Mix In Nutrition'!A:A,'Liquid Mix In Nutrition'!E:E,0))+(($X211 / 100)  * _xlfn.XLOOKUP($J211,'Sweetener Mix In Nutrition'!A:A,'Sweetener Mix In Nutrition'!E:E,0))+(($Y211 / 100)  * _xlfn.XLOOKUP($K211,'Sweetener Mix In Nutrition'!A:A,'Sweetener Mix In Nutrition'!E:E,0))</f>
        <v>0</v>
      </c>
      <c r="AE211" s="37">
        <f>(($R211 / 240) * _xlfn.XLOOKUP($D211,'Milk Types Nutrition Per Cup'!A:A,'Milk Types Nutrition Per Cup'!C:C,0)) +(($S211 / 240)  * _xlfn.XLOOKUP($E211,'Milk Types Nutrition Per Cup'!A:A,'Milk Types Nutrition Per Cup'!C:C,0)) +(($T211 / 15)  * _xlfn.XLOOKUP($F211,'Liquid Mix In Nutrition'!A:A,'Liquid Mix In Nutrition'!C:C,0))+(($U211 / 15)  * _xlfn.XLOOKUP($G211,'Liquid Mix In Nutrition'!A:A,'Liquid Mix In Nutrition'!C:C,0))+(($V211 / MAX(1, _xlfn.XLOOKUP($H211,'Solid Mix In Nutrition'!A:A,'Solid Mix In Nutrition'!I:I,1)))  * _xlfn.XLOOKUP($H211,'Solid Mix In Nutrition'!A:A,'Solid Mix In Nutrition'!C:C,0))+(($W211 / MAX(1, _xlfn.XLOOKUP($I211,'Solid Mix In Nutrition'!A:A,'Solid Mix In Nutrition'!I:I,1)))  * _xlfn.XLOOKUP($I211,'Solid Mix In Nutrition'!A:A,'Solid Mix In Nutrition'!C:C,0))+(($X211 / 100)  * _xlfn.XLOOKUP($J211,'Sweetener Mix In Nutrition'!A:A,'Sweetener Mix In Nutrition'!C:C,0))+(($Y211 / 100)  * _xlfn.XLOOKUP($K211,'Sweetener Mix In Nutrition'!A:A,'Sweetener Mix In Nutrition'!C:C,0))</f>
        <v>0</v>
      </c>
      <c r="AF211" s="38" t="e">
        <f>$AE211 / (_xlfn.XLOOKUP($L211,Specs!A:A,Specs!B:B,0))</f>
        <v>#DIV/0!</v>
      </c>
      <c r="AG211" s="37" t="e">
        <f>60* ($AB211 / _xlfn.XLOOKUP($L211,Specs!A:A,Specs!B:B,0))</f>
        <v>#DIV/0!</v>
      </c>
      <c r="AH211" s="37" t="e">
        <f>60* (AC211 / _xlfn.XLOOKUP($L211,Specs!$A:$A,Specs!$B:$B,0))</f>
        <v>#DIV/0!</v>
      </c>
      <c r="AI211" s="37" t="e">
        <f>60* (AE211 / _xlfn.XLOOKUP($L211,Specs!$A:$A,Specs!$B:$B,0))</f>
        <v>#DIV/0!</v>
      </c>
      <c r="AJ211" s="39">
        <f>(($R211 / 240) * _xlfn.XLOOKUP($D211,'Milk Types Nutrition Per Cup'!A:A,'Milk Types Nutrition Per Cup'!F:F,0)) +(($S211 / 240)  * _xlfn.XLOOKUP($E211,'Milk Types Nutrition Per Cup'!A:A,'Milk Types Nutrition Per Cup'!F:F,0)) +(($T211 / 15)  * _xlfn.XLOOKUP($F211,'Liquid Mix In Nutrition'!A:A,'Liquid Mix In Nutrition'!F:F,0))+(($U211 / 15)  * _xlfn.XLOOKUP($G211,'Liquid Mix In Nutrition'!A:A,'Liquid Mix In Nutrition'!F:F,0))+(($V211 / MAX(1, _xlfn.XLOOKUP($H211,'Solid Mix In Nutrition'!A:A,'Solid Mix In Nutrition'!I:I,1)))  * _xlfn.XLOOKUP($H211,'Solid Mix In Nutrition'!A:A,'Solid Mix In Nutrition'!F:F,0))+(($W211 / MAX(1, _xlfn.XLOOKUP($I211,'Solid Mix In Nutrition'!A:A,'Solid Mix In Nutrition'!I:I,1)))  * _xlfn.XLOOKUP($I211,'Solid Mix In Nutrition'!A:A,'Solid Mix In Nutrition'!F:F,0))+(($X211 / 100)  * _xlfn.XLOOKUP($J211,'Sweetener Mix In Nutrition'!A:A,'Sweetener Mix In Nutrition'!F:F,0))+(($Y211 / 100)  * _xlfn.XLOOKUP($K211,'Sweetener Mix In Nutrition'!A:A,'Sweetener Mix In Nutrition'!F:F,0))</f>
        <v>0</v>
      </c>
      <c r="AK211" s="46">
        <f>[2]Sheet1!AG211</f>
        <v>0</v>
      </c>
      <c r="AL211" s="47"/>
      <c r="AM211" s="40">
        <f>IF(ISERROR(((AL211/Specs!$L$3)*Specs!$L$2)*2),0,ROUNDUP((((AL211/Specs!$L$3)*Specs!$L$2)*2),0))</f>
        <v>0</v>
      </c>
      <c r="AN211" s="48">
        <f>ROUNDUP(((AJ211+Specs!$R$2+Specs!$S$2+_xlfn.XLOOKUP($L211,Specs!A:A,Specs!V:V,0))*Specs!$N$2)+AM211,0)</f>
        <v>1</v>
      </c>
      <c r="AO211" s="40">
        <f>ROUNDUP(((AJ211+Specs!$R$2+Specs!$S$2+_xlfn.XLOOKUP($L211,Specs!A:A,Specs!V:V,0))*Specs!$N$2),0)</f>
        <v>1</v>
      </c>
      <c r="AP211" s="30"/>
    </row>
    <row r="212" spans="1:42" x14ac:dyDescent="0.25">
      <c r="A212" s="41" t="str">
        <f>_xlfn.CONCAT(_xlfn.XLOOKUP("What's Your Name?",[1]Sheet1!$1:$1,[1]Sheet1!212:212)," | ",TEXT(_xlfn.XLOOKUP("Completion time",[1]Sheet1!$1:$1,[1]Sheet1!212:212),"dddd, mmm dd, yyyy hh:mm AM/PM"))</f>
        <v xml:space="preserve"> | Saturday, Jan 00, 1900 12:00 AM</v>
      </c>
      <c r="B212" s="76">
        <f>_xlfn.XLOOKUP("What's Your Email Address?",[1]Sheet1!$1:$1,[1]Sheet1!212:212)</f>
        <v>0</v>
      </c>
      <c r="C212" s="31">
        <f>IF(ISBLANK(_xlfn.XLOOKUP("Which Flavor? (Pint Price | Quart Price | Half Gallon Price) (NOTE: Prices may fluctuate based on market conditions)",[1]Sheet1!$1:$1,[1]Sheet1!212:212)),_xlfn.XLOOKUP("Name Your Ice Cream!",[1]Sheet1!$1:$1,[1]Sheet1!212:212),IF(ISNUMBER(FIND("(", _xlfn.XLOOKUP("Which Flavor? (Pint Price | Quart Price | Half Gallon Price) (NOTE: Prices may fluctuate based on market conditions)",[1]Sheet1!$1:$1,[1]Sheet1!212:212))), LEFT(_xlfn.XLOOKUP("Which Flavor? (Pint Price | Quart Price | Half Gallon Price) (NOTE: Prices may fluctuate based on market conditions)",[1]Sheet1!$1:$1,[1]Sheet1!212:212), FIND("(", _xlfn.XLOOKUP("Which Flavor? (Pint Price | Quart Price | Half Gallon Price) (NOTE: Prices may fluctuate based on market conditions)",[1]Sheet1!$1:$1,[1]Sheet1!212:212)) - 1), _xlfn.XLOOKUP("Which Flavor? (Pint Price | Quart Price | Half Gallon Price) (NOTE: Prices may fluctuate based on market conditions)",[1]Sheet1!$1:$1,[1]Sheet1!212:212)))</f>
        <v>0</v>
      </c>
      <c r="D212" s="31">
        <f>IF(COUNTIF('Premade Flavors'!$A:$A, $C212) &gt; 0,IF(ISBLANK(_xlfn.XLOOKUP("What Ice Cream Base Do You Want To Change It To?",[1]Sheet1!$1:$1,[1]Sheet1!212:212)),_xlfn.XLOOKUP($C212,'Premade Flavors'!$A:$A,'Premade Flavors'!B:B),_xlfn.XLOOKUP("What Ice Cream Base Do You Want To Change It To?",[1]Sheet1!$1:$1,[1]Sheet1!212:212)),_xlfn.XLOOKUP(_xlfn.XLOOKUP("What Kind Of Ice Cream Base Do You Want? ",[1]Sheet1!$1:$1,[1]Sheet1!212:212),'Milk Types Nutrition Per Cup'!O:O,'Milk Types Nutrition Per Cup'!P:P,""))</f>
        <v>0</v>
      </c>
      <c r="E212" s="31">
        <f>IF(COUNTIF('Premade Flavors'!$A:$A, $C212) &gt; 0,IF(ISBLANK(_xlfn.XLOOKUP("What Ice Cream Base Do You Want To Change It To?",[1]Sheet1!$1:$1,[1]Sheet1!212:212)),_xlfn.XLOOKUP($C212,'Premade Flavors'!$A:$A,'Premade Flavors'!C:C),_xlfn.XLOOKUP("What Ice Cream Base Do You Want To Change It To?",[1]Sheet1!$1:$1,[1]Sheet1!212:212)),_xlfn.XLOOKUP(_xlfn.XLOOKUP("What Kind Of Ice Cream Base Do You Want? ",[1]Sheet1!$1:$1,[1]Sheet1!212:212),'Milk Types Nutrition Per Cup'!$O:$O,'Milk Types Nutrition Per Cup'!$Q:$Q,""))</f>
        <v>0</v>
      </c>
      <c r="F212" s="31">
        <f>IF(COUNTIF('Premade Flavors'!$A:$A, $C212) &gt; 0,_xlfn.XLOOKUP($C212,'Premade Flavors'!$A:$A,'Premade Flavors'!E:E),_xlfn.XLOOKUP("What's The First Flavor You Want? ",[1]Sheet1!$1:$1,[1]Sheet1!212:212))</f>
        <v>0</v>
      </c>
      <c r="G212" s="31">
        <f>IF(COUNTIF('Premade Flavors'!$A:$A, $C212) &gt; 0,_xlfn.XLOOKUP($C212,'Premade Flavors'!$A:$A,'Premade Flavors'!F:F),_xlfn.XLOOKUP("What's the Second Flavor You Want?",[1]Sheet1!$1:$1,[1]Sheet1!212:212))</f>
        <v>0</v>
      </c>
      <c r="H212" s="31">
        <f>IF(COUNTIF('Premade Flavors'!$A:$A, $C212) &gt; 0,_xlfn.XLOOKUP($C212,'Premade Flavors'!$A:$A,'Premade Flavors'!G:G),_xlfn.XLOOKUP("What's The First Mix In That You Want? ",[1]Sheet1!$1:$1,[1]Sheet1!212:212))</f>
        <v>0</v>
      </c>
      <c r="I212" s="31">
        <f>IF(COUNTIF('Premade Flavors'!$A:$A, $C210) &gt; 0,_xlfn.XLOOKUP($C210,'Premade Flavors'!$A:$A,'Premade Flavors'!H:H),IF([2]Sheet1!W210= 0,,[2]Sheet1!W210))</f>
        <v>0</v>
      </c>
      <c r="J212" s="31">
        <f>IF(COUNTIF('Premade Flavors'!$A:$A,$C212)&gt;0,IF(_xlfn.XLOOKUP("Should It Use Sugar or A Non-Sugar Sweetner?",[1]Sheet1!$1:$1,[1]Sheet1!212:212)="Sugar",_xlfn.XLOOKUP($C212,'Premade Flavors'!$A:$A,'Premade Flavors'!I:I),"Stevia"),_xlfn.XLOOKUP("What Sweetner Do You Want?",[1]Sheet1!$1:$1,[1]Sheet1!212:212))</f>
        <v>0</v>
      </c>
      <c r="K212" s="31"/>
      <c r="L212" s="77">
        <f>_xlfn.XLOOKUP("How Much Ice Cream Do You Want?",[1]Sheet1!$1:$1,[1]Sheet1!212:212)</f>
        <v>0</v>
      </c>
      <c r="M212" s="45">
        <f>IF(COUNTIF('Premade Flavors'!$A:$A, $C212) &gt; 0,_xlfn.XLOOKUP($C212,'Premade Flavors'!$A:$A,'Premade Flavors'!M:M),_xlfn.XLOOKUP("How Strong Do You Want The First Flavor?",[1]Sheet1!$1:$1,[1]Sheet1!212:212))</f>
        <v>0</v>
      </c>
      <c r="N212" s="45">
        <f>IF(COUNTIF('Premade Flavors'!$A:$A, $C212) &gt; 0,_xlfn.XLOOKUP($C212,'Premade Flavors'!$A:$A,'Premade Flavors'!N:N),_xlfn.XLOOKUP("How Strong Do You Want The Second Flavor?",[1]Sheet1!$1:$1,[1]Sheet1!212:212))</f>
        <v>0</v>
      </c>
      <c r="O212" s="45">
        <f>IF(COUNTIF('Premade Flavors'!$A:$A, $C212) &gt; 0,_xlfn.XLOOKUP($C212,'Premade Flavors'!$A:$A,'Premade Flavors'!O:O),_xlfn.XLOOKUP("How Dense Should the Mix Ins Be?",[1]Sheet1!$1:$1,[1]Sheet1!212:212))</f>
        <v>0</v>
      </c>
      <c r="P212" s="45">
        <f>IF(COUNTIF('Premade Flavors'!$A:$A, $C212) &gt; 0,_xlfn.XLOOKUP($C212,'Premade Flavors'!$A:$A,'Premade Flavors'!P:P),_xlfn.XLOOKUP("How Much Of The First Sweetner? ",[1]Sheet1!$1:$1,[1]Sheet1!212:212))</f>
        <v>0</v>
      </c>
      <c r="Q212" s="45">
        <f>IF(COUNTIF('Premade Flavors'!$A:$A, $C212) &gt; 0,_xlfn.XLOOKUP($C212,'Premade Flavors'!$A:$A,'Premade Flavors'!Q:Q),[2]Sheet1!S212)</f>
        <v>0</v>
      </c>
      <c r="R212" s="30">
        <f>(_xlfn.XLOOKUP($L212,Specs!A:A,Specs!B:B,0)-(IF(_xlfn.XLOOKUP($F212,'Liquid Mix In Nutrition'!A:A,'Liquid Mix In Nutrition'!J:J,0)="Yes",0,$T212))-(IF(_xlfn.XLOOKUP($G212,'Liquid Mix In Nutrition'!A:A,'Liquid Mix In Nutrition'!J:J,0)="Yes",0,$U212))-(($V212/MAX(1,_xlfn.XLOOKUP($H212,'Solid Mix In Nutrition'!A:A,'Solid Mix In Nutrition'!I:I,1)))*240)-(($W212/MAX(1,_xlfn.XLOOKUP($I212,'Solid Mix In Nutrition'!A:A,'Solid Mix In Nutrition'!I:I,1)))*240))*0.66</f>
        <v>0</v>
      </c>
      <c r="S212" s="30">
        <f>(_xlfn.XLOOKUP($L212,Specs!A:A,Specs!B:B,0)-(IF(_xlfn.XLOOKUP($F212,'Liquid Mix In Nutrition'!A:A,'Liquid Mix In Nutrition'!J:J,0)="Yes",0,$T212))-(IF(_xlfn.XLOOKUP($G212,'Liquid Mix In Nutrition'!A:A,'Liquid Mix In Nutrition'!J:J,0)="Yes",0,$U212))-(($V212/MAX(1,_xlfn.XLOOKUP($H212,'Solid Mix In Nutrition'!A:A,'Solid Mix In Nutrition'!I:I,1)))*240)-(($W212/MAX(1,_xlfn.XLOOKUP($I212,'Solid Mix In Nutrition'!A:A,'Solid Mix In Nutrition'!I:I,1)))*240))*0.33</f>
        <v>0</v>
      </c>
      <c r="T212" s="30">
        <f>_xlfn.XLOOKUP($M212,Specs!$D:$D,Specs!$E:$E,0)*15*_xlfn.XLOOKUP($L212,Specs!$A:$A,Specs!$C:$C,0)</f>
        <v>0</v>
      </c>
      <c r="U212" s="30">
        <f>_xlfn.XLOOKUP($N212,Specs!$D:$D,Specs!$E:$E,0)*15*_xlfn.XLOOKUP($L212,Specs!$A:$A,Specs!$C:$C,0)</f>
        <v>0</v>
      </c>
      <c r="V212" s="30">
        <f>( ((_xlfn.XLOOKUP($O212,Specs!$H:$H,Specs!$I:$I,0)*_xlfn.XLOOKUP($L212,Specs!$A:$A,Specs!$B:$B,0))/240) *_xlfn.XLOOKUP($H212,'Solid Mix In Nutrition'!A:A,'Solid Mix In Nutrition'!I:I,0)) *IF(AND(NOT($I212=0), COUNTA($I212)),0.5,1)</f>
        <v>0</v>
      </c>
      <c r="W212" s="30">
        <f>( ((_xlfn.XLOOKUP($O212,Specs!$H:$H,Specs!$I:$I,0)*_xlfn.XLOOKUP($L212,Specs!$A:$A,Specs!$B:$B,0))/240) *_xlfn.XLOOKUP($I212,'Solid Mix In Nutrition'!A:A,'Solid Mix In Nutrition'!I:I,0)) *IF(AND(NOT($I212=0), COUNTA($I212)),0.5,0)</f>
        <v>0</v>
      </c>
      <c r="X212" s="30">
        <f>_xlfn.XLOOKUP($P212,Specs!F:F,Specs!G:G,0)*_xlfn.XLOOKUP($J212,'Sweetener Mix In Nutrition'!A:A,'Sweetener Mix In Nutrition'!I:I,0)*_xlfn.XLOOKUP($L212,Specs!A:A,Specs!C:C,0)</f>
        <v>0</v>
      </c>
      <c r="Y212" s="30">
        <f>_xlfn.XLOOKUP($Q212,Specs!F:F,Specs!G:G,0)*_xlfn.XLOOKUP($K212,'Sweetener Mix In Nutrition'!A:A,'Sweetener Mix In Nutrition'!I:I,0)*_xlfn.XLOOKUP($L212,Specs!A:A,Specs!C:C,0)</f>
        <v>0</v>
      </c>
      <c r="Z212" s="34">
        <f t="shared" si="6"/>
        <v>0</v>
      </c>
      <c r="AA212" s="35">
        <f t="shared" si="7"/>
        <v>0</v>
      </c>
      <c r="AB212" s="36">
        <f>(($R212 / 240) * _xlfn.XLOOKUP($D212,'Milk Types Nutrition Per Cup'!A:A,'Milk Types Nutrition Per Cup'!B:B,0)) +(($S212 / 240)  * _xlfn.XLOOKUP($E212,'Milk Types Nutrition Per Cup'!A:A,'Milk Types Nutrition Per Cup'!B:B,0)) +(($T212 / 15)  * _xlfn.XLOOKUP($F212,'Liquid Mix In Nutrition'!A:A,'Liquid Mix In Nutrition'!B:B,0))+(($U212 / 15)  * _xlfn.XLOOKUP($G212,'Liquid Mix In Nutrition'!A:A,'Liquid Mix In Nutrition'!B:B,0))+(($V212 /MAX(1, _xlfn.XLOOKUP($H212,'Solid Mix In Nutrition'!A:A,'Solid Mix In Nutrition'!I:I,1)))  * _xlfn.XLOOKUP($H212,'Solid Mix In Nutrition'!A:A,'Solid Mix In Nutrition'!B:B,0))+(($W212 / MAX(1, _xlfn.XLOOKUP($I212,'Solid Mix In Nutrition'!A:A,'Solid Mix In Nutrition'!I:I,1))))+(($X212 / 100)  * _xlfn.XLOOKUP($J212,'Sweetener Mix In Nutrition'!A:A,'Sweetener Mix In Nutrition'!B:B,0))+(($Y212 / 100)  * _xlfn.XLOOKUP($K212,'Sweetener Mix In Nutrition'!A:A,'Sweetener Mix In Nutrition'!B:B,0))</f>
        <v>0</v>
      </c>
      <c r="AC212" s="36">
        <f>(($R212 / 240) * _xlfn.XLOOKUP($D212,'Milk Types Nutrition Per Cup'!A:A,'Milk Types Nutrition Per Cup'!E:E,0)) +(($S212 / 240)  * _xlfn.XLOOKUP($E212,'Milk Types Nutrition Per Cup'!A:A,'Milk Types Nutrition Per Cup'!E:E,0)) +(($T212 / 15)  * _xlfn.XLOOKUP($F212,'Liquid Mix In Nutrition'!A:A,'Liquid Mix In Nutrition'!E:E,0)) +(($U212 / 15)  * _xlfn.XLOOKUP($G212,'Liquid Mix In Nutrition'!A:A,'Liquid Mix In Nutrition'!E:E,0))+(($V212 / MAX(1, _xlfn.XLOOKUP($H212,'Solid Mix In Nutrition'!A:A,'Solid Mix In Nutrition'!I:I,1)))  * _xlfn.XLOOKUP($H212,'Solid Mix In Nutrition'!A:A,'Solid Mix In Nutrition'!E:E,0))+(($W212 / MAX(1, _xlfn.XLOOKUP($I212,'Solid Mix In Nutrition'!A:A,'Solid Mix In Nutrition'!I:I,1)))  * _xlfn.XLOOKUP($I212,'Solid Mix In Nutrition'!A:A,'Solid Mix In Nutrition'!G:G,0))+(($X212 / 100)  * _xlfn.XLOOKUP($J212,'Sweetener Mix In Nutrition'!A:A,'Sweetener Mix In Nutrition'!E:E,0))+(($Y212 / 100)  * _xlfn.XLOOKUP($K212,'Sweetener Mix In Nutrition'!A:A,'Sweetener Mix In Nutrition'!E:E,0))</f>
        <v>0</v>
      </c>
      <c r="AD212" s="36">
        <f>(($R212 / 240) * _xlfn.XLOOKUP($D212,'Milk Types Nutrition Per Cup'!A:A,'Milk Types Nutrition Per Cup'!E:E,0)) +(($S212 / 240)  * _xlfn.XLOOKUP($E212,'Milk Types Nutrition Per Cup'!A:A,'Milk Types Nutrition Per Cup'!E:E,0)) +(($T212 / 15)  * _xlfn.XLOOKUP($F212,'Liquid Mix In Nutrition'!A:A,'Liquid Mix In Nutrition'!E:E,0)) +(($U212 / 15)  * _xlfn.XLOOKUP($G212,'Liquid Mix In Nutrition'!A:A,'Liquid Mix In Nutrition'!E:E,0))+(($X212 / 100)  * _xlfn.XLOOKUP($J212,'Sweetener Mix In Nutrition'!A:A,'Sweetener Mix In Nutrition'!E:E,0))+(($Y212 / 100)  * _xlfn.XLOOKUP($K212,'Sweetener Mix In Nutrition'!A:A,'Sweetener Mix In Nutrition'!E:E,0))</f>
        <v>0</v>
      </c>
      <c r="AE212" s="37">
        <f>(($R212 / 240) * _xlfn.XLOOKUP($D212,'Milk Types Nutrition Per Cup'!A:A,'Milk Types Nutrition Per Cup'!C:C,0)) +(($S212 / 240)  * _xlfn.XLOOKUP($E212,'Milk Types Nutrition Per Cup'!A:A,'Milk Types Nutrition Per Cup'!C:C,0)) +(($T212 / 15)  * _xlfn.XLOOKUP($F212,'Liquid Mix In Nutrition'!A:A,'Liquid Mix In Nutrition'!C:C,0))+(($U212 / 15)  * _xlfn.XLOOKUP($G212,'Liquid Mix In Nutrition'!A:A,'Liquid Mix In Nutrition'!C:C,0))+(($V212 / MAX(1, _xlfn.XLOOKUP($H212,'Solid Mix In Nutrition'!A:A,'Solid Mix In Nutrition'!I:I,1)))  * _xlfn.XLOOKUP($H212,'Solid Mix In Nutrition'!A:A,'Solid Mix In Nutrition'!C:C,0))+(($W212 / MAX(1, _xlfn.XLOOKUP($I212,'Solid Mix In Nutrition'!A:A,'Solid Mix In Nutrition'!I:I,1)))  * _xlfn.XLOOKUP($I212,'Solid Mix In Nutrition'!A:A,'Solid Mix In Nutrition'!C:C,0))+(($X212 / 100)  * _xlfn.XLOOKUP($J212,'Sweetener Mix In Nutrition'!A:A,'Sweetener Mix In Nutrition'!C:C,0))+(($Y212 / 100)  * _xlfn.XLOOKUP($K212,'Sweetener Mix In Nutrition'!A:A,'Sweetener Mix In Nutrition'!C:C,0))</f>
        <v>0</v>
      </c>
      <c r="AF212" s="38" t="e">
        <f>$AE212 / (_xlfn.XLOOKUP($L212,Specs!A:A,Specs!B:B,0))</f>
        <v>#DIV/0!</v>
      </c>
      <c r="AG212" s="37" t="e">
        <f>60* ($AB212 / _xlfn.XLOOKUP($L212,Specs!A:A,Specs!B:B,0))</f>
        <v>#DIV/0!</v>
      </c>
      <c r="AH212" s="37" t="e">
        <f>60* (AC212 / _xlfn.XLOOKUP($L212,Specs!$A:$A,Specs!$B:$B,0))</f>
        <v>#DIV/0!</v>
      </c>
      <c r="AI212" s="37" t="e">
        <f>60* (AE212 / _xlfn.XLOOKUP($L212,Specs!$A:$A,Specs!$B:$B,0))</f>
        <v>#DIV/0!</v>
      </c>
      <c r="AJ212" s="39">
        <f>(($R212 / 240) * _xlfn.XLOOKUP($D212,'Milk Types Nutrition Per Cup'!A:A,'Milk Types Nutrition Per Cup'!F:F,0)) +(($S212 / 240)  * _xlfn.XLOOKUP($E212,'Milk Types Nutrition Per Cup'!A:A,'Milk Types Nutrition Per Cup'!F:F,0)) +(($T212 / 15)  * _xlfn.XLOOKUP($F212,'Liquid Mix In Nutrition'!A:A,'Liquid Mix In Nutrition'!F:F,0))+(($U212 / 15)  * _xlfn.XLOOKUP($G212,'Liquid Mix In Nutrition'!A:A,'Liquid Mix In Nutrition'!F:F,0))+(($V212 / MAX(1, _xlfn.XLOOKUP($H212,'Solid Mix In Nutrition'!A:A,'Solid Mix In Nutrition'!I:I,1)))  * _xlfn.XLOOKUP($H212,'Solid Mix In Nutrition'!A:A,'Solid Mix In Nutrition'!F:F,0))+(($W212 / MAX(1, _xlfn.XLOOKUP($I212,'Solid Mix In Nutrition'!A:A,'Solid Mix In Nutrition'!I:I,1)))  * _xlfn.XLOOKUP($I212,'Solid Mix In Nutrition'!A:A,'Solid Mix In Nutrition'!F:F,0))+(($X212 / 100)  * _xlfn.XLOOKUP($J212,'Sweetener Mix In Nutrition'!A:A,'Sweetener Mix In Nutrition'!F:F,0))+(($Y212 / 100)  * _xlfn.XLOOKUP($K212,'Sweetener Mix In Nutrition'!A:A,'Sweetener Mix In Nutrition'!F:F,0))</f>
        <v>0</v>
      </c>
      <c r="AK212" s="46">
        <f>[2]Sheet1!AG212</f>
        <v>0</v>
      </c>
      <c r="AL212" s="47"/>
      <c r="AM212" s="40">
        <f>IF(ISERROR(((AL212/Specs!$L$3)*Specs!$L$2)*2),0,ROUNDUP((((AL212/Specs!$L$3)*Specs!$L$2)*2),0))</f>
        <v>0</v>
      </c>
      <c r="AN212" s="48">
        <f>ROUNDUP(((AJ212+Specs!$R$2+Specs!$S$2+_xlfn.XLOOKUP($L212,Specs!A:A,Specs!V:V,0))*Specs!$N$2)+AM212,0)</f>
        <v>1</v>
      </c>
      <c r="AO212" s="40">
        <f>ROUNDUP(((AJ212+Specs!$R$2+Specs!$S$2+_xlfn.XLOOKUP($L212,Specs!A:A,Specs!V:V,0))*Specs!$N$2),0)</f>
        <v>1</v>
      </c>
      <c r="AP212" s="30"/>
    </row>
    <row r="213" spans="1:42" x14ac:dyDescent="0.25">
      <c r="A213" s="41" t="str">
        <f>_xlfn.CONCAT(_xlfn.XLOOKUP("What's Your Name?",[1]Sheet1!$1:$1,[1]Sheet1!213:213)," | ",TEXT(_xlfn.XLOOKUP("Completion time",[1]Sheet1!$1:$1,[1]Sheet1!213:213),"dddd, mmm dd, yyyy hh:mm AM/PM"))</f>
        <v xml:space="preserve"> | Saturday, Jan 00, 1900 12:00 AM</v>
      </c>
      <c r="B213" s="76">
        <f>_xlfn.XLOOKUP("What's Your Email Address?",[1]Sheet1!$1:$1,[1]Sheet1!213:213)</f>
        <v>0</v>
      </c>
      <c r="C213" s="31">
        <f>IF(ISBLANK(_xlfn.XLOOKUP("Which Flavor? (Pint Price | Quart Price | Half Gallon Price) (NOTE: Prices may fluctuate based on market conditions)",[1]Sheet1!$1:$1,[1]Sheet1!213:213)),_xlfn.XLOOKUP("Name Your Ice Cream!",[1]Sheet1!$1:$1,[1]Sheet1!213:213),IF(ISNUMBER(FIND("(", _xlfn.XLOOKUP("Which Flavor? (Pint Price | Quart Price | Half Gallon Price) (NOTE: Prices may fluctuate based on market conditions)",[1]Sheet1!$1:$1,[1]Sheet1!213:213))), LEFT(_xlfn.XLOOKUP("Which Flavor? (Pint Price | Quart Price | Half Gallon Price) (NOTE: Prices may fluctuate based on market conditions)",[1]Sheet1!$1:$1,[1]Sheet1!213:213), FIND("(", _xlfn.XLOOKUP("Which Flavor? (Pint Price | Quart Price | Half Gallon Price) (NOTE: Prices may fluctuate based on market conditions)",[1]Sheet1!$1:$1,[1]Sheet1!213:213)) - 1), _xlfn.XLOOKUP("Which Flavor? (Pint Price | Quart Price | Half Gallon Price) (NOTE: Prices may fluctuate based on market conditions)",[1]Sheet1!$1:$1,[1]Sheet1!213:213)))</f>
        <v>0</v>
      </c>
      <c r="D213" s="31">
        <f>IF(COUNTIF('Premade Flavors'!$A:$A, $C213) &gt; 0,IF(ISBLANK(_xlfn.XLOOKUP("What Ice Cream Base Do You Want To Change It To?",[1]Sheet1!$1:$1,[1]Sheet1!213:213)),_xlfn.XLOOKUP($C213,'Premade Flavors'!$A:$A,'Premade Flavors'!B:B),_xlfn.XLOOKUP("What Ice Cream Base Do You Want To Change It To?",[1]Sheet1!$1:$1,[1]Sheet1!213:213)),_xlfn.XLOOKUP(_xlfn.XLOOKUP("What Kind Of Ice Cream Base Do You Want? ",[1]Sheet1!$1:$1,[1]Sheet1!213:213),'Milk Types Nutrition Per Cup'!O:O,'Milk Types Nutrition Per Cup'!P:P,""))</f>
        <v>0</v>
      </c>
      <c r="E213" s="31">
        <f>IF(COUNTIF('Premade Flavors'!$A:$A, $C213) &gt; 0,IF(ISBLANK(_xlfn.XLOOKUP("What Ice Cream Base Do You Want To Change It To?",[1]Sheet1!$1:$1,[1]Sheet1!213:213)),_xlfn.XLOOKUP($C213,'Premade Flavors'!$A:$A,'Premade Flavors'!C:C),_xlfn.XLOOKUP("What Ice Cream Base Do You Want To Change It To?",[1]Sheet1!$1:$1,[1]Sheet1!213:213)),_xlfn.XLOOKUP(_xlfn.XLOOKUP("What Kind Of Ice Cream Base Do You Want? ",[1]Sheet1!$1:$1,[1]Sheet1!213:213),'Milk Types Nutrition Per Cup'!$O:$O,'Milk Types Nutrition Per Cup'!$Q:$Q,""))</f>
        <v>0</v>
      </c>
      <c r="F213" s="31">
        <f>IF(COUNTIF('Premade Flavors'!$A:$A, $C213) &gt; 0,_xlfn.XLOOKUP($C213,'Premade Flavors'!$A:$A,'Premade Flavors'!E:E),_xlfn.XLOOKUP("What's The First Flavor You Want? ",[1]Sheet1!$1:$1,[1]Sheet1!213:213))</f>
        <v>0</v>
      </c>
      <c r="G213" s="31">
        <f>IF(COUNTIF('Premade Flavors'!$A:$A, $C213) &gt; 0,_xlfn.XLOOKUP($C213,'Premade Flavors'!$A:$A,'Premade Flavors'!F:F),_xlfn.XLOOKUP("What's the Second Flavor You Want?",[1]Sheet1!$1:$1,[1]Sheet1!213:213))</f>
        <v>0</v>
      </c>
      <c r="H213" s="31">
        <f>IF(COUNTIF('Premade Flavors'!$A:$A, $C213) &gt; 0,_xlfn.XLOOKUP($C213,'Premade Flavors'!$A:$A,'Premade Flavors'!G:G),_xlfn.XLOOKUP("What's The First Mix In That You Want? ",[1]Sheet1!$1:$1,[1]Sheet1!213:213))</f>
        <v>0</v>
      </c>
      <c r="I213" s="31">
        <f>IF(COUNTIF('Premade Flavors'!$A:$A, $C211) &gt; 0,_xlfn.XLOOKUP($C211,'Premade Flavors'!$A:$A,'Premade Flavors'!H:H),IF([2]Sheet1!W211= 0,,[2]Sheet1!W211))</f>
        <v>0</v>
      </c>
      <c r="J213" s="31">
        <f>IF(COUNTIF('Premade Flavors'!$A:$A,$C213)&gt;0,IF(_xlfn.XLOOKUP("Should It Use Sugar or A Non-Sugar Sweetner?",[1]Sheet1!$1:$1,[1]Sheet1!213:213)="Sugar",_xlfn.XLOOKUP($C213,'Premade Flavors'!$A:$A,'Premade Flavors'!I:I),"Stevia"),_xlfn.XLOOKUP("What Sweetner Do You Want?",[1]Sheet1!$1:$1,[1]Sheet1!213:213))</f>
        <v>0</v>
      </c>
      <c r="K213" s="31"/>
      <c r="L213" s="77">
        <f>_xlfn.XLOOKUP("How Much Ice Cream Do You Want?",[1]Sheet1!$1:$1,[1]Sheet1!213:213)</f>
        <v>0</v>
      </c>
      <c r="M213" s="45">
        <f>IF(COUNTIF('Premade Flavors'!$A:$A, $C213) &gt; 0,_xlfn.XLOOKUP($C213,'Premade Flavors'!$A:$A,'Premade Flavors'!M:M),_xlfn.XLOOKUP("How Strong Do You Want The First Flavor?",[1]Sheet1!$1:$1,[1]Sheet1!213:213))</f>
        <v>0</v>
      </c>
      <c r="N213" s="45">
        <f>IF(COUNTIF('Premade Flavors'!$A:$A, $C213) &gt; 0,_xlfn.XLOOKUP($C213,'Premade Flavors'!$A:$A,'Premade Flavors'!N:N),_xlfn.XLOOKUP("How Strong Do You Want The Second Flavor?",[1]Sheet1!$1:$1,[1]Sheet1!213:213))</f>
        <v>0</v>
      </c>
      <c r="O213" s="45">
        <f>IF(COUNTIF('Premade Flavors'!$A:$A, $C213) &gt; 0,_xlfn.XLOOKUP($C213,'Premade Flavors'!$A:$A,'Premade Flavors'!O:O),_xlfn.XLOOKUP("How Dense Should the Mix Ins Be?",[1]Sheet1!$1:$1,[1]Sheet1!213:213))</f>
        <v>0</v>
      </c>
      <c r="P213" s="45">
        <f>IF(COUNTIF('Premade Flavors'!$A:$A, $C213) &gt; 0,_xlfn.XLOOKUP($C213,'Premade Flavors'!$A:$A,'Premade Flavors'!P:P),_xlfn.XLOOKUP("How Much Of The First Sweetner? ",[1]Sheet1!$1:$1,[1]Sheet1!213:213))</f>
        <v>0</v>
      </c>
      <c r="Q213" s="45">
        <f>IF(COUNTIF('Premade Flavors'!$A:$A, $C213) &gt; 0,_xlfn.XLOOKUP($C213,'Premade Flavors'!$A:$A,'Premade Flavors'!Q:Q),[2]Sheet1!S213)</f>
        <v>0</v>
      </c>
      <c r="R213" s="30">
        <f>(_xlfn.XLOOKUP($L213,Specs!A:A,Specs!B:B,0)-(IF(_xlfn.XLOOKUP($F213,'Liquid Mix In Nutrition'!A:A,'Liquid Mix In Nutrition'!J:J,0)="Yes",0,$T213))-(IF(_xlfn.XLOOKUP($G213,'Liquid Mix In Nutrition'!A:A,'Liquid Mix In Nutrition'!J:J,0)="Yes",0,$U213))-(($V213/MAX(1,_xlfn.XLOOKUP($H213,'Solid Mix In Nutrition'!A:A,'Solid Mix In Nutrition'!I:I,1)))*240)-(($W213/MAX(1,_xlfn.XLOOKUP($I213,'Solid Mix In Nutrition'!A:A,'Solid Mix In Nutrition'!I:I,1)))*240))*0.66</f>
        <v>0</v>
      </c>
      <c r="S213" s="30">
        <f>(_xlfn.XLOOKUP($L213,Specs!A:A,Specs!B:B,0)-(IF(_xlfn.XLOOKUP($F213,'Liquid Mix In Nutrition'!A:A,'Liquid Mix In Nutrition'!J:J,0)="Yes",0,$T213))-(IF(_xlfn.XLOOKUP($G213,'Liquid Mix In Nutrition'!A:A,'Liquid Mix In Nutrition'!J:J,0)="Yes",0,$U213))-(($V213/MAX(1,_xlfn.XLOOKUP($H213,'Solid Mix In Nutrition'!A:A,'Solid Mix In Nutrition'!I:I,1)))*240)-(($W213/MAX(1,_xlfn.XLOOKUP($I213,'Solid Mix In Nutrition'!A:A,'Solid Mix In Nutrition'!I:I,1)))*240))*0.33</f>
        <v>0</v>
      </c>
      <c r="T213" s="30">
        <f>_xlfn.XLOOKUP($M213,Specs!$D:$D,Specs!$E:$E,0)*15*_xlfn.XLOOKUP($L213,Specs!$A:$A,Specs!$C:$C,0)</f>
        <v>0</v>
      </c>
      <c r="U213" s="30">
        <f>_xlfn.XLOOKUP($N213,Specs!$D:$D,Specs!$E:$E,0)*15*_xlfn.XLOOKUP($L213,Specs!$A:$A,Specs!$C:$C,0)</f>
        <v>0</v>
      </c>
      <c r="V213" s="30">
        <f>( ((_xlfn.XLOOKUP($O213,Specs!$H:$H,Specs!$I:$I,0)*_xlfn.XLOOKUP($L213,Specs!$A:$A,Specs!$B:$B,0))/240) *_xlfn.XLOOKUP($H213,'Solid Mix In Nutrition'!A:A,'Solid Mix In Nutrition'!I:I,0)) *IF(AND(NOT($I213=0), COUNTA($I213)),0.5,1)</f>
        <v>0</v>
      </c>
      <c r="W213" s="30">
        <f>( ((_xlfn.XLOOKUP($O213,Specs!$H:$H,Specs!$I:$I,0)*_xlfn.XLOOKUP($L213,Specs!$A:$A,Specs!$B:$B,0))/240) *_xlfn.XLOOKUP($I213,'Solid Mix In Nutrition'!A:A,'Solid Mix In Nutrition'!I:I,0)) *IF(AND(NOT($I213=0), COUNTA($I213)),0.5,0)</f>
        <v>0</v>
      </c>
      <c r="X213" s="30">
        <f>_xlfn.XLOOKUP($P213,Specs!F:F,Specs!G:G,0)*_xlfn.XLOOKUP($J213,'Sweetener Mix In Nutrition'!A:A,'Sweetener Mix In Nutrition'!I:I,0)*_xlfn.XLOOKUP($L213,Specs!A:A,Specs!C:C,0)</f>
        <v>0</v>
      </c>
      <c r="Y213" s="30">
        <f>_xlfn.XLOOKUP($Q213,Specs!F:F,Specs!G:G,0)*_xlfn.XLOOKUP($K213,'Sweetener Mix In Nutrition'!A:A,'Sweetener Mix In Nutrition'!I:I,0)*_xlfn.XLOOKUP($L213,Specs!A:A,Specs!C:C,0)</f>
        <v>0</v>
      </c>
      <c r="Z213" s="34">
        <f t="shared" si="6"/>
        <v>0</v>
      </c>
      <c r="AA213" s="35">
        <f t="shared" si="7"/>
        <v>0</v>
      </c>
      <c r="AB213" s="36">
        <f>(($R213 / 240) * _xlfn.XLOOKUP($D213,'Milk Types Nutrition Per Cup'!A:A,'Milk Types Nutrition Per Cup'!B:B,0)) +(($S213 / 240)  * _xlfn.XLOOKUP($E213,'Milk Types Nutrition Per Cup'!A:A,'Milk Types Nutrition Per Cup'!B:B,0)) +(($T213 / 15)  * _xlfn.XLOOKUP($F213,'Liquid Mix In Nutrition'!A:A,'Liquid Mix In Nutrition'!B:B,0))+(($U213 / 15)  * _xlfn.XLOOKUP($G213,'Liquid Mix In Nutrition'!A:A,'Liquid Mix In Nutrition'!B:B,0))+(($V213 /MAX(1, _xlfn.XLOOKUP($H213,'Solid Mix In Nutrition'!A:A,'Solid Mix In Nutrition'!I:I,1)))  * _xlfn.XLOOKUP($H213,'Solid Mix In Nutrition'!A:A,'Solid Mix In Nutrition'!B:B,0))+(($W213 / MAX(1, _xlfn.XLOOKUP($I213,'Solid Mix In Nutrition'!A:A,'Solid Mix In Nutrition'!I:I,1))))+(($X213 / 100)  * _xlfn.XLOOKUP($J213,'Sweetener Mix In Nutrition'!A:A,'Sweetener Mix In Nutrition'!B:B,0))+(($Y213 / 100)  * _xlfn.XLOOKUP($K213,'Sweetener Mix In Nutrition'!A:A,'Sweetener Mix In Nutrition'!B:B,0))</f>
        <v>0</v>
      </c>
      <c r="AC213" s="36">
        <f>(($R213 / 240) * _xlfn.XLOOKUP($D213,'Milk Types Nutrition Per Cup'!A:A,'Milk Types Nutrition Per Cup'!E:E,0)) +(($S213 / 240)  * _xlfn.XLOOKUP($E213,'Milk Types Nutrition Per Cup'!A:A,'Milk Types Nutrition Per Cup'!E:E,0)) +(($T213 / 15)  * _xlfn.XLOOKUP($F213,'Liquid Mix In Nutrition'!A:A,'Liquid Mix In Nutrition'!E:E,0)) +(($U213 / 15)  * _xlfn.XLOOKUP($G213,'Liquid Mix In Nutrition'!A:A,'Liquid Mix In Nutrition'!E:E,0))+(($V213 / MAX(1, _xlfn.XLOOKUP($H213,'Solid Mix In Nutrition'!A:A,'Solid Mix In Nutrition'!I:I,1)))  * _xlfn.XLOOKUP($H213,'Solid Mix In Nutrition'!A:A,'Solid Mix In Nutrition'!E:E,0))+(($W213 / MAX(1, _xlfn.XLOOKUP($I213,'Solid Mix In Nutrition'!A:A,'Solid Mix In Nutrition'!I:I,1)))  * _xlfn.XLOOKUP($I213,'Solid Mix In Nutrition'!A:A,'Solid Mix In Nutrition'!G:G,0))+(($X213 / 100)  * _xlfn.XLOOKUP($J213,'Sweetener Mix In Nutrition'!A:A,'Sweetener Mix In Nutrition'!E:E,0))+(($Y213 / 100)  * _xlfn.XLOOKUP($K213,'Sweetener Mix In Nutrition'!A:A,'Sweetener Mix In Nutrition'!E:E,0))</f>
        <v>0</v>
      </c>
      <c r="AD213" s="36">
        <f>(($R213 / 240) * _xlfn.XLOOKUP($D213,'Milk Types Nutrition Per Cup'!A:A,'Milk Types Nutrition Per Cup'!E:E,0)) +(($S213 / 240)  * _xlfn.XLOOKUP($E213,'Milk Types Nutrition Per Cup'!A:A,'Milk Types Nutrition Per Cup'!E:E,0)) +(($T213 / 15)  * _xlfn.XLOOKUP($F213,'Liquid Mix In Nutrition'!A:A,'Liquid Mix In Nutrition'!E:E,0)) +(($U213 / 15)  * _xlfn.XLOOKUP($G213,'Liquid Mix In Nutrition'!A:A,'Liquid Mix In Nutrition'!E:E,0))+(($X213 / 100)  * _xlfn.XLOOKUP($J213,'Sweetener Mix In Nutrition'!A:A,'Sweetener Mix In Nutrition'!E:E,0))+(($Y213 / 100)  * _xlfn.XLOOKUP($K213,'Sweetener Mix In Nutrition'!A:A,'Sweetener Mix In Nutrition'!E:E,0))</f>
        <v>0</v>
      </c>
      <c r="AE213" s="37">
        <f>(($R213 / 240) * _xlfn.XLOOKUP($D213,'Milk Types Nutrition Per Cup'!A:A,'Milk Types Nutrition Per Cup'!C:C,0)) +(($S213 / 240)  * _xlfn.XLOOKUP($E213,'Milk Types Nutrition Per Cup'!A:A,'Milk Types Nutrition Per Cup'!C:C,0)) +(($T213 / 15)  * _xlfn.XLOOKUP($F213,'Liquid Mix In Nutrition'!A:A,'Liquid Mix In Nutrition'!C:C,0))+(($U213 / 15)  * _xlfn.XLOOKUP($G213,'Liquid Mix In Nutrition'!A:A,'Liquid Mix In Nutrition'!C:C,0))+(($V213 / MAX(1, _xlfn.XLOOKUP($H213,'Solid Mix In Nutrition'!A:A,'Solid Mix In Nutrition'!I:I,1)))  * _xlfn.XLOOKUP($H213,'Solid Mix In Nutrition'!A:A,'Solid Mix In Nutrition'!C:C,0))+(($W213 / MAX(1, _xlfn.XLOOKUP($I213,'Solid Mix In Nutrition'!A:A,'Solid Mix In Nutrition'!I:I,1)))  * _xlfn.XLOOKUP($I213,'Solid Mix In Nutrition'!A:A,'Solid Mix In Nutrition'!C:C,0))+(($X213 / 100)  * _xlfn.XLOOKUP($J213,'Sweetener Mix In Nutrition'!A:A,'Sweetener Mix In Nutrition'!C:C,0))+(($Y213 / 100)  * _xlfn.XLOOKUP($K213,'Sweetener Mix In Nutrition'!A:A,'Sweetener Mix In Nutrition'!C:C,0))</f>
        <v>0</v>
      </c>
      <c r="AF213" s="38" t="e">
        <f>$AE213 / (_xlfn.XLOOKUP($L213,Specs!A:A,Specs!B:B,0))</f>
        <v>#DIV/0!</v>
      </c>
      <c r="AG213" s="37" t="e">
        <f>60* ($AB213 / _xlfn.XLOOKUP($L213,Specs!A:A,Specs!B:B,0))</f>
        <v>#DIV/0!</v>
      </c>
      <c r="AH213" s="37" t="e">
        <f>60* (AC213 / _xlfn.XLOOKUP($L213,Specs!$A:$A,Specs!$B:$B,0))</f>
        <v>#DIV/0!</v>
      </c>
      <c r="AI213" s="37" t="e">
        <f>60* (AE213 / _xlfn.XLOOKUP($L213,Specs!$A:$A,Specs!$B:$B,0))</f>
        <v>#DIV/0!</v>
      </c>
      <c r="AJ213" s="39">
        <f>(($R213 / 240) * _xlfn.XLOOKUP($D213,'Milk Types Nutrition Per Cup'!A:A,'Milk Types Nutrition Per Cup'!F:F,0)) +(($S213 / 240)  * _xlfn.XLOOKUP($E213,'Milk Types Nutrition Per Cup'!A:A,'Milk Types Nutrition Per Cup'!F:F,0)) +(($T213 / 15)  * _xlfn.XLOOKUP($F213,'Liquid Mix In Nutrition'!A:A,'Liquid Mix In Nutrition'!F:F,0))+(($U213 / 15)  * _xlfn.XLOOKUP($G213,'Liquid Mix In Nutrition'!A:A,'Liquid Mix In Nutrition'!F:F,0))+(($V213 / MAX(1, _xlfn.XLOOKUP($H213,'Solid Mix In Nutrition'!A:A,'Solid Mix In Nutrition'!I:I,1)))  * _xlfn.XLOOKUP($H213,'Solid Mix In Nutrition'!A:A,'Solid Mix In Nutrition'!F:F,0))+(($W213 / MAX(1, _xlfn.XLOOKUP($I213,'Solid Mix In Nutrition'!A:A,'Solid Mix In Nutrition'!I:I,1)))  * _xlfn.XLOOKUP($I213,'Solid Mix In Nutrition'!A:A,'Solid Mix In Nutrition'!F:F,0))+(($X213 / 100)  * _xlfn.XLOOKUP($J213,'Sweetener Mix In Nutrition'!A:A,'Sweetener Mix In Nutrition'!F:F,0))+(($Y213 / 100)  * _xlfn.XLOOKUP($K213,'Sweetener Mix In Nutrition'!A:A,'Sweetener Mix In Nutrition'!F:F,0))</f>
        <v>0</v>
      </c>
      <c r="AK213" s="46">
        <f>[2]Sheet1!AG213</f>
        <v>0</v>
      </c>
      <c r="AL213" s="47"/>
      <c r="AM213" s="40">
        <f>IF(ISERROR(((AL213/Specs!$L$3)*Specs!$L$2)*2),0,ROUNDUP((((AL213/Specs!$L$3)*Specs!$L$2)*2),0))</f>
        <v>0</v>
      </c>
      <c r="AN213" s="48">
        <f>ROUNDUP(((AJ213+Specs!$R$2+Specs!$S$2+_xlfn.XLOOKUP($L213,Specs!A:A,Specs!V:V,0))*Specs!$N$2)+AM213,0)</f>
        <v>1</v>
      </c>
      <c r="AO213" s="40">
        <f>ROUNDUP(((AJ213+Specs!$R$2+Specs!$S$2+_xlfn.XLOOKUP($L213,Specs!A:A,Specs!V:V,0))*Specs!$N$2),0)</f>
        <v>1</v>
      </c>
      <c r="AP213" s="30"/>
    </row>
    <row r="214" spans="1:42" x14ac:dyDescent="0.25">
      <c r="A214" s="41" t="str">
        <f>_xlfn.CONCAT(_xlfn.XLOOKUP("What's Your Name?",[1]Sheet1!$1:$1,[1]Sheet1!214:214)," | ",TEXT(_xlfn.XLOOKUP("Completion time",[1]Sheet1!$1:$1,[1]Sheet1!214:214),"dddd, mmm dd, yyyy hh:mm AM/PM"))</f>
        <v xml:space="preserve"> | Saturday, Jan 00, 1900 12:00 AM</v>
      </c>
      <c r="B214" s="76">
        <f>_xlfn.XLOOKUP("What's Your Email Address?",[1]Sheet1!$1:$1,[1]Sheet1!214:214)</f>
        <v>0</v>
      </c>
      <c r="C214" s="31">
        <f>IF(ISBLANK(_xlfn.XLOOKUP("Which Flavor? (Pint Price | Quart Price | Half Gallon Price) (NOTE: Prices may fluctuate based on market conditions)",[1]Sheet1!$1:$1,[1]Sheet1!214:214)),_xlfn.XLOOKUP("Name Your Ice Cream!",[1]Sheet1!$1:$1,[1]Sheet1!214:214),IF(ISNUMBER(FIND("(", _xlfn.XLOOKUP("Which Flavor? (Pint Price | Quart Price | Half Gallon Price) (NOTE: Prices may fluctuate based on market conditions)",[1]Sheet1!$1:$1,[1]Sheet1!214:214))), LEFT(_xlfn.XLOOKUP("Which Flavor? (Pint Price | Quart Price | Half Gallon Price) (NOTE: Prices may fluctuate based on market conditions)",[1]Sheet1!$1:$1,[1]Sheet1!214:214), FIND("(", _xlfn.XLOOKUP("Which Flavor? (Pint Price | Quart Price | Half Gallon Price) (NOTE: Prices may fluctuate based on market conditions)",[1]Sheet1!$1:$1,[1]Sheet1!214:214)) - 1), _xlfn.XLOOKUP("Which Flavor? (Pint Price | Quart Price | Half Gallon Price) (NOTE: Prices may fluctuate based on market conditions)",[1]Sheet1!$1:$1,[1]Sheet1!214:214)))</f>
        <v>0</v>
      </c>
      <c r="D214" s="31">
        <f>IF(COUNTIF('Premade Flavors'!$A:$A, $C214) &gt; 0,IF(ISBLANK(_xlfn.XLOOKUP("What Ice Cream Base Do You Want To Change It To?",[1]Sheet1!$1:$1,[1]Sheet1!214:214)),_xlfn.XLOOKUP($C214,'Premade Flavors'!$A:$A,'Premade Flavors'!B:B),_xlfn.XLOOKUP("What Ice Cream Base Do You Want To Change It To?",[1]Sheet1!$1:$1,[1]Sheet1!214:214)),_xlfn.XLOOKUP(_xlfn.XLOOKUP("What Kind Of Ice Cream Base Do You Want? ",[1]Sheet1!$1:$1,[1]Sheet1!214:214),'Milk Types Nutrition Per Cup'!O:O,'Milk Types Nutrition Per Cup'!P:P,""))</f>
        <v>0</v>
      </c>
      <c r="E214" s="31">
        <f>IF(COUNTIF('Premade Flavors'!$A:$A, $C214) &gt; 0,IF(ISBLANK(_xlfn.XLOOKUP("What Ice Cream Base Do You Want To Change It To?",[1]Sheet1!$1:$1,[1]Sheet1!214:214)),_xlfn.XLOOKUP($C214,'Premade Flavors'!$A:$A,'Premade Flavors'!C:C),_xlfn.XLOOKUP("What Ice Cream Base Do You Want To Change It To?",[1]Sheet1!$1:$1,[1]Sheet1!214:214)),_xlfn.XLOOKUP(_xlfn.XLOOKUP("What Kind Of Ice Cream Base Do You Want? ",[1]Sheet1!$1:$1,[1]Sheet1!214:214),'Milk Types Nutrition Per Cup'!$O:$O,'Milk Types Nutrition Per Cup'!$Q:$Q,""))</f>
        <v>0</v>
      </c>
      <c r="F214" s="31">
        <f>IF(COUNTIF('Premade Flavors'!$A:$A, $C214) &gt; 0,_xlfn.XLOOKUP($C214,'Premade Flavors'!$A:$A,'Premade Flavors'!E:E),_xlfn.XLOOKUP("What's The First Flavor You Want? ",[1]Sheet1!$1:$1,[1]Sheet1!214:214))</f>
        <v>0</v>
      </c>
      <c r="G214" s="31">
        <f>IF(COUNTIF('Premade Flavors'!$A:$A, $C214) &gt; 0,_xlfn.XLOOKUP($C214,'Premade Flavors'!$A:$A,'Premade Flavors'!F:F),_xlfn.XLOOKUP("What's the Second Flavor You Want?",[1]Sheet1!$1:$1,[1]Sheet1!214:214))</f>
        <v>0</v>
      </c>
      <c r="H214" s="31">
        <f>IF(COUNTIF('Premade Flavors'!$A:$A, $C214) &gt; 0,_xlfn.XLOOKUP($C214,'Premade Flavors'!$A:$A,'Premade Flavors'!G:G),_xlfn.XLOOKUP("What's The First Mix In That You Want? ",[1]Sheet1!$1:$1,[1]Sheet1!214:214))</f>
        <v>0</v>
      </c>
      <c r="I214" s="31">
        <f>IF(COUNTIF('Premade Flavors'!$A:$A, $C212) &gt; 0,_xlfn.XLOOKUP($C212,'Premade Flavors'!$A:$A,'Premade Flavors'!H:H),IF([2]Sheet1!W212= 0,,[2]Sheet1!W212))</f>
        <v>0</v>
      </c>
      <c r="J214" s="31">
        <f>IF(COUNTIF('Premade Flavors'!$A:$A,$C214)&gt;0,IF(_xlfn.XLOOKUP("Should It Use Sugar or A Non-Sugar Sweetner?",[1]Sheet1!$1:$1,[1]Sheet1!214:214)="Sugar",_xlfn.XLOOKUP($C214,'Premade Flavors'!$A:$A,'Premade Flavors'!I:I),"Stevia"),_xlfn.XLOOKUP("What Sweetner Do You Want?",[1]Sheet1!$1:$1,[1]Sheet1!214:214))</f>
        <v>0</v>
      </c>
      <c r="K214" s="31"/>
      <c r="L214" s="77">
        <f>_xlfn.XLOOKUP("How Much Ice Cream Do You Want?",[1]Sheet1!$1:$1,[1]Sheet1!214:214)</f>
        <v>0</v>
      </c>
      <c r="M214" s="45">
        <f>IF(COUNTIF('Premade Flavors'!$A:$A, $C214) &gt; 0,_xlfn.XLOOKUP($C214,'Premade Flavors'!$A:$A,'Premade Flavors'!M:M),_xlfn.XLOOKUP("How Strong Do You Want The First Flavor?",[1]Sheet1!$1:$1,[1]Sheet1!214:214))</f>
        <v>0</v>
      </c>
      <c r="N214" s="45">
        <f>IF(COUNTIF('Premade Flavors'!$A:$A, $C214) &gt; 0,_xlfn.XLOOKUP($C214,'Premade Flavors'!$A:$A,'Premade Flavors'!N:N),_xlfn.XLOOKUP("How Strong Do You Want The Second Flavor?",[1]Sheet1!$1:$1,[1]Sheet1!214:214))</f>
        <v>0</v>
      </c>
      <c r="O214" s="45">
        <f>IF(COUNTIF('Premade Flavors'!$A:$A, $C214) &gt; 0,_xlfn.XLOOKUP($C214,'Premade Flavors'!$A:$A,'Premade Flavors'!O:O),_xlfn.XLOOKUP("How Dense Should the Mix Ins Be?",[1]Sheet1!$1:$1,[1]Sheet1!214:214))</f>
        <v>0</v>
      </c>
      <c r="P214" s="45">
        <f>IF(COUNTIF('Premade Flavors'!$A:$A, $C214) &gt; 0,_xlfn.XLOOKUP($C214,'Premade Flavors'!$A:$A,'Premade Flavors'!P:P),_xlfn.XLOOKUP("How Much Of The First Sweetner? ",[1]Sheet1!$1:$1,[1]Sheet1!214:214))</f>
        <v>0</v>
      </c>
      <c r="Q214" s="45">
        <f>IF(COUNTIF('Premade Flavors'!$A:$A, $C214) &gt; 0,_xlfn.XLOOKUP($C214,'Premade Flavors'!$A:$A,'Premade Flavors'!Q:Q),[2]Sheet1!S214)</f>
        <v>0</v>
      </c>
      <c r="R214" s="30">
        <f>(_xlfn.XLOOKUP($L214,Specs!A:A,Specs!B:B,0)-(IF(_xlfn.XLOOKUP($F214,'Liquid Mix In Nutrition'!A:A,'Liquid Mix In Nutrition'!J:J,0)="Yes",0,$T214))-(IF(_xlfn.XLOOKUP($G214,'Liquid Mix In Nutrition'!A:A,'Liquid Mix In Nutrition'!J:J,0)="Yes",0,$U214))-(($V214/MAX(1,_xlfn.XLOOKUP($H214,'Solid Mix In Nutrition'!A:A,'Solid Mix In Nutrition'!I:I,1)))*240)-(($W214/MAX(1,_xlfn.XLOOKUP($I214,'Solid Mix In Nutrition'!A:A,'Solid Mix In Nutrition'!I:I,1)))*240))*0.66</f>
        <v>0</v>
      </c>
      <c r="S214" s="30">
        <f>(_xlfn.XLOOKUP($L214,Specs!A:A,Specs!B:B,0)-(IF(_xlfn.XLOOKUP($F214,'Liquid Mix In Nutrition'!A:A,'Liquid Mix In Nutrition'!J:J,0)="Yes",0,$T214))-(IF(_xlfn.XLOOKUP($G214,'Liquid Mix In Nutrition'!A:A,'Liquid Mix In Nutrition'!J:J,0)="Yes",0,$U214))-(($V214/MAX(1,_xlfn.XLOOKUP($H214,'Solid Mix In Nutrition'!A:A,'Solid Mix In Nutrition'!I:I,1)))*240)-(($W214/MAX(1,_xlfn.XLOOKUP($I214,'Solid Mix In Nutrition'!A:A,'Solid Mix In Nutrition'!I:I,1)))*240))*0.33</f>
        <v>0</v>
      </c>
      <c r="T214" s="30">
        <f>_xlfn.XLOOKUP($M214,Specs!$D:$D,Specs!$E:$E,0)*15*_xlfn.XLOOKUP($L214,Specs!$A:$A,Specs!$C:$C,0)</f>
        <v>0</v>
      </c>
      <c r="U214" s="30">
        <f>_xlfn.XLOOKUP($N214,Specs!$D:$D,Specs!$E:$E,0)*15*_xlfn.XLOOKUP($L214,Specs!$A:$A,Specs!$C:$C,0)</f>
        <v>0</v>
      </c>
      <c r="V214" s="30">
        <f>( ((_xlfn.XLOOKUP($O214,Specs!$H:$H,Specs!$I:$I,0)*_xlfn.XLOOKUP($L214,Specs!$A:$A,Specs!$B:$B,0))/240) *_xlfn.XLOOKUP($H214,'Solid Mix In Nutrition'!A:A,'Solid Mix In Nutrition'!I:I,0)) *IF(AND(NOT($I214=0), COUNTA($I214)),0.5,1)</f>
        <v>0</v>
      </c>
      <c r="W214" s="30">
        <f>( ((_xlfn.XLOOKUP($O214,Specs!$H:$H,Specs!$I:$I,0)*_xlfn.XLOOKUP($L214,Specs!$A:$A,Specs!$B:$B,0))/240) *_xlfn.XLOOKUP($I214,'Solid Mix In Nutrition'!A:A,'Solid Mix In Nutrition'!I:I,0)) *IF(AND(NOT($I214=0), COUNTA($I214)),0.5,0)</f>
        <v>0</v>
      </c>
      <c r="X214" s="30">
        <f>_xlfn.XLOOKUP($P214,Specs!F:F,Specs!G:G,0)*_xlfn.XLOOKUP($J214,'Sweetener Mix In Nutrition'!A:A,'Sweetener Mix In Nutrition'!I:I,0)*_xlfn.XLOOKUP($L214,Specs!A:A,Specs!C:C,0)</f>
        <v>0</v>
      </c>
      <c r="Y214" s="30">
        <f>_xlfn.XLOOKUP($Q214,Specs!F:F,Specs!G:G,0)*_xlfn.XLOOKUP($K214,'Sweetener Mix In Nutrition'!A:A,'Sweetener Mix In Nutrition'!I:I,0)*_xlfn.XLOOKUP($L214,Specs!A:A,Specs!C:C,0)</f>
        <v>0</v>
      </c>
      <c r="Z214" s="34">
        <f t="shared" si="6"/>
        <v>0</v>
      </c>
      <c r="AA214" s="35">
        <f t="shared" si="7"/>
        <v>0</v>
      </c>
      <c r="AB214" s="36">
        <f>(($R214 / 240) * _xlfn.XLOOKUP($D214,'Milk Types Nutrition Per Cup'!A:A,'Milk Types Nutrition Per Cup'!B:B,0)) +(($S214 / 240)  * _xlfn.XLOOKUP($E214,'Milk Types Nutrition Per Cup'!A:A,'Milk Types Nutrition Per Cup'!B:B,0)) +(($T214 / 15)  * _xlfn.XLOOKUP($F214,'Liquid Mix In Nutrition'!A:A,'Liquid Mix In Nutrition'!B:B,0))+(($U214 / 15)  * _xlfn.XLOOKUP($G214,'Liquid Mix In Nutrition'!A:A,'Liquid Mix In Nutrition'!B:B,0))+(($V214 /MAX(1, _xlfn.XLOOKUP($H214,'Solid Mix In Nutrition'!A:A,'Solid Mix In Nutrition'!I:I,1)))  * _xlfn.XLOOKUP($H214,'Solid Mix In Nutrition'!A:A,'Solid Mix In Nutrition'!B:B,0))+(($W214 / MAX(1, _xlfn.XLOOKUP($I214,'Solid Mix In Nutrition'!A:A,'Solid Mix In Nutrition'!I:I,1))))+(($X214 / 100)  * _xlfn.XLOOKUP($J214,'Sweetener Mix In Nutrition'!A:A,'Sweetener Mix In Nutrition'!B:B,0))+(($Y214 / 100)  * _xlfn.XLOOKUP($K214,'Sweetener Mix In Nutrition'!A:A,'Sweetener Mix In Nutrition'!B:B,0))</f>
        <v>0</v>
      </c>
      <c r="AC214" s="36">
        <f>(($R214 / 240) * _xlfn.XLOOKUP($D214,'Milk Types Nutrition Per Cup'!A:A,'Milk Types Nutrition Per Cup'!E:E,0)) +(($S214 / 240)  * _xlfn.XLOOKUP($E214,'Milk Types Nutrition Per Cup'!A:A,'Milk Types Nutrition Per Cup'!E:E,0)) +(($T214 / 15)  * _xlfn.XLOOKUP($F214,'Liquid Mix In Nutrition'!A:A,'Liquid Mix In Nutrition'!E:E,0)) +(($U214 / 15)  * _xlfn.XLOOKUP($G214,'Liquid Mix In Nutrition'!A:A,'Liquid Mix In Nutrition'!E:E,0))+(($V214 / MAX(1, _xlfn.XLOOKUP($H214,'Solid Mix In Nutrition'!A:A,'Solid Mix In Nutrition'!I:I,1)))  * _xlfn.XLOOKUP($H214,'Solid Mix In Nutrition'!A:A,'Solid Mix In Nutrition'!E:E,0))+(($W214 / MAX(1, _xlfn.XLOOKUP($I214,'Solid Mix In Nutrition'!A:A,'Solid Mix In Nutrition'!I:I,1)))  * _xlfn.XLOOKUP($I214,'Solid Mix In Nutrition'!A:A,'Solid Mix In Nutrition'!G:G,0))+(($X214 / 100)  * _xlfn.XLOOKUP($J214,'Sweetener Mix In Nutrition'!A:A,'Sweetener Mix In Nutrition'!E:E,0))+(($Y214 / 100)  * _xlfn.XLOOKUP($K214,'Sweetener Mix In Nutrition'!A:A,'Sweetener Mix In Nutrition'!E:E,0))</f>
        <v>0</v>
      </c>
      <c r="AD214" s="36">
        <f>(($R214 / 240) * _xlfn.XLOOKUP($D214,'Milk Types Nutrition Per Cup'!A:A,'Milk Types Nutrition Per Cup'!E:E,0)) +(($S214 / 240)  * _xlfn.XLOOKUP($E214,'Milk Types Nutrition Per Cup'!A:A,'Milk Types Nutrition Per Cup'!E:E,0)) +(($T214 / 15)  * _xlfn.XLOOKUP($F214,'Liquid Mix In Nutrition'!A:A,'Liquid Mix In Nutrition'!E:E,0)) +(($U214 / 15)  * _xlfn.XLOOKUP($G214,'Liquid Mix In Nutrition'!A:A,'Liquid Mix In Nutrition'!E:E,0))+(($X214 / 100)  * _xlfn.XLOOKUP($J214,'Sweetener Mix In Nutrition'!A:A,'Sweetener Mix In Nutrition'!E:E,0))+(($Y214 / 100)  * _xlfn.XLOOKUP($K214,'Sweetener Mix In Nutrition'!A:A,'Sweetener Mix In Nutrition'!E:E,0))</f>
        <v>0</v>
      </c>
      <c r="AE214" s="37">
        <f>(($R214 / 240) * _xlfn.XLOOKUP($D214,'Milk Types Nutrition Per Cup'!A:A,'Milk Types Nutrition Per Cup'!C:C,0)) +(($S214 / 240)  * _xlfn.XLOOKUP($E214,'Milk Types Nutrition Per Cup'!A:A,'Milk Types Nutrition Per Cup'!C:C,0)) +(($T214 / 15)  * _xlfn.XLOOKUP($F214,'Liquid Mix In Nutrition'!A:A,'Liquid Mix In Nutrition'!C:C,0))+(($U214 / 15)  * _xlfn.XLOOKUP($G214,'Liquid Mix In Nutrition'!A:A,'Liquid Mix In Nutrition'!C:C,0))+(($V214 / MAX(1, _xlfn.XLOOKUP($H214,'Solid Mix In Nutrition'!A:A,'Solid Mix In Nutrition'!I:I,1)))  * _xlfn.XLOOKUP($H214,'Solid Mix In Nutrition'!A:A,'Solid Mix In Nutrition'!C:C,0))+(($W214 / MAX(1, _xlfn.XLOOKUP($I214,'Solid Mix In Nutrition'!A:A,'Solid Mix In Nutrition'!I:I,1)))  * _xlfn.XLOOKUP($I214,'Solid Mix In Nutrition'!A:A,'Solid Mix In Nutrition'!C:C,0))+(($X214 / 100)  * _xlfn.XLOOKUP($J214,'Sweetener Mix In Nutrition'!A:A,'Sweetener Mix In Nutrition'!C:C,0))+(($Y214 / 100)  * _xlfn.XLOOKUP($K214,'Sweetener Mix In Nutrition'!A:A,'Sweetener Mix In Nutrition'!C:C,0))</f>
        <v>0</v>
      </c>
      <c r="AF214" s="38" t="e">
        <f>$AE214 / (_xlfn.XLOOKUP($L214,Specs!A:A,Specs!B:B,0))</f>
        <v>#DIV/0!</v>
      </c>
      <c r="AG214" s="37" t="e">
        <f>60* ($AB214 / _xlfn.XLOOKUP($L214,Specs!A:A,Specs!B:B,0))</f>
        <v>#DIV/0!</v>
      </c>
      <c r="AH214" s="37" t="e">
        <f>60* (AC214 / _xlfn.XLOOKUP($L214,Specs!$A:$A,Specs!$B:$B,0))</f>
        <v>#DIV/0!</v>
      </c>
      <c r="AI214" s="37" t="e">
        <f>60* (AE214 / _xlfn.XLOOKUP($L214,Specs!$A:$A,Specs!$B:$B,0))</f>
        <v>#DIV/0!</v>
      </c>
      <c r="AJ214" s="39">
        <f>(($R214 / 240) * _xlfn.XLOOKUP($D214,'Milk Types Nutrition Per Cup'!A:A,'Milk Types Nutrition Per Cup'!F:F,0)) +(($S214 / 240)  * _xlfn.XLOOKUP($E214,'Milk Types Nutrition Per Cup'!A:A,'Milk Types Nutrition Per Cup'!F:F,0)) +(($T214 / 15)  * _xlfn.XLOOKUP($F214,'Liquid Mix In Nutrition'!A:A,'Liquid Mix In Nutrition'!F:F,0))+(($U214 / 15)  * _xlfn.XLOOKUP($G214,'Liquid Mix In Nutrition'!A:A,'Liquid Mix In Nutrition'!F:F,0))+(($V214 / MAX(1, _xlfn.XLOOKUP($H214,'Solid Mix In Nutrition'!A:A,'Solid Mix In Nutrition'!I:I,1)))  * _xlfn.XLOOKUP($H214,'Solid Mix In Nutrition'!A:A,'Solid Mix In Nutrition'!F:F,0))+(($W214 / MAX(1, _xlfn.XLOOKUP($I214,'Solid Mix In Nutrition'!A:A,'Solid Mix In Nutrition'!I:I,1)))  * _xlfn.XLOOKUP($I214,'Solid Mix In Nutrition'!A:A,'Solid Mix In Nutrition'!F:F,0))+(($X214 / 100)  * _xlfn.XLOOKUP($J214,'Sweetener Mix In Nutrition'!A:A,'Sweetener Mix In Nutrition'!F:F,0))+(($Y214 / 100)  * _xlfn.XLOOKUP($K214,'Sweetener Mix In Nutrition'!A:A,'Sweetener Mix In Nutrition'!F:F,0))</f>
        <v>0</v>
      </c>
      <c r="AK214" s="46">
        <f>[2]Sheet1!AG214</f>
        <v>0</v>
      </c>
      <c r="AL214" s="47"/>
      <c r="AM214" s="40">
        <f>IF(ISERROR(((AL214/Specs!$L$3)*Specs!$L$2)*2),0,ROUNDUP((((AL214/Specs!$L$3)*Specs!$L$2)*2),0))</f>
        <v>0</v>
      </c>
      <c r="AN214" s="48">
        <f>ROUNDUP(((AJ214+Specs!$R$2+Specs!$S$2+_xlfn.XLOOKUP($L214,Specs!A:A,Specs!V:V,0))*Specs!$N$2)+AM214,0)</f>
        <v>1</v>
      </c>
      <c r="AO214" s="40">
        <f>ROUNDUP(((AJ214+Specs!$R$2+Specs!$S$2+_xlfn.XLOOKUP($L214,Specs!A:A,Specs!V:V,0))*Specs!$N$2),0)</f>
        <v>1</v>
      </c>
      <c r="AP214" s="30"/>
    </row>
    <row r="215" spans="1:42" x14ac:dyDescent="0.25">
      <c r="A215" s="41" t="str">
        <f>_xlfn.CONCAT(_xlfn.XLOOKUP("What's Your Name?",[1]Sheet1!$1:$1,[1]Sheet1!215:215)," | ",TEXT(_xlfn.XLOOKUP("Completion time",[1]Sheet1!$1:$1,[1]Sheet1!215:215),"dddd, mmm dd, yyyy hh:mm AM/PM"))</f>
        <v xml:space="preserve"> | Saturday, Jan 00, 1900 12:00 AM</v>
      </c>
      <c r="B215" s="76">
        <f>_xlfn.XLOOKUP("What's Your Email Address?",[1]Sheet1!$1:$1,[1]Sheet1!215:215)</f>
        <v>0</v>
      </c>
      <c r="C215" s="31">
        <f>IF(ISBLANK(_xlfn.XLOOKUP("Which Flavor? (Pint Price | Quart Price | Half Gallon Price) (NOTE: Prices may fluctuate based on market conditions)",[1]Sheet1!$1:$1,[1]Sheet1!215:215)),_xlfn.XLOOKUP("Name Your Ice Cream!",[1]Sheet1!$1:$1,[1]Sheet1!215:215),IF(ISNUMBER(FIND("(", _xlfn.XLOOKUP("Which Flavor? (Pint Price | Quart Price | Half Gallon Price) (NOTE: Prices may fluctuate based on market conditions)",[1]Sheet1!$1:$1,[1]Sheet1!215:215))), LEFT(_xlfn.XLOOKUP("Which Flavor? (Pint Price | Quart Price | Half Gallon Price) (NOTE: Prices may fluctuate based on market conditions)",[1]Sheet1!$1:$1,[1]Sheet1!215:215), FIND("(", _xlfn.XLOOKUP("Which Flavor? (Pint Price | Quart Price | Half Gallon Price) (NOTE: Prices may fluctuate based on market conditions)",[1]Sheet1!$1:$1,[1]Sheet1!215:215)) - 1), _xlfn.XLOOKUP("Which Flavor? (Pint Price | Quart Price | Half Gallon Price) (NOTE: Prices may fluctuate based on market conditions)",[1]Sheet1!$1:$1,[1]Sheet1!215:215)))</f>
        <v>0</v>
      </c>
      <c r="D215" s="31">
        <f>IF(COUNTIF('Premade Flavors'!$A:$A, $C215) &gt; 0,IF(ISBLANK(_xlfn.XLOOKUP("What Ice Cream Base Do You Want To Change It To?",[1]Sheet1!$1:$1,[1]Sheet1!215:215)),_xlfn.XLOOKUP($C215,'Premade Flavors'!$A:$A,'Premade Flavors'!B:B),_xlfn.XLOOKUP("What Ice Cream Base Do You Want To Change It To?",[1]Sheet1!$1:$1,[1]Sheet1!215:215)),_xlfn.XLOOKUP(_xlfn.XLOOKUP("What Kind Of Ice Cream Base Do You Want? ",[1]Sheet1!$1:$1,[1]Sheet1!215:215),'Milk Types Nutrition Per Cup'!O:O,'Milk Types Nutrition Per Cup'!P:P,""))</f>
        <v>0</v>
      </c>
      <c r="E215" s="31">
        <f>IF(COUNTIF('Premade Flavors'!$A:$A, $C215) &gt; 0,IF(ISBLANK(_xlfn.XLOOKUP("What Ice Cream Base Do You Want To Change It To?",[1]Sheet1!$1:$1,[1]Sheet1!215:215)),_xlfn.XLOOKUP($C215,'Premade Flavors'!$A:$A,'Premade Flavors'!C:C),_xlfn.XLOOKUP("What Ice Cream Base Do You Want To Change It To?",[1]Sheet1!$1:$1,[1]Sheet1!215:215)),_xlfn.XLOOKUP(_xlfn.XLOOKUP("What Kind Of Ice Cream Base Do You Want? ",[1]Sheet1!$1:$1,[1]Sheet1!215:215),'Milk Types Nutrition Per Cup'!$O:$O,'Milk Types Nutrition Per Cup'!$Q:$Q,""))</f>
        <v>0</v>
      </c>
      <c r="F215" s="31">
        <f>IF(COUNTIF('Premade Flavors'!$A:$A, $C215) &gt; 0,_xlfn.XLOOKUP($C215,'Premade Flavors'!$A:$A,'Premade Flavors'!E:E),_xlfn.XLOOKUP("What's The First Flavor You Want? ",[1]Sheet1!$1:$1,[1]Sheet1!215:215))</f>
        <v>0</v>
      </c>
      <c r="G215" s="31">
        <f>IF(COUNTIF('Premade Flavors'!$A:$A, $C215) &gt; 0,_xlfn.XLOOKUP($C215,'Premade Flavors'!$A:$A,'Premade Flavors'!F:F),_xlfn.XLOOKUP("What's the Second Flavor You Want?",[1]Sheet1!$1:$1,[1]Sheet1!215:215))</f>
        <v>0</v>
      </c>
      <c r="H215" s="31">
        <f>IF(COUNTIF('Premade Flavors'!$A:$A, $C215) &gt; 0,_xlfn.XLOOKUP($C215,'Premade Flavors'!$A:$A,'Premade Flavors'!G:G),_xlfn.XLOOKUP("What's The First Mix In That You Want? ",[1]Sheet1!$1:$1,[1]Sheet1!215:215))</f>
        <v>0</v>
      </c>
      <c r="I215" s="31">
        <f>IF(COUNTIF('Premade Flavors'!$A:$A, $C213) &gt; 0,_xlfn.XLOOKUP($C213,'Premade Flavors'!$A:$A,'Premade Flavors'!H:H),IF([2]Sheet1!W213= 0,,[2]Sheet1!W213))</f>
        <v>0</v>
      </c>
      <c r="J215" s="31">
        <f>IF(COUNTIF('Premade Flavors'!$A:$A,$C215)&gt;0,IF(_xlfn.XLOOKUP("Should It Use Sugar or A Non-Sugar Sweetner?",[1]Sheet1!$1:$1,[1]Sheet1!215:215)="Sugar",_xlfn.XLOOKUP($C215,'Premade Flavors'!$A:$A,'Premade Flavors'!I:I),"Stevia"),_xlfn.XLOOKUP("What Sweetner Do You Want?",[1]Sheet1!$1:$1,[1]Sheet1!215:215))</f>
        <v>0</v>
      </c>
      <c r="K215" s="31"/>
      <c r="L215" s="77">
        <f>_xlfn.XLOOKUP("How Much Ice Cream Do You Want?",[1]Sheet1!$1:$1,[1]Sheet1!215:215)</f>
        <v>0</v>
      </c>
      <c r="M215" s="45">
        <f>IF(COUNTIF('Premade Flavors'!$A:$A, $C215) &gt; 0,_xlfn.XLOOKUP($C215,'Premade Flavors'!$A:$A,'Premade Flavors'!M:M),_xlfn.XLOOKUP("How Strong Do You Want The First Flavor?",[1]Sheet1!$1:$1,[1]Sheet1!215:215))</f>
        <v>0</v>
      </c>
      <c r="N215" s="45">
        <f>IF(COUNTIF('Premade Flavors'!$A:$A, $C215) &gt; 0,_xlfn.XLOOKUP($C215,'Premade Flavors'!$A:$A,'Premade Flavors'!N:N),_xlfn.XLOOKUP("How Strong Do You Want The Second Flavor?",[1]Sheet1!$1:$1,[1]Sheet1!215:215))</f>
        <v>0</v>
      </c>
      <c r="O215" s="45">
        <f>IF(COUNTIF('Premade Flavors'!$A:$A, $C215) &gt; 0,_xlfn.XLOOKUP($C215,'Premade Flavors'!$A:$A,'Premade Flavors'!O:O),_xlfn.XLOOKUP("How Dense Should the Mix Ins Be?",[1]Sheet1!$1:$1,[1]Sheet1!215:215))</f>
        <v>0</v>
      </c>
      <c r="P215" s="45">
        <f>IF(COUNTIF('Premade Flavors'!$A:$A, $C215) &gt; 0,_xlfn.XLOOKUP($C215,'Premade Flavors'!$A:$A,'Premade Flavors'!P:P),_xlfn.XLOOKUP("How Much Of The First Sweetner? ",[1]Sheet1!$1:$1,[1]Sheet1!215:215))</f>
        <v>0</v>
      </c>
      <c r="Q215" s="45">
        <f>IF(COUNTIF('Premade Flavors'!$A:$A, $C215) &gt; 0,_xlfn.XLOOKUP($C215,'Premade Flavors'!$A:$A,'Premade Flavors'!Q:Q),[2]Sheet1!S215)</f>
        <v>0</v>
      </c>
      <c r="R215" s="30">
        <f>(_xlfn.XLOOKUP($L215,Specs!A:A,Specs!B:B,0)-(IF(_xlfn.XLOOKUP($F215,'Liquid Mix In Nutrition'!A:A,'Liquid Mix In Nutrition'!J:J,0)="Yes",0,$T215))-(IF(_xlfn.XLOOKUP($G215,'Liquid Mix In Nutrition'!A:A,'Liquid Mix In Nutrition'!J:J,0)="Yes",0,$U215))-(($V215/MAX(1,_xlfn.XLOOKUP($H215,'Solid Mix In Nutrition'!A:A,'Solid Mix In Nutrition'!I:I,1)))*240)-(($W215/MAX(1,_xlfn.XLOOKUP($I215,'Solid Mix In Nutrition'!A:A,'Solid Mix In Nutrition'!I:I,1)))*240))*0.66</f>
        <v>0</v>
      </c>
      <c r="S215" s="30">
        <f>(_xlfn.XLOOKUP($L215,Specs!A:A,Specs!B:B,0)-(IF(_xlfn.XLOOKUP($F215,'Liquid Mix In Nutrition'!A:A,'Liquid Mix In Nutrition'!J:J,0)="Yes",0,$T215))-(IF(_xlfn.XLOOKUP($G215,'Liquid Mix In Nutrition'!A:A,'Liquid Mix In Nutrition'!J:J,0)="Yes",0,$U215))-(($V215/MAX(1,_xlfn.XLOOKUP($H215,'Solid Mix In Nutrition'!A:A,'Solid Mix In Nutrition'!I:I,1)))*240)-(($W215/MAX(1,_xlfn.XLOOKUP($I215,'Solid Mix In Nutrition'!A:A,'Solid Mix In Nutrition'!I:I,1)))*240))*0.33</f>
        <v>0</v>
      </c>
      <c r="T215" s="30">
        <f>_xlfn.XLOOKUP($M215,Specs!$D:$D,Specs!$E:$E,0)*15*_xlfn.XLOOKUP($L215,Specs!$A:$A,Specs!$C:$C,0)</f>
        <v>0</v>
      </c>
      <c r="U215" s="30">
        <f>_xlfn.XLOOKUP($N215,Specs!$D:$D,Specs!$E:$E,0)*15*_xlfn.XLOOKUP($L215,Specs!$A:$A,Specs!$C:$C,0)</f>
        <v>0</v>
      </c>
      <c r="V215" s="30">
        <f>( ((_xlfn.XLOOKUP($O215,Specs!$H:$H,Specs!$I:$I,0)*_xlfn.XLOOKUP($L215,Specs!$A:$A,Specs!$B:$B,0))/240) *_xlfn.XLOOKUP($H215,'Solid Mix In Nutrition'!A:A,'Solid Mix In Nutrition'!I:I,0)) *IF(AND(NOT($I215=0), COUNTA($I215)),0.5,1)</f>
        <v>0</v>
      </c>
      <c r="W215" s="30">
        <f>( ((_xlfn.XLOOKUP($O215,Specs!$H:$H,Specs!$I:$I,0)*_xlfn.XLOOKUP($L215,Specs!$A:$A,Specs!$B:$B,0))/240) *_xlfn.XLOOKUP($I215,'Solid Mix In Nutrition'!A:A,'Solid Mix In Nutrition'!I:I,0)) *IF(AND(NOT($I215=0), COUNTA($I215)),0.5,0)</f>
        <v>0</v>
      </c>
      <c r="X215" s="30">
        <f>_xlfn.XLOOKUP($P215,Specs!F:F,Specs!G:G,0)*_xlfn.XLOOKUP($J215,'Sweetener Mix In Nutrition'!A:A,'Sweetener Mix In Nutrition'!I:I,0)*_xlfn.XLOOKUP($L215,Specs!A:A,Specs!C:C,0)</f>
        <v>0</v>
      </c>
      <c r="Y215" s="30">
        <f>_xlfn.XLOOKUP($Q215,Specs!F:F,Specs!G:G,0)*_xlfn.XLOOKUP($K215,'Sweetener Mix In Nutrition'!A:A,'Sweetener Mix In Nutrition'!I:I,0)*_xlfn.XLOOKUP($L215,Specs!A:A,Specs!C:C,0)</f>
        <v>0</v>
      </c>
      <c r="Z215" s="34">
        <f t="shared" si="6"/>
        <v>0</v>
      </c>
      <c r="AA215" s="35">
        <f t="shared" si="7"/>
        <v>0</v>
      </c>
      <c r="AB215" s="36">
        <f>(($R215 / 240) * _xlfn.XLOOKUP($D215,'Milk Types Nutrition Per Cup'!A:A,'Milk Types Nutrition Per Cup'!B:B,0)) +(($S215 / 240)  * _xlfn.XLOOKUP($E215,'Milk Types Nutrition Per Cup'!A:A,'Milk Types Nutrition Per Cup'!B:B,0)) +(($T215 / 15)  * _xlfn.XLOOKUP($F215,'Liquid Mix In Nutrition'!A:A,'Liquid Mix In Nutrition'!B:B,0))+(($U215 / 15)  * _xlfn.XLOOKUP($G215,'Liquid Mix In Nutrition'!A:A,'Liquid Mix In Nutrition'!B:B,0))+(($V215 /MAX(1, _xlfn.XLOOKUP($H215,'Solid Mix In Nutrition'!A:A,'Solid Mix In Nutrition'!I:I,1)))  * _xlfn.XLOOKUP($H215,'Solid Mix In Nutrition'!A:A,'Solid Mix In Nutrition'!B:B,0))+(($W215 / MAX(1, _xlfn.XLOOKUP($I215,'Solid Mix In Nutrition'!A:A,'Solid Mix In Nutrition'!I:I,1))))+(($X215 / 100)  * _xlfn.XLOOKUP($J215,'Sweetener Mix In Nutrition'!A:A,'Sweetener Mix In Nutrition'!B:B,0))+(($Y215 / 100)  * _xlfn.XLOOKUP($K215,'Sweetener Mix In Nutrition'!A:A,'Sweetener Mix In Nutrition'!B:B,0))</f>
        <v>0</v>
      </c>
      <c r="AC215" s="36">
        <f>(($R215 / 240) * _xlfn.XLOOKUP($D215,'Milk Types Nutrition Per Cup'!A:A,'Milk Types Nutrition Per Cup'!E:E,0)) +(($S215 / 240)  * _xlfn.XLOOKUP($E215,'Milk Types Nutrition Per Cup'!A:A,'Milk Types Nutrition Per Cup'!E:E,0)) +(($T215 / 15)  * _xlfn.XLOOKUP($F215,'Liquid Mix In Nutrition'!A:A,'Liquid Mix In Nutrition'!E:E,0)) +(($U215 / 15)  * _xlfn.XLOOKUP($G215,'Liquid Mix In Nutrition'!A:A,'Liquid Mix In Nutrition'!E:E,0))+(($V215 / MAX(1, _xlfn.XLOOKUP($H215,'Solid Mix In Nutrition'!A:A,'Solid Mix In Nutrition'!I:I,1)))  * _xlfn.XLOOKUP($H215,'Solid Mix In Nutrition'!A:A,'Solid Mix In Nutrition'!E:E,0))+(($W215 / MAX(1, _xlfn.XLOOKUP($I215,'Solid Mix In Nutrition'!A:A,'Solid Mix In Nutrition'!I:I,1)))  * _xlfn.XLOOKUP($I215,'Solid Mix In Nutrition'!A:A,'Solid Mix In Nutrition'!G:G,0))+(($X215 / 100)  * _xlfn.XLOOKUP($J215,'Sweetener Mix In Nutrition'!A:A,'Sweetener Mix In Nutrition'!E:E,0))+(($Y215 / 100)  * _xlfn.XLOOKUP($K215,'Sweetener Mix In Nutrition'!A:A,'Sweetener Mix In Nutrition'!E:E,0))</f>
        <v>0</v>
      </c>
      <c r="AD215" s="36">
        <f>(($R215 / 240) * _xlfn.XLOOKUP($D215,'Milk Types Nutrition Per Cup'!A:A,'Milk Types Nutrition Per Cup'!E:E,0)) +(($S215 / 240)  * _xlfn.XLOOKUP($E215,'Milk Types Nutrition Per Cup'!A:A,'Milk Types Nutrition Per Cup'!E:E,0)) +(($T215 / 15)  * _xlfn.XLOOKUP($F215,'Liquid Mix In Nutrition'!A:A,'Liquid Mix In Nutrition'!E:E,0)) +(($U215 / 15)  * _xlfn.XLOOKUP($G215,'Liquid Mix In Nutrition'!A:A,'Liquid Mix In Nutrition'!E:E,0))+(($X215 / 100)  * _xlfn.XLOOKUP($J215,'Sweetener Mix In Nutrition'!A:A,'Sweetener Mix In Nutrition'!E:E,0))+(($Y215 / 100)  * _xlfn.XLOOKUP($K215,'Sweetener Mix In Nutrition'!A:A,'Sweetener Mix In Nutrition'!E:E,0))</f>
        <v>0</v>
      </c>
      <c r="AE215" s="37">
        <f>(($R215 / 240) * _xlfn.XLOOKUP($D215,'Milk Types Nutrition Per Cup'!A:A,'Milk Types Nutrition Per Cup'!C:C,0)) +(($S215 / 240)  * _xlfn.XLOOKUP($E215,'Milk Types Nutrition Per Cup'!A:A,'Milk Types Nutrition Per Cup'!C:C,0)) +(($T215 / 15)  * _xlfn.XLOOKUP($F215,'Liquid Mix In Nutrition'!A:A,'Liquid Mix In Nutrition'!C:C,0))+(($U215 / 15)  * _xlfn.XLOOKUP($G215,'Liquid Mix In Nutrition'!A:A,'Liquid Mix In Nutrition'!C:C,0))+(($V215 / MAX(1, _xlfn.XLOOKUP($H215,'Solid Mix In Nutrition'!A:A,'Solid Mix In Nutrition'!I:I,1)))  * _xlfn.XLOOKUP($H215,'Solid Mix In Nutrition'!A:A,'Solid Mix In Nutrition'!C:C,0))+(($W215 / MAX(1, _xlfn.XLOOKUP($I215,'Solid Mix In Nutrition'!A:A,'Solid Mix In Nutrition'!I:I,1)))  * _xlfn.XLOOKUP($I215,'Solid Mix In Nutrition'!A:A,'Solid Mix In Nutrition'!C:C,0))+(($X215 / 100)  * _xlfn.XLOOKUP($J215,'Sweetener Mix In Nutrition'!A:A,'Sweetener Mix In Nutrition'!C:C,0))+(($Y215 / 100)  * _xlfn.XLOOKUP($K215,'Sweetener Mix In Nutrition'!A:A,'Sweetener Mix In Nutrition'!C:C,0))</f>
        <v>0</v>
      </c>
      <c r="AF215" s="38" t="e">
        <f>$AE215 / (_xlfn.XLOOKUP($L215,Specs!A:A,Specs!B:B,0))</f>
        <v>#DIV/0!</v>
      </c>
      <c r="AG215" s="37" t="e">
        <f>60* ($AB215 / _xlfn.XLOOKUP($L215,Specs!A:A,Specs!B:B,0))</f>
        <v>#DIV/0!</v>
      </c>
      <c r="AH215" s="37" t="e">
        <f>60* (AC215 / _xlfn.XLOOKUP($L215,Specs!$A:$A,Specs!$B:$B,0))</f>
        <v>#DIV/0!</v>
      </c>
      <c r="AI215" s="37" t="e">
        <f>60* (AE215 / _xlfn.XLOOKUP($L215,Specs!$A:$A,Specs!$B:$B,0))</f>
        <v>#DIV/0!</v>
      </c>
      <c r="AJ215" s="39">
        <f>(($R215 / 240) * _xlfn.XLOOKUP($D215,'Milk Types Nutrition Per Cup'!A:A,'Milk Types Nutrition Per Cup'!F:F,0)) +(($S215 / 240)  * _xlfn.XLOOKUP($E215,'Milk Types Nutrition Per Cup'!A:A,'Milk Types Nutrition Per Cup'!F:F,0)) +(($T215 / 15)  * _xlfn.XLOOKUP($F215,'Liquid Mix In Nutrition'!A:A,'Liquid Mix In Nutrition'!F:F,0))+(($U215 / 15)  * _xlfn.XLOOKUP($G215,'Liquid Mix In Nutrition'!A:A,'Liquid Mix In Nutrition'!F:F,0))+(($V215 / MAX(1, _xlfn.XLOOKUP($H215,'Solid Mix In Nutrition'!A:A,'Solid Mix In Nutrition'!I:I,1)))  * _xlfn.XLOOKUP($H215,'Solid Mix In Nutrition'!A:A,'Solid Mix In Nutrition'!F:F,0))+(($W215 / MAX(1, _xlfn.XLOOKUP($I215,'Solid Mix In Nutrition'!A:A,'Solid Mix In Nutrition'!I:I,1)))  * _xlfn.XLOOKUP($I215,'Solid Mix In Nutrition'!A:A,'Solid Mix In Nutrition'!F:F,0))+(($X215 / 100)  * _xlfn.XLOOKUP($J215,'Sweetener Mix In Nutrition'!A:A,'Sweetener Mix In Nutrition'!F:F,0))+(($Y215 / 100)  * _xlfn.XLOOKUP($K215,'Sweetener Mix In Nutrition'!A:A,'Sweetener Mix In Nutrition'!F:F,0))</f>
        <v>0</v>
      </c>
      <c r="AK215" s="46">
        <f>[2]Sheet1!AG215</f>
        <v>0</v>
      </c>
      <c r="AL215" s="47"/>
      <c r="AM215" s="40">
        <f>IF(ISERROR(((AL215/Specs!$L$3)*Specs!$L$2)*2),0,ROUNDUP((((AL215/Specs!$L$3)*Specs!$L$2)*2),0))</f>
        <v>0</v>
      </c>
      <c r="AN215" s="48">
        <f>ROUNDUP(((AJ215+Specs!$R$2+Specs!$S$2+_xlfn.XLOOKUP($L215,Specs!A:A,Specs!V:V,0))*Specs!$N$2)+AM215,0)</f>
        <v>1</v>
      </c>
      <c r="AO215" s="40">
        <f>ROUNDUP(((AJ215+Specs!$R$2+Specs!$S$2+_xlfn.XLOOKUP($L215,Specs!A:A,Specs!V:V,0))*Specs!$N$2),0)</f>
        <v>1</v>
      </c>
      <c r="AP215" s="30"/>
    </row>
    <row r="216" spans="1:42" x14ac:dyDescent="0.25">
      <c r="A216" s="41" t="str">
        <f>_xlfn.CONCAT(_xlfn.XLOOKUP("What's Your Name?",[1]Sheet1!$1:$1,[1]Sheet1!216:216)," | ",TEXT(_xlfn.XLOOKUP("Completion time",[1]Sheet1!$1:$1,[1]Sheet1!216:216),"dddd, mmm dd, yyyy hh:mm AM/PM"))</f>
        <v xml:space="preserve"> | Saturday, Jan 00, 1900 12:00 AM</v>
      </c>
      <c r="B216" s="76">
        <f>_xlfn.XLOOKUP("What's Your Email Address?",[1]Sheet1!$1:$1,[1]Sheet1!216:216)</f>
        <v>0</v>
      </c>
      <c r="C216" s="31">
        <f>IF(ISBLANK(_xlfn.XLOOKUP("Which Flavor? (Pint Price | Quart Price | Half Gallon Price) (NOTE: Prices may fluctuate based on market conditions)",[1]Sheet1!$1:$1,[1]Sheet1!216:216)),_xlfn.XLOOKUP("Name Your Ice Cream!",[1]Sheet1!$1:$1,[1]Sheet1!216:216),IF(ISNUMBER(FIND("(", _xlfn.XLOOKUP("Which Flavor? (Pint Price | Quart Price | Half Gallon Price) (NOTE: Prices may fluctuate based on market conditions)",[1]Sheet1!$1:$1,[1]Sheet1!216:216))), LEFT(_xlfn.XLOOKUP("Which Flavor? (Pint Price | Quart Price | Half Gallon Price) (NOTE: Prices may fluctuate based on market conditions)",[1]Sheet1!$1:$1,[1]Sheet1!216:216), FIND("(", _xlfn.XLOOKUP("Which Flavor? (Pint Price | Quart Price | Half Gallon Price) (NOTE: Prices may fluctuate based on market conditions)",[1]Sheet1!$1:$1,[1]Sheet1!216:216)) - 1), _xlfn.XLOOKUP("Which Flavor? (Pint Price | Quart Price | Half Gallon Price) (NOTE: Prices may fluctuate based on market conditions)",[1]Sheet1!$1:$1,[1]Sheet1!216:216)))</f>
        <v>0</v>
      </c>
      <c r="D216" s="31">
        <f>IF(COUNTIF('Premade Flavors'!$A:$A, $C216) &gt; 0,IF(ISBLANK(_xlfn.XLOOKUP("What Ice Cream Base Do You Want To Change It To?",[1]Sheet1!$1:$1,[1]Sheet1!216:216)),_xlfn.XLOOKUP($C216,'Premade Flavors'!$A:$A,'Premade Flavors'!B:B),_xlfn.XLOOKUP("What Ice Cream Base Do You Want To Change It To?",[1]Sheet1!$1:$1,[1]Sheet1!216:216)),_xlfn.XLOOKUP(_xlfn.XLOOKUP("What Kind Of Ice Cream Base Do You Want? ",[1]Sheet1!$1:$1,[1]Sheet1!216:216),'Milk Types Nutrition Per Cup'!O:O,'Milk Types Nutrition Per Cup'!P:P,""))</f>
        <v>0</v>
      </c>
      <c r="E216" s="31">
        <f>IF(COUNTIF('Premade Flavors'!$A:$A, $C216) &gt; 0,IF(ISBLANK(_xlfn.XLOOKUP("What Ice Cream Base Do You Want To Change It To?",[1]Sheet1!$1:$1,[1]Sheet1!216:216)),_xlfn.XLOOKUP($C216,'Premade Flavors'!$A:$A,'Premade Flavors'!C:C),_xlfn.XLOOKUP("What Ice Cream Base Do You Want To Change It To?",[1]Sheet1!$1:$1,[1]Sheet1!216:216)),_xlfn.XLOOKUP(_xlfn.XLOOKUP("What Kind Of Ice Cream Base Do You Want? ",[1]Sheet1!$1:$1,[1]Sheet1!216:216),'Milk Types Nutrition Per Cup'!$O:$O,'Milk Types Nutrition Per Cup'!$Q:$Q,""))</f>
        <v>0</v>
      </c>
      <c r="F216" s="31">
        <f>IF(COUNTIF('Premade Flavors'!$A:$A, $C216) &gt; 0,_xlfn.XLOOKUP($C216,'Premade Flavors'!$A:$A,'Premade Flavors'!E:E),_xlfn.XLOOKUP("What's The First Flavor You Want? ",[1]Sheet1!$1:$1,[1]Sheet1!216:216))</f>
        <v>0</v>
      </c>
      <c r="G216" s="31">
        <f>IF(COUNTIF('Premade Flavors'!$A:$A, $C216) &gt; 0,_xlfn.XLOOKUP($C216,'Premade Flavors'!$A:$A,'Premade Flavors'!F:F),_xlfn.XLOOKUP("What's the Second Flavor You Want?",[1]Sheet1!$1:$1,[1]Sheet1!216:216))</f>
        <v>0</v>
      </c>
      <c r="H216" s="31">
        <f>IF(COUNTIF('Premade Flavors'!$A:$A, $C216) &gt; 0,_xlfn.XLOOKUP($C216,'Premade Flavors'!$A:$A,'Premade Flavors'!G:G),_xlfn.XLOOKUP("What's The First Mix In That You Want? ",[1]Sheet1!$1:$1,[1]Sheet1!216:216))</f>
        <v>0</v>
      </c>
      <c r="I216" s="31">
        <f>IF(COUNTIF('Premade Flavors'!$A:$A, $C214) &gt; 0,_xlfn.XLOOKUP($C214,'Premade Flavors'!$A:$A,'Premade Flavors'!H:H),IF([2]Sheet1!W214= 0,,[2]Sheet1!W214))</f>
        <v>0</v>
      </c>
      <c r="J216" s="31">
        <f>IF(COUNTIF('Premade Flavors'!$A:$A,$C216)&gt;0,IF(_xlfn.XLOOKUP("Should It Use Sugar or A Non-Sugar Sweetner?",[1]Sheet1!$1:$1,[1]Sheet1!216:216)="Sugar",_xlfn.XLOOKUP($C216,'Premade Flavors'!$A:$A,'Premade Flavors'!I:I),"Stevia"),_xlfn.XLOOKUP("What Sweetner Do You Want?",[1]Sheet1!$1:$1,[1]Sheet1!216:216))</f>
        <v>0</v>
      </c>
      <c r="K216" s="31"/>
      <c r="L216" s="77">
        <f>_xlfn.XLOOKUP("How Much Ice Cream Do You Want?",[1]Sheet1!$1:$1,[1]Sheet1!216:216)</f>
        <v>0</v>
      </c>
      <c r="M216" s="45">
        <f>IF(COUNTIF('Premade Flavors'!$A:$A, $C216) &gt; 0,_xlfn.XLOOKUP($C216,'Premade Flavors'!$A:$A,'Premade Flavors'!M:M),_xlfn.XLOOKUP("How Strong Do You Want The First Flavor?",[1]Sheet1!$1:$1,[1]Sheet1!216:216))</f>
        <v>0</v>
      </c>
      <c r="N216" s="45">
        <f>IF(COUNTIF('Premade Flavors'!$A:$A, $C216) &gt; 0,_xlfn.XLOOKUP($C216,'Premade Flavors'!$A:$A,'Premade Flavors'!N:N),_xlfn.XLOOKUP("How Strong Do You Want The Second Flavor?",[1]Sheet1!$1:$1,[1]Sheet1!216:216))</f>
        <v>0</v>
      </c>
      <c r="O216" s="45">
        <f>IF(COUNTIF('Premade Flavors'!$A:$A, $C216) &gt; 0,_xlfn.XLOOKUP($C216,'Premade Flavors'!$A:$A,'Premade Flavors'!O:O),_xlfn.XLOOKUP("How Dense Should the Mix Ins Be?",[1]Sheet1!$1:$1,[1]Sheet1!216:216))</f>
        <v>0</v>
      </c>
      <c r="P216" s="45">
        <f>IF(COUNTIF('Premade Flavors'!$A:$A, $C216) &gt; 0,_xlfn.XLOOKUP($C216,'Premade Flavors'!$A:$A,'Premade Flavors'!P:P),_xlfn.XLOOKUP("How Much Of The First Sweetner? ",[1]Sheet1!$1:$1,[1]Sheet1!216:216))</f>
        <v>0</v>
      </c>
      <c r="Q216" s="45">
        <f>IF(COUNTIF('Premade Flavors'!$A:$A, $C216) &gt; 0,_xlfn.XLOOKUP($C216,'Premade Flavors'!$A:$A,'Premade Flavors'!Q:Q),[2]Sheet1!S216)</f>
        <v>0</v>
      </c>
      <c r="R216" s="30">
        <f>(_xlfn.XLOOKUP($L216,Specs!A:A,Specs!B:B,0)-(IF(_xlfn.XLOOKUP($F216,'Liquid Mix In Nutrition'!A:A,'Liquid Mix In Nutrition'!J:J,0)="Yes",0,$T216))-(IF(_xlfn.XLOOKUP($G216,'Liquid Mix In Nutrition'!A:A,'Liquid Mix In Nutrition'!J:J,0)="Yes",0,$U216))-(($V216/MAX(1,_xlfn.XLOOKUP($H216,'Solid Mix In Nutrition'!A:A,'Solid Mix In Nutrition'!I:I,1)))*240)-(($W216/MAX(1,_xlfn.XLOOKUP($I216,'Solid Mix In Nutrition'!A:A,'Solid Mix In Nutrition'!I:I,1)))*240))*0.66</f>
        <v>0</v>
      </c>
      <c r="S216" s="30">
        <f>(_xlfn.XLOOKUP($L216,Specs!A:A,Specs!B:B,0)-(IF(_xlfn.XLOOKUP($F216,'Liquid Mix In Nutrition'!A:A,'Liquid Mix In Nutrition'!J:J,0)="Yes",0,$T216))-(IF(_xlfn.XLOOKUP($G216,'Liquid Mix In Nutrition'!A:A,'Liquid Mix In Nutrition'!J:J,0)="Yes",0,$U216))-(($V216/MAX(1,_xlfn.XLOOKUP($H216,'Solid Mix In Nutrition'!A:A,'Solid Mix In Nutrition'!I:I,1)))*240)-(($W216/MAX(1,_xlfn.XLOOKUP($I216,'Solid Mix In Nutrition'!A:A,'Solid Mix In Nutrition'!I:I,1)))*240))*0.33</f>
        <v>0</v>
      </c>
      <c r="T216" s="30">
        <f>_xlfn.XLOOKUP($M216,Specs!$D:$D,Specs!$E:$E,0)*15*_xlfn.XLOOKUP($L216,Specs!$A:$A,Specs!$C:$C,0)</f>
        <v>0</v>
      </c>
      <c r="U216" s="30">
        <f>_xlfn.XLOOKUP($N216,Specs!$D:$D,Specs!$E:$E,0)*15*_xlfn.XLOOKUP($L216,Specs!$A:$A,Specs!$C:$C,0)</f>
        <v>0</v>
      </c>
      <c r="V216" s="30">
        <f>( ((_xlfn.XLOOKUP($O216,Specs!$H:$H,Specs!$I:$I,0)*_xlfn.XLOOKUP($L216,Specs!$A:$A,Specs!$B:$B,0))/240) *_xlfn.XLOOKUP($H216,'Solid Mix In Nutrition'!A:A,'Solid Mix In Nutrition'!I:I,0)) *IF(AND(NOT($I216=0), COUNTA($I216)),0.5,1)</f>
        <v>0</v>
      </c>
      <c r="W216" s="30">
        <f>( ((_xlfn.XLOOKUP($O216,Specs!$H:$H,Specs!$I:$I,0)*_xlfn.XLOOKUP($L216,Specs!$A:$A,Specs!$B:$B,0))/240) *_xlfn.XLOOKUP($I216,'Solid Mix In Nutrition'!A:A,'Solid Mix In Nutrition'!I:I,0)) *IF(AND(NOT($I216=0), COUNTA($I216)),0.5,0)</f>
        <v>0</v>
      </c>
      <c r="X216" s="30">
        <f>_xlfn.XLOOKUP($P216,Specs!F:F,Specs!G:G,0)*_xlfn.XLOOKUP($J216,'Sweetener Mix In Nutrition'!A:A,'Sweetener Mix In Nutrition'!I:I,0)*_xlfn.XLOOKUP($L216,Specs!A:A,Specs!C:C,0)</f>
        <v>0</v>
      </c>
      <c r="Y216" s="30">
        <f>_xlfn.XLOOKUP($Q216,Specs!F:F,Specs!G:G,0)*_xlfn.XLOOKUP($K216,'Sweetener Mix In Nutrition'!A:A,'Sweetener Mix In Nutrition'!I:I,0)*_xlfn.XLOOKUP($L216,Specs!A:A,Specs!C:C,0)</f>
        <v>0</v>
      </c>
      <c r="Z216" s="34">
        <f t="shared" si="6"/>
        <v>0</v>
      </c>
      <c r="AA216" s="35">
        <f t="shared" si="7"/>
        <v>0</v>
      </c>
      <c r="AB216" s="36">
        <f>(($R216 / 240) * _xlfn.XLOOKUP($D216,'Milk Types Nutrition Per Cup'!A:A,'Milk Types Nutrition Per Cup'!B:B,0)) +(($S216 / 240)  * _xlfn.XLOOKUP($E216,'Milk Types Nutrition Per Cup'!A:A,'Milk Types Nutrition Per Cup'!B:B,0)) +(($T216 / 15)  * _xlfn.XLOOKUP($F216,'Liquid Mix In Nutrition'!A:A,'Liquid Mix In Nutrition'!B:B,0))+(($U216 / 15)  * _xlfn.XLOOKUP($G216,'Liquid Mix In Nutrition'!A:A,'Liquid Mix In Nutrition'!B:B,0))+(($V216 /MAX(1, _xlfn.XLOOKUP($H216,'Solid Mix In Nutrition'!A:A,'Solid Mix In Nutrition'!I:I,1)))  * _xlfn.XLOOKUP($H216,'Solid Mix In Nutrition'!A:A,'Solid Mix In Nutrition'!B:B,0))+(($W216 / MAX(1, _xlfn.XLOOKUP($I216,'Solid Mix In Nutrition'!A:A,'Solid Mix In Nutrition'!I:I,1))))+(($X216 / 100)  * _xlfn.XLOOKUP($J216,'Sweetener Mix In Nutrition'!A:A,'Sweetener Mix In Nutrition'!B:B,0))+(($Y216 / 100)  * _xlfn.XLOOKUP($K216,'Sweetener Mix In Nutrition'!A:A,'Sweetener Mix In Nutrition'!B:B,0))</f>
        <v>0</v>
      </c>
      <c r="AC216" s="36">
        <f>(($R216 / 240) * _xlfn.XLOOKUP($D216,'Milk Types Nutrition Per Cup'!A:A,'Milk Types Nutrition Per Cup'!E:E,0)) +(($S216 / 240)  * _xlfn.XLOOKUP($E216,'Milk Types Nutrition Per Cup'!A:A,'Milk Types Nutrition Per Cup'!E:E,0)) +(($T216 / 15)  * _xlfn.XLOOKUP($F216,'Liquid Mix In Nutrition'!A:A,'Liquid Mix In Nutrition'!E:E,0)) +(($U216 / 15)  * _xlfn.XLOOKUP($G216,'Liquid Mix In Nutrition'!A:A,'Liquid Mix In Nutrition'!E:E,0))+(($V216 / MAX(1, _xlfn.XLOOKUP($H216,'Solid Mix In Nutrition'!A:A,'Solid Mix In Nutrition'!I:I,1)))  * _xlfn.XLOOKUP($H216,'Solid Mix In Nutrition'!A:A,'Solid Mix In Nutrition'!E:E,0))+(($W216 / MAX(1, _xlfn.XLOOKUP($I216,'Solid Mix In Nutrition'!A:A,'Solid Mix In Nutrition'!I:I,1)))  * _xlfn.XLOOKUP($I216,'Solid Mix In Nutrition'!A:A,'Solid Mix In Nutrition'!G:G,0))+(($X216 / 100)  * _xlfn.XLOOKUP($J216,'Sweetener Mix In Nutrition'!A:A,'Sweetener Mix In Nutrition'!E:E,0))+(($Y216 / 100)  * _xlfn.XLOOKUP($K216,'Sweetener Mix In Nutrition'!A:A,'Sweetener Mix In Nutrition'!E:E,0))</f>
        <v>0</v>
      </c>
      <c r="AD216" s="36">
        <f>(($R216 / 240) * _xlfn.XLOOKUP($D216,'Milk Types Nutrition Per Cup'!A:A,'Milk Types Nutrition Per Cup'!E:E,0)) +(($S216 / 240)  * _xlfn.XLOOKUP($E216,'Milk Types Nutrition Per Cup'!A:A,'Milk Types Nutrition Per Cup'!E:E,0)) +(($T216 / 15)  * _xlfn.XLOOKUP($F216,'Liquid Mix In Nutrition'!A:A,'Liquid Mix In Nutrition'!E:E,0)) +(($U216 / 15)  * _xlfn.XLOOKUP($G216,'Liquid Mix In Nutrition'!A:A,'Liquid Mix In Nutrition'!E:E,0))+(($X216 / 100)  * _xlfn.XLOOKUP($J216,'Sweetener Mix In Nutrition'!A:A,'Sweetener Mix In Nutrition'!E:E,0))+(($Y216 / 100)  * _xlfn.XLOOKUP($K216,'Sweetener Mix In Nutrition'!A:A,'Sweetener Mix In Nutrition'!E:E,0))</f>
        <v>0</v>
      </c>
      <c r="AE216" s="37">
        <f>(($R216 / 240) * _xlfn.XLOOKUP($D216,'Milk Types Nutrition Per Cup'!A:A,'Milk Types Nutrition Per Cup'!C:C,0)) +(($S216 / 240)  * _xlfn.XLOOKUP($E216,'Milk Types Nutrition Per Cup'!A:A,'Milk Types Nutrition Per Cup'!C:C,0)) +(($T216 / 15)  * _xlfn.XLOOKUP($F216,'Liquid Mix In Nutrition'!A:A,'Liquid Mix In Nutrition'!C:C,0))+(($U216 / 15)  * _xlfn.XLOOKUP($G216,'Liquid Mix In Nutrition'!A:A,'Liquid Mix In Nutrition'!C:C,0))+(($V216 / MAX(1, _xlfn.XLOOKUP($H216,'Solid Mix In Nutrition'!A:A,'Solid Mix In Nutrition'!I:I,1)))  * _xlfn.XLOOKUP($H216,'Solid Mix In Nutrition'!A:A,'Solid Mix In Nutrition'!C:C,0))+(($W216 / MAX(1, _xlfn.XLOOKUP($I216,'Solid Mix In Nutrition'!A:A,'Solid Mix In Nutrition'!I:I,1)))  * _xlfn.XLOOKUP($I216,'Solid Mix In Nutrition'!A:A,'Solid Mix In Nutrition'!C:C,0))+(($X216 / 100)  * _xlfn.XLOOKUP($J216,'Sweetener Mix In Nutrition'!A:A,'Sweetener Mix In Nutrition'!C:C,0))+(($Y216 / 100)  * _xlfn.XLOOKUP($K216,'Sweetener Mix In Nutrition'!A:A,'Sweetener Mix In Nutrition'!C:C,0))</f>
        <v>0</v>
      </c>
      <c r="AF216" s="38" t="e">
        <f>$AE216 / (_xlfn.XLOOKUP($L216,Specs!A:A,Specs!B:B,0))</f>
        <v>#DIV/0!</v>
      </c>
      <c r="AG216" s="37" t="e">
        <f>60* ($AB216 / _xlfn.XLOOKUP($L216,Specs!A:A,Specs!B:B,0))</f>
        <v>#DIV/0!</v>
      </c>
      <c r="AH216" s="37" t="e">
        <f>60* (AC216 / _xlfn.XLOOKUP($L216,Specs!$A:$A,Specs!$B:$B,0))</f>
        <v>#DIV/0!</v>
      </c>
      <c r="AI216" s="37" t="e">
        <f>60* (AE216 / _xlfn.XLOOKUP($L216,Specs!$A:$A,Specs!$B:$B,0))</f>
        <v>#DIV/0!</v>
      </c>
      <c r="AJ216" s="39">
        <f>(($R216 / 240) * _xlfn.XLOOKUP($D216,'Milk Types Nutrition Per Cup'!A:A,'Milk Types Nutrition Per Cup'!F:F,0)) +(($S216 / 240)  * _xlfn.XLOOKUP($E216,'Milk Types Nutrition Per Cup'!A:A,'Milk Types Nutrition Per Cup'!F:F,0)) +(($T216 / 15)  * _xlfn.XLOOKUP($F216,'Liquid Mix In Nutrition'!A:A,'Liquid Mix In Nutrition'!F:F,0))+(($U216 / 15)  * _xlfn.XLOOKUP($G216,'Liquid Mix In Nutrition'!A:A,'Liquid Mix In Nutrition'!F:F,0))+(($V216 / MAX(1, _xlfn.XLOOKUP($H216,'Solid Mix In Nutrition'!A:A,'Solid Mix In Nutrition'!I:I,1)))  * _xlfn.XLOOKUP($H216,'Solid Mix In Nutrition'!A:A,'Solid Mix In Nutrition'!F:F,0))+(($W216 / MAX(1, _xlfn.XLOOKUP($I216,'Solid Mix In Nutrition'!A:A,'Solid Mix In Nutrition'!I:I,1)))  * _xlfn.XLOOKUP($I216,'Solid Mix In Nutrition'!A:A,'Solid Mix In Nutrition'!F:F,0))+(($X216 / 100)  * _xlfn.XLOOKUP($J216,'Sweetener Mix In Nutrition'!A:A,'Sweetener Mix In Nutrition'!F:F,0))+(($Y216 / 100)  * _xlfn.XLOOKUP($K216,'Sweetener Mix In Nutrition'!A:A,'Sweetener Mix In Nutrition'!F:F,0))</f>
        <v>0</v>
      </c>
      <c r="AK216" s="46">
        <f>[2]Sheet1!AG216</f>
        <v>0</v>
      </c>
      <c r="AL216" s="47"/>
      <c r="AM216" s="40">
        <f>IF(ISERROR(((AL216/Specs!$L$3)*Specs!$L$2)*2),0,ROUNDUP((((AL216/Specs!$L$3)*Specs!$L$2)*2),0))</f>
        <v>0</v>
      </c>
      <c r="AN216" s="48">
        <f>ROUNDUP(((AJ216+Specs!$R$2+Specs!$S$2+_xlfn.XLOOKUP($L216,Specs!A:A,Specs!V:V,0))*Specs!$N$2)+AM216,0)</f>
        <v>1</v>
      </c>
      <c r="AO216" s="40">
        <f>ROUNDUP(((AJ216+Specs!$R$2+Specs!$S$2+_xlfn.XLOOKUP($L216,Specs!A:A,Specs!V:V,0))*Specs!$N$2),0)</f>
        <v>1</v>
      </c>
      <c r="AP216" s="30"/>
    </row>
    <row r="217" spans="1:42" x14ac:dyDescent="0.25">
      <c r="A217" s="41" t="str">
        <f>_xlfn.CONCAT(_xlfn.XLOOKUP("What's Your Name?",[1]Sheet1!$1:$1,[1]Sheet1!217:217)," | ",TEXT(_xlfn.XLOOKUP("Completion time",[1]Sheet1!$1:$1,[1]Sheet1!217:217),"dddd, mmm dd, yyyy hh:mm AM/PM"))</f>
        <v xml:space="preserve"> | Saturday, Jan 00, 1900 12:00 AM</v>
      </c>
      <c r="B217" s="76">
        <f>_xlfn.XLOOKUP("What's Your Email Address?",[1]Sheet1!$1:$1,[1]Sheet1!217:217)</f>
        <v>0</v>
      </c>
      <c r="C217" s="31">
        <f>IF(ISBLANK(_xlfn.XLOOKUP("Which Flavor? (Pint Price | Quart Price | Half Gallon Price) (NOTE: Prices may fluctuate based on market conditions)",[1]Sheet1!$1:$1,[1]Sheet1!217:217)),_xlfn.XLOOKUP("Name Your Ice Cream!",[1]Sheet1!$1:$1,[1]Sheet1!217:217),IF(ISNUMBER(FIND("(", _xlfn.XLOOKUP("Which Flavor? (Pint Price | Quart Price | Half Gallon Price) (NOTE: Prices may fluctuate based on market conditions)",[1]Sheet1!$1:$1,[1]Sheet1!217:217))), LEFT(_xlfn.XLOOKUP("Which Flavor? (Pint Price | Quart Price | Half Gallon Price) (NOTE: Prices may fluctuate based on market conditions)",[1]Sheet1!$1:$1,[1]Sheet1!217:217), FIND("(", _xlfn.XLOOKUP("Which Flavor? (Pint Price | Quart Price | Half Gallon Price) (NOTE: Prices may fluctuate based on market conditions)",[1]Sheet1!$1:$1,[1]Sheet1!217:217)) - 1), _xlfn.XLOOKUP("Which Flavor? (Pint Price | Quart Price | Half Gallon Price) (NOTE: Prices may fluctuate based on market conditions)",[1]Sheet1!$1:$1,[1]Sheet1!217:217)))</f>
        <v>0</v>
      </c>
      <c r="D217" s="31">
        <f>IF(COUNTIF('Premade Flavors'!$A:$A, $C217) &gt; 0,IF(ISBLANK(_xlfn.XLOOKUP("What Ice Cream Base Do You Want To Change It To?",[1]Sheet1!$1:$1,[1]Sheet1!217:217)),_xlfn.XLOOKUP($C217,'Premade Flavors'!$A:$A,'Premade Flavors'!B:B),_xlfn.XLOOKUP("What Ice Cream Base Do You Want To Change It To?",[1]Sheet1!$1:$1,[1]Sheet1!217:217)),_xlfn.XLOOKUP(_xlfn.XLOOKUP("What Kind Of Ice Cream Base Do You Want? ",[1]Sheet1!$1:$1,[1]Sheet1!217:217),'Milk Types Nutrition Per Cup'!O:O,'Milk Types Nutrition Per Cup'!P:P,""))</f>
        <v>0</v>
      </c>
      <c r="E217" s="31">
        <f>IF(COUNTIF('Premade Flavors'!$A:$A, $C217) &gt; 0,IF(ISBLANK(_xlfn.XLOOKUP("What Ice Cream Base Do You Want To Change It To?",[1]Sheet1!$1:$1,[1]Sheet1!217:217)),_xlfn.XLOOKUP($C217,'Premade Flavors'!$A:$A,'Premade Flavors'!C:C),_xlfn.XLOOKUP("What Ice Cream Base Do You Want To Change It To?",[1]Sheet1!$1:$1,[1]Sheet1!217:217)),_xlfn.XLOOKUP(_xlfn.XLOOKUP("What Kind Of Ice Cream Base Do You Want? ",[1]Sheet1!$1:$1,[1]Sheet1!217:217),'Milk Types Nutrition Per Cup'!$O:$O,'Milk Types Nutrition Per Cup'!$Q:$Q,""))</f>
        <v>0</v>
      </c>
      <c r="F217" s="31">
        <f>IF(COUNTIF('Premade Flavors'!$A:$A, $C217) &gt; 0,_xlfn.XLOOKUP($C217,'Premade Flavors'!$A:$A,'Premade Flavors'!E:E),_xlfn.XLOOKUP("What's The First Flavor You Want? ",[1]Sheet1!$1:$1,[1]Sheet1!217:217))</f>
        <v>0</v>
      </c>
      <c r="G217" s="31">
        <f>IF(COUNTIF('Premade Flavors'!$A:$A, $C217) &gt; 0,_xlfn.XLOOKUP($C217,'Premade Flavors'!$A:$A,'Premade Flavors'!F:F),_xlfn.XLOOKUP("What's the Second Flavor You Want?",[1]Sheet1!$1:$1,[1]Sheet1!217:217))</f>
        <v>0</v>
      </c>
      <c r="H217" s="31">
        <f>IF(COUNTIF('Premade Flavors'!$A:$A, $C217) &gt; 0,_xlfn.XLOOKUP($C217,'Premade Flavors'!$A:$A,'Premade Flavors'!G:G),_xlfn.XLOOKUP("What's The First Mix In That You Want? ",[1]Sheet1!$1:$1,[1]Sheet1!217:217))</f>
        <v>0</v>
      </c>
      <c r="I217" s="31">
        <f>IF(COUNTIF('Premade Flavors'!$A:$A, $C215) &gt; 0,_xlfn.XLOOKUP($C215,'Premade Flavors'!$A:$A,'Premade Flavors'!H:H),IF([2]Sheet1!W215= 0,,[2]Sheet1!W215))</f>
        <v>0</v>
      </c>
      <c r="J217" s="31">
        <f>IF(COUNTIF('Premade Flavors'!$A:$A,$C217)&gt;0,IF(_xlfn.XLOOKUP("Should It Use Sugar or A Non-Sugar Sweetner?",[1]Sheet1!$1:$1,[1]Sheet1!217:217)="Sugar",_xlfn.XLOOKUP($C217,'Premade Flavors'!$A:$A,'Premade Flavors'!I:I),"Stevia"),_xlfn.XLOOKUP("What Sweetner Do You Want?",[1]Sheet1!$1:$1,[1]Sheet1!217:217))</f>
        <v>0</v>
      </c>
      <c r="K217" s="31"/>
      <c r="L217" s="77">
        <f>_xlfn.XLOOKUP("How Much Ice Cream Do You Want?",[1]Sheet1!$1:$1,[1]Sheet1!217:217)</f>
        <v>0</v>
      </c>
      <c r="M217" s="45">
        <f>IF(COUNTIF('Premade Flavors'!$A:$A, $C217) &gt; 0,_xlfn.XLOOKUP($C217,'Premade Flavors'!$A:$A,'Premade Flavors'!M:M),_xlfn.XLOOKUP("How Strong Do You Want The First Flavor?",[1]Sheet1!$1:$1,[1]Sheet1!217:217))</f>
        <v>0</v>
      </c>
      <c r="N217" s="45">
        <f>IF(COUNTIF('Premade Flavors'!$A:$A, $C217) &gt; 0,_xlfn.XLOOKUP($C217,'Premade Flavors'!$A:$A,'Premade Flavors'!N:N),_xlfn.XLOOKUP("How Strong Do You Want The Second Flavor?",[1]Sheet1!$1:$1,[1]Sheet1!217:217))</f>
        <v>0</v>
      </c>
      <c r="O217" s="45">
        <f>IF(COUNTIF('Premade Flavors'!$A:$A, $C217) &gt; 0,_xlfn.XLOOKUP($C217,'Premade Flavors'!$A:$A,'Premade Flavors'!O:O),_xlfn.XLOOKUP("How Dense Should the Mix Ins Be?",[1]Sheet1!$1:$1,[1]Sheet1!217:217))</f>
        <v>0</v>
      </c>
      <c r="P217" s="45">
        <f>IF(COUNTIF('Premade Flavors'!$A:$A, $C217) &gt; 0,_xlfn.XLOOKUP($C217,'Premade Flavors'!$A:$A,'Premade Flavors'!P:P),_xlfn.XLOOKUP("How Much Of The First Sweetner? ",[1]Sheet1!$1:$1,[1]Sheet1!217:217))</f>
        <v>0</v>
      </c>
      <c r="Q217" s="45">
        <f>IF(COUNTIF('Premade Flavors'!$A:$A, $C217) &gt; 0,_xlfn.XLOOKUP($C217,'Premade Flavors'!$A:$A,'Premade Flavors'!Q:Q),[2]Sheet1!S217)</f>
        <v>0</v>
      </c>
      <c r="R217" s="30">
        <f>(_xlfn.XLOOKUP($L217,Specs!A:A,Specs!B:B,0)-(IF(_xlfn.XLOOKUP($F217,'Liquid Mix In Nutrition'!A:A,'Liquid Mix In Nutrition'!J:J,0)="Yes",0,$T217))-(IF(_xlfn.XLOOKUP($G217,'Liquid Mix In Nutrition'!A:A,'Liquid Mix In Nutrition'!J:J,0)="Yes",0,$U217))-(($V217/MAX(1,_xlfn.XLOOKUP($H217,'Solid Mix In Nutrition'!A:A,'Solid Mix In Nutrition'!I:I,1)))*240)-(($W217/MAX(1,_xlfn.XLOOKUP($I217,'Solid Mix In Nutrition'!A:A,'Solid Mix In Nutrition'!I:I,1)))*240))*0.66</f>
        <v>0</v>
      </c>
      <c r="S217" s="30">
        <f>(_xlfn.XLOOKUP($L217,Specs!A:A,Specs!B:B,0)-(IF(_xlfn.XLOOKUP($F217,'Liquid Mix In Nutrition'!A:A,'Liquid Mix In Nutrition'!J:J,0)="Yes",0,$T217))-(IF(_xlfn.XLOOKUP($G217,'Liquid Mix In Nutrition'!A:A,'Liquid Mix In Nutrition'!J:J,0)="Yes",0,$U217))-(($V217/MAX(1,_xlfn.XLOOKUP($H217,'Solid Mix In Nutrition'!A:A,'Solid Mix In Nutrition'!I:I,1)))*240)-(($W217/MAX(1,_xlfn.XLOOKUP($I217,'Solid Mix In Nutrition'!A:A,'Solid Mix In Nutrition'!I:I,1)))*240))*0.33</f>
        <v>0</v>
      </c>
      <c r="T217" s="30">
        <f>_xlfn.XLOOKUP($M217,Specs!$D:$D,Specs!$E:$E,0)*15*_xlfn.XLOOKUP($L217,Specs!$A:$A,Specs!$C:$C,0)</f>
        <v>0</v>
      </c>
      <c r="U217" s="30">
        <f>_xlfn.XLOOKUP($N217,Specs!$D:$D,Specs!$E:$E,0)*15*_xlfn.XLOOKUP($L217,Specs!$A:$A,Specs!$C:$C,0)</f>
        <v>0</v>
      </c>
      <c r="V217" s="30">
        <f>( ((_xlfn.XLOOKUP($O217,Specs!$H:$H,Specs!$I:$I,0)*_xlfn.XLOOKUP($L217,Specs!$A:$A,Specs!$B:$B,0))/240) *_xlfn.XLOOKUP($H217,'Solid Mix In Nutrition'!A:A,'Solid Mix In Nutrition'!I:I,0)) *IF(AND(NOT($I217=0), COUNTA($I217)),0.5,1)</f>
        <v>0</v>
      </c>
      <c r="W217" s="30">
        <f>( ((_xlfn.XLOOKUP($O217,Specs!$H:$H,Specs!$I:$I,0)*_xlfn.XLOOKUP($L217,Specs!$A:$A,Specs!$B:$B,0))/240) *_xlfn.XLOOKUP($I217,'Solid Mix In Nutrition'!A:A,'Solid Mix In Nutrition'!I:I,0)) *IF(AND(NOT($I217=0), COUNTA($I217)),0.5,0)</f>
        <v>0</v>
      </c>
      <c r="X217" s="30">
        <f>_xlfn.XLOOKUP($P217,Specs!F:F,Specs!G:G,0)*_xlfn.XLOOKUP($J217,'Sweetener Mix In Nutrition'!A:A,'Sweetener Mix In Nutrition'!I:I,0)*_xlfn.XLOOKUP($L217,Specs!A:A,Specs!C:C,0)</f>
        <v>0</v>
      </c>
      <c r="Y217" s="30">
        <f>_xlfn.XLOOKUP($Q217,Specs!F:F,Specs!G:G,0)*_xlfn.XLOOKUP($K217,'Sweetener Mix In Nutrition'!A:A,'Sweetener Mix In Nutrition'!I:I,0)*_xlfn.XLOOKUP($L217,Specs!A:A,Specs!C:C,0)</f>
        <v>0</v>
      </c>
      <c r="Z217" s="34">
        <f t="shared" si="6"/>
        <v>0</v>
      </c>
      <c r="AA217" s="35">
        <f t="shared" si="7"/>
        <v>0</v>
      </c>
      <c r="AB217" s="36">
        <f>(($R217 / 240) * _xlfn.XLOOKUP($D217,'Milk Types Nutrition Per Cup'!A:A,'Milk Types Nutrition Per Cup'!B:B,0)) +(($S217 / 240)  * _xlfn.XLOOKUP($E217,'Milk Types Nutrition Per Cup'!A:A,'Milk Types Nutrition Per Cup'!B:B,0)) +(($T217 / 15)  * _xlfn.XLOOKUP($F217,'Liquid Mix In Nutrition'!A:A,'Liquid Mix In Nutrition'!B:B,0))+(($U217 / 15)  * _xlfn.XLOOKUP($G217,'Liquid Mix In Nutrition'!A:A,'Liquid Mix In Nutrition'!B:B,0))+(($V217 /MAX(1, _xlfn.XLOOKUP($H217,'Solid Mix In Nutrition'!A:A,'Solid Mix In Nutrition'!I:I,1)))  * _xlfn.XLOOKUP($H217,'Solid Mix In Nutrition'!A:A,'Solid Mix In Nutrition'!B:B,0))+(($W217 / MAX(1, _xlfn.XLOOKUP($I217,'Solid Mix In Nutrition'!A:A,'Solid Mix In Nutrition'!I:I,1))))+(($X217 / 100)  * _xlfn.XLOOKUP($J217,'Sweetener Mix In Nutrition'!A:A,'Sweetener Mix In Nutrition'!B:B,0))+(($Y217 / 100)  * _xlfn.XLOOKUP($K217,'Sweetener Mix In Nutrition'!A:A,'Sweetener Mix In Nutrition'!B:B,0))</f>
        <v>0</v>
      </c>
      <c r="AC217" s="36">
        <f>(($R217 / 240) * _xlfn.XLOOKUP($D217,'Milk Types Nutrition Per Cup'!A:A,'Milk Types Nutrition Per Cup'!E:E,0)) +(($S217 / 240)  * _xlfn.XLOOKUP($E217,'Milk Types Nutrition Per Cup'!A:A,'Milk Types Nutrition Per Cup'!E:E,0)) +(($T217 / 15)  * _xlfn.XLOOKUP($F217,'Liquid Mix In Nutrition'!A:A,'Liquid Mix In Nutrition'!E:E,0)) +(($U217 / 15)  * _xlfn.XLOOKUP($G217,'Liquid Mix In Nutrition'!A:A,'Liquid Mix In Nutrition'!E:E,0))+(($V217 / MAX(1, _xlfn.XLOOKUP($H217,'Solid Mix In Nutrition'!A:A,'Solid Mix In Nutrition'!I:I,1)))  * _xlfn.XLOOKUP($H217,'Solid Mix In Nutrition'!A:A,'Solid Mix In Nutrition'!E:E,0))+(($W217 / MAX(1, _xlfn.XLOOKUP($I217,'Solid Mix In Nutrition'!A:A,'Solid Mix In Nutrition'!I:I,1)))  * _xlfn.XLOOKUP($I217,'Solid Mix In Nutrition'!A:A,'Solid Mix In Nutrition'!G:G,0))+(($X217 / 100)  * _xlfn.XLOOKUP($J217,'Sweetener Mix In Nutrition'!A:A,'Sweetener Mix In Nutrition'!E:E,0))+(($Y217 / 100)  * _xlfn.XLOOKUP($K217,'Sweetener Mix In Nutrition'!A:A,'Sweetener Mix In Nutrition'!E:E,0))</f>
        <v>0</v>
      </c>
      <c r="AD217" s="36">
        <f>(($R217 / 240) * _xlfn.XLOOKUP($D217,'Milk Types Nutrition Per Cup'!A:A,'Milk Types Nutrition Per Cup'!E:E,0)) +(($S217 / 240)  * _xlfn.XLOOKUP($E217,'Milk Types Nutrition Per Cup'!A:A,'Milk Types Nutrition Per Cup'!E:E,0)) +(($T217 / 15)  * _xlfn.XLOOKUP($F217,'Liquid Mix In Nutrition'!A:A,'Liquid Mix In Nutrition'!E:E,0)) +(($U217 / 15)  * _xlfn.XLOOKUP($G217,'Liquid Mix In Nutrition'!A:A,'Liquid Mix In Nutrition'!E:E,0))+(($X217 / 100)  * _xlfn.XLOOKUP($J217,'Sweetener Mix In Nutrition'!A:A,'Sweetener Mix In Nutrition'!E:E,0))+(($Y217 / 100)  * _xlfn.XLOOKUP($K217,'Sweetener Mix In Nutrition'!A:A,'Sweetener Mix In Nutrition'!E:E,0))</f>
        <v>0</v>
      </c>
      <c r="AE217" s="37">
        <f>(($R217 / 240) * _xlfn.XLOOKUP($D217,'Milk Types Nutrition Per Cup'!A:A,'Milk Types Nutrition Per Cup'!C:C,0)) +(($S217 / 240)  * _xlfn.XLOOKUP($E217,'Milk Types Nutrition Per Cup'!A:A,'Milk Types Nutrition Per Cup'!C:C,0)) +(($T217 / 15)  * _xlfn.XLOOKUP($F217,'Liquid Mix In Nutrition'!A:A,'Liquid Mix In Nutrition'!C:C,0))+(($U217 / 15)  * _xlfn.XLOOKUP($G217,'Liquid Mix In Nutrition'!A:A,'Liquid Mix In Nutrition'!C:C,0))+(($V217 / MAX(1, _xlfn.XLOOKUP($H217,'Solid Mix In Nutrition'!A:A,'Solid Mix In Nutrition'!I:I,1)))  * _xlfn.XLOOKUP($H217,'Solid Mix In Nutrition'!A:A,'Solid Mix In Nutrition'!C:C,0))+(($W217 / MAX(1, _xlfn.XLOOKUP($I217,'Solid Mix In Nutrition'!A:A,'Solid Mix In Nutrition'!I:I,1)))  * _xlfn.XLOOKUP($I217,'Solid Mix In Nutrition'!A:A,'Solid Mix In Nutrition'!C:C,0))+(($X217 / 100)  * _xlfn.XLOOKUP($J217,'Sweetener Mix In Nutrition'!A:A,'Sweetener Mix In Nutrition'!C:C,0))+(($Y217 / 100)  * _xlfn.XLOOKUP($K217,'Sweetener Mix In Nutrition'!A:A,'Sweetener Mix In Nutrition'!C:C,0))</f>
        <v>0</v>
      </c>
      <c r="AF217" s="38" t="e">
        <f>$AE217 / (_xlfn.XLOOKUP($L217,Specs!A:A,Specs!B:B,0))</f>
        <v>#DIV/0!</v>
      </c>
      <c r="AG217" s="37" t="e">
        <f>60* ($AB217 / _xlfn.XLOOKUP($L217,Specs!A:A,Specs!B:B,0))</f>
        <v>#DIV/0!</v>
      </c>
      <c r="AH217" s="37" t="e">
        <f>60* (AC217 / _xlfn.XLOOKUP($L217,Specs!$A:$A,Specs!$B:$B,0))</f>
        <v>#DIV/0!</v>
      </c>
      <c r="AI217" s="37" t="e">
        <f>60* (AE217 / _xlfn.XLOOKUP($L217,Specs!$A:$A,Specs!$B:$B,0))</f>
        <v>#DIV/0!</v>
      </c>
      <c r="AJ217" s="39">
        <f>(($R217 / 240) * _xlfn.XLOOKUP($D217,'Milk Types Nutrition Per Cup'!A:A,'Milk Types Nutrition Per Cup'!F:F,0)) +(($S217 / 240)  * _xlfn.XLOOKUP($E217,'Milk Types Nutrition Per Cup'!A:A,'Milk Types Nutrition Per Cup'!F:F,0)) +(($T217 / 15)  * _xlfn.XLOOKUP($F217,'Liquid Mix In Nutrition'!A:A,'Liquid Mix In Nutrition'!F:F,0))+(($U217 / 15)  * _xlfn.XLOOKUP($G217,'Liquid Mix In Nutrition'!A:A,'Liquid Mix In Nutrition'!F:F,0))+(($V217 / MAX(1, _xlfn.XLOOKUP($H217,'Solid Mix In Nutrition'!A:A,'Solid Mix In Nutrition'!I:I,1)))  * _xlfn.XLOOKUP($H217,'Solid Mix In Nutrition'!A:A,'Solid Mix In Nutrition'!F:F,0))+(($W217 / MAX(1, _xlfn.XLOOKUP($I217,'Solid Mix In Nutrition'!A:A,'Solid Mix In Nutrition'!I:I,1)))  * _xlfn.XLOOKUP($I217,'Solid Mix In Nutrition'!A:A,'Solid Mix In Nutrition'!F:F,0))+(($X217 / 100)  * _xlfn.XLOOKUP($J217,'Sweetener Mix In Nutrition'!A:A,'Sweetener Mix In Nutrition'!F:F,0))+(($Y217 / 100)  * _xlfn.XLOOKUP($K217,'Sweetener Mix In Nutrition'!A:A,'Sweetener Mix In Nutrition'!F:F,0))</f>
        <v>0</v>
      </c>
      <c r="AK217" s="46">
        <f>[2]Sheet1!AG217</f>
        <v>0</v>
      </c>
      <c r="AL217" s="47"/>
      <c r="AM217" s="40">
        <f>IF(ISERROR(((AL217/Specs!$L$3)*Specs!$L$2)*2),0,ROUNDUP((((AL217/Specs!$L$3)*Specs!$L$2)*2),0))</f>
        <v>0</v>
      </c>
      <c r="AN217" s="48">
        <f>ROUNDUP(((AJ217+Specs!$R$2+Specs!$S$2+_xlfn.XLOOKUP($L217,Specs!A:A,Specs!V:V,0))*Specs!$N$2)+AM217,0)</f>
        <v>1</v>
      </c>
      <c r="AO217" s="40">
        <f>ROUNDUP(((AJ217+Specs!$R$2+Specs!$S$2+_xlfn.XLOOKUP($L217,Specs!A:A,Specs!V:V,0))*Specs!$N$2),0)</f>
        <v>1</v>
      </c>
      <c r="AP217" s="30"/>
    </row>
    <row r="218" spans="1:42" x14ac:dyDescent="0.25">
      <c r="A218" s="41" t="str">
        <f>_xlfn.CONCAT(_xlfn.XLOOKUP("What's Your Name?",[1]Sheet1!$1:$1,[1]Sheet1!218:218)," | ",TEXT(_xlfn.XLOOKUP("Completion time",[1]Sheet1!$1:$1,[1]Sheet1!218:218),"dddd, mmm dd, yyyy hh:mm AM/PM"))</f>
        <v xml:space="preserve"> | Saturday, Jan 00, 1900 12:00 AM</v>
      </c>
      <c r="B218" s="76">
        <f>_xlfn.XLOOKUP("What's Your Email Address?",[1]Sheet1!$1:$1,[1]Sheet1!218:218)</f>
        <v>0</v>
      </c>
      <c r="C218" s="31">
        <f>IF(ISBLANK(_xlfn.XLOOKUP("Which Flavor? (Pint Price | Quart Price | Half Gallon Price) (NOTE: Prices may fluctuate based on market conditions)",[1]Sheet1!$1:$1,[1]Sheet1!218:218)),_xlfn.XLOOKUP("Name Your Ice Cream!",[1]Sheet1!$1:$1,[1]Sheet1!218:218),IF(ISNUMBER(FIND("(", _xlfn.XLOOKUP("Which Flavor? (Pint Price | Quart Price | Half Gallon Price) (NOTE: Prices may fluctuate based on market conditions)",[1]Sheet1!$1:$1,[1]Sheet1!218:218))), LEFT(_xlfn.XLOOKUP("Which Flavor? (Pint Price | Quart Price | Half Gallon Price) (NOTE: Prices may fluctuate based on market conditions)",[1]Sheet1!$1:$1,[1]Sheet1!218:218), FIND("(", _xlfn.XLOOKUP("Which Flavor? (Pint Price | Quart Price | Half Gallon Price) (NOTE: Prices may fluctuate based on market conditions)",[1]Sheet1!$1:$1,[1]Sheet1!218:218)) - 1), _xlfn.XLOOKUP("Which Flavor? (Pint Price | Quart Price | Half Gallon Price) (NOTE: Prices may fluctuate based on market conditions)",[1]Sheet1!$1:$1,[1]Sheet1!218:218)))</f>
        <v>0</v>
      </c>
      <c r="D218" s="31">
        <f>IF(COUNTIF('Premade Flavors'!$A:$A, $C218) &gt; 0,IF(ISBLANK(_xlfn.XLOOKUP("What Ice Cream Base Do You Want To Change It To?",[1]Sheet1!$1:$1,[1]Sheet1!218:218)),_xlfn.XLOOKUP($C218,'Premade Flavors'!$A:$A,'Premade Flavors'!B:B),_xlfn.XLOOKUP("What Ice Cream Base Do You Want To Change It To?",[1]Sheet1!$1:$1,[1]Sheet1!218:218)),_xlfn.XLOOKUP(_xlfn.XLOOKUP("What Kind Of Ice Cream Base Do You Want? ",[1]Sheet1!$1:$1,[1]Sheet1!218:218),'Milk Types Nutrition Per Cup'!O:O,'Milk Types Nutrition Per Cup'!P:P,""))</f>
        <v>0</v>
      </c>
      <c r="E218" s="31">
        <f>IF(COUNTIF('Premade Flavors'!$A:$A, $C218) &gt; 0,IF(ISBLANK(_xlfn.XLOOKUP("What Ice Cream Base Do You Want To Change It To?",[1]Sheet1!$1:$1,[1]Sheet1!218:218)),_xlfn.XLOOKUP($C218,'Premade Flavors'!$A:$A,'Premade Flavors'!C:C),_xlfn.XLOOKUP("What Ice Cream Base Do You Want To Change It To?",[1]Sheet1!$1:$1,[1]Sheet1!218:218)),_xlfn.XLOOKUP(_xlfn.XLOOKUP("What Kind Of Ice Cream Base Do You Want? ",[1]Sheet1!$1:$1,[1]Sheet1!218:218),'Milk Types Nutrition Per Cup'!$O:$O,'Milk Types Nutrition Per Cup'!$Q:$Q,""))</f>
        <v>0</v>
      </c>
      <c r="F218" s="31">
        <f>IF(COUNTIF('Premade Flavors'!$A:$A, $C218) &gt; 0,_xlfn.XLOOKUP($C218,'Premade Flavors'!$A:$A,'Premade Flavors'!E:E),_xlfn.XLOOKUP("What's The First Flavor You Want? ",[1]Sheet1!$1:$1,[1]Sheet1!218:218))</f>
        <v>0</v>
      </c>
      <c r="G218" s="31">
        <f>IF(COUNTIF('Premade Flavors'!$A:$A, $C218) &gt; 0,_xlfn.XLOOKUP($C218,'Premade Flavors'!$A:$A,'Premade Flavors'!F:F),_xlfn.XLOOKUP("What's the Second Flavor You Want?",[1]Sheet1!$1:$1,[1]Sheet1!218:218))</f>
        <v>0</v>
      </c>
      <c r="H218" s="31">
        <f>IF(COUNTIF('Premade Flavors'!$A:$A, $C218) &gt; 0,_xlfn.XLOOKUP($C218,'Premade Flavors'!$A:$A,'Premade Flavors'!G:G),_xlfn.XLOOKUP("What's The First Mix In That You Want? ",[1]Sheet1!$1:$1,[1]Sheet1!218:218))</f>
        <v>0</v>
      </c>
      <c r="I218" s="31">
        <f>IF(COUNTIF('Premade Flavors'!$A:$A, $C216) &gt; 0,_xlfn.XLOOKUP($C216,'Premade Flavors'!$A:$A,'Premade Flavors'!H:H),IF([2]Sheet1!W216= 0,,[2]Sheet1!W216))</f>
        <v>0</v>
      </c>
      <c r="J218" s="31">
        <f>IF(COUNTIF('Premade Flavors'!$A:$A,$C218)&gt;0,IF(_xlfn.XLOOKUP("Should It Use Sugar or A Non-Sugar Sweetner?",[1]Sheet1!$1:$1,[1]Sheet1!218:218)="Sugar",_xlfn.XLOOKUP($C218,'Premade Flavors'!$A:$A,'Premade Flavors'!I:I),"Stevia"),_xlfn.XLOOKUP("What Sweetner Do You Want?",[1]Sheet1!$1:$1,[1]Sheet1!218:218))</f>
        <v>0</v>
      </c>
      <c r="K218" s="31"/>
      <c r="L218" s="77">
        <f>_xlfn.XLOOKUP("How Much Ice Cream Do You Want?",[1]Sheet1!$1:$1,[1]Sheet1!218:218)</f>
        <v>0</v>
      </c>
      <c r="M218" s="45">
        <f>IF(COUNTIF('Premade Flavors'!$A:$A, $C218) &gt; 0,_xlfn.XLOOKUP($C218,'Premade Flavors'!$A:$A,'Premade Flavors'!M:M),_xlfn.XLOOKUP("How Strong Do You Want The First Flavor?",[1]Sheet1!$1:$1,[1]Sheet1!218:218))</f>
        <v>0</v>
      </c>
      <c r="N218" s="45">
        <f>IF(COUNTIF('Premade Flavors'!$A:$A, $C218) &gt; 0,_xlfn.XLOOKUP($C218,'Premade Flavors'!$A:$A,'Premade Flavors'!N:N),_xlfn.XLOOKUP("How Strong Do You Want The Second Flavor?",[1]Sheet1!$1:$1,[1]Sheet1!218:218))</f>
        <v>0</v>
      </c>
      <c r="O218" s="45">
        <f>IF(COUNTIF('Premade Flavors'!$A:$A, $C218) &gt; 0,_xlfn.XLOOKUP($C218,'Premade Flavors'!$A:$A,'Premade Flavors'!O:O),_xlfn.XLOOKUP("How Dense Should the Mix Ins Be?",[1]Sheet1!$1:$1,[1]Sheet1!218:218))</f>
        <v>0</v>
      </c>
      <c r="P218" s="45">
        <f>IF(COUNTIF('Premade Flavors'!$A:$A, $C218) &gt; 0,_xlfn.XLOOKUP($C218,'Premade Flavors'!$A:$A,'Premade Flavors'!P:P),_xlfn.XLOOKUP("How Much Of The First Sweetner? ",[1]Sheet1!$1:$1,[1]Sheet1!218:218))</f>
        <v>0</v>
      </c>
      <c r="Q218" s="45">
        <f>IF(COUNTIF('Premade Flavors'!$A:$A, $C218) &gt; 0,_xlfn.XLOOKUP($C218,'Premade Flavors'!$A:$A,'Premade Flavors'!Q:Q),[2]Sheet1!S218)</f>
        <v>0</v>
      </c>
      <c r="R218" s="30">
        <f>(_xlfn.XLOOKUP($L218,Specs!A:A,Specs!B:B,0)-(IF(_xlfn.XLOOKUP($F218,'Liquid Mix In Nutrition'!A:A,'Liquid Mix In Nutrition'!J:J,0)="Yes",0,$T218))-(IF(_xlfn.XLOOKUP($G218,'Liquid Mix In Nutrition'!A:A,'Liquid Mix In Nutrition'!J:J,0)="Yes",0,$U218))-(($V218/MAX(1,_xlfn.XLOOKUP($H218,'Solid Mix In Nutrition'!A:A,'Solid Mix In Nutrition'!I:I,1)))*240)-(($W218/MAX(1,_xlfn.XLOOKUP($I218,'Solid Mix In Nutrition'!A:A,'Solid Mix In Nutrition'!I:I,1)))*240))*0.66</f>
        <v>0</v>
      </c>
      <c r="S218" s="30">
        <f>(_xlfn.XLOOKUP($L218,Specs!A:A,Specs!B:B,0)-(IF(_xlfn.XLOOKUP($F218,'Liquid Mix In Nutrition'!A:A,'Liquid Mix In Nutrition'!J:J,0)="Yes",0,$T218))-(IF(_xlfn.XLOOKUP($G218,'Liquid Mix In Nutrition'!A:A,'Liquid Mix In Nutrition'!J:J,0)="Yes",0,$U218))-(($V218/MAX(1,_xlfn.XLOOKUP($H218,'Solid Mix In Nutrition'!A:A,'Solid Mix In Nutrition'!I:I,1)))*240)-(($W218/MAX(1,_xlfn.XLOOKUP($I218,'Solid Mix In Nutrition'!A:A,'Solid Mix In Nutrition'!I:I,1)))*240))*0.33</f>
        <v>0</v>
      </c>
      <c r="T218" s="30">
        <f>_xlfn.XLOOKUP($M218,Specs!$D:$D,Specs!$E:$E,0)*15*_xlfn.XLOOKUP($L218,Specs!$A:$A,Specs!$C:$C,0)</f>
        <v>0</v>
      </c>
      <c r="U218" s="30">
        <f>_xlfn.XLOOKUP($N218,Specs!$D:$D,Specs!$E:$E,0)*15*_xlfn.XLOOKUP($L218,Specs!$A:$A,Specs!$C:$C,0)</f>
        <v>0</v>
      </c>
      <c r="V218" s="30">
        <f>( ((_xlfn.XLOOKUP($O218,Specs!$H:$H,Specs!$I:$I,0)*_xlfn.XLOOKUP($L218,Specs!$A:$A,Specs!$B:$B,0))/240) *_xlfn.XLOOKUP($H218,'Solid Mix In Nutrition'!A:A,'Solid Mix In Nutrition'!I:I,0)) *IF(AND(NOT($I218=0), COUNTA($I218)),0.5,1)</f>
        <v>0</v>
      </c>
      <c r="W218" s="30">
        <f>( ((_xlfn.XLOOKUP($O218,Specs!$H:$H,Specs!$I:$I,0)*_xlfn.XLOOKUP($L218,Specs!$A:$A,Specs!$B:$B,0))/240) *_xlfn.XLOOKUP($I218,'Solid Mix In Nutrition'!A:A,'Solid Mix In Nutrition'!I:I,0)) *IF(AND(NOT($I218=0), COUNTA($I218)),0.5,0)</f>
        <v>0</v>
      </c>
      <c r="X218" s="30">
        <f>_xlfn.XLOOKUP($P218,Specs!F:F,Specs!G:G,0)*_xlfn.XLOOKUP($J218,'Sweetener Mix In Nutrition'!A:A,'Sweetener Mix In Nutrition'!I:I,0)*_xlfn.XLOOKUP($L218,Specs!A:A,Specs!C:C,0)</f>
        <v>0</v>
      </c>
      <c r="Y218" s="30">
        <f>_xlfn.XLOOKUP($Q218,Specs!F:F,Specs!G:G,0)*_xlfn.XLOOKUP($K218,'Sweetener Mix In Nutrition'!A:A,'Sweetener Mix In Nutrition'!I:I,0)*_xlfn.XLOOKUP($L218,Specs!A:A,Specs!C:C,0)</f>
        <v>0</v>
      </c>
      <c r="Z218" s="34">
        <f t="shared" si="6"/>
        <v>0</v>
      </c>
      <c r="AA218" s="35">
        <f t="shared" si="7"/>
        <v>0</v>
      </c>
      <c r="AB218" s="36">
        <f>(($R218 / 240) * _xlfn.XLOOKUP($D218,'Milk Types Nutrition Per Cup'!A:A,'Milk Types Nutrition Per Cup'!B:B,0)) +(($S218 / 240)  * _xlfn.XLOOKUP($E218,'Milk Types Nutrition Per Cup'!A:A,'Milk Types Nutrition Per Cup'!B:B,0)) +(($T218 / 15)  * _xlfn.XLOOKUP($F218,'Liquid Mix In Nutrition'!A:A,'Liquid Mix In Nutrition'!B:B,0))+(($U218 / 15)  * _xlfn.XLOOKUP($G218,'Liquid Mix In Nutrition'!A:A,'Liquid Mix In Nutrition'!B:B,0))+(($V218 /MAX(1, _xlfn.XLOOKUP($H218,'Solid Mix In Nutrition'!A:A,'Solid Mix In Nutrition'!I:I,1)))  * _xlfn.XLOOKUP($H218,'Solid Mix In Nutrition'!A:A,'Solid Mix In Nutrition'!B:B,0))+(($W218 / MAX(1, _xlfn.XLOOKUP($I218,'Solid Mix In Nutrition'!A:A,'Solid Mix In Nutrition'!I:I,1))))+(($X218 / 100)  * _xlfn.XLOOKUP($J218,'Sweetener Mix In Nutrition'!A:A,'Sweetener Mix In Nutrition'!B:B,0))+(($Y218 / 100)  * _xlfn.XLOOKUP($K218,'Sweetener Mix In Nutrition'!A:A,'Sweetener Mix In Nutrition'!B:B,0))</f>
        <v>0</v>
      </c>
      <c r="AC218" s="36">
        <f>(($R218 / 240) * _xlfn.XLOOKUP($D218,'Milk Types Nutrition Per Cup'!A:A,'Milk Types Nutrition Per Cup'!E:E,0)) +(($S218 / 240)  * _xlfn.XLOOKUP($E218,'Milk Types Nutrition Per Cup'!A:A,'Milk Types Nutrition Per Cup'!E:E,0)) +(($T218 / 15)  * _xlfn.XLOOKUP($F218,'Liquid Mix In Nutrition'!A:A,'Liquid Mix In Nutrition'!E:E,0)) +(($U218 / 15)  * _xlfn.XLOOKUP($G218,'Liquid Mix In Nutrition'!A:A,'Liquid Mix In Nutrition'!E:E,0))+(($V218 / MAX(1, _xlfn.XLOOKUP($H218,'Solid Mix In Nutrition'!A:A,'Solid Mix In Nutrition'!I:I,1)))  * _xlfn.XLOOKUP($H218,'Solid Mix In Nutrition'!A:A,'Solid Mix In Nutrition'!E:E,0))+(($W218 / MAX(1, _xlfn.XLOOKUP($I218,'Solid Mix In Nutrition'!A:A,'Solid Mix In Nutrition'!I:I,1)))  * _xlfn.XLOOKUP($I218,'Solid Mix In Nutrition'!A:A,'Solid Mix In Nutrition'!G:G,0))+(($X218 / 100)  * _xlfn.XLOOKUP($J218,'Sweetener Mix In Nutrition'!A:A,'Sweetener Mix In Nutrition'!E:E,0))+(($Y218 / 100)  * _xlfn.XLOOKUP($K218,'Sweetener Mix In Nutrition'!A:A,'Sweetener Mix In Nutrition'!E:E,0))</f>
        <v>0</v>
      </c>
      <c r="AD218" s="36">
        <f>(($R218 / 240) * _xlfn.XLOOKUP($D218,'Milk Types Nutrition Per Cup'!A:A,'Milk Types Nutrition Per Cup'!E:E,0)) +(($S218 / 240)  * _xlfn.XLOOKUP($E218,'Milk Types Nutrition Per Cup'!A:A,'Milk Types Nutrition Per Cup'!E:E,0)) +(($T218 / 15)  * _xlfn.XLOOKUP($F218,'Liquid Mix In Nutrition'!A:A,'Liquid Mix In Nutrition'!E:E,0)) +(($U218 / 15)  * _xlfn.XLOOKUP($G218,'Liquid Mix In Nutrition'!A:A,'Liquid Mix In Nutrition'!E:E,0))+(($X218 / 100)  * _xlfn.XLOOKUP($J218,'Sweetener Mix In Nutrition'!A:A,'Sweetener Mix In Nutrition'!E:E,0))+(($Y218 / 100)  * _xlfn.XLOOKUP($K218,'Sweetener Mix In Nutrition'!A:A,'Sweetener Mix In Nutrition'!E:E,0))</f>
        <v>0</v>
      </c>
      <c r="AE218" s="37">
        <f>(($R218 / 240) * _xlfn.XLOOKUP($D218,'Milk Types Nutrition Per Cup'!A:A,'Milk Types Nutrition Per Cup'!C:C,0)) +(($S218 / 240)  * _xlfn.XLOOKUP($E218,'Milk Types Nutrition Per Cup'!A:A,'Milk Types Nutrition Per Cup'!C:C,0)) +(($T218 / 15)  * _xlfn.XLOOKUP($F218,'Liquid Mix In Nutrition'!A:A,'Liquid Mix In Nutrition'!C:C,0))+(($U218 / 15)  * _xlfn.XLOOKUP($G218,'Liquid Mix In Nutrition'!A:A,'Liquid Mix In Nutrition'!C:C,0))+(($V218 / MAX(1, _xlfn.XLOOKUP($H218,'Solid Mix In Nutrition'!A:A,'Solid Mix In Nutrition'!I:I,1)))  * _xlfn.XLOOKUP($H218,'Solid Mix In Nutrition'!A:A,'Solid Mix In Nutrition'!C:C,0))+(($W218 / MAX(1, _xlfn.XLOOKUP($I218,'Solid Mix In Nutrition'!A:A,'Solid Mix In Nutrition'!I:I,1)))  * _xlfn.XLOOKUP($I218,'Solid Mix In Nutrition'!A:A,'Solid Mix In Nutrition'!C:C,0))+(($X218 / 100)  * _xlfn.XLOOKUP($J218,'Sweetener Mix In Nutrition'!A:A,'Sweetener Mix In Nutrition'!C:C,0))+(($Y218 / 100)  * _xlfn.XLOOKUP($K218,'Sweetener Mix In Nutrition'!A:A,'Sweetener Mix In Nutrition'!C:C,0))</f>
        <v>0</v>
      </c>
      <c r="AF218" s="38" t="e">
        <f>$AE218 / (_xlfn.XLOOKUP($L218,Specs!A:A,Specs!B:B,0))</f>
        <v>#DIV/0!</v>
      </c>
      <c r="AG218" s="37" t="e">
        <f>60* ($AB218 / _xlfn.XLOOKUP($L218,Specs!A:A,Specs!B:B,0))</f>
        <v>#DIV/0!</v>
      </c>
      <c r="AH218" s="37" t="e">
        <f>60* (AC218 / _xlfn.XLOOKUP($L218,Specs!$A:$A,Specs!$B:$B,0))</f>
        <v>#DIV/0!</v>
      </c>
      <c r="AI218" s="37" t="e">
        <f>60* (AE218 / _xlfn.XLOOKUP($L218,Specs!$A:$A,Specs!$B:$B,0))</f>
        <v>#DIV/0!</v>
      </c>
      <c r="AJ218" s="39">
        <f>(($R218 / 240) * _xlfn.XLOOKUP($D218,'Milk Types Nutrition Per Cup'!A:A,'Milk Types Nutrition Per Cup'!F:F,0)) +(($S218 / 240)  * _xlfn.XLOOKUP($E218,'Milk Types Nutrition Per Cup'!A:A,'Milk Types Nutrition Per Cup'!F:F,0)) +(($T218 / 15)  * _xlfn.XLOOKUP($F218,'Liquid Mix In Nutrition'!A:A,'Liquid Mix In Nutrition'!F:F,0))+(($U218 / 15)  * _xlfn.XLOOKUP($G218,'Liquid Mix In Nutrition'!A:A,'Liquid Mix In Nutrition'!F:F,0))+(($V218 / MAX(1, _xlfn.XLOOKUP($H218,'Solid Mix In Nutrition'!A:A,'Solid Mix In Nutrition'!I:I,1)))  * _xlfn.XLOOKUP($H218,'Solid Mix In Nutrition'!A:A,'Solid Mix In Nutrition'!F:F,0))+(($W218 / MAX(1, _xlfn.XLOOKUP($I218,'Solid Mix In Nutrition'!A:A,'Solid Mix In Nutrition'!I:I,1)))  * _xlfn.XLOOKUP($I218,'Solid Mix In Nutrition'!A:A,'Solid Mix In Nutrition'!F:F,0))+(($X218 / 100)  * _xlfn.XLOOKUP($J218,'Sweetener Mix In Nutrition'!A:A,'Sweetener Mix In Nutrition'!F:F,0))+(($Y218 / 100)  * _xlfn.XLOOKUP($K218,'Sweetener Mix In Nutrition'!A:A,'Sweetener Mix In Nutrition'!F:F,0))</f>
        <v>0</v>
      </c>
      <c r="AK218" s="46">
        <f>[2]Sheet1!AG218</f>
        <v>0</v>
      </c>
      <c r="AL218" s="47"/>
      <c r="AM218" s="40">
        <f>IF(ISERROR(((AL218/Specs!$L$3)*Specs!$L$2)*2),0,ROUNDUP((((AL218/Specs!$L$3)*Specs!$L$2)*2),0))</f>
        <v>0</v>
      </c>
      <c r="AN218" s="48">
        <f>ROUNDUP(((AJ218+Specs!$R$2+Specs!$S$2+_xlfn.XLOOKUP($L218,Specs!A:A,Specs!V:V,0))*Specs!$N$2)+AM218,0)</f>
        <v>1</v>
      </c>
      <c r="AO218" s="40">
        <f>ROUNDUP(((AJ218+Specs!$R$2+Specs!$S$2+_xlfn.XLOOKUP($L218,Specs!A:A,Specs!V:V,0))*Specs!$N$2),0)</f>
        <v>1</v>
      </c>
      <c r="AP218" s="30"/>
    </row>
    <row r="219" spans="1:42" x14ac:dyDescent="0.25">
      <c r="A219" s="41" t="str">
        <f>_xlfn.CONCAT(_xlfn.XLOOKUP("What's Your Name?",[1]Sheet1!$1:$1,[1]Sheet1!219:219)," | ",TEXT(_xlfn.XLOOKUP("Completion time",[1]Sheet1!$1:$1,[1]Sheet1!219:219),"dddd, mmm dd, yyyy hh:mm AM/PM"))</f>
        <v xml:space="preserve"> | Saturday, Jan 00, 1900 12:00 AM</v>
      </c>
      <c r="B219" s="76">
        <f>_xlfn.XLOOKUP("What's Your Email Address?",[1]Sheet1!$1:$1,[1]Sheet1!219:219)</f>
        <v>0</v>
      </c>
      <c r="C219" s="31">
        <f>IF(ISBLANK(_xlfn.XLOOKUP("Which Flavor? (Pint Price | Quart Price | Half Gallon Price) (NOTE: Prices may fluctuate based on market conditions)",[1]Sheet1!$1:$1,[1]Sheet1!219:219)),_xlfn.XLOOKUP("Name Your Ice Cream!",[1]Sheet1!$1:$1,[1]Sheet1!219:219),IF(ISNUMBER(FIND("(", _xlfn.XLOOKUP("Which Flavor? (Pint Price | Quart Price | Half Gallon Price) (NOTE: Prices may fluctuate based on market conditions)",[1]Sheet1!$1:$1,[1]Sheet1!219:219))), LEFT(_xlfn.XLOOKUP("Which Flavor? (Pint Price | Quart Price | Half Gallon Price) (NOTE: Prices may fluctuate based on market conditions)",[1]Sheet1!$1:$1,[1]Sheet1!219:219), FIND("(", _xlfn.XLOOKUP("Which Flavor? (Pint Price | Quart Price | Half Gallon Price) (NOTE: Prices may fluctuate based on market conditions)",[1]Sheet1!$1:$1,[1]Sheet1!219:219)) - 1), _xlfn.XLOOKUP("Which Flavor? (Pint Price | Quart Price | Half Gallon Price) (NOTE: Prices may fluctuate based on market conditions)",[1]Sheet1!$1:$1,[1]Sheet1!219:219)))</f>
        <v>0</v>
      </c>
      <c r="D219" s="31">
        <f>IF(COUNTIF('Premade Flavors'!$A:$A, $C219) &gt; 0,IF(ISBLANK(_xlfn.XLOOKUP("What Ice Cream Base Do You Want To Change It To?",[1]Sheet1!$1:$1,[1]Sheet1!219:219)),_xlfn.XLOOKUP($C219,'Premade Flavors'!$A:$A,'Premade Flavors'!B:B),_xlfn.XLOOKUP("What Ice Cream Base Do You Want To Change It To?",[1]Sheet1!$1:$1,[1]Sheet1!219:219)),_xlfn.XLOOKUP(_xlfn.XLOOKUP("What Kind Of Ice Cream Base Do You Want? ",[1]Sheet1!$1:$1,[1]Sheet1!219:219),'Milk Types Nutrition Per Cup'!O:O,'Milk Types Nutrition Per Cup'!P:P,""))</f>
        <v>0</v>
      </c>
      <c r="E219" s="31">
        <f>IF(COUNTIF('Premade Flavors'!$A:$A, $C219) &gt; 0,IF(ISBLANK(_xlfn.XLOOKUP("What Ice Cream Base Do You Want To Change It To?",[1]Sheet1!$1:$1,[1]Sheet1!219:219)),_xlfn.XLOOKUP($C219,'Premade Flavors'!$A:$A,'Premade Flavors'!C:C),_xlfn.XLOOKUP("What Ice Cream Base Do You Want To Change It To?",[1]Sheet1!$1:$1,[1]Sheet1!219:219)),_xlfn.XLOOKUP(_xlfn.XLOOKUP("What Kind Of Ice Cream Base Do You Want? ",[1]Sheet1!$1:$1,[1]Sheet1!219:219),'Milk Types Nutrition Per Cup'!$O:$O,'Milk Types Nutrition Per Cup'!$Q:$Q,""))</f>
        <v>0</v>
      </c>
      <c r="F219" s="31">
        <f>IF(COUNTIF('Premade Flavors'!$A:$A, $C219) &gt; 0,_xlfn.XLOOKUP($C219,'Premade Flavors'!$A:$A,'Premade Flavors'!E:E),_xlfn.XLOOKUP("What's The First Flavor You Want? ",[1]Sheet1!$1:$1,[1]Sheet1!219:219))</f>
        <v>0</v>
      </c>
      <c r="G219" s="31">
        <f>IF(COUNTIF('Premade Flavors'!$A:$A, $C219) &gt; 0,_xlfn.XLOOKUP($C219,'Premade Flavors'!$A:$A,'Premade Flavors'!F:F),_xlfn.XLOOKUP("What's the Second Flavor You Want?",[1]Sheet1!$1:$1,[1]Sheet1!219:219))</f>
        <v>0</v>
      </c>
      <c r="H219" s="31">
        <f>IF(COUNTIF('Premade Flavors'!$A:$A, $C219) &gt; 0,_xlfn.XLOOKUP($C219,'Premade Flavors'!$A:$A,'Premade Flavors'!G:G),_xlfn.XLOOKUP("What's The First Mix In That You Want? ",[1]Sheet1!$1:$1,[1]Sheet1!219:219))</f>
        <v>0</v>
      </c>
      <c r="I219" s="31">
        <f>IF(COUNTIF('Premade Flavors'!$A:$A, $C217) &gt; 0,_xlfn.XLOOKUP($C217,'Premade Flavors'!$A:$A,'Premade Flavors'!H:H),IF([2]Sheet1!W217= 0,,[2]Sheet1!W217))</f>
        <v>0</v>
      </c>
      <c r="J219" s="31">
        <f>IF(COUNTIF('Premade Flavors'!$A:$A,$C219)&gt;0,IF(_xlfn.XLOOKUP("Should It Use Sugar or A Non-Sugar Sweetner?",[1]Sheet1!$1:$1,[1]Sheet1!219:219)="Sugar",_xlfn.XLOOKUP($C219,'Premade Flavors'!$A:$A,'Premade Flavors'!I:I),"Stevia"),_xlfn.XLOOKUP("What Sweetner Do You Want?",[1]Sheet1!$1:$1,[1]Sheet1!219:219))</f>
        <v>0</v>
      </c>
      <c r="K219" s="31"/>
      <c r="L219" s="77">
        <f>_xlfn.XLOOKUP("How Much Ice Cream Do You Want?",[1]Sheet1!$1:$1,[1]Sheet1!219:219)</f>
        <v>0</v>
      </c>
      <c r="M219" s="45">
        <f>IF(COUNTIF('Premade Flavors'!$A:$A, $C219) &gt; 0,_xlfn.XLOOKUP($C219,'Premade Flavors'!$A:$A,'Premade Flavors'!M:M),_xlfn.XLOOKUP("How Strong Do You Want The First Flavor?",[1]Sheet1!$1:$1,[1]Sheet1!219:219))</f>
        <v>0</v>
      </c>
      <c r="N219" s="45">
        <f>IF(COUNTIF('Premade Flavors'!$A:$A, $C219) &gt; 0,_xlfn.XLOOKUP($C219,'Premade Flavors'!$A:$A,'Premade Flavors'!N:N),_xlfn.XLOOKUP("How Strong Do You Want The Second Flavor?",[1]Sheet1!$1:$1,[1]Sheet1!219:219))</f>
        <v>0</v>
      </c>
      <c r="O219" s="45">
        <f>IF(COUNTIF('Premade Flavors'!$A:$A, $C219) &gt; 0,_xlfn.XLOOKUP($C219,'Premade Flavors'!$A:$A,'Premade Flavors'!O:O),_xlfn.XLOOKUP("How Dense Should the Mix Ins Be?",[1]Sheet1!$1:$1,[1]Sheet1!219:219))</f>
        <v>0</v>
      </c>
      <c r="P219" s="45">
        <f>IF(COUNTIF('Premade Flavors'!$A:$A, $C219) &gt; 0,_xlfn.XLOOKUP($C219,'Premade Flavors'!$A:$A,'Premade Flavors'!P:P),_xlfn.XLOOKUP("How Much Of The First Sweetner? ",[1]Sheet1!$1:$1,[1]Sheet1!219:219))</f>
        <v>0</v>
      </c>
      <c r="Q219" s="45">
        <f>IF(COUNTIF('Premade Flavors'!$A:$A, $C219) &gt; 0,_xlfn.XLOOKUP($C219,'Premade Flavors'!$A:$A,'Premade Flavors'!Q:Q),[2]Sheet1!S219)</f>
        <v>0</v>
      </c>
      <c r="R219" s="30">
        <f>(_xlfn.XLOOKUP($L219,Specs!A:A,Specs!B:B,0)-(IF(_xlfn.XLOOKUP($F219,'Liquid Mix In Nutrition'!A:A,'Liquid Mix In Nutrition'!J:J,0)="Yes",0,$T219))-(IF(_xlfn.XLOOKUP($G219,'Liquid Mix In Nutrition'!A:A,'Liquid Mix In Nutrition'!J:J,0)="Yes",0,$U219))-(($V219/MAX(1,_xlfn.XLOOKUP($H219,'Solid Mix In Nutrition'!A:A,'Solid Mix In Nutrition'!I:I,1)))*240)-(($W219/MAX(1,_xlfn.XLOOKUP($I219,'Solid Mix In Nutrition'!A:A,'Solid Mix In Nutrition'!I:I,1)))*240))*0.66</f>
        <v>0</v>
      </c>
      <c r="S219" s="30">
        <f>(_xlfn.XLOOKUP($L219,Specs!A:A,Specs!B:B,0)-(IF(_xlfn.XLOOKUP($F219,'Liquid Mix In Nutrition'!A:A,'Liquid Mix In Nutrition'!J:J,0)="Yes",0,$T219))-(IF(_xlfn.XLOOKUP($G219,'Liquid Mix In Nutrition'!A:A,'Liquid Mix In Nutrition'!J:J,0)="Yes",0,$U219))-(($V219/MAX(1,_xlfn.XLOOKUP($H219,'Solid Mix In Nutrition'!A:A,'Solid Mix In Nutrition'!I:I,1)))*240)-(($W219/MAX(1,_xlfn.XLOOKUP($I219,'Solid Mix In Nutrition'!A:A,'Solid Mix In Nutrition'!I:I,1)))*240))*0.33</f>
        <v>0</v>
      </c>
      <c r="T219" s="30">
        <f>_xlfn.XLOOKUP($M219,Specs!$D:$D,Specs!$E:$E,0)*15*_xlfn.XLOOKUP($L219,Specs!$A:$A,Specs!$C:$C,0)</f>
        <v>0</v>
      </c>
      <c r="U219" s="30">
        <f>_xlfn.XLOOKUP($N219,Specs!$D:$D,Specs!$E:$E,0)*15*_xlfn.XLOOKUP($L219,Specs!$A:$A,Specs!$C:$C,0)</f>
        <v>0</v>
      </c>
      <c r="V219" s="30">
        <f>( ((_xlfn.XLOOKUP($O219,Specs!$H:$H,Specs!$I:$I,0)*_xlfn.XLOOKUP($L219,Specs!$A:$A,Specs!$B:$B,0))/240) *_xlfn.XLOOKUP($H219,'Solid Mix In Nutrition'!A:A,'Solid Mix In Nutrition'!I:I,0)) *IF(AND(NOT($I219=0), COUNTA($I219)),0.5,1)</f>
        <v>0</v>
      </c>
      <c r="W219" s="30">
        <f>( ((_xlfn.XLOOKUP($O219,Specs!$H:$H,Specs!$I:$I,0)*_xlfn.XLOOKUP($L219,Specs!$A:$A,Specs!$B:$B,0))/240) *_xlfn.XLOOKUP($I219,'Solid Mix In Nutrition'!A:A,'Solid Mix In Nutrition'!I:I,0)) *IF(AND(NOT($I219=0), COUNTA($I219)),0.5,0)</f>
        <v>0</v>
      </c>
      <c r="X219" s="30">
        <f>_xlfn.XLOOKUP($P219,Specs!F:F,Specs!G:G,0)*_xlfn.XLOOKUP($J219,'Sweetener Mix In Nutrition'!A:A,'Sweetener Mix In Nutrition'!I:I,0)*_xlfn.XLOOKUP($L219,Specs!A:A,Specs!C:C,0)</f>
        <v>0</v>
      </c>
      <c r="Y219" s="30">
        <f>_xlfn.XLOOKUP($Q219,Specs!F:F,Specs!G:G,0)*_xlfn.XLOOKUP($K219,'Sweetener Mix In Nutrition'!A:A,'Sweetener Mix In Nutrition'!I:I,0)*_xlfn.XLOOKUP($L219,Specs!A:A,Specs!C:C,0)</f>
        <v>0</v>
      </c>
      <c r="Z219" s="34">
        <f t="shared" si="6"/>
        <v>0</v>
      </c>
      <c r="AA219" s="35">
        <f t="shared" si="7"/>
        <v>0</v>
      </c>
      <c r="AB219" s="36">
        <f>(($R219 / 240) * _xlfn.XLOOKUP($D219,'Milk Types Nutrition Per Cup'!A:A,'Milk Types Nutrition Per Cup'!B:B,0)) +(($S219 / 240)  * _xlfn.XLOOKUP($E219,'Milk Types Nutrition Per Cup'!A:A,'Milk Types Nutrition Per Cup'!B:B,0)) +(($T219 / 15)  * _xlfn.XLOOKUP($F219,'Liquid Mix In Nutrition'!A:A,'Liquid Mix In Nutrition'!B:B,0))+(($U219 / 15)  * _xlfn.XLOOKUP($G219,'Liquid Mix In Nutrition'!A:A,'Liquid Mix In Nutrition'!B:B,0))+(($V219 /MAX(1, _xlfn.XLOOKUP($H219,'Solid Mix In Nutrition'!A:A,'Solid Mix In Nutrition'!I:I,1)))  * _xlfn.XLOOKUP($H219,'Solid Mix In Nutrition'!A:A,'Solid Mix In Nutrition'!B:B,0))+(($W219 / MAX(1, _xlfn.XLOOKUP($I219,'Solid Mix In Nutrition'!A:A,'Solid Mix In Nutrition'!I:I,1))))+(($X219 / 100)  * _xlfn.XLOOKUP($J219,'Sweetener Mix In Nutrition'!A:A,'Sweetener Mix In Nutrition'!B:B,0))+(($Y219 / 100)  * _xlfn.XLOOKUP($K219,'Sweetener Mix In Nutrition'!A:A,'Sweetener Mix In Nutrition'!B:B,0))</f>
        <v>0</v>
      </c>
      <c r="AC219" s="36">
        <f>(($R219 / 240) * _xlfn.XLOOKUP($D219,'Milk Types Nutrition Per Cup'!A:A,'Milk Types Nutrition Per Cup'!E:E,0)) +(($S219 / 240)  * _xlfn.XLOOKUP($E219,'Milk Types Nutrition Per Cup'!A:A,'Milk Types Nutrition Per Cup'!E:E,0)) +(($T219 / 15)  * _xlfn.XLOOKUP($F219,'Liquid Mix In Nutrition'!A:A,'Liquid Mix In Nutrition'!E:E,0)) +(($U219 / 15)  * _xlfn.XLOOKUP($G219,'Liquid Mix In Nutrition'!A:A,'Liquid Mix In Nutrition'!E:E,0))+(($V219 / MAX(1, _xlfn.XLOOKUP($H219,'Solid Mix In Nutrition'!A:A,'Solid Mix In Nutrition'!I:I,1)))  * _xlfn.XLOOKUP($H219,'Solid Mix In Nutrition'!A:A,'Solid Mix In Nutrition'!E:E,0))+(($W219 / MAX(1, _xlfn.XLOOKUP($I219,'Solid Mix In Nutrition'!A:A,'Solid Mix In Nutrition'!I:I,1)))  * _xlfn.XLOOKUP($I219,'Solid Mix In Nutrition'!A:A,'Solid Mix In Nutrition'!G:G,0))+(($X219 / 100)  * _xlfn.XLOOKUP($J219,'Sweetener Mix In Nutrition'!A:A,'Sweetener Mix In Nutrition'!E:E,0))+(($Y219 / 100)  * _xlfn.XLOOKUP($K219,'Sweetener Mix In Nutrition'!A:A,'Sweetener Mix In Nutrition'!E:E,0))</f>
        <v>0</v>
      </c>
      <c r="AD219" s="36">
        <f>(($R219 / 240) * _xlfn.XLOOKUP($D219,'Milk Types Nutrition Per Cup'!A:A,'Milk Types Nutrition Per Cup'!E:E,0)) +(($S219 / 240)  * _xlfn.XLOOKUP($E219,'Milk Types Nutrition Per Cup'!A:A,'Milk Types Nutrition Per Cup'!E:E,0)) +(($T219 / 15)  * _xlfn.XLOOKUP($F219,'Liquid Mix In Nutrition'!A:A,'Liquid Mix In Nutrition'!E:E,0)) +(($U219 / 15)  * _xlfn.XLOOKUP($G219,'Liquid Mix In Nutrition'!A:A,'Liquid Mix In Nutrition'!E:E,0))+(($X219 / 100)  * _xlfn.XLOOKUP($J219,'Sweetener Mix In Nutrition'!A:A,'Sweetener Mix In Nutrition'!E:E,0))+(($Y219 / 100)  * _xlfn.XLOOKUP($K219,'Sweetener Mix In Nutrition'!A:A,'Sweetener Mix In Nutrition'!E:E,0))</f>
        <v>0</v>
      </c>
      <c r="AE219" s="37">
        <f>(($R219 / 240) * _xlfn.XLOOKUP($D219,'Milk Types Nutrition Per Cup'!A:A,'Milk Types Nutrition Per Cup'!C:C,0)) +(($S219 / 240)  * _xlfn.XLOOKUP($E219,'Milk Types Nutrition Per Cup'!A:A,'Milk Types Nutrition Per Cup'!C:C,0)) +(($T219 / 15)  * _xlfn.XLOOKUP($F219,'Liquid Mix In Nutrition'!A:A,'Liquid Mix In Nutrition'!C:C,0))+(($U219 / 15)  * _xlfn.XLOOKUP($G219,'Liquid Mix In Nutrition'!A:A,'Liquid Mix In Nutrition'!C:C,0))+(($V219 / MAX(1, _xlfn.XLOOKUP($H219,'Solid Mix In Nutrition'!A:A,'Solid Mix In Nutrition'!I:I,1)))  * _xlfn.XLOOKUP($H219,'Solid Mix In Nutrition'!A:A,'Solid Mix In Nutrition'!C:C,0))+(($W219 / MAX(1, _xlfn.XLOOKUP($I219,'Solid Mix In Nutrition'!A:A,'Solid Mix In Nutrition'!I:I,1)))  * _xlfn.XLOOKUP($I219,'Solid Mix In Nutrition'!A:A,'Solid Mix In Nutrition'!C:C,0))+(($X219 / 100)  * _xlfn.XLOOKUP($J219,'Sweetener Mix In Nutrition'!A:A,'Sweetener Mix In Nutrition'!C:C,0))+(($Y219 / 100)  * _xlfn.XLOOKUP($K219,'Sweetener Mix In Nutrition'!A:A,'Sweetener Mix In Nutrition'!C:C,0))</f>
        <v>0</v>
      </c>
      <c r="AF219" s="38" t="e">
        <f>$AE219 / (_xlfn.XLOOKUP($L219,Specs!A:A,Specs!B:B,0))</f>
        <v>#DIV/0!</v>
      </c>
      <c r="AG219" s="37" t="e">
        <f>60* ($AB219 / _xlfn.XLOOKUP($L219,Specs!A:A,Specs!B:B,0))</f>
        <v>#DIV/0!</v>
      </c>
      <c r="AH219" s="37" t="e">
        <f>60* (AC219 / _xlfn.XLOOKUP($L219,Specs!$A:$A,Specs!$B:$B,0))</f>
        <v>#DIV/0!</v>
      </c>
      <c r="AI219" s="37" t="e">
        <f>60* (AE219 / _xlfn.XLOOKUP($L219,Specs!$A:$A,Specs!$B:$B,0))</f>
        <v>#DIV/0!</v>
      </c>
      <c r="AJ219" s="39">
        <f>(($R219 / 240) * _xlfn.XLOOKUP($D219,'Milk Types Nutrition Per Cup'!A:A,'Milk Types Nutrition Per Cup'!F:F,0)) +(($S219 / 240)  * _xlfn.XLOOKUP($E219,'Milk Types Nutrition Per Cup'!A:A,'Milk Types Nutrition Per Cup'!F:F,0)) +(($T219 / 15)  * _xlfn.XLOOKUP($F219,'Liquid Mix In Nutrition'!A:A,'Liquid Mix In Nutrition'!F:F,0))+(($U219 / 15)  * _xlfn.XLOOKUP($G219,'Liquid Mix In Nutrition'!A:A,'Liquid Mix In Nutrition'!F:F,0))+(($V219 / MAX(1, _xlfn.XLOOKUP($H219,'Solid Mix In Nutrition'!A:A,'Solid Mix In Nutrition'!I:I,1)))  * _xlfn.XLOOKUP($H219,'Solid Mix In Nutrition'!A:A,'Solid Mix In Nutrition'!F:F,0))+(($W219 / MAX(1, _xlfn.XLOOKUP($I219,'Solid Mix In Nutrition'!A:A,'Solid Mix In Nutrition'!I:I,1)))  * _xlfn.XLOOKUP($I219,'Solid Mix In Nutrition'!A:A,'Solid Mix In Nutrition'!F:F,0))+(($X219 / 100)  * _xlfn.XLOOKUP($J219,'Sweetener Mix In Nutrition'!A:A,'Sweetener Mix In Nutrition'!F:F,0))+(($Y219 / 100)  * _xlfn.XLOOKUP($K219,'Sweetener Mix In Nutrition'!A:A,'Sweetener Mix In Nutrition'!F:F,0))</f>
        <v>0</v>
      </c>
      <c r="AK219" s="46">
        <f>[2]Sheet1!AG219</f>
        <v>0</v>
      </c>
      <c r="AL219" s="47"/>
      <c r="AM219" s="40">
        <f>IF(ISERROR(((AL219/Specs!$L$3)*Specs!$L$2)*2),0,ROUNDUP((((AL219/Specs!$L$3)*Specs!$L$2)*2),0))</f>
        <v>0</v>
      </c>
      <c r="AN219" s="48">
        <f>ROUNDUP(((AJ219+Specs!$R$2+Specs!$S$2+_xlfn.XLOOKUP($L219,Specs!A:A,Specs!V:V,0))*Specs!$N$2)+AM219,0)</f>
        <v>1</v>
      </c>
      <c r="AO219" s="40">
        <f>ROUNDUP(((AJ219+Specs!$R$2+Specs!$S$2+_xlfn.XLOOKUP($L219,Specs!A:A,Specs!V:V,0))*Specs!$N$2),0)</f>
        <v>1</v>
      </c>
      <c r="AP219" s="30"/>
    </row>
    <row r="220" spans="1:42" x14ac:dyDescent="0.25">
      <c r="A220" s="41" t="str">
        <f>_xlfn.CONCAT(_xlfn.XLOOKUP("What's Your Name?",[1]Sheet1!$1:$1,[1]Sheet1!220:220)," | ",TEXT(_xlfn.XLOOKUP("Completion time",[1]Sheet1!$1:$1,[1]Sheet1!220:220),"dddd, mmm dd, yyyy hh:mm AM/PM"))</f>
        <v xml:space="preserve"> | Saturday, Jan 00, 1900 12:00 AM</v>
      </c>
      <c r="B220" s="76">
        <f>_xlfn.XLOOKUP("What's Your Email Address?",[1]Sheet1!$1:$1,[1]Sheet1!220:220)</f>
        <v>0</v>
      </c>
      <c r="C220" s="31">
        <f>IF(ISBLANK(_xlfn.XLOOKUP("Which Flavor? (Pint Price | Quart Price | Half Gallon Price) (NOTE: Prices may fluctuate based on market conditions)",[1]Sheet1!$1:$1,[1]Sheet1!220:220)),_xlfn.XLOOKUP("Name Your Ice Cream!",[1]Sheet1!$1:$1,[1]Sheet1!220:220),IF(ISNUMBER(FIND("(", _xlfn.XLOOKUP("Which Flavor? (Pint Price | Quart Price | Half Gallon Price) (NOTE: Prices may fluctuate based on market conditions)",[1]Sheet1!$1:$1,[1]Sheet1!220:220))), LEFT(_xlfn.XLOOKUP("Which Flavor? (Pint Price | Quart Price | Half Gallon Price) (NOTE: Prices may fluctuate based on market conditions)",[1]Sheet1!$1:$1,[1]Sheet1!220:220), FIND("(", _xlfn.XLOOKUP("Which Flavor? (Pint Price | Quart Price | Half Gallon Price) (NOTE: Prices may fluctuate based on market conditions)",[1]Sheet1!$1:$1,[1]Sheet1!220:220)) - 1), _xlfn.XLOOKUP("Which Flavor? (Pint Price | Quart Price | Half Gallon Price) (NOTE: Prices may fluctuate based on market conditions)",[1]Sheet1!$1:$1,[1]Sheet1!220:220)))</f>
        <v>0</v>
      </c>
      <c r="D220" s="31">
        <f>IF(COUNTIF('Premade Flavors'!$A:$A, $C220) &gt; 0,IF(ISBLANK(_xlfn.XLOOKUP("What Ice Cream Base Do You Want To Change It To?",[1]Sheet1!$1:$1,[1]Sheet1!220:220)),_xlfn.XLOOKUP($C220,'Premade Flavors'!$A:$A,'Premade Flavors'!B:B),_xlfn.XLOOKUP("What Ice Cream Base Do You Want To Change It To?",[1]Sheet1!$1:$1,[1]Sheet1!220:220)),_xlfn.XLOOKUP(_xlfn.XLOOKUP("What Kind Of Ice Cream Base Do You Want? ",[1]Sheet1!$1:$1,[1]Sheet1!220:220),'Milk Types Nutrition Per Cup'!O:O,'Milk Types Nutrition Per Cup'!P:P,""))</f>
        <v>0</v>
      </c>
      <c r="E220" s="31">
        <f>IF(COUNTIF('Premade Flavors'!$A:$A, $C220) &gt; 0,IF(ISBLANK(_xlfn.XLOOKUP("What Ice Cream Base Do You Want To Change It To?",[1]Sheet1!$1:$1,[1]Sheet1!220:220)),_xlfn.XLOOKUP($C220,'Premade Flavors'!$A:$A,'Premade Flavors'!C:C),_xlfn.XLOOKUP("What Ice Cream Base Do You Want To Change It To?",[1]Sheet1!$1:$1,[1]Sheet1!220:220)),_xlfn.XLOOKUP(_xlfn.XLOOKUP("What Kind Of Ice Cream Base Do You Want? ",[1]Sheet1!$1:$1,[1]Sheet1!220:220),'Milk Types Nutrition Per Cup'!$O:$O,'Milk Types Nutrition Per Cup'!$Q:$Q,""))</f>
        <v>0</v>
      </c>
      <c r="F220" s="31">
        <f>IF(COUNTIF('Premade Flavors'!$A:$A, $C220) &gt; 0,_xlfn.XLOOKUP($C220,'Premade Flavors'!$A:$A,'Premade Flavors'!E:E),_xlfn.XLOOKUP("What's The First Flavor You Want? ",[1]Sheet1!$1:$1,[1]Sheet1!220:220))</f>
        <v>0</v>
      </c>
      <c r="G220" s="31">
        <f>IF(COUNTIF('Premade Flavors'!$A:$A, $C220) &gt; 0,_xlfn.XLOOKUP($C220,'Premade Flavors'!$A:$A,'Premade Flavors'!F:F),_xlfn.XLOOKUP("What's the Second Flavor You Want?",[1]Sheet1!$1:$1,[1]Sheet1!220:220))</f>
        <v>0</v>
      </c>
      <c r="H220" s="31">
        <f>IF(COUNTIF('Premade Flavors'!$A:$A, $C220) &gt; 0,_xlfn.XLOOKUP($C220,'Premade Flavors'!$A:$A,'Premade Flavors'!G:G),_xlfn.XLOOKUP("What's The First Mix In That You Want? ",[1]Sheet1!$1:$1,[1]Sheet1!220:220))</f>
        <v>0</v>
      </c>
      <c r="I220" s="31">
        <f>IF(COUNTIF('Premade Flavors'!$A:$A, $C218) &gt; 0,_xlfn.XLOOKUP($C218,'Premade Flavors'!$A:$A,'Premade Flavors'!H:H),IF([2]Sheet1!W218= 0,,[2]Sheet1!W218))</f>
        <v>0</v>
      </c>
      <c r="J220" s="31">
        <f>IF(COUNTIF('Premade Flavors'!$A:$A,$C220)&gt;0,IF(_xlfn.XLOOKUP("Should It Use Sugar or A Non-Sugar Sweetner?",[1]Sheet1!$1:$1,[1]Sheet1!220:220)="Sugar",_xlfn.XLOOKUP($C220,'Premade Flavors'!$A:$A,'Premade Flavors'!I:I),"Stevia"),_xlfn.XLOOKUP("What Sweetner Do You Want?",[1]Sheet1!$1:$1,[1]Sheet1!220:220))</f>
        <v>0</v>
      </c>
      <c r="K220" s="31"/>
      <c r="L220" s="77">
        <f>_xlfn.XLOOKUP("How Much Ice Cream Do You Want?",[1]Sheet1!$1:$1,[1]Sheet1!220:220)</f>
        <v>0</v>
      </c>
      <c r="M220" s="45">
        <f>IF(COUNTIF('Premade Flavors'!$A:$A, $C220) &gt; 0,_xlfn.XLOOKUP($C220,'Premade Flavors'!$A:$A,'Premade Flavors'!M:M),_xlfn.XLOOKUP("How Strong Do You Want The First Flavor?",[1]Sheet1!$1:$1,[1]Sheet1!220:220))</f>
        <v>0</v>
      </c>
      <c r="N220" s="45">
        <f>IF(COUNTIF('Premade Flavors'!$A:$A, $C220) &gt; 0,_xlfn.XLOOKUP($C220,'Premade Flavors'!$A:$A,'Premade Flavors'!N:N),_xlfn.XLOOKUP("How Strong Do You Want The Second Flavor?",[1]Sheet1!$1:$1,[1]Sheet1!220:220))</f>
        <v>0</v>
      </c>
      <c r="O220" s="45">
        <f>IF(COUNTIF('Premade Flavors'!$A:$A, $C220) &gt; 0,_xlfn.XLOOKUP($C220,'Premade Flavors'!$A:$A,'Premade Flavors'!O:O),_xlfn.XLOOKUP("How Dense Should the Mix Ins Be?",[1]Sheet1!$1:$1,[1]Sheet1!220:220))</f>
        <v>0</v>
      </c>
      <c r="P220" s="45">
        <f>IF(COUNTIF('Premade Flavors'!$A:$A, $C220) &gt; 0,_xlfn.XLOOKUP($C220,'Premade Flavors'!$A:$A,'Premade Flavors'!P:P),_xlfn.XLOOKUP("How Much Of The First Sweetner? ",[1]Sheet1!$1:$1,[1]Sheet1!220:220))</f>
        <v>0</v>
      </c>
      <c r="Q220" s="45">
        <f>IF(COUNTIF('Premade Flavors'!$A:$A, $C220) &gt; 0,_xlfn.XLOOKUP($C220,'Premade Flavors'!$A:$A,'Premade Flavors'!Q:Q),[2]Sheet1!S220)</f>
        <v>0</v>
      </c>
      <c r="R220" s="30">
        <f>(_xlfn.XLOOKUP($L220,Specs!A:A,Specs!B:B,0)-(IF(_xlfn.XLOOKUP($F220,'Liquid Mix In Nutrition'!A:A,'Liquid Mix In Nutrition'!J:J,0)="Yes",0,$T220))-(IF(_xlfn.XLOOKUP($G220,'Liquid Mix In Nutrition'!A:A,'Liquid Mix In Nutrition'!J:J,0)="Yes",0,$U220))-(($V220/MAX(1,_xlfn.XLOOKUP($H220,'Solid Mix In Nutrition'!A:A,'Solid Mix In Nutrition'!I:I,1)))*240)-(($W220/MAX(1,_xlfn.XLOOKUP($I220,'Solid Mix In Nutrition'!A:A,'Solid Mix In Nutrition'!I:I,1)))*240))*0.66</f>
        <v>0</v>
      </c>
      <c r="S220" s="30">
        <f>(_xlfn.XLOOKUP($L220,Specs!A:A,Specs!B:B,0)-(IF(_xlfn.XLOOKUP($F220,'Liquid Mix In Nutrition'!A:A,'Liquid Mix In Nutrition'!J:J,0)="Yes",0,$T220))-(IF(_xlfn.XLOOKUP($G220,'Liquid Mix In Nutrition'!A:A,'Liquid Mix In Nutrition'!J:J,0)="Yes",0,$U220))-(($V220/MAX(1,_xlfn.XLOOKUP($H220,'Solid Mix In Nutrition'!A:A,'Solid Mix In Nutrition'!I:I,1)))*240)-(($W220/MAX(1,_xlfn.XLOOKUP($I220,'Solid Mix In Nutrition'!A:A,'Solid Mix In Nutrition'!I:I,1)))*240))*0.33</f>
        <v>0</v>
      </c>
      <c r="T220" s="30">
        <f>_xlfn.XLOOKUP($M220,Specs!$D:$D,Specs!$E:$E,0)*15*_xlfn.XLOOKUP($L220,Specs!$A:$A,Specs!$C:$C,0)</f>
        <v>0</v>
      </c>
      <c r="U220" s="30">
        <f>_xlfn.XLOOKUP($N220,Specs!$D:$D,Specs!$E:$E,0)*15*_xlfn.XLOOKUP($L220,Specs!$A:$A,Specs!$C:$C,0)</f>
        <v>0</v>
      </c>
      <c r="V220" s="30">
        <f>( ((_xlfn.XLOOKUP($O220,Specs!$H:$H,Specs!$I:$I,0)*_xlfn.XLOOKUP($L220,Specs!$A:$A,Specs!$B:$B,0))/240) *_xlfn.XLOOKUP($H220,'Solid Mix In Nutrition'!A:A,'Solid Mix In Nutrition'!I:I,0)) *IF(AND(NOT($I220=0), COUNTA($I220)),0.5,1)</f>
        <v>0</v>
      </c>
      <c r="W220" s="30">
        <f>( ((_xlfn.XLOOKUP($O220,Specs!$H:$H,Specs!$I:$I,0)*_xlfn.XLOOKUP($L220,Specs!$A:$A,Specs!$B:$B,0))/240) *_xlfn.XLOOKUP($I220,'Solid Mix In Nutrition'!A:A,'Solid Mix In Nutrition'!I:I,0)) *IF(AND(NOT($I220=0), COUNTA($I220)),0.5,0)</f>
        <v>0</v>
      </c>
      <c r="X220" s="30">
        <f>_xlfn.XLOOKUP($P220,Specs!F:F,Specs!G:G,0)*_xlfn.XLOOKUP($J220,'Sweetener Mix In Nutrition'!A:A,'Sweetener Mix In Nutrition'!I:I,0)*_xlfn.XLOOKUP($L220,Specs!A:A,Specs!C:C,0)</f>
        <v>0</v>
      </c>
      <c r="Y220" s="30">
        <f>_xlfn.XLOOKUP($Q220,Specs!F:F,Specs!G:G,0)*_xlfn.XLOOKUP($K220,'Sweetener Mix In Nutrition'!A:A,'Sweetener Mix In Nutrition'!I:I,0)*_xlfn.XLOOKUP($L220,Specs!A:A,Specs!C:C,0)</f>
        <v>0</v>
      </c>
      <c r="Z220" s="34">
        <f t="shared" si="6"/>
        <v>0</v>
      </c>
      <c r="AA220" s="35">
        <f t="shared" si="7"/>
        <v>0</v>
      </c>
      <c r="AB220" s="36">
        <f>(($R220 / 240) * _xlfn.XLOOKUP($D220,'Milk Types Nutrition Per Cup'!A:A,'Milk Types Nutrition Per Cup'!B:B,0)) +(($S220 / 240)  * _xlfn.XLOOKUP($E220,'Milk Types Nutrition Per Cup'!A:A,'Milk Types Nutrition Per Cup'!B:B,0)) +(($T220 / 15)  * _xlfn.XLOOKUP($F220,'Liquid Mix In Nutrition'!A:A,'Liquid Mix In Nutrition'!B:B,0))+(($U220 / 15)  * _xlfn.XLOOKUP($G220,'Liquid Mix In Nutrition'!A:A,'Liquid Mix In Nutrition'!B:B,0))+(($V220 /MAX(1, _xlfn.XLOOKUP($H220,'Solid Mix In Nutrition'!A:A,'Solid Mix In Nutrition'!I:I,1)))  * _xlfn.XLOOKUP($H220,'Solid Mix In Nutrition'!A:A,'Solid Mix In Nutrition'!B:B,0))+(($W220 / MAX(1, _xlfn.XLOOKUP($I220,'Solid Mix In Nutrition'!A:A,'Solid Mix In Nutrition'!I:I,1))))+(($X220 / 100)  * _xlfn.XLOOKUP($J220,'Sweetener Mix In Nutrition'!A:A,'Sweetener Mix In Nutrition'!B:B,0))+(($Y220 / 100)  * _xlfn.XLOOKUP($K220,'Sweetener Mix In Nutrition'!A:A,'Sweetener Mix In Nutrition'!B:B,0))</f>
        <v>0</v>
      </c>
      <c r="AC220" s="36">
        <f>(($R220 / 240) * _xlfn.XLOOKUP($D220,'Milk Types Nutrition Per Cup'!A:A,'Milk Types Nutrition Per Cup'!E:E,0)) +(($S220 / 240)  * _xlfn.XLOOKUP($E220,'Milk Types Nutrition Per Cup'!A:A,'Milk Types Nutrition Per Cup'!E:E,0)) +(($T220 / 15)  * _xlfn.XLOOKUP($F220,'Liquid Mix In Nutrition'!A:A,'Liquid Mix In Nutrition'!E:E,0)) +(($U220 / 15)  * _xlfn.XLOOKUP($G220,'Liquid Mix In Nutrition'!A:A,'Liquid Mix In Nutrition'!E:E,0))+(($V220 / MAX(1, _xlfn.XLOOKUP($H220,'Solid Mix In Nutrition'!A:A,'Solid Mix In Nutrition'!I:I,1)))  * _xlfn.XLOOKUP($H220,'Solid Mix In Nutrition'!A:A,'Solid Mix In Nutrition'!E:E,0))+(($W220 / MAX(1, _xlfn.XLOOKUP($I220,'Solid Mix In Nutrition'!A:A,'Solid Mix In Nutrition'!I:I,1)))  * _xlfn.XLOOKUP($I220,'Solid Mix In Nutrition'!A:A,'Solid Mix In Nutrition'!G:G,0))+(($X220 / 100)  * _xlfn.XLOOKUP($J220,'Sweetener Mix In Nutrition'!A:A,'Sweetener Mix In Nutrition'!E:E,0))+(($Y220 / 100)  * _xlfn.XLOOKUP($K220,'Sweetener Mix In Nutrition'!A:A,'Sweetener Mix In Nutrition'!E:E,0))</f>
        <v>0</v>
      </c>
      <c r="AD220" s="36">
        <f>(($R220 / 240) * _xlfn.XLOOKUP($D220,'Milk Types Nutrition Per Cup'!A:A,'Milk Types Nutrition Per Cup'!E:E,0)) +(($S220 / 240)  * _xlfn.XLOOKUP($E220,'Milk Types Nutrition Per Cup'!A:A,'Milk Types Nutrition Per Cup'!E:E,0)) +(($T220 / 15)  * _xlfn.XLOOKUP($F220,'Liquid Mix In Nutrition'!A:A,'Liquid Mix In Nutrition'!E:E,0)) +(($U220 / 15)  * _xlfn.XLOOKUP($G220,'Liquid Mix In Nutrition'!A:A,'Liquid Mix In Nutrition'!E:E,0))+(($X220 / 100)  * _xlfn.XLOOKUP($J220,'Sweetener Mix In Nutrition'!A:A,'Sweetener Mix In Nutrition'!E:E,0))+(($Y220 / 100)  * _xlfn.XLOOKUP($K220,'Sweetener Mix In Nutrition'!A:A,'Sweetener Mix In Nutrition'!E:E,0))</f>
        <v>0</v>
      </c>
      <c r="AE220" s="37">
        <f>(($R220 / 240) * _xlfn.XLOOKUP($D220,'Milk Types Nutrition Per Cup'!A:A,'Milk Types Nutrition Per Cup'!C:C,0)) +(($S220 / 240)  * _xlfn.XLOOKUP($E220,'Milk Types Nutrition Per Cup'!A:A,'Milk Types Nutrition Per Cup'!C:C,0)) +(($T220 / 15)  * _xlfn.XLOOKUP($F220,'Liquid Mix In Nutrition'!A:A,'Liquid Mix In Nutrition'!C:C,0))+(($U220 / 15)  * _xlfn.XLOOKUP($G220,'Liquid Mix In Nutrition'!A:A,'Liquid Mix In Nutrition'!C:C,0))+(($V220 / MAX(1, _xlfn.XLOOKUP($H220,'Solid Mix In Nutrition'!A:A,'Solid Mix In Nutrition'!I:I,1)))  * _xlfn.XLOOKUP($H220,'Solid Mix In Nutrition'!A:A,'Solid Mix In Nutrition'!C:C,0))+(($W220 / MAX(1, _xlfn.XLOOKUP($I220,'Solid Mix In Nutrition'!A:A,'Solid Mix In Nutrition'!I:I,1)))  * _xlfn.XLOOKUP($I220,'Solid Mix In Nutrition'!A:A,'Solid Mix In Nutrition'!C:C,0))+(($X220 / 100)  * _xlfn.XLOOKUP($J220,'Sweetener Mix In Nutrition'!A:A,'Sweetener Mix In Nutrition'!C:C,0))+(($Y220 / 100)  * _xlfn.XLOOKUP($K220,'Sweetener Mix In Nutrition'!A:A,'Sweetener Mix In Nutrition'!C:C,0))</f>
        <v>0</v>
      </c>
      <c r="AF220" s="38" t="e">
        <f>$AE220 / (_xlfn.XLOOKUP($L220,Specs!A:A,Specs!B:B,0))</f>
        <v>#DIV/0!</v>
      </c>
      <c r="AG220" s="37" t="e">
        <f>60* ($AB220 / _xlfn.XLOOKUP($L220,Specs!A:A,Specs!B:B,0))</f>
        <v>#DIV/0!</v>
      </c>
      <c r="AH220" s="37" t="e">
        <f>60* (AC220 / _xlfn.XLOOKUP($L220,Specs!$A:$A,Specs!$B:$B,0))</f>
        <v>#DIV/0!</v>
      </c>
      <c r="AI220" s="37" t="e">
        <f>60* (AE220 / _xlfn.XLOOKUP($L220,Specs!$A:$A,Specs!$B:$B,0))</f>
        <v>#DIV/0!</v>
      </c>
      <c r="AJ220" s="39">
        <f>(($R220 / 240) * _xlfn.XLOOKUP($D220,'Milk Types Nutrition Per Cup'!A:A,'Milk Types Nutrition Per Cup'!F:F,0)) +(($S220 / 240)  * _xlfn.XLOOKUP($E220,'Milk Types Nutrition Per Cup'!A:A,'Milk Types Nutrition Per Cup'!F:F,0)) +(($T220 / 15)  * _xlfn.XLOOKUP($F220,'Liquid Mix In Nutrition'!A:A,'Liquid Mix In Nutrition'!F:F,0))+(($U220 / 15)  * _xlfn.XLOOKUP($G220,'Liquid Mix In Nutrition'!A:A,'Liquid Mix In Nutrition'!F:F,0))+(($V220 / MAX(1, _xlfn.XLOOKUP($H220,'Solid Mix In Nutrition'!A:A,'Solid Mix In Nutrition'!I:I,1)))  * _xlfn.XLOOKUP($H220,'Solid Mix In Nutrition'!A:A,'Solid Mix In Nutrition'!F:F,0))+(($W220 / MAX(1, _xlfn.XLOOKUP($I220,'Solid Mix In Nutrition'!A:A,'Solid Mix In Nutrition'!I:I,1)))  * _xlfn.XLOOKUP($I220,'Solid Mix In Nutrition'!A:A,'Solid Mix In Nutrition'!F:F,0))+(($X220 / 100)  * _xlfn.XLOOKUP($J220,'Sweetener Mix In Nutrition'!A:A,'Sweetener Mix In Nutrition'!F:F,0))+(($Y220 / 100)  * _xlfn.XLOOKUP($K220,'Sweetener Mix In Nutrition'!A:A,'Sweetener Mix In Nutrition'!F:F,0))</f>
        <v>0</v>
      </c>
      <c r="AK220" s="46">
        <f>[2]Sheet1!AG220</f>
        <v>0</v>
      </c>
      <c r="AL220" s="47"/>
      <c r="AM220" s="40">
        <f>IF(ISERROR(((AL220/Specs!$L$3)*Specs!$L$2)*2),0,ROUNDUP((((AL220/Specs!$L$3)*Specs!$L$2)*2),0))</f>
        <v>0</v>
      </c>
      <c r="AN220" s="48">
        <f>ROUNDUP(((AJ220+Specs!$R$2+Specs!$S$2+_xlfn.XLOOKUP($L220,Specs!A:A,Specs!V:V,0))*Specs!$N$2)+AM220,0)</f>
        <v>1</v>
      </c>
      <c r="AO220" s="40">
        <f>ROUNDUP(((AJ220+Specs!$R$2+Specs!$S$2+_xlfn.XLOOKUP($L220,Specs!A:A,Specs!V:V,0))*Specs!$N$2),0)</f>
        <v>1</v>
      </c>
      <c r="AP220" s="30"/>
    </row>
    <row r="221" spans="1:42" x14ac:dyDescent="0.25">
      <c r="A221" s="41" t="str">
        <f>_xlfn.CONCAT(_xlfn.XLOOKUP("What's Your Name?",[1]Sheet1!$1:$1,[1]Sheet1!221:221)," | ",TEXT(_xlfn.XLOOKUP("Completion time",[1]Sheet1!$1:$1,[1]Sheet1!221:221),"dddd, mmm dd, yyyy hh:mm AM/PM"))</f>
        <v xml:space="preserve"> | Saturday, Jan 00, 1900 12:00 AM</v>
      </c>
      <c r="B221" s="76">
        <f>_xlfn.XLOOKUP("What's Your Email Address?",[1]Sheet1!$1:$1,[1]Sheet1!221:221)</f>
        <v>0</v>
      </c>
      <c r="C221" s="31">
        <f>IF(ISBLANK(_xlfn.XLOOKUP("Which Flavor? (Pint Price | Quart Price | Half Gallon Price) (NOTE: Prices may fluctuate based on market conditions)",[1]Sheet1!$1:$1,[1]Sheet1!221:221)),_xlfn.XLOOKUP("Name Your Ice Cream!",[1]Sheet1!$1:$1,[1]Sheet1!221:221),IF(ISNUMBER(FIND("(", _xlfn.XLOOKUP("Which Flavor? (Pint Price | Quart Price | Half Gallon Price) (NOTE: Prices may fluctuate based on market conditions)",[1]Sheet1!$1:$1,[1]Sheet1!221:221))), LEFT(_xlfn.XLOOKUP("Which Flavor? (Pint Price | Quart Price | Half Gallon Price) (NOTE: Prices may fluctuate based on market conditions)",[1]Sheet1!$1:$1,[1]Sheet1!221:221), FIND("(", _xlfn.XLOOKUP("Which Flavor? (Pint Price | Quart Price | Half Gallon Price) (NOTE: Prices may fluctuate based on market conditions)",[1]Sheet1!$1:$1,[1]Sheet1!221:221)) - 1), _xlfn.XLOOKUP("Which Flavor? (Pint Price | Quart Price | Half Gallon Price) (NOTE: Prices may fluctuate based on market conditions)",[1]Sheet1!$1:$1,[1]Sheet1!221:221)))</f>
        <v>0</v>
      </c>
      <c r="D221" s="31">
        <f>IF(COUNTIF('Premade Flavors'!$A:$A, $C221) &gt; 0,IF(ISBLANK(_xlfn.XLOOKUP("What Ice Cream Base Do You Want To Change It To?",[1]Sheet1!$1:$1,[1]Sheet1!221:221)),_xlfn.XLOOKUP($C221,'Premade Flavors'!$A:$A,'Premade Flavors'!B:B),_xlfn.XLOOKUP("What Ice Cream Base Do You Want To Change It To?",[1]Sheet1!$1:$1,[1]Sheet1!221:221)),_xlfn.XLOOKUP(_xlfn.XLOOKUP("What Kind Of Ice Cream Base Do You Want? ",[1]Sheet1!$1:$1,[1]Sheet1!221:221),'Milk Types Nutrition Per Cup'!O:O,'Milk Types Nutrition Per Cup'!P:P,""))</f>
        <v>0</v>
      </c>
      <c r="E221" s="31">
        <f>IF(COUNTIF('Premade Flavors'!$A:$A, $C221) &gt; 0,IF(ISBLANK(_xlfn.XLOOKUP("What Ice Cream Base Do You Want To Change It To?",[1]Sheet1!$1:$1,[1]Sheet1!221:221)),_xlfn.XLOOKUP($C221,'Premade Flavors'!$A:$A,'Premade Flavors'!C:C),_xlfn.XLOOKUP("What Ice Cream Base Do You Want To Change It To?",[1]Sheet1!$1:$1,[1]Sheet1!221:221)),_xlfn.XLOOKUP(_xlfn.XLOOKUP("What Kind Of Ice Cream Base Do You Want? ",[1]Sheet1!$1:$1,[1]Sheet1!221:221),'Milk Types Nutrition Per Cup'!$O:$O,'Milk Types Nutrition Per Cup'!$Q:$Q,""))</f>
        <v>0</v>
      </c>
      <c r="F221" s="31">
        <f>IF(COUNTIF('Premade Flavors'!$A:$A, $C221) &gt; 0,_xlfn.XLOOKUP($C221,'Premade Flavors'!$A:$A,'Premade Flavors'!E:E),_xlfn.XLOOKUP("What's The First Flavor You Want? ",[1]Sheet1!$1:$1,[1]Sheet1!221:221))</f>
        <v>0</v>
      </c>
      <c r="G221" s="31">
        <f>IF(COUNTIF('Premade Flavors'!$A:$A, $C221) &gt; 0,_xlfn.XLOOKUP($C221,'Premade Flavors'!$A:$A,'Premade Flavors'!F:F),_xlfn.XLOOKUP("What's the Second Flavor You Want?",[1]Sheet1!$1:$1,[1]Sheet1!221:221))</f>
        <v>0</v>
      </c>
      <c r="H221" s="31">
        <f>IF(COUNTIF('Premade Flavors'!$A:$A, $C221) &gt; 0,_xlfn.XLOOKUP($C221,'Premade Flavors'!$A:$A,'Premade Flavors'!G:G),_xlfn.XLOOKUP("What's The First Mix In That You Want? ",[1]Sheet1!$1:$1,[1]Sheet1!221:221))</f>
        <v>0</v>
      </c>
      <c r="I221" s="31">
        <f>IF(COUNTIF('Premade Flavors'!$A:$A, $C219) &gt; 0,_xlfn.XLOOKUP($C219,'Premade Flavors'!$A:$A,'Premade Flavors'!H:H),IF([2]Sheet1!W219= 0,,[2]Sheet1!W219))</f>
        <v>0</v>
      </c>
      <c r="J221" s="31">
        <f>IF(COUNTIF('Premade Flavors'!$A:$A,$C221)&gt;0,IF(_xlfn.XLOOKUP("Should It Use Sugar or A Non-Sugar Sweetner?",[1]Sheet1!$1:$1,[1]Sheet1!221:221)="Sugar",_xlfn.XLOOKUP($C221,'Premade Flavors'!$A:$A,'Premade Flavors'!I:I),"Stevia"),_xlfn.XLOOKUP("What Sweetner Do You Want?",[1]Sheet1!$1:$1,[1]Sheet1!221:221))</f>
        <v>0</v>
      </c>
      <c r="K221" s="31"/>
      <c r="L221" s="77">
        <f>_xlfn.XLOOKUP("How Much Ice Cream Do You Want?",[1]Sheet1!$1:$1,[1]Sheet1!221:221)</f>
        <v>0</v>
      </c>
      <c r="M221" s="45">
        <f>IF(COUNTIF('Premade Flavors'!$A:$A, $C221) &gt; 0,_xlfn.XLOOKUP($C221,'Premade Flavors'!$A:$A,'Premade Flavors'!M:M),_xlfn.XLOOKUP("How Strong Do You Want The First Flavor?",[1]Sheet1!$1:$1,[1]Sheet1!221:221))</f>
        <v>0</v>
      </c>
      <c r="N221" s="45">
        <f>IF(COUNTIF('Premade Flavors'!$A:$A, $C221) &gt; 0,_xlfn.XLOOKUP($C221,'Premade Flavors'!$A:$A,'Premade Flavors'!N:N),_xlfn.XLOOKUP("How Strong Do You Want The Second Flavor?",[1]Sheet1!$1:$1,[1]Sheet1!221:221))</f>
        <v>0</v>
      </c>
      <c r="O221" s="45">
        <f>IF(COUNTIF('Premade Flavors'!$A:$A, $C221) &gt; 0,_xlfn.XLOOKUP($C221,'Premade Flavors'!$A:$A,'Premade Flavors'!O:O),_xlfn.XLOOKUP("How Dense Should the Mix Ins Be?",[1]Sheet1!$1:$1,[1]Sheet1!221:221))</f>
        <v>0</v>
      </c>
      <c r="P221" s="45">
        <f>IF(COUNTIF('Premade Flavors'!$A:$A, $C221) &gt; 0,_xlfn.XLOOKUP($C221,'Premade Flavors'!$A:$A,'Premade Flavors'!P:P),_xlfn.XLOOKUP("How Much Of The First Sweetner? ",[1]Sheet1!$1:$1,[1]Sheet1!221:221))</f>
        <v>0</v>
      </c>
      <c r="Q221" s="45">
        <f>IF(COUNTIF('Premade Flavors'!$A:$A, $C221) &gt; 0,_xlfn.XLOOKUP($C221,'Premade Flavors'!$A:$A,'Premade Flavors'!Q:Q),[2]Sheet1!S221)</f>
        <v>0</v>
      </c>
      <c r="R221" s="30">
        <f>(_xlfn.XLOOKUP($L221,Specs!A:A,Specs!B:B,0)-(IF(_xlfn.XLOOKUP($F221,'Liquid Mix In Nutrition'!A:A,'Liquid Mix In Nutrition'!J:J,0)="Yes",0,$T221))-(IF(_xlfn.XLOOKUP($G221,'Liquid Mix In Nutrition'!A:A,'Liquid Mix In Nutrition'!J:J,0)="Yes",0,$U221))-(($V221/MAX(1,_xlfn.XLOOKUP($H221,'Solid Mix In Nutrition'!A:A,'Solid Mix In Nutrition'!I:I,1)))*240)-(($W221/MAX(1,_xlfn.XLOOKUP($I221,'Solid Mix In Nutrition'!A:A,'Solid Mix In Nutrition'!I:I,1)))*240))*0.66</f>
        <v>0</v>
      </c>
      <c r="S221" s="30">
        <f>(_xlfn.XLOOKUP($L221,Specs!A:A,Specs!B:B,0)-(IF(_xlfn.XLOOKUP($F221,'Liquid Mix In Nutrition'!A:A,'Liquid Mix In Nutrition'!J:J,0)="Yes",0,$T221))-(IF(_xlfn.XLOOKUP($G221,'Liquid Mix In Nutrition'!A:A,'Liquid Mix In Nutrition'!J:J,0)="Yes",0,$U221))-(($V221/MAX(1,_xlfn.XLOOKUP($H221,'Solid Mix In Nutrition'!A:A,'Solid Mix In Nutrition'!I:I,1)))*240)-(($W221/MAX(1,_xlfn.XLOOKUP($I221,'Solid Mix In Nutrition'!A:A,'Solid Mix In Nutrition'!I:I,1)))*240))*0.33</f>
        <v>0</v>
      </c>
      <c r="T221" s="30">
        <f>_xlfn.XLOOKUP($M221,Specs!$D:$D,Specs!$E:$E,0)*15*_xlfn.XLOOKUP($L221,Specs!$A:$A,Specs!$C:$C,0)</f>
        <v>0</v>
      </c>
      <c r="U221" s="30">
        <f>_xlfn.XLOOKUP($N221,Specs!$D:$D,Specs!$E:$E,0)*15*_xlfn.XLOOKUP($L221,Specs!$A:$A,Specs!$C:$C,0)</f>
        <v>0</v>
      </c>
      <c r="V221" s="30">
        <f>( ((_xlfn.XLOOKUP($O221,Specs!$H:$H,Specs!$I:$I,0)*_xlfn.XLOOKUP($L221,Specs!$A:$A,Specs!$B:$B,0))/240) *_xlfn.XLOOKUP($H221,'Solid Mix In Nutrition'!A:A,'Solid Mix In Nutrition'!I:I,0)) *IF(AND(NOT($I221=0), COUNTA($I221)),0.5,1)</f>
        <v>0</v>
      </c>
      <c r="W221" s="30">
        <f>( ((_xlfn.XLOOKUP($O221,Specs!$H:$H,Specs!$I:$I,0)*_xlfn.XLOOKUP($L221,Specs!$A:$A,Specs!$B:$B,0))/240) *_xlfn.XLOOKUP($I221,'Solid Mix In Nutrition'!A:A,'Solid Mix In Nutrition'!I:I,0)) *IF(AND(NOT($I221=0), COUNTA($I221)),0.5,0)</f>
        <v>0</v>
      </c>
      <c r="X221" s="30">
        <f>_xlfn.XLOOKUP($P221,Specs!F:F,Specs!G:G,0)*_xlfn.XLOOKUP($J221,'Sweetener Mix In Nutrition'!A:A,'Sweetener Mix In Nutrition'!I:I,0)*_xlfn.XLOOKUP($L221,Specs!A:A,Specs!C:C,0)</f>
        <v>0</v>
      </c>
      <c r="Y221" s="30">
        <f>_xlfn.XLOOKUP($Q221,Specs!F:F,Specs!G:G,0)*_xlfn.XLOOKUP($K221,'Sweetener Mix In Nutrition'!A:A,'Sweetener Mix In Nutrition'!I:I,0)*_xlfn.XLOOKUP($L221,Specs!A:A,Specs!C:C,0)</f>
        <v>0</v>
      </c>
      <c r="Z221" s="34">
        <f t="shared" si="6"/>
        <v>0</v>
      </c>
      <c r="AA221" s="35">
        <f t="shared" si="7"/>
        <v>0</v>
      </c>
      <c r="AB221" s="36">
        <f>(($R221 / 240) * _xlfn.XLOOKUP($D221,'Milk Types Nutrition Per Cup'!A:A,'Milk Types Nutrition Per Cup'!B:B,0)) +(($S221 / 240)  * _xlfn.XLOOKUP($E221,'Milk Types Nutrition Per Cup'!A:A,'Milk Types Nutrition Per Cup'!B:B,0)) +(($T221 / 15)  * _xlfn.XLOOKUP($F221,'Liquid Mix In Nutrition'!A:A,'Liquid Mix In Nutrition'!B:B,0))+(($U221 / 15)  * _xlfn.XLOOKUP($G221,'Liquid Mix In Nutrition'!A:A,'Liquid Mix In Nutrition'!B:B,0))+(($V221 /MAX(1, _xlfn.XLOOKUP($H221,'Solid Mix In Nutrition'!A:A,'Solid Mix In Nutrition'!I:I,1)))  * _xlfn.XLOOKUP($H221,'Solid Mix In Nutrition'!A:A,'Solid Mix In Nutrition'!B:B,0))+(($W221 / MAX(1, _xlfn.XLOOKUP($I221,'Solid Mix In Nutrition'!A:A,'Solid Mix In Nutrition'!I:I,1))))+(($X221 / 100)  * _xlfn.XLOOKUP($J221,'Sweetener Mix In Nutrition'!A:A,'Sweetener Mix In Nutrition'!B:B,0))+(($Y221 / 100)  * _xlfn.XLOOKUP($K221,'Sweetener Mix In Nutrition'!A:A,'Sweetener Mix In Nutrition'!B:B,0))</f>
        <v>0</v>
      </c>
      <c r="AC221" s="36">
        <f>(($R221 / 240) * _xlfn.XLOOKUP($D221,'Milk Types Nutrition Per Cup'!A:A,'Milk Types Nutrition Per Cup'!E:E,0)) +(($S221 / 240)  * _xlfn.XLOOKUP($E221,'Milk Types Nutrition Per Cup'!A:A,'Milk Types Nutrition Per Cup'!E:E,0)) +(($T221 / 15)  * _xlfn.XLOOKUP($F221,'Liquid Mix In Nutrition'!A:A,'Liquid Mix In Nutrition'!E:E,0)) +(($U221 / 15)  * _xlfn.XLOOKUP($G221,'Liquid Mix In Nutrition'!A:A,'Liquid Mix In Nutrition'!E:E,0))+(($V221 / MAX(1, _xlfn.XLOOKUP($H221,'Solid Mix In Nutrition'!A:A,'Solid Mix In Nutrition'!I:I,1)))  * _xlfn.XLOOKUP($H221,'Solid Mix In Nutrition'!A:A,'Solid Mix In Nutrition'!E:E,0))+(($W221 / MAX(1, _xlfn.XLOOKUP($I221,'Solid Mix In Nutrition'!A:A,'Solid Mix In Nutrition'!I:I,1)))  * _xlfn.XLOOKUP($I221,'Solid Mix In Nutrition'!A:A,'Solid Mix In Nutrition'!G:G,0))+(($X221 / 100)  * _xlfn.XLOOKUP($J221,'Sweetener Mix In Nutrition'!A:A,'Sweetener Mix In Nutrition'!E:E,0))+(($Y221 / 100)  * _xlfn.XLOOKUP($K221,'Sweetener Mix In Nutrition'!A:A,'Sweetener Mix In Nutrition'!E:E,0))</f>
        <v>0</v>
      </c>
      <c r="AD221" s="36">
        <f>(($R221 / 240) * _xlfn.XLOOKUP($D221,'Milk Types Nutrition Per Cup'!A:A,'Milk Types Nutrition Per Cup'!E:E,0)) +(($S221 / 240)  * _xlfn.XLOOKUP($E221,'Milk Types Nutrition Per Cup'!A:A,'Milk Types Nutrition Per Cup'!E:E,0)) +(($T221 / 15)  * _xlfn.XLOOKUP($F221,'Liquid Mix In Nutrition'!A:A,'Liquid Mix In Nutrition'!E:E,0)) +(($U221 / 15)  * _xlfn.XLOOKUP($G221,'Liquid Mix In Nutrition'!A:A,'Liquid Mix In Nutrition'!E:E,0))+(($X221 / 100)  * _xlfn.XLOOKUP($J221,'Sweetener Mix In Nutrition'!A:A,'Sweetener Mix In Nutrition'!E:E,0))+(($Y221 / 100)  * _xlfn.XLOOKUP($K221,'Sweetener Mix In Nutrition'!A:A,'Sweetener Mix In Nutrition'!E:E,0))</f>
        <v>0</v>
      </c>
      <c r="AE221" s="37">
        <f>(($R221 / 240) * _xlfn.XLOOKUP($D221,'Milk Types Nutrition Per Cup'!A:A,'Milk Types Nutrition Per Cup'!C:C,0)) +(($S221 / 240)  * _xlfn.XLOOKUP($E221,'Milk Types Nutrition Per Cup'!A:A,'Milk Types Nutrition Per Cup'!C:C,0)) +(($T221 / 15)  * _xlfn.XLOOKUP($F221,'Liquid Mix In Nutrition'!A:A,'Liquid Mix In Nutrition'!C:C,0))+(($U221 / 15)  * _xlfn.XLOOKUP($G221,'Liquid Mix In Nutrition'!A:A,'Liquid Mix In Nutrition'!C:C,0))+(($V221 / MAX(1, _xlfn.XLOOKUP($H221,'Solid Mix In Nutrition'!A:A,'Solid Mix In Nutrition'!I:I,1)))  * _xlfn.XLOOKUP($H221,'Solid Mix In Nutrition'!A:A,'Solid Mix In Nutrition'!C:C,0))+(($W221 / MAX(1, _xlfn.XLOOKUP($I221,'Solid Mix In Nutrition'!A:A,'Solid Mix In Nutrition'!I:I,1)))  * _xlfn.XLOOKUP($I221,'Solid Mix In Nutrition'!A:A,'Solid Mix In Nutrition'!C:C,0))+(($X221 / 100)  * _xlfn.XLOOKUP($J221,'Sweetener Mix In Nutrition'!A:A,'Sweetener Mix In Nutrition'!C:C,0))+(($Y221 / 100)  * _xlfn.XLOOKUP($K221,'Sweetener Mix In Nutrition'!A:A,'Sweetener Mix In Nutrition'!C:C,0))</f>
        <v>0</v>
      </c>
      <c r="AF221" s="38" t="e">
        <f>$AE221 / (_xlfn.XLOOKUP($L221,Specs!A:A,Specs!B:B,0))</f>
        <v>#DIV/0!</v>
      </c>
      <c r="AG221" s="37" t="e">
        <f>60* ($AB221 / _xlfn.XLOOKUP($L221,Specs!A:A,Specs!B:B,0))</f>
        <v>#DIV/0!</v>
      </c>
      <c r="AH221" s="37" t="e">
        <f>60* (AC221 / _xlfn.XLOOKUP($L221,Specs!$A:$A,Specs!$B:$B,0))</f>
        <v>#DIV/0!</v>
      </c>
      <c r="AI221" s="37" t="e">
        <f>60* (AE221 / _xlfn.XLOOKUP($L221,Specs!$A:$A,Specs!$B:$B,0))</f>
        <v>#DIV/0!</v>
      </c>
      <c r="AJ221" s="39">
        <f>(($R221 / 240) * _xlfn.XLOOKUP($D221,'Milk Types Nutrition Per Cup'!A:A,'Milk Types Nutrition Per Cup'!F:F,0)) +(($S221 / 240)  * _xlfn.XLOOKUP($E221,'Milk Types Nutrition Per Cup'!A:A,'Milk Types Nutrition Per Cup'!F:F,0)) +(($T221 / 15)  * _xlfn.XLOOKUP($F221,'Liquid Mix In Nutrition'!A:A,'Liquid Mix In Nutrition'!F:F,0))+(($U221 / 15)  * _xlfn.XLOOKUP($G221,'Liquid Mix In Nutrition'!A:A,'Liquid Mix In Nutrition'!F:F,0))+(($V221 / MAX(1, _xlfn.XLOOKUP($H221,'Solid Mix In Nutrition'!A:A,'Solid Mix In Nutrition'!I:I,1)))  * _xlfn.XLOOKUP($H221,'Solid Mix In Nutrition'!A:A,'Solid Mix In Nutrition'!F:F,0))+(($W221 / MAX(1, _xlfn.XLOOKUP($I221,'Solid Mix In Nutrition'!A:A,'Solid Mix In Nutrition'!I:I,1)))  * _xlfn.XLOOKUP($I221,'Solid Mix In Nutrition'!A:A,'Solid Mix In Nutrition'!F:F,0))+(($X221 / 100)  * _xlfn.XLOOKUP($J221,'Sweetener Mix In Nutrition'!A:A,'Sweetener Mix In Nutrition'!F:F,0))+(($Y221 / 100)  * _xlfn.XLOOKUP($K221,'Sweetener Mix In Nutrition'!A:A,'Sweetener Mix In Nutrition'!F:F,0))</f>
        <v>0</v>
      </c>
      <c r="AK221" s="46">
        <f>[2]Sheet1!AG221</f>
        <v>0</v>
      </c>
      <c r="AL221" s="47"/>
      <c r="AM221" s="40">
        <f>IF(ISERROR(((AL221/Specs!$L$3)*Specs!$L$2)*2),0,ROUNDUP((((AL221/Specs!$L$3)*Specs!$L$2)*2),0))</f>
        <v>0</v>
      </c>
      <c r="AN221" s="48">
        <f>ROUNDUP(((AJ221+Specs!$R$2+Specs!$S$2+_xlfn.XLOOKUP($L221,Specs!A:A,Specs!V:V,0))*Specs!$N$2)+AM221,0)</f>
        <v>1</v>
      </c>
      <c r="AO221" s="40">
        <f>ROUNDUP(((AJ221+Specs!$R$2+Specs!$S$2+_xlfn.XLOOKUP($L221,Specs!A:A,Specs!V:V,0))*Specs!$N$2),0)</f>
        <v>1</v>
      </c>
      <c r="AP221" s="30"/>
    </row>
    <row r="222" spans="1:42" x14ac:dyDescent="0.25">
      <c r="A222" s="41" t="str">
        <f>_xlfn.CONCAT(_xlfn.XLOOKUP("What's Your Name?",[1]Sheet1!$1:$1,[1]Sheet1!222:222)," | ",TEXT(_xlfn.XLOOKUP("Completion time",[1]Sheet1!$1:$1,[1]Sheet1!222:222),"dddd, mmm dd, yyyy hh:mm AM/PM"))</f>
        <v xml:space="preserve"> | Saturday, Jan 00, 1900 12:00 AM</v>
      </c>
      <c r="B222" s="76">
        <f>_xlfn.XLOOKUP("What's Your Email Address?",[1]Sheet1!$1:$1,[1]Sheet1!222:222)</f>
        <v>0</v>
      </c>
      <c r="C222" s="31">
        <f>IF(ISBLANK(_xlfn.XLOOKUP("Which Flavor? (Pint Price | Quart Price | Half Gallon Price) (NOTE: Prices may fluctuate based on market conditions)",[1]Sheet1!$1:$1,[1]Sheet1!222:222)),_xlfn.XLOOKUP("Name Your Ice Cream!",[1]Sheet1!$1:$1,[1]Sheet1!222:222),IF(ISNUMBER(FIND("(", _xlfn.XLOOKUP("Which Flavor? (Pint Price | Quart Price | Half Gallon Price) (NOTE: Prices may fluctuate based on market conditions)",[1]Sheet1!$1:$1,[1]Sheet1!222:222))), LEFT(_xlfn.XLOOKUP("Which Flavor? (Pint Price | Quart Price | Half Gallon Price) (NOTE: Prices may fluctuate based on market conditions)",[1]Sheet1!$1:$1,[1]Sheet1!222:222), FIND("(", _xlfn.XLOOKUP("Which Flavor? (Pint Price | Quart Price | Half Gallon Price) (NOTE: Prices may fluctuate based on market conditions)",[1]Sheet1!$1:$1,[1]Sheet1!222:222)) - 1), _xlfn.XLOOKUP("Which Flavor? (Pint Price | Quart Price | Half Gallon Price) (NOTE: Prices may fluctuate based on market conditions)",[1]Sheet1!$1:$1,[1]Sheet1!222:222)))</f>
        <v>0</v>
      </c>
      <c r="D222" s="31">
        <f>IF(COUNTIF('Premade Flavors'!$A:$A, $C222) &gt; 0,IF(ISBLANK(_xlfn.XLOOKUP("What Ice Cream Base Do You Want To Change It To?",[1]Sheet1!$1:$1,[1]Sheet1!222:222)),_xlfn.XLOOKUP($C222,'Premade Flavors'!$A:$A,'Premade Flavors'!B:B),_xlfn.XLOOKUP("What Ice Cream Base Do You Want To Change It To?",[1]Sheet1!$1:$1,[1]Sheet1!222:222)),_xlfn.XLOOKUP(_xlfn.XLOOKUP("What Kind Of Ice Cream Base Do You Want? ",[1]Sheet1!$1:$1,[1]Sheet1!222:222),'Milk Types Nutrition Per Cup'!O:O,'Milk Types Nutrition Per Cup'!P:P,""))</f>
        <v>0</v>
      </c>
      <c r="E222" s="31">
        <f>IF(COUNTIF('Premade Flavors'!$A:$A, $C222) &gt; 0,IF(ISBLANK(_xlfn.XLOOKUP("What Ice Cream Base Do You Want To Change It To?",[1]Sheet1!$1:$1,[1]Sheet1!222:222)),_xlfn.XLOOKUP($C222,'Premade Flavors'!$A:$A,'Premade Flavors'!C:C),_xlfn.XLOOKUP("What Ice Cream Base Do You Want To Change It To?",[1]Sheet1!$1:$1,[1]Sheet1!222:222)),_xlfn.XLOOKUP(_xlfn.XLOOKUP("What Kind Of Ice Cream Base Do You Want? ",[1]Sheet1!$1:$1,[1]Sheet1!222:222),'Milk Types Nutrition Per Cup'!$O:$O,'Milk Types Nutrition Per Cup'!$Q:$Q,""))</f>
        <v>0</v>
      </c>
      <c r="F222" s="31">
        <f>IF(COUNTIF('Premade Flavors'!$A:$A, $C222) &gt; 0,_xlfn.XLOOKUP($C222,'Premade Flavors'!$A:$A,'Premade Flavors'!E:E),_xlfn.XLOOKUP("What's The First Flavor You Want? ",[1]Sheet1!$1:$1,[1]Sheet1!222:222))</f>
        <v>0</v>
      </c>
      <c r="G222" s="31">
        <f>IF(COUNTIF('Premade Flavors'!$A:$A, $C222) &gt; 0,_xlfn.XLOOKUP($C222,'Premade Flavors'!$A:$A,'Premade Flavors'!F:F),_xlfn.XLOOKUP("What's the Second Flavor You Want?",[1]Sheet1!$1:$1,[1]Sheet1!222:222))</f>
        <v>0</v>
      </c>
      <c r="H222" s="31">
        <f>IF(COUNTIF('Premade Flavors'!$A:$A, $C222) &gt; 0,_xlfn.XLOOKUP($C222,'Premade Flavors'!$A:$A,'Premade Flavors'!G:G),_xlfn.XLOOKUP("What's The First Mix In That You Want? ",[1]Sheet1!$1:$1,[1]Sheet1!222:222))</f>
        <v>0</v>
      </c>
      <c r="I222" s="31">
        <f>IF(COUNTIF('Premade Flavors'!$A:$A, $C220) &gt; 0,_xlfn.XLOOKUP($C220,'Premade Flavors'!$A:$A,'Premade Flavors'!H:H),IF([2]Sheet1!W220= 0,,[2]Sheet1!W220))</f>
        <v>0</v>
      </c>
      <c r="J222" s="31">
        <f>IF(COUNTIF('Premade Flavors'!$A:$A,$C222)&gt;0,IF(_xlfn.XLOOKUP("Should It Use Sugar or A Non-Sugar Sweetner?",[1]Sheet1!$1:$1,[1]Sheet1!222:222)="Sugar",_xlfn.XLOOKUP($C222,'Premade Flavors'!$A:$A,'Premade Flavors'!I:I),"Stevia"),_xlfn.XLOOKUP("What Sweetner Do You Want?",[1]Sheet1!$1:$1,[1]Sheet1!222:222))</f>
        <v>0</v>
      </c>
      <c r="K222" s="31"/>
      <c r="L222" s="77">
        <f>_xlfn.XLOOKUP("How Much Ice Cream Do You Want?",[1]Sheet1!$1:$1,[1]Sheet1!222:222)</f>
        <v>0</v>
      </c>
      <c r="M222" s="45">
        <f>IF(COUNTIF('Premade Flavors'!$A:$A, $C222) &gt; 0,_xlfn.XLOOKUP($C222,'Premade Flavors'!$A:$A,'Premade Flavors'!M:M),_xlfn.XLOOKUP("How Strong Do You Want The First Flavor?",[1]Sheet1!$1:$1,[1]Sheet1!222:222))</f>
        <v>0</v>
      </c>
      <c r="N222" s="45">
        <f>IF(COUNTIF('Premade Flavors'!$A:$A, $C222) &gt; 0,_xlfn.XLOOKUP($C222,'Premade Flavors'!$A:$A,'Premade Flavors'!N:N),_xlfn.XLOOKUP("How Strong Do You Want The Second Flavor?",[1]Sheet1!$1:$1,[1]Sheet1!222:222))</f>
        <v>0</v>
      </c>
      <c r="O222" s="45">
        <f>IF(COUNTIF('Premade Flavors'!$A:$A, $C222) &gt; 0,_xlfn.XLOOKUP($C222,'Premade Flavors'!$A:$A,'Premade Flavors'!O:O),_xlfn.XLOOKUP("How Dense Should the Mix Ins Be?",[1]Sheet1!$1:$1,[1]Sheet1!222:222))</f>
        <v>0</v>
      </c>
      <c r="P222" s="45">
        <f>IF(COUNTIF('Premade Flavors'!$A:$A, $C222) &gt; 0,_xlfn.XLOOKUP($C222,'Premade Flavors'!$A:$A,'Premade Flavors'!P:P),_xlfn.XLOOKUP("How Much Of The First Sweetner? ",[1]Sheet1!$1:$1,[1]Sheet1!222:222))</f>
        <v>0</v>
      </c>
      <c r="Q222" s="45">
        <f>IF(COUNTIF('Premade Flavors'!$A:$A, $C222) &gt; 0,_xlfn.XLOOKUP($C222,'Premade Flavors'!$A:$A,'Premade Flavors'!Q:Q),[2]Sheet1!S222)</f>
        <v>0</v>
      </c>
      <c r="R222" s="30">
        <f>(_xlfn.XLOOKUP($L222,Specs!A:A,Specs!B:B,0)-(IF(_xlfn.XLOOKUP($F222,'Liquid Mix In Nutrition'!A:A,'Liquid Mix In Nutrition'!J:J,0)="Yes",0,$T222))-(IF(_xlfn.XLOOKUP($G222,'Liquid Mix In Nutrition'!A:A,'Liquid Mix In Nutrition'!J:J,0)="Yes",0,$U222))-(($V222/MAX(1,_xlfn.XLOOKUP($H222,'Solid Mix In Nutrition'!A:A,'Solid Mix In Nutrition'!I:I,1)))*240)-(($W222/MAX(1,_xlfn.XLOOKUP($I222,'Solid Mix In Nutrition'!A:A,'Solid Mix In Nutrition'!I:I,1)))*240))*0.66</f>
        <v>0</v>
      </c>
      <c r="S222" s="30">
        <f>(_xlfn.XLOOKUP($L222,Specs!A:A,Specs!B:B,0)-(IF(_xlfn.XLOOKUP($F222,'Liquid Mix In Nutrition'!A:A,'Liquid Mix In Nutrition'!J:J,0)="Yes",0,$T222))-(IF(_xlfn.XLOOKUP($G222,'Liquid Mix In Nutrition'!A:A,'Liquid Mix In Nutrition'!J:J,0)="Yes",0,$U222))-(($V222/MAX(1,_xlfn.XLOOKUP($H222,'Solid Mix In Nutrition'!A:A,'Solid Mix In Nutrition'!I:I,1)))*240)-(($W222/MAX(1,_xlfn.XLOOKUP($I222,'Solid Mix In Nutrition'!A:A,'Solid Mix In Nutrition'!I:I,1)))*240))*0.33</f>
        <v>0</v>
      </c>
      <c r="T222" s="30">
        <f>_xlfn.XLOOKUP($M222,Specs!$D:$D,Specs!$E:$E,0)*15*_xlfn.XLOOKUP($L222,Specs!$A:$A,Specs!$C:$C,0)</f>
        <v>0</v>
      </c>
      <c r="U222" s="30">
        <f>_xlfn.XLOOKUP($N222,Specs!$D:$D,Specs!$E:$E,0)*15*_xlfn.XLOOKUP($L222,Specs!$A:$A,Specs!$C:$C,0)</f>
        <v>0</v>
      </c>
      <c r="V222" s="30">
        <f>( ((_xlfn.XLOOKUP($O222,Specs!$H:$H,Specs!$I:$I,0)*_xlfn.XLOOKUP($L222,Specs!$A:$A,Specs!$B:$B,0))/240) *_xlfn.XLOOKUP($H222,'Solid Mix In Nutrition'!A:A,'Solid Mix In Nutrition'!I:I,0)) *IF(AND(NOT($I222=0), COUNTA($I222)),0.5,1)</f>
        <v>0</v>
      </c>
      <c r="W222" s="30">
        <f>( ((_xlfn.XLOOKUP($O222,Specs!$H:$H,Specs!$I:$I,0)*_xlfn.XLOOKUP($L222,Specs!$A:$A,Specs!$B:$B,0))/240) *_xlfn.XLOOKUP($I222,'Solid Mix In Nutrition'!A:A,'Solid Mix In Nutrition'!I:I,0)) *IF(AND(NOT($I222=0), COUNTA($I222)),0.5,0)</f>
        <v>0</v>
      </c>
      <c r="X222" s="30">
        <f>_xlfn.XLOOKUP($P222,Specs!F:F,Specs!G:G,0)*_xlfn.XLOOKUP($J222,'Sweetener Mix In Nutrition'!A:A,'Sweetener Mix In Nutrition'!I:I,0)*_xlfn.XLOOKUP($L222,Specs!A:A,Specs!C:C,0)</f>
        <v>0</v>
      </c>
      <c r="Y222" s="30">
        <f>_xlfn.XLOOKUP($Q222,Specs!F:F,Specs!G:G,0)*_xlfn.XLOOKUP($K222,'Sweetener Mix In Nutrition'!A:A,'Sweetener Mix In Nutrition'!I:I,0)*_xlfn.XLOOKUP($L222,Specs!A:A,Specs!C:C,0)</f>
        <v>0</v>
      </c>
      <c r="Z222" s="34">
        <f t="shared" si="6"/>
        <v>0</v>
      </c>
      <c r="AA222" s="35">
        <f t="shared" si="7"/>
        <v>0</v>
      </c>
      <c r="AB222" s="36">
        <f>(($R222 / 240) * _xlfn.XLOOKUP($D222,'Milk Types Nutrition Per Cup'!A:A,'Milk Types Nutrition Per Cup'!B:B,0)) +(($S222 / 240)  * _xlfn.XLOOKUP($E222,'Milk Types Nutrition Per Cup'!A:A,'Milk Types Nutrition Per Cup'!B:B,0)) +(($T222 / 15)  * _xlfn.XLOOKUP($F222,'Liquid Mix In Nutrition'!A:A,'Liquid Mix In Nutrition'!B:B,0))+(($U222 / 15)  * _xlfn.XLOOKUP($G222,'Liquid Mix In Nutrition'!A:A,'Liquid Mix In Nutrition'!B:B,0))+(($V222 /MAX(1, _xlfn.XLOOKUP($H222,'Solid Mix In Nutrition'!A:A,'Solid Mix In Nutrition'!I:I,1)))  * _xlfn.XLOOKUP($H222,'Solid Mix In Nutrition'!A:A,'Solid Mix In Nutrition'!B:B,0))+(($W222 / MAX(1, _xlfn.XLOOKUP($I222,'Solid Mix In Nutrition'!A:A,'Solid Mix In Nutrition'!I:I,1))))+(($X222 / 100)  * _xlfn.XLOOKUP($J222,'Sweetener Mix In Nutrition'!A:A,'Sweetener Mix In Nutrition'!B:B,0))+(($Y222 / 100)  * _xlfn.XLOOKUP($K222,'Sweetener Mix In Nutrition'!A:A,'Sweetener Mix In Nutrition'!B:B,0))</f>
        <v>0</v>
      </c>
      <c r="AC222" s="36">
        <f>(($R222 / 240) * _xlfn.XLOOKUP($D222,'Milk Types Nutrition Per Cup'!A:A,'Milk Types Nutrition Per Cup'!E:E,0)) +(($S222 / 240)  * _xlfn.XLOOKUP($E222,'Milk Types Nutrition Per Cup'!A:A,'Milk Types Nutrition Per Cup'!E:E,0)) +(($T222 / 15)  * _xlfn.XLOOKUP($F222,'Liquid Mix In Nutrition'!A:A,'Liquid Mix In Nutrition'!E:E,0)) +(($U222 / 15)  * _xlfn.XLOOKUP($G222,'Liquid Mix In Nutrition'!A:A,'Liquid Mix In Nutrition'!E:E,0))+(($V222 / MAX(1, _xlfn.XLOOKUP($H222,'Solid Mix In Nutrition'!A:A,'Solid Mix In Nutrition'!I:I,1)))  * _xlfn.XLOOKUP($H222,'Solid Mix In Nutrition'!A:A,'Solid Mix In Nutrition'!E:E,0))+(($W222 / MAX(1, _xlfn.XLOOKUP($I222,'Solid Mix In Nutrition'!A:A,'Solid Mix In Nutrition'!I:I,1)))  * _xlfn.XLOOKUP($I222,'Solid Mix In Nutrition'!A:A,'Solid Mix In Nutrition'!G:G,0))+(($X222 / 100)  * _xlfn.XLOOKUP($J222,'Sweetener Mix In Nutrition'!A:A,'Sweetener Mix In Nutrition'!E:E,0))+(($Y222 / 100)  * _xlfn.XLOOKUP($K222,'Sweetener Mix In Nutrition'!A:A,'Sweetener Mix In Nutrition'!E:E,0))</f>
        <v>0</v>
      </c>
      <c r="AD222" s="36">
        <f>(($R222 / 240) * _xlfn.XLOOKUP($D222,'Milk Types Nutrition Per Cup'!A:A,'Milk Types Nutrition Per Cup'!E:E,0)) +(($S222 / 240)  * _xlfn.XLOOKUP($E222,'Milk Types Nutrition Per Cup'!A:A,'Milk Types Nutrition Per Cup'!E:E,0)) +(($T222 / 15)  * _xlfn.XLOOKUP($F222,'Liquid Mix In Nutrition'!A:A,'Liquid Mix In Nutrition'!E:E,0)) +(($U222 / 15)  * _xlfn.XLOOKUP($G222,'Liquid Mix In Nutrition'!A:A,'Liquid Mix In Nutrition'!E:E,0))+(($X222 / 100)  * _xlfn.XLOOKUP($J222,'Sweetener Mix In Nutrition'!A:A,'Sweetener Mix In Nutrition'!E:E,0))+(($Y222 / 100)  * _xlfn.XLOOKUP($K222,'Sweetener Mix In Nutrition'!A:A,'Sweetener Mix In Nutrition'!E:E,0))</f>
        <v>0</v>
      </c>
      <c r="AE222" s="37">
        <f>(($R222 / 240) * _xlfn.XLOOKUP($D222,'Milk Types Nutrition Per Cup'!A:A,'Milk Types Nutrition Per Cup'!C:C,0)) +(($S222 / 240)  * _xlfn.XLOOKUP($E222,'Milk Types Nutrition Per Cup'!A:A,'Milk Types Nutrition Per Cup'!C:C,0)) +(($T222 / 15)  * _xlfn.XLOOKUP($F222,'Liquid Mix In Nutrition'!A:A,'Liquid Mix In Nutrition'!C:C,0))+(($U222 / 15)  * _xlfn.XLOOKUP($G222,'Liquid Mix In Nutrition'!A:A,'Liquid Mix In Nutrition'!C:C,0))+(($V222 / MAX(1, _xlfn.XLOOKUP($H222,'Solid Mix In Nutrition'!A:A,'Solid Mix In Nutrition'!I:I,1)))  * _xlfn.XLOOKUP($H222,'Solid Mix In Nutrition'!A:A,'Solid Mix In Nutrition'!C:C,0))+(($W222 / MAX(1, _xlfn.XLOOKUP($I222,'Solid Mix In Nutrition'!A:A,'Solid Mix In Nutrition'!I:I,1)))  * _xlfn.XLOOKUP($I222,'Solid Mix In Nutrition'!A:A,'Solid Mix In Nutrition'!C:C,0))+(($X222 / 100)  * _xlfn.XLOOKUP($J222,'Sweetener Mix In Nutrition'!A:A,'Sweetener Mix In Nutrition'!C:C,0))+(($Y222 / 100)  * _xlfn.XLOOKUP($K222,'Sweetener Mix In Nutrition'!A:A,'Sweetener Mix In Nutrition'!C:C,0))</f>
        <v>0</v>
      </c>
      <c r="AF222" s="38" t="e">
        <f>$AE222 / (_xlfn.XLOOKUP($L222,Specs!A:A,Specs!B:B,0))</f>
        <v>#DIV/0!</v>
      </c>
      <c r="AG222" s="37" t="e">
        <f>60* ($AB222 / _xlfn.XLOOKUP($L222,Specs!A:A,Specs!B:B,0))</f>
        <v>#DIV/0!</v>
      </c>
      <c r="AH222" s="37" t="e">
        <f>60* (AC222 / _xlfn.XLOOKUP($L222,Specs!$A:$A,Specs!$B:$B,0))</f>
        <v>#DIV/0!</v>
      </c>
      <c r="AI222" s="37" t="e">
        <f>60* (AE222 / _xlfn.XLOOKUP($L222,Specs!$A:$A,Specs!$B:$B,0))</f>
        <v>#DIV/0!</v>
      </c>
      <c r="AJ222" s="39">
        <f>(($R222 / 240) * _xlfn.XLOOKUP($D222,'Milk Types Nutrition Per Cup'!A:A,'Milk Types Nutrition Per Cup'!F:F,0)) +(($S222 / 240)  * _xlfn.XLOOKUP($E222,'Milk Types Nutrition Per Cup'!A:A,'Milk Types Nutrition Per Cup'!F:F,0)) +(($T222 / 15)  * _xlfn.XLOOKUP($F222,'Liquid Mix In Nutrition'!A:A,'Liquid Mix In Nutrition'!F:F,0))+(($U222 / 15)  * _xlfn.XLOOKUP($G222,'Liquid Mix In Nutrition'!A:A,'Liquid Mix In Nutrition'!F:F,0))+(($V222 / MAX(1, _xlfn.XLOOKUP($H222,'Solid Mix In Nutrition'!A:A,'Solid Mix In Nutrition'!I:I,1)))  * _xlfn.XLOOKUP($H222,'Solid Mix In Nutrition'!A:A,'Solid Mix In Nutrition'!F:F,0))+(($W222 / MAX(1, _xlfn.XLOOKUP($I222,'Solid Mix In Nutrition'!A:A,'Solid Mix In Nutrition'!I:I,1)))  * _xlfn.XLOOKUP($I222,'Solid Mix In Nutrition'!A:A,'Solid Mix In Nutrition'!F:F,0))+(($X222 / 100)  * _xlfn.XLOOKUP($J222,'Sweetener Mix In Nutrition'!A:A,'Sweetener Mix In Nutrition'!F:F,0))+(($Y222 / 100)  * _xlfn.XLOOKUP($K222,'Sweetener Mix In Nutrition'!A:A,'Sweetener Mix In Nutrition'!F:F,0))</f>
        <v>0</v>
      </c>
      <c r="AK222" s="46">
        <f>[2]Sheet1!AG222</f>
        <v>0</v>
      </c>
      <c r="AL222" s="47"/>
      <c r="AM222" s="40">
        <f>IF(ISERROR(((AL222/Specs!$L$3)*Specs!$L$2)*2),0,ROUNDUP((((AL222/Specs!$L$3)*Specs!$L$2)*2),0))</f>
        <v>0</v>
      </c>
      <c r="AN222" s="48">
        <f>ROUNDUP(((AJ222+Specs!$R$2+Specs!$S$2+_xlfn.XLOOKUP($L222,Specs!A:A,Specs!V:V,0))*Specs!$N$2)+AM222,0)</f>
        <v>1</v>
      </c>
      <c r="AO222" s="40">
        <f>ROUNDUP(((AJ222+Specs!$R$2+Specs!$S$2+_xlfn.XLOOKUP($L222,Specs!A:A,Specs!V:V,0))*Specs!$N$2),0)</f>
        <v>1</v>
      </c>
      <c r="AP222" s="30"/>
    </row>
    <row r="223" spans="1:42" x14ac:dyDescent="0.25">
      <c r="A223" s="41" t="str">
        <f>_xlfn.CONCAT(_xlfn.XLOOKUP("What's Your Name?",[1]Sheet1!$1:$1,[1]Sheet1!223:223)," | ",TEXT(_xlfn.XLOOKUP("Completion time",[1]Sheet1!$1:$1,[1]Sheet1!223:223),"dddd, mmm dd, yyyy hh:mm AM/PM"))</f>
        <v xml:space="preserve"> | Saturday, Jan 00, 1900 12:00 AM</v>
      </c>
      <c r="B223" s="76">
        <f>_xlfn.XLOOKUP("What's Your Email Address?",[1]Sheet1!$1:$1,[1]Sheet1!223:223)</f>
        <v>0</v>
      </c>
      <c r="C223" s="31">
        <f>IF(ISBLANK(_xlfn.XLOOKUP("Which Flavor? (Pint Price | Quart Price | Half Gallon Price) (NOTE: Prices may fluctuate based on market conditions)",[1]Sheet1!$1:$1,[1]Sheet1!223:223)),_xlfn.XLOOKUP("Name Your Ice Cream!",[1]Sheet1!$1:$1,[1]Sheet1!223:223),IF(ISNUMBER(FIND("(", _xlfn.XLOOKUP("Which Flavor? (Pint Price | Quart Price | Half Gallon Price) (NOTE: Prices may fluctuate based on market conditions)",[1]Sheet1!$1:$1,[1]Sheet1!223:223))), LEFT(_xlfn.XLOOKUP("Which Flavor? (Pint Price | Quart Price | Half Gallon Price) (NOTE: Prices may fluctuate based on market conditions)",[1]Sheet1!$1:$1,[1]Sheet1!223:223), FIND("(", _xlfn.XLOOKUP("Which Flavor? (Pint Price | Quart Price | Half Gallon Price) (NOTE: Prices may fluctuate based on market conditions)",[1]Sheet1!$1:$1,[1]Sheet1!223:223)) - 1), _xlfn.XLOOKUP("Which Flavor? (Pint Price | Quart Price | Half Gallon Price) (NOTE: Prices may fluctuate based on market conditions)",[1]Sheet1!$1:$1,[1]Sheet1!223:223)))</f>
        <v>0</v>
      </c>
      <c r="D223" s="31">
        <f>IF(COUNTIF('Premade Flavors'!$A:$A, $C223) &gt; 0,IF(ISBLANK(_xlfn.XLOOKUP("What Ice Cream Base Do You Want To Change It To?",[1]Sheet1!$1:$1,[1]Sheet1!223:223)),_xlfn.XLOOKUP($C223,'Premade Flavors'!$A:$A,'Premade Flavors'!B:B),_xlfn.XLOOKUP("What Ice Cream Base Do You Want To Change It To?",[1]Sheet1!$1:$1,[1]Sheet1!223:223)),_xlfn.XLOOKUP(_xlfn.XLOOKUP("What Kind Of Ice Cream Base Do You Want? ",[1]Sheet1!$1:$1,[1]Sheet1!223:223),'Milk Types Nutrition Per Cup'!O:O,'Milk Types Nutrition Per Cup'!P:P,""))</f>
        <v>0</v>
      </c>
      <c r="E223" s="31">
        <f>IF(COUNTIF('Premade Flavors'!$A:$A, $C223) &gt; 0,IF(ISBLANK(_xlfn.XLOOKUP("What Ice Cream Base Do You Want To Change It To?",[1]Sheet1!$1:$1,[1]Sheet1!223:223)),_xlfn.XLOOKUP($C223,'Premade Flavors'!$A:$A,'Premade Flavors'!C:C),_xlfn.XLOOKUP("What Ice Cream Base Do You Want To Change It To?",[1]Sheet1!$1:$1,[1]Sheet1!223:223)),_xlfn.XLOOKUP(_xlfn.XLOOKUP("What Kind Of Ice Cream Base Do You Want? ",[1]Sheet1!$1:$1,[1]Sheet1!223:223),'Milk Types Nutrition Per Cup'!$O:$O,'Milk Types Nutrition Per Cup'!$Q:$Q,""))</f>
        <v>0</v>
      </c>
      <c r="F223" s="31">
        <f>IF(COUNTIF('Premade Flavors'!$A:$A, $C223) &gt; 0,_xlfn.XLOOKUP($C223,'Premade Flavors'!$A:$A,'Premade Flavors'!E:E),_xlfn.XLOOKUP("What's The First Flavor You Want? ",[1]Sheet1!$1:$1,[1]Sheet1!223:223))</f>
        <v>0</v>
      </c>
      <c r="G223" s="31">
        <f>IF(COUNTIF('Premade Flavors'!$A:$A, $C223) &gt; 0,_xlfn.XLOOKUP($C223,'Premade Flavors'!$A:$A,'Premade Flavors'!F:F),_xlfn.XLOOKUP("What's the Second Flavor You Want?",[1]Sheet1!$1:$1,[1]Sheet1!223:223))</f>
        <v>0</v>
      </c>
      <c r="H223" s="31">
        <f>IF(COUNTIF('Premade Flavors'!$A:$A, $C223) &gt; 0,_xlfn.XLOOKUP($C223,'Premade Flavors'!$A:$A,'Premade Flavors'!G:G),_xlfn.XLOOKUP("What's The First Mix In That You Want? ",[1]Sheet1!$1:$1,[1]Sheet1!223:223))</f>
        <v>0</v>
      </c>
      <c r="I223" s="31">
        <f>IF(COUNTIF('Premade Flavors'!$A:$A, $C221) &gt; 0,_xlfn.XLOOKUP($C221,'Premade Flavors'!$A:$A,'Premade Flavors'!H:H),IF([2]Sheet1!W221= 0,,[2]Sheet1!W221))</f>
        <v>0</v>
      </c>
      <c r="J223" s="31">
        <f>IF(COUNTIF('Premade Flavors'!$A:$A,$C223)&gt;0,IF(_xlfn.XLOOKUP("Should It Use Sugar or A Non-Sugar Sweetner?",[1]Sheet1!$1:$1,[1]Sheet1!223:223)="Sugar",_xlfn.XLOOKUP($C223,'Premade Flavors'!$A:$A,'Premade Flavors'!I:I),"Stevia"),_xlfn.XLOOKUP("What Sweetner Do You Want?",[1]Sheet1!$1:$1,[1]Sheet1!223:223))</f>
        <v>0</v>
      </c>
      <c r="K223" s="31"/>
      <c r="L223" s="77">
        <f>_xlfn.XLOOKUP("How Much Ice Cream Do You Want?",[1]Sheet1!$1:$1,[1]Sheet1!223:223)</f>
        <v>0</v>
      </c>
      <c r="M223" s="45">
        <f>IF(COUNTIF('Premade Flavors'!$A:$A, $C223) &gt; 0,_xlfn.XLOOKUP($C223,'Premade Flavors'!$A:$A,'Premade Flavors'!M:M),_xlfn.XLOOKUP("How Strong Do You Want The First Flavor?",[1]Sheet1!$1:$1,[1]Sheet1!223:223))</f>
        <v>0</v>
      </c>
      <c r="N223" s="45">
        <f>IF(COUNTIF('Premade Flavors'!$A:$A, $C223) &gt; 0,_xlfn.XLOOKUP($C223,'Premade Flavors'!$A:$A,'Premade Flavors'!N:N),_xlfn.XLOOKUP("How Strong Do You Want The Second Flavor?",[1]Sheet1!$1:$1,[1]Sheet1!223:223))</f>
        <v>0</v>
      </c>
      <c r="O223" s="45">
        <f>IF(COUNTIF('Premade Flavors'!$A:$A, $C223) &gt; 0,_xlfn.XLOOKUP($C223,'Premade Flavors'!$A:$A,'Premade Flavors'!O:O),_xlfn.XLOOKUP("How Dense Should the Mix Ins Be?",[1]Sheet1!$1:$1,[1]Sheet1!223:223))</f>
        <v>0</v>
      </c>
      <c r="P223" s="45">
        <f>IF(COUNTIF('Premade Flavors'!$A:$A, $C223) &gt; 0,_xlfn.XLOOKUP($C223,'Premade Flavors'!$A:$A,'Premade Flavors'!P:P),_xlfn.XLOOKUP("How Much Of The First Sweetner? ",[1]Sheet1!$1:$1,[1]Sheet1!223:223))</f>
        <v>0</v>
      </c>
      <c r="Q223" s="45">
        <f>IF(COUNTIF('Premade Flavors'!$A:$A, $C223) &gt; 0,_xlfn.XLOOKUP($C223,'Premade Flavors'!$A:$A,'Premade Flavors'!Q:Q),[2]Sheet1!S223)</f>
        <v>0</v>
      </c>
      <c r="R223" s="30">
        <f>(_xlfn.XLOOKUP($L223,Specs!A:A,Specs!B:B,0)-(IF(_xlfn.XLOOKUP($F223,'Liquid Mix In Nutrition'!A:A,'Liquid Mix In Nutrition'!J:J,0)="Yes",0,$T223))-(IF(_xlfn.XLOOKUP($G223,'Liquid Mix In Nutrition'!A:A,'Liquid Mix In Nutrition'!J:J,0)="Yes",0,$U223))-(($V223/MAX(1,_xlfn.XLOOKUP($H223,'Solid Mix In Nutrition'!A:A,'Solid Mix In Nutrition'!I:I,1)))*240)-(($W223/MAX(1,_xlfn.XLOOKUP($I223,'Solid Mix In Nutrition'!A:A,'Solid Mix In Nutrition'!I:I,1)))*240))*0.66</f>
        <v>0</v>
      </c>
      <c r="S223" s="30">
        <f>(_xlfn.XLOOKUP($L223,Specs!A:A,Specs!B:B,0)-(IF(_xlfn.XLOOKUP($F223,'Liquid Mix In Nutrition'!A:A,'Liquid Mix In Nutrition'!J:J,0)="Yes",0,$T223))-(IF(_xlfn.XLOOKUP($G223,'Liquid Mix In Nutrition'!A:A,'Liquid Mix In Nutrition'!J:J,0)="Yes",0,$U223))-(($V223/MAX(1,_xlfn.XLOOKUP($H223,'Solid Mix In Nutrition'!A:A,'Solid Mix In Nutrition'!I:I,1)))*240)-(($W223/MAX(1,_xlfn.XLOOKUP($I223,'Solid Mix In Nutrition'!A:A,'Solid Mix In Nutrition'!I:I,1)))*240))*0.33</f>
        <v>0</v>
      </c>
      <c r="T223" s="30">
        <f>_xlfn.XLOOKUP($M223,Specs!$D:$D,Specs!$E:$E,0)*15*_xlfn.XLOOKUP($L223,Specs!$A:$A,Specs!$C:$C,0)</f>
        <v>0</v>
      </c>
      <c r="U223" s="30">
        <f>_xlfn.XLOOKUP($N223,Specs!$D:$D,Specs!$E:$E,0)*15*_xlfn.XLOOKUP($L223,Specs!$A:$A,Specs!$C:$C,0)</f>
        <v>0</v>
      </c>
      <c r="V223" s="30">
        <f>( ((_xlfn.XLOOKUP($O223,Specs!$H:$H,Specs!$I:$I,0)*_xlfn.XLOOKUP($L223,Specs!$A:$A,Specs!$B:$B,0))/240) *_xlfn.XLOOKUP($H223,'Solid Mix In Nutrition'!A:A,'Solid Mix In Nutrition'!I:I,0)) *IF(AND(NOT($I223=0), COUNTA($I223)),0.5,1)</f>
        <v>0</v>
      </c>
      <c r="W223" s="30">
        <f>( ((_xlfn.XLOOKUP($O223,Specs!$H:$H,Specs!$I:$I,0)*_xlfn.XLOOKUP($L223,Specs!$A:$A,Specs!$B:$B,0))/240) *_xlfn.XLOOKUP($I223,'Solid Mix In Nutrition'!A:A,'Solid Mix In Nutrition'!I:I,0)) *IF(AND(NOT($I223=0), COUNTA($I223)),0.5,0)</f>
        <v>0</v>
      </c>
      <c r="X223" s="30">
        <f>_xlfn.XLOOKUP($P223,Specs!F:F,Specs!G:G,0)*_xlfn.XLOOKUP($J223,'Sweetener Mix In Nutrition'!A:A,'Sweetener Mix In Nutrition'!I:I,0)*_xlfn.XLOOKUP($L223,Specs!A:A,Specs!C:C,0)</f>
        <v>0</v>
      </c>
      <c r="Y223" s="30">
        <f>_xlfn.XLOOKUP($Q223,Specs!F:F,Specs!G:G,0)*_xlfn.XLOOKUP($K223,'Sweetener Mix In Nutrition'!A:A,'Sweetener Mix In Nutrition'!I:I,0)*_xlfn.XLOOKUP($L223,Specs!A:A,Specs!C:C,0)</f>
        <v>0</v>
      </c>
      <c r="Z223" s="34">
        <f t="shared" si="6"/>
        <v>0</v>
      </c>
      <c r="AA223" s="35">
        <f t="shared" si="7"/>
        <v>0</v>
      </c>
      <c r="AB223" s="36">
        <f>(($R223 / 240) * _xlfn.XLOOKUP($D223,'Milk Types Nutrition Per Cup'!A:A,'Milk Types Nutrition Per Cup'!B:B,0)) +(($S223 / 240)  * _xlfn.XLOOKUP($E223,'Milk Types Nutrition Per Cup'!A:A,'Milk Types Nutrition Per Cup'!B:B,0)) +(($T223 / 15)  * _xlfn.XLOOKUP($F223,'Liquid Mix In Nutrition'!A:A,'Liquid Mix In Nutrition'!B:B,0))+(($U223 / 15)  * _xlfn.XLOOKUP($G223,'Liquid Mix In Nutrition'!A:A,'Liquid Mix In Nutrition'!B:B,0))+(($V223 /MAX(1, _xlfn.XLOOKUP($H223,'Solid Mix In Nutrition'!A:A,'Solid Mix In Nutrition'!I:I,1)))  * _xlfn.XLOOKUP($H223,'Solid Mix In Nutrition'!A:A,'Solid Mix In Nutrition'!B:B,0))+(($W223 / MAX(1, _xlfn.XLOOKUP($I223,'Solid Mix In Nutrition'!A:A,'Solid Mix In Nutrition'!I:I,1))))+(($X223 / 100)  * _xlfn.XLOOKUP($J223,'Sweetener Mix In Nutrition'!A:A,'Sweetener Mix In Nutrition'!B:B,0))+(($Y223 / 100)  * _xlfn.XLOOKUP($K223,'Sweetener Mix In Nutrition'!A:A,'Sweetener Mix In Nutrition'!B:B,0))</f>
        <v>0</v>
      </c>
      <c r="AC223" s="36">
        <f>(($R223 / 240) * _xlfn.XLOOKUP($D223,'Milk Types Nutrition Per Cup'!A:A,'Milk Types Nutrition Per Cup'!E:E,0)) +(($S223 / 240)  * _xlfn.XLOOKUP($E223,'Milk Types Nutrition Per Cup'!A:A,'Milk Types Nutrition Per Cup'!E:E,0)) +(($T223 / 15)  * _xlfn.XLOOKUP($F223,'Liquid Mix In Nutrition'!A:A,'Liquid Mix In Nutrition'!E:E,0)) +(($U223 / 15)  * _xlfn.XLOOKUP($G223,'Liquid Mix In Nutrition'!A:A,'Liquid Mix In Nutrition'!E:E,0))+(($V223 / MAX(1, _xlfn.XLOOKUP($H223,'Solid Mix In Nutrition'!A:A,'Solid Mix In Nutrition'!I:I,1)))  * _xlfn.XLOOKUP($H223,'Solid Mix In Nutrition'!A:A,'Solid Mix In Nutrition'!E:E,0))+(($W223 / MAX(1, _xlfn.XLOOKUP($I223,'Solid Mix In Nutrition'!A:A,'Solid Mix In Nutrition'!I:I,1)))  * _xlfn.XLOOKUP($I223,'Solid Mix In Nutrition'!A:A,'Solid Mix In Nutrition'!G:G,0))+(($X223 / 100)  * _xlfn.XLOOKUP($J223,'Sweetener Mix In Nutrition'!A:A,'Sweetener Mix In Nutrition'!E:E,0))+(($Y223 / 100)  * _xlfn.XLOOKUP($K223,'Sweetener Mix In Nutrition'!A:A,'Sweetener Mix In Nutrition'!E:E,0))</f>
        <v>0</v>
      </c>
      <c r="AD223" s="36">
        <f>(($R223 / 240) * _xlfn.XLOOKUP($D223,'Milk Types Nutrition Per Cup'!A:A,'Milk Types Nutrition Per Cup'!E:E,0)) +(($S223 / 240)  * _xlfn.XLOOKUP($E223,'Milk Types Nutrition Per Cup'!A:A,'Milk Types Nutrition Per Cup'!E:E,0)) +(($T223 / 15)  * _xlfn.XLOOKUP($F223,'Liquid Mix In Nutrition'!A:A,'Liquid Mix In Nutrition'!E:E,0)) +(($U223 / 15)  * _xlfn.XLOOKUP($G223,'Liquid Mix In Nutrition'!A:A,'Liquid Mix In Nutrition'!E:E,0))+(($X223 / 100)  * _xlfn.XLOOKUP($J223,'Sweetener Mix In Nutrition'!A:A,'Sweetener Mix In Nutrition'!E:E,0))+(($Y223 / 100)  * _xlfn.XLOOKUP($K223,'Sweetener Mix In Nutrition'!A:A,'Sweetener Mix In Nutrition'!E:E,0))</f>
        <v>0</v>
      </c>
      <c r="AE223" s="37">
        <f>(($R223 / 240) * _xlfn.XLOOKUP($D223,'Milk Types Nutrition Per Cup'!A:A,'Milk Types Nutrition Per Cup'!C:C,0)) +(($S223 / 240)  * _xlfn.XLOOKUP($E223,'Milk Types Nutrition Per Cup'!A:A,'Milk Types Nutrition Per Cup'!C:C,0)) +(($T223 / 15)  * _xlfn.XLOOKUP($F223,'Liquid Mix In Nutrition'!A:A,'Liquid Mix In Nutrition'!C:C,0))+(($U223 / 15)  * _xlfn.XLOOKUP($G223,'Liquid Mix In Nutrition'!A:A,'Liquid Mix In Nutrition'!C:C,0))+(($V223 / MAX(1, _xlfn.XLOOKUP($H223,'Solid Mix In Nutrition'!A:A,'Solid Mix In Nutrition'!I:I,1)))  * _xlfn.XLOOKUP($H223,'Solid Mix In Nutrition'!A:A,'Solid Mix In Nutrition'!C:C,0))+(($W223 / MAX(1, _xlfn.XLOOKUP($I223,'Solid Mix In Nutrition'!A:A,'Solid Mix In Nutrition'!I:I,1)))  * _xlfn.XLOOKUP($I223,'Solid Mix In Nutrition'!A:A,'Solid Mix In Nutrition'!C:C,0))+(($X223 / 100)  * _xlfn.XLOOKUP($J223,'Sweetener Mix In Nutrition'!A:A,'Sweetener Mix In Nutrition'!C:C,0))+(($Y223 / 100)  * _xlfn.XLOOKUP($K223,'Sweetener Mix In Nutrition'!A:A,'Sweetener Mix In Nutrition'!C:C,0))</f>
        <v>0</v>
      </c>
      <c r="AF223" s="38" t="e">
        <f>$AE223 / (_xlfn.XLOOKUP($L223,Specs!A:A,Specs!B:B,0))</f>
        <v>#DIV/0!</v>
      </c>
      <c r="AG223" s="37" t="e">
        <f>60* ($AB223 / _xlfn.XLOOKUP($L223,Specs!A:A,Specs!B:B,0))</f>
        <v>#DIV/0!</v>
      </c>
      <c r="AH223" s="37" t="e">
        <f>60* (AC223 / _xlfn.XLOOKUP($L223,Specs!$A:$A,Specs!$B:$B,0))</f>
        <v>#DIV/0!</v>
      </c>
      <c r="AI223" s="37" t="e">
        <f>60* (AE223 / _xlfn.XLOOKUP($L223,Specs!$A:$A,Specs!$B:$B,0))</f>
        <v>#DIV/0!</v>
      </c>
      <c r="AJ223" s="39">
        <f>(($R223 / 240) * _xlfn.XLOOKUP($D223,'Milk Types Nutrition Per Cup'!A:A,'Milk Types Nutrition Per Cup'!F:F,0)) +(($S223 / 240)  * _xlfn.XLOOKUP($E223,'Milk Types Nutrition Per Cup'!A:A,'Milk Types Nutrition Per Cup'!F:F,0)) +(($T223 / 15)  * _xlfn.XLOOKUP($F223,'Liquid Mix In Nutrition'!A:A,'Liquid Mix In Nutrition'!F:F,0))+(($U223 / 15)  * _xlfn.XLOOKUP($G223,'Liquid Mix In Nutrition'!A:A,'Liquid Mix In Nutrition'!F:F,0))+(($V223 / MAX(1, _xlfn.XLOOKUP($H223,'Solid Mix In Nutrition'!A:A,'Solid Mix In Nutrition'!I:I,1)))  * _xlfn.XLOOKUP($H223,'Solid Mix In Nutrition'!A:A,'Solid Mix In Nutrition'!F:F,0))+(($W223 / MAX(1, _xlfn.XLOOKUP($I223,'Solid Mix In Nutrition'!A:A,'Solid Mix In Nutrition'!I:I,1)))  * _xlfn.XLOOKUP($I223,'Solid Mix In Nutrition'!A:A,'Solid Mix In Nutrition'!F:F,0))+(($X223 / 100)  * _xlfn.XLOOKUP($J223,'Sweetener Mix In Nutrition'!A:A,'Sweetener Mix In Nutrition'!F:F,0))+(($Y223 / 100)  * _xlfn.XLOOKUP($K223,'Sweetener Mix In Nutrition'!A:A,'Sweetener Mix In Nutrition'!F:F,0))</f>
        <v>0</v>
      </c>
      <c r="AK223" s="46">
        <f>[2]Sheet1!AG223</f>
        <v>0</v>
      </c>
      <c r="AL223" s="47"/>
      <c r="AM223" s="40">
        <f>IF(ISERROR(((AL223/Specs!$L$3)*Specs!$L$2)*2),0,ROUNDUP((((AL223/Specs!$L$3)*Specs!$L$2)*2),0))</f>
        <v>0</v>
      </c>
      <c r="AN223" s="48">
        <f>ROUNDUP(((AJ223+Specs!$R$2+Specs!$S$2+_xlfn.XLOOKUP($L223,Specs!A:A,Specs!V:V,0))*Specs!$N$2)+AM223,0)</f>
        <v>1</v>
      </c>
      <c r="AO223" s="40">
        <f>ROUNDUP(((AJ223+Specs!$R$2+Specs!$S$2+_xlfn.XLOOKUP($L223,Specs!A:A,Specs!V:V,0))*Specs!$N$2),0)</f>
        <v>1</v>
      </c>
      <c r="AP223" s="30"/>
    </row>
    <row r="224" spans="1:42" x14ac:dyDescent="0.25">
      <c r="A224" s="41" t="str">
        <f>_xlfn.CONCAT(_xlfn.XLOOKUP("What's Your Name?",[1]Sheet1!$1:$1,[1]Sheet1!224:224)," | ",TEXT(_xlfn.XLOOKUP("Completion time",[1]Sheet1!$1:$1,[1]Sheet1!224:224),"dddd, mmm dd, yyyy hh:mm AM/PM"))</f>
        <v xml:space="preserve"> | Saturday, Jan 00, 1900 12:00 AM</v>
      </c>
      <c r="B224" s="76">
        <f>_xlfn.XLOOKUP("What's Your Email Address?",[1]Sheet1!$1:$1,[1]Sheet1!224:224)</f>
        <v>0</v>
      </c>
      <c r="C224" s="31">
        <f>IF(ISBLANK(_xlfn.XLOOKUP("Which Flavor? (Pint Price | Quart Price | Half Gallon Price) (NOTE: Prices may fluctuate based on market conditions)",[1]Sheet1!$1:$1,[1]Sheet1!224:224)),_xlfn.XLOOKUP("Name Your Ice Cream!",[1]Sheet1!$1:$1,[1]Sheet1!224:224),IF(ISNUMBER(FIND("(", _xlfn.XLOOKUP("Which Flavor? (Pint Price | Quart Price | Half Gallon Price) (NOTE: Prices may fluctuate based on market conditions)",[1]Sheet1!$1:$1,[1]Sheet1!224:224))), LEFT(_xlfn.XLOOKUP("Which Flavor? (Pint Price | Quart Price | Half Gallon Price) (NOTE: Prices may fluctuate based on market conditions)",[1]Sheet1!$1:$1,[1]Sheet1!224:224), FIND("(", _xlfn.XLOOKUP("Which Flavor? (Pint Price | Quart Price | Half Gallon Price) (NOTE: Prices may fluctuate based on market conditions)",[1]Sheet1!$1:$1,[1]Sheet1!224:224)) - 1), _xlfn.XLOOKUP("Which Flavor? (Pint Price | Quart Price | Half Gallon Price) (NOTE: Prices may fluctuate based on market conditions)",[1]Sheet1!$1:$1,[1]Sheet1!224:224)))</f>
        <v>0</v>
      </c>
      <c r="D224" s="31">
        <f>IF(COUNTIF('Premade Flavors'!$A:$A, $C224) &gt; 0,IF(ISBLANK(_xlfn.XLOOKUP("What Ice Cream Base Do You Want To Change It To?",[1]Sheet1!$1:$1,[1]Sheet1!224:224)),_xlfn.XLOOKUP($C224,'Premade Flavors'!$A:$A,'Premade Flavors'!B:B),_xlfn.XLOOKUP("What Ice Cream Base Do You Want To Change It To?",[1]Sheet1!$1:$1,[1]Sheet1!224:224)),_xlfn.XLOOKUP(_xlfn.XLOOKUP("What Kind Of Ice Cream Base Do You Want? ",[1]Sheet1!$1:$1,[1]Sheet1!224:224),'Milk Types Nutrition Per Cup'!O:O,'Milk Types Nutrition Per Cup'!P:P,""))</f>
        <v>0</v>
      </c>
      <c r="E224" s="31">
        <f>IF(COUNTIF('Premade Flavors'!$A:$A, $C224) &gt; 0,IF(ISBLANK(_xlfn.XLOOKUP("What Ice Cream Base Do You Want To Change It To?",[1]Sheet1!$1:$1,[1]Sheet1!224:224)),_xlfn.XLOOKUP($C224,'Premade Flavors'!$A:$A,'Premade Flavors'!C:C),_xlfn.XLOOKUP("What Ice Cream Base Do You Want To Change It To?",[1]Sheet1!$1:$1,[1]Sheet1!224:224)),_xlfn.XLOOKUP(_xlfn.XLOOKUP("What Kind Of Ice Cream Base Do You Want? ",[1]Sheet1!$1:$1,[1]Sheet1!224:224),'Milk Types Nutrition Per Cup'!$O:$O,'Milk Types Nutrition Per Cup'!$Q:$Q,""))</f>
        <v>0</v>
      </c>
      <c r="F224" s="31">
        <f>IF(COUNTIF('Premade Flavors'!$A:$A, $C224) &gt; 0,_xlfn.XLOOKUP($C224,'Premade Flavors'!$A:$A,'Premade Flavors'!E:E),_xlfn.XLOOKUP("What's The First Flavor You Want? ",[1]Sheet1!$1:$1,[1]Sheet1!224:224))</f>
        <v>0</v>
      </c>
      <c r="G224" s="31">
        <f>IF(COUNTIF('Premade Flavors'!$A:$A, $C224) &gt; 0,_xlfn.XLOOKUP($C224,'Premade Flavors'!$A:$A,'Premade Flavors'!F:F),_xlfn.XLOOKUP("What's the Second Flavor You Want?",[1]Sheet1!$1:$1,[1]Sheet1!224:224))</f>
        <v>0</v>
      </c>
      <c r="H224" s="31">
        <f>IF(COUNTIF('Premade Flavors'!$A:$A, $C224) &gt; 0,_xlfn.XLOOKUP($C224,'Premade Flavors'!$A:$A,'Premade Flavors'!G:G),_xlfn.XLOOKUP("What's The First Mix In That You Want? ",[1]Sheet1!$1:$1,[1]Sheet1!224:224))</f>
        <v>0</v>
      </c>
      <c r="I224" s="31">
        <f>IF(COUNTIF('Premade Flavors'!$A:$A, $C222) &gt; 0,_xlfn.XLOOKUP($C222,'Premade Flavors'!$A:$A,'Premade Flavors'!H:H),IF([2]Sheet1!W222= 0,,[2]Sheet1!W222))</f>
        <v>0</v>
      </c>
      <c r="J224" s="31">
        <f>IF(COUNTIF('Premade Flavors'!$A:$A,$C224)&gt;0,IF(_xlfn.XLOOKUP("Should It Use Sugar or A Non-Sugar Sweetner?",[1]Sheet1!$1:$1,[1]Sheet1!224:224)="Sugar",_xlfn.XLOOKUP($C224,'Premade Flavors'!$A:$A,'Premade Flavors'!I:I),"Stevia"),_xlfn.XLOOKUP("What Sweetner Do You Want?",[1]Sheet1!$1:$1,[1]Sheet1!224:224))</f>
        <v>0</v>
      </c>
      <c r="K224" s="31"/>
      <c r="L224" s="77">
        <f>_xlfn.XLOOKUP("How Much Ice Cream Do You Want?",[1]Sheet1!$1:$1,[1]Sheet1!224:224)</f>
        <v>0</v>
      </c>
      <c r="M224" s="45">
        <f>IF(COUNTIF('Premade Flavors'!$A:$A, $C224) &gt; 0,_xlfn.XLOOKUP($C224,'Premade Flavors'!$A:$A,'Premade Flavors'!M:M),_xlfn.XLOOKUP("How Strong Do You Want The First Flavor?",[1]Sheet1!$1:$1,[1]Sheet1!224:224))</f>
        <v>0</v>
      </c>
      <c r="N224" s="45">
        <f>IF(COUNTIF('Premade Flavors'!$A:$A, $C224) &gt; 0,_xlfn.XLOOKUP($C224,'Premade Flavors'!$A:$A,'Premade Flavors'!N:N),_xlfn.XLOOKUP("How Strong Do You Want The Second Flavor?",[1]Sheet1!$1:$1,[1]Sheet1!224:224))</f>
        <v>0</v>
      </c>
      <c r="O224" s="45">
        <f>IF(COUNTIF('Premade Flavors'!$A:$A, $C224) &gt; 0,_xlfn.XLOOKUP($C224,'Premade Flavors'!$A:$A,'Premade Flavors'!O:O),_xlfn.XLOOKUP("How Dense Should the Mix Ins Be?",[1]Sheet1!$1:$1,[1]Sheet1!224:224))</f>
        <v>0</v>
      </c>
      <c r="P224" s="45">
        <f>IF(COUNTIF('Premade Flavors'!$A:$A, $C224) &gt; 0,_xlfn.XLOOKUP($C224,'Premade Flavors'!$A:$A,'Premade Flavors'!P:P),_xlfn.XLOOKUP("How Much Of The First Sweetner? ",[1]Sheet1!$1:$1,[1]Sheet1!224:224))</f>
        <v>0</v>
      </c>
      <c r="Q224" s="45">
        <f>IF(COUNTIF('Premade Flavors'!$A:$A, $C224) &gt; 0,_xlfn.XLOOKUP($C224,'Premade Flavors'!$A:$A,'Premade Flavors'!Q:Q),[2]Sheet1!S224)</f>
        <v>0</v>
      </c>
      <c r="R224" s="30">
        <f>(_xlfn.XLOOKUP($L224,Specs!A:A,Specs!B:B,0)-(IF(_xlfn.XLOOKUP($F224,'Liquid Mix In Nutrition'!A:A,'Liquid Mix In Nutrition'!J:J,0)="Yes",0,$T224))-(IF(_xlfn.XLOOKUP($G224,'Liquid Mix In Nutrition'!A:A,'Liquid Mix In Nutrition'!J:J,0)="Yes",0,$U224))-(($V224/MAX(1,_xlfn.XLOOKUP($H224,'Solid Mix In Nutrition'!A:A,'Solid Mix In Nutrition'!I:I,1)))*240)-(($W224/MAX(1,_xlfn.XLOOKUP($I224,'Solid Mix In Nutrition'!A:A,'Solid Mix In Nutrition'!I:I,1)))*240))*0.66</f>
        <v>0</v>
      </c>
      <c r="S224" s="30">
        <f>(_xlfn.XLOOKUP($L224,Specs!A:A,Specs!B:B,0)-(IF(_xlfn.XLOOKUP($F224,'Liquid Mix In Nutrition'!A:A,'Liquid Mix In Nutrition'!J:J,0)="Yes",0,$T224))-(IF(_xlfn.XLOOKUP($G224,'Liquid Mix In Nutrition'!A:A,'Liquid Mix In Nutrition'!J:J,0)="Yes",0,$U224))-(($V224/MAX(1,_xlfn.XLOOKUP($H224,'Solid Mix In Nutrition'!A:A,'Solid Mix In Nutrition'!I:I,1)))*240)-(($W224/MAX(1,_xlfn.XLOOKUP($I224,'Solid Mix In Nutrition'!A:A,'Solid Mix In Nutrition'!I:I,1)))*240))*0.33</f>
        <v>0</v>
      </c>
      <c r="T224" s="30">
        <f>_xlfn.XLOOKUP($M224,Specs!$D:$D,Specs!$E:$E,0)*15*_xlfn.XLOOKUP($L224,Specs!$A:$A,Specs!$C:$C,0)</f>
        <v>0</v>
      </c>
      <c r="U224" s="30">
        <f>_xlfn.XLOOKUP($N224,Specs!$D:$D,Specs!$E:$E,0)*15*_xlfn.XLOOKUP($L224,Specs!$A:$A,Specs!$C:$C,0)</f>
        <v>0</v>
      </c>
      <c r="V224" s="30">
        <f>( ((_xlfn.XLOOKUP($O224,Specs!$H:$H,Specs!$I:$I,0)*_xlfn.XLOOKUP($L224,Specs!$A:$A,Specs!$B:$B,0))/240) *_xlfn.XLOOKUP($H224,'Solid Mix In Nutrition'!A:A,'Solid Mix In Nutrition'!I:I,0)) *IF(AND(NOT($I224=0), COUNTA($I224)),0.5,1)</f>
        <v>0</v>
      </c>
      <c r="W224" s="30">
        <f>( ((_xlfn.XLOOKUP($O224,Specs!$H:$H,Specs!$I:$I,0)*_xlfn.XLOOKUP($L224,Specs!$A:$A,Specs!$B:$B,0))/240) *_xlfn.XLOOKUP($I224,'Solid Mix In Nutrition'!A:A,'Solid Mix In Nutrition'!I:I,0)) *IF(AND(NOT($I224=0), COUNTA($I224)),0.5,0)</f>
        <v>0</v>
      </c>
      <c r="X224" s="30">
        <f>_xlfn.XLOOKUP($P224,Specs!F:F,Specs!G:G,0)*_xlfn.XLOOKUP($J224,'Sweetener Mix In Nutrition'!A:A,'Sweetener Mix In Nutrition'!I:I,0)*_xlfn.XLOOKUP($L224,Specs!A:A,Specs!C:C,0)</f>
        <v>0</v>
      </c>
      <c r="Y224" s="30">
        <f>_xlfn.XLOOKUP($Q224,Specs!F:F,Specs!G:G,0)*_xlfn.XLOOKUP($K224,'Sweetener Mix In Nutrition'!A:A,'Sweetener Mix In Nutrition'!I:I,0)*_xlfn.XLOOKUP($L224,Specs!A:A,Specs!C:C,0)</f>
        <v>0</v>
      </c>
      <c r="Z224" s="34">
        <f t="shared" si="6"/>
        <v>0</v>
      </c>
      <c r="AA224" s="35">
        <f t="shared" si="7"/>
        <v>0</v>
      </c>
      <c r="AB224" s="36">
        <f>(($R224 / 240) * _xlfn.XLOOKUP($D224,'Milk Types Nutrition Per Cup'!A:A,'Milk Types Nutrition Per Cup'!B:B,0)) +(($S224 / 240)  * _xlfn.XLOOKUP($E224,'Milk Types Nutrition Per Cup'!A:A,'Milk Types Nutrition Per Cup'!B:B,0)) +(($T224 / 15)  * _xlfn.XLOOKUP($F224,'Liquid Mix In Nutrition'!A:A,'Liquid Mix In Nutrition'!B:B,0))+(($U224 / 15)  * _xlfn.XLOOKUP($G224,'Liquid Mix In Nutrition'!A:A,'Liquid Mix In Nutrition'!B:B,0))+(($V224 /MAX(1, _xlfn.XLOOKUP($H224,'Solid Mix In Nutrition'!A:A,'Solid Mix In Nutrition'!I:I,1)))  * _xlfn.XLOOKUP($H224,'Solid Mix In Nutrition'!A:A,'Solid Mix In Nutrition'!B:B,0))+(($W224 / MAX(1, _xlfn.XLOOKUP($I224,'Solid Mix In Nutrition'!A:A,'Solid Mix In Nutrition'!I:I,1))))+(($X224 / 100)  * _xlfn.XLOOKUP($J224,'Sweetener Mix In Nutrition'!A:A,'Sweetener Mix In Nutrition'!B:B,0))+(($Y224 / 100)  * _xlfn.XLOOKUP($K224,'Sweetener Mix In Nutrition'!A:A,'Sweetener Mix In Nutrition'!B:B,0))</f>
        <v>0</v>
      </c>
      <c r="AC224" s="36">
        <f>(($R224 / 240) * _xlfn.XLOOKUP($D224,'Milk Types Nutrition Per Cup'!A:A,'Milk Types Nutrition Per Cup'!E:E,0)) +(($S224 / 240)  * _xlfn.XLOOKUP($E224,'Milk Types Nutrition Per Cup'!A:A,'Milk Types Nutrition Per Cup'!E:E,0)) +(($T224 / 15)  * _xlfn.XLOOKUP($F224,'Liquid Mix In Nutrition'!A:A,'Liquid Mix In Nutrition'!E:E,0)) +(($U224 / 15)  * _xlfn.XLOOKUP($G224,'Liquid Mix In Nutrition'!A:A,'Liquid Mix In Nutrition'!E:E,0))+(($V224 / MAX(1, _xlfn.XLOOKUP($H224,'Solid Mix In Nutrition'!A:A,'Solid Mix In Nutrition'!I:I,1)))  * _xlfn.XLOOKUP($H224,'Solid Mix In Nutrition'!A:A,'Solid Mix In Nutrition'!E:E,0))+(($W224 / MAX(1, _xlfn.XLOOKUP($I224,'Solid Mix In Nutrition'!A:A,'Solid Mix In Nutrition'!I:I,1)))  * _xlfn.XLOOKUP($I224,'Solid Mix In Nutrition'!A:A,'Solid Mix In Nutrition'!G:G,0))+(($X224 / 100)  * _xlfn.XLOOKUP($J224,'Sweetener Mix In Nutrition'!A:A,'Sweetener Mix In Nutrition'!E:E,0))+(($Y224 / 100)  * _xlfn.XLOOKUP($K224,'Sweetener Mix In Nutrition'!A:A,'Sweetener Mix In Nutrition'!E:E,0))</f>
        <v>0</v>
      </c>
      <c r="AD224" s="36">
        <f>(($R224 / 240) * _xlfn.XLOOKUP($D224,'Milk Types Nutrition Per Cup'!A:A,'Milk Types Nutrition Per Cup'!E:E,0)) +(($S224 / 240)  * _xlfn.XLOOKUP($E224,'Milk Types Nutrition Per Cup'!A:A,'Milk Types Nutrition Per Cup'!E:E,0)) +(($T224 / 15)  * _xlfn.XLOOKUP($F224,'Liquid Mix In Nutrition'!A:A,'Liquid Mix In Nutrition'!E:E,0)) +(($U224 / 15)  * _xlfn.XLOOKUP($G224,'Liquid Mix In Nutrition'!A:A,'Liquid Mix In Nutrition'!E:E,0))+(($X224 / 100)  * _xlfn.XLOOKUP($J224,'Sweetener Mix In Nutrition'!A:A,'Sweetener Mix In Nutrition'!E:E,0))+(($Y224 / 100)  * _xlfn.XLOOKUP($K224,'Sweetener Mix In Nutrition'!A:A,'Sweetener Mix In Nutrition'!E:E,0))</f>
        <v>0</v>
      </c>
      <c r="AE224" s="37">
        <f>(($R224 / 240) * _xlfn.XLOOKUP($D224,'Milk Types Nutrition Per Cup'!A:A,'Milk Types Nutrition Per Cup'!C:C,0)) +(($S224 / 240)  * _xlfn.XLOOKUP($E224,'Milk Types Nutrition Per Cup'!A:A,'Milk Types Nutrition Per Cup'!C:C,0)) +(($T224 / 15)  * _xlfn.XLOOKUP($F224,'Liquid Mix In Nutrition'!A:A,'Liquid Mix In Nutrition'!C:C,0))+(($U224 / 15)  * _xlfn.XLOOKUP($G224,'Liquid Mix In Nutrition'!A:A,'Liquid Mix In Nutrition'!C:C,0))+(($V224 / MAX(1, _xlfn.XLOOKUP($H224,'Solid Mix In Nutrition'!A:A,'Solid Mix In Nutrition'!I:I,1)))  * _xlfn.XLOOKUP($H224,'Solid Mix In Nutrition'!A:A,'Solid Mix In Nutrition'!C:C,0))+(($W224 / MAX(1, _xlfn.XLOOKUP($I224,'Solid Mix In Nutrition'!A:A,'Solid Mix In Nutrition'!I:I,1)))  * _xlfn.XLOOKUP($I224,'Solid Mix In Nutrition'!A:A,'Solid Mix In Nutrition'!C:C,0))+(($X224 / 100)  * _xlfn.XLOOKUP($J224,'Sweetener Mix In Nutrition'!A:A,'Sweetener Mix In Nutrition'!C:C,0))+(($Y224 / 100)  * _xlfn.XLOOKUP($K224,'Sweetener Mix In Nutrition'!A:A,'Sweetener Mix In Nutrition'!C:C,0))</f>
        <v>0</v>
      </c>
      <c r="AF224" s="38" t="e">
        <f>$AE224 / (_xlfn.XLOOKUP($L224,Specs!A:A,Specs!B:B,0))</f>
        <v>#DIV/0!</v>
      </c>
      <c r="AG224" s="37" t="e">
        <f>60* ($AB224 / _xlfn.XLOOKUP($L224,Specs!A:A,Specs!B:B,0))</f>
        <v>#DIV/0!</v>
      </c>
      <c r="AH224" s="37" t="e">
        <f>60* (AC224 / _xlfn.XLOOKUP($L224,Specs!$A:$A,Specs!$B:$B,0))</f>
        <v>#DIV/0!</v>
      </c>
      <c r="AI224" s="37" t="e">
        <f>60* (AE224 / _xlfn.XLOOKUP($L224,Specs!$A:$A,Specs!$B:$B,0))</f>
        <v>#DIV/0!</v>
      </c>
      <c r="AJ224" s="39">
        <f>(($R224 / 240) * _xlfn.XLOOKUP($D224,'Milk Types Nutrition Per Cup'!A:A,'Milk Types Nutrition Per Cup'!F:F,0)) +(($S224 / 240)  * _xlfn.XLOOKUP($E224,'Milk Types Nutrition Per Cup'!A:A,'Milk Types Nutrition Per Cup'!F:F,0)) +(($T224 / 15)  * _xlfn.XLOOKUP($F224,'Liquid Mix In Nutrition'!A:A,'Liquid Mix In Nutrition'!F:F,0))+(($U224 / 15)  * _xlfn.XLOOKUP($G224,'Liquid Mix In Nutrition'!A:A,'Liquid Mix In Nutrition'!F:F,0))+(($V224 / MAX(1, _xlfn.XLOOKUP($H224,'Solid Mix In Nutrition'!A:A,'Solid Mix In Nutrition'!I:I,1)))  * _xlfn.XLOOKUP($H224,'Solid Mix In Nutrition'!A:A,'Solid Mix In Nutrition'!F:F,0))+(($W224 / MAX(1, _xlfn.XLOOKUP($I224,'Solid Mix In Nutrition'!A:A,'Solid Mix In Nutrition'!I:I,1)))  * _xlfn.XLOOKUP($I224,'Solid Mix In Nutrition'!A:A,'Solid Mix In Nutrition'!F:F,0))+(($X224 / 100)  * _xlfn.XLOOKUP($J224,'Sweetener Mix In Nutrition'!A:A,'Sweetener Mix In Nutrition'!F:F,0))+(($Y224 / 100)  * _xlfn.XLOOKUP($K224,'Sweetener Mix In Nutrition'!A:A,'Sweetener Mix In Nutrition'!F:F,0))</f>
        <v>0</v>
      </c>
      <c r="AK224" s="46">
        <f>[2]Sheet1!AG224</f>
        <v>0</v>
      </c>
      <c r="AL224" s="47"/>
      <c r="AM224" s="40">
        <f>IF(ISERROR(((AL224/Specs!$L$3)*Specs!$L$2)*2),0,ROUNDUP((((AL224/Specs!$L$3)*Specs!$L$2)*2),0))</f>
        <v>0</v>
      </c>
      <c r="AN224" s="48">
        <f>ROUNDUP(((AJ224+Specs!$R$2+Specs!$S$2+_xlfn.XLOOKUP($L224,Specs!A:A,Specs!V:V,0))*Specs!$N$2)+AM224,0)</f>
        <v>1</v>
      </c>
      <c r="AO224" s="40">
        <f>ROUNDUP(((AJ224+Specs!$R$2+Specs!$S$2+_xlfn.XLOOKUP($L224,Specs!A:A,Specs!V:V,0))*Specs!$N$2),0)</f>
        <v>1</v>
      </c>
      <c r="AP224" s="30"/>
    </row>
    <row r="225" spans="1:42" x14ac:dyDescent="0.25">
      <c r="A225" s="41" t="str">
        <f>_xlfn.CONCAT(_xlfn.XLOOKUP("What's Your Name?",[1]Sheet1!$1:$1,[1]Sheet1!225:225)," | ",TEXT(_xlfn.XLOOKUP("Completion time",[1]Sheet1!$1:$1,[1]Sheet1!225:225),"dddd, mmm dd, yyyy hh:mm AM/PM"))</f>
        <v xml:space="preserve"> | Saturday, Jan 00, 1900 12:00 AM</v>
      </c>
      <c r="B225" s="76">
        <f>_xlfn.XLOOKUP("What's Your Email Address?",[1]Sheet1!$1:$1,[1]Sheet1!225:225)</f>
        <v>0</v>
      </c>
      <c r="C225" s="31">
        <f>IF(ISBLANK(_xlfn.XLOOKUP("Which Flavor? (Pint Price | Quart Price | Half Gallon Price) (NOTE: Prices may fluctuate based on market conditions)",[1]Sheet1!$1:$1,[1]Sheet1!225:225)),_xlfn.XLOOKUP("Name Your Ice Cream!",[1]Sheet1!$1:$1,[1]Sheet1!225:225),IF(ISNUMBER(FIND("(", _xlfn.XLOOKUP("Which Flavor? (Pint Price | Quart Price | Half Gallon Price) (NOTE: Prices may fluctuate based on market conditions)",[1]Sheet1!$1:$1,[1]Sheet1!225:225))), LEFT(_xlfn.XLOOKUP("Which Flavor? (Pint Price | Quart Price | Half Gallon Price) (NOTE: Prices may fluctuate based on market conditions)",[1]Sheet1!$1:$1,[1]Sheet1!225:225), FIND("(", _xlfn.XLOOKUP("Which Flavor? (Pint Price | Quart Price | Half Gallon Price) (NOTE: Prices may fluctuate based on market conditions)",[1]Sheet1!$1:$1,[1]Sheet1!225:225)) - 1), _xlfn.XLOOKUP("Which Flavor? (Pint Price | Quart Price | Half Gallon Price) (NOTE: Prices may fluctuate based on market conditions)",[1]Sheet1!$1:$1,[1]Sheet1!225:225)))</f>
        <v>0</v>
      </c>
      <c r="D225" s="31">
        <f>IF(COUNTIF('Premade Flavors'!$A:$A, $C225) &gt; 0,IF(ISBLANK(_xlfn.XLOOKUP("What Ice Cream Base Do You Want To Change It To?",[1]Sheet1!$1:$1,[1]Sheet1!225:225)),_xlfn.XLOOKUP($C225,'Premade Flavors'!$A:$A,'Premade Flavors'!B:B),_xlfn.XLOOKUP("What Ice Cream Base Do You Want To Change It To?",[1]Sheet1!$1:$1,[1]Sheet1!225:225)),_xlfn.XLOOKUP(_xlfn.XLOOKUP("What Kind Of Ice Cream Base Do You Want? ",[1]Sheet1!$1:$1,[1]Sheet1!225:225),'Milk Types Nutrition Per Cup'!O:O,'Milk Types Nutrition Per Cup'!P:P,""))</f>
        <v>0</v>
      </c>
      <c r="E225" s="31">
        <f>IF(COUNTIF('Premade Flavors'!$A:$A, $C225) &gt; 0,IF(ISBLANK(_xlfn.XLOOKUP("What Ice Cream Base Do You Want To Change It To?",[1]Sheet1!$1:$1,[1]Sheet1!225:225)),_xlfn.XLOOKUP($C225,'Premade Flavors'!$A:$A,'Premade Flavors'!C:C),_xlfn.XLOOKUP("What Ice Cream Base Do You Want To Change It To?",[1]Sheet1!$1:$1,[1]Sheet1!225:225)),_xlfn.XLOOKUP(_xlfn.XLOOKUP("What Kind Of Ice Cream Base Do You Want? ",[1]Sheet1!$1:$1,[1]Sheet1!225:225),'Milk Types Nutrition Per Cup'!$O:$O,'Milk Types Nutrition Per Cup'!$Q:$Q,""))</f>
        <v>0</v>
      </c>
      <c r="F225" s="31">
        <f>IF(COUNTIF('Premade Flavors'!$A:$A, $C225) &gt; 0,_xlfn.XLOOKUP($C225,'Premade Flavors'!$A:$A,'Premade Flavors'!E:E),_xlfn.XLOOKUP("What's The First Flavor You Want? ",[1]Sheet1!$1:$1,[1]Sheet1!225:225))</f>
        <v>0</v>
      </c>
      <c r="G225" s="31">
        <f>IF(COUNTIF('Premade Flavors'!$A:$A, $C225) &gt; 0,_xlfn.XLOOKUP($C225,'Premade Flavors'!$A:$A,'Premade Flavors'!F:F),_xlfn.XLOOKUP("What's the Second Flavor You Want?",[1]Sheet1!$1:$1,[1]Sheet1!225:225))</f>
        <v>0</v>
      </c>
      <c r="H225" s="31">
        <f>IF(COUNTIF('Premade Flavors'!$A:$A, $C225) &gt; 0,_xlfn.XLOOKUP($C225,'Premade Flavors'!$A:$A,'Premade Flavors'!G:G),_xlfn.XLOOKUP("What's The First Mix In That You Want? ",[1]Sheet1!$1:$1,[1]Sheet1!225:225))</f>
        <v>0</v>
      </c>
      <c r="I225" s="31">
        <f>IF(COUNTIF('Premade Flavors'!$A:$A, $C223) &gt; 0,_xlfn.XLOOKUP($C223,'Premade Flavors'!$A:$A,'Premade Flavors'!H:H),IF([2]Sheet1!W223= 0,,[2]Sheet1!W223))</f>
        <v>0</v>
      </c>
      <c r="J225" s="31">
        <f>IF(COUNTIF('Premade Flavors'!$A:$A,$C225)&gt;0,IF(_xlfn.XLOOKUP("Should It Use Sugar or A Non-Sugar Sweetner?",[1]Sheet1!$1:$1,[1]Sheet1!225:225)="Sugar",_xlfn.XLOOKUP($C225,'Premade Flavors'!$A:$A,'Premade Flavors'!I:I),"Stevia"),_xlfn.XLOOKUP("What Sweetner Do You Want?",[1]Sheet1!$1:$1,[1]Sheet1!225:225))</f>
        <v>0</v>
      </c>
      <c r="K225" s="31"/>
      <c r="L225" s="77">
        <f>_xlfn.XLOOKUP("How Much Ice Cream Do You Want?",[1]Sheet1!$1:$1,[1]Sheet1!225:225)</f>
        <v>0</v>
      </c>
      <c r="M225" s="45">
        <f>IF(COUNTIF('Premade Flavors'!$A:$A, $C225) &gt; 0,_xlfn.XLOOKUP($C225,'Premade Flavors'!$A:$A,'Premade Flavors'!M:M),_xlfn.XLOOKUP("How Strong Do You Want The First Flavor?",[1]Sheet1!$1:$1,[1]Sheet1!225:225))</f>
        <v>0</v>
      </c>
      <c r="N225" s="45">
        <f>IF(COUNTIF('Premade Flavors'!$A:$A, $C225) &gt; 0,_xlfn.XLOOKUP($C225,'Premade Flavors'!$A:$A,'Premade Flavors'!N:N),_xlfn.XLOOKUP("How Strong Do You Want The Second Flavor?",[1]Sheet1!$1:$1,[1]Sheet1!225:225))</f>
        <v>0</v>
      </c>
      <c r="O225" s="45">
        <f>IF(COUNTIF('Premade Flavors'!$A:$A, $C225) &gt; 0,_xlfn.XLOOKUP($C225,'Premade Flavors'!$A:$A,'Premade Flavors'!O:O),_xlfn.XLOOKUP("How Dense Should the Mix Ins Be?",[1]Sheet1!$1:$1,[1]Sheet1!225:225))</f>
        <v>0</v>
      </c>
      <c r="P225" s="45">
        <f>IF(COUNTIF('Premade Flavors'!$A:$A, $C225) &gt; 0,_xlfn.XLOOKUP($C225,'Premade Flavors'!$A:$A,'Premade Flavors'!P:P),_xlfn.XLOOKUP("How Much Of The First Sweetner? ",[1]Sheet1!$1:$1,[1]Sheet1!225:225))</f>
        <v>0</v>
      </c>
      <c r="Q225" s="45">
        <f>IF(COUNTIF('Premade Flavors'!$A:$A, $C225) &gt; 0,_xlfn.XLOOKUP($C225,'Premade Flavors'!$A:$A,'Premade Flavors'!Q:Q),[2]Sheet1!S225)</f>
        <v>0</v>
      </c>
      <c r="R225" s="30">
        <f>(_xlfn.XLOOKUP($L225,Specs!A:A,Specs!B:B,0)-(IF(_xlfn.XLOOKUP($F225,'Liquid Mix In Nutrition'!A:A,'Liquid Mix In Nutrition'!J:J,0)="Yes",0,$T225))-(IF(_xlfn.XLOOKUP($G225,'Liquid Mix In Nutrition'!A:A,'Liquid Mix In Nutrition'!J:J,0)="Yes",0,$U225))-(($V225/MAX(1,_xlfn.XLOOKUP($H225,'Solid Mix In Nutrition'!A:A,'Solid Mix In Nutrition'!I:I,1)))*240)-(($W225/MAX(1,_xlfn.XLOOKUP($I225,'Solid Mix In Nutrition'!A:A,'Solid Mix In Nutrition'!I:I,1)))*240))*0.66</f>
        <v>0</v>
      </c>
      <c r="S225" s="30">
        <f>(_xlfn.XLOOKUP($L225,Specs!A:A,Specs!B:B,0)-(IF(_xlfn.XLOOKUP($F225,'Liquid Mix In Nutrition'!A:A,'Liquid Mix In Nutrition'!J:J,0)="Yes",0,$T225))-(IF(_xlfn.XLOOKUP($G225,'Liquid Mix In Nutrition'!A:A,'Liquid Mix In Nutrition'!J:J,0)="Yes",0,$U225))-(($V225/MAX(1,_xlfn.XLOOKUP($H225,'Solid Mix In Nutrition'!A:A,'Solid Mix In Nutrition'!I:I,1)))*240)-(($W225/MAX(1,_xlfn.XLOOKUP($I225,'Solid Mix In Nutrition'!A:A,'Solid Mix In Nutrition'!I:I,1)))*240))*0.33</f>
        <v>0</v>
      </c>
      <c r="T225" s="30">
        <f>_xlfn.XLOOKUP($M225,Specs!$D:$D,Specs!$E:$E,0)*15*_xlfn.XLOOKUP($L225,Specs!$A:$A,Specs!$C:$C,0)</f>
        <v>0</v>
      </c>
      <c r="U225" s="30">
        <f>_xlfn.XLOOKUP($N225,Specs!$D:$D,Specs!$E:$E,0)*15*_xlfn.XLOOKUP($L225,Specs!$A:$A,Specs!$C:$C,0)</f>
        <v>0</v>
      </c>
      <c r="V225" s="30">
        <f>( ((_xlfn.XLOOKUP($O225,Specs!$H:$H,Specs!$I:$I,0)*_xlfn.XLOOKUP($L225,Specs!$A:$A,Specs!$B:$B,0))/240) *_xlfn.XLOOKUP($H225,'Solid Mix In Nutrition'!A:A,'Solid Mix In Nutrition'!I:I,0)) *IF(AND(NOT($I225=0), COUNTA($I225)),0.5,1)</f>
        <v>0</v>
      </c>
      <c r="W225" s="30">
        <f>( ((_xlfn.XLOOKUP($O225,Specs!$H:$H,Specs!$I:$I,0)*_xlfn.XLOOKUP($L225,Specs!$A:$A,Specs!$B:$B,0))/240) *_xlfn.XLOOKUP($I225,'Solid Mix In Nutrition'!A:A,'Solid Mix In Nutrition'!I:I,0)) *IF(AND(NOT($I225=0), COUNTA($I225)),0.5,0)</f>
        <v>0</v>
      </c>
      <c r="X225" s="30">
        <f>_xlfn.XLOOKUP($P225,Specs!F:F,Specs!G:G,0)*_xlfn.XLOOKUP($J225,'Sweetener Mix In Nutrition'!A:A,'Sweetener Mix In Nutrition'!I:I,0)*_xlfn.XLOOKUP($L225,Specs!A:A,Specs!C:C,0)</f>
        <v>0</v>
      </c>
      <c r="Y225" s="30">
        <f>_xlfn.XLOOKUP($Q225,Specs!F:F,Specs!G:G,0)*_xlfn.XLOOKUP($K225,'Sweetener Mix In Nutrition'!A:A,'Sweetener Mix In Nutrition'!I:I,0)*_xlfn.XLOOKUP($L225,Specs!A:A,Specs!C:C,0)</f>
        <v>0</v>
      </c>
      <c r="Z225" s="34">
        <f t="shared" si="6"/>
        <v>0</v>
      </c>
      <c r="AA225" s="35">
        <f t="shared" si="7"/>
        <v>0</v>
      </c>
      <c r="AB225" s="36">
        <f>(($R225 / 240) * _xlfn.XLOOKUP($D225,'Milk Types Nutrition Per Cup'!A:A,'Milk Types Nutrition Per Cup'!B:B,0)) +(($S225 / 240)  * _xlfn.XLOOKUP($E225,'Milk Types Nutrition Per Cup'!A:A,'Milk Types Nutrition Per Cup'!B:B,0)) +(($T225 / 15)  * _xlfn.XLOOKUP($F225,'Liquid Mix In Nutrition'!A:A,'Liquid Mix In Nutrition'!B:B,0))+(($U225 / 15)  * _xlfn.XLOOKUP($G225,'Liquid Mix In Nutrition'!A:A,'Liquid Mix In Nutrition'!B:B,0))+(($V225 /MAX(1, _xlfn.XLOOKUP($H225,'Solid Mix In Nutrition'!A:A,'Solid Mix In Nutrition'!I:I,1)))  * _xlfn.XLOOKUP($H225,'Solid Mix In Nutrition'!A:A,'Solid Mix In Nutrition'!B:B,0))+(($W225 / MAX(1, _xlfn.XLOOKUP($I225,'Solid Mix In Nutrition'!A:A,'Solid Mix In Nutrition'!I:I,1))))+(($X225 / 100)  * _xlfn.XLOOKUP($J225,'Sweetener Mix In Nutrition'!A:A,'Sweetener Mix In Nutrition'!B:B,0))+(($Y225 / 100)  * _xlfn.XLOOKUP($K225,'Sweetener Mix In Nutrition'!A:A,'Sweetener Mix In Nutrition'!B:B,0))</f>
        <v>0</v>
      </c>
      <c r="AC225" s="36">
        <f>(($R225 / 240) * _xlfn.XLOOKUP($D225,'Milk Types Nutrition Per Cup'!A:A,'Milk Types Nutrition Per Cup'!E:E,0)) +(($S225 / 240)  * _xlfn.XLOOKUP($E225,'Milk Types Nutrition Per Cup'!A:A,'Milk Types Nutrition Per Cup'!E:E,0)) +(($T225 / 15)  * _xlfn.XLOOKUP($F225,'Liquid Mix In Nutrition'!A:A,'Liquid Mix In Nutrition'!E:E,0)) +(($U225 / 15)  * _xlfn.XLOOKUP($G225,'Liquid Mix In Nutrition'!A:A,'Liquid Mix In Nutrition'!E:E,0))+(($V225 / MAX(1, _xlfn.XLOOKUP($H225,'Solid Mix In Nutrition'!A:A,'Solid Mix In Nutrition'!I:I,1)))  * _xlfn.XLOOKUP($H225,'Solid Mix In Nutrition'!A:A,'Solid Mix In Nutrition'!E:E,0))+(($W225 / MAX(1, _xlfn.XLOOKUP($I225,'Solid Mix In Nutrition'!A:A,'Solid Mix In Nutrition'!I:I,1)))  * _xlfn.XLOOKUP($I225,'Solid Mix In Nutrition'!A:A,'Solid Mix In Nutrition'!G:G,0))+(($X225 / 100)  * _xlfn.XLOOKUP($J225,'Sweetener Mix In Nutrition'!A:A,'Sweetener Mix In Nutrition'!E:E,0))+(($Y225 / 100)  * _xlfn.XLOOKUP($K225,'Sweetener Mix In Nutrition'!A:A,'Sweetener Mix In Nutrition'!E:E,0))</f>
        <v>0</v>
      </c>
      <c r="AD225" s="36">
        <f>(($R225 / 240) * _xlfn.XLOOKUP($D225,'Milk Types Nutrition Per Cup'!A:A,'Milk Types Nutrition Per Cup'!E:E,0)) +(($S225 / 240)  * _xlfn.XLOOKUP($E225,'Milk Types Nutrition Per Cup'!A:A,'Milk Types Nutrition Per Cup'!E:E,0)) +(($T225 / 15)  * _xlfn.XLOOKUP($F225,'Liquid Mix In Nutrition'!A:A,'Liquid Mix In Nutrition'!E:E,0)) +(($U225 / 15)  * _xlfn.XLOOKUP($G225,'Liquid Mix In Nutrition'!A:A,'Liquid Mix In Nutrition'!E:E,0))+(($X225 / 100)  * _xlfn.XLOOKUP($J225,'Sweetener Mix In Nutrition'!A:A,'Sweetener Mix In Nutrition'!E:E,0))+(($Y225 / 100)  * _xlfn.XLOOKUP($K225,'Sweetener Mix In Nutrition'!A:A,'Sweetener Mix In Nutrition'!E:E,0))</f>
        <v>0</v>
      </c>
      <c r="AE225" s="37">
        <f>(($R225 / 240) * _xlfn.XLOOKUP($D225,'Milk Types Nutrition Per Cup'!A:A,'Milk Types Nutrition Per Cup'!C:C,0)) +(($S225 / 240)  * _xlfn.XLOOKUP($E225,'Milk Types Nutrition Per Cup'!A:A,'Milk Types Nutrition Per Cup'!C:C,0)) +(($T225 / 15)  * _xlfn.XLOOKUP($F225,'Liquid Mix In Nutrition'!A:A,'Liquid Mix In Nutrition'!C:C,0))+(($U225 / 15)  * _xlfn.XLOOKUP($G225,'Liquid Mix In Nutrition'!A:A,'Liquid Mix In Nutrition'!C:C,0))+(($V225 / MAX(1, _xlfn.XLOOKUP($H225,'Solid Mix In Nutrition'!A:A,'Solid Mix In Nutrition'!I:I,1)))  * _xlfn.XLOOKUP($H225,'Solid Mix In Nutrition'!A:A,'Solid Mix In Nutrition'!C:C,0))+(($W225 / MAX(1, _xlfn.XLOOKUP($I225,'Solid Mix In Nutrition'!A:A,'Solid Mix In Nutrition'!I:I,1)))  * _xlfn.XLOOKUP($I225,'Solid Mix In Nutrition'!A:A,'Solid Mix In Nutrition'!C:C,0))+(($X225 / 100)  * _xlfn.XLOOKUP($J225,'Sweetener Mix In Nutrition'!A:A,'Sweetener Mix In Nutrition'!C:C,0))+(($Y225 / 100)  * _xlfn.XLOOKUP($K225,'Sweetener Mix In Nutrition'!A:A,'Sweetener Mix In Nutrition'!C:C,0))</f>
        <v>0</v>
      </c>
      <c r="AF225" s="38" t="e">
        <f>$AE225 / (_xlfn.XLOOKUP($L225,Specs!A:A,Specs!B:B,0))</f>
        <v>#DIV/0!</v>
      </c>
      <c r="AG225" s="37" t="e">
        <f>60* ($AB225 / _xlfn.XLOOKUP($L225,Specs!A:A,Specs!B:B,0))</f>
        <v>#DIV/0!</v>
      </c>
      <c r="AH225" s="37" t="e">
        <f>60* (AC225 / _xlfn.XLOOKUP($L225,Specs!$A:$A,Specs!$B:$B,0))</f>
        <v>#DIV/0!</v>
      </c>
      <c r="AI225" s="37" t="e">
        <f>60* (AE225 / _xlfn.XLOOKUP($L225,Specs!$A:$A,Specs!$B:$B,0))</f>
        <v>#DIV/0!</v>
      </c>
      <c r="AJ225" s="39">
        <f>(($R225 / 240) * _xlfn.XLOOKUP($D225,'Milk Types Nutrition Per Cup'!A:A,'Milk Types Nutrition Per Cup'!F:F,0)) +(($S225 / 240)  * _xlfn.XLOOKUP($E225,'Milk Types Nutrition Per Cup'!A:A,'Milk Types Nutrition Per Cup'!F:F,0)) +(($T225 / 15)  * _xlfn.XLOOKUP($F225,'Liquid Mix In Nutrition'!A:A,'Liquid Mix In Nutrition'!F:F,0))+(($U225 / 15)  * _xlfn.XLOOKUP($G225,'Liquid Mix In Nutrition'!A:A,'Liquid Mix In Nutrition'!F:F,0))+(($V225 / MAX(1, _xlfn.XLOOKUP($H225,'Solid Mix In Nutrition'!A:A,'Solid Mix In Nutrition'!I:I,1)))  * _xlfn.XLOOKUP($H225,'Solid Mix In Nutrition'!A:A,'Solid Mix In Nutrition'!F:F,0))+(($W225 / MAX(1, _xlfn.XLOOKUP($I225,'Solid Mix In Nutrition'!A:A,'Solid Mix In Nutrition'!I:I,1)))  * _xlfn.XLOOKUP($I225,'Solid Mix In Nutrition'!A:A,'Solid Mix In Nutrition'!F:F,0))+(($X225 / 100)  * _xlfn.XLOOKUP($J225,'Sweetener Mix In Nutrition'!A:A,'Sweetener Mix In Nutrition'!F:F,0))+(($Y225 / 100)  * _xlfn.XLOOKUP($K225,'Sweetener Mix In Nutrition'!A:A,'Sweetener Mix In Nutrition'!F:F,0))</f>
        <v>0</v>
      </c>
      <c r="AK225" s="46">
        <f>[2]Sheet1!AG225</f>
        <v>0</v>
      </c>
      <c r="AL225" s="47"/>
      <c r="AM225" s="40">
        <f>IF(ISERROR(((AL225/Specs!$L$3)*Specs!$L$2)*2),0,ROUNDUP((((AL225/Specs!$L$3)*Specs!$L$2)*2),0))</f>
        <v>0</v>
      </c>
      <c r="AN225" s="48">
        <f>ROUNDUP(((AJ225+Specs!$R$2+Specs!$S$2+_xlfn.XLOOKUP($L225,Specs!A:A,Specs!V:V,0))*Specs!$N$2)+AM225,0)</f>
        <v>1</v>
      </c>
      <c r="AO225" s="40">
        <f>ROUNDUP(((AJ225+Specs!$R$2+Specs!$S$2+_xlfn.XLOOKUP($L225,Specs!A:A,Specs!V:V,0))*Specs!$N$2),0)</f>
        <v>1</v>
      </c>
      <c r="AP225" s="30"/>
    </row>
    <row r="226" spans="1:42" x14ac:dyDescent="0.25">
      <c r="A226" s="41" t="str">
        <f>_xlfn.CONCAT(_xlfn.XLOOKUP("What's Your Name?",[1]Sheet1!$1:$1,[1]Sheet1!226:226)," | ",TEXT(_xlfn.XLOOKUP("Completion time",[1]Sheet1!$1:$1,[1]Sheet1!226:226),"dddd, mmm dd, yyyy hh:mm AM/PM"))</f>
        <v xml:space="preserve"> | Saturday, Jan 00, 1900 12:00 AM</v>
      </c>
      <c r="B226" s="76">
        <f>_xlfn.XLOOKUP("What's Your Email Address?",[1]Sheet1!$1:$1,[1]Sheet1!226:226)</f>
        <v>0</v>
      </c>
      <c r="C226" s="31">
        <f>IF(ISBLANK(_xlfn.XLOOKUP("Which Flavor? (Pint Price | Quart Price | Half Gallon Price) (NOTE: Prices may fluctuate based on market conditions)",[1]Sheet1!$1:$1,[1]Sheet1!226:226)),_xlfn.XLOOKUP("Name Your Ice Cream!",[1]Sheet1!$1:$1,[1]Sheet1!226:226),IF(ISNUMBER(FIND("(", _xlfn.XLOOKUP("Which Flavor? (Pint Price | Quart Price | Half Gallon Price) (NOTE: Prices may fluctuate based on market conditions)",[1]Sheet1!$1:$1,[1]Sheet1!226:226))), LEFT(_xlfn.XLOOKUP("Which Flavor? (Pint Price | Quart Price | Half Gallon Price) (NOTE: Prices may fluctuate based on market conditions)",[1]Sheet1!$1:$1,[1]Sheet1!226:226), FIND("(", _xlfn.XLOOKUP("Which Flavor? (Pint Price | Quart Price | Half Gallon Price) (NOTE: Prices may fluctuate based on market conditions)",[1]Sheet1!$1:$1,[1]Sheet1!226:226)) - 1), _xlfn.XLOOKUP("Which Flavor? (Pint Price | Quart Price | Half Gallon Price) (NOTE: Prices may fluctuate based on market conditions)",[1]Sheet1!$1:$1,[1]Sheet1!226:226)))</f>
        <v>0</v>
      </c>
      <c r="D226" s="31">
        <f>IF(COUNTIF('Premade Flavors'!$A:$A, $C226) &gt; 0,IF(ISBLANK(_xlfn.XLOOKUP("What Ice Cream Base Do You Want To Change It To?",[1]Sheet1!$1:$1,[1]Sheet1!226:226)),_xlfn.XLOOKUP($C226,'Premade Flavors'!$A:$A,'Premade Flavors'!B:B),_xlfn.XLOOKUP("What Ice Cream Base Do You Want To Change It To?",[1]Sheet1!$1:$1,[1]Sheet1!226:226)),_xlfn.XLOOKUP(_xlfn.XLOOKUP("What Kind Of Ice Cream Base Do You Want? ",[1]Sheet1!$1:$1,[1]Sheet1!226:226),'Milk Types Nutrition Per Cup'!O:O,'Milk Types Nutrition Per Cup'!P:P,""))</f>
        <v>0</v>
      </c>
      <c r="E226" s="31">
        <f>IF(COUNTIF('Premade Flavors'!$A:$A, $C226) &gt; 0,IF(ISBLANK(_xlfn.XLOOKUP("What Ice Cream Base Do You Want To Change It To?",[1]Sheet1!$1:$1,[1]Sheet1!226:226)),_xlfn.XLOOKUP($C226,'Premade Flavors'!$A:$A,'Premade Flavors'!C:C),_xlfn.XLOOKUP("What Ice Cream Base Do You Want To Change It To?",[1]Sheet1!$1:$1,[1]Sheet1!226:226)),_xlfn.XLOOKUP(_xlfn.XLOOKUP("What Kind Of Ice Cream Base Do You Want? ",[1]Sheet1!$1:$1,[1]Sheet1!226:226),'Milk Types Nutrition Per Cup'!$O:$O,'Milk Types Nutrition Per Cup'!$Q:$Q,""))</f>
        <v>0</v>
      </c>
      <c r="F226" s="31">
        <f>IF(COUNTIF('Premade Flavors'!$A:$A, $C226) &gt; 0,_xlfn.XLOOKUP($C226,'Premade Flavors'!$A:$A,'Premade Flavors'!E:E),_xlfn.XLOOKUP("What's The First Flavor You Want? ",[1]Sheet1!$1:$1,[1]Sheet1!226:226))</f>
        <v>0</v>
      </c>
      <c r="G226" s="31">
        <f>IF(COUNTIF('Premade Flavors'!$A:$A, $C226) &gt; 0,_xlfn.XLOOKUP($C226,'Premade Flavors'!$A:$A,'Premade Flavors'!F:F),_xlfn.XLOOKUP("What's the Second Flavor You Want?",[1]Sheet1!$1:$1,[1]Sheet1!226:226))</f>
        <v>0</v>
      </c>
      <c r="H226" s="31">
        <f>IF(COUNTIF('Premade Flavors'!$A:$A, $C226) &gt; 0,_xlfn.XLOOKUP($C226,'Premade Flavors'!$A:$A,'Premade Flavors'!G:G),_xlfn.XLOOKUP("What's The First Mix In That You Want? ",[1]Sheet1!$1:$1,[1]Sheet1!226:226))</f>
        <v>0</v>
      </c>
      <c r="I226" s="31">
        <f>IF(COUNTIF('Premade Flavors'!$A:$A, $C224) &gt; 0,_xlfn.XLOOKUP($C224,'Premade Flavors'!$A:$A,'Premade Flavors'!H:H),IF([2]Sheet1!W224= 0,,[2]Sheet1!W224))</f>
        <v>0</v>
      </c>
      <c r="J226" s="31">
        <f>IF(COUNTIF('Premade Flavors'!$A:$A,$C226)&gt;0,IF(_xlfn.XLOOKUP("Should It Use Sugar or A Non-Sugar Sweetner?",[1]Sheet1!$1:$1,[1]Sheet1!226:226)="Sugar",_xlfn.XLOOKUP($C226,'Premade Flavors'!$A:$A,'Premade Flavors'!I:I),"Stevia"),_xlfn.XLOOKUP("What Sweetner Do You Want?",[1]Sheet1!$1:$1,[1]Sheet1!226:226))</f>
        <v>0</v>
      </c>
      <c r="K226" s="31"/>
      <c r="L226" s="77">
        <f>_xlfn.XLOOKUP("How Much Ice Cream Do You Want?",[1]Sheet1!$1:$1,[1]Sheet1!226:226)</f>
        <v>0</v>
      </c>
      <c r="M226" s="45">
        <f>IF(COUNTIF('Premade Flavors'!$A:$A, $C226) &gt; 0,_xlfn.XLOOKUP($C226,'Premade Flavors'!$A:$A,'Premade Flavors'!M:M),_xlfn.XLOOKUP("How Strong Do You Want The First Flavor?",[1]Sheet1!$1:$1,[1]Sheet1!226:226))</f>
        <v>0</v>
      </c>
      <c r="N226" s="45">
        <f>IF(COUNTIF('Premade Flavors'!$A:$A, $C226) &gt; 0,_xlfn.XLOOKUP($C226,'Premade Flavors'!$A:$A,'Premade Flavors'!N:N),_xlfn.XLOOKUP("How Strong Do You Want The Second Flavor?",[1]Sheet1!$1:$1,[1]Sheet1!226:226))</f>
        <v>0</v>
      </c>
      <c r="O226" s="45">
        <f>IF(COUNTIF('Premade Flavors'!$A:$A, $C226) &gt; 0,_xlfn.XLOOKUP($C226,'Premade Flavors'!$A:$A,'Premade Flavors'!O:O),_xlfn.XLOOKUP("How Dense Should the Mix Ins Be?",[1]Sheet1!$1:$1,[1]Sheet1!226:226))</f>
        <v>0</v>
      </c>
      <c r="P226" s="45">
        <f>IF(COUNTIF('Premade Flavors'!$A:$A, $C226) &gt; 0,_xlfn.XLOOKUP($C226,'Premade Flavors'!$A:$A,'Premade Flavors'!P:P),_xlfn.XLOOKUP("How Much Of The First Sweetner? ",[1]Sheet1!$1:$1,[1]Sheet1!226:226))</f>
        <v>0</v>
      </c>
      <c r="Q226" s="45">
        <f>IF(COUNTIF('Premade Flavors'!$A:$A, $C226) &gt; 0,_xlfn.XLOOKUP($C226,'Premade Flavors'!$A:$A,'Premade Flavors'!Q:Q),[2]Sheet1!S226)</f>
        <v>0</v>
      </c>
      <c r="R226" s="30">
        <f>(_xlfn.XLOOKUP($L226,Specs!A:A,Specs!B:B,0)-(IF(_xlfn.XLOOKUP($F226,'Liquid Mix In Nutrition'!A:A,'Liquid Mix In Nutrition'!J:J,0)="Yes",0,$T226))-(IF(_xlfn.XLOOKUP($G226,'Liquid Mix In Nutrition'!A:A,'Liquid Mix In Nutrition'!J:J,0)="Yes",0,$U226))-(($V226/MAX(1,_xlfn.XLOOKUP($H226,'Solid Mix In Nutrition'!A:A,'Solid Mix In Nutrition'!I:I,1)))*240)-(($W226/MAX(1,_xlfn.XLOOKUP($I226,'Solid Mix In Nutrition'!A:A,'Solid Mix In Nutrition'!I:I,1)))*240))*0.66</f>
        <v>0</v>
      </c>
      <c r="S226" s="30">
        <f>(_xlfn.XLOOKUP($L226,Specs!A:A,Specs!B:B,0)-(IF(_xlfn.XLOOKUP($F226,'Liquid Mix In Nutrition'!A:A,'Liquid Mix In Nutrition'!J:J,0)="Yes",0,$T226))-(IF(_xlfn.XLOOKUP($G226,'Liquid Mix In Nutrition'!A:A,'Liquid Mix In Nutrition'!J:J,0)="Yes",0,$U226))-(($V226/MAX(1,_xlfn.XLOOKUP($H226,'Solid Mix In Nutrition'!A:A,'Solid Mix In Nutrition'!I:I,1)))*240)-(($W226/MAX(1,_xlfn.XLOOKUP($I226,'Solid Mix In Nutrition'!A:A,'Solid Mix In Nutrition'!I:I,1)))*240))*0.33</f>
        <v>0</v>
      </c>
      <c r="T226" s="30">
        <f>_xlfn.XLOOKUP($M226,Specs!$D:$D,Specs!$E:$E,0)*15*_xlfn.XLOOKUP($L226,Specs!$A:$A,Specs!$C:$C,0)</f>
        <v>0</v>
      </c>
      <c r="U226" s="30">
        <f>_xlfn.XLOOKUP($N226,Specs!$D:$D,Specs!$E:$E,0)*15*_xlfn.XLOOKUP($L226,Specs!$A:$A,Specs!$C:$C,0)</f>
        <v>0</v>
      </c>
      <c r="V226" s="30">
        <f>( ((_xlfn.XLOOKUP($O226,Specs!$H:$H,Specs!$I:$I,0)*_xlfn.XLOOKUP($L226,Specs!$A:$A,Specs!$B:$B,0))/240) *_xlfn.XLOOKUP($H226,'Solid Mix In Nutrition'!A:A,'Solid Mix In Nutrition'!I:I,0)) *IF(AND(NOT($I226=0), COUNTA($I226)),0.5,1)</f>
        <v>0</v>
      </c>
      <c r="W226" s="30">
        <f>( ((_xlfn.XLOOKUP($O226,Specs!$H:$H,Specs!$I:$I,0)*_xlfn.XLOOKUP($L226,Specs!$A:$A,Specs!$B:$B,0))/240) *_xlfn.XLOOKUP($I226,'Solid Mix In Nutrition'!A:A,'Solid Mix In Nutrition'!I:I,0)) *IF(AND(NOT($I226=0), COUNTA($I226)),0.5,0)</f>
        <v>0</v>
      </c>
      <c r="X226" s="30">
        <f>_xlfn.XLOOKUP($P226,Specs!F:F,Specs!G:G,0)*_xlfn.XLOOKUP($J226,'Sweetener Mix In Nutrition'!A:A,'Sweetener Mix In Nutrition'!I:I,0)*_xlfn.XLOOKUP($L226,Specs!A:A,Specs!C:C,0)</f>
        <v>0</v>
      </c>
      <c r="Y226" s="30">
        <f>_xlfn.XLOOKUP($Q226,Specs!F:F,Specs!G:G,0)*_xlfn.XLOOKUP($K226,'Sweetener Mix In Nutrition'!A:A,'Sweetener Mix In Nutrition'!I:I,0)*_xlfn.XLOOKUP($L226,Specs!A:A,Specs!C:C,0)</f>
        <v>0</v>
      </c>
      <c r="Z226" s="34">
        <f t="shared" si="6"/>
        <v>0</v>
      </c>
      <c r="AA226" s="35">
        <f t="shared" si="7"/>
        <v>0</v>
      </c>
      <c r="AB226" s="36">
        <f>(($R226 / 240) * _xlfn.XLOOKUP($D226,'Milk Types Nutrition Per Cup'!A:A,'Milk Types Nutrition Per Cup'!B:B,0)) +(($S226 / 240)  * _xlfn.XLOOKUP($E226,'Milk Types Nutrition Per Cup'!A:A,'Milk Types Nutrition Per Cup'!B:B,0)) +(($T226 / 15)  * _xlfn.XLOOKUP($F226,'Liquid Mix In Nutrition'!A:A,'Liquid Mix In Nutrition'!B:B,0))+(($U226 / 15)  * _xlfn.XLOOKUP($G226,'Liquid Mix In Nutrition'!A:A,'Liquid Mix In Nutrition'!B:B,0))+(($V226 /MAX(1, _xlfn.XLOOKUP($H226,'Solid Mix In Nutrition'!A:A,'Solid Mix In Nutrition'!I:I,1)))  * _xlfn.XLOOKUP($H226,'Solid Mix In Nutrition'!A:A,'Solid Mix In Nutrition'!B:B,0))+(($W226 / MAX(1, _xlfn.XLOOKUP($I226,'Solid Mix In Nutrition'!A:A,'Solid Mix In Nutrition'!I:I,1))))+(($X226 / 100)  * _xlfn.XLOOKUP($J226,'Sweetener Mix In Nutrition'!A:A,'Sweetener Mix In Nutrition'!B:B,0))+(($Y226 / 100)  * _xlfn.XLOOKUP($K226,'Sweetener Mix In Nutrition'!A:A,'Sweetener Mix In Nutrition'!B:B,0))</f>
        <v>0</v>
      </c>
      <c r="AC226" s="36">
        <f>(($R226 / 240) * _xlfn.XLOOKUP($D226,'Milk Types Nutrition Per Cup'!A:A,'Milk Types Nutrition Per Cup'!E:E,0)) +(($S226 / 240)  * _xlfn.XLOOKUP($E226,'Milk Types Nutrition Per Cup'!A:A,'Milk Types Nutrition Per Cup'!E:E,0)) +(($T226 / 15)  * _xlfn.XLOOKUP($F226,'Liquid Mix In Nutrition'!A:A,'Liquid Mix In Nutrition'!E:E,0)) +(($U226 / 15)  * _xlfn.XLOOKUP($G226,'Liquid Mix In Nutrition'!A:A,'Liquid Mix In Nutrition'!E:E,0))+(($V226 / MAX(1, _xlfn.XLOOKUP($H226,'Solid Mix In Nutrition'!A:A,'Solid Mix In Nutrition'!I:I,1)))  * _xlfn.XLOOKUP($H226,'Solid Mix In Nutrition'!A:A,'Solid Mix In Nutrition'!E:E,0))+(($W226 / MAX(1, _xlfn.XLOOKUP($I226,'Solid Mix In Nutrition'!A:A,'Solid Mix In Nutrition'!I:I,1)))  * _xlfn.XLOOKUP($I226,'Solid Mix In Nutrition'!A:A,'Solid Mix In Nutrition'!G:G,0))+(($X226 / 100)  * _xlfn.XLOOKUP($J226,'Sweetener Mix In Nutrition'!A:A,'Sweetener Mix In Nutrition'!E:E,0))+(($Y226 / 100)  * _xlfn.XLOOKUP($K226,'Sweetener Mix In Nutrition'!A:A,'Sweetener Mix In Nutrition'!E:E,0))</f>
        <v>0</v>
      </c>
      <c r="AD226" s="36">
        <f>(($R226 / 240) * _xlfn.XLOOKUP($D226,'Milk Types Nutrition Per Cup'!A:A,'Milk Types Nutrition Per Cup'!E:E,0)) +(($S226 / 240)  * _xlfn.XLOOKUP($E226,'Milk Types Nutrition Per Cup'!A:A,'Milk Types Nutrition Per Cup'!E:E,0)) +(($T226 / 15)  * _xlfn.XLOOKUP($F226,'Liquid Mix In Nutrition'!A:A,'Liquid Mix In Nutrition'!E:E,0)) +(($U226 / 15)  * _xlfn.XLOOKUP($G226,'Liquid Mix In Nutrition'!A:A,'Liquid Mix In Nutrition'!E:E,0))+(($X226 / 100)  * _xlfn.XLOOKUP($J226,'Sweetener Mix In Nutrition'!A:A,'Sweetener Mix In Nutrition'!E:E,0))+(($Y226 / 100)  * _xlfn.XLOOKUP($K226,'Sweetener Mix In Nutrition'!A:A,'Sweetener Mix In Nutrition'!E:E,0))</f>
        <v>0</v>
      </c>
      <c r="AE226" s="37">
        <f>(($R226 / 240) * _xlfn.XLOOKUP($D226,'Milk Types Nutrition Per Cup'!A:A,'Milk Types Nutrition Per Cup'!C:C,0)) +(($S226 / 240)  * _xlfn.XLOOKUP($E226,'Milk Types Nutrition Per Cup'!A:A,'Milk Types Nutrition Per Cup'!C:C,0)) +(($T226 / 15)  * _xlfn.XLOOKUP($F226,'Liquid Mix In Nutrition'!A:A,'Liquid Mix In Nutrition'!C:C,0))+(($U226 / 15)  * _xlfn.XLOOKUP($G226,'Liquid Mix In Nutrition'!A:A,'Liquid Mix In Nutrition'!C:C,0))+(($V226 / MAX(1, _xlfn.XLOOKUP($H226,'Solid Mix In Nutrition'!A:A,'Solid Mix In Nutrition'!I:I,1)))  * _xlfn.XLOOKUP($H226,'Solid Mix In Nutrition'!A:A,'Solid Mix In Nutrition'!C:C,0))+(($W226 / MAX(1, _xlfn.XLOOKUP($I226,'Solid Mix In Nutrition'!A:A,'Solid Mix In Nutrition'!I:I,1)))  * _xlfn.XLOOKUP($I226,'Solid Mix In Nutrition'!A:A,'Solid Mix In Nutrition'!C:C,0))+(($X226 / 100)  * _xlfn.XLOOKUP($J226,'Sweetener Mix In Nutrition'!A:A,'Sweetener Mix In Nutrition'!C:C,0))+(($Y226 / 100)  * _xlfn.XLOOKUP($K226,'Sweetener Mix In Nutrition'!A:A,'Sweetener Mix In Nutrition'!C:C,0))</f>
        <v>0</v>
      </c>
      <c r="AF226" s="38" t="e">
        <f>$AE226 / (_xlfn.XLOOKUP($L226,Specs!A:A,Specs!B:B,0))</f>
        <v>#DIV/0!</v>
      </c>
      <c r="AG226" s="37" t="e">
        <f>60* ($AB226 / _xlfn.XLOOKUP($L226,Specs!A:A,Specs!B:B,0))</f>
        <v>#DIV/0!</v>
      </c>
      <c r="AH226" s="37" t="e">
        <f>60* (AC226 / _xlfn.XLOOKUP($L226,Specs!$A:$A,Specs!$B:$B,0))</f>
        <v>#DIV/0!</v>
      </c>
      <c r="AI226" s="37" t="e">
        <f>60* (AE226 / _xlfn.XLOOKUP($L226,Specs!$A:$A,Specs!$B:$B,0))</f>
        <v>#DIV/0!</v>
      </c>
      <c r="AJ226" s="39">
        <f>(($R226 / 240) * _xlfn.XLOOKUP($D226,'Milk Types Nutrition Per Cup'!A:A,'Milk Types Nutrition Per Cup'!F:F,0)) +(($S226 / 240)  * _xlfn.XLOOKUP($E226,'Milk Types Nutrition Per Cup'!A:A,'Milk Types Nutrition Per Cup'!F:F,0)) +(($T226 / 15)  * _xlfn.XLOOKUP($F226,'Liquid Mix In Nutrition'!A:A,'Liquid Mix In Nutrition'!F:F,0))+(($U226 / 15)  * _xlfn.XLOOKUP($G226,'Liquid Mix In Nutrition'!A:A,'Liquid Mix In Nutrition'!F:F,0))+(($V226 / MAX(1, _xlfn.XLOOKUP($H226,'Solid Mix In Nutrition'!A:A,'Solid Mix In Nutrition'!I:I,1)))  * _xlfn.XLOOKUP($H226,'Solid Mix In Nutrition'!A:A,'Solid Mix In Nutrition'!F:F,0))+(($W226 / MAX(1, _xlfn.XLOOKUP($I226,'Solid Mix In Nutrition'!A:A,'Solid Mix In Nutrition'!I:I,1)))  * _xlfn.XLOOKUP($I226,'Solid Mix In Nutrition'!A:A,'Solid Mix In Nutrition'!F:F,0))+(($X226 / 100)  * _xlfn.XLOOKUP($J226,'Sweetener Mix In Nutrition'!A:A,'Sweetener Mix In Nutrition'!F:F,0))+(($Y226 / 100)  * _xlfn.XLOOKUP($K226,'Sweetener Mix In Nutrition'!A:A,'Sweetener Mix In Nutrition'!F:F,0))</f>
        <v>0</v>
      </c>
      <c r="AK226" s="46">
        <f>[2]Sheet1!AG226</f>
        <v>0</v>
      </c>
      <c r="AL226" s="47"/>
      <c r="AM226" s="40">
        <f>IF(ISERROR(((AL226/Specs!$L$3)*Specs!$L$2)*2),0,ROUNDUP((((AL226/Specs!$L$3)*Specs!$L$2)*2),0))</f>
        <v>0</v>
      </c>
      <c r="AN226" s="48">
        <f>ROUNDUP(((AJ226+Specs!$R$2+Specs!$S$2+_xlfn.XLOOKUP($L226,Specs!A:A,Specs!V:V,0))*Specs!$N$2)+AM226,0)</f>
        <v>1</v>
      </c>
      <c r="AO226" s="40">
        <f>ROUNDUP(((AJ226+Specs!$R$2+Specs!$S$2+_xlfn.XLOOKUP($L226,Specs!A:A,Specs!V:V,0))*Specs!$N$2),0)</f>
        <v>1</v>
      </c>
      <c r="AP226" s="30"/>
    </row>
    <row r="227" spans="1:42" x14ac:dyDescent="0.25">
      <c r="A227" s="41" t="str">
        <f>_xlfn.CONCAT(_xlfn.XLOOKUP("What's Your Name?",[1]Sheet1!$1:$1,[1]Sheet1!227:227)," | ",TEXT(_xlfn.XLOOKUP("Completion time",[1]Sheet1!$1:$1,[1]Sheet1!227:227),"dddd, mmm dd, yyyy hh:mm AM/PM"))</f>
        <v xml:space="preserve"> | Saturday, Jan 00, 1900 12:00 AM</v>
      </c>
      <c r="B227" s="76">
        <f>_xlfn.XLOOKUP("What's Your Email Address?",[1]Sheet1!$1:$1,[1]Sheet1!227:227)</f>
        <v>0</v>
      </c>
      <c r="C227" s="31">
        <f>IF(ISBLANK(_xlfn.XLOOKUP("Which Flavor? (Pint Price | Quart Price | Half Gallon Price) (NOTE: Prices may fluctuate based on market conditions)",[1]Sheet1!$1:$1,[1]Sheet1!227:227)),_xlfn.XLOOKUP("Name Your Ice Cream!",[1]Sheet1!$1:$1,[1]Sheet1!227:227),IF(ISNUMBER(FIND("(", _xlfn.XLOOKUP("Which Flavor? (Pint Price | Quart Price | Half Gallon Price) (NOTE: Prices may fluctuate based on market conditions)",[1]Sheet1!$1:$1,[1]Sheet1!227:227))), LEFT(_xlfn.XLOOKUP("Which Flavor? (Pint Price | Quart Price | Half Gallon Price) (NOTE: Prices may fluctuate based on market conditions)",[1]Sheet1!$1:$1,[1]Sheet1!227:227), FIND("(", _xlfn.XLOOKUP("Which Flavor? (Pint Price | Quart Price | Half Gallon Price) (NOTE: Prices may fluctuate based on market conditions)",[1]Sheet1!$1:$1,[1]Sheet1!227:227)) - 1), _xlfn.XLOOKUP("Which Flavor? (Pint Price | Quart Price | Half Gallon Price) (NOTE: Prices may fluctuate based on market conditions)",[1]Sheet1!$1:$1,[1]Sheet1!227:227)))</f>
        <v>0</v>
      </c>
      <c r="D227" s="31">
        <f>IF(COUNTIF('Premade Flavors'!$A:$A, $C227) &gt; 0,IF(ISBLANK(_xlfn.XLOOKUP("What Ice Cream Base Do You Want To Change It To?",[1]Sheet1!$1:$1,[1]Sheet1!227:227)),_xlfn.XLOOKUP($C227,'Premade Flavors'!$A:$A,'Premade Flavors'!B:B),_xlfn.XLOOKUP("What Ice Cream Base Do You Want To Change It To?",[1]Sheet1!$1:$1,[1]Sheet1!227:227)),_xlfn.XLOOKUP(_xlfn.XLOOKUP("What Kind Of Ice Cream Base Do You Want? ",[1]Sheet1!$1:$1,[1]Sheet1!227:227),'Milk Types Nutrition Per Cup'!O:O,'Milk Types Nutrition Per Cup'!P:P,""))</f>
        <v>0</v>
      </c>
      <c r="E227" s="31">
        <f>IF(COUNTIF('Premade Flavors'!$A:$A, $C227) &gt; 0,IF(ISBLANK(_xlfn.XLOOKUP("What Ice Cream Base Do You Want To Change It To?",[1]Sheet1!$1:$1,[1]Sheet1!227:227)),_xlfn.XLOOKUP($C227,'Premade Flavors'!$A:$A,'Premade Flavors'!C:C),_xlfn.XLOOKUP("What Ice Cream Base Do You Want To Change It To?",[1]Sheet1!$1:$1,[1]Sheet1!227:227)),_xlfn.XLOOKUP(_xlfn.XLOOKUP("What Kind Of Ice Cream Base Do You Want? ",[1]Sheet1!$1:$1,[1]Sheet1!227:227),'Milk Types Nutrition Per Cup'!$O:$O,'Milk Types Nutrition Per Cup'!$Q:$Q,""))</f>
        <v>0</v>
      </c>
      <c r="F227" s="31">
        <f>IF(COUNTIF('Premade Flavors'!$A:$A, $C227) &gt; 0,_xlfn.XLOOKUP($C227,'Premade Flavors'!$A:$A,'Premade Flavors'!E:E),_xlfn.XLOOKUP("What's The First Flavor You Want? ",[1]Sheet1!$1:$1,[1]Sheet1!227:227))</f>
        <v>0</v>
      </c>
      <c r="G227" s="31">
        <f>IF(COUNTIF('Premade Flavors'!$A:$A, $C227) &gt; 0,_xlfn.XLOOKUP($C227,'Premade Flavors'!$A:$A,'Premade Flavors'!F:F),_xlfn.XLOOKUP("What's the Second Flavor You Want?",[1]Sheet1!$1:$1,[1]Sheet1!227:227))</f>
        <v>0</v>
      </c>
      <c r="H227" s="31">
        <f>IF(COUNTIF('Premade Flavors'!$A:$A, $C227) &gt; 0,_xlfn.XLOOKUP($C227,'Premade Flavors'!$A:$A,'Premade Flavors'!G:G),_xlfn.XLOOKUP("What's The First Mix In That You Want? ",[1]Sheet1!$1:$1,[1]Sheet1!227:227))</f>
        <v>0</v>
      </c>
      <c r="I227" s="31">
        <f>IF(COUNTIF('Premade Flavors'!$A:$A, $C225) &gt; 0,_xlfn.XLOOKUP($C225,'Premade Flavors'!$A:$A,'Premade Flavors'!H:H),IF([2]Sheet1!W225= 0,,[2]Sheet1!W225))</f>
        <v>0</v>
      </c>
      <c r="J227" s="31">
        <f>IF(COUNTIF('Premade Flavors'!$A:$A,$C227)&gt;0,IF(_xlfn.XLOOKUP("Should It Use Sugar or A Non-Sugar Sweetner?",[1]Sheet1!$1:$1,[1]Sheet1!227:227)="Sugar",_xlfn.XLOOKUP($C227,'Premade Flavors'!$A:$A,'Premade Flavors'!I:I),"Stevia"),_xlfn.XLOOKUP("What Sweetner Do You Want?",[1]Sheet1!$1:$1,[1]Sheet1!227:227))</f>
        <v>0</v>
      </c>
      <c r="K227" s="31"/>
      <c r="L227" s="77">
        <f>_xlfn.XLOOKUP("How Much Ice Cream Do You Want?",[1]Sheet1!$1:$1,[1]Sheet1!227:227)</f>
        <v>0</v>
      </c>
      <c r="M227" s="45">
        <f>IF(COUNTIF('Premade Flavors'!$A:$A, $C227) &gt; 0,_xlfn.XLOOKUP($C227,'Premade Flavors'!$A:$A,'Premade Flavors'!M:M),_xlfn.XLOOKUP("How Strong Do You Want The First Flavor?",[1]Sheet1!$1:$1,[1]Sheet1!227:227))</f>
        <v>0</v>
      </c>
      <c r="N227" s="45">
        <f>IF(COUNTIF('Premade Flavors'!$A:$A, $C227) &gt; 0,_xlfn.XLOOKUP($C227,'Premade Flavors'!$A:$A,'Premade Flavors'!N:N),_xlfn.XLOOKUP("How Strong Do You Want The Second Flavor?",[1]Sheet1!$1:$1,[1]Sheet1!227:227))</f>
        <v>0</v>
      </c>
      <c r="O227" s="45">
        <f>IF(COUNTIF('Premade Flavors'!$A:$A, $C227) &gt; 0,_xlfn.XLOOKUP($C227,'Premade Flavors'!$A:$A,'Premade Flavors'!O:O),_xlfn.XLOOKUP("How Dense Should the Mix Ins Be?",[1]Sheet1!$1:$1,[1]Sheet1!227:227))</f>
        <v>0</v>
      </c>
      <c r="P227" s="45">
        <f>IF(COUNTIF('Premade Flavors'!$A:$A, $C227) &gt; 0,_xlfn.XLOOKUP($C227,'Premade Flavors'!$A:$A,'Premade Flavors'!P:P),_xlfn.XLOOKUP("How Much Of The First Sweetner? ",[1]Sheet1!$1:$1,[1]Sheet1!227:227))</f>
        <v>0</v>
      </c>
      <c r="Q227" s="45">
        <f>IF(COUNTIF('Premade Flavors'!$A:$A, $C227) &gt; 0,_xlfn.XLOOKUP($C227,'Premade Flavors'!$A:$A,'Premade Flavors'!Q:Q),[2]Sheet1!S227)</f>
        <v>0</v>
      </c>
      <c r="R227" s="30">
        <f>(_xlfn.XLOOKUP($L227,Specs!A:A,Specs!B:B,0)-(IF(_xlfn.XLOOKUP($F227,'Liquid Mix In Nutrition'!A:A,'Liquid Mix In Nutrition'!J:J,0)="Yes",0,$T227))-(IF(_xlfn.XLOOKUP($G227,'Liquid Mix In Nutrition'!A:A,'Liquid Mix In Nutrition'!J:J,0)="Yes",0,$U227))-(($V227/MAX(1,_xlfn.XLOOKUP($H227,'Solid Mix In Nutrition'!A:A,'Solid Mix In Nutrition'!I:I,1)))*240)-(($W227/MAX(1,_xlfn.XLOOKUP($I227,'Solid Mix In Nutrition'!A:A,'Solid Mix In Nutrition'!I:I,1)))*240))*0.66</f>
        <v>0</v>
      </c>
      <c r="S227" s="30">
        <f>(_xlfn.XLOOKUP($L227,Specs!A:A,Specs!B:B,0)-(IF(_xlfn.XLOOKUP($F227,'Liquid Mix In Nutrition'!A:A,'Liquid Mix In Nutrition'!J:J,0)="Yes",0,$T227))-(IF(_xlfn.XLOOKUP($G227,'Liquid Mix In Nutrition'!A:A,'Liquid Mix In Nutrition'!J:J,0)="Yes",0,$U227))-(($V227/MAX(1,_xlfn.XLOOKUP($H227,'Solid Mix In Nutrition'!A:A,'Solid Mix In Nutrition'!I:I,1)))*240)-(($W227/MAX(1,_xlfn.XLOOKUP($I227,'Solid Mix In Nutrition'!A:A,'Solid Mix In Nutrition'!I:I,1)))*240))*0.33</f>
        <v>0</v>
      </c>
      <c r="T227" s="30">
        <f>_xlfn.XLOOKUP($M227,Specs!$D:$D,Specs!$E:$E,0)*15*_xlfn.XLOOKUP($L227,Specs!$A:$A,Specs!$C:$C,0)</f>
        <v>0</v>
      </c>
      <c r="U227" s="30">
        <f>_xlfn.XLOOKUP($N227,Specs!$D:$D,Specs!$E:$E,0)*15*_xlfn.XLOOKUP($L227,Specs!$A:$A,Specs!$C:$C,0)</f>
        <v>0</v>
      </c>
      <c r="V227" s="30">
        <f>( ((_xlfn.XLOOKUP($O227,Specs!$H:$H,Specs!$I:$I,0)*_xlfn.XLOOKUP($L227,Specs!$A:$A,Specs!$B:$B,0))/240) *_xlfn.XLOOKUP($H227,'Solid Mix In Nutrition'!A:A,'Solid Mix In Nutrition'!I:I,0)) *IF(AND(NOT($I227=0), COUNTA($I227)),0.5,1)</f>
        <v>0</v>
      </c>
      <c r="W227" s="30">
        <f>( ((_xlfn.XLOOKUP($O227,Specs!$H:$H,Specs!$I:$I,0)*_xlfn.XLOOKUP($L227,Specs!$A:$A,Specs!$B:$B,0))/240) *_xlfn.XLOOKUP($I227,'Solid Mix In Nutrition'!A:A,'Solid Mix In Nutrition'!I:I,0)) *IF(AND(NOT($I227=0), COUNTA($I227)),0.5,0)</f>
        <v>0</v>
      </c>
      <c r="X227" s="30">
        <f>_xlfn.XLOOKUP($P227,Specs!F:F,Specs!G:G,0)*_xlfn.XLOOKUP($J227,'Sweetener Mix In Nutrition'!A:A,'Sweetener Mix In Nutrition'!I:I,0)*_xlfn.XLOOKUP($L227,Specs!A:A,Specs!C:C,0)</f>
        <v>0</v>
      </c>
      <c r="Y227" s="30">
        <f>_xlfn.XLOOKUP($Q227,Specs!F:F,Specs!G:G,0)*_xlfn.XLOOKUP($K227,'Sweetener Mix In Nutrition'!A:A,'Sweetener Mix In Nutrition'!I:I,0)*_xlfn.XLOOKUP($L227,Specs!A:A,Specs!C:C,0)</f>
        <v>0</v>
      </c>
      <c r="Z227" s="34">
        <f t="shared" si="6"/>
        <v>0</v>
      </c>
      <c r="AA227" s="35">
        <f t="shared" si="7"/>
        <v>0</v>
      </c>
      <c r="AB227" s="36">
        <f>(($R227 / 240) * _xlfn.XLOOKUP($D227,'Milk Types Nutrition Per Cup'!A:A,'Milk Types Nutrition Per Cup'!B:B,0)) +(($S227 / 240)  * _xlfn.XLOOKUP($E227,'Milk Types Nutrition Per Cup'!A:A,'Milk Types Nutrition Per Cup'!B:B,0)) +(($T227 / 15)  * _xlfn.XLOOKUP($F227,'Liquid Mix In Nutrition'!A:A,'Liquid Mix In Nutrition'!B:B,0))+(($U227 / 15)  * _xlfn.XLOOKUP($G227,'Liquid Mix In Nutrition'!A:A,'Liquid Mix In Nutrition'!B:B,0))+(($V227 /MAX(1, _xlfn.XLOOKUP($H227,'Solid Mix In Nutrition'!A:A,'Solid Mix In Nutrition'!I:I,1)))  * _xlfn.XLOOKUP($H227,'Solid Mix In Nutrition'!A:A,'Solid Mix In Nutrition'!B:B,0))+(($W227 / MAX(1, _xlfn.XLOOKUP($I227,'Solid Mix In Nutrition'!A:A,'Solid Mix In Nutrition'!I:I,1))))+(($X227 / 100)  * _xlfn.XLOOKUP($J227,'Sweetener Mix In Nutrition'!A:A,'Sweetener Mix In Nutrition'!B:B,0))+(($Y227 / 100)  * _xlfn.XLOOKUP($K227,'Sweetener Mix In Nutrition'!A:A,'Sweetener Mix In Nutrition'!B:B,0))</f>
        <v>0</v>
      </c>
      <c r="AC227" s="36">
        <f>(($R227 / 240) * _xlfn.XLOOKUP($D227,'Milk Types Nutrition Per Cup'!A:A,'Milk Types Nutrition Per Cup'!E:E,0)) +(($S227 / 240)  * _xlfn.XLOOKUP($E227,'Milk Types Nutrition Per Cup'!A:A,'Milk Types Nutrition Per Cup'!E:E,0)) +(($T227 / 15)  * _xlfn.XLOOKUP($F227,'Liquid Mix In Nutrition'!A:A,'Liquid Mix In Nutrition'!E:E,0)) +(($U227 / 15)  * _xlfn.XLOOKUP($G227,'Liquid Mix In Nutrition'!A:A,'Liquid Mix In Nutrition'!E:E,0))+(($V227 / MAX(1, _xlfn.XLOOKUP($H227,'Solid Mix In Nutrition'!A:A,'Solid Mix In Nutrition'!I:I,1)))  * _xlfn.XLOOKUP($H227,'Solid Mix In Nutrition'!A:A,'Solid Mix In Nutrition'!E:E,0))+(($W227 / MAX(1, _xlfn.XLOOKUP($I227,'Solid Mix In Nutrition'!A:A,'Solid Mix In Nutrition'!I:I,1)))  * _xlfn.XLOOKUP($I227,'Solid Mix In Nutrition'!A:A,'Solid Mix In Nutrition'!G:G,0))+(($X227 / 100)  * _xlfn.XLOOKUP($J227,'Sweetener Mix In Nutrition'!A:A,'Sweetener Mix In Nutrition'!E:E,0))+(($Y227 / 100)  * _xlfn.XLOOKUP($K227,'Sweetener Mix In Nutrition'!A:A,'Sweetener Mix In Nutrition'!E:E,0))</f>
        <v>0</v>
      </c>
      <c r="AD227" s="36">
        <f>(($R227 / 240) * _xlfn.XLOOKUP($D227,'Milk Types Nutrition Per Cup'!A:A,'Milk Types Nutrition Per Cup'!E:E,0)) +(($S227 / 240)  * _xlfn.XLOOKUP($E227,'Milk Types Nutrition Per Cup'!A:A,'Milk Types Nutrition Per Cup'!E:E,0)) +(($T227 / 15)  * _xlfn.XLOOKUP($F227,'Liquid Mix In Nutrition'!A:A,'Liquid Mix In Nutrition'!E:E,0)) +(($U227 / 15)  * _xlfn.XLOOKUP($G227,'Liquid Mix In Nutrition'!A:A,'Liquid Mix In Nutrition'!E:E,0))+(($X227 / 100)  * _xlfn.XLOOKUP($J227,'Sweetener Mix In Nutrition'!A:A,'Sweetener Mix In Nutrition'!E:E,0))+(($Y227 / 100)  * _xlfn.XLOOKUP($K227,'Sweetener Mix In Nutrition'!A:A,'Sweetener Mix In Nutrition'!E:E,0))</f>
        <v>0</v>
      </c>
      <c r="AE227" s="37">
        <f>(($R227 / 240) * _xlfn.XLOOKUP($D227,'Milk Types Nutrition Per Cup'!A:A,'Milk Types Nutrition Per Cup'!C:C,0)) +(($S227 / 240)  * _xlfn.XLOOKUP($E227,'Milk Types Nutrition Per Cup'!A:A,'Milk Types Nutrition Per Cup'!C:C,0)) +(($T227 / 15)  * _xlfn.XLOOKUP($F227,'Liquid Mix In Nutrition'!A:A,'Liquid Mix In Nutrition'!C:C,0))+(($U227 / 15)  * _xlfn.XLOOKUP($G227,'Liquid Mix In Nutrition'!A:A,'Liquid Mix In Nutrition'!C:C,0))+(($V227 / MAX(1, _xlfn.XLOOKUP($H227,'Solid Mix In Nutrition'!A:A,'Solid Mix In Nutrition'!I:I,1)))  * _xlfn.XLOOKUP($H227,'Solid Mix In Nutrition'!A:A,'Solid Mix In Nutrition'!C:C,0))+(($W227 / MAX(1, _xlfn.XLOOKUP($I227,'Solid Mix In Nutrition'!A:A,'Solid Mix In Nutrition'!I:I,1)))  * _xlfn.XLOOKUP($I227,'Solid Mix In Nutrition'!A:A,'Solid Mix In Nutrition'!C:C,0))+(($X227 / 100)  * _xlfn.XLOOKUP($J227,'Sweetener Mix In Nutrition'!A:A,'Sweetener Mix In Nutrition'!C:C,0))+(($Y227 / 100)  * _xlfn.XLOOKUP($K227,'Sweetener Mix In Nutrition'!A:A,'Sweetener Mix In Nutrition'!C:C,0))</f>
        <v>0</v>
      </c>
      <c r="AF227" s="38" t="e">
        <f>$AE227 / (_xlfn.XLOOKUP($L227,Specs!A:A,Specs!B:B,0))</f>
        <v>#DIV/0!</v>
      </c>
      <c r="AG227" s="37" t="e">
        <f>60* ($AB227 / _xlfn.XLOOKUP($L227,Specs!A:A,Specs!B:B,0))</f>
        <v>#DIV/0!</v>
      </c>
      <c r="AH227" s="37" t="e">
        <f>60* (AC227 / _xlfn.XLOOKUP($L227,Specs!$A:$A,Specs!$B:$B,0))</f>
        <v>#DIV/0!</v>
      </c>
      <c r="AI227" s="37" t="e">
        <f>60* (AE227 / _xlfn.XLOOKUP($L227,Specs!$A:$A,Specs!$B:$B,0))</f>
        <v>#DIV/0!</v>
      </c>
      <c r="AJ227" s="39">
        <f>(($R227 / 240) * _xlfn.XLOOKUP($D227,'Milk Types Nutrition Per Cup'!A:A,'Milk Types Nutrition Per Cup'!F:F,0)) +(($S227 / 240)  * _xlfn.XLOOKUP($E227,'Milk Types Nutrition Per Cup'!A:A,'Milk Types Nutrition Per Cup'!F:F,0)) +(($T227 / 15)  * _xlfn.XLOOKUP($F227,'Liquid Mix In Nutrition'!A:A,'Liquid Mix In Nutrition'!F:F,0))+(($U227 / 15)  * _xlfn.XLOOKUP($G227,'Liquid Mix In Nutrition'!A:A,'Liquid Mix In Nutrition'!F:F,0))+(($V227 / MAX(1, _xlfn.XLOOKUP($H227,'Solid Mix In Nutrition'!A:A,'Solid Mix In Nutrition'!I:I,1)))  * _xlfn.XLOOKUP($H227,'Solid Mix In Nutrition'!A:A,'Solid Mix In Nutrition'!F:F,0))+(($W227 / MAX(1, _xlfn.XLOOKUP($I227,'Solid Mix In Nutrition'!A:A,'Solid Mix In Nutrition'!I:I,1)))  * _xlfn.XLOOKUP($I227,'Solid Mix In Nutrition'!A:A,'Solid Mix In Nutrition'!F:F,0))+(($X227 / 100)  * _xlfn.XLOOKUP($J227,'Sweetener Mix In Nutrition'!A:A,'Sweetener Mix In Nutrition'!F:F,0))+(($Y227 / 100)  * _xlfn.XLOOKUP($K227,'Sweetener Mix In Nutrition'!A:A,'Sweetener Mix In Nutrition'!F:F,0))</f>
        <v>0</v>
      </c>
      <c r="AK227" s="46">
        <f>[2]Sheet1!AG227</f>
        <v>0</v>
      </c>
      <c r="AL227" s="47"/>
      <c r="AM227" s="40">
        <f>IF(ISERROR(((AL227/Specs!$L$3)*Specs!$L$2)*2),0,ROUNDUP((((AL227/Specs!$L$3)*Specs!$L$2)*2),0))</f>
        <v>0</v>
      </c>
      <c r="AN227" s="48">
        <f>ROUNDUP(((AJ227+Specs!$R$2+Specs!$S$2+_xlfn.XLOOKUP($L227,Specs!A:A,Specs!V:V,0))*Specs!$N$2)+AM227,0)</f>
        <v>1</v>
      </c>
      <c r="AO227" s="40">
        <f>ROUNDUP(((AJ227+Specs!$R$2+Specs!$S$2+_xlfn.XLOOKUP($L227,Specs!A:A,Specs!V:V,0))*Specs!$N$2),0)</f>
        <v>1</v>
      </c>
      <c r="AP227" s="30"/>
    </row>
    <row r="228" spans="1:42" x14ac:dyDescent="0.25">
      <c r="A228" s="41" t="str">
        <f>_xlfn.CONCAT(_xlfn.XLOOKUP("What's Your Name?",[1]Sheet1!$1:$1,[1]Sheet1!228:228)," | ",TEXT(_xlfn.XLOOKUP("Completion time",[1]Sheet1!$1:$1,[1]Sheet1!228:228),"dddd, mmm dd, yyyy hh:mm AM/PM"))</f>
        <v xml:space="preserve"> | Saturday, Jan 00, 1900 12:00 AM</v>
      </c>
      <c r="B228" s="76">
        <f>_xlfn.XLOOKUP("What's Your Email Address?",[1]Sheet1!$1:$1,[1]Sheet1!228:228)</f>
        <v>0</v>
      </c>
      <c r="C228" s="31">
        <f>IF(ISBLANK(_xlfn.XLOOKUP("Which Flavor? (Pint Price | Quart Price | Half Gallon Price) (NOTE: Prices may fluctuate based on market conditions)",[1]Sheet1!$1:$1,[1]Sheet1!228:228)),_xlfn.XLOOKUP("Name Your Ice Cream!",[1]Sheet1!$1:$1,[1]Sheet1!228:228),IF(ISNUMBER(FIND("(", _xlfn.XLOOKUP("Which Flavor? (Pint Price | Quart Price | Half Gallon Price) (NOTE: Prices may fluctuate based on market conditions)",[1]Sheet1!$1:$1,[1]Sheet1!228:228))), LEFT(_xlfn.XLOOKUP("Which Flavor? (Pint Price | Quart Price | Half Gallon Price) (NOTE: Prices may fluctuate based on market conditions)",[1]Sheet1!$1:$1,[1]Sheet1!228:228), FIND("(", _xlfn.XLOOKUP("Which Flavor? (Pint Price | Quart Price | Half Gallon Price) (NOTE: Prices may fluctuate based on market conditions)",[1]Sheet1!$1:$1,[1]Sheet1!228:228)) - 1), _xlfn.XLOOKUP("Which Flavor? (Pint Price | Quart Price | Half Gallon Price) (NOTE: Prices may fluctuate based on market conditions)",[1]Sheet1!$1:$1,[1]Sheet1!228:228)))</f>
        <v>0</v>
      </c>
      <c r="D228" s="31">
        <f>IF(COUNTIF('Premade Flavors'!$A:$A, $C228) &gt; 0,IF(ISBLANK(_xlfn.XLOOKUP("What Ice Cream Base Do You Want To Change It To?",[1]Sheet1!$1:$1,[1]Sheet1!228:228)),_xlfn.XLOOKUP($C228,'Premade Flavors'!$A:$A,'Premade Flavors'!B:B),_xlfn.XLOOKUP("What Ice Cream Base Do You Want To Change It To?",[1]Sheet1!$1:$1,[1]Sheet1!228:228)),_xlfn.XLOOKUP(_xlfn.XLOOKUP("What Kind Of Ice Cream Base Do You Want? ",[1]Sheet1!$1:$1,[1]Sheet1!228:228),'Milk Types Nutrition Per Cup'!O:O,'Milk Types Nutrition Per Cup'!P:P,""))</f>
        <v>0</v>
      </c>
      <c r="E228" s="31">
        <f>IF(COUNTIF('Premade Flavors'!$A:$A, $C228) &gt; 0,IF(ISBLANK(_xlfn.XLOOKUP("What Ice Cream Base Do You Want To Change It To?",[1]Sheet1!$1:$1,[1]Sheet1!228:228)),_xlfn.XLOOKUP($C228,'Premade Flavors'!$A:$A,'Premade Flavors'!C:C),_xlfn.XLOOKUP("What Ice Cream Base Do You Want To Change It To?",[1]Sheet1!$1:$1,[1]Sheet1!228:228)),_xlfn.XLOOKUP(_xlfn.XLOOKUP("What Kind Of Ice Cream Base Do You Want? ",[1]Sheet1!$1:$1,[1]Sheet1!228:228),'Milk Types Nutrition Per Cup'!$O:$O,'Milk Types Nutrition Per Cup'!$Q:$Q,""))</f>
        <v>0</v>
      </c>
      <c r="F228" s="31">
        <f>IF(COUNTIF('Premade Flavors'!$A:$A, $C228) &gt; 0,_xlfn.XLOOKUP($C228,'Premade Flavors'!$A:$A,'Premade Flavors'!E:E),_xlfn.XLOOKUP("What's The First Flavor You Want? ",[1]Sheet1!$1:$1,[1]Sheet1!228:228))</f>
        <v>0</v>
      </c>
      <c r="G228" s="31">
        <f>IF(COUNTIF('Premade Flavors'!$A:$A, $C228) &gt; 0,_xlfn.XLOOKUP($C228,'Premade Flavors'!$A:$A,'Premade Flavors'!F:F),_xlfn.XLOOKUP("What's the Second Flavor You Want?",[1]Sheet1!$1:$1,[1]Sheet1!228:228))</f>
        <v>0</v>
      </c>
      <c r="H228" s="31">
        <f>IF(COUNTIF('Premade Flavors'!$A:$A, $C228) &gt; 0,_xlfn.XLOOKUP($C228,'Premade Flavors'!$A:$A,'Premade Flavors'!G:G),_xlfn.XLOOKUP("What's The First Mix In That You Want? ",[1]Sheet1!$1:$1,[1]Sheet1!228:228))</f>
        <v>0</v>
      </c>
      <c r="I228" s="31">
        <f>IF(COUNTIF('Premade Flavors'!$A:$A, $C226) &gt; 0,_xlfn.XLOOKUP($C226,'Premade Flavors'!$A:$A,'Premade Flavors'!H:H),IF([2]Sheet1!W226= 0,,[2]Sheet1!W226))</f>
        <v>0</v>
      </c>
      <c r="J228" s="31">
        <f>IF(COUNTIF('Premade Flavors'!$A:$A,$C228)&gt;0,IF(_xlfn.XLOOKUP("Should It Use Sugar or A Non-Sugar Sweetner?",[1]Sheet1!$1:$1,[1]Sheet1!228:228)="Sugar",_xlfn.XLOOKUP($C228,'Premade Flavors'!$A:$A,'Premade Flavors'!I:I),"Stevia"),_xlfn.XLOOKUP("What Sweetner Do You Want?",[1]Sheet1!$1:$1,[1]Sheet1!228:228))</f>
        <v>0</v>
      </c>
      <c r="K228" s="31"/>
      <c r="L228" s="77">
        <f>_xlfn.XLOOKUP("How Much Ice Cream Do You Want?",[1]Sheet1!$1:$1,[1]Sheet1!228:228)</f>
        <v>0</v>
      </c>
      <c r="M228" s="45">
        <f>IF(COUNTIF('Premade Flavors'!$A:$A, $C228) &gt; 0,_xlfn.XLOOKUP($C228,'Premade Flavors'!$A:$A,'Premade Flavors'!M:M),_xlfn.XLOOKUP("How Strong Do You Want The First Flavor?",[1]Sheet1!$1:$1,[1]Sheet1!228:228))</f>
        <v>0</v>
      </c>
      <c r="N228" s="45">
        <f>IF(COUNTIF('Premade Flavors'!$A:$A, $C228) &gt; 0,_xlfn.XLOOKUP($C228,'Premade Flavors'!$A:$A,'Premade Flavors'!N:N),_xlfn.XLOOKUP("How Strong Do You Want The Second Flavor?",[1]Sheet1!$1:$1,[1]Sheet1!228:228))</f>
        <v>0</v>
      </c>
      <c r="O228" s="45">
        <f>IF(COUNTIF('Premade Flavors'!$A:$A, $C228) &gt; 0,_xlfn.XLOOKUP($C228,'Premade Flavors'!$A:$A,'Premade Flavors'!O:O),_xlfn.XLOOKUP("How Dense Should the Mix Ins Be?",[1]Sheet1!$1:$1,[1]Sheet1!228:228))</f>
        <v>0</v>
      </c>
      <c r="P228" s="45">
        <f>IF(COUNTIF('Premade Flavors'!$A:$A, $C228) &gt; 0,_xlfn.XLOOKUP($C228,'Premade Flavors'!$A:$A,'Premade Flavors'!P:P),_xlfn.XLOOKUP("How Much Of The First Sweetner? ",[1]Sheet1!$1:$1,[1]Sheet1!228:228))</f>
        <v>0</v>
      </c>
      <c r="Q228" s="45">
        <f>IF(COUNTIF('Premade Flavors'!$A:$A, $C228) &gt; 0,_xlfn.XLOOKUP($C228,'Premade Flavors'!$A:$A,'Premade Flavors'!Q:Q),[2]Sheet1!S228)</f>
        <v>0</v>
      </c>
      <c r="R228" s="30">
        <f>(_xlfn.XLOOKUP($L228,Specs!A:A,Specs!B:B,0)-(IF(_xlfn.XLOOKUP($F228,'Liquid Mix In Nutrition'!A:A,'Liquid Mix In Nutrition'!J:J,0)="Yes",0,$T228))-(IF(_xlfn.XLOOKUP($G228,'Liquid Mix In Nutrition'!A:A,'Liquid Mix In Nutrition'!J:J,0)="Yes",0,$U228))-(($V228/MAX(1,_xlfn.XLOOKUP($H228,'Solid Mix In Nutrition'!A:A,'Solid Mix In Nutrition'!I:I,1)))*240)-(($W228/MAX(1,_xlfn.XLOOKUP($I228,'Solid Mix In Nutrition'!A:A,'Solid Mix In Nutrition'!I:I,1)))*240))*0.66</f>
        <v>0</v>
      </c>
      <c r="S228" s="30">
        <f>(_xlfn.XLOOKUP($L228,Specs!A:A,Specs!B:B,0)-(IF(_xlfn.XLOOKUP($F228,'Liquid Mix In Nutrition'!A:A,'Liquid Mix In Nutrition'!J:J,0)="Yes",0,$T228))-(IF(_xlfn.XLOOKUP($G228,'Liquid Mix In Nutrition'!A:A,'Liquid Mix In Nutrition'!J:J,0)="Yes",0,$U228))-(($V228/MAX(1,_xlfn.XLOOKUP($H228,'Solid Mix In Nutrition'!A:A,'Solid Mix In Nutrition'!I:I,1)))*240)-(($W228/MAX(1,_xlfn.XLOOKUP($I228,'Solid Mix In Nutrition'!A:A,'Solid Mix In Nutrition'!I:I,1)))*240))*0.33</f>
        <v>0</v>
      </c>
      <c r="T228" s="30">
        <f>_xlfn.XLOOKUP($M228,Specs!$D:$D,Specs!$E:$E,0)*15*_xlfn.XLOOKUP($L228,Specs!$A:$A,Specs!$C:$C,0)</f>
        <v>0</v>
      </c>
      <c r="U228" s="30">
        <f>_xlfn.XLOOKUP($N228,Specs!$D:$D,Specs!$E:$E,0)*15*_xlfn.XLOOKUP($L228,Specs!$A:$A,Specs!$C:$C,0)</f>
        <v>0</v>
      </c>
      <c r="V228" s="30">
        <f>( ((_xlfn.XLOOKUP($O228,Specs!$H:$H,Specs!$I:$I,0)*_xlfn.XLOOKUP($L228,Specs!$A:$A,Specs!$B:$B,0))/240) *_xlfn.XLOOKUP($H228,'Solid Mix In Nutrition'!A:A,'Solid Mix In Nutrition'!I:I,0)) *IF(AND(NOT($I228=0), COUNTA($I228)),0.5,1)</f>
        <v>0</v>
      </c>
      <c r="W228" s="30">
        <f>( ((_xlfn.XLOOKUP($O228,Specs!$H:$H,Specs!$I:$I,0)*_xlfn.XLOOKUP($L228,Specs!$A:$A,Specs!$B:$B,0))/240) *_xlfn.XLOOKUP($I228,'Solid Mix In Nutrition'!A:A,'Solid Mix In Nutrition'!I:I,0)) *IF(AND(NOT($I228=0), COUNTA($I228)),0.5,0)</f>
        <v>0</v>
      </c>
      <c r="X228" s="30">
        <f>_xlfn.XLOOKUP($P228,Specs!F:F,Specs!G:G,0)*_xlfn.XLOOKUP($J228,'Sweetener Mix In Nutrition'!A:A,'Sweetener Mix In Nutrition'!I:I,0)*_xlfn.XLOOKUP($L228,Specs!A:A,Specs!C:C,0)</f>
        <v>0</v>
      </c>
      <c r="Y228" s="30">
        <f>_xlfn.XLOOKUP($Q228,Specs!F:F,Specs!G:G,0)*_xlfn.XLOOKUP($K228,'Sweetener Mix In Nutrition'!A:A,'Sweetener Mix In Nutrition'!I:I,0)*_xlfn.XLOOKUP($L228,Specs!A:A,Specs!C:C,0)</f>
        <v>0</v>
      </c>
      <c r="Z228" s="34">
        <f t="shared" si="6"/>
        <v>0</v>
      </c>
      <c r="AA228" s="35">
        <f t="shared" si="7"/>
        <v>0</v>
      </c>
      <c r="AB228" s="36">
        <f>(($R228 / 240) * _xlfn.XLOOKUP($D228,'Milk Types Nutrition Per Cup'!A:A,'Milk Types Nutrition Per Cup'!B:B,0)) +(($S228 / 240)  * _xlfn.XLOOKUP($E228,'Milk Types Nutrition Per Cup'!A:A,'Milk Types Nutrition Per Cup'!B:B,0)) +(($T228 / 15)  * _xlfn.XLOOKUP($F228,'Liquid Mix In Nutrition'!A:A,'Liquid Mix In Nutrition'!B:B,0))+(($U228 / 15)  * _xlfn.XLOOKUP($G228,'Liquid Mix In Nutrition'!A:A,'Liquid Mix In Nutrition'!B:B,0))+(($V228 /MAX(1, _xlfn.XLOOKUP($H228,'Solid Mix In Nutrition'!A:A,'Solid Mix In Nutrition'!I:I,1)))  * _xlfn.XLOOKUP($H228,'Solid Mix In Nutrition'!A:A,'Solid Mix In Nutrition'!B:B,0))+(($W228 / MAX(1, _xlfn.XLOOKUP($I228,'Solid Mix In Nutrition'!A:A,'Solid Mix In Nutrition'!I:I,1))))+(($X228 / 100)  * _xlfn.XLOOKUP($J228,'Sweetener Mix In Nutrition'!A:A,'Sweetener Mix In Nutrition'!B:B,0))+(($Y228 / 100)  * _xlfn.XLOOKUP($K228,'Sweetener Mix In Nutrition'!A:A,'Sweetener Mix In Nutrition'!B:B,0))</f>
        <v>0</v>
      </c>
      <c r="AC228" s="36">
        <f>(($R228 / 240) * _xlfn.XLOOKUP($D228,'Milk Types Nutrition Per Cup'!A:A,'Milk Types Nutrition Per Cup'!E:E,0)) +(($S228 / 240)  * _xlfn.XLOOKUP($E228,'Milk Types Nutrition Per Cup'!A:A,'Milk Types Nutrition Per Cup'!E:E,0)) +(($T228 / 15)  * _xlfn.XLOOKUP($F228,'Liquid Mix In Nutrition'!A:A,'Liquid Mix In Nutrition'!E:E,0)) +(($U228 / 15)  * _xlfn.XLOOKUP($G228,'Liquid Mix In Nutrition'!A:A,'Liquid Mix In Nutrition'!E:E,0))+(($V228 / MAX(1, _xlfn.XLOOKUP($H228,'Solid Mix In Nutrition'!A:A,'Solid Mix In Nutrition'!I:I,1)))  * _xlfn.XLOOKUP($H228,'Solid Mix In Nutrition'!A:A,'Solid Mix In Nutrition'!E:E,0))+(($W228 / MAX(1, _xlfn.XLOOKUP($I228,'Solid Mix In Nutrition'!A:A,'Solid Mix In Nutrition'!I:I,1)))  * _xlfn.XLOOKUP($I228,'Solid Mix In Nutrition'!A:A,'Solid Mix In Nutrition'!G:G,0))+(($X228 / 100)  * _xlfn.XLOOKUP($J228,'Sweetener Mix In Nutrition'!A:A,'Sweetener Mix In Nutrition'!E:E,0))+(($Y228 / 100)  * _xlfn.XLOOKUP($K228,'Sweetener Mix In Nutrition'!A:A,'Sweetener Mix In Nutrition'!E:E,0))</f>
        <v>0</v>
      </c>
      <c r="AD228" s="36">
        <f>(($R228 / 240) * _xlfn.XLOOKUP($D228,'Milk Types Nutrition Per Cup'!A:A,'Milk Types Nutrition Per Cup'!E:E,0)) +(($S228 / 240)  * _xlfn.XLOOKUP($E228,'Milk Types Nutrition Per Cup'!A:A,'Milk Types Nutrition Per Cup'!E:E,0)) +(($T228 / 15)  * _xlfn.XLOOKUP($F228,'Liquid Mix In Nutrition'!A:A,'Liquid Mix In Nutrition'!E:E,0)) +(($U228 / 15)  * _xlfn.XLOOKUP($G228,'Liquid Mix In Nutrition'!A:A,'Liquid Mix In Nutrition'!E:E,0))+(($X228 / 100)  * _xlfn.XLOOKUP($J228,'Sweetener Mix In Nutrition'!A:A,'Sweetener Mix In Nutrition'!E:E,0))+(($Y228 / 100)  * _xlfn.XLOOKUP($K228,'Sweetener Mix In Nutrition'!A:A,'Sweetener Mix In Nutrition'!E:E,0))</f>
        <v>0</v>
      </c>
      <c r="AE228" s="37">
        <f>(($R228 / 240) * _xlfn.XLOOKUP($D228,'Milk Types Nutrition Per Cup'!A:A,'Milk Types Nutrition Per Cup'!C:C,0)) +(($S228 / 240)  * _xlfn.XLOOKUP($E228,'Milk Types Nutrition Per Cup'!A:A,'Milk Types Nutrition Per Cup'!C:C,0)) +(($T228 / 15)  * _xlfn.XLOOKUP($F228,'Liquid Mix In Nutrition'!A:A,'Liquid Mix In Nutrition'!C:C,0))+(($U228 / 15)  * _xlfn.XLOOKUP($G228,'Liquid Mix In Nutrition'!A:A,'Liquid Mix In Nutrition'!C:C,0))+(($V228 / MAX(1, _xlfn.XLOOKUP($H228,'Solid Mix In Nutrition'!A:A,'Solid Mix In Nutrition'!I:I,1)))  * _xlfn.XLOOKUP($H228,'Solid Mix In Nutrition'!A:A,'Solid Mix In Nutrition'!C:C,0))+(($W228 / MAX(1, _xlfn.XLOOKUP($I228,'Solid Mix In Nutrition'!A:A,'Solid Mix In Nutrition'!I:I,1)))  * _xlfn.XLOOKUP($I228,'Solid Mix In Nutrition'!A:A,'Solid Mix In Nutrition'!C:C,0))+(($X228 / 100)  * _xlfn.XLOOKUP($J228,'Sweetener Mix In Nutrition'!A:A,'Sweetener Mix In Nutrition'!C:C,0))+(($Y228 / 100)  * _xlfn.XLOOKUP($K228,'Sweetener Mix In Nutrition'!A:A,'Sweetener Mix In Nutrition'!C:C,0))</f>
        <v>0</v>
      </c>
      <c r="AF228" s="38" t="e">
        <f>$AE228 / (_xlfn.XLOOKUP($L228,Specs!A:A,Specs!B:B,0))</f>
        <v>#DIV/0!</v>
      </c>
      <c r="AG228" s="37" t="e">
        <f>60* ($AB228 / _xlfn.XLOOKUP($L228,Specs!A:A,Specs!B:B,0))</f>
        <v>#DIV/0!</v>
      </c>
      <c r="AH228" s="37" t="e">
        <f>60* (AC228 / _xlfn.XLOOKUP($L228,Specs!$A:$A,Specs!$B:$B,0))</f>
        <v>#DIV/0!</v>
      </c>
      <c r="AI228" s="37" t="e">
        <f>60* (AE228 / _xlfn.XLOOKUP($L228,Specs!$A:$A,Specs!$B:$B,0))</f>
        <v>#DIV/0!</v>
      </c>
      <c r="AJ228" s="39">
        <f>(($R228 / 240) * _xlfn.XLOOKUP($D228,'Milk Types Nutrition Per Cup'!A:A,'Milk Types Nutrition Per Cup'!F:F,0)) +(($S228 / 240)  * _xlfn.XLOOKUP($E228,'Milk Types Nutrition Per Cup'!A:A,'Milk Types Nutrition Per Cup'!F:F,0)) +(($T228 / 15)  * _xlfn.XLOOKUP($F228,'Liquid Mix In Nutrition'!A:A,'Liquid Mix In Nutrition'!F:F,0))+(($U228 / 15)  * _xlfn.XLOOKUP($G228,'Liquid Mix In Nutrition'!A:A,'Liquid Mix In Nutrition'!F:F,0))+(($V228 / MAX(1, _xlfn.XLOOKUP($H228,'Solid Mix In Nutrition'!A:A,'Solid Mix In Nutrition'!I:I,1)))  * _xlfn.XLOOKUP($H228,'Solid Mix In Nutrition'!A:A,'Solid Mix In Nutrition'!F:F,0))+(($W228 / MAX(1, _xlfn.XLOOKUP($I228,'Solid Mix In Nutrition'!A:A,'Solid Mix In Nutrition'!I:I,1)))  * _xlfn.XLOOKUP($I228,'Solid Mix In Nutrition'!A:A,'Solid Mix In Nutrition'!F:F,0))+(($X228 / 100)  * _xlfn.XLOOKUP($J228,'Sweetener Mix In Nutrition'!A:A,'Sweetener Mix In Nutrition'!F:F,0))+(($Y228 / 100)  * _xlfn.XLOOKUP($K228,'Sweetener Mix In Nutrition'!A:A,'Sweetener Mix In Nutrition'!F:F,0))</f>
        <v>0</v>
      </c>
      <c r="AK228" s="46">
        <f>[2]Sheet1!AG228</f>
        <v>0</v>
      </c>
      <c r="AL228" s="47"/>
      <c r="AM228" s="40">
        <f>IF(ISERROR(((AL228/Specs!$L$3)*Specs!$L$2)*2),0,ROUNDUP((((AL228/Specs!$L$3)*Specs!$L$2)*2),0))</f>
        <v>0</v>
      </c>
      <c r="AN228" s="48">
        <f>ROUNDUP(((AJ228+Specs!$R$2+Specs!$S$2+_xlfn.XLOOKUP($L228,Specs!A:A,Specs!V:V,0))*Specs!$N$2)+AM228,0)</f>
        <v>1</v>
      </c>
      <c r="AO228" s="40">
        <f>ROUNDUP(((AJ228+Specs!$R$2+Specs!$S$2+_xlfn.XLOOKUP($L228,Specs!A:A,Specs!V:V,0))*Specs!$N$2),0)</f>
        <v>1</v>
      </c>
      <c r="AP228" s="30"/>
    </row>
    <row r="229" spans="1:42" x14ac:dyDescent="0.25">
      <c r="A229" s="41" t="str">
        <f>_xlfn.CONCAT(_xlfn.XLOOKUP("What's Your Name?",[1]Sheet1!$1:$1,[1]Sheet1!229:229)," | ",TEXT(_xlfn.XLOOKUP("Completion time",[1]Sheet1!$1:$1,[1]Sheet1!229:229),"dddd, mmm dd, yyyy hh:mm AM/PM"))</f>
        <v xml:space="preserve"> | Saturday, Jan 00, 1900 12:00 AM</v>
      </c>
      <c r="B229" s="76">
        <f>_xlfn.XLOOKUP("What's Your Email Address?",[1]Sheet1!$1:$1,[1]Sheet1!229:229)</f>
        <v>0</v>
      </c>
      <c r="C229" s="31">
        <f>IF(ISBLANK(_xlfn.XLOOKUP("Which Flavor? (Pint Price | Quart Price | Half Gallon Price) (NOTE: Prices may fluctuate based on market conditions)",[1]Sheet1!$1:$1,[1]Sheet1!229:229)),_xlfn.XLOOKUP("Name Your Ice Cream!",[1]Sheet1!$1:$1,[1]Sheet1!229:229),IF(ISNUMBER(FIND("(", _xlfn.XLOOKUP("Which Flavor? (Pint Price | Quart Price | Half Gallon Price) (NOTE: Prices may fluctuate based on market conditions)",[1]Sheet1!$1:$1,[1]Sheet1!229:229))), LEFT(_xlfn.XLOOKUP("Which Flavor? (Pint Price | Quart Price | Half Gallon Price) (NOTE: Prices may fluctuate based on market conditions)",[1]Sheet1!$1:$1,[1]Sheet1!229:229), FIND("(", _xlfn.XLOOKUP("Which Flavor? (Pint Price | Quart Price | Half Gallon Price) (NOTE: Prices may fluctuate based on market conditions)",[1]Sheet1!$1:$1,[1]Sheet1!229:229)) - 1), _xlfn.XLOOKUP("Which Flavor? (Pint Price | Quart Price | Half Gallon Price) (NOTE: Prices may fluctuate based on market conditions)",[1]Sheet1!$1:$1,[1]Sheet1!229:229)))</f>
        <v>0</v>
      </c>
      <c r="D229" s="31">
        <f>IF(COUNTIF('Premade Flavors'!$A:$A, $C229) &gt; 0,IF(ISBLANK(_xlfn.XLOOKUP("What Ice Cream Base Do You Want To Change It To?",[1]Sheet1!$1:$1,[1]Sheet1!229:229)),_xlfn.XLOOKUP($C229,'Premade Flavors'!$A:$A,'Premade Flavors'!B:B),_xlfn.XLOOKUP("What Ice Cream Base Do You Want To Change It To?",[1]Sheet1!$1:$1,[1]Sheet1!229:229)),_xlfn.XLOOKUP(_xlfn.XLOOKUP("What Kind Of Ice Cream Base Do You Want? ",[1]Sheet1!$1:$1,[1]Sheet1!229:229),'Milk Types Nutrition Per Cup'!O:O,'Milk Types Nutrition Per Cup'!P:P,""))</f>
        <v>0</v>
      </c>
      <c r="E229" s="31">
        <f>IF(COUNTIF('Premade Flavors'!$A:$A, $C229) &gt; 0,IF(ISBLANK(_xlfn.XLOOKUP("What Ice Cream Base Do You Want To Change It To?",[1]Sheet1!$1:$1,[1]Sheet1!229:229)),_xlfn.XLOOKUP($C229,'Premade Flavors'!$A:$A,'Premade Flavors'!C:C),_xlfn.XLOOKUP("What Ice Cream Base Do You Want To Change It To?",[1]Sheet1!$1:$1,[1]Sheet1!229:229)),_xlfn.XLOOKUP(_xlfn.XLOOKUP("What Kind Of Ice Cream Base Do You Want? ",[1]Sheet1!$1:$1,[1]Sheet1!229:229),'Milk Types Nutrition Per Cup'!$O:$O,'Milk Types Nutrition Per Cup'!$Q:$Q,""))</f>
        <v>0</v>
      </c>
      <c r="F229" s="31">
        <f>IF(COUNTIF('Premade Flavors'!$A:$A, $C229) &gt; 0,_xlfn.XLOOKUP($C229,'Premade Flavors'!$A:$A,'Premade Flavors'!E:E),_xlfn.XLOOKUP("What's The First Flavor You Want? ",[1]Sheet1!$1:$1,[1]Sheet1!229:229))</f>
        <v>0</v>
      </c>
      <c r="G229" s="31">
        <f>IF(COUNTIF('Premade Flavors'!$A:$A, $C229) &gt; 0,_xlfn.XLOOKUP($C229,'Premade Flavors'!$A:$A,'Premade Flavors'!F:F),_xlfn.XLOOKUP("What's the Second Flavor You Want?",[1]Sheet1!$1:$1,[1]Sheet1!229:229))</f>
        <v>0</v>
      </c>
      <c r="H229" s="31">
        <f>IF(COUNTIF('Premade Flavors'!$A:$A, $C229) &gt; 0,_xlfn.XLOOKUP($C229,'Premade Flavors'!$A:$A,'Premade Flavors'!G:G),_xlfn.XLOOKUP("What's The First Mix In That You Want? ",[1]Sheet1!$1:$1,[1]Sheet1!229:229))</f>
        <v>0</v>
      </c>
      <c r="I229" s="31">
        <f>IF(COUNTIF('Premade Flavors'!$A:$A, $C227) &gt; 0,_xlfn.XLOOKUP($C227,'Premade Flavors'!$A:$A,'Premade Flavors'!H:H),IF([2]Sheet1!W227= 0,,[2]Sheet1!W227))</f>
        <v>0</v>
      </c>
      <c r="J229" s="31">
        <f>IF(COUNTIF('Premade Flavors'!$A:$A,$C229)&gt;0,IF(_xlfn.XLOOKUP("Should It Use Sugar or A Non-Sugar Sweetner?",[1]Sheet1!$1:$1,[1]Sheet1!229:229)="Sugar",_xlfn.XLOOKUP($C229,'Premade Flavors'!$A:$A,'Premade Flavors'!I:I),"Stevia"),_xlfn.XLOOKUP("What Sweetner Do You Want?",[1]Sheet1!$1:$1,[1]Sheet1!229:229))</f>
        <v>0</v>
      </c>
      <c r="K229" s="31"/>
      <c r="L229" s="77">
        <f>_xlfn.XLOOKUP("How Much Ice Cream Do You Want?",[1]Sheet1!$1:$1,[1]Sheet1!229:229)</f>
        <v>0</v>
      </c>
      <c r="M229" s="45">
        <f>IF(COUNTIF('Premade Flavors'!$A:$A, $C229) &gt; 0,_xlfn.XLOOKUP($C229,'Premade Flavors'!$A:$A,'Premade Flavors'!M:M),_xlfn.XLOOKUP("How Strong Do You Want The First Flavor?",[1]Sheet1!$1:$1,[1]Sheet1!229:229))</f>
        <v>0</v>
      </c>
      <c r="N229" s="45">
        <f>IF(COUNTIF('Premade Flavors'!$A:$A, $C229) &gt; 0,_xlfn.XLOOKUP($C229,'Premade Flavors'!$A:$A,'Premade Flavors'!N:N),_xlfn.XLOOKUP("How Strong Do You Want The Second Flavor?",[1]Sheet1!$1:$1,[1]Sheet1!229:229))</f>
        <v>0</v>
      </c>
      <c r="O229" s="45">
        <f>IF(COUNTIF('Premade Flavors'!$A:$A, $C229) &gt; 0,_xlfn.XLOOKUP($C229,'Premade Flavors'!$A:$A,'Premade Flavors'!O:O),_xlfn.XLOOKUP("How Dense Should the Mix Ins Be?",[1]Sheet1!$1:$1,[1]Sheet1!229:229))</f>
        <v>0</v>
      </c>
      <c r="P229" s="45">
        <f>IF(COUNTIF('Premade Flavors'!$A:$A, $C229) &gt; 0,_xlfn.XLOOKUP($C229,'Premade Flavors'!$A:$A,'Premade Flavors'!P:P),_xlfn.XLOOKUP("How Much Of The First Sweetner? ",[1]Sheet1!$1:$1,[1]Sheet1!229:229))</f>
        <v>0</v>
      </c>
      <c r="Q229" s="45">
        <f>IF(COUNTIF('Premade Flavors'!$A:$A, $C229) &gt; 0,_xlfn.XLOOKUP($C229,'Premade Flavors'!$A:$A,'Premade Flavors'!Q:Q),[2]Sheet1!S229)</f>
        <v>0</v>
      </c>
      <c r="R229" s="30">
        <f>(_xlfn.XLOOKUP($L229,Specs!A:A,Specs!B:B,0)-(IF(_xlfn.XLOOKUP($F229,'Liquid Mix In Nutrition'!A:A,'Liquid Mix In Nutrition'!J:J,0)="Yes",0,$T229))-(IF(_xlfn.XLOOKUP($G229,'Liquid Mix In Nutrition'!A:A,'Liquid Mix In Nutrition'!J:J,0)="Yes",0,$U229))-(($V229/MAX(1,_xlfn.XLOOKUP($H229,'Solid Mix In Nutrition'!A:A,'Solid Mix In Nutrition'!I:I,1)))*240)-(($W229/MAX(1,_xlfn.XLOOKUP($I229,'Solid Mix In Nutrition'!A:A,'Solid Mix In Nutrition'!I:I,1)))*240))*0.66</f>
        <v>0</v>
      </c>
      <c r="S229" s="30">
        <f>(_xlfn.XLOOKUP($L229,Specs!A:A,Specs!B:B,0)-(IF(_xlfn.XLOOKUP($F229,'Liquid Mix In Nutrition'!A:A,'Liquid Mix In Nutrition'!J:J,0)="Yes",0,$T229))-(IF(_xlfn.XLOOKUP($G229,'Liquid Mix In Nutrition'!A:A,'Liquid Mix In Nutrition'!J:J,0)="Yes",0,$U229))-(($V229/MAX(1,_xlfn.XLOOKUP($H229,'Solid Mix In Nutrition'!A:A,'Solid Mix In Nutrition'!I:I,1)))*240)-(($W229/MAX(1,_xlfn.XLOOKUP($I229,'Solid Mix In Nutrition'!A:A,'Solid Mix In Nutrition'!I:I,1)))*240))*0.33</f>
        <v>0</v>
      </c>
      <c r="T229" s="30">
        <f>_xlfn.XLOOKUP($M229,Specs!$D:$D,Specs!$E:$E,0)*15*_xlfn.XLOOKUP($L229,Specs!$A:$A,Specs!$C:$C,0)</f>
        <v>0</v>
      </c>
      <c r="U229" s="30">
        <f>_xlfn.XLOOKUP($N229,Specs!$D:$D,Specs!$E:$E,0)*15*_xlfn.XLOOKUP($L229,Specs!$A:$A,Specs!$C:$C,0)</f>
        <v>0</v>
      </c>
      <c r="V229" s="30">
        <f>( ((_xlfn.XLOOKUP($O229,Specs!$H:$H,Specs!$I:$I,0)*_xlfn.XLOOKUP($L229,Specs!$A:$A,Specs!$B:$B,0))/240) *_xlfn.XLOOKUP($H229,'Solid Mix In Nutrition'!A:A,'Solid Mix In Nutrition'!I:I,0)) *IF(AND(NOT($I229=0), COUNTA($I229)),0.5,1)</f>
        <v>0</v>
      </c>
      <c r="W229" s="30">
        <f>( ((_xlfn.XLOOKUP($O229,Specs!$H:$H,Specs!$I:$I,0)*_xlfn.XLOOKUP($L229,Specs!$A:$A,Specs!$B:$B,0))/240) *_xlfn.XLOOKUP($I229,'Solid Mix In Nutrition'!A:A,'Solid Mix In Nutrition'!I:I,0)) *IF(AND(NOT($I229=0), COUNTA($I229)),0.5,0)</f>
        <v>0</v>
      </c>
      <c r="X229" s="30">
        <f>_xlfn.XLOOKUP($P229,Specs!F:F,Specs!G:G,0)*_xlfn.XLOOKUP($J229,'Sweetener Mix In Nutrition'!A:A,'Sweetener Mix In Nutrition'!I:I,0)*_xlfn.XLOOKUP($L229,Specs!A:A,Specs!C:C,0)</f>
        <v>0</v>
      </c>
      <c r="Y229" s="30">
        <f>_xlfn.XLOOKUP($Q229,Specs!F:F,Specs!G:G,0)*_xlfn.XLOOKUP($K229,'Sweetener Mix In Nutrition'!A:A,'Sweetener Mix In Nutrition'!I:I,0)*_xlfn.XLOOKUP($L229,Specs!A:A,Specs!C:C,0)</f>
        <v>0</v>
      </c>
      <c r="Z229" s="34">
        <f t="shared" si="6"/>
        <v>0</v>
      </c>
      <c r="AA229" s="35">
        <f t="shared" si="7"/>
        <v>0</v>
      </c>
      <c r="AB229" s="36">
        <f>(($R229 / 240) * _xlfn.XLOOKUP($D229,'Milk Types Nutrition Per Cup'!A:A,'Milk Types Nutrition Per Cup'!B:B,0)) +(($S229 / 240)  * _xlfn.XLOOKUP($E229,'Milk Types Nutrition Per Cup'!A:A,'Milk Types Nutrition Per Cup'!B:B,0)) +(($T229 / 15)  * _xlfn.XLOOKUP($F229,'Liquid Mix In Nutrition'!A:A,'Liquid Mix In Nutrition'!B:B,0))+(($U229 / 15)  * _xlfn.XLOOKUP($G229,'Liquid Mix In Nutrition'!A:A,'Liquid Mix In Nutrition'!B:B,0))+(($V229 /MAX(1, _xlfn.XLOOKUP($H229,'Solid Mix In Nutrition'!A:A,'Solid Mix In Nutrition'!I:I,1)))  * _xlfn.XLOOKUP($H229,'Solid Mix In Nutrition'!A:A,'Solid Mix In Nutrition'!B:B,0))+(($W229 / MAX(1, _xlfn.XLOOKUP($I229,'Solid Mix In Nutrition'!A:A,'Solid Mix In Nutrition'!I:I,1))))+(($X229 / 100)  * _xlfn.XLOOKUP($J229,'Sweetener Mix In Nutrition'!A:A,'Sweetener Mix In Nutrition'!B:B,0))+(($Y229 / 100)  * _xlfn.XLOOKUP($K229,'Sweetener Mix In Nutrition'!A:A,'Sweetener Mix In Nutrition'!B:B,0))</f>
        <v>0</v>
      </c>
      <c r="AC229" s="36">
        <f>(($R229 / 240) * _xlfn.XLOOKUP($D229,'Milk Types Nutrition Per Cup'!A:A,'Milk Types Nutrition Per Cup'!E:E,0)) +(($S229 / 240)  * _xlfn.XLOOKUP($E229,'Milk Types Nutrition Per Cup'!A:A,'Milk Types Nutrition Per Cup'!E:E,0)) +(($T229 / 15)  * _xlfn.XLOOKUP($F229,'Liquid Mix In Nutrition'!A:A,'Liquid Mix In Nutrition'!E:E,0)) +(($U229 / 15)  * _xlfn.XLOOKUP($G229,'Liquid Mix In Nutrition'!A:A,'Liquid Mix In Nutrition'!E:E,0))+(($V229 / MAX(1, _xlfn.XLOOKUP($H229,'Solid Mix In Nutrition'!A:A,'Solid Mix In Nutrition'!I:I,1)))  * _xlfn.XLOOKUP($H229,'Solid Mix In Nutrition'!A:A,'Solid Mix In Nutrition'!E:E,0))+(($W229 / MAX(1, _xlfn.XLOOKUP($I229,'Solid Mix In Nutrition'!A:A,'Solid Mix In Nutrition'!I:I,1)))  * _xlfn.XLOOKUP($I229,'Solid Mix In Nutrition'!A:A,'Solid Mix In Nutrition'!G:G,0))+(($X229 / 100)  * _xlfn.XLOOKUP($J229,'Sweetener Mix In Nutrition'!A:A,'Sweetener Mix In Nutrition'!E:E,0))+(($Y229 / 100)  * _xlfn.XLOOKUP($K229,'Sweetener Mix In Nutrition'!A:A,'Sweetener Mix In Nutrition'!E:E,0))</f>
        <v>0</v>
      </c>
      <c r="AD229" s="36">
        <f>(($R229 / 240) * _xlfn.XLOOKUP($D229,'Milk Types Nutrition Per Cup'!A:A,'Milk Types Nutrition Per Cup'!E:E,0)) +(($S229 / 240)  * _xlfn.XLOOKUP($E229,'Milk Types Nutrition Per Cup'!A:A,'Milk Types Nutrition Per Cup'!E:E,0)) +(($T229 / 15)  * _xlfn.XLOOKUP($F229,'Liquid Mix In Nutrition'!A:A,'Liquid Mix In Nutrition'!E:E,0)) +(($U229 / 15)  * _xlfn.XLOOKUP($G229,'Liquid Mix In Nutrition'!A:A,'Liquid Mix In Nutrition'!E:E,0))+(($X229 / 100)  * _xlfn.XLOOKUP($J229,'Sweetener Mix In Nutrition'!A:A,'Sweetener Mix In Nutrition'!E:E,0))+(($Y229 / 100)  * _xlfn.XLOOKUP($K229,'Sweetener Mix In Nutrition'!A:A,'Sweetener Mix In Nutrition'!E:E,0))</f>
        <v>0</v>
      </c>
      <c r="AE229" s="37">
        <f>(($R229 / 240) * _xlfn.XLOOKUP($D229,'Milk Types Nutrition Per Cup'!A:A,'Milk Types Nutrition Per Cup'!C:C,0)) +(($S229 / 240)  * _xlfn.XLOOKUP($E229,'Milk Types Nutrition Per Cup'!A:A,'Milk Types Nutrition Per Cup'!C:C,0)) +(($T229 / 15)  * _xlfn.XLOOKUP($F229,'Liquid Mix In Nutrition'!A:A,'Liquid Mix In Nutrition'!C:C,0))+(($U229 / 15)  * _xlfn.XLOOKUP($G229,'Liquid Mix In Nutrition'!A:A,'Liquid Mix In Nutrition'!C:C,0))+(($V229 / MAX(1, _xlfn.XLOOKUP($H229,'Solid Mix In Nutrition'!A:A,'Solid Mix In Nutrition'!I:I,1)))  * _xlfn.XLOOKUP($H229,'Solid Mix In Nutrition'!A:A,'Solid Mix In Nutrition'!C:C,0))+(($W229 / MAX(1, _xlfn.XLOOKUP($I229,'Solid Mix In Nutrition'!A:A,'Solid Mix In Nutrition'!I:I,1)))  * _xlfn.XLOOKUP($I229,'Solid Mix In Nutrition'!A:A,'Solid Mix In Nutrition'!C:C,0))+(($X229 / 100)  * _xlfn.XLOOKUP($J229,'Sweetener Mix In Nutrition'!A:A,'Sweetener Mix In Nutrition'!C:C,0))+(($Y229 / 100)  * _xlfn.XLOOKUP($K229,'Sweetener Mix In Nutrition'!A:A,'Sweetener Mix In Nutrition'!C:C,0))</f>
        <v>0</v>
      </c>
      <c r="AF229" s="38" t="e">
        <f>$AE229 / (_xlfn.XLOOKUP($L229,Specs!A:A,Specs!B:B,0))</f>
        <v>#DIV/0!</v>
      </c>
      <c r="AG229" s="37" t="e">
        <f>60* ($AB229 / _xlfn.XLOOKUP($L229,Specs!A:A,Specs!B:B,0))</f>
        <v>#DIV/0!</v>
      </c>
      <c r="AH229" s="37" t="e">
        <f>60* (AC229 / _xlfn.XLOOKUP($L229,Specs!$A:$A,Specs!$B:$B,0))</f>
        <v>#DIV/0!</v>
      </c>
      <c r="AI229" s="37" t="e">
        <f>60* (AE229 / _xlfn.XLOOKUP($L229,Specs!$A:$A,Specs!$B:$B,0))</f>
        <v>#DIV/0!</v>
      </c>
      <c r="AJ229" s="39">
        <f>(($R229 / 240) * _xlfn.XLOOKUP($D229,'Milk Types Nutrition Per Cup'!A:A,'Milk Types Nutrition Per Cup'!F:F,0)) +(($S229 / 240)  * _xlfn.XLOOKUP($E229,'Milk Types Nutrition Per Cup'!A:A,'Milk Types Nutrition Per Cup'!F:F,0)) +(($T229 / 15)  * _xlfn.XLOOKUP($F229,'Liquid Mix In Nutrition'!A:A,'Liquid Mix In Nutrition'!F:F,0))+(($U229 / 15)  * _xlfn.XLOOKUP($G229,'Liquid Mix In Nutrition'!A:A,'Liquid Mix In Nutrition'!F:F,0))+(($V229 / MAX(1, _xlfn.XLOOKUP($H229,'Solid Mix In Nutrition'!A:A,'Solid Mix In Nutrition'!I:I,1)))  * _xlfn.XLOOKUP($H229,'Solid Mix In Nutrition'!A:A,'Solid Mix In Nutrition'!F:F,0))+(($W229 / MAX(1, _xlfn.XLOOKUP($I229,'Solid Mix In Nutrition'!A:A,'Solid Mix In Nutrition'!I:I,1)))  * _xlfn.XLOOKUP($I229,'Solid Mix In Nutrition'!A:A,'Solid Mix In Nutrition'!F:F,0))+(($X229 / 100)  * _xlfn.XLOOKUP($J229,'Sweetener Mix In Nutrition'!A:A,'Sweetener Mix In Nutrition'!F:F,0))+(($Y229 / 100)  * _xlfn.XLOOKUP($K229,'Sweetener Mix In Nutrition'!A:A,'Sweetener Mix In Nutrition'!F:F,0))</f>
        <v>0</v>
      </c>
      <c r="AK229" s="46">
        <f>[2]Sheet1!AG229</f>
        <v>0</v>
      </c>
      <c r="AL229" s="47"/>
      <c r="AM229" s="40">
        <f>IF(ISERROR(((AL229/Specs!$L$3)*Specs!$L$2)*2),0,ROUNDUP((((AL229/Specs!$L$3)*Specs!$L$2)*2),0))</f>
        <v>0</v>
      </c>
      <c r="AN229" s="48">
        <f>ROUNDUP(((AJ229+Specs!$R$2+Specs!$S$2+_xlfn.XLOOKUP($L229,Specs!A:A,Specs!V:V,0))*Specs!$N$2)+AM229,0)</f>
        <v>1</v>
      </c>
      <c r="AO229" s="40">
        <f>ROUNDUP(((AJ229+Specs!$R$2+Specs!$S$2+_xlfn.XLOOKUP($L229,Specs!A:A,Specs!V:V,0))*Specs!$N$2),0)</f>
        <v>1</v>
      </c>
      <c r="AP229" s="30"/>
    </row>
    <row r="230" spans="1:42" x14ac:dyDescent="0.25">
      <c r="A230" s="41" t="str">
        <f>_xlfn.CONCAT(_xlfn.XLOOKUP("What's Your Name?",[1]Sheet1!$1:$1,[1]Sheet1!230:230)," | ",TEXT(_xlfn.XLOOKUP("Completion time",[1]Sheet1!$1:$1,[1]Sheet1!230:230),"dddd, mmm dd, yyyy hh:mm AM/PM"))</f>
        <v xml:space="preserve"> | Saturday, Jan 00, 1900 12:00 AM</v>
      </c>
      <c r="B230" s="76">
        <f>_xlfn.XLOOKUP("What's Your Email Address?",[1]Sheet1!$1:$1,[1]Sheet1!230:230)</f>
        <v>0</v>
      </c>
      <c r="C230" s="31">
        <f>IF(ISBLANK(_xlfn.XLOOKUP("Which Flavor? (Pint Price | Quart Price | Half Gallon Price) (NOTE: Prices may fluctuate based on market conditions)",[1]Sheet1!$1:$1,[1]Sheet1!230:230)),_xlfn.XLOOKUP("Name Your Ice Cream!",[1]Sheet1!$1:$1,[1]Sheet1!230:230),IF(ISNUMBER(FIND("(", _xlfn.XLOOKUP("Which Flavor? (Pint Price | Quart Price | Half Gallon Price) (NOTE: Prices may fluctuate based on market conditions)",[1]Sheet1!$1:$1,[1]Sheet1!230:230))), LEFT(_xlfn.XLOOKUP("Which Flavor? (Pint Price | Quart Price | Half Gallon Price) (NOTE: Prices may fluctuate based on market conditions)",[1]Sheet1!$1:$1,[1]Sheet1!230:230), FIND("(", _xlfn.XLOOKUP("Which Flavor? (Pint Price | Quart Price | Half Gallon Price) (NOTE: Prices may fluctuate based on market conditions)",[1]Sheet1!$1:$1,[1]Sheet1!230:230)) - 1), _xlfn.XLOOKUP("Which Flavor? (Pint Price | Quart Price | Half Gallon Price) (NOTE: Prices may fluctuate based on market conditions)",[1]Sheet1!$1:$1,[1]Sheet1!230:230)))</f>
        <v>0</v>
      </c>
      <c r="D230" s="31">
        <f>IF(COUNTIF('Premade Flavors'!$A:$A, $C230) &gt; 0,IF(ISBLANK(_xlfn.XLOOKUP("What Ice Cream Base Do You Want To Change It To?",[1]Sheet1!$1:$1,[1]Sheet1!230:230)),_xlfn.XLOOKUP($C230,'Premade Flavors'!$A:$A,'Premade Flavors'!B:B),_xlfn.XLOOKUP("What Ice Cream Base Do You Want To Change It To?",[1]Sheet1!$1:$1,[1]Sheet1!230:230)),_xlfn.XLOOKUP(_xlfn.XLOOKUP("What Kind Of Ice Cream Base Do You Want? ",[1]Sheet1!$1:$1,[1]Sheet1!230:230),'Milk Types Nutrition Per Cup'!O:O,'Milk Types Nutrition Per Cup'!P:P,""))</f>
        <v>0</v>
      </c>
      <c r="E230" s="31">
        <f>IF(COUNTIF('Premade Flavors'!$A:$A, $C230) &gt; 0,IF(ISBLANK(_xlfn.XLOOKUP("What Ice Cream Base Do You Want To Change It To?",[1]Sheet1!$1:$1,[1]Sheet1!230:230)),_xlfn.XLOOKUP($C230,'Premade Flavors'!$A:$A,'Premade Flavors'!C:C),_xlfn.XLOOKUP("What Ice Cream Base Do You Want To Change It To?",[1]Sheet1!$1:$1,[1]Sheet1!230:230)),_xlfn.XLOOKUP(_xlfn.XLOOKUP("What Kind Of Ice Cream Base Do You Want? ",[1]Sheet1!$1:$1,[1]Sheet1!230:230),'Milk Types Nutrition Per Cup'!$O:$O,'Milk Types Nutrition Per Cup'!$Q:$Q,""))</f>
        <v>0</v>
      </c>
      <c r="F230" s="31">
        <f>IF(COUNTIF('Premade Flavors'!$A:$A, $C230) &gt; 0,_xlfn.XLOOKUP($C230,'Premade Flavors'!$A:$A,'Premade Flavors'!E:E),_xlfn.XLOOKUP("What's The First Flavor You Want? ",[1]Sheet1!$1:$1,[1]Sheet1!230:230))</f>
        <v>0</v>
      </c>
      <c r="G230" s="31">
        <f>IF(COUNTIF('Premade Flavors'!$A:$A, $C230) &gt; 0,_xlfn.XLOOKUP($C230,'Premade Flavors'!$A:$A,'Premade Flavors'!F:F),_xlfn.XLOOKUP("What's the Second Flavor You Want?",[1]Sheet1!$1:$1,[1]Sheet1!230:230))</f>
        <v>0</v>
      </c>
      <c r="H230" s="31">
        <f>IF(COUNTIF('Premade Flavors'!$A:$A, $C230) &gt; 0,_xlfn.XLOOKUP($C230,'Premade Flavors'!$A:$A,'Premade Flavors'!G:G),_xlfn.XLOOKUP("What's The First Mix In That You Want? ",[1]Sheet1!$1:$1,[1]Sheet1!230:230))</f>
        <v>0</v>
      </c>
      <c r="I230" s="31">
        <f>IF(COUNTIF('Premade Flavors'!$A:$A, $C228) &gt; 0,_xlfn.XLOOKUP($C228,'Premade Flavors'!$A:$A,'Premade Flavors'!H:H),IF([2]Sheet1!W228= 0,,[2]Sheet1!W228))</f>
        <v>0</v>
      </c>
      <c r="J230" s="31">
        <f>IF(COUNTIF('Premade Flavors'!$A:$A,$C230)&gt;0,IF(_xlfn.XLOOKUP("Should It Use Sugar or A Non-Sugar Sweetner?",[1]Sheet1!$1:$1,[1]Sheet1!230:230)="Sugar",_xlfn.XLOOKUP($C230,'Premade Flavors'!$A:$A,'Premade Flavors'!I:I),"Stevia"),_xlfn.XLOOKUP("What Sweetner Do You Want?",[1]Sheet1!$1:$1,[1]Sheet1!230:230))</f>
        <v>0</v>
      </c>
      <c r="K230" s="31"/>
      <c r="L230" s="77">
        <f>_xlfn.XLOOKUP("How Much Ice Cream Do You Want?",[1]Sheet1!$1:$1,[1]Sheet1!230:230)</f>
        <v>0</v>
      </c>
      <c r="M230" s="45">
        <f>IF(COUNTIF('Premade Flavors'!$A:$A, $C230) &gt; 0,_xlfn.XLOOKUP($C230,'Premade Flavors'!$A:$A,'Premade Flavors'!M:M),_xlfn.XLOOKUP("How Strong Do You Want The First Flavor?",[1]Sheet1!$1:$1,[1]Sheet1!230:230))</f>
        <v>0</v>
      </c>
      <c r="N230" s="45">
        <f>IF(COUNTIF('Premade Flavors'!$A:$A, $C230) &gt; 0,_xlfn.XLOOKUP($C230,'Premade Flavors'!$A:$A,'Premade Flavors'!N:N),_xlfn.XLOOKUP("How Strong Do You Want The Second Flavor?",[1]Sheet1!$1:$1,[1]Sheet1!230:230))</f>
        <v>0</v>
      </c>
      <c r="O230" s="45">
        <f>IF(COUNTIF('Premade Flavors'!$A:$A, $C230) &gt; 0,_xlfn.XLOOKUP($C230,'Premade Flavors'!$A:$A,'Premade Flavors'!O:O),_xlfn.XLOOKUP("How Dense Should the Mix Ins Be?",[1]Sheet1!$1:$1,[1]Sheet1!230:230))</f>
        <v>0</v>
      </c>
      <c r="P230" s="45">
        <f>IF(COUNTIF('Premade Flavors'!$A:$A, $C230) &gt; 0,_xlfn.XLOOKUP($C230,'Premade Flavors'!$A:$A,'Premade Flavors'!P:P),_xlfn.XLOOKUP("How Much Of The First Sweetner? ",[1]Sheet1!$1:$1,[1]Sheet1!230:230))</f>
        <v>0</v>
      </c>
      <c r="Q230" s="45">
        <f>IF(COUNTIF('Premade Flavors'!$A:$A, $C230) &gt; 0,_xlfn.XLOOKUP($C230,'Premade Flavors'!$A:$A,'Premade Flavors'!Q:Q),[2]Sheet1!S230)</f>
        <v>0</v>
      </c>
      <c r="R230" s="30">
        <f>(_xlfn.XLOOKUP($L230,Specs!A:A,Specs!B:B,0)-(IF(_xlfn.XLOOKUP($F230,'Liquid Mix In Nutrition'!A:A,'Liquid Mix In Nutrition'!J:J,0)="Yes",0,$T230))-(IF(_xlfn.XLOOKUP($G230,'Liquid Mix In Nutrition'!A:A,'Liquid Mix In Nutrition'!J:J,0)="Yes",0,$U230))-(($V230/MAX(1,_xlfn.XLOOKUP($H230,'Solid Mix In Nutrition'!A:A,'Solid Mix In Nutrition'!I:I,1)))*240)-(($W230/MAX(1,_xlfn.XLOOKUP($I230,'Solid Mix In Nutrition'!A:A,'Solid Mix In Nutrition'!I:I,1)))*240))*0.66</f>
        <v>0</v>
      </c>
      <c r="S230" s="30">
        <f>(_xlfn.XLOOKUP($L230,Specs!A:A,Specs!B:B,0)-(IF(_xlfn.XLOOKUP($F230,'Liquid Mix In Nutrition'!A:A,'Liquid Mix In Nutrition'!J:J,0)="Yes",0,$T230))-(IF(_xlfn.XLOOKUP($G230,'Liquid Mix In Nutrition'!A:A,'Liquid Mix In Nutrition'!J:J,0)="Yes",0,$U230))-(($V230/MAX(1,_xlfn.XLOOKUP($H230,'Solid Mix In Nutrition'!A:A,'Solid Mix In Nutrition'!I:I,1)))*240)-(($W230/MAX(1,_xlfn.XLOOKUP($I230,'Solid Mix In Nutrition'!A:A,'Solid Mix In Nutrition'!I:I,1)))*240))*0.33</f>
        <v>0</v>
      </c>
      <c r="T230" s="30">
        <f>_xlfn.XLOOKUP($M230,Specs!$D:$D,Specs!$E:$E,0)*15*_xlfn.XLOOKUP($L230,Specs!$A:$A,Specs!$C:$C,0)</f>
        <v>0</v>
      </c>
      <c r="U230" s="30">
        <f>_xlfn.XLOOKUP($N230,Specs!$D:$D,Specs!$E:$E,0)*15*_xlfn.XLOOKUP($L230,Specs!$A:$A,Specs!$C:$C,0)</f>
        <v>0</v>
      </c>
      <c r="V230" s="30">
        <f>( ((_xlfn.XLOOKUP($O230,Specs!$H:$H,Specs!$I:$I,0)*_xlfn.XLOOKUP($L230,Specs!$A:$A,Specs!$B:$B,0))/240) *_xlfn.XLOOKUP($H230,'Solid Mix In Nutrition'!A:A,'Solid Mix In Nutrition'!I:I,0)) *IF(AND(NOT($I230=0), COUNTA($I230)),0.5,1)</f>
        <v>0</v>
      </c>
      <c r="W230" s="30">
        <f>( ((_xlfn.XLOOKUP($O230,Specs!$H:$H,Specs!$I:$I,0)*_xlfn.XLOOKUP($L230,Specs!$A:$A,Specs!$B:$B,0))/240) *_xlfn.XLOOKUP($I230,'Solid Mix In Nutrition'!A:A,'Solid Mix In Nutrition'!I:I,0)) *IF(AND(NOT($I230=0), COUNTA($I230)),0.5,0)</f>
        <v>0</v>
      </c>
      <c r="X230" s="30">
        <f>_xlfn.XLOOKUP($P230,Specs!F:F,Specs!G:G,0)*_xlfn.XLOOKUP($J230,'Sweetener Mix In Nutrition'!A:A,'Sweetener Mix In Nutrition'!I:I,0)*_xlfn.XLOOKUP($L230,Specs!A:A,Specs!C:C,0)</f>
        <v>0</v>
      </c>
      <c r="Y230" s="30">
        <f>_xlfn.XLOOKUP($Q230,Specs!F:F,Specs!G:G,0)*_xlfn.XLOOKUP($K230,'Sweetener Mix In Nutrition'!A:A,'Sweetener Mix In Nutrition'!I:I,0)*_xlfn.XLOOKUP($L230,Specs!A:A,Specs!C:C,0)</f>
        <v>0</v>
      </c>
      <c r="Z230" s="34">
        <f t="shared" ref="Z230:Z293" si="8">($R230+$S230+$T230+$X230+$Y230)*IF(ISNUMBER(SEARCH("Fat Free",$D230)),0.0036,0.0012)</f>
        <v>0</v>
      </c>
      <c r="AA230" s="35">
        <f t="shared" ref="AA230:AA293" si="9">CEILING(CONVERT(($R230+$S230+$T230+$X230+$Y230)*IF(ISNUMBER(SEARCH("Fat Free",$D230)),0.0036,0.0012),"ml","tsp"),0.25)</f>
        <v>0</v>
      </c>
      <c r="AB230" s="36">
        <f>(($R230 / 240) * _xlfn.XLOOKUP($D230,'Milk Types Nutrition Per Cup'!A:A,'Milk Types Nutrition Per Cup'!B:B,0)) +(($S230 / 240)  * _xlfn.XLOOKUP($E230,'Milk Types Nutrition Per Cup'!A:A,'Milk Types Nutrition Per Cup'!B:B,0)) +(($T230 / 15)  * _xlfn.XLOOKUP($F230,'Liquid Mix In Nutrition'!A:A,'Liquid Mix In Nutrition'!B:B,0))+(($U230 / 15)  * _xlfn.XLOOKUP($G230,'Liquid Mix In Nutrition'!A:A,'Liquid Mix In Nutrition'!B:B,0))+(($V230 /MAX(1, _xlfn.XLOOKUP($H230,'Solid Mix In Nutrition'!A:A,'Solid Mix In Nutrition'!I:I,1)))  * _xlfn.XLOOKUP($H230,'Solid Mix In Nutrition'!A:A,'Solid Mix In Nutrition'!B:B,0))+(($W230 / MAX(1, _xlfn.XLOOKUP($I230,'Solid Mix In Nutrition'!A:A,'Solid Mix In Nutrition'!I:I,1))))+(($X230 / 100)  * _xlfn.XLOOKUP($J230,'Sweetener Mix In Nutrition'!A:A,'Sweetener Mix In Nutrition'!B:B,0))+(($Y230 / 100)  * _xlfn.XLOOKUP($K230,'Sweetener Mix In Nutrition'!A:A,'Sweetener Mix In Nutrition'!B:B,0))</f>
        <v>0</v>
      </c>
      <c r="AC230" s="36">
        <f>(($R230 / 240) * _xlfn.XLOOKUP($D230,'Milk Types Nutrition Per Cup'!A:A,'Milk Types Nutrition Per Cup'!E:E,0)) +(($S230 / 240)  * _xlfn.XLOOKUP($E230,'Milk Types Nutrition Per Cup'!A:A,'Milk Types Nutrition Per Cup'!E:E,0)) +(($T230 / 15)  * _xlfn.XLOOKUP($F230,'Liquid Mix In Nutrition'!A:A,'Liquid Mix In Nutrition'!E:E,0)) +(($U230 / 15)  * _xlfn.XLOOKUP($G230,'Liquid Mix In Nutrition'!A:A,'Liquid Mix In Nutrition'!E:E,0))+(($V230 / MAX(1, _xlfn.XLOOKUP($H230,'Solid Mix In Nutrition'!A:A,'Solid Mix In Nutrition'!I:I,1)))  * _xlfn.XLOOKUP($H230,'Solid Mix In Nutrition'!A:A,'Solid Mix In Nutrition'!E:E,0))+(($W230 / MAX(1, _xlfn.XLOOKUP($I230,'Solid Mix In Nutrition'!A:A,'Solid Mix In Nutrition'!I:I,1)))  * _xlfn.XLOOKUP($I230,'Solid Mix In Nutrition'!A:A,'Solid Mix In Nutrition'!G:G,0))+(($X230 / 100)  * _xlfn.XLOOKUP($J230,'Sweetener Mix In Nutrition'!A:A,'Sweetener Mix In Nutrition'!E:E,0))+(($Y230 / 100)  * _xlfn.XLOOKUP($K230,'Sweetener Mix In Nutrition'!A:A,'Sweetener Mix In Nutrition'!E:E,0))</f>
        <v>0</v>
      </c>
      <c r="AD230" s="36">
        <f>(($R230 / 240) * _xlfn.XLOOKUP($D230,'Milk Types Nutrition Per Cup'!A:A,'Milk Types Nutrition Per Cup'!E:E,0)) +(($S230 / 240)  * _xlfn.XLOOKUP($E230,'Milk Types Nutrition Per Cup'!A:A,'Milk Types Nutrition Per Cup'!E:E,0)) +(($T230 / 15)  * _xlfn.XLOOKUP($F230,'Liquid Mix In Nutrition'!A:A,'Liquid Mix In Nutrition'!E:E,0)) +(($U230 / 15)  * _xlfn.XLOOKUP($G230,'Liquid Mix In Nutrition'!A:A,'Liquid Mix In Nutrition'!E:E,0))+(($X230 / 100)  * _xlfn.XLOOKUP($J230,'Sweetener Mix In Nutrition'!A:A,'Sweetener Mix In Nutrition'!E:E,0))+(($Y230 / 100)  * _xlfn.XLOOKUP($K230,'Sweetener Mix In Nutrition'!A:A,'Sweetener Mix In Nutrition'!E:E,0))</f>
        <v>0</v>
      </c>
      <c r="AE230" s="37">
        <f>(($R230 / 240) * _xlfn.XLOOKUP($D230,'Milk Types Nutrition Per Cup'!A:A,'Milk Types Nutrition Per Cup'!C:C,0)) +(($S230 / 240)  * _xlfn.XLOOKUP($E230,'Milk Types Nutrition Per Cup'!A:A,'Milk Types Nutrition Per Cup'!C:C,0)) +(($T230 / 15)  * _xlfn.XLOOKUP($F230,'Liquid Mix In Nutrition'!A:A,'Liquid Mix In Nutrition'!C:C,0))+(($U230 / 15)  * _xlfn.XLOOKUP($G230,'Liquid Mix In Nutrition'!A:A,'Liquid Mix In Nutrition'!C:C,0))+(($V230 / MAX(1, _xlfn.XLOOKUP($H230,'Solid Mix In Nutrition'!A:A,'Solid Mix In Nutrition'!I:I,1)))  * _xlfn.XLOOKUP($H230,'Solid Mix In Nutrition'!A:A,'Solid Mix In Nutrition'!C:C,0))+(($W230 / MAX(1, _xlfn.XLOOKUP($I230,'Solid Mix In Nutrition'!A:A,'Solid Mix In Nutrition'!I:I,1)))  * _xlfn.XLOOKUP($I230,'Solid Mix In Nutrition'!A:A,'Solid Mix In Nutrition'!C:C,0))+(($X230 / 100)  * _xlfn.XLOOKUP($J230,'Sweetener Mix In Nutrition'!A:A,'Sweetener Mix In Nutrition'!C:C,0))+(($Y230 / 100)  * _xlfn.XLOOKUP($K230,'Sweetener Mix In Nutrition'!A:A,'Sweetener Mix In Nutrition'!C:C,0))</f>
        <v>0</v>
      </c>
      <c r="AF230" s="38" t="e">
        <f>$AE230 / (_xlfn.XLOOKUP($L230,Specs!A:A,Specs!B:B,0))</f>
        <v>#DIV/0!</v>
      </c>
      <c r="AG230" s="37" t="e">
        <f>60* ($AB230 / _xlfn.XLOOKUP($L230,Specs!A:A,Specs!B:B,0))</f>
        <v>#DIV/0!</v>
      </c>
      <c r="AH230" s="37" t="e">
        <f>60* (AC230 / _xlfn.XLOOKUP($L230,Specs!$A:$A,Specs!$B:$B,0))</f>
        <v>#DIV/0!</v>
      </c>
      <c r="AI230" s="37" t="e">
        <f>60* (AE230 / _xlfn.XLOOKUP($L230,Specs!$A:$A,Specs!$B:$B,0))</f>
        <v>#DIV/0!</v>
      </c>
      <c r="AJ230" s="39">
        <f>(($R230 / 240) * _xlfn.XLOOKUP($D230,'Milk Types Nutrition Per Cup'!A:A,'Milk Types Nutrition Per Cup'!F:F,0)) +(($S230 / 240)  * _xlfn.XLOOKUP($E230,'Milk Types Nutrition Per Cup'!A:A,'Milk Types Nutrition Per Cup'!F:F,0)) +(($T230 / 15)  * _xlfn.XLOOKUP($F230,'Liquid Mix In Nutrition'!A:A,'Liquid Mix In Nutrition'!F:F,0))+(($U230 / 15)  * _xlfn.XLOOKUP($G230,'Liquid Mix In Nutrition'!A:A,'Liquid Mix In Nutrition'!F:F,0))+(($V230 / MAX(1, _xlfn.XLOOKUP($H230,'Solid Mix In Nutrition'!A:A,'Solid Mix In Nutrition'!I:I,1)))  * _xlfn.XLOOKUP($H230,'Solid Mix In Nutrition'!A:A,'Solid Mix In Nutrition'!F:F,0))+(($W230 / MAX(1, _xlfn.XLOOKUP($I230,'Solid Mix In Nutrition'!A:A,'Solid Mix In Nutrition'!I:I,1)))  * _xlfn.XLOOKUP($I230,'Solid Mix In Nutrition'!A:A,'Solid Mix In Nutrition'!F:F,0))+(($X230 / 100)  * _xlfn.XLOOKUP($J230,'Sweetener Mix In Nutrition'!A:A,'Sweetener Mix In Nutrition'!F:F,0))+(($Y230 / 100)  * _xlfn.XLOOKUP($K230,'Sweetener Mix In Nutrition'!A:A,'Sweetener Mix In Nutrition'!F:F,0))</f>
        <v>0</v>
      </c>
      <c r="AK230" s="46">
        <f>[2]Sheet1!AG230</f>
        <v>0</v>
      </c>
      <c r="AL230" s="47"/>
      <c r="AM230" s="40">
        <f>IF(ISERROR(((AL230/Specs!$L$3)*Specs!$L$2)*2),0,ROUNDUP((((AL230/Specs!$L$3)*Specs!$L$2)*2),0))</f>
        <v>0</v>
      </c>
      <c r="AN230" s="48">
        <f>ROUNDUP(((AJ230+Specs!$R$2+Specs!$S$2+_xlfn.XLOOKUP($L230,Specs!A:A,Specs!V:V,0))*Specs!$N$2)+AM230,0)</f>
        <v>1</v>
      </c>
      <c r="AO230" s="40">
        <f>ROUNDUP(((AJ230+Specs!$R$2+Specs!$S$2+_xlfn.XLOOKUP($L230,Specs!A:A,Specs!V:V,0))*Specs!$N$2),0)</f>
        <v>1</v>
      </c>
      <c r="AP230" s="30"/>
    </row>
    <row r="231" spans="1:42" x14ac:dyDescent="0.25">
      <c r="A231" s="41" t="str">
        <f>_xlfn.CONCAT(_xlfn.XLOOKUP("What's Your Name?",[1]Sheet1!$1:$1,[1]Sheet1!231:231)," | ",TEXT(_xlfn.XLOOKUP("Completion time",[1]Sheet1!$1:$1,[1]Sheet1!231:231),"dddd, mmm dd, yyyy hh:mm AM/PM"))</f>
        <v xml:space="preserve"> | Saturday, Jan 00, 1900 12:00 AM</v>
      </c>
      <c r="B231" s="76">
        <f>_xlfn.XLOOKUP("What's Your Email Address?",[1]Sheet1!$1:$1,[1]Sheet1!231:231)</f>
        <v>0</v>
      </c>
      <c r="C231" s="31">
        <f>IF(ISBLANK(_xlfn.XLOOKUP("Which Flavor? (Pint Price | Quart Price | Half Gallon Price) (NOTE: Prices may fluctuate based on market conditions)",[1]Sheet1!$1:$1,[1]Sheet1!231:231)),_xlfn.XLOOKUP("Name Your Ice Cream!",[1]Sheet1!$1:$1,[1]Sheet1!231:231),IF(ISNUMBER(FIND("(", _xlfn.XLOOKUP("Which Flavor? (Pint Price | Quart Price | Half Gallon Price) (NOTE: Prices may fluctuate based on market conditions)",[1]Sheet1!$1:$1,[1]Sheet1!231:231))), LEFT(_xlfn.XLOOKUP("Which Flavor? (Pint Price | Quart Price | Half Gallon Price) (NOTE: Prices may fluctuate based on market conditions)",[1]Sheet1!$1:$1,[1]Sheet1!231:231), FIND("(", _xlfn.XLOOKUP("Which Flavor? (Pint Price | Quart Price | Half Gallon Price) (NOTE: Prices may fluctuate based on market conditions)",[1]Sheet1!$1:$1,[1]Sheet1!231:231)) - 1), _xlfn.XLOOKUP("Which Flavor? (Pint Price | Quart Price | Half Gallon Price) (NOTE: Prices may fluctuate based on market conditions)",[1]Sheet1!$1:$1,[1]Sheet1!231:231)))</f>
        <v>0</v>
      </c>
      <c r="D231" s="31">
        <f>IF(COUNTIF('Premade Flavors'!$A:$A, $C231) &gt; 0,IF(ISBLANK(_xlfn.XLOOKUP("What Ice Cream Base Do You Want To Change It To?",[1]Sheet1!$1:$1,[1]Sheet1!231:231)),_xlfn.XLOOKUP($C231,'Premade Flavors'!$A:$A,'Premade Flavors'!B:B),_xlfn.XLOOKUP("What Ice Cream Base Do You Want To Change It To?",[1]Sheet1!$1:$1,[1]Sheet1!231:231)),_xlfn.XLOOKUP(_xlfn.XLOOKUP("What Kind Of Ice Cream Base Do You Want? ",[1]Sheet1!$1:$1,[1]Sheet1!231:231),'Milk Types Nutrition Per Cup'!O:O,'Milk Types Nutrition Per Cup'!P:P,""))</f>
        <v>0</v>
      </c>
      <c r="E231" s="31">
        <f>IF(COUNTIF('Premade Flavors'!$A:$A, $C231) &gt; 0,IF(ISBLANK(_xlfn.XLOOKUP("What Ice Cream Base Do You Want To Change It To?",[1]Sheet1!$1:$1,[1]Sheet1!231:231)),_xlfn.XLOOKUP($C231,'Premade Flavors'!$A:$A,'Premade Flavors'!C:C),_xlfn.XLOOKUP("What Ice Cream Base Do You Want To Change It To?",[1]Sheet1!$1:$1,[1]Sheet1!231:231)),_xlfn.XLOOKUP(_xlfn.XLOOKUP("What Kind Of Ice Cream Base Do You Want? ",[1]Sheet1!$1:$1,[1]Sheet1!231:231),'Milk Types Nutrition Per Cup'!$O:$O,'Milk Types Nutrition Per Cup'!$Q:$Q,""))</f>
        <v>0</v>
      </c>
      <c r="F231" s="31">
        <f>IF(COUNTIF('Premade Flavors'!$A:$A, $C231) &gt; 0,_xlfn.XLOOKUP($C231,'Premade Flavors'!$A:$A,'Premade Flavors'!E:E),_xlfn.XLOOKUP("What's The First Flavor You Want? ",[1]Sheet1!$1:$1,[1]Sheet1!231:231))</f>
        <v>0</v>
      </c>
      <c r="G231" s="31">
        <f>IF(COUNTIF('Premade Flavors'!$A:$A, $C231) &gt; 0,_xlfn.XLOOKUP($C231,'Premade Flavors'!$A:$A,'Premade Flavors'!F:F),_xlfn.XLOOKUP("What's the Second Flavor You Want?",[1]Sheet1!$1:$1,[1]Sheet1!231:231))</f>
        <v>0</v>
      </c>
      <c r="H231" s="31">
        <f>IF(COUNTIF('Premade Flavors'!$A:$A, $C231) &gt; 0,_xlfn.XLOOKUP($C231,'Premade Flavors'!$A:$A,'Premade Flavors'!G:G),_xlfn.XLOOKUP("What's The First Mix In That You Want? ",[1]Sheet1!$1:$1,[1]Sheet1!231:231))</f>
        <v>0</v>
      </c>
      <c r="I231" s="31">
        <f>IF(COUNTIF('Premade Flavors'!$A:$A, $C229) &gt; 0,_xlfn.XLOOKUP($C229,'Premade Flavors'!$A:$A,'Premade Flavors'!H:H),IF([2]Sheet1!W229= 0,,[2]Sheet1!W229))</f>
        <v>0</v>
      </c>
      <c r="J231" s="31">
        <f>IF(COUNTIF('Premade Flavors'!$A:$A,$C231)&gt;0,IF(_xlfn.XLOOKUP("Should It Use Sugar or A Non-Sugar Sweetner?",[1]Sheet1!$1:$1,[1]Sheet1!231:231)="Sugar",_xlfn.XLOOKUP($C231,'Premade Flavors'!$A:$A,'Premade Flavors'!I:I),"Stevia"),_xlfn.XLOOKUP("What Sweetner Do You Want?",[1]Sheet1!$1:$1,[1]Sheet1!231:231))</f>
        <v>0</v>
      </c>
      <c r="K231" s="31"/>
      <c r="L231" s="77">
        <f>_xlfn.XLOOKUP("How Much Ice Cream Do You Want?",[1]Sheet1!$1:$1,[1]Sheet1!231:231)</f>
        <v>0</v>
      </c>
      <c r="M231" s="45">
        <f>IF(COUNTIF('Premade Flavors'!$A:$A, $C231) &gt; 0,_xlfn.XLOOKUP($C231,'Premade Flavors'!$A:$A,'Premade Flavors'!M:M),_xlfn.XLOOKUP("How Strong Do You Want The First Flavor?",[1]Sheet1!$1:$1,[1]Sheet1!231:231))</f>
        <v>0</v>
      </c>
      <c r="N231" s="45">
        <f>IF(COUNTIF('Premade Flavors'!$A:$A, $C231) &gt; 0,_xlfn.XLOOKUP($C231,'Premade Flavors'!$A:$A,'Premade Flavors'!N:N),_xlfn.XLOOKUP("How Strong Do You Want The Second Flavor?",[1]Sheet1!$1:$1,[1]Sheet1!231:231))</f>
        <v>0</v>
      </c>
      <c r="O231" s="45">
        <f>IF(COUNTIF('Premade Flavors'!$A:$A, $C231) &gt; 0,_xlfn.XLOOKUP($C231,'Premade Flavors'!$A:$A,'Premade Flavors'!O:O),_xlfn.XLOOKUP("How Dense Should the Mix Ins Be?",[1]Sheet1!$1:$1,[1]Sheet1!231:231))</f>
        <v>0</v>
      </c>
      <c r="P231" s="45">
        <f>IF(COUNTIF('Premade Flavors'!$A:$A, $C231) &gt; 0,_xlfn.XLOOKUP($C231,'Premade Flavors'!$A:$A,'Premade Flavors'!P:P),_xlfn.XLOOKUP("How Much Of The First Sweetner? ",[1]Sheet1!$1:$1,[1]Sheet1!231:231))</f>
        <v>0</v>
      </c>
      <c r="Q231" s="45">
        <f>IF(COUNTIF('Premade Flavors'!$A:$A, $C231) &gt; 0,_xlfn.XLOOKUP($C231,'Premade Flavors'!$A:$A,'Premade Flavors'!Q:Q),[2]Sheet1!S231)</f>
        <v>0</v>
      </c>
      <c r="R231" s="30">
        <f>(_xlfn.XLOOKUP($L231,Specs!A:A,Specs!B:B,0)-(IF(_xlfn.XLOOKUP($F231,'Liquid Mix In Nutrition'!A:A,'Liquid Mix In Nutrition'!J:J,0)="Yes",0,$T231))-(IF(_xlfn.XLOOKUP($G231,'Liquid Mix In Nutrition'!A:A,'Liquid Mix In Nutrition'!J:J,0)="Yes",0,$U231))-(($V231/MAX(1,_xlfn.XLOOKUP($H231,'Solid Mix In Nutrition'!A:A,'Solid Mix In Nutrition'!I:I,1)))*240)-(($W231/MAX(1,_xlfn.XLOOKUP($I231,'Solid Mix In Nutrition'!A:A,'Solid Mix In Nutrition'!I:I,1)))*240))*0.66</f>
        <v>0</v>
      </c>
      <c r="S231" s="30">
        <f>(_xlfn.XLOOKUP($L231,Specs!A:A,Specs!B:B,0)-(IF(_xlfn.XLOOKUP($F231,'Liquid Mix In Nutrition'!A:A,'Liquid Mix In Nutrition'!J:J,0)="Yes",0,$T231))-(IF(_xlfn.XLOOKUP($G231,'Liquid Mix In Nutrition'!A:A,'Liquid Mix In Nutrition'!J:J,0)="Yes",0,$U231))-(($V231/MAX(1,_xlfn.XLOOKUP($H231,'Solid Mix In Nutrition'!A:A,'Solid Mix In Nutrition'!I:I,1)))*240)-(($W231/MAX(1,_xlfn.XLOOKUP($I231,'Solid Mix In Nutrition'!A:A,'Solid Mix In Nutrition'!I:I,1)))*240))*0.33</f>
        <v>0</v>
      </c>
      <c r="T231" s="30">
        <f>_xlfn.XLOOKUP($M231,Specs!$D:$D,Specs!$E:$E,0)*15*_xlfn.XLOOKUP($L231,Specs!$A:$A,Specs!$C:$C,0)</f>
        <v>0</v>
      </c>
      <c r="U231" s="30">
        <f>_xlfn.XLOOKUP($N231,Specs!$D:$D,Specs!$E:$E,0)*15*_xlfn.XLOOKUP($L231,Specs!$A:$A,Specs!$C:$C,0)</f>
        <v>0</v>
      </c>
      <c r="V231" s="30">
        <f>( ((_xlfn.XLOOKUP($O231,Specs!$H:$H,Specs!$I:$I,0)*_xlfn.XLOOKUP($L231,Specs!$A:$A,Specs!$B:$B,0))/240) *_xlfn.XLOOKUP($H231,'Solid Mix In Nutrition'!A:A,'Solid Mix In Nutrition'!I:I,0)) *IF(AND(NOT($I231=0), COUNTA($I231)),0.5,1)</f>
        <v>0</v>
      </c>
      <c r="W231" s="30">
        <f>( ((_xlfn.XLOOKUP($O231,Specs!$H:$H,Specs!$I:$I,0)*_xlfn.XLOOKUP($L231,Specs!$A:$A,Specs!$B:$B,0))/240) *_xlfn.XLOOKUP($I231,'Solid Mix In Nutrition'!A:A,'Solid Mix In Nutrition'!I:I,0)) *IF(AND(NOT($I231=0), COUNTA($I231)),0.5,0)</f>
        <v>0</v>
      </c>
      <c r="X231" s="30">
        <f>_xlfn.XLOOKUP($P231,Specs!F:F,Specs!G:G,0)*_xlfn.XLOOKUP($J231,'Sweetener Mix In Nutrition'!A:A,'Sweetener Mix In Nutrition'!I:I,0)*_xlfn.XLOOKUP($L231,Specs!A:A,Specs!C:C,0)</f>
        <v>0</v>
      </c>
      <c r="Y231" s="30">
        <f>_xlfn.XLOOKUP($Q231,Specs!F:F,Specs!G:G,0)*_xlfn.XLOOKUP($K231,'Sweetener Mix In Nutrition'!A:A,'Sweetener Mix In Nutrition'!I:I,0)*_xlfn.XLOOKUP($L231,Specs!A:A,Specs!C:C,0)</f>
        <v>0</v>
      </c>
      <c r="Z231" s="34">
        <f t="shared" si="8"/>
        <v>0</v>
      </c>
      <c r="AA231" s="35">
        <f t="shared" si="9"/>
        <v>0</v>
      </c>
      <c r="AB231" s="36">
        <f>(($R231 / 240) * _xlfn.XLOOKUP($D231,'Milk Types Nutrition Per Cup'!A:A,'Milk Types Nutrition Per Cup'!B:B,0)) +(($S231 / 240)  * _xlfn.XLOOKUP($E231,'Milk Types Nutrition Per Cup'!A:A,'Milk Types Nutrition Per Cup'!B:B,0)) +(($T231 / 15)  * _xlfn.XLOOKUP($F231,'Liquid Mix In Nutrition'!A:A,'Liquid Mix In Nutrition'!B:B,0))+(($U231 / 15)  * _xlfn.XLOOKUP($G231,'Liquid Mix In Nutrition'!A:A,'Liquid Mix In Nutrition'!B:B,0))+(($V231 /MAX(1, _xlfn.XLOOKUP($H231,'Solid Mix In Nutrition'!A:A,'Solid Mix In Nutrition'!I:I,1)))  * _xlfn.XLOOKUP($H231,'Solid Mix In Nutrition'!A:A,'Solid Mix In Nutrition'!B:B,0))+(($W231 / MAX(1, _xlfn.XLOOKUP($I231,'Solid Mix In Nutrition'!A:A,'Solid Mix In Nutrition'!I:I,1))))+(($X231 / 100)  * _xlfn.XLOOKUP($J231,'Sweetener Mix In Nutrition'!A:A,'Sweetener Mix In Nutrition'!B:B,0))+(($Y231 / 100)  * _xlfn.XLOOKUP($K231,'Sweetener Mix In Nutrition'!A:A,'Sweetener Mix In Nutrition'!B:B,0))</f>
        <v>0</v>
      </c>
      <c r="AC231" s="36">
        <f>(($R231 / 240) * _xlfn.XLOOKUP($D231,'Milk Types Nutrition Per Cup'!A:A,'Milk Types Nutrition Per Cup'!E:E,0)) +(($S231 / 240)  * _xlfn.XLOOKUP($E231,'Milk Types Nutrition Per Cup'!A:A,'Milk Types Nutrition Per Cup'!E:E,0)) +(($T231 / 15)  * _xlfn.XLOOKUP($F231,'Liquid Mix In Nutrition'!A:A,'Liquid Mix In Nutrition'!E:E,0)) +(($U231 / 15)  * _xlfn.XLOOKUP($G231,'Liquid Mix In Nutrition'!A:A,'Liquid Mix In Nutrition'!E:E,0))+(($V231 / MAX(1, _xlfn.XLOOKUP($H231,'Solid Mix In Nutrition'!A:A,'Solid Mix In Nutrition'!I:I,1)))  * _xlfn.XLOOKUP($H231,'Solid Mix In Nutrition'!A:A,'Solid Mix In Nutrition'!E:E,0))+(($W231 / MAX(1, _xlfn.XLOOKUP($I231,'Solid Mix In Nutrition'!A:A,'Solid Mix In Nutrition'!I:I,1)))  * _xlfn.XLOOKUP($I231,'Solid Mix In Nutrition'!A:A,'Solid Mix In Nutrition'!G:G,0))+(($X231 / 100)  * _xlfn.XLOOKUP($J231,'Sweetener Mix In Nutrition'!A:A,'Sweetener Mix In Nutrition'!E:E,0))+(($Y231 / 100)  * _xlfn.XLOOKUP($K231,'Sweetener Mix In Nutrition'!A:A,'Sweetener Mix In Nutrition'!E:E,0))</f>
        <v>0</v>
      </c>
      <c r="AD231" s="36">
        <f>(($R231 / 240) * _xlfn.XLOOKUP($D231,'Milk Types Nutrition Per Cup'!A:A,'Milk Types Nutrition Per Cup'!E:E,0)) +(($S231 / 240)  * _xlfn.XLOOKUP($E231,'Milk Types Nutrition Per Cup'!A:A,'Milk Types Nutrition Per Cup'!E:E,0)) +(($T231 / 15)  * _xlfn.XLOOKUP($F231,'Liquid Mix In Nutrition'!A:A,'Liquid Mix In Nutrition'!E:E,0)) +(($U231 / 15)  * _xlfn.XLOOKUP($G231,'Liquid Mix In Nutrition'!A:A,'Liquid Mix In Nutrition'!E:E,0))+(($X231 / 100)  * _xlfn.XLOOKUP($J231,'Sweetener Mix In Nutrition'!A:A,'Sweetener Mix In Nutrition'!E:E,0))+(($Y231 / 100)  * _xlfn.XLOOKUP($K231,'Sweetener Mix In Nutrition'!A:A,'Sweetener Mix In Nutrition'!E:E,0))</f>
        <v>0</v>
      </c>
      <c r="AE231" s="37">
        <f>(($R231 / 240) * _xlfn.XLOOKUP($D231,'Milk Types Nutrition Per Cup'!A:A,'Milk Types Nutrition Per Cup'!C:C,0)) +(($S231 / 240)  * _xlfn.XLOOKUP($E231,'Milk Types Nutrition Per Cup'!A:A,'Milk Types Nutrition Per Cup'!C:C,0)) +(($T231 / 15)  * _xlfn.XLOOKUP($F231,'Liquid Mix In Nutrition'!A:A,'Liquid Mix In Nutrition'!C:C,0))+(($U231 / 15)  * _xlfn.XLOOKUP($G231,'Liquid Mix In Nutrition'!A:A,'Liquid Mix In Nutrition'!C:C,0))+(($V231 / MAX(1, _xlfn.XLOOKUP($H231,'Solid Mix In Nutrition'!A:A,'Solid Mix In Nutrition'!I:I,1)))  * _xlfn.XLOOKUP($H231,'Solid Mix In Nutrition'!A:A,'Solid Mix In Nutrition'!C:C,0))+(($W231 / MAX(1, _xlfn.XLOOKUP($I231,'Solid Mix In Nutrition'!A:A,'Solid Mix In Nutrition'!I:I,1)))  * _xlfn.XLOOKUP($I231,'Solid Mix In Nutrition'!A:A,'Solid Mix In Nutrition'!C:C,0))+(($X231 / 100)  * _xlfn.XLOOKUP($J231,'Sweetener Mix In Nutrition'!A:A,'Sweetener Mix In Nutrition'!C:C,0))+(($Y231 / 100)  * _xlfn.XLOOKUP($K231,'Sweetener Mix In Nutrition'!A:A,'Sweetener Mix In Nutrition'!C:C,0))</f>
        <v>0</v>
      </c>
      <c r="AF231" s="38" t="e">
        <f>$AE231 / (_xlfn.XLOOKUP($L231,Specs!A:A,Specs!B:B,0))</f>
        <v>#DIV/0!</v>
      </c>
      <c r="AG231" s="37" t="e">
        <f>60* ($AB231 / _xlfn.XLOOKUP($L231,Specs!A:A,Specs!B:B,0))</f>
        <v>#DIV/0!</v>
      </c>
      <c r="AH231" s="37" t="e">
        <f>60* (AC231 / _xlfn.XLOOKUP($L231,Specs!$A:$A,Specs!$B:$B,0))</f>
        <v>#DIV/0!</v>
      </c>
      <c r="AI231" s="37" t="e">
        <f>60* (AE231 / _xlfn.XLOOKUP($L231,Specs!$A:$A,Specs!$B:$B,0))</f>
        <v>#DIV/0!</v>
      </c>
      <c r="AJ231" s="39">
        <f>(($R231 / 240) * _xlfn.XLOOKUP($D231,'Milk Types Nutrition Per Cup'!A:A,'Milk Types Nutrition Per Cup'!F:F,0)) +(($S231 / 240)  * _xlfn.XLOOKUP($E231,'Milk Types Nutrition Per Cup'!A:A,'Milk Types Nutrition Per Cup'!F:F,0)) +(($T231 / 15)  * _xlfn.XLOOKUP($F231,'Liquid Mix In Nutrition'!A:A,'Liquid Mix In Nutrition'!F:F,0))+(($U231 / 15)  * _xlfn.XLOOKUP($G231,'Liquid Mix In Nutrition'!A:A,'Liquid Mix In Nutrition'!F:F,0))+(($V231 / MAX(1, _xlfn.XLOOKUP($H231,'Solid Mix In Nutrition'!A:A,'Solid Mix In Nutrition'!I:I,1)))  * _xlfn.XLOOKUP($H231,'Solid Mix In Nutrition'!A:A,'Solid Mix In Nutrition'!F:F,0))+(($W231 / MAX(1, _xlfn.XLOOKUP($I231,'Solid Mix In Nutrition'!A:A,'Solid Mix In Nutrition'!I:I,1)))  * _xlfn.XLOOKUP($I231,'Solid Mix In Nutrition'!A:A,'Solid Mix In Nutrition'!F:F,0))+(($X231 / 100)  * _xlfn.XLOOKUP($J231,'Sweetener Mix In Nutrition'!A:A,'Sweetener Mix In Nutrition'!F:F,0))+(($Y231 / 100)  * _xlfn.XLOOKUP($K231,'Sweetener Mix In Nutrition'!A:A,'Sweetener Mix In Nutrition'!F:F,0))</f>
        <v>0</v>
      </c>
      <c r="AK231" s="46">
        <f>[2]Sheet1!AG231</f>
        <v>0</v>
      </c>
      <c r="AL231" s="47"/>
      <c r="AM231" s="40">
        <f>IF(ISERROR(((AL231/Specs!$L$3)*Specs!$L$2)*2),0,ROUNDUP((((AL231/Specs!$L$3)*Specs!$L$2)*2),0))</f>
        <v>0</v>
      </c>
      <c r="AN231" s="48">
        <f>ROUNDUP(((AJ231+Specs!$R$2+Specs!$S$2+_xlfn.XLOOKUP($L231,Specs!A:A,Specs!V:V,0))*Specs!$N$2)+AM231,0)</f>
        <v>1</v>
      </c>
      <c r="AO231" s="40">
        <f>ROUNDUP(((AJ231+Specs!$R$2+Specs!$S$2+_xlfn.XLOOKUP($L231,Specs!A:A,Specs!V:V,0))*Specs!$N$2),0)</f>
        <v>1</v>
      </c>
      <c r="AP231" s="30"/>
    </row>
    <row r="232" spans="1:42" x14ac:dyDescent="0.25">
      <c r="A232" s="41" t="str">
        <f>_xlfn.CONCAT(_xlfn.XLOOKUP("What's Your Name?",[1]Sheet1!$1:$1,[1]Sheet1!232:232)," | ",TEXT(_xlfn.XLOOKUP("Completion time",[1]Sheet1!$1:$1,[1]Sheet1!232:232),"dddd, mmm dd, yyyy hh:mm AM/PM"))</f>
        <v xml:space="preserve"> | Saturday, Jan 00, 1900 12:00 AM</v>
      </c>
      <c r="B232" s="76">
        <f>_xlfn.XLOOKUP("What's Your Email Address?",[1]Sheet1!$1:$1,[1]Sheet1!232:232)</f>
        <v>0</v>
      </c>
      <c r="C232" s="31">
        <f>IF(ISBLANK(_xlfn.XLOOKUP("Which Flavor? (Pint Price | Quart Price | Half Gallon Price) (NOTE: Prices may fluctuate based on market conditions)",[1]Sheet1!$1:$1,[1]Sheet1!232:232)),_xlfn.XLOOKUP("Name Your Ice Cream!",[1]Sheet1!$1:$1,[1]Sheet1!232:232),IF(ISNUMBER(FIND("(", _xlfn.XLOOKUP("Which Flavor? (Pint Price | Quart Price | Half Gallon Price) (NOTE: Prices may fluctuate based on market conditions)",[1]Sheet1!$1:$1,[1]Sheet1!232:232))), LEFT(_xlfn.XLOOKUP("Which Flavor? (Pint Price | Quart Price | Half Gallon Price) (NOTE: Prices may fluctuate based on market conditions)",[1]Sheet1!$1:$1,[1]Sheet1!232:232), FIND("(", _xlfn.XLOOKUP("Which Flavor? (Pint Price | Quart Price | Half Gallon Price) (NOTE: Prices may fluctuate based on market conditions)",[1]Sheet1!$1:$1,[1]Sheet1!232:232)) - 1), _xlfn.XLOOKUP("Which Flavor? (Pint Price | Quart Price | Half Gallon Price) (NOTE: Prices may fluctuate based on market conditions)",[1]Sheet1!$1:$1,[1]Sheet1!232:232)))</f>
        <v>0</v>
      </c>
      <c r="D232" s="31">
        <f>IF(COUNTIF('Premade Flavors'!$A:$A, $C232) &gt; 0,IF(ISBLANK(_xlfn.XLOOKUP("What Ice Cream Base Do You Want To Change It To?",[1]Sheet1!$1:$1,[1]Sheet1!232:232)),_xlfn.XLOOKUP($C232,'Premade Flavors'!$A:$A,'Premade Flavors'!B:B),_xlfn.XLOOKUP("What Ice Cream Base Do You Want To Change It To?",[1]Sheet1!$1:$1,[1]Sheet1!232:232)),_xlfn.XLOOKUP(_xlfn.XLOOKUP("What Kind Of Ice Cream Base Do You Want? ",[1]Sheet1!$1:$1,[1]Sheet1!232:232),'Milk Types Nutrition Per Cup'!O:O,'Milk Types Nutrition Per Cup'!P:P,""))</f>
        <v>0</v>
      </c>
      <c r="E232" s="31">
        <f>IF(COUNTIF('Premade Flavors'!$A:$A, $C232) &gt; 0,IF(ISBLANK(_xlfn.XLOOKUP("What Ice Cream Base Do You Want To Change It To?",[1]Sheet1!$1:$1,[1]Sheet1!232:232)),_xlfn.XLOOKUP($C232,'Premade Flavors'!$A:$A,'Premade Flavors'!C:C),_xlfn.XLOOKUP("What Ice Cream Base Do You Want To Change It To?",[1]Sheet1!$1:$1,[1]Sheet1!232:232)),_xlfn.XLOOKUP(_xlfn.XLOOKUP("What Kind Of Ice Cream Base Do You Want? ",[1]Sheet1!$1:$1,[1]Sheet1!232:232),'Milk Types Nutrition Per Cup'!$O:$O,'Milk Types Nutrition Per Cup'!$Q:$Q,""))</f>
        <v>0</v>
      </c>
      <c r="F232" s="31">
        <f>IF(COUNTIF('Premade Flavors'!$A:$A, $C232) &gt; 0,_xlfn.XLOOKUP($C232,'Premade Flavors'!$A:$A,'Premade Flavors'!E:E),_xlfn.XLOOKUP("What's The First Flavor You Want? ",[1]Sheet1!$1:$1,[1]Sheet1!232:232))</f>
        <v>0</v>
      </c>
      <c r="G232" s="31">
        <f>IF(COUNTIF('Premade Flavors'!$A:$A, $C232) &gt; 0,_xlfn.XLOOKUP($C232,'Premade Flavors'!$A:$A,'Premade Flavors'!F:F),_xlfn.XLOOKUP("What's the Second Flavor You Want?",[1]Sheet1!$1:$1,[1]Sheet1!232:232))</f>
        <v>0</v>
      </c>
      <c r="H232" s="31">
        <f>IF(COUNTIF('Premade Flavors'!$A:$A, $C232) &gt; 0,_xlfn.XLOOKUP($C232,'Premade Flavors'!$A:$A,'Premade Flavors'!G:G),_xlfn.XLOOKUP("What's The First Mix In That You Want? ",[1]Sheet1!$1:$1,[1]Sheet1!232:232))</f>
        <v>0</v>
      </c>
      <c r="I232" s="31">
        <f>IF(COUNTIF('Premade Flavors'!$A:$A, $C230) &gt; 0,_xlfn.XLOOKUP($C230,'Premade Flavors'!$A:$A,'Premade Flavors'!H:H),IF([2]Sheet1!W230= 0,,[2]Sheet1!W230))</f>
        <v>0</v>
      </c>
      <c r="J232" s="31">
        <f>IF(COUNTIF('Premade Flavors'!$A:$A,$C232)&gt;0,IF(_xlfn.XLOOKUP("Should It Use Sugar or A Non-Sugar Sweetner?",[1]Sheet1!$1:$1,[1]Sheet1!232:232)="Sugar",_xlfn.XLOOKUP($C232,'Premade Flavors'!$A:$A,'Premade Flavors'!I:I),"Stevia"),_xlfn.XLOOKUP("What Sweetner Do You Want?",[1]Sheet1!$1:$1,[1]Sheet1!232:232))</f>
        <v>0</v>
      </c>
      <c r="K232" s="31"/>
      <c r="L232" s="77">
        <f>_xlfn.XLOOKUP("How Much Ice Cream Do You Want?",[1]Sheet1!$1:$1,[1]Sheet1!232:232)</f>
        <v>0</v>
      </c>
      <c r="M232" s="45">
        <f>IF(COUNTIF('Premade Flavors'!$A:$A, $C232) &gt; 0,_xlfn.XLOOKUP($C232,'Premade Flavors'!$A:$A,'Premade Flavors'!M:M),_xlfn.XLOOKUP("How Strong Do You Want The First Flavor?",[1]Sheet1!$1:$1,[1]Sheet1!232:232))</f>
        <v>0</v>
      </c>
      <c r="N232" s="45">
        <f>IF(COUNTIF('Premade Flavors'!$A:$A, $C232) &gt; 0,_xlfn.XLOOKUP($C232,'Premade Flavors'!$A:$A,'Premade Flavors'!N:N),_xlfn.XLOOKUP("How Strong Do You Want The Second Flavor?",[1]Sheet1!$1:$1,[1]Sheet1!232:232))</f>
        <v>0</v>
      </c>
      <c r="O232" s="45">
        <f>IF(COUNTIF('Premade Flavors'!$A:$A, $C232) &gt; 0,_xlfn.XLOOKUP($C232,'Premade Flavors'!$A:$A,'Premade Flavors'!O:O),_xlfn.XLOOKUP("How Dense Should the Mix Ins Be?",[1]Sheet1!$1:$1,[1]Sheet1!232:232))</f>
        <v>0</v>
      </c>
      <c r="P232" s="45">
        <f>IF(COUNTIF('Premade Flavors'!$A:$A, $C232) &gt; 0,_xlfn.XLOOKUP($C232,'Premade Flavors'!$A:$A,'Premade Flavors'!P:P),_xlfn.XLOOKUP("How Much Of The First Sweetner? ",[1]Sheet1!$1:$1,[1]Sheet1!232:232))</f>
        <v>0</v>
      </c>
      <c r="Q232" s="45">
        <f>IF(COUNTIF('Premade Flavors'!$A:$A, $C232) &gt; 0,_xlfn.XLOOKUP($C232,'Premade Flavors'!$A:$A,'Premade Flavors'!Q:Q),[2]Sheet1!S232)</f>
        <v>0</v>
      </c>
      <c r="R232" s="30">
        <f>(_xlfn.XLOOKUP($L232,Specs!A:A,Specs!B:B,0)-(IF(_xlfn.XLOOKUP($F232,'Liquid Mix In Nutrition'!A:A,'Liquid Mix In Nutrition'!J:J,0)="Yes",0,$T232))-(IF(_xlfn.XLOOKUP($G232,'Liquid Mix In Nutrition'!A:A,'Liquid Mix In Nutrition'!J:J,0)="Yes",0,$U232))-(($V232/MAX(1,_xlfn.XLOOKUP($H232,'Solid Mix In Nutrition'!A:A,'Solid Mix In Nutrition'!I:I,1)))*240)-(($W232/MAX(1,_xlfn.XLOOKUP($I232,'Solid Mix In Nutrition'!A:A,'Solid Mix In Nutrition'!I:I,1)))*240))*0.66</f>
        <v>0</v>
      </c>
      <c r="S232" s="30">
        <f>(_xlfn.XLOOKUP($L232,Specs!A:A,Specs!B:B,0)-(IF(_xlfn.XLOOKUP($F232,'Liquid Mix In Nutrition'!A:A,'Liquid Mix In Nutrition'!J:J,0)="Yes",0,$T232))-(IF(_xlfn.XLOOKUP($G232,'Liquid Mix In Nutrition'!A:A,'Liquid Mix In Nutrition'!J:J,0)="Yes",0,$U232))-(($V232/MAX(1,_xlfn.XLOOKUP($H232,'Solid Mix In Nutrition'!A:A,'Solid Mix In Nutrition'!I:I,1)))*240)-(($W232/MAX(1,_xlfn.XLOOKUP($I232,'Solid Mix In Nutrition'!A:A,'Solid Mix In Nutrition'!I:I,1)))*240))*0.33</f>
        <v>0</v>
      </c>
      <c r="T232" s="30">
        <f>_xlfn.XLOOKUP($M232,Specs!$D:$D,Specs!$E:$E,0)*15*_xlfn.XLOOKUP($L232,Specs!$A:$A,Specs!$C:$C,0)</f>
        <v>0</v>
      </c>
      <c r="U232" s="30">
        <f>_xlfn.XLOOKUP($N232,Specs!$D:$D,Specs!$E:$E,0)*15*_xlfn.XLOOKUP($L232,Specs!$A:$A,Specs!$C:$C,0)</f>
        <v>0</v>
      </c>
      <c r="V232" s="30">
        <f>( ((_xlfn.XLOOKUP($O232,Specs!$H:$H,Specs!$I:$I,0)*_xlfn.XLOOKUP($L232,Specs!$A:$A,Specs!$B:$B,0))/240) *_xlfn.XLOOKUP($H232,'Solid Mix In Nutrition'!A:A,'Solid Mix In Nutrition'!I:I,0)) *IF(AND(NOT($I232=0), COUNTA($I232)),0.5,1)</f>
        <v>0</v>
      </c>
      <c r="W232" s="30">
        <f>( ((_xlfn.XLOOKUP($O232,Specs!$H:$H,Specs!$I:$I,0)*_xlfn.XLOOKUP($L232,Specs!$A:$A,Specs!$B:$B,0))/240) *_xlfn.XLOOKUP($I232,'Solid Mix In Nutrition'!A:A,'Solid Mix In Nutrition'!I:I,0)) *IF(AND(NOT($I232=0), COUNTA($I232)),0.5,0)</f>
        <v>0</v>
      </c>
      <c r="X232" s="30">
        <f>_xlfn.XLOOKUP($P232,Specs!F:F,Specs!G:G,0)*_xlfn.XLOOKUP($J232,'Sweetener Mix In Nutrition'!A:A,'Sweetener Mix In Nutrition'!I:I,0)*_xlfn.XLOOKUP($L232,Specs!A:A,Specs!C:C,0)</f>
        <v>0</v>
      </c>
      <c r="Y232" s="30">
        <f>_xlfn.XLOOKUP($Q232,Specs!F:F,Specs!G:G,0)*_xlfn.XLOOKUP($K232,'Sweetener Mix In Nutrition'!A:A,'Sweetener Mix In Nutrition'!I:I,0)*_xlfn.XLOOKUP($L232,Specs!A:A,Specs!C:C,0)</f>
        <v>0</v>
      </c>
      <c r="Z232" s="34">
        <f t="shared" si="8"/>
        <v>0</v>
      </c>
      <c r="AA232" s="35">
        <f t="shared" si="9"/>
        <v>0</v>
      </c>
      <c r="AB232" s="36">
        <f>(($R232 / 240) * _xlfn.XLOOKUP($D232,'Milk Types Nutrition Per Cup'!A:A,'Milk Types Nutrition Per Cup'!B:B,0)) +(($S232 / 240)  * _xlfn.XLOOKUP($E232,'Milk Types Nutrition Per Cup'!A:A,'Milk Types Nutrition Per Cup'!B:B,0)) +(($T232 / 15)  * _xlfn.XLOOKUP($F232,'Liquid Mix In Nutrition'!A:A,'Liquid Mix In Nutrition'!B:B,0))+(($U232 / 15)  * _xlfn.XLOOKUP($G232,'Liquid Mix In Nutrition'!A:A,'Liquid Mix In Nutrition'!B:B,0))+(($V232 /MAX(1, _xlfn.XLOOKUP($H232,'Solid Mix In Nutrition'!A:A,'Solid Mix In Nutrition'!I:I,1)))  * _xlfn.XLOOKUP($H232,'Solid Mix In Nutrition'!A:A,'Solid Mix In Nutrition'!B:B,0))+(($W232 / MAX(1, _xlfn.XLOOKUP($I232,'Solid Mix In Nutrition'!A:A,'Solid Mix In Nutrition'!I:I,1))))+(($X232 / 100)  * _xlfn.XLOOKUP($J232,'Sweetener Mix In Nutrition'!A:A,'Sweetener Mix In Nutrition'!B:B,0))+(($Y232 / 100)  * _xlfn.XLOOKUP($K232,'Sweetener Mix In Nutrition'!A:A,'Sweetener Mix In Nutrition'!B:B,0))</f>
        <v>0</v>
      </c>
      <c r="AC232" s="36">
        <f>(($R232 / 240) * _xlfn.XLOOKUP($D232,'Milk Types Nutrition Per Cup'!A:A,'Milk Types Nutrition Per Cup'!E:E,0)) +(($S232 / 240)  * _xlfn.XLOOKUP($E232,'Milk Types Nutrition Per Cup'!A:A,'Milk Types Nutrition Per Cup'!E:E,0)) +(($T232 / 15)  * _xlfn.XLOOKUP($F232,'Liquid Mix In Nutrition'!A:A,'Liquid Mix In Nutrition'!E:E,0)) +(($U232 / 15)  * _xlfn.XLOOKUP($G232,'Liquid Mix In Nutrition'!A:A,'Liquid Mix In Nutrition'!E:E,0))+(($V232 / MAX(1, _xlfn.XLOOKUP($H232,'Solid Mix In Nutrition'!A:A,'Solid Mix In Nutrition'!I:I,1)))  * _xlfn.XLOOKUP($H232,'Solid Mix In Nutrition'!A:A,'Solid Mix In Nutrition'!E:E,0))+(($W232 / MAX(1, _xlfn.XLOOKUP($I232,'Solid Mix In Nutrition'!A:A,'Solid Mix In Nutrition'!I:I,1)))  * _xlfn.XLOOKUP($I232,'Solid Mix In Nutrition'!A:A,'Solid Mix In Nutrition'!G:G,0))+(($X232 / 100)  * _xlfn.XLOOKUP($J232,'Sweetener Mix In Nutrition'!A:A,'Sweetener Mix In Nutrition'!E:E,0))+(($Y232 / 100)  * _xlfn.XLOOKUP($K232,'Sweetener Mix In Nutrition'!A:A,'Sweetener Mix In Nutrition'!E:E,0))</f>
        <v>0</v>
      </c>
      <c r="AD232" s="36">
        <f>(($R232 / 240) * _xlfn.XLOOKUP($D232,'Milk Types Nutrition Per Cup'!A:A,'Milk Types Nutrition Per Cup'!E:E,0)) +(($S232 / 240)  * _xlfn.XLOOKUP($E232,'Milk Types Nutrition Per Cup'!A:A,'Milk Types Nutrition Per Cup'!E:E,0)) +(($T232 / 15)  * _xlfn.XLOOKUP($F232,'Liquid Mix In Nutrition'!A:A,'Liquid Mix In Nutrition'!E:E,0)) +(($U232 / 15)  * _xlfn.XLOOKUP($G232,'Liquid Mix In Nutrition'!A:A,'Liquid Mix In Nutrition'!E:E,0))+(($X232 / 100)  * _xlfn.XLOOKUP($J232,'Sweetener Mix In Nutrition'!A:A,'Sweetener Mix In Nutrition'!E:E,0))+(($Y232 / 100)  * _xlfn.XLOOKUP($K232,'Sweetener Mix In Nutrition'!A:A,'Sweetener Mix In Nutrition'!E:E,0))</f>
        <v>0</v>
      </c>
      <c r="AE232" s="37">
        <f>(($R232 / 240) * _xlfn.XLOOKUP($D232,'Milk Types Nutrition Per Cup'!A:A,'Milk Types Nutrition Per Cup'!C:C,0)) +(($S232 / 240)  * _xlfn.XLOOKUP($E232,'Milk Types Nutrition Per Cup'!A:A,'Milk Types Nutrition Per Cup'!C:C,0)) +(($T232 / 15)  * _xlfn.XLOOKUP($F232,'Liquid Mix In Nutrition'!A:A,'Liquid Mix In Nutrition'!C:C,0))+(($U232 / 15)  * _xlfn.XLOOKUP($G232,'Liquid Mix In Nutrition'!A:A,'Liquid Mix In Nutrition'!C:C,0))+(($V232 / MAX(1, _xlfn.XLOOKUP($H232,'Solid Mix In Nutrition'!A:A,'Solid Mix In Nutrition'!I:I,1)))  * _xlfn.XLOOKUP($H232,'Solid Mix In Nutrition'!A:A,'Solid Mix In Nutrition'!C:C,0))+(($W232 / MAX(1, _xlfn.XLOOKUP($I232,'Solid Mix In Nutrition'!A:A,'Solid Mix In Nutrition'!I:I,1)))  * _xlfn.XLOOKUP($I232,'Solid Mix In Nutrition'!A:A,'Solid Mix In Nutrition'!C:C,0))+(($X232 / 100)  * _xlfn.XLOOKUP($J232,'Sweetener Mix In Nutrition'!A:A,'Sweetener Mix In Nutrition'!C:C,0))+(($Y232 / 100)  * _xlfn.XLOOKUP($K232,'Sweetener Mix In Nutrition'!A:A,'Sweetener Mix In Nutrition'!C:C,0))</f>
        <v>0</v>
      </c>
      <c r="AF232" s="38" t="e">
        <f>$AE232 / (_xlfn.XLOOKUP($L232,Specs!A:A,Specs!B:B,0))</f>
        <v>#DIV/0!</v>
      </c>
      <c r="AG232" s="37" t="e">
        <f>60* ($AB232 / _xlfn.XLOOKUP($L232,Specs!A:A,Specs!B:B,0))</f>
        <v>#DIV/0!</v>
      </c>
      <c r="AH232" s="37" t="e">
        <f>60* (AC232 / _xlfn.XLOOKUP($L232,Specs!$A:$A,Specs!$B:$B,0))</f>
        <v>#DIV/0!</v>
      </c>
      <c r="AI232" s="37" t="e">
        <f>60* (AE232 / _xlfn.XLOOKUP($L232,Specs!$A:$A,Specs!$B:$B,0))</f>
        <v>#DIV/0!</v>
      </c>
      <c r="AJ232" s="39">
        <f>(($R232 / 240) * _xlfn.XLOOKUP($D232,'Milk Types Nutrition Per Cup'!A:A,'Milk Types Nutrition Per Cup'!F:F,0)) +(($S232 / 240)  * _xlfn.XLOOKUP($E232,'Milk Types Nutrition Per Cup'!A:A,'Milk Types Nutrition Per Cup'!F:F,0)) +(($T232 / 15)  * _xlfn.XLOOKUP($F232,'Liquid Mix In Nutrition'!A:A,'Liquid Mix In Nutrition'!F:F,0))+(($U232 / 15)  * _xlfn.XLOOKUP($G232,'Liquid Mix In Nutrition'!A:A,'Liquid Mix In Nutrition'!F:F,0))+(($V232 / MAX(1, _xlfn.XLOOKUP($H232,'Solid Mix In Nutrition'!A:A,'Solid Mix In Nutrition'!I:I,1)))  * _xlfn.XLOOKUP($H232,'Solid Mix In Nutrition'!A:A,'Solid Mix In Nutrition'!F:F,0))+(($W232 / MAX(1, _xlfn.XLOOKUP($I232,'Solid Mix In Nutrition'!A:A,'Solid Mix In Nutrition'!I:I,1)))  * _xlfn.XLOOKUP($I232,'Solid Mix In Nutrition'!A:A,'Solid Mix In Nutrition'!F:F,0))+(($X232 / 100)  * _xlfn.XLOOKUP($J232,'Sweetener Mix In Nutrition'!A:A,'Sweetener Mix In Nutrition'!F:F,0))+(($Y232 / 100)  * _xlfn.XLOOKUP($K232,'Sweetener Mix In Nutrition'!A:A,'Sweetener Mix In Nutrition'!F:F,0))</f>
        <v>0</v>
      </c>
      <c r="AK232" s="46">
        <f>[2]Sheet1!AG232</f>
        <v>0</v>
      </c>
      <c r="AL232" s="47"/>
      <c r="AM232" s="40">
        <f>IF(ISERROR(((AL232/Specs!$L$3)*Specs!$L$2)*2),0,ROUNDUP((((AL232/Specs!$L$3)*Specs!$L$2)*2),0))</f>
        <v>0</v>
      </c>
      <c r="AN232" s="48">
        <f>ROUNDUP(((AJ232+Specs!$R$2+Specs!$S$2+_xlfn.XLOOKUP($L232,Specs!A:A,Specs!V:V,0))*Specs!$N$2)+AM232,0)</f>
        <v>1</v>
      </c>
      <c r="AO232" s="40">
        <f>ROUNDUP(((AJ232+Specs!$R$2+Specs!$S$2+_xlfn.XLOOKUP($L232,Specs!A:A,Specs!V:V,0))*Specs!$N$2),0)</f>
        <v>1</v>
      </c>
      <c r="AP232" s="30"/>
    </row>
    <row r="233" spans="1:42" x14ac:dyDescent="0.25">
      <c r="A233" s="41" t="str">
        <f>_xlfn.CONCAT(_xlfn.XLOOKUP("What's Your Name?",[1]Sheet1!$1:$1,[1]Sheet1!233:233)," | ",TEXT(_xlfn.XLOOKUP("Completion time",[1]Sheet1!$1:$1,[1]Sheet1!233:233),"dddd, mmm dd, yyyy hh:mm AM/PM"))</f>
        <v xml:space="preserve"> | Saturday, Jan 00, 1900 12:00 AM</v>
      </c>
      <c r="B233" s="76">
        <f>_xlfn.XLOOKUP("What's Your Email Address?",[1]Sheet1!$1:$1,[1]Sheet1!233:233)</f>
        <v>0</v>
      </c>
      <c r="C233" s="31">
        <f>IF(ISBLANK(_xlfn.XLOOKUP("Which Flavor? (Pint Price | Quart Price | Half Gallon Price) (NOTE: Prices may fluctuate based on market conditions)",[1]Sheet1!$1:$1,[1]Sheet1!233:233)),_xlfn.XLOOKUP("Name Your Ice Cream!",[1]Sheet1!$1:$1,[1]Sheet1!233:233),IF(ISNUMBER(FIND("(", _xlfn.XLOOKUP("Which Flavor? (Pint Price | Quart Price | Half Gallon Price) (NOTE: Prices may fluctuate based on market conditions)",[1]Sheet1!$1:$1,[1]Sheet1!233:233))), LEFT(_xlfn.XLOOKUP("Which Flavor? (Pint Price | Quart Price | Half Gallon Price) (NOTE: Prices may fluctuate based on market conditions)",[1]Sheet1!$1:$1,[1]Sheet1!233:233), FIND("(", _xlfn.XLOOKUP("Which Flavor? (Pint Price | Quart Price | Half Gallon Price) (NOTE: Prices may fluctuate based on market conditions)",[1]Sheet1!$1:$1,[1]Sheet1!233:233)) - 1), _xlfn.XLOOKUP("Which Flavor? (Pint Price | Quart Price | Half Gallon Price) (NOTE: Prices may fluctuate based on market conditions)",[1]Sheet1!$1:$1,[1]Sheet1!233:233)))</f>
        <v>0</v>
      </c>
      <c r="D233" s="31">
        <f>IF(COUNTIF('Premade Flavors'!$A:$A, $C233) &gt; 0,IF(ISBLANK(_xlfn.XLOOKUP("What Ice Cream Base Do You Want To Change It To?",[1]Sheet1!$1:$1,[1]Sheet1!233:233)),_xlfn.XLOOKUP($C233,'Premade Flavors'!$A:$A,'Premade Flavors'!B:B),_xlfn.XLOOKUP("What Ice Cream Base Do You Want To Change It To?",[1]Sheet1!$1:$1,[1]Sheet1!233:233)),_xlfn.XLOOKUP(_xlfn.XLOOKUP("What Kind Of Ice Cream Base Do You Want? ",[1]Sheet1!$1:$1,[1]Sheet1!233:233),'Milk Types Nutrition Per Cup'!O:O,'Milk Types Nutrition Per Cup'!P:P,""))</f>
        <v>0</v>
      </c>
      <c r="E233" s="31">
        <f>IF(COUNTIF('Premade Flavors'!$A:$A, $C233) &gt; 0,IF(ISBLANK(_xlfn.XLOOKUP("What Ice Cream Base Do You Want To Change It To?",[1]Sheet1!$1:$1,[1]Sheet1!233:233)),_xlfn.XLOOKUP($C233,'Premade Flavors'!$A:$A,'Premade Flavors'!C:C),_xlfn.XLOOKUP("What Ice Cream Base Do You Want To Change It To?",[1]Sheet1!$1:$1,[1]Sheet1!233:233)),_xlfn.XLOOKUP(_xlfn.XLOOKUP("What Kind Of Ice Cream Base Do You Want? ",[1]Sheet1!$1:$1,[1]Sheet1!233:233),'Milk Types Nutrition Per Cup'!$O:$O,'Milk Types Nutrition Per Cup'!$Q:$Q,""))</f>
        <v>0</v>
      </c>
      <c r="F233" s="31">
        <f>IF(COUNTIF('Premade Flavors'!$A:$A, $C233) &gt; 0,_xlfn.XLOOKUP($C233,'Premade Flavors'!$A:$A,'Premade Flavors'!E:E),_xlfn.XLOOKUP("What's The First Flavor You Want? ",[1]Sheet1!$1:$1,[1]Sheet1!233:233))</f>
        <v>0</v>
      </c>
      <c r="G233" s="31">
        <f>IF(COUNTIF('Premade Flavors'!$A:$A, $C233) &gt; 0,_xlfn.XLOOKUP($C233,'Premade Flavors'!$A:$A,'Premade Flavors'!F:F),_xlfn.XLOOKUP("What's the Second Flavor You Want?",[1]Sheet1!$1:$1,[1]Sheet1!233:233))</f>
        <v>0</v>
      </c>
      <c r="H233" s="31">
        <f>IF(COUNTIF('Premade Flavors'!$A:$A, $C233) &gt; 0,_xlfn.XLOOKUP($C233,'Premade Flavors'!$A:$A,'Premade Flavors'!G:G),_xlfn.XLOOKUP("What's The First Mix In That You Want? ",[1]Sheet1!$1:$1,[1]Sheet1!233:233))</f>
        <v>0</v>
      </c>
      <c r="I233" s="31">
        <f>IF(COUNTIF('Premade Flavors'!$A:$A, $C231) &gt; 0,_xlfn.XLOOKUP($C231,'Premade Flavors'!$A:$A,'Premade Flavors'!H:H),IF([2]Sheet1!W231= 0,,[2]Sheet1!W231))</f>
        <v>0</v>
      </c>
      <c r="J233" s="31">
        <f>IF(COUNTIF('Premade Flavors'!$A:$A,$C233)&gt;0,IF(_xlfn.XLOOKUP("Should It Use Sugar or A Non-Sugar Sweetner?",[1]Sheet1!$1:$1,[1]Sheet1!233:233)="Sugar",_xlfn.XLOOKUP($C233,'Premade Flavors'!$A:$A,'Premade Flavors'!I:I),"Stevia"),_xlfn.XLOOKUP("What Sweetner Do You Want?",[1]Sheet1!$1:$1,[1]Sheet1!233:233))</f>
        <v>0</v>
      </c>
      <c r="K233" s="31"/>
      <c r="L233" s="77">
        <f>_xlfn.XLOOKUP("How Much Ice Cream Do You Want?",[1]Sheet1!$1:$1,[1]Sheet1!233:233)</f>
        <v>0</v>
      </c>
      <c r="M233" s="45">
        <f>IF(COUNTIF('Premade Flavors'!$A:$A, $C233) &gt; 0,_xlfn.XLOOKUP($C233,'Premade Flavors'!$A:$A,'Premade Flavors'!M:M),_xlfn.XLOOKUP("How Strong Do You Want The First Flavor?",[1]Sheet1!$1:$1,[1]Sheet1!233:233))</f>
        <v>0</v>
      </c>
      <c r="N233" s="45">
        <f>IF(COUNTIF('Premade Flavors'!$A:$A, $C233) &gt; 0,_xlfn.XLOOKUP($C233,'Premade Flavors'!$A:$A,'Premade Flavors'!N:N),_xlfn.XLOOKUP("How Strong Do You Want The Second Flavor?",[1]Sheet1!$1:$1,[1]Sheet1!233:233))</f>
        <v>0</v>
      </c>
      <c r="O233" s="45">
        <f>IF(COUNTIF('Premade Flavors'!$A:$A, $C233) &gt; 0,_xlfn.XLOOKUP($C233,'Premade Flavors'!$A:$A,'Premade Flavors'!O:O),_xlfn.XLOOKUP("How Dense Should the Mix Ins Be?",[1]Sheet1!$1:$1,[1]Sheet1!233:233))</f>
        <v>0</v>
      </c>
      <c r="P233" s="45">
        <f>IF(COUNTIF('Premade Flavors'!$A:$A, $C233) &gt; 0,_xlfn.XLOOKUP($C233,'Premade Flavors'!$A:$A,'Premade Flavors'!P:P),_xlfn.XLOOKUP("How Much Of The First Sweetner? ",[1]Sheet1!$1:$1,[1]Sheet1!233:233))</f>
        <v>0</v>
      </c>
      <c r="Q233" s="45">
        <f>IF(COUNTIF('Premade Flavors'!$A:$A, $C233) &gt; 0,_xlfn.XLOOKUP($C233,'Premade Flavors'!$A:$A,'Premade Flavors'!Q:Q),[2]Sheet1!S233)</f>
        <v>0</v>
      </c>
      <c r="R233" s="30">
        <f>(_xlfn.XLOOKUP($L233,Specs!A:A,Specs!B:B,0)-(IF(_xlfn.XLOOKUP($F233,'Liquid Mix In Nutrition'!A:A,'Liquid Mix In Nutrition'!J:J,0)="Yes",0,$T233))-(IF(_xlfn.XLOOKUP($G233,'Liquid Mix In Nutrition'!A:A,'Liquid Mix In Nutrition'!J:J,0)="Yes",0,$U233))-(($V233/MAX(1,_xlfn.XLOOKUP($H233,'Solid Mix In Nutrition'!A:A,'Solid Mix In Nutrition'!I:I,1)))*240)-(($W233/MAX(1,_xlfn.XLOOKUP($I233,'Solid Mix In Nutrition'!A:A,'Solid Mix In Nutrition'!I:I,1)))*240))*0.66</f>
        <v>0</v>
      </c>
      <c r="S233" s="30">
        <f>(_xlfn.XLOOKUP($L233,Specs!A:A,Specs!B:B,0)-(IF(_xlfn.XLOOKUP($F233,'Liquid Mix In Nutrition'!A:A,'Liquid Mix In Nutrition'!J:J,0)="Yes",0,$T233))-(IF(_xlfn.XLOOKUP($G233,'Liquid Mix In Nutrition'!A:A,'Liquid Mix In Nutrition'!J:J,0)="Yes",0,$U233))-(($V233/MAX(1,_xlfn.XLOOKUP($H233,'Solid Mix In Nutrition'!A:A,'Solid Mix In Nutrition'!I:I,1)))*240)-(($W233/MAX(1,_xlfn.XLOOKUP($I233,'Solid Mix In Nutrition'!A:A,'Solid Mix In Nutrition'!I:I,1)))*240))*0.33</f>
        <v>0</v>
      </c>
      <c r="T233" s="30">
        <f>_xlfn.XLOOKUP($M233,Specs!$D:$D,Specs!$E:$E,0)*15*_xlfn.XLOOKUP($L233,Specs!$A:$A,Specs!$C:$C,0)</f>
        <v>0</v>
      </c>
      <c r="U233" s="30">
        <f>_xlfn.XLOOKUP($N233,Specs!$D:$D,Specs!$E:$E,0)*15*_xlfn.XLOOKUP($L233,Specs!$A:$A,Specs!$C:$C,0)</f>
        <v>0</v>
      </c>
      <c r="V233" s="30">
        <f>( ((_xlfn.XLOOKUP($O233,Specs!$H:$H,Specs!$I:$I,0)*_xlfn.XLOOKUP($L233,Specs!$A:$A,Specs!$B:$B,0))/240) *_xlfn.XLOOKUP($H233,'Solid Mix In Nutrition'!A:A,'Solid Mix In Nutrition'!I:I,0)) *IF(AND(NOT($I233=0), COUNTA($I233)),0.5,1)</f>
        <v>0</v>
      </c>
      <c r="W233" s="30">
        <f>( ((_xlfn.XLOOKUP($O233,Specs!$H:$H,Specs!$I:$I,0)*_xlfn.XLOOKUP($L233,Specs!$A:$A,Specs!$B:$B,0))/240) *_xlfn.XLOOKUP($I233,'Solid Mix In Nutrition'!A:A,'Solid Mix In Nutrition'!I:I,0)) *IF(AND(NOT($I233=0), COUNTA($I233)),0.5,0)</f>
        <v>0</v>
      </c>
      <c r="X233" s="30">
        <f>_xlfn.XLOOKUP($P233,Specs!F:F,Specs!G:G,0)*_xlfn.XLOOKUP($J233,'Sweetener Mix In Nutrition'!A:A,'Sweetener Mix In Nutrition'!I:I,0)*_xlfn.XLOOKUP($L233,Specs!A:A,Specs!C:C,0)</f>
        <v>0</v>
      </c>
      <c r="Y233" s="30">
        <f>_xlfn.XLOOKUP($Q233,Specs!F:F,Specs!G:G,0)*_xlfn.XLOOKUP($K233,'Sweetener Mix In Nutrition'!A:A,'Sweetener Mix In Nutrition'!I:I,0)*_xlfn.XLOOKUP($L233,Specs!A:A,Specs!C:C,0)</f>
        <v>0</v>
      </c>
      <c r="Z233" s="34">
        <f t="shared" si="8"/>
        <v>0</v>
      </c>
      <c r="AA233" s="35">
        <f t="shared" si="9"/>
        <v>0</v>
      </c>
      <c r="AB233" s="36">
        <f>(($R233 / 240) * _xlfn.XLOOKUP($D233,'Milk Types Nutrition Per Cup'!A:A,'Milk Types Nutrition Per Cup'!B:B,0)) +(($S233 / 240)  * _xlfn.XLOOKUP($E233,'Milk Types Nutrition Per Cup'!A:A,'Milk Types Nutrition Per Cup'!B:B,0)) +(($T233 / 15)  * _xlfn.XLOOKUP($F233,'Liquid Mix In Nutrition'!A:A,'Liquid Mix In Nutrition'!B:B,0))+(($U233 / 15)  * _xlfn.XLOOKUP($G233,'Liquid Mix In Nutrition'!A:A,'Liquid Mix In Nutrition'!B:B,0))+(($V233 /MAX(1, _xlfn.XLOOKUP($H233,'Solid Mix In Nutrition'!A:A,'Solid Mix In Nutrition'!I:I,1)))  * _xlfn.XLOOKUP($H233,'Solid Mix In Nutrition'!A:A,'Solid Mix In Nutrition'!B:B,0))+(($W233 / MAX(1, _xlfn.XLOOKUP($I233,'Solid Mix In Nutrition'!A:A,'Solid Mix In Nutrition'!I:I,1))))+(($X233 / 100)  * _xlfn.XLOOKUP($J233,'Sweetener Mix In Nutrition'!A:A,'Sweetener Mix In Nutrition'!B:B,0))+(($Y233 / 100)  * _xlfn.XLOOKUP($K233,'Sweetener Mix In Nutrition'!A:A,'Sweetener Mix In Nutrition'!B:B,0))</f>
        <v>0</v>
      </c>
      <c r="AC233" s="36">
        <f>(($R233 / 240) * _xlfn.XLOOKUP($D233,'Milk Types Nutrition Per Cup'!A:A,'Milk Types Nutrition Per Cup'!E:E,0)) +(($S233 / 240)  * _xlfn.XLOOKUP($E233,'Milk Types Nutrition Per Cup'!A:A,'Milk Types Nutrition Per Cup'!E:E,0)) +(($T233 / 15)  * _xlfn.XLOOKUP($F233,'Liquid Mix In Nutrition'!A:A,'Liquid Mix In Nutrition'!E:E,0)) +(($U233 / 15)  * _xlfn.XLOOKUP($G233,'Liquid Mix In Nutrition'!A:A,'Liquid Mix In Nutrition'!E:E,0))+(($V233 / MAX(1, _xlfn.XLOOKUP($H233,'Solid Mix In Nutrition'!A:A,'Solid Mix In Nutrition'!I:I,1)))  * _xlfn.XLOOKUP($H233,'Solid Mix In Nutrition'!A:A,'Solid Mix In Nutrition'!E:E,0))+(($W233 / MAX(1, _xlfn.XLOOKUP($I233,'Solid Mix In Nutrition'!A:A,'Solid Mix In Nutrition'!I:I,1)))  * _xlfn.XLOOKUP($I233,'Solid Mix In Nutrition'!A:A,'Solid Mix In Nutrition'!G:G,0))+(($X233 / 100)  * _xlfn.XLOOKUP($J233,'Sweetener Mix In Nutrition'!A:A,'Sweetener Mix In Nutrition'!E:E,0))+(($Y233 / 100)  * _xlfn.XLOOKUP($K233,'Sweetener Mix In Nutrition'!A:A,'Sweetener Mix In Nutrition'!E:E,0))</f>
        <v>0</v>
      </c>
      <c r="AD233" s="36">
        <f>(($R233 / 240) * _xlfn.XLOOKUP($D233,'Milk Types Nutrition Per Cup'!A:A,'Milk Types Nutrition Per Cup'!E:E,0)) +(($S233 / 240)  * _xlfn.XLOOKUP($E233,'Milk Types Nutrition Per Cup'!A:A,'Milk Types Nutrition Per Cup'!E:E,0)) +(($T233 / 15)  * _xlfn.XLOOKUP($F233,'Liquid Mix In Nutrition'!A:A,'Liquid Mix In Nutrition'!E:E,0)) +(($U233 / 15)  * _xlfn.XLOOKUP($G233,'Liquid Mix In Nutrition'!A:A,'Liquid Mix In Nutrition'!E:E,0))+(($X233 / 100)  * _xlfn.XLOOKUP($J233,'Sweetener Mix In Nutrition'!A:A,'Sweetener Mix In Nutrition'!E:E,0))+(($Y233 / 100)  * _xlfn.XLOOKUP($K233,'Sweetener Mix In Nutrition'!A:A,'Sweetener Mix In Nutrition'!E:E,0))</f>
        <v>0</v>
      </c>
      <c r="AE233" s="37">
        <f>(($R233 / 240) * _xlfn.XLOOKUP($D233,'Milk Types Nutrition Per Cup'!A:A,'Milk Types Nutrition Per Cup'!C:C,0)) +(($S233 / 240)  * _xlfn.XLOOKUP($E233,'Milk Types Nutrition Per Cup'!A:A,'Milk Types Nutrition Per Cup'!C:C,0)) +(($T233 / 15)  * _xlfn.XLOOKUP($F233,'Liquid Mix In Nutrition'!A:A,'Liquid Mix In Nutrition'!C:C,0))+(($U233 / 15)  * _xlfn.XLOOKUP($G233,'Liquid Mix In Nutrition'!A:A,'Liquid Mix In Nutrition'!C:C,0))+(($V233 / MAX(1, _xlfn.XLOOKUP($H233,'Solid Mix In Nutrition'!A:A,'Solid Mix In Nutrition'!I:I,1)))  * _xlfn.XLOOKUP($H233,'Solid Mix In Nutrition'!A:A,'Solid Mix In Nutrition'!C:C,0))+(($W233 / MAX(1, _xlfn.XLOOKUP($I233,'Solid Mix In Nutrition'!A:A,'Solid Mix In Nutrition'!I:I,1)))  * _xlfn.XLOOKUP($I233,'Solid Mix In Nutrition'!A:A,'Solid Mix In Nutrition'!C:C,0))+(($X233 / 100)  * _xlfn.XLOOKUP($J233,'Sweetener Mix In Nutrition'!A:A,'Sweetener Mix In Nutrition'!C:C,0))+(($Y233 / 100)  * _xlfn.XLOOKUP($K233,'Sweetener Mix In Nutrition'!A:A,'Sweetener Mix In Nutrition'!C:C,0))</f>
        <v>0</v>
      </c>
      <c r="AF233" s="38" t="e">
        <f>$AE233 / (_xlfn.XLOOKUP($L233,Specs!A:A,Specs!B:B,0))</f>
        <v>#DIV/0!</v>
      </c>
      <c r="AG233" s="37" t="e">
        <f>60* ($AB233 / _xlfn.XLOOKUP($L233,Specs!A:A,Specs!B:B,0))</f>
        <v>#DIV/0!</v>
      </c>
      <c r="AH233" s="37" t="e">
        <f>60* (AC233 / _xlfn.XLOOKUP($L233,Specs!$A:$A,Specs!$B:$B,0))</f>
        <v>#DIV/0!</v>
      </c>
      <c r="AI233" s="37" t="e">
        <f>60* (AE233 / _xlfn.XLOOKUP($L233,Specs!$A:$A,Specs!$B:$B,0))</f>
        <v>#DIV/0!</v>
      </c>
      <c r="AJ233" s="39">
        <f>(($R233 / 240) * _xlfn.XLOOKUP($D233,'Milk Types Nutrition Per Cup'!A:A,'Milk Types Nutrition Per Cup'!F:F,0)) +(($S233 / 240)  * _xlfn.XLOOKUP($E233,'Milk Types Nutrition Per Cup'!A:A,'Milk Types Nutrition Per Cup'!F:F,0)) +(($T233 / 15)  * _xlfn.XLOOKUP($F233,'Liquid Mix In Nutrition'!A:A,'Liquid Mix In Nutrition'!F:F,0))+(($U233 / 15)  * _xlfn.XLOOKUP($G233,'Liquid Mix In Nutrition'!A:A,'Liquid Mix In Nutrition'!F:F,0))+(($V233 / MAX(1, _xlfn.XLOOKUP($H233,'Solid Mix In Nutrition'!A:A,'Solid Mix In Nutrition'!I:I,1)))  * _xlfn.XLOOKUP($H233,'Solid Mix In Nutrition'!A:A,'Solid Mix In Nutrition'!F:F,0))+(($W233 / MAX(1, _xlfn.XLOOKUP($I233,'Solid Mix In Nutrition'!A:A,'Solid Mix In Nutrition'!I:I,1)))  * _xlfn.XLOOKUP($I233,'Solid Mix In Nutrition'!A:A,'Solid Mix In Nutrition'!F:F,0))+(($X233 / 100)  * _xlfn.XLOOKUP($J233,'Sweetener Mix In Nutrition'!A:A,'Sweetener Mix In Nutrition'!F:F,0))+(($Y233 / 100)  * _xlfn.XLOOKUP($K233,'Sweetener Mix In Nutrition'!A:A,'Sweetener Mix In Nutrition'!F:F,0))</f>
        <v>0</v>
      </c>
      <c r="AK233" s="46">
        <f>[2]Sheet1!AG233</f>
        <v>0</v>
      </c>
      <c r="AL233" s="47"/>
      <c r="AM233" s="40">
        <f>IF(ISERROR(((AL233/Specs!$L$3)*Specs!$L$2)*2),0,ROUNDUP((((AL233/Specs!$L$3)*Specs!$L$2)*2),0))</f>
        <v>0</v>
      </c>
      <c r="AN233" s="48">
        <f>ROUNDUP(((AJ233+Specs!$R$2+Specs!$S$2+_xlfn.XLOOKUP($L233,Specs!A:A,Specs!V:V,0))*Specs!$N$2)+AM233,0)</f>
        <v>1</v>
      </c>
      <c r="AO233" s="40">
        <f>ROUNDUP(((AJ233+Specs!$R$2+Specs!$S$2+_xlfn.XLOOKUP($L233,Specs!A:A,Specs!V:V,0))*Specs!$N$2),0)</f>
        <v>1</v>
      </c>
      <c r="AP233" s="30"/>
    </row>
    <row r="234" spans="1:42" x14ac:dyDescent="0.25">
      <c r="A234" s="41" t="str">
        <f>_xlfn.CONCAT(_xlfn.XLOOKUP("What's Your Name?",[1]Sheet1!$1:$1,[1]Sheet1!234:234)," | ",TEXT(_xlfn.XLOOKUP("Completion time",[1]Sheet1!$1:$1,[1]Sheet1!234:234),"dddd, mmm dd, yyyy hh:mm AM/PM"))</f>
        <v xml:space="preserve"> | Saturday, Jan 00, 1900 12:00 AM</v>
      </c>
      <c r="B234" s="76">
        <f>_xlfn.XLOOKUP("What's Your Email Address?",[1]Sheet1!$1:$1,[1]Sheet1!234:234)</f>
        <v>0</v>
      </c>
      <c r="C234" s="31">
        <f>IF(ISBLANK(_xlfn.XLOOKUP("Which Flavor? (Pint Price | Quart Price | Half Gallon Price) (NOTE: Prices may fluctuate based on market conditions)",[1]Sheet1!$1:$1,[1]Sheet1!234:234)),_xlfn.XLOOKUP("Name Your Ice Cream!",[1]Sheet1!$1:$1,[1]Sheet1!234:234),IF(ISNUMBER(FIND("(", _xlfn.XLOOKUP("Which Flavor? (Pint Price | Quart Price | Half Gallon Price) (NOTE: Prices may fluctuate based on market conditions)",[1]Sheet1!$1:$1,[1]Sheet1!234:234))), LEFT(_xlfn.XLOOKUP("Which Flavor? (Pint Price | Quart Price | Half Gallon Price) (NOTE: Prices may fluctuate based on market conditions)",[1]Sheet1!$1:$1,[1]Sheet1!234:234), FIND("(", _xlfn.XLOOKUP("Which Flavor? (Pint Price | Quart Price | Half Gallon Price) (NOTE: Prices may fluctuate based on market conditions)",[1]Sheet1!$1:$1,[1]Sheet1!234:234)) - 1), _xlfn.XLOOKUP("Which Flavor? (Pint Price | Quart Price | Half Gallon Price) (NOTE: Prices may fluctuate based on market conditions)",[1]Sheet1!$1:$1,[1]Sheet1!234:234)))</f>
        <v>0</v>
      </c>
      <c r="D234" s="31">
        <f>IF(COUNTIF('Premade Flavors'!$A:$A, $C234) &gt; 0,IF(ISBLANK(_xlfn.XLOOKUP("What Ice Cream Base Do You Want To Change It To?",[1]Sheet1!$1:$1,[1]Sheet1!234:234)),_xlfn.XLOOKUP($C234,'Premade Flavors'!$A:$A,'Premade Flavors'!B:B),_xlfn.XLOOKUP("What Ice Cream Base Do You Want To Change It To?",[1]Sheet1!$1:$1,[1]Sheet1!234:234)),_xlfn.XLOOKUP(_xlfn.XLOOKUP("What Kind Of Ice Cream Base Do You Want? ",[1]Sheet1!$1:$1,[1]Sheet1!234:234),'Milk Types Nutrition Per Cup'!O:O,'Milk Types Nutrition Per Cup'!P:P,""))</f>
        <v>0</v>
      </c>
      <c r="E234" s="31">
        <f>IF(COUNTIF('Premade Flavors'!$A:$A, $C234) &gt; 0,IF(ISBLANK(_xlfn.XLOOKUP("What Ice Cream Base Do You Want To Change It To?",[1]Sheet1!$1:$1,[1]Sheet1!234:234)),_xlfn.XLOOKUP($C234,'Premade Flavors'!$A:$A,'Premade Flavors'!C:C),_xlfn.XLOOKUP("What Ice Cream Base Do You Want To Change It To?",[1]Sheet1!$1:$1,[1]Sheet1!234:234)),_xlfn.XLOOKUP(_xlfn.XLOOKUP("What Kind Of Ice Cream Base Do You Want? ",[1]Sheet1!$1:$1,[1]Sheet1!234:234),'Milk Types Nutrition Per Cup'!$O:$O,'Milk Types Nutrition Per Cup'!$Q:$Q,""))</f>
        <v>0</v>
      </c>
      <c r="F234" s="31">
        <f>IF(COUNTIF('Premade Flavors'!$A:$A, $C234) &gt; 0,_xlfn.XLOOKUP($C234,'Premade Flavors'!$A:$A,'Premade Flavors'!E:E),_xlfn.XLOOKUP("What's The First Flavor You Want? ",[1]Sheet1!$1:$1,[1]Sheet1!234:234))</f>
        <v>0</v>
      </c>
      <c r="G234" s="31">
        <f>IF(COUNTIF('Premade Flavors'!$A:$A, $C234) &gt; 0,_xlfn.XLOOKUP($C234,'Premade Flavors'!$A:$A,'Premade Flavors'!F:F),_xlfn.XLOOKUP("What's the Second Flavor You Want?",[1]Sheet1!$1:$1,[1]Sheet1!234:234))</f>
        <v>0</v>
      </c>
      <c r="H234" s="31">
        <f>IF(COUNTIF('Premade Flavors'!$A:$A, $C234) &gt; 0,_xlfn.XLOOKUP($C234,'Premade Flavors'!$A:$A,'Premade Flavors'!G:G),_xlfn.XLOOKUP("What's The First Mix In That You Want? ",[1]Sheet1!$1:$1,[1]Sheet1!234:234))</f>
        <v>0</v>
      </c>
      <c r="I234" s="31">
        <f>IF(COUNTIF('Premade Flavors'!$A:$A, $C232) &gt; 0,_xlfn.XLOOKUP($C232,'Premade Flavors'!$A:$A,'Premade Flavors'!H:H),IF([2]Sheet1!W232= 0,,[2]Sheet1!W232))</f>
        <v>0</v>
      </c>
      <c r="J234" s="31">
        <f>IF(COUNTIF('Premade Flavors'!$A:$A,$C234)&gt;0,IF(_xlfn.XLOOKUP("Should It Use Sugar or A Non-Sugar Sweetner?",[1]Sheet1!$1:$1,[1]Sheet1!234:234)="Sugar",_xlfn.XLOOKUP($C234,'Premade Flavors'!$A:$A,'Premade Flavors'!I:I),"Stevia"),_xlfn.XLOOKUP("What Sweetner Do You Want?",[1]Sheet1!$1:$1,[1]Sheet1!234:234))</f>
        <v>0</v>
      </c>
      <c r="K234" s="31"/>
      <c r="L234" s="77">
        <f>_xlfn.XLOOKUP("How Much Ice Cream Do You Want?",[1]Sheet1!$1:$1,[1]Sheet1!234:234)</f>
        <v>0</v>
      </c>
      <c r="M234" s="45">
        <f>IF(COUNTIF('Premade Flavors'!$A:$A, $C234) &gt; 0,_xlfn.XLOOKUP($C234,'Premade Flavors'!$A:$A,'Premade Flavors'!M:M),_xlfn.XLOOKUP("How Strong Do You Want The First Flavor?",[1]Sheet1!$1:$1,[1]Sheet1!234:234))</f>
        <v>0</v>
      </c>
      <c r="N234" s="45">
        <f>IF(COUNTIF('Premade Flavors'!$A:$A, $C234) &gt; 0,_xlfn.XLOOKUP($C234,'Premade Flavors'!$A:$A,'Premade Flavors'!N:N),_xlfn.XLOOKUP("How Strong Do You Want The Second Flavor?",[1]Sheet1!$1:$1,[1]Sheet1!234:234))</f>
        <v>0</v>
      </c>
      <c r="O234" s="45">
        <f>IF(COUNTIF('Premade Flavors'!$A:$A, $C234) &gt; 0,_xlfn.XLOOKUP($C234,'Premade Flavors'!$A:$A,'Premade Flavors'!O:O),_xlfn.XLOOKUP("How Dense Should the Mix Ins Be?",[1]Sheet1!$1:$1,[1]Sheet1!234:234))</f>
        <v>0</v>
      </c>
      <c r="P234" s="45">
        <f>IF(COUNTIF('Premade Flavors'!$A:$A, $C234) &gt; 0,_xlfn.XLOOKUP($C234,'Premade Flavors'!$A:$A,'Premade Flavors'!P:P),_xlfn.XLOOKUP("How Much Of The First Sweetner? ",[1]Sheet1!$1:$1,[1]Sheet1!234:234))</f>
        <v>0</v>
      </c>
      <c r="Q234" s="45">
        <f>IF(COUNTIF('Premade Flavors'!$A:$A, $C234) &gt; 0,_xlfn.XLOOKUP($C234,'Premade Flavors'!$A:$A,'Premade Flavors'!Q:Q),[2]Sheet1!S234)</f>
        <v>0</v>
      </c>
      <c r="R234" s="30">
        <f>(_xlfn.XLOOKUP($L234,Specs!A:A,Specs!B:B,0)-(IF(_xlfn.XLOOKUP($F234,'Liquid Mix In Nutrition'!A:A,'Liquid Mix In Nutrition'!J:J,0)="Yes",0,$T234))-(IF(_xlfn.XLOOKUP($G234,'Liquid Mix In Nutrition'!A:A,'Liquid Mix In Nutrition'!J:J,0)="Yes",0,$U234))-(($V234/MAX(1,_xlfn.XLOOKUP($H234,'Solid Mix In Nutrition'!A:A,'Solid Mix In Nutrition'!I:I,1)))*240)-(($W234/MAX(1,_xlfn.XLOOKUP($I234,'Solid Mix In Nutrition'!A:A,'Solid Mix In Nutrition'!I:I,1)))*240))*0.66</f>
        <v>0</v>
      </c>
      <c r="S234" s="30">
        <f>(_xlfn.XLOOKUP($L234,Specs!A:A,Specs!B:B,0)-(IF(_xlfn.XLOOKUP($F234,'Liquid Mix In Nutrition'!A:A,'Liquid Mix In Nutrition'!J:J,0)="Yes",0,$T234))-(IF(_xlfn.XLOOKUP($G234,'Liquid Mix In Nutrition'!A:A,'Liquid Mix In Nutrition'!J:J,0)="Yes",0,$U234))-(($V234/MAX(1,_xlfn.XLOOKUP($H234,'Solid Mix In Nutrition'!A:A,'Solid Mix In Nutrition'!I:I,1)))*240)-(($W234/MAX(1,_xlfn.XLOOKUP($I234,'Solid Mix In Nutrition'!A:A,'Solid Mix In Nutrition'!I:I,1)))*240))*0.33</f>
        <v>0</v>
      </c>
      <c r="T234" s="30">
        <f>_xlfn.XLOOKUP($M234,Specs!$D:$D,Specs!$E:$E,0)*15*_xlfn.XLOOKUP($L234,Specs!$A:$A,Specs!$C:$C,0)</f>
        <v>0</v>
      </c>
      <c r="U234" s="30">
        <f>_xlfn.XLOOKUP($N234,Specs!$D:$D,Specs!$E:$E,0)*15*_xlfn.XLOOKUP($L234,Specs!$A:$A,Specs!$C:$C,0)</f>
        <v>0</v>
      </c>
      <c r="V234" s="30">
        <f>( ((_xlfn.XLOOKUP($O234,Specs!$H:$H,Specs!$I:$I,0)*_xlfn.XLOOKUP($L234,Specs!$A:$A,Specs!$B:$B,0))/240) *_xlfn.XLOOKUP($H234,'Solid Mix In Nutrition'!A:A,'Solid Mix In Nutrition'!I:I,0)) *IF(AND(NOT($I234=0), COUNTA($I234)),0.5,1)</f>
        <v>0</v>
      </c>
      <c r="W234" s="30">
        <f>( ((_xlfn.XLOOKUP($O234,Specs!$H:$H,Specs!$I:$I,0)*_xlfn.XLOOKUP($L234,Specs!$A:$A,Specs!$B:$B,0))/240) *_xlfn.XLOOKUP($I234,'Solid Mix In Nutrition'!A:A,'Solid Mix In Nutrition'!I:I,0)) *IF(AND(NOT($I234=0), COUNTA($I234)),0.5,0)</f>
        <v>0</v>
      </c>
      <c r="X234" s="30">
        <f>_xlfn.XLOOKUP($P234,Specs!F:F,Specs!G:G,0)*_xlfn.XLOOKUP($J234,'Sweetener Mix In Nutrition'!A:A,'Sweetener Mix In Nutrition'!I:I,0)*_xlfn.XLOOKUP($L234,Specs!A:A,Specs!C:C,0)</f>
        <v>0</v>
      </c>
      <c r="Y234" s="30">
        <f>_xlfn.XLOOKUP($Q234,Specs!F:F,Specs!G:G,0)*_xlfn.XLOOKUP($K234,'Sweetener Mix In Nutrition'!A:A,'Sweetener Mix In Nutrition'!I:I,0)*_xlfn.XLOOKUP($L234,Specs!A:A,Specs!C:C,0)</f>
        <v>0</v>
      </c>
      <c r="Z234" s="34">
        <f t="shared" si="8"/>
        <v>0</v>
      </c>
      <c r="AA234" s="35">
        <f t="shared" si="9"/>
        <v>0</v>
      </c>
      <c r="AB234" s="36">
        <f>(($R234 / 240) * _xlfn.XLOOKUP($D234,'Milk Types Nutrition Per Cup'!A:A,'Milk Types Nutrition Per Cup'!B:B,0)) +(($S234 / 240)  * _xlfn.XLOOKUP($E234,'Milk Types Nutrition Per Cup'!A:A,'Milk Types Nutrition Per Cup'!B:B,0)) +(($T234 / 15)  * _xlfn.XLOOKUP($F234,'Liquid Mix In Nutrition'!A:A,'Liquid Mix In Nutrition'!B:B,0))+(($U234 / 15)  * _xlfn.XLOOKUP($G234,'Liquid Mix In Nutrition'!A:A,'Liquid Mix In Nutrition'!B:B,0))+(($V234 /MAX(1, _xlfn.XLOOKUP($H234,'Solid Mix In Nutrition'!A:A,'Solid Mix In Nutrition'!I:I,1)))  * _xlfn.XLOOKUP($H234,'Solid Mix In Nutrition'!A:A,'Solid Mix In Nutrition'!B:B,0))+(($W234 / MAX(1, _xlfn.XLOOKUP($I234,'Solid Mix In Nutrition'!A:A,'Solid Mix In Nutrition'!I:I,1))))+(($X234 / 100)  * _xlfn.XLOOKUP($J234,'Sweetener Mix In Nutrition'!A:A,'Sweetener Mix In Nutrition'!B:B,0))+(($Y234 / 100)  * _xlfn.XLOOKUP($K234,'Sweetener Mix In Nutrition'!A:A,'Sweetener Mix In Nutrition'!B:B,0))</f>
        <v>0</v>
      </c>
      <c r="AC234" s="36">
        <f>(($R234 / 240) * _xlfn.XLOOKUP($D234,'Milk Types Nutrition Per Cup'!A:A,'Milk Types Nutrition Per Cup'!E:E,0)) +(($S234 / 240)  * _xlfn.XLOOKUP($E234,'Milk Types Nutrition Per Cup'!A:A,'Milk Types Nutrition Per Cup'!E:E,0)) +(($T234 / 15)  * _xlfn.XLOOKUP($F234,'Liquid Mix In Nutrition'!A:A,'Liquid Mix In Nutrition'!E:E,0)) +(($U234 / 15)  * _xlfn.XLOOKUP($G234,'Liquid Mix In Nutrition'!A:A,'Liquid Mix In Nutrition'!E:E,0))+(($V234 / MAX(1, _xlfn.XLOOKUP($H234,'Solid Mix In Nutrition'!A:A,'Solid Mix In Nutrition'!I:I,1)))  * _xlfn.XLOOKUP($H234,'Solid Mix In Nutrition'!A:A,'Solid Mix In Nutrition'!E:E,0))+(($W234 / MAX(1, _xlfn.XLOOKUP($I234,'Solid Mix In Nutrition'!A:A,'Solid Mix In Nutrition'!I:I,1)))  * _xlfn.XLOOKUP($I234,'Solid Mix In Nutrition'!A:A,'Solid Mix In Nutrition'!G:G,0))+(($X234 / 100)  * _xlfn.XLOOKUP($J234,'Sweetener Mix In Nutrition'!A:A,'Sweetener Mix In Nutrition'!E:E,0))+(($Y234 / 100)  * _xlfn.XLOOKUP($K234,'Sweetener Mix In Nutrition'!A:A,'Sweetener Mix In Nutrition'!E:E,0))</f>
        <v>0</v>
      </c>
      <c r="AD234" s="36">
        <f>(($R234 / 240) * _xlfn.XLOOKUP($D234,'Milk Types Nutrition Per Cup'!A:A,'Milk Types Nutrition Per Cup'!E:E,0)) +(($S234 / 240)  * _xlfn.XLOOKUP($E234,'Milk Types Nutrition Per Cup'!A:A,'Milk Types Nutrition Per Cup'!E:E,0)) +(($T234 / 15)  * _xlfn.XLOOKUP($F234,'Liquid Mix In Nutrition'!A:A,'Liquid Mix In Nutrition'!E:E,0)) +(($U234 / 15)  * _xlfn.XLOOKUP($G234,'Liquid Mix In Nutrition'!A:A,'Liquid Mix In Nutrition'!E:E,0))+(($X234 / 100)  * _xlfn.XLOOKUP($J234,'Sweetener Mix In Nutrition'!A:A,'Sweetener Mix In Nutrition'!E:E,0))+(($Y234 / 100)  * _xlfn.XLOOKUP($K234,'Sweetener Mix In Nutrition'!A:A,'Sweetener Mix In Nutrition'!E:E,0))</f>
        <v>0</v>
      </c>
      <c r="AE234" s="37">
        <f>(($R234 / 240) * _xlfn.XLOOKUP($D234,'Milk Types Nutrition Per Cup'!A:A,'Milk Types Nutrition Per Cup'!C:C,0)) +(($S234 / 240)  * _xlfn.XLOOKUP($E234,'Milk Types Nutrition Per Cup'!A:A,'Milk Types Nutrition Per Cup'!C:C,0)) +(($T234 / 15)  * _xlfn.XLOOKUP($F234,'Liquid Mix In Nutrition'!A:A,'Liquid Mix In Nutrition'!C:C,0))+(($U234 / 15)  * _xlfn.XLOOKUP($G234,'Liquid Mix In Nutrition'!A:A,'Liquid Mix In Nutrition'!C:C,0))+(($V234 / MAX(1, _xlfn.XLOOKUP($H234,'Solid Mix In Nutrition'!A:A,'Solid Mix In Nutrition'!I:I,1)))  * _xlfn.XLOOKUP($H234,'Solid Mix In Nutrition'!A:A,'Solid Mix In Nutrition'!C:C,0))+(($W234 / MAX(1, _xlfn.XLOOKUP($I234,'Solid Mix In Nutrition'!A:A,'Solid Mix In Nutrition'!I:I,1)))  * _xlfn.XLOOKUP($I234,'Solid Mix In Nutrition'!A:A,'Solid Mix In Nutrition'!C:C,0))+(($X234 / 100)  * _xlfn.XLOOKUP($J234,'Sweetener Mix In Nutrition'!A:A,'Sweetener Mix In Nutrition'!C:C,0))+(($Y234 / 100)  * _xlfn.XLOOKUP($K234,'Sweetener Mix In Nutrition'!A:A,'Sweetener Mix In Nutrition'!C:C,0))</f>
        <v>0</v>
      </c>
      <c r="AF234" s="38" t="e">
        <f>$AE234 / (_xlfn.XLOOKUP($L234,Specs!A:A,Specs!B:B,0))</f>
        <v>#DIV/0!</v>
      </c>
      <c r="AG234" s="37" t="e">
        <f>60* ($AB234 / _xlfn.XLOOKUP($L234,Specs!A:A,Specs!B:B,0))</f>
        <v>#DIV/0!</v>
      </c>
      <c r="AH234" s="37" t="e">
        <f>60* (AC234 / _xlfn.XLOOKUP($L234,Specs!$A:$A,Specs!$B:$B,0))</f>
        <v>#DIV/0!</v>
      </c>
      <c r="AI234" s="37" t="e">
        <f>60* (AE234 / _xlfn.XLOOKUP($L234,Specs!$A:$A,Specs!$B:$B,0))</f>
        <v>#DIV/0!</v>
      </c>
      <c r="AJ234" s="39">
        <f>(($R234 / 240) * _xlfn.XLOOKUP($D234,'Milk Types Nutrition Per Cup'!A:A,'Milk Types Nutrition Per Cup'!F:F,0)) +(($S234 / 240)  * _xlfn.XLOOKUP($E234,'Milk Types Nutrition Per Cup'!A:A,'Milk Types Nutrition Per Cup'!F:F,0)) +(($T234 / 15)  * _xlfn.XLOOKUP($F234,'Liquid Mix In Nutrition'!A:A,'Liquid Mix In Nutrition'!F:F,0))+(($U234 / 15)  * _xlfn.XLOOKUP($G234,'Liquid Mix In Nutrition'!A:A,'Liquid Mix In Nutrition'!F:F,0))+(($V234 / MAX(1, _xlfn.XLOOKUP($H234,'Solid Mix In Nutrition'!A:A,'Solid Mix In Nutrition'!I:I,1)))  * _xlfn.XLOOKUP($H234,'Solid Mix In Nutrition'!A:A,'Solid Mix In Nutrition'!F:F,0))+(($W234 / MAX(1, _xlfn.XLOOKUP($I234,'Solid Mix In Nutrition'!A:A,'Solid Mix In Nutrition'!I:I,1)))  * _xlfn.XLOOKUP($I234,'Solid Mix In Nutrition'!A:A,'Solid Mix In Nutrition'!F:F,0))+(($X234 / 100)  * _xlfn.XLOOKUP($J234,'Sweetener Mix In Nutrition'!A:A,'Sweetener Mix In Nutrition'!F:F,0))+(($Y234 / 100)  * _xlfn.XLOOKUP($K234,'Sweetener Mix In Nutrition'!A:A,'Sweetener Mix In Nutrition'!F:F,0))</f>
        <v>0</v>
      </c>
      <c r="AK234" s="46">
        <f>[2]Sheet1!AG234</f>
        <v>0</v>
      </c>
      <c r="AL234" s="47"/>
      <c r="AM234" s="40">
        <f>IF(ISERROR(((AL234/Specs!$L$3)*Specs!$L$2)*2),0,ROUNDUP((((AL234/Specs!$L$3)*Specs!$L$2)*2),0))</f>
        <v>0</v>
      </c>
      <c r="AN234" s="48">
        <f>ROUNDUP(((AJ234+Specs!$R$2+Specs!$S$2+_xlfn.XLOOKUP($L234,Specs!A:A,Specs!V:V,0))*Specs!$N$2)+AM234,0)</f>
        <v>1</v>
      </c>
      <c r="AO234" s="40">
        <f>ROUNDUP(((AJ234+Specs!$R$2+Specs!$S$2+_xlfn.XLOOKUP($L234,Specs!A:A,Specs!V:V,0))*Specs!$N$2),0)</f>
        <v>1</v>
      </c>
      <c r="AP234" s="30"/>
    </row>
    <row r="235" spans="1:42" x14ac:dyDescent="0.25">
      <c r="A235" s="41" t="str">
        <f>_xlfn.CONCAT(_xlfn.XLOOKUP("What's Your Name?",[1]Sheet1!$1:$1,[1]Sheet1!235:235)," | ",TEXT(_xlfn.XLOOKUP("Completion time",[1]Sheet1!$1:$1,[1]Sheet1!235:235),"dddd, mmm dd, yyyy hh:mm AM/PM"))</f>
        <v xml:space="preserve"> | Saturday, Jan 00, 1900 12:00 AM</v>
      </c>
      <c r="B235" s="76">
        <f>_xlfn.XLOOKUP("What's Your Email Address?",[1]Sheet1!$1:$1,[1]Sheet1!235:235)</f>
        <v>0</v>
      </c>
      <c r="C235" s="31">
        <f>IF(ISBLANK(_xlfn.XLOOKUP("Which Flavor? (Pint Price | Quart Price | Half Gallon Price) (NOTE: Prices may fluctuate based on market conditions)",[1]Sheet1!$1:$1,[1]Sheet1!235:235)),_xlfn.XLOOKUP("Name Your Ice Cream!",[1]Sheet1!$1:$1,[1]Sheet1!235:235),IF(ISNUMBER(FIND("(", _xlfn.XLOOKUP("Which Flavor? (Pint Price | Quart Price | Half Gallon Price) (NOTE: Prices may fluctuate based on market conditions)",[1]Sheet1!$1:$1,[1]Sheet1!235:235))), LEFT(_xlfn.XLOOKUP("Which Flavor? (Pint Price | Quart Price | Half Gallon Price) (NOTE: Prices may fluctuate based on market conditions)",[1]Sheet1!$1:$1,[1]Sheet1!235:235), FIND("(", _xlfn.XLOOKUP("Which Flavor? (Pint Price | Quart Price | Half Gallon Price) (NOTE: Prices may fluctuate based on market conditions)",[1]Sheet1!$1:$1,[1]Sheet1!235:235)) - 1), _xlfn.XLOOKUP("Which Flavor? (Pint Price | Quart Price | Half Gallon Price) (NOTE: Prices may fluctuate based on market conditions)",[1]Sheet1!$1:$1,[1]Sheet1!235:235)))</f>
        <v>0</v>
      </c>
      <c r="D235" s="31">
        <f>IF(COUNTIF('Premade Flavors'!$A:$A, $C235) &gt; 0,IF(ISBLANK(_xlfn.XLOOKUP("What Ice Cream Base Do You Want To Change It To?",[1]Sheet1!$1:$1,[1]Sheet1!235:235)),_xlfn.XLOOKUP($C235,'Premade Flavors'!$A:$A,'Premade Flavors'!B:B),_xlfn.XLOOKUP("What Ice Cream Base Do You Want To Change It To?",[1]Sheet1!$1:$1,[1]Sheet1!235:235)),_xlfn.XLOOKUP(_xlfn.XLOOKUP("What Kind Of Ice Cream Base Do You Want? ",[1]Sheet1!$1:$1,[1]Sheet1!235:235),'Milk Types Nutrition Per Cup'!O:O,'Milk Types Nutrition Per Cup'!P:P,""))</f>
        <v>0</v>
      </c>
      <c r="E235" s="31">
        <f>IF(COUNTIF('Premade Flavors'!$A:$A, $C235) &gt; 0,IF(ISBLANK(_xlfn.XLOOKUP("What Ice Cream Base Do You Want To Change It To?",[1]Sheet1!$1:$1,[1]Sheet1!235:235)),_xlfn.XLOOKUP($C235,'Premade Flavors'!$A:$A,'Premade Flavors'!C:C),_xlfn.XLOOKUP("What Ice Cream Base Do You Want To Change It To?",[1]Sheet1!$1:$1,[1]Sheet1!235:235)),_xlfn.XLOOKUP(_xlfn.XLOOKUP("What Kind Of Ice Cream Base Do You Want? ",[1]Sheet1!$1:$1,[1]Sheet1!235:235),'Milk Types Nutrition Per Cup'!$O:$O,'Milk Types Nutrition Per Cup'!$Q:$Q,""))</f>
        <v>0</v>
      </c>
      <c r="F235" s="31">
        <f>IF(COUNTIF('Premade Flavors'!$A:$A, $C235) &gt; 0,_xlfn.XLOOKUP($C235,'Premade Flavors'!$A:$A,'Premade Flavors'!E:E),_xlfn.XLOOKUP("What's The First Flavor You Want? ",[1]Sheet1!$1:$1,[1]Sheet1!235:235))</f>
        <v>0</v>
      </c>
      <c r="G235" s="31">
        <f>IF(COUNTIF('Premade Flavors'!$A:$A, $C235) &gt; 0,_xlfn.XLOOKUP($C235,'Premade Flavors'!$A:$A,'Premade Flavors'!F:F),_xlfn.XLOOKUP("What's the Second Flavor You Want?",[1]Sheet1!$1:$1,[1]Sheet1!235:235))</f>
        <v>0</v>
      </c>
      <c r="H235" s="31">
        <f>IF(COUNTIF('Premade Flavors'!$A:$A, $C235) &gt; 0,_xlfn.XLOOKUP($C235,'Premade Flavors'!$A:$A,'Premade Flavors'!G:G),_xlfn.XLOOKUP("What's The First Mix In That You Want? ",[1]Sheet1!$1:$1,[1]Sheet1!235:235))</f>
        <v>0</v>
      </c>
      <c r="I235" s="31">
        <f>IF(COUNTIF('Premade Flavors'!$A:$A, $C233) &gt; 0,_xlfn.XLOOKUP($C233,'Premade Flavors'!$A:$A,'Premade Flavors'!H:H),IF([2]Sheet1!W233= 0,,[2]Sheet1!W233))</f>
        <v>0</v>
      </c>
      <c r="J235" s="31">
        <f>IF(COUNTIF('Premade Flavors'!$A:$A,$C235)&gt;0,IF(_xlfn.XLOOKUP("Should It Use Sugar or A Non-Sugar Sweetner?",[1]Sheet1!$1:$1,[1]Sheet1!235:235)="Sugar",_xlfn.XLOOKUP($C235,'Premade Flavors'!$A:$A,'Premade Flavors'!I:I),"Stevia"),_xlfn.XLOOKUP("What Sweetner Do You Want?",[1]Sheet1!$1:$1,[1]Sheet1!235:235))</f>
        <v>0</v>
      </c>
      <c r="K235" s="31"/>
      <c r="L235" s="77">
        <f>_xlfn.XLOOKUP("How Much Ice Cream Do You Want?",[1]Sheet1!$1:$1,[1]Sheet1!235:235)</f>
        <v>0</v>
      </c>
      <c r="M235" s="45">
        <f>IF(COUNTIF('Premade Flavors'!$A:$A, $C235) &gt; 0,_xlfn.XLOOKUP($C235,'Premade Flavors'!$A:$A,'Premade Flavors'!M:M),_xlfn.XLOOKUP("How Strong Do You Want The First Flavor?",[1]Sheet1!$1:$1,[1]Sheet1!235:235))</f>
        <v>0</v>
      </c>
      <c r="N235" s="45">
        <f>IF(COUNTIF('Premade Flavors'!$A:$A, $C235) &gt; 0,_xlfn.XLOOKUP($C235,'Premade Flavors'!$A:$A,'Premade Flavors'!N:N),_xlfn.XLOOKUP("How Strong Do You Want The Second Flavor?",[1]Sheet1!$1:$1,[1]Sheet1!235:235))</f>
        <v>0</v>
      </c>
      <c r="O235" s="45">
        <f>IF(COUNTIF('Premade Flavors'!$A:$A, $C235) &gt; 0,_xlfn.XLOOKUP($C235,'Premade Flavors'!$A:$A,'Premade Flavors'!O:O),_xlfn.XLOOKUP("How Dense Should the Mix Ins Be?",[1]Sheet1!$1:$1,[1]Sheet1!235:235))</f>
        <v>0</v>
      </c>
      <c r="P235" s="45">
        <f>IF(COUNTIF('Premade Flavors'!$A:$A, $C235) &gt; 0,_xlfn.XLOOKUP($C235,'Premade Flavors'!$A:$A,'Premade Flavors'!P:P),_xlfn.XLOOKUP("How Much Of The First Sweetner? ",[1]Sheet1!$1:$1,[1]Sheet1!235:235))</f>
        <v>0</v>
      </c>
      <c r="Q235" s="45">
        <f>IF(COUNTIF('Premade Flavors'!$A:$A, $C235) &gt; 0,_xlfn.XLOOKUP($C235,'Premade Flavors'!$A:$A,'Premade Flavors'!Q:Q),[2]Sheet1!S235)</f>
        <v>0</v>
      </c>
      <c r="R235" s="30">
        <f>(_xlfn.XLOOKUP($L235,Specs!A:A,Specs!B:B,0)-(IF(_xlfn.XLOOKUP($F235,'Liquid Mix In Nutrition'!A:A,'Liquid Mix In Nutrition'!J:J,0)="Yes",0,$T235))-(IF(_xlfn.XLOOKUP($G235,'Liquid Mix In Nutrition'!A:A,'Liquid Mix In Nutrition'!J:J,0)="Yes",0,$U235))-(($V235/MAX(1,_xlfn.XLOOKUP($H235,'Solid Mix In Nutrition'!A:A,'Solid Mix In Nutrition'!I:I,1)))*240)-(($W235/MAX(1,_xlfn.XLOOKUP($I235,'Solid Mix In Nutrition'!A:A,'Solid Mix In Nutrition'!I:I,1)))*240))*0.66</f>
        <v>0</v>
      </c>
      <c r="S235" s="30">
        <f>(_xlfn.XLOOKUP($L235,Specs!A:A,Specs!B:B,0)-(IF(_xlfn.XLOOKUP($F235,'Liquid Mix In Nutrition'!A:A,'Liquid Mix In Nutrition'!J:J,0)="Yes",0,$T235))-(IF(_xlfn.XLOOKUP($G235,'Liquid Mix In Nutrition'!A:A,'Liquid Mix In Nutrition'!J:J,0)="Yes",0,$U235))-(($V235/MAX(1,_xlfn.XLOOKUP($H235,'Solid Mix In Nutrition'!A:A,'Solid Mix In Nutrition'!I:I,1)))*240)-(($W235/MAX(1,_xlfn.XLOOKUP($I235,'Solid Mix In Nutrition'!A:A,'Solid Mix In Nutrition'!I:I,1)))*240))*0.33</f>
        <v>0</v>
      </c>
      <c r="T235" s="30">
        <f>_xlfn.XLOOKUP($M235,Specs!$D:$D,Specs!$E:$E,0)*15*_xlfn.XLOOKUP($L235,Specs!$A:$A,Specs!$C:$C,0)</f>
        <v>0</v>
      </c>
      <c r="U235" s="30">
        <f>_xlfn.XLOOKUP($N235,Specs!$D:$D,Specs!$E:$E,0)*15*_xlfn.XLOOKUP($L235,Specs!$A:$A,Specs!$C:$C,0)</f>
        <v>0</v>
      </c>
      <c r="V235" s="30">
        <f>( ((_xlfn.XLOOKUP($O235,Specs!$H:$H,Specs!$I:$I,0)*_xlfn.XLOOKUP($L235,Specs!$A:$A,Specs!$B:$B,0))/240) *_xlfn.XLOOKUP($H235,'Solid Mix In Nutrition'!A:A,'Solid Mix In Nutrition'!I:I,0)) *IF(AND(NOT($I235=0), COUNTA($I235)),0.5,1)</f>
        <v>0</v>
      </c>
      <c r="W235" s="30">
        <f>( ((_xlfn.XLOOKUP($O235,Specs!$H:$H,Specs!$I:$I,0)*_xlfn.XLOOKUP($L235,Specs!$A:$A,Specs!$B:$B,0))/240) *_xlfn.XLOOKUP($I235,'Solid Mix In Nutrition'!A:A,'Solid Mix In Nutrition'!I:I,0)) *IF(AND(NOT($I235=0), COUNTA($I235)),0.5,0)</f>
        <v>0</v>
      </c>
      <c r="X235" s="30">
        <f>_xlfn.XLOOKUP($P235,Specs!F:F,Specs!G:G,0)*_xlfn.XLOOKUP($J235,'Sweetener Mix In Nutrition'!A:A,'Sweetener Mix In Nutrition'!I:I,0)*_xlfn.XLOOKUP($L235,Specs!A:A,Specs!C:C,0)</f>
        <v>0</v>
      </c>
      <c r="Y235" s="30">
        <f>_xlfn.XLOOKUP($Q235,Specs!F:F,Specs!G:G,0)*_xlfn.XLOOKUP($K235,'Sweetener Mix In Nutrition'!A:A,'Sweetener Mix In Nutrition'!I:I,0)*_xlfn.XLOOKUP($L235,Specs!A:A,Specs!C:C,0)</f>
        <v>0</v>
      </c>
      <c r="Z235" s="34">
        <f t="shared" si="8"/>
        <v>0</v>
      </c>
      <c r="AA235" s="35">
        <f t="shared" si="9"/>
        <v>0</v>
      </c>
      <c r="AB235" s="36">
        <f>(($R235 / 240) * _xlfn.XLOOKUP($D235,'Milk Types Nutrition Per Cup'!A:A,'Milk Types Nutrition Per Cup'!B:B,0)) +(($S235 / 240)  * _xlfn.XLOOKUP($E235,'Milk Types Nutrition Per Cup'!A:A,'Milk Types Nutrition Per Cup'!B:B,0)) +(($T235 / 15)  * _xlfn.XLOOKUP($F235,'Liquid Mix In Nutrition'!A:A,'Liquid Mix In Nutrition'!B:B,0))+(($U235 / 15)  * _xlfn.XLOOKUP($G235,'Liquid Mix In Nutrition'!A:A,'Liquid Mix In Nutrition'!B:B,0))+(($V235 /MAX(1, _xlfn.XLOOKUP($H235,'Solid Mix In Nutrition'!A:A,'Solid Mix In Nutrition'!I:I,1)))  * _xlfn.XLOOKUP($H235,'Solid Mix In Nutrition'!A:A,'Solid Mix In Nutrition'!B:B,0))+(($W235 / MAX(1, _xlfn.XLOOKUP($I235,'Solid Mix In Nutrition'!A:A,'Solid Mix In Nutrition'!I:I,1))))+(($X235 / 100)  * _xlfn.XLOOKUP($J235,'Sweetener Mix In Nutrition'!A:A,'Sweetener Mix In Nutrition'!B:B,0))+(($Y235 / 100)  * _xlfn.XLOOKUP($K235,'Sweetener Mix In Nutrition'!A:A,'Sweetener Mix In Nutrition'!B:B,0))</f>
        <v>0</v>
      </c>
      <c r="AC235" s="36">
        <f>(($R235 / 240) * _xlfn.XLOOKUP($D235,'Milk Types Nutrition Per Cup'!A:A,'Milk Types Nutrition Per Cup'!E:E,0)) +(($S235 / 240)  * _xlfn.XLOOKUP($E235,'Milk Types Nutrition Per Cup'!A:A,'Milk Types Nutrition Per Cup'!E:E,0)) +(($T235 / 15)  * _xlfn.XLOOKUP($F235,'Liquid Mix In Nutrition'!A:A,'Liquid Mix In Nutrition'!E:E,0)) +(($U235 / 15)  * _xlfn.XLOOKUP($G235,'Liquid Mix In Nutrition'!A:A,'Liquid Mix In Nutrition'!E:E,0))+(($V235 / MAX(1, _xlfn.XLOOKUP($H235,'Solid Mix In Nutrition'!A:A,'Solid Mix In Nutrition'!I:I,1)))  * _xlfn.XLOOKUP($H235,'Solid Mix In Nutrition'!A:A,'Solid Mix In Nutrition'!E:E,0))+(($W235 / MAX(1, _xlfn.XLOOKUP($I235,'Solid Mix In Nutrition'!A:A,'Solid Mix In Nutrition'!I:I,1)))  * _xlfn.XLOOKUP($I235,'Solid Mix In Nutrition'!A:A,'Solid Mix In Nutrition'!G:G,0))+(($X235 / 100)  * _xlfn.XLOOKUP($J235,'Sweetener Mix In Nutrition'!A:A,'Sweetener Mix In Nutrition'!E:E,0))+(($Y235 / 100)  * _xlfn.XLOOKUP($K235,'Sweetener Mix In Nutrition'!A:A,'Sweetener Mix In Nutrition'!E:E,0))</f>
        <v>0</v>
      </c>
      <c r="AD235" s="36">
        <f>(($R235 / 240) * _xlfn.XLOOKUP($D235,'Milk Types Nutrition Per Cup'!A:A,'Milk Types Nutrition Per Cup'!E:E,0)) +(($S235 / 240)  * _xlfn.XLOOKUP($E235,'Milk Types Nutrition Per Cup'!A:A,'Milk Types Nutrition Per Cup'!E:E,0)) +(($T235 / 15)  * _xlfn.XLOOKUP($F235,'Liquid Mix In Nutrition'!A:A,'Liquid Mix In Nutrition'!E:E,0)) +(($U235 / 15)  * _xlfn.XLOOKUP($G235,'Liquid Mix In Nutrition'!A:A,'Liquid Mix In Nutrition'!E:E,0))+(($X235 / 100)  * _xlfn.XLOOKUP($J235,'Sweetener Mix In Nutrition'!A:A,'Sweetener Mix In Nutrition'!E:E,0))+(($Y235 / 100)  * _xlfn.XLOOKUP($K235,'Sweetener Mix In Nutrition'!A:A,'Sweetener Mix In Nutrition'!E:E,0))</f>
        <v>0</v>
      </c>
      <c r="AE235" s="37">
        <f>(($R235 / 240) * _xlfn.XLOOKUP($D235,'Milk Types Nutrition Per Cup'!A:A,'Milk Types Nutrition Per Cup'!C:C,0)) +(($S235 / 240)  * _xlfn.XLOOKUP($E235,'Milk Types Nutrition Per Cup'!A:A,'Milk Types Nutrition Per Cup'!C:C,0)) +(($T235 / 15)  * _xlfn.XLOOKUP($F235,'Liquid Mix In Nutrition'!A:A,'Liquid Mix In Nutrition'!C:C,0))+(($U235 / 15)  * _xlfn.XLOOKUP($G235,'Liquid Mix In Nutrition'!A:A,'Liquid Mix In Nutrition'!C:C,0))+(($V235 / MAX(1, _xlfn.XLOOKUP($H235,'Solid Mix In Nutrition'!A:A,'Solid Mix In Nutrition'!I:I,1)))  * _xlfn.XLOOKUP($H235,'Solid Mix In Nutrition'!A:A,'Solid Mix In Nutrition'!C:C,0))+(($W235 / MAX(1, _xlfn.XLOOKUP($I235,'Solid Mix In Nutrition'!A:A,'Solid Mix In Nutrition'!I:I,1)))  * _xlfn.XLOOKUP($I235,'Solid Mix In Nutrition'!A:A,'Solid Mix In Nutrition'!C:C,0))+(($X235 / 100)  * _xlfn.XLOOKUP($J235,'Sweetener Mix In Nutrition'!A:A,'Sweetener Mix In Nutrition'!C:C,0))+(($Y235 / 100)  * _xlfn.XLOOKUP($K235,'Sweetener Mix In Nutrition'!A:A,'Sweetener Mix In Nutrition'!C:C,0))</f>
        <v>0</v>
      </c>
      <c r="AF235" s="38" t="e">
        <f>$AE235 / (_xlfn.XLOOKUP($L235,Specs!A:A,Specs!B:B,0))</f>
        <v>#DIV/0!</v>
      </c>
      <c r="AG235" s="37" t="e">
        <f>60* ($AB235 / _xlfn.XLOOKUP($L235,Specs!A:A,Specs!B:B,0))</f>
        <v>#DIV/0!</v>
      </c>
      <c r="AH235" s="37" t="e">
        <f>60* (AC235 / _xlfn.XLOOKUP($L235,Specs!$A:$A,Specs!$B:$B,0))</f>
        <v>#DIV/0!</v>
      </c>
      <c r="AI235" s="37" t="e">
        <f>60* (AE235 / _xlfn.XLOOKUP($L235,Specs!$A:$A,Specs!$B:$B,0))</f>
        <v>#DIV/0!</v>
      </c>
      <c r="AJ235" s="39">
        <f>(($R235 / 240) * _xlfn.XLOOKUP($D235,'Milk Types Nutrition Per Cup'!A:A,'Milk Types Nutrition Per Cup'!F:F,0)) +(($S235 / 240)  * _xlfn.XLOOKUP($E235,'Milk Types Nutrition Per Cup'!A:A,'Milk Types Nutrition Per Cup'!F:F,0)) +(($T235 / 15)  * _xlfn.XLOOKUP($F235,'Liquid Mix In Nutrition'!A:A,'Liquid Mix In Nutrition'!F:F,0))+(($U235 / 15)  * _xlfn.XLOOKUP($G235,'Liquid Mix In Nutrition'!A:A,'Liquid Mix In Nutrition'!F:F,0))+(($V235 / MAX(1, _xlfn.XLOOKUP($H235,'Solid Mix In Nutrition'!A:A,'Solid Mix In Nutrition'!I:I,1)))  * _xlfn.XLOOKUP($H235,'Solid Mix In Nutrition'!A:A,'Solid Mix In Nutrition'!F:F,0))+(($W235 / MAX(1, _xlfn.XLOOKUP($I235,'Solid Mix In Nutrition'!A:A,'Solid Mix In Nutrition'!I:I,1)))  * _xlfn.XLOOKUP($I235,'Solid Mix In Nutrition'!A:A,'Solid Mix In Nutrition'!F:F,0))+(($X235 / 100)  * _xlfn.XLOOKUP($J235,'Sweetener Mix In Nutrition'!A:A,'Sweetener Mix In Nutrition'!F:F,0))+(($Y235 / 100)  * _xlfn.XLOOKUP($K235,'Sweetener Mix In Nutrition'!A:A,'Sweetener Mix In Nutrition'!F:F,0))</f>
        <v>0</v>
      </c>
      <c r="AK235" s="46">
        <f>[2]Sheet1!AG235</f>
        <v>0</v>
      </c>
      <c r="AL235" s="47"/>
      <c r="AM235" s="40">
        <f>IF(ISERROR(((AL235/Specs!$L$3)*Specs!$L$2)*2),0,ROUNDUP((((AL235/Specs!$L$3)*Specs!$L$2)*2),0))</f>
        <v>0</v>
      </c>
      <c r="AN235" s="48">
        <f>ROUNDUP(((AJ235+Specs!$R$2+Specs!$S$2+_xlfn.XLOOKUP($L235,Specs!A:A,Specs!V:V,0))*Specs!$N$2)+AM235,0)</f>
        <v>1</v>
      </c>
      <c r="AO235" s="40">
        <f>ROUNDUP(((AJ235+Specs!$R$2+Specs!$S$2+_xlfn.XLOOKUP($L235,Specs!A:A,Specs!V:V,0))*Specs!$N$2),0)</f>
        <v>1</v>
      </c>
      <c r="AP235" s="30"/>
    </row>
    <row r="236" spans="1:42" x14ac:dyDescent="0.25">
      <c r="A236" s="41" t="str">
        <f>_xlfn.CONCAT(_xlfn.XLOOKUP("What's Your Name?",[1]Sheet1!$1:$1,[1]Sheet1!236:236)," | ",TEXT(_xlfn.XLOOKUP("Completion time",[1]Sheet1!$1:$1,[1]Sheet1!236:236),"dddd, mmm dd, yyyy hh:mm AM/PM"))</f>
        <v xml:space="preserve"> | Saturday, Jan 00, 1900 12:00 AM</v>
      </c>
      <c r="B236" s="76">
        <f>_xlfn.XLOOKUP("What's Your Email Address?",[1]Sheet1!$1:$1,[1]Sheet1!236:236)</f>
        <v>0</v>
      </c>
      <c r="C236" s="31">
        <f>IF(ISBLANK(_xlfn.XLOOKUP("Which Flavor? (Pint Price | Quart Price | Half Gallon Price) (NOTE: Prices may fluctuate based on market conditions)",[1]Sheet1!$1:$1,[1]Sheet1!236:236)),_xlfn.XLOOKUP("Name Your Ice Cream!",[1]Sheet1!$1:$1,[1]Sheet1!236:236),IF(ISNUMBER(FIND("(", _xlfn.XLOOKUP("Which Flavor? (Pint Price | Quart Price | Half Gallon Price) (NOTE: Prices may fluctuate based on market conditions)",[1]Sheet1!$1:$1,[1]Sheet1!236:236))), LEFT(_xlfn.XLOOKUP("Which Flavor? (Pint Price | Quart Price | Half Gallon Price) (NOTE: Prices may fluctuate based on market conditions)",[1]Sheet1!$1:$1,[1]Sheet1!236:236), FIND("(", _xlfn.XLOOKUP("Which Flavor? (Pint Price | Quart Price | Half Gallon Price) (NOTE: Prices may fluctuate based on market conditions)",[1]Sheet1!$1:$1,[1]Sheet1!236:236)) - 1), _xlfn.XLOOKUP("Which Flavor? (Pint Price | Quart Price | Half Gallon Price) (NOTE: Prices may fluctuate based on market conditions)",[1]Sheet1!$1:$1,[1]Sheet1!236:236)))</f>
        <v>0</v>
      </c>
      <c r="D236" s="31">
        <f>IF(COUNTIF('Premade Flavors'!$A:$A, $C236) &gt; 0,IF(ISBLANK(_xlfn.XLOOKUP("What Ice Cream Base Do You Want To Change It To?",[1]Sheet1!$1:$1,[1]Sheet1!236:236)),_xlfn.XLOOKUP($C236,'Premade Flavors'!$A:$A,'Premade Flavors'!B:B),_xlfn.XLOOKUP("What Ice Cream Base Do You Want To Change It To?",[1]Sheet1!$1:$1,[1]Sheet1!236:236)),_xlfn.XLOOKUP(_xlfn.XLOOKUP("What Kind Of Ice Cream Base Do You Want? ",[1]Sheet1!$1:$1,[1]Sheet1!236:236),'Milk Types Nutrition Per Cup'!O:O,'Milk Types Nutrition Per Cup'!P:P,""))</f>
        <v>0</v>
      </c>
      <c r="E236" s="31">
        <f>IF(COUNTIF('Premade Flavors'!$A:$A, $C236) &gt; 0,IF(ISBLANK(_xlfn.XLOOKUP("What Ice Cream Base Do You Want To Change It To?",[1]Sheet1!$1:$1,[1]Sheet1!236:236)),_xlfn.XLOOKUP($C236,'Premade Flavors'!$A:$A,'Premade Flavors'!C:C),_xlfn.XLOOKUP("What Ice Cream Base Do You Want To Change It To?",[1]Sheet1!$1:$1,[1]Sheet1!236:236)),_xlfn.XLOOKUP(_xlfn.XLOOKUP("What Kind Of Ice Cream Base Do You Want? ",[1]Sheet1!$1:$1,[1]Sheet1!236:236),'Milk Types Nutrition Per Cup'!$O:$O,'Milk Types Nutrition Per Cup'!$Q:$Q,""))</f>
        <v>0</v>
      </c>
      <c r="F236" s="31">
        <f>IF(COUNTIF('Premade Flavors'!$A:$A, $C236) &gt; 0,_xlfn.XLOOKUP($C236,'Premade Flavors'!$A:$A,'Premade Flavors'!E:E),_xlfn.XLOOKUP("What's The First Flavor You Want? ",[1]Sheet1!$1:$1,[1]Sheet1!236:236))</f>
        <v>0</v>
      </c>
      <c r="G236" s="31">
        <f>IF(COUNTIF('Premade Flavors'!$A:$A, $C236) &gt; 0,_xlfn.XLOOKUP($C236,'Premade Flavors'!$A:$A,'Premade Flavors'!F:F),_xlfn.XLOOKUP("What's the Second Flavor You Want?",[1]Sheet1!$1:$1,[1]Sheet1!236:236))</f>
        <v>0</v>
      </c>
      <c r="H236" s="31">
        <f>IF(COUNTIF('Premade Flavors'!$A:$A, $C236) &gt; 0,_xlfn.XLOOKUP($C236,'Premade Flavors'!$A:$A,'Premade Flavors'!G:G),_xlfn.XLOOKUP("What's The First Mix In That You Want? ",[1]Sheet1!$1:$1,[1]Sheet1!236:236))</f>
        <v>0</v>
      </c>
      <c r="I236" s="31">
        <f>IF(COUNTIF('Premade Flavors'!$A:$A, $C234) &gt; 0,_xlfn.XLOOKUP($C234,'Premade Flavors'!$A:$A,'Premade Flavors'!H:H),IF([2]Sheet1!W234= 0,,[2]Sheet1!W234))</f>
        <v>0</v>
      </c>
      <c r="J236" s="31">
        <f>IF(COUNTIF('Premade Flavors'!$A:$A,$C236)&gt;0,IF(_xlfn.XLOOKUP("Should It Use Sugar or A Non-Sugar Sweetner?",[1]Sheet1!$1:$1,[1]Sheet1!236:236)="Sugar",_xlfn.XLOOKUP($C236,'Premade Flavors'!$A:$A,'Premade Flavors'!I:I),"Stevia"),_xlfn.XLOOKUP("What Sweetner Do You Want?",[1]Sheet1!$1:$1,[1]Sheet1!236:236))</f>
        <v>0</v>
      </c>
      <c r="K236" s="31"/>
      <c r="L236" s="77">
        <f>_xlfn.XLOOKUP("How Much Ice Cream Do You Want?",[1]Sheet1!$1:$1,[1]Sheet1!236:236)</f>
        <v>0</v>
      </c>
      <c r="M236" s="45">
        <f>IF(COUNTIF('Premade Flavors'!$A:$A, $C236) &gt; 0,_xlfn.XLOOKUP($C236,'Premade Flavors'!$A:$A,'Premade Flavors'!M:M),_xlfn.XLOOKUP("How Strong Do You Want The First Flavor?",[1]Sheet1!$1:$1,[1]Sheet1!236:236))</f>
        <v>0</v>
      </c>
      <c r="N236" s="45">
        <f>IF(COUNTIF('Premade Flavors'!$A:$A, $C236) &gt; 0,_xlfn.XLOOKUP($C236,'Premade Flavors'!$A:$A,'Premade Flavors'!N:N),_xlfn.XLOOKUP("How Strong Do You Want The Second Flavor?",[1]Sheet1!$1:$1,[1]Sheet1!236:236))</f>
        <v>0</v>
      </c>
      <c r="O236" s="45">
        <f>IF(COUNTIF('Premade Flavors'!$A:$A, $C236) &gt; 0,_xlfn.XLOOKUP($C236,'Premade Flavors'!$A:$A,'Premade Flavors'!O:O),_xlfn.XLOOKUP("How Dense Should the Mix Ins Be?",[1]Sheet1!$1:$1,[1]Sheet1!236:236))</f>
        <v>0</v>
      </c>
      <c r="P236" s="45">
        <f>IF(COUNTIF('Premade Flavors'!$A:$A, $C236) &gt; 0,_xlfn.XLOOKUP($C236,'Premade Flavors'!$A:$A,'Premade Flavors'!P:P),_xlfn.XLOOKUP("How Much Of The First Sweetner? ",[1]Sheet1!$1:$1,[1]Sheet1!236:236))</f>
        <v>0</v>
      </c>
      <c r="Q236" s="45">
        <f>IF(COUNTIF('Premade Flavors'!$A:$A, $C236) &gt; 0,_xlfn.XLOOKUP($C236,'Premade Flavors'!$A:$A,'Premade Flavors'!Q:Q),[2]Sheet1!S236)</f>
        <v>0</v>
      </c>
      <c r="R236" s="30">
        <f>(_xlfn.XLOOKUP($L236,Specs!A:A,Specs!B:B,0)-(IF(_xlfn.XLOOKUP($F236,'Liquid Mix In Nutrition'!A:A,'Liquid Mix In Nutrition'!J:J,0)="Yes",0,$T236))-(IF(_xlfn.XLOOKUP($G236,'Liquid Mix In Nutrition'!A:A,'Liquid Mix In Nutrition'!J:J,0)="Yes",0,$U236))-(($V236/MAX(1,_xlfn.XLOOKUP($H236,'Solid Mix In Nutrition'!A:A,'Solid Mix In Nutrition'!I:I,1)))*240)-(($W236/MAX(1,_xlfn.XLOOKUP($I236,'Solid Mix In Nutrition'!A:A,'Solid Mix In Nutrition'!I:I,1)))*240))*0.66</f>
        <v>0</v>
      </c>
      <c r="S236" s="30">
        <f>(_xlfn.XLOOKUP($L236,Specs!A:A,Specs!B:B,0)-(IF(_xlfn.XLOOKUP($F236,'Liquid Mix In Nutrition'!A:A,'Liquid Mix In Nutrition'!J:J,0)="Yes",0,$T236))-(IF(_xlfn.XLOOKUP($G236,'Liquid Mix In Nutrition'!A:A,'Liquid Mix In Nutrition'!J:J,0)="Yes",0,$U236))-(($V236/MAX(1,_xlfn.XLOOKUP($H236,'Solid Mix In Nutrition'!A:A,'Solid Mix In Nutrition'!I:I,1)))*240)-(($W236/MAX(1,_xlfn.XLOOKUP($I236,'Solid Mix In Nutrition'!A:A,'Solid Mix In Nutrition'!I:I,1)))*240))*0.33</f>
        <v>0</v>
      </c>
      <c r="T236" s="30">
        <f>_xlfn.XLOOKUP($M236,Specs!$D:$D,Specs!$E:$E,0)*15*_xlfn.XLOOKUP($L236,Specs!$A:$A,Specs!$C:$C,0)</f>
        <v>0</v>
      </c>
      <c r="U236" s="30">
        <f>_xlfn.XLOOKUP($N236,Specs!$D:$D,Specs!$E:$E,0)*15*_xlfn.XLOOKUP($L236,Specs!$A:$A,Specs!$C:$C,0)</f>
        <v>0</v>
      </c>
      <c r="V236" s="30">
        <f>( ((_xlfn.XLOOKUP($O236,Specs!$H:$H,Specs!$I:$I,0)*_xlfn.XLOOKUP($L236,Specs!$A:$A,Specs!$B:$B,0))/240) *_xlfn.XLOOKUP($H236,'Solid Mix In Nutrition'!A:A,'Solid Mix In Nutrition'!I:I,0)) *IF(AND(NOT($I236=0), COUNTA($I236)),0.5,1)</f>
        <v>0</v>
      </c>
      <c r="W236" s="30">
        <f>( ((_xlfn.XLOOKUP($O236,Specs!$H:$H,Specs!$I:$I,0)*_xlfn.XLOOKUP($L236,Specs!$A:$A,Specs!$B:$B,0))/240) *_xlfn.XLOOKUP($I236,'Solid Mix In Nutrition'!A:A,'Solid Mix In Nutrition'!I:I,0)) *IF(AND(NOT($I236=0), COUNTA($I236)),0.5,0)</f>
        <v>0</v>
      </c>
      <c r="X236" s="30">
        <f>_xlfn.XLOOKUP($P236,Specs!F:F,Specs!G:G,0)*_xlfn.XLOOKUP($J236,'Sweetener Mix In Nutrition'!A:A,'Sweetener Mix In Nutrition'!I:I,0)*_xlfn.XLOOKUP($L236,Specs!A:A,Specs!C:C,0)</f>
        <v>0</v>
      </c>
      <c r="Y236" s="30">
        <f>_xlfn.XLOOKUP($Q236,Specs!F:F,Specs!G:G,0)*_xlfn.XLOOKUP($K236,'Sweetener Mix In Nutrition'!A:A,'Sweetener Mix In Nutrition'!I:I,0)*_xlfn.XLOOKUP($L236,Specs!A:A,Specs!C:C,0)</f>
        <v>0</v>
      </c>
      <c r="Z236" s="34">
        <f t="shared" si="8"/>
        <v>0</v>
      </c>
      <c r="AA236" s="35">
        <f t="shared" si="9"/>
        <v>0</v>
      </c>
      <c r="AB236" s="36">
        <f>(($R236 / 240) * _xlfn.XLOOKUP($D236,'Milk Types Nutrition Per Cup'!A:A,'Milk Types Nutrition Per Cup'!B:B,0)) +(($S236 / 240)  * _xlfn.XLOOKUP($E236,'Milk Types Nutrition Per Cup'!A:A,'Milk Types Nutrition Per Cup'!B:B,0)) +(($T236 / 15)  * _xlfn.XLOOKUP($F236,'Liquid Mix In Nutrition'!A:A,'Liquid Mix In Nutrition'!B:B,0))+(($U236 / 15)  * _xlfn.XLOOKUP($G236,'Liquid Mix In Nutrition'!A:A,'Liquid Mix In Nutrition'!B:B,0))+(($V236 /MAX(1, _xlfn.XLOOKUP($H236,'Solid Mix In Nutrition'!A:A,'Solid Mix In Nutrition'!I:I,1)))  * _xlfn.XLOOKUP($H236,'Solid Mix In Nutrition'!A:A,'Solid Mix In Nutrition'!B:B,0))+(($W236 / MAX(1, _xlfn.XLOOKUP($I236,'Solid Mix In Nutrition'!A:A,'Solid Mix In Nutrition'!I:I,1))))+(($X236 / 100)  * _xlfn.XLOOKUP($J236,'Sweetener Mix In Nutrition'!A:A,'Sweetener Mix In Nutrition'!B:B,0))+(($Y236 / 100)  * _xlfn.XLOOKUP($K236,'Sweetener Mix In Nutrition'!A:A,'Sweetener Mix In Nutrition'!B:B,0))</f>
        <v>0</v>
      </c>
      <c r="AC236" s="36">
        <f>(($R236 / 240) * _xlfn.XLOOKUP($D236,'Milk Types Nutrition Per Cup'!A:A,'Milk Types Nutrition Per Cup'!E:E,0)) +(($S236 / 240)  * _xlfn.XLOOKUP($E236,'Milk Types Nutrition Per Cup'!A:A,'Milk Types Nutrition Per Cup'!E:E,0)) +(($T236 / 15)  * _xlfn.XLOOKUP($F236,'Liquid Mix In Nutrition'!A:A,'Liquid Mix In Nutrition'!E:E,0)) +(($U236 / 15)  * _xlfn.XLOOKUP($G236,'Liquid Mix In Nutrition'!A:A,'Liquid Mix In Nutrition'!E:E,0))+(($V236 / MAX(1, _xlfn.XLOOKUP($H236,'Solid Mix In Nutrition'!A:A,'Solid Mix In Nutrition'!I:I,1)))  * _xlfn.XLOOKUP($H236,'Solid Mix In Nutrition'!A:A,'Solid Mix In Nutrition'!E:E,0))+(($W236 / MAX(1, _xlfn.XLOOKUP($I236,'Solid Mix In Nutrition'!A:A,'Solid Mix In Nutrition'!I:I,1)))  * _xlfn.XLOOKUP($I236,'Solid Mix In Nutrition'!A:A,'Solid Mix In Nutrition'!G:G,0))+(($X236 / 100)  * _xlfn.XLOOKUP($J236,'Sweetener Mix In Nutrition'!A:A,'Sweetener Mix In Nutrition'!E:E,0))+(($Y236 / 100)  * _xlfn.XLOOKUP($K236,'Sweetener Mix In Nutrition'!A:A,'Sweetener Mix In Nutrition'!E:E,0))</f>
        <v>0</v>
      </c>
      <c r="AD236" s="36">
        <f>(($R236 / 240) * _xlfn.XLOOKUP($D236,'Milk Types Nutrition Per Cup'!A:A,'Milk Types Nutrition Per Cup'!E:E,0)) +(($S236 / 240)  * _xlfn.XLOOKUP($E236,'Milk Types Nutrition Per Cup'!A:A,'Milk Types Nutrition Per Cup'!E:E,0)) +(($T236 / 15)  * _xlfn.XLOOKUP($F236,'Liquid Mix In Nutrition'!A:A,'Liquid Mix In Nutrition'!E:E,0)) +(($U236 / 15)  * _xlfn.XLOOKUP($G236,'Liquid Mix In Nutrition'!A:A,'Liquid Mix In Nutrition'!E:E,0))+(($X236 / 100)  * _xlfn.XLOOKUP($J236,'Sweetener Mix In Nutrition'!A:A,'Sweetener Mix In Nutrition'!E:E,0))+(($Y236 / 100)  * _xlfn.XLOOKUP($K236,'Sweetener Mix In Nutrition'!A:A,'Sweetener Mix In Nutrition'!E:E,0))</f>
        <v>0</v>
      </c>
      <c r="AE236" s="37">
        <f>(($R236 / 240) * _xlfn.XLOOKUP($D236,'Milk Types Nutrition Per Cup'!A:A,'Milk Types Nutrition Per Cup'!C:C,0)) +(($S236 / 240)  * _xlfn.XLOOKUP($E236,'Milk Types Nutrition Per Cup'!A:A,'Milk Types Nutrition Per Cup'!C:C,0)) +(($T236 / 15)  * _xlfn.XLOOKUP($F236,'Liquid Mix In Nutrition'!A:A,'Liquid Mix In Nutrition'!C:C,0))+(($U236 / 15)  * _xlfn.XLOOKUP($G236,'Liquid Mix In Nutrition'!A:A,'Liquid Mix In Nutrition'!C:C,0))+(($V236 / MAX(1, _xlfn.XLOOKUP($H236,'Solid Mix In Nutrition'!A:A,'Solid Mix In Nutrition'!I:I,1)))  * _xlfn.XLOOKUP($H236,'Solid Mix In Nutrition'!A:A,'Solid Mix In Nutrition'!C:C,0))+(($W236 / MAX(1, _xlfn.XLOOKUP($I236,'Solid Mix In Nutrition'!A:A,'Solid Mix In Nutrition'!I:I,1)))  * _xlfn.XLOOKUP($I236,'Solid Mix In Nutrition'!A:A,'Solid Mix In Nutrition'!C:C,0))+(($X236 / 100)  * _xlfn.XLOOKUP($J236,'Sweetener Mix In Nutrition'!A:A,'Sweetener Mix In Nutrition'!C:C,0))+(($Y236 / 100)  * _xlfn.XLOOKUP($K236,'Sweetener Mix In Nutrition'!A:A,'Sweetener Mix In Nutrition'!C:C,0))</f>
        <v>0</v>
      </c>
      <c r="AF236" s="38" t="e">
        <f>$AE236 / (_xlfn.XLOOKUP($L236,Specs!A:A,Specs!B:B,0))</f>
        <v>#DIV/0!</v>
      </c>
      <c r="AG236" s="37" t="e">
        <f>60* ($AB236 / _xlfn.XLOOKUP($L236,Specs!A:A,Specs!B:B,0))</f>
        <v>#DIV/0!</v>
      </c>
      <c r="AH236" s="37" t="e">
        <f>60* (AC236 / _xlfn.XLOOKUP($L236,Specs!$A:$A,Specs!$B:$B,0))</f>
        <v>#DIV/0!</v>
      </c>
      <c r="AI236" s="37" t="e">
        <f>60* (AE236 / _xlfn.XLOOKUP($L236,Specs!$A:$A,Specs!$B:$B,0))</f>
        <v>#DIV/0!</v>
      </c>
      <c r="AJ236" s="39">
        <f>(($R236 / 240) * _xlfn.XLOOKUP($D236,'Milk Types Nutrition Per Cup'!A:A,'Milk Types Nutrition Per Cup'!F:F,0)) +(($S236 / 240)  * _xlfn.XLOOKUP($E236,'Milk Types Nutrition Per Cup'!A:A,'Milk Types Nutrition Per Cup'!F:F,0)) +(($T236 / 15)  * _xlfn.XLOOKUP($F236,'Liquid Mix In Nutrition'!A:A,'Liquid Mix In Nutrition'!F:F,0))+(($U236 / 15)  * _xlfn.XLOOKUP($G236,'Liquid Mix In Nutrition'!A:A,'Liquid Mix In Nutrition'!F:F,0))+(($V236 / MAX(1, _xlfn.XLOOKUP($H236,'Solid Mix In Nutrition'!A:A,'Solid Mix In Nutrition'!I:I,1)))  * _xlfn.XLOOKUP($H236,'Solid Mix In Nutrition'!A:A,'Solid Mix In Nutrition'!F:F,0))+(($W236 / MAX(1, _xlfn.XLOOKUP($I236,'Solid Mix In Nutrition'!A:A,'Solid Mix In Nutrition'!I:I,1)))  * _xlfn.XLOOKUP($I236,'Solid Mix In Nutrition'!A:A,'Solid Mix In Nutrition'!F:F,0))+(($X236 / 100)  * _xlfn.XLOOKUP($J236,'Sweetener Mix In Nutrition'!A:A,'Sweetener Mix In Nutrition'!F:F,0))+(($Y236 / 100)  * _xlfn.XLOOKUP($K236,'Sweetener Mix In Nutrition'!A:A,'Sweetener Mix In Nutrition'!F:F,0))</f>
        <v>0</v>
      </c>
      <c r="AK236" s="46">
        <f>[2]Sheet1!AG236</f>
        <v>0</v>
      </c>
      <c r="AL236" s="47"/>
      <c r="AM236" s="40">
        <f>IF(ISERROR(((AL236/Specs!$L$3)*Specs!$L$2)*2),0,ROUNDUP((((AL236/Specs!$L$3)*Specs!$L$2)*2),0))</f>
        <v>0</v>
      </c>
      <c r="AN236" s="48">
        <f>ROUNDUP(((AJ236+Specs!$R$2+Specs!$S$2+_xlfn.XLOOKUP($L236,Specs!A:A,Specs!V:V,0))*Specs!$N$2)+AM236,0)</f>
        <v>1</v>
      </c>
      <c r="AO236" s="40">
        <f>ROUNDUP(((AJ236+Specs!$R$2+Specs!$S$2+_xlfn.XLOOKUP($L236,Specs!A:A,Specs!V:V,0))*Specs!$N$2),0)</f>
        <v>1</v>
      </c>
      <c r="AP236" s="30"/>
    </row>
    <row r="237" spans="1:42" x14ac:dyDescent="0.25">
      <c r="A237" s="41" t="str">
        <f>_xlfn.CONCAT(_xlfn.XLOOKUP("What's Your Name?",[1]Sheet1!$1:$1,[1]Sheet1!237:237)," | ",TEXT(_xlfn.XLOOKUP("Completion time",[1]Sheet1!$1:$1,[1]Sheet1!237:237),"dddd, mmm dd, yyyy hh:mm AM/PM"))</f>
        <v xml:space="preserve"> | Saturday, Jan 00, 1900 12:00 AM</v>
      </c>
      <c r="B237" s="76">
        <f>_xlfn.XLOOKUP("What's Your Email Address?",[1]Sheet1!$1:$1,[1]Sheet1!237:237)</f>
        <v>0</v>
      </c>
      <c r="C237" s="31">
        <f>IF(ISBLANK(_xlfn.XLOOKUP("Which Flavor? (Pint Price | Quart Price | Half Gallon Price) (NOTE: Prices may fluctuate based on market conditions)",[1]Sheet1!$1:$1,[1]Sheet1!237:237)),_xlfn.XLOOKUP("Name Your Ice Cream!",[1]Sheet1!$1:$1,[1]Sheet1!237:237),IF(ISNUMBER(FIND("(", _xlfn.XLOOKUP("Which Flavor? (Pint Price | Quart Price | Half Gallon Price) (NOTE: Prices may fluctuate based on market conditions)",[1]Sheet1!$1:$1,[1]Sheet1!237:237))), LEFT(_xlfn.XLOOKUP("Which Flavor? (Pint Price | Quart Price | Half Gallon Price) (NOTE: Prices may fluctuate based on market conditions)",[1]Sheet1!$1:$1,[1]Sheet1!237:237), FIND("(", _xlfn.XLOOKUP("Which Flavor? (Pint Price | Quart Price | Half Gallon Price) (NOTE: Prices may fluctuate based on market conditions)",[1]Sheet1!$1:$1,[1]Sheet1!237:237)) - 1), _xlfn.XLOOKUP("Which Flavor? (Pint Price | Quart Price | Half Gallon Price) (NOTE: Prices may fluctuate based on market conditions)",[1]Sheet1!$1:$1,[1]Sheet1!237:237)))</f>
        <v>0</v>
      </c>
      <c r="D237" s="31">
        <f>IF(COUNTIF('Premade Flavors'!$A:$A, $C237) &gt; 0,IF(ISBLANK(_xlfn.XLOOKUP("What Ice Cream Base Do You Want To Change It To?",[1]Sheet1!$1:$1,[1]Sheet1!237:237)),_xlfn.XLOOKUP($C237,'Premade Flavors'!$A:$A,'Premade Flavors'!B:B),_xlfn.XLOOKUP("What Ice Cream Base Do You Want To Change It To?",[1]Sheet1!$1:$1,[1]Sheet1!237:237)),_xlfn.XLOOKUP(_xlfn.XLOOKUP("What Kind Of Ice Cream Base Do You Want? ",[1]Sheet1!$1:$1,[1]Sheet1!237:237),'Milk Types Nutrition Per Cup'!O:O,'Milk Types Nutrition Per Cup'!P:P,""))</f>
        <v>0</v>
      </c>
      <c r="E237" s="31">
        <f>IF(COUNTIF('Premade Flavors'!$A:$A, $C237) &gt; 0,IF(ISBLANK(_xlfn.XLOOKUP("What Ice Cream Base Do You Want To Change It To?",[1]Sheet1!$1:$1,[1]Sheet1!237:237)),_xlfn.XLOOKUP($C237,'Premade Flavors'!$A:$A,'Premade Flavors'!C:C),_xlfn.XLOOKUP("What Ice Cream Base Do You Want To Change It To?",[1]Sheet1!$1:$1,[1]Sheet1!237:237)),_xlfn.XLOOKUP(_xlfn.XLOOKUP("What Kind Of Ice Cream Base Do You Want? ",[1]Sheet1!$1:$1,[1]Sheet1!237:237),'Milk Types Nutrition Per Cup'!$O:$O,'Milk Types Nutrition Per Cup'!$Q:$Q,""))</f>
        <v>0</v>
      </c>
      <c r="F237" s="31">
        <f>IF(COUNTIF('Premade Flavors'!$A:$A, $C237) &gt; 0,_xlfn.XLOOKUP($C237,'Premade Flavors'!$A:$A,'Premade Flavors'!E:E),_xlfn.XLOOKUP("What's The First Flavor You Want? ",[1]Sheet1!$1:$1,[1]Sheet1!237:237))</f>
        <v>0</v>
      </c>
      <c r="G237" s="31">
        <f>IF(COUNTIF('Premade Flavors'!$A:$A, $C237) &gt; 0,_xlfn.XLOOKUP($C237,'Premade Flavors'!$A:$A,'Premade Flavors'!F:F),_xlfn.XLOOKUP("What's the Second Flavor You Want?",[1]Sheet1!$1:$1,[1]Sheet1!237:237))</f>
        <v>0</v>
      </c>
      <c r="H237" s="31">
        <f>IF(COUNTIF('Premade Flavors'!$A:$A, $C237) &gt; 0,_xlfn.XLOOKUP($C237,'Premade Flavors'!$A:$A,'Premade Flavors'!G:G),_xlfn.XLOOKUP("What's The First Mix In That You Want? ",[1]Sheet1!$1:$1,[1]Sheet1!237:237))</f>
        <v>0</v>
      </c>
      <c r="I237" s="31">
        <f>IF(COUNTIF('Premade Flavors'!$A:$A, $C235) &gt; 0,_xlfn.XLOOKUP($C235,'Premade Flavors'!$A:$A,'Premade Flavors'!H:H),IF([2]Sheet1!W235= 0,,[2]Sheet1!W235))</f>
        <v>0</v>
      </c>
      <c r="J237" s="31">
        <f>IF(COUNTIF('Premade Flavors'!$A:$A,$C237)&gt;0,IF(_xlfn.XLOOKUP("Should It Use Sugar or A Non-Sugar Sweetner?",[1]Sheet1!$1:$1,[1]Sheet1!237:237)="Sugar",_xlfn.XLOOKUP($C237,'Premade Flavors'!$A:$A,'Premade Flavors'!I:I),"Stevia"),_xlfn.XLOOKUP("What Sweetner Do You Want?",[1]Sheet1!$1:$1,[1]Sheet1!237:237))</f>
        <v>0</v>
      </c>
      <c r="K237" s="31"/>
      <c r="L237" s="77">
        <f>_xlfn.XLOOKUP("How Much Ice Cream Do You Want?",[1]Sheet1!$1:$1,[1]Sheet1!237:237)</f>
        <v>0</v>
      </c>
      <c r="M237" s="45">
        <f>IF(COUNTIF('Premade Flavors'!$A:$A, $C237) &gt; 0,_xlfn.XLOOKUP($C237,'Premade Flavors'!$A:$A,'Premade Flavors'!M:M),_xlfn.XLOOKUP("How Strong Do You Want The First Flavor?",[1]Sheet1!$1:$1,[1]Sheet1!237:237))</f>
        <v>0</v>
      </c>
      <c r="N237" s="45">
        <f>IF(COUNTIF('Premade Flavors'!$A:$A, $C237) &gt; 0,_xlfn.XLOOKUP($C237,'Premade Flavors'!$A:$A,'Premade Flavors'!N:N),_xlfn.XLOOKUP("How Strong Do You Want The Second Flavor?",[1]Sheet1!$1:$1,[1]Sheet1!237:237))</f>
        <v>0</v>
      </c>
      <c r="O237" s="45">
        <f>IF(COUNTIF('Premade Flavors'!$A:$A, $C237) &gt; 0,_xlfn.XLOOKUP($C237,'Premade Flavors'!$A:$A,'Premade Flavors'!O:O),_xlfn.XLOOKUP("How Dense Should the Mix Ins Be?",[1]Sheet1!$1:$1,[1]Sheet1!237:237))</f>
        <v>0</v>
      </c>
      <c r="P237" s="45">
        <f>IF(COUNTIF('Premade Flavors'!$A:$A, $C237) &gt; 0,_xlfn.XLOOKUP($C237,'Premade Flavors'!$A:$A,'Premade Flavors'!P:P),_xlfn.XLOOKUP("How Much Of The First Sweetner? ",[1]Sheet1!$1:$1,[1]Sheet1!237:237))</f>
        <v>0</v>
      </c>
      <c r="Q237" s="45">
        <f>IF(COUNTIF('Premade Flavors'!$A:$A, $C237) &gt; 0,_xlfn.XLOOKUP($C237,'Premade Flavors'!$A:$A,'Premade Flavors'!Q:Q),[2]Sheet1!S237)</f>
        <v>0</v>
      </c>
      <c r="R237" s="30">
        <f>(_xlfn.XLOOKUP($L237,Specs!A:A,Specs!B:B,0)-(IF(_xlfn.XLOOKUP($F237,'Liquid Mix In Nutrition'!A:A,'Liquid Mix In Nutrition'!J:J,0)="Yes",0,$T237))-(IF(_xlfn.XLOOKUP($G237,'Liquid Mix In Nutrition'!A:A,'Liquid Mix In Nutrition'!J:J,0)="Yes",0,$U237))-(($V237/MAX(1,_xlfn.XLOOKUP($H237,'Solid Mix In Nutrition'!A:A,'Solid Mix In Nutrition'!I:I,1)))*240)-(($W237/MAX(1,_xlfn.XLOOKUP($I237,'Solid Mix In Nutrition'!A:A,'Solid Mix In Nutrition'!I:I,1)))*240))*0.66</f>
        <v>0</v>
      </c>
      <c r="S237" s="30">
        <f>(_xlfn.XLOOKUP($L237,Specs!A:A,Specs!B:B,0)-(IF(_xlfn.XLOOKUP($F237,'Liquid Mix In Nutrition'!A:A,'Liquid Mix In Nutrition'!J:J,0)="Yes",0,$T237))-(IF(_xlfn.XLOOKUP($G237,'Liquid Mix In Nutrition'!A:A,'Liquid Mix In Nutrition'!J:J,0)="Yes",0,$U237))-(($V237/MAX(1,_xlfn.XLOOKUP($H237,'Solid Mix In Nutrition'!A:A,'Solid Mix In Nutrition'!I:I,1)))*240)-(($W237/MAX(1,_xlfn.XLOOKUP($I237,'Solid Mix In Nutrition'!A:A,'Solid Mix In Nutrition'!I:I,1)))*240))*0.33</f>
        <v>0</v>
      </c>
      <c r="T237" s="30">
        <f>_xlfn.XLOOKUP($M237,Specs!$D:$D,Specs!$E:$E,0)*15*_xlfn.XLOOKUP($L237,Specs!$A:$A,Specs!$C:$C,0)</f>
        <v>0</v>
      </c>
      <c r="U237" s="30">
        <f>_xlfn.XLOOKUP($N237,Specs!$D:$D,Specs!$E:$E,0)*15*_xlfn.XLOOKUP($L237,Specs!$A:$A,Specs!$C:$C,0)</f>
        <v>0</v>
      </c>
      <c r="V237" s="30">
        <f>( ((_xlfn.XLOOKUP($O237,Specs!$H:$H,Specs!$I:$I,0)*_xlfn.XLOOKUP($L237,Specs!$A:$A,Specs!$B:$B,0))/240) *_xlfn.XLOOKUP($H237,'Solid Mix In Nutrition'!A:A,'Solid Mix In Nutrition'!I:I,0)) *IF(AND(NOT($I237=0), COUNTA($I237)),0.5,1)</f>
        <v>0</v>
      </c>
      <c r="W237" s="30">
        <f>( ((_xlfn.XLOOKUP($O237,Specs!$H:$H,Specs!$I:$I,0)*_xlfn.XLOOKUP($L237,Specs!$A:$A,Specs!$B:$B,0))/240) *_xlfn.XLOOKUP($I237,'Solid Mix In Nutrition'!A:A,'Solid Mix In Nutrition'!I:I,0)) *IF(AND(NOT($I237=0), COUNTA($I237)),0.5,0)</f>
        <v>0</v>
      </c>
      <c r="X237" s="30">
        <f>_xlfn.XLOOKUP($P237,Specs!F:F,Specs!G:G,0)*_xlfn.XLOOKUP($J237,'Sweetener Mix In Nutrition'!A:A,'Sweetener Mix In Nutrition'!I:I,0)*_xlfn.XLOOKUP($L237,Specs!A:A,Specs!C:C,0)</f>
        <v>0</v>
      </c>
      <c r="Y237" s="30">
        <f>_xlfn.XLOOKUP($Q237,Specs!F:F,Specs!G:G,0)*_xlfn.XLOOKUP($K237,'Sweetener Mix In Nutrition'!A:A,'Sweetener Mix In Nutrition'!I:I,0)*_xlfn.XLOOKUP($L237,Specs!A:A,Specs!C:C,0)</f>
        <v>0</v>
      </c>
      <c r="Z237" s="34">
        <f t="shared" si="8"/>
        <v>0</v>
      </c>
      <c r="AA237" s="35">
        <f t="shared" si="9"/>
        <v>0</v>
      </c>
      <c r="AB237" s="36">
        <f>(($R237 / 240) * _xlfn.XLOOKUP($D237,'Milk Types Nutrition Per Cup'!A:A,'Milk Types Nutrition Per Cup'!B:B,0)) +(($S237 / 240)  * _xlfn.XLOOKUP($E237,'Milk Types Nutrition Per Cup'!A:A,'Milk Types Nutrition Per Cup'!B:B,0)) +(($T237 / 15)  * _xlfn.XLOOKUP($F237,'Liquid Mix In Nutrition'!A:A,'Liquid Mix In Nutrition'!B:B,0))+(($U237 / 15)  * _xlfn.XLOOKUP($G237,'Liquid Mix In Nutrition'!A:A,'Liquid Mix In Nutrition'!B:B,0))+(($V237 /MAX(1, _xlfn.XLOOKUP($H237,'Solid Mix In Nutrition'!A:A,'Solid Mix In Nutrition'!I:I,1)))  * _xlfn.XLOOKUP($H237,'Solid Mix In Nutrition'!A:A,'Solid Mix In Nutrition'!B:B,0))+(($W237 / MAX(1, _xlfn.XLOOKUP($I237,'Solid Mix In Nutrition'!A:A,'Solid Mix In Nutrition'!I:I,1))))+(($X237 / 100)  * _xlfn.XLOOKUP($J237,'Sweetener Mix In Nutrition'!A:A,'Sweetener Mix In Nutrition'!B:B,0))+(($Y237 / 100)  * _xlfn.XLOOKUP($K237,'Sweetener Mix In Nutrition'!A:A,'Sweetener Mix In Nutrition'!B:B,0))</f>
        <v>0</v>
      </c>
      <c r="AC237" s="36">
        <f>(($R237 / 240) * _xlfn.XLOOKUP($D237,'Milk Types Nutrition Per Cup'!A:A,'Milk Types Nutrition Per Cup'!E:E,0)) +(($S237 / 240)  * _xlfn.XLOOKUP($E237,'Milk Types Nutrition Per Cup'!A:A,'Milk Types Nutrition Per Cup'!E:E,0)) +(($T237 / 15)  * _xlfn.XLOOKUP($F237,'Liquid Mix In Nutrition'!A:A,'Liquid Mix In Nutrition'!E:E,0)) +(($U237 / 15)  * _xlfn.XLOOKUP($G237,'Liquid Mix In Nutrition'!A:A,'Liquid Mix In Nutrition'!E:E,0))+(($V237 / MAX(1, _xlfn.XLOOKUP($H237,'Solid Mix In Nutrition'!A:A,'Solid Mix In Nutrition'!I:I,1)))  * _xlfn.XLOOKUP($H237,'Solid Mix In Nutrition'!A:A,'Solid Mix In Nutrition'!E:E,0))+(($W237 / MAX(1, _xlfn.XLOOKUP($I237,'Solid Mix In Nutrition'!A:A,'Solid Mix In Nutrition'!I:I,1)))  * _xlfn.XLOOKUP($I237,'Solid Mix In Nutrition'!A:A,'Solid Mix In Nutrition'!G:G,0))+(($X237 / 100)  * _xlfn.XLOOKUP($J237,'Sweetener Mix In Nutrition'!A:A,'Sweetener Mix In Nutrition'!E:E,0))+(($Y237 / 100)  * _xlfn.XLOOKUP($K237,'Sweetener Mix In Nutrition'!A:A,'Sweetener Mix In Nutrition'!E:E,0))</f>
        <v>0</v>
      </c>
      <c r="AD237" s="36">
        <f>(($R237 / 240) * _xlfn.XLOOKUP($D237,'Milk Types Nutrition Per Cup'!A:A,'Milk Types Nutrition Per Cup'!E:E,0)) +(($S237 / 240)  * _xlfn.XLOOKUP($E237,'Milk Types Nutrition Per Cup'!A:A,'Milk Types Nutrition Per Cup'!E:E,0)) +(($T237 / 15)  * _xlfn.XLOOKUP($F237,'Liquid Mix In Nutrition'!A:A,'Liquid Mix In Nutrition'!E:E,0)) +(($U237 / 15)  * _xlfn.XLOOKUP($G237,'Liquid Mix In Nutrition'!A:A,'Liquid Mix In Nutrition'!E:E,0))+(($X237 / 100)  * _xlfn.XLOOKUP($J237,'Sweetener Mix In Nutrition'!A:A,'Sweetener Mix In Nutrition'!E:E,0))+(($Y237 / 100)  * _xlfn.XLOOKUP($K237,'Sweetener Mix In Nutrition'!A:A,'Sweetener Mix In Nutrition'!E:E,0))</f>
        <v>0</v>
      </c>
      <c r="AE237" s="37">
        <f>(($R237 / 240) * _xlfn.XLOOKUP($D237,'Milk Types Nutrition Per Cup'!A:A,'Milk Types Nutrition Per Cup'!C:C,0)) +(($S237 / 240)  * _xlfn.XLOOKUP($E237,'Milk Types Nutrition Per Cup'!A:A,'Milk Types Nutrition Per Cup'!C:C,0)) +(($T237 / 15)  * _xlfn.XLOOKUP($F237,'Liquid Mix In Nutrition'!A:A,'Liquid Mix In Nutrition'!C:C,0))+(($U237 / 15)  * _xlfn.XLOOKUP($G237,'Liquid Mix In Nutrition'!A:A,'Liquid Mix In Nutrition'!C:C,0))+(($V237 / MAX(1, _xlfn.XLOOKUP($H237,'Solid Mix In Nutrition'!A:A,'Solid Mix In Nutrition'!I:I,1)))  * _xlfn.XLOOKUP($H237,'Solid Mix In Nutrition'!A:A,'Solid Mix In Nutrition'!C:C,0))+(($W237 / MAX(1, _xlfn.XLOOKUP($I237,'Solid Mix In Nutrition'!A:A,'Solid Mix In Nutrition'!I:I,1)))  * _xlfn.XLOOKUP($I237,'Solid Mix In Nutrition'!A:A,'Solid Mix In Nutrition'!C:C,0))+(($X237 / 100)  * _xlfn.XLOOKUP($J237,'Sweetener Mix In Nutrition'!A:A,'Sweetener Mix In Nutrition'!C:C,0))+(($Y237 / 100)  * _xlfn.XLOOKUP($K237,'Sweetener Mix In Nutrition'!A:A,'Sweetener Mix In Nutrition'!C:C,0))</f>
        <v>0</v>
      </c>
      <c r="AF237" s="38" t="e">
        <f>$AE237 / (_xlfn.XLOOKUP($L237,Specs!A:A,Specs!B:B,0))</f>
        <v>#DIV/0!</v>
      </c>
      <c r="AG237" s="37" t="e">
        <f>60* ($AB237 / _xlfn.XLOOKUP($L237,Specs!A:A,Specs!B:B,0))</f>
        <v>#DIV/0!</v>
      </c>
      <c r="AH237" s="37" t="e">
        <f>60* (AC237 / _xlfn.XLOOKUP($L237,Specs!$A:$A,Specs!$B:$B,0))</f>
        <v>#DIV/0!</v>
      </c>
      <c r="AI237" s="37" t="e">
        <f>60* (AE237 / _xlfn.XLOOKUP($L237,Specs!$A:$A,Specs!$B:$B,0))</f>
        <v>#DIV/0!</v>
      </c>
      <c r="AJ237" s="39">
        <f>(($R237 / 240) * _xlfn.XLOOKUP($D237,'Milk Types Nutrition Per Cup'!A:A,'Milk Types Nutrition Per Cup'!F:F,0)) +(($S237 / 240)  * _xlfn.XLOOKUP($E237,'Milk Types Nutrition Per Cup'!A:A,'Milk Types Nutrition Per Cup'!F:F,0)) +(($T237 / 15)  * _xlfn.XLOOKUP($F237,'Liquid Mix In Nutrition'!A:A,'Liquid Mix In Nutrition'!F:F,0))+(($U237 / 15)  * _xlfn.XLOOKUP($G237,'Liquid Mix In Nutrition'!A:A,'Liquid Mix In Nutrition'!F:F,0))+(($V237 / MAX(1, _xlfn.XLOOKUP($H237,'Solid Mix In Nutrition'!A:A,'Solid Mix In Nutrition'!I:I,1)))  * _xlfn.XLOOKUP($H237,'Solid Mix In Nutrition'!A:A,'Solid Mix In Nutrition'!F:F,0))+(($W237 / MAX(1, _xlfn.XLOOKUP($I237,'Solid Mix In Nutrition'!A:A,'Solid Mix In Nutrition'!I:I,1)))  * _xlfn.XLOOKUP($I237,'Solid Mix In Nutrition'!A:A,'Solid Mix In Nutrition'!F:F,0))+(($X237 / 100)  * _xlfn.XLOOKUP($J237,'Sweetener Mix In Nutrition'!A:A,'Sweetener Mix In Nutrition'!F:F,0))+(($Y237 / 100)  * _xlfn.XLOOKUP($K237,'Sweetener Mix In Nutrition'!A:A,'Sweetener Mix In Nutrition'!F:F,0))</f>
        <v>0</v>
      </c>
      <c r="AK237" s="46">
        <f>[2]Sheet1!AG237</f>
        <v>0</v>
      </c>
      <c r="AL237" s="47"/>
      <c r="AM237" s="40">
        <f>IF(ISERROR(((AL237/Specs!$L$3)*Specs!$L$2)*2),0,ROUNDUP((((AL237/Specs!$L$3)*Specs!$L$2)*2),0))</f>
        <v>0</v>
      </c>
      <c r="AN237" s="48">
        <f>ROUNDUP(((AJ237+Specs!$R$2+Specs!$S$2+_xlfn.XLOOKUP($L237,Specs!A:A,Specs!V:V,0))*Specs!$N$2)+AM237,0)</f>
        <v>1</v>
      </c>
      <c r="AO237" s="40">
        <f>ROUNDUP(((AJ237+Specs!$R$2+Specs!$S$2+_xlfn.XLOOKUP($L237,Specs!A:A,Specs!V:V,0))*Specs!$N$2),0)</f>
        <v>1</v>
      </c>
      <c r="AP237" s="30"/>
    </row>
    <row r="238" spans="1:42" x14ac:dyDescent="0.25">
      <c r="A238" s="41" t="str">
        <f>_xlfn.CONCAT(_xlfn.XLOOKUP("What's Your Name?",[1]Sheet1!$1:$1,[1]Sheet1!238:238)," | ",TEXT(_xlfn.XLOOKUP("Completion time",[1]Sheet1!$1:$1,[1]Sheet1!238:238),"dddd, mmm dd, yyyy hh:mm AM/PM"))</f>
        <v xml:space="preserve"> | Saturday, Jan 00, 1900 12:00 AM</v>
      </c>
      <c r="B238" s="76">
        <f>_xlfn.XLOOKUP("What's Your Email Address?",[1]Sheet1!$1:$1,[1]Sheet1!238:238)</f>
        <v>0</v>
      </c>
      <c r="C238" s="31">
        <f>IF(ISBLANK(_xlfn.XLOOKUP("Which Flavor? (Pint Price | Quart Price | Half Gallon Price) (NOTE: Prices may fluctuate based on market conditions)",[1]Sheet1!$1:$1,[1]Sheet1!238:238)),_xlfn.XLOOKUP("Name Your Ice Cream!",[1]Sheet1!$1:$1,[1]Sheet1!238:238),IF(ISNUMBER(FIND("(", _xlfn.XLOOKUP("Which Flavor? (Pint Price | Quart Price | Half Gallon Price) (NOTE: Prices may fluctuate based on market conditions)",[1]Sheet1!$1:$1,[1]Sheet1!238:238))), LEFT(_xlfn.XLOOKUP("Which Flavor? (Pint Price | Quart Price | Half Gallon Price) (NOTE: Prices may fluctuate based on market conditions)",[1]Sheet1!$1:$1,[1]Sheet1!238:238), FIND("(", _xlfn.XLOOKUP("Which Flavor? (Pint Price | Quart Price | Half Gallon Price) (NOTE: Prices may fluctuate based on market conditions)",[1]Sheet1!$1:$1,[1]Sheet1!238:238)) - 1), _xlfn.XLOOKUP("Which Flavor? (Pint Price | Quart Price | Half Gallon Price) (NOTE: Prices may fluctuate based on market conditions)",[1]Sheet1!$1:$1,[1]Sheet1!238:238)))</f>
        <v>0</v>
      </c>
      <c r="D238" s="31">
        <f>IF(COUNTIF('Premade Flavors'!$A:$A, $C238) &gt; 0,IF(ISBLANK(_xlfn.XLOOKUP("What Ice Cream Base Do You Want To Change It To?",[1]Sheet1!$1:$1,[1]Sheet1!238:238)),_xlfn.XLOOKUP($C238,'Premade Flavors'!$A:$A,'Premade Flavors'!B:B),_xlfn.XLOOKUP("What Ice Cream Base Do You Want To Change It To?",[1]Sheet1!$1:$1,[1]Sheet1!238:238)),_xlfn.XLOOKUP(_xlfn.XLOOKUP("What Kind Of Ice Cream Base Do You Want? ",[1]Sheet1!$1:$1,[1]Sheet1!238:238),'Milk Types Nutrition Per Cup'!O:O,'Milk Types Nutrition Per Cup'!P:P,""))</f>
        <v>0</v>
      </c>
      <c r="E238" s="31">
        <f>IF(COUNTIF('Premade Flavors'!$A:$A, $C238) &gt; 0,IF(ISBLANK(_xlfn.XLOOKUP("What Ice Cream Base Do You Want To Change It To?",[1]Sheet1!$1:$1,[1]Sheet1!238:238)),_xlfn.XLOOKUP($C238,'Premade Flavors'!$A:$A,'Premade Flavors'!C:C),_xlfn.XLOOKUP("What Ice Cream Base Do You Want To Change It To?",[1]Sheet1!$1:$1,[1]Sheet1!238:238)),_xlfn.XLOOKUP(_xlfn.XLOOKUP("What Kind Of Ice Cream Base Do You Want? ",[1]Sheet1!$1:$1,[1]Sheet1!238:238),'Milk Types Nutrition Per Cup'!$O:$O,'Milk Types Nutrition Per Cup'!$Q:$Q,""))</f>
        <v>0</v>
      </c>
      <c r="F238" s="31">
        <f>IF(COUNTIF('Premade Flavors'!$A:$A, $C238) &gt; 0,_xlfn.XLOOKUP($C238,'Premade Flavors'!$A:$A,'Premade Flavors'!E:E),_xlfn.XLOOKUP("What's The First Flavor You Want? ",[1]Sheet1!$1:$1,[1]Sheet1!238:238))</f>
        <v>0</v>
      </c>
      <c r="G238" s="31">
        <f>IF(COUNTIF('Premade Flavors'!$A:$A, $C238) &gt; 0,_xlfn.XLOOKUP($C238,'Premade Flavors'!$A:$A,'Premade Flavors'!F:F),_xlfn.XLOOKUP("What's the Second Flavor You Want?",[1]Sheet1!$1:$1,[1]Sheet1!238:238))</f>
        <v>0</v>
      </c>
      <c r="H238" s="31">
        <f>IF(COUNTIF('Premade Flavors'!$A:$A, $C238) &gt; 0,_xlfn.XLOOKUP($C238,'Premade Flavors'!$A:$A,'Premade Flavors'!G:G),_xlfn.XLOOKUP("What's The First Mix In That You Want? ",[1]Sheet1!$1:$1,[1]Sheet1!238:238))</f>
        <v>0</v>
      </c>
      <c r="I238" s="31">
        <f>IF(COUNTIF('Premade Flavors'!$A:$A, $C236) &gt; 0,_xlfn.XLOOKUP($C236,'Premade Flavors'!$A:$A,'Premade Flavors'!H:H),IF([2]Sheet1!W236= 0,,[2]Sheet1!W236))</f>
        <v>0</v>
      </c>
      <c r="J238" s="31">
        <f>IF(COUNTIF('Premade Flavors'!$A:$A,$C238)&gt;0,IF(_xlfn.XLOOKUP("Should It Use Sugar or A Non-Sugar Sweetner?",[1]Sheet1!$1:$1,[1]Sheet1!238:238)="Sugar",_xlfn.XLOOKUP($C238,'Premade Flavors'!$A:$A,'Premade Flavors'!I:I),"Stevia"),_xlfn.XLOOKUP("What Sweetner Do You Want?",[1]Sheet1!$1:$1,[1]Sheet1!238:238))</f>
        <v>0</v>
      </c>
      <c r="K238" s="31"/>
      <c r="L238" s="77">
        <f>_xlfn.XLOOKUP("How Much Ice Cream Do You Want?",[1]Sheet1!$1:$1,[1]Sheet1!238:238)</f>
        <v>0</v>
      </c>
      <c r="M238" s="45">
        <f>IF(COUNTIF('Premade Flavors'!$A:$A, $C238) &gt; 0,_xlfn.XLOOKUP($C238,'Premade Flavors'!$A:$A,'Premade Flavors'!M:M),_xlfn.XLOOKUP("How Strong Do You Want The First Flavor?",[1]Sheet1!$1:$1,[1]Sheet1!238:238))</f>
        <v>0</v>
      </c>
      <c r="N238" s="45">
        <f>IF(COUNTIF('Premade Flavors'!$A:$A, $C238) &gt; 0,_xlfn.XLOOKUP($C238,'Premade Flavors'!$A:$A,'Premade Flavors'!N:N),_xlfn.XLOOKUP("How Strong Do You Want The Second Flavor?",[1]Sheet1!$1:$1,[1]Sheet1!238:238))</f>
        <v>0</v>
      </c>
      <c r="O238" s="45">
        <f>IF(COUNTIF('Premade Flavors'!$A:$A, $C238) &gt; 0,_xlfn.XLOOKUP($C238,'Premade Flavors'!$A:$A,'Premade Flavors'!O:O),_xlfn.XLOOKUP("How Dense Should the Mix Ins Be?",[1]Sheet1!$1:$1,[1]Sheet1!238:238))</f>
        <v>0</v>
      </c>
      <c r="P238" s="45">
        <f>IF(COUNTIF('Premade Flavors'!$A:$A, $C238) &gt; 0,_xlfn.XLOOKUP($C238,'Premade Flavors'!$A:$A,'Premade Flavors'!P:P),_xlfn.XLOOKUP("How Much Of The First Sweetner? ",[1]Sheet1!$1:$1,[1]Sheet1!238:238))</f>
        <v>0</v>
      </c>
      <c r="Q238" s="45">
        <f>IF(COUNTIF('Premade Flavors'!$A:$A, $C238) &gt; 0,_xlfn.XLOOKUP($C238,'Premade Flavors'!$A:$A,'Premade Flavors'!Q:Q),[2]Sheet1!S238)</f>
        <v>0</v>
      </c>
      <c r="R238" s="30">
        <f>(_xlfn.XLOOKUP($L238,Specs!A:A,Specs!B:B,0)-(IF(_xlfn.XLOOKUP($F238,'Liquid Mix In Nutrition'!A:A,'Liquid Mix In Nutrition'!J:J,0)="Yes",0,$T238))-(IF(_xlfn.XLOOKUP($G238,'Liquid Mix In Nutrition'!A:A,'Liquid Mix In Nutrition'!J:J,0)="Yes",0,$U238))-(($V238/MAX(1,_xlfn.XLOOKUP($H238,'Solid Mix In Nutrition'!A:A,'Solid Mix In Nutrition'!I:I,1)))*240)-(($W238/MAX(1,_xlfn.XLOOKUP($I238,'Solid Mix In Nutrition'!A:A,'Solid Mix In Nutrition'!I:I,1)))*240))*0.66</f>
        <v>0</v>
      </c>
      <c r="S238" s="30">
        <f>(_xlfn.XLOOKUP($L238,Specs!A:A,Specs!B:B,0)-(IF(_xlfn.XLOOKUP($F238,'Liquid Mix In Nutrition'!A:A,'Liquid Mix In Nutrition'!J:J,0)="Yes",0,$T238))-(IF(_xlfn.XLOOKUP($G238,'Liquid Mix In Nutrition'!A:A,'Liquid Mix In Nutrition'!J:J,0)="Yes",0,$U238))-(($V238/MAX(1,_xlfn.XLOOKUP($H238,'Solid Mix In Nutrition'!A:A,'Solid Mix In Nutrition'!I:I,1)))*240)-(($W238/MAX(1,_xlfn.XLOOKUP($I238,'Solid Mix In Nutrition'!A:A,'Solid Mix In Nutrition'!I:I,1)))*240))*0.33</f>
        <v>0</v>
      </c>
      <c r="T238" s="30">
        <f>_xlfn.XLOOKUP($M238,Specs!$D:$D,Specs!$E:$E,0)*15*_xlfn.XLOOKUP($L238,Specs!$A:$A,Specs!$C:$C,0)</f>
        <v>0</v>
      </c>
      <c r="U238" s="30">
        <f>_xlfn.XLOOKUP($N238,Specs!$D:$D,Specs!$E:$E,0)*15*_xlfn.XLOOKUP($L238,Specs!$A:$A,Specs!$C:$C,0)</f>
        <v>0</v>
      </c>
      <c r="V238" s="30">
        <f>( ((_xlfn.XLOOKUP($O238,Specs!$H:$H,Specs!$I:$I,0)*_xlfn.XLOOKUP($L238,Specs!$A:$A,Specs!$B:$B,0))/240) *_xlfn.XLOOKUP($H238,'Solid Mix In Nutrition'!A:A,'Solid Mix In Nutrition'!I:I,0)) *IF(AND(NOT($I238=0), COUNTA($I238)),0.5,1)</f>
        <v>0</v>
      </c>
      <c r="W238" s="30">
        <f>( ((_xlfn.XLOOKUP($O238,Specs!$H:$H,Specs!$I:$I,0)*_xlfn.XLOOKUP($L238,Specs!$A:$A,Specs!$B:$B,0))/240) *_xlfn.XLOOKUP($I238,'Solid Mix In Nutrition'!A:A,'Solid Mix In Nutrition'!I:I,0)) *IF(AND(NOT($I238=0), COUNTA($I238)),0.5,0)</f>
        <v>0</v>
      </c>
      <c r="X238" s="30">
        <f>_xlfn.XLOOKUP($P238,Specs!F:F,Specs!G:G,0)*_xlfn.XLOOKUP($J238,'Sweetener Mix In Nutrition'!A:A,'Sweetener Mix In Nutrition'!I:I,0)*_xlfn.XLOOKUP($L238,Specs!A:A,Specs!C:C,0)</f>
        <v>0</v>
      </c>
      <c r="Y238" s="30">
        <f>_xlfn.XLOOKUP($Q238,Specs!F:F,Specs!G:G,0)*_xlfn.XLOOKUP($K238,'Sweetener Mix In Nutrition'!A:A,'Sweetener Mix In Nutrition'!I:I,0)*_xlfn.XLOOKUP($L238,Specs!A:A,Specs!C:C,0)</f>
        <v>0</v>
      </c>
      <c r="Z238" s="34">
        <f t="shared" si="8"/>
        <v>0</v>
      </c>
      <c r="AA238" s="35">
        <f t="shared" si="9"/>
        <v>0</v>
      </c>
      <c r="AB238" s="36">
        <f>(($R238 / 240) * _xlfn.XLOOKUP($D238,'Milk Types Nutrition Per Cup'!A:A,'Milk Types Nutrition Per Cup'!B:B,0)) +(($S238 / 240)  * _xlfn.XLOOKUP($E238,'Milk Types Nutrition Per Cup'!A:A,'Milk Types Nutrition Per Cup'!B:B,0)) +(($T238 / 15)  * _xlfn.XLOOKUP($F238,'Liquid Mix In Nutrition'!A:A,'Liquid Mix In Nutrition'!B:B,0))+(($U238 / 15)  * _xlfn.XLOOKUP($G238,'Liquid Mix In Nutrition'!A:A,'Liquid Mix In Nutrition'!B:B,0))+(($V238 /MAX(1, _xlfn.XLOOKUP($H238,'Solid Mix In Nutrition'!A:A,'Solid Mix In Nutrition'!I:I,1)))  * _xlfn.XLOOKUP($H238,'Solid Mix In Nutrition'!A:A,'Solid Mix In Nutrition'!B:B,0))+(($W238 / MAX(1, _xlfn.XLOOKUP($I238,'Solid Mix In Nutrition'!A:A,'Solid Mix In Nutrition'!I:I,1))))+(($X238 / 100)  * _xlfn.XLOOKUP($J238,'Sweetener Mix In Nutrition'!A:A,'Sweetener Mix In Nutrition'!B:B,0))+(($Y238 / 100)  * _xlfn.XLOOKUP($K238,'Sweetener Mix In Nutrition'!A:A,'Sweetener Mix In Nutrition'!B:B,0))</f>
        <v>0</v>
      </c>
      <c r="AC238" s="36">
        <f>(($R238 / 240) * _xlfn.XLOOKUP($D238,'Milk Types Nutrition Per Cup'!A:A,'Milk Types Nutrition Per Cup'!E:E,0)) +(($S238 / 240)  * _xlfn.XLOOKUP($E238,'Milk Types Nutrition Per Cup'!A:A,'Milk Types Nutrition Per Cup'!E:E,0)) +(($T238 / 15)  * _xlfn.XLOOKUP($F238,'Liquid Mix In Nutrition'!A:A,'Liquid Mix In Nutrition'!E:E,0)) +(($U238 / 15)  * _xlfn.XLOOKUP($G238,'Liquid Mix In Nutrition'!A:A,'Liquid Mix In Nutrition'!E:E,0))+(($V238 / MAX(1, _xlfn.XLOOKUP($H238,'Solid Mix In Nutrition'!A:A,'Solid Mix In Nutrition'!I:I,1)))  * _xlfn.XLOOKUP($H238,'Solid Mix In Nutrition'!A:A,'Solid Mix In Nutrition'!E:E,0))+(($W238 / MAX(1, _xlfn.XLOOKUP($I238,'Solid Mix In Nutrition'!A:A,'Solid Mix In Nutrition'!I:I,1)))  * _xlfn.XLOOKUP($I238,'Solid Mix In Nutrition'!A:A,'Solid Mix In Nutrition'!G:G,0))+(($X238 / 100)  * _xlfn.XLOOKUP($J238,'Sweetener Mix In Nutrition'!A:A,'Sweetener Mix In Nutrition'!E:E,0))+(($Y238 / 100)  * _xlfn.XLOOKUP($K238,'Sweetener Mix In Nutrition'!A:A,'Sweetener Mix In Nutrition'!E:E,0))</f>
        <v>0</v>
      </c>
      <c r="AD238" s="36">
        <f>(($R238 / 240) * _xlfn.XLOOKUP($D238,'Milk Types Nutrition Per Cup'!A:A,'Milk Types Nutrition Per Cup'!E:E,0)) +(($S238 / 240)  * _xlfn.XLOOKUP($E238,'Milk Types Nutrition Per Cup'!A:A,'Milk Types Nutrition Per Cup'!E:E,0)) +(($T238 / 15)  * _xlfn.XLOOKUP($F238,'Liquid Mix In Nutrition'!A:A,'Liquid Mix In Nutrition'!E:E,0)) +(($U238 / 15)  * _xlfn.XLOOKUP($G238,'Liquid Mix In Nutrition'!A:A,'Liquid Mix In Nutrition'!E:E,0))+(($X238 / 100)  * _xlfn.XLOOKUP($J238,'Sweetener Mix In Nutrition'!A:A,'Sweetener Mix In Nutrition'!E:E,0))+(($Y238 / 100)  * _xlfn.XLOOKUP($K238,'Sweetener Mix In Nutrition'!A:A,'Sweetener Mix In Nutrition'!E:E,0))</f>
        <v>0</v>
      </c>
      <c r="AE238" s="37">
        <f>(($R238 / 240) * _xlfn.XLOOKUP($D238,'Milk Types Nutrition Per Cup'!A:A,'Milk Types Nutrition Per Cup'!C:C,0)) +(($S238 / 240)  * _xlfn.XLOOKUP($E238,'Milk Types Nutrition Per Cup'!A:A,'Milk Types Nutrition Per Cup'!C:C,0)) +(($T238 / 15)  * _xlfn.XLOOKUP($F238,'Liquid Mix In Nutrition'!A:A,'Liquid Mix In Nutrition'!C:C,0))+(($U238 / 15)  * _xlfn.XLOOKUP($G238,'Liquid Mix In Nutrition'!A:A,'Liquid Mix In Nutrition'!C:C,0))+(($V238 / MAX(1, _xlfn.XLOOKUP($H238,'Solid Mix In Nutrition'!A:A,'Solid Mix In Nutrition'!I:I,1)))  * _xlfn.XLOOKUP($H238,'Solid Mix In Nutrition'!A:A,'Solid Mix In Nutrition'!C:C,0))+(($W238 / MAX(1, _xlfn.XLOOKUP($I238,'Solid Mix In Nutrition'!A:A,'Solid Mix In Nutrition'!I:I,1)))  * _xlfn.XLOOKUP($I238,'Solid Mix In Nutrition'!A:A,'Solid Mix In Nutrition'!C:C,0))+(($X238 / 100)  * _xlfn.XLOOKUP($J238,'Sweetener Mix In Nutrition'!A:A,'Sweetener Mix In Nutrition'!C:C,0))+(($Y238 / 100)  * _xlfn.XLOOKUP($K238,'Sweetener Mix In Nutrition'!A:A,'Sweetener Mix In Nutrition'!C:C,0))</f>
        <v>0</v>
      </c>
      <c r="AF238" s="38" t="e">
        <f>$AE238 / (_xlfn.XLOOKUP($L238,Specs!A:A,Specs!B:B,0))</f>
        <v>#DIV/0!</v>
      </c>
      <c r="AG238" s="37" t="e">
        <f>60* ($AB238 / _xlfn.XLOOKUP($L238,Specs!A:A,Specs!B:B,0))</f>
        <v>#DIV/0!</v>
      </c>
      <c r="AH238" s="37" t="e">
        <f>60* (AC238 / _xlfn.XLOOKUP($L238,Specs!$A:$A,Specs!$B:$B,0))</f>
        <v>#DIV/0!</v>
      </c>
      <c r="AI238" s="37" t="e">
        <f>60* (AE238 / _xlfn.XLOOKUP($L238,Specs!$A:$A,Specs!$B:$B,0))</f>
        <v>#DIV/0!</v>
      </c>
      <c r="AJ238" s="39">
        <f>(($R238 / 240) * _xlfn.XLOOKUP($D238,'Milk Types Nutrition Per Cup'!A:A,'Milk Types Nutrition Per Cup'!F:F,0)) +(($S238 / 240)  * _xlfn.XLOOKUP($E238,'Milk Types Nutrition Per Cup'!A:A,'Milk Types Nutrition Per Cup'!F:F,0)) +(($T238 / 15)  * _xlfn.XLOOKUP($F238,'Liquid Mix In Nutrition'!A:A,'Liquid Mix In Nutrition'!F:F,0))+(($U238 / 15)  * _xlfn.XLOOKUP($G238,'Liquid Mix In Nutrition'!A:A,'Liquid Mix In Nutrition'!F:F,0))+(($V238 / MAX(1, _xlfn.XLOOKUP($H238,'Solid Mix In Nutrition'!A:A,'Solid Mix In Nutrition'!I:I,1)))  * _xlfn.XLOOKUP($H238,'Solid Mix In Nutrition'!A:A,'Solid Mix In Nutrition'!F:F,0))+(($W238 / MAX(1, _xlfn.XLOOKUP($I238,'Solid Mix In Nutrition'!A:A,'Solid Mix In Nutrition'!I:I,1)))  * _xlfn.XLOOKUP($I238,'Solid Mix In Nutrition'!A:A,'Solid Mix In Nutrition'!F:F,0))+(($X238 / 100)  * _xlfn.XLOOKUP($J238,'Sweetener Mix In Nutrition'!A:A,'Sweetener Mix In Nutrition'!F:F,0))+(($Y238 / 100)  * _xlfn.XLOOKUP($K238,'Sweetener Mix In Nutrition'!A:A,'Sweetener Mix In Nutrition'!F:F,0))</f>
        <v>0</v>
      </c>
      <c r="AK238" s="46">
        <f>[2]Sheet1!AG238</f>
        <v>0</v>
      </c>
      <c r="AL238" s="47"/>
      <c r="AM238" s="40">
        <f>IF(ISERROR(((AL238/Specs!$L$3)*Specs!$L$2)*2),0,ROUNDUP((((AL238/Specs!$L$3)*Specs!$L$2)*2),0))</f>
        <v>0</v>
      </c>
      <c r="AN238" s="48">
        <f>ROUNDUP(((AJ238+Specs!$R$2+Specs!$S$2+_xlfn.XLOOKUP($L238,Specs!A:A,Specs!V:V,0))*Specs!$N$2)+AM238,0)</f>
        <v>1</v>
      </c>
      <c r="AO238" s="40">
        <f>ROUNDUP(((AJ238+Specs!$R$2+Specs!$S$2+_xlfn.XLOOKUP($L238,Specs!A:A,Specs!V:V,0))*Specs!$N$2),0)</f>
        <v>1</v>
      </c>
      <c r="AP238" s="30"/>
    </row>
    <row r="239" spans="1:42" x14ac:dyDescent="0.25">
      <c r="A239" s="41" t="str">
        <f>_xlfn.CONCAT(_xlfn.XLOOKUP("What's Your Name?",[1]Sheet1!$1:$1,[1]Sheet1!239:239)," | ",TEXT(_xlfn.XLOOKUP("Completion time",[1]Sheet1!$1:$1,[1]Sheet1!239:239),"dddd, mmm dd, yyyy hh:mm AM/PM"))</f>
        <v xml:space="preserve"> | Saturday, Jan 00, 1900 12:00 AM</v>
      </c>
      <c r="B239" s="76">
        <f>_xlfn.XLOOKUP("What's Your Email Address?",[1]Sheet1!$1:$1,[1]Sheet1!239:239)</f>
        <v>0</v>
      </c>
      <c r="C239" s="31">
        <f>IF(ISBLANK(_xlfn.XLOOKUP("Which Flavor? (Pint Price | Quart Price | Half Gallon Price) (NOTE: Prices may fluctuate based on market conditions)",[1]Sheet1!$1:$1,[1]Sheet1!239:239)),_xlfn.XLOOKUP("Name Your Ice Cream!",[1]Sheet1!$1:$1,[1]Sheet1!239:239),IF(ISNUMBER(FIND("(", _xlfn.XLOOKUP("Which Flavor? (Pint Price | Quart Price | Half Gallon Price) (NOTE: Prices may fluctuate based on market conditions)",[1]Sheet1!$1:$1,[1]Sheet1!239:239))), LEFT(_xlfn.XLOOKUP("Which Flavor? (Pint Price | Quart Price | Half Gallon Price) (NOTE: Prices may fluctuate based on market conditions)",[1]Sheet1!$1:$1,[1]Sheet1!239:239), FIND("(", _xlfn.XLOOKUP("Which Flavor? (Pint Price | Quart Price | Half Gallon Price) (NOTE: Prices may fluctuate based on market conditions)",[1]Sheet1!$1:$1,[1]Sheet1!239:239)) - 1), _xlfn.XLOOKUP("Which Flavor? (Pint Price | Quart Price | Half Gallon Price) (NOTE: Prices may fluctuate based on market conditions)",[1]Sheet1!$1:$1,[1]Sheet1!239:239)))</f>
        <v>0</v>
      </c>
      <c r="D239" s="31">
        <f>IF(COUNTIF('Premade Flavors'!$A:$A, $C239) &gt; 0,IF(ISBLANK(_xlfn.XLOOKUP("What Ice Cream Base Do You Want To Change It To?",[1]Sheet1!$1:$1,[1]Sheet1!239:239)),_xlfn.XLOOKUP($C239,'Premade Flavors'!$A:$A,'Premade Flavors'!B:B),_xlfn.XLOOKUP("What Ice Cream Base Do You Want To Change It To?",[1]Sheet1!$1:$1,[1]Sheet1!239:239)),_xlfn.XLOOKUP(_xlfn.XLOOKUP("What Kind Of Ice Cream Base Do You Want? ",[1]Sheet1!$1:$1,[1]Sheet1!239:239),'Milk Types Nutrition Per Cup'!O:O,'Milk Types Nutrition Per Cup'!P:P,""))</f>
        <v>0</v>
      </c>
      <c r="E239" s="31">
        <f>IF(COUNTIF('Premade Flavors'!$A:$A, $C239) &gt; 0,IF(ISBLANK(_xlfn.XLOOKUP("What Ice Cream Base Do You Want To Change It To?",[1]Sheet1!$1:$1,[1]Sheet1!239:239)),_xlfn.XLOOKUP($C239,'Premade Flavors'!$A:$A,'Premade Flavors'!C:C),_xlfn.XLOOKUP("What Ice Cream Base Do You Want To Change It To?",[1]Sheet1!$1:$1,[1]Sheet1!239:239)),_xlfn.XLOOKUP(_xlfn.XLOOKUP("What Kind Of Ice Cream Base Do You Want? ",[1]Sheet1!$1:$1,[1]Sheet1!239:239),'Milk Types Nutrition Per Cup'!$O:$O,'Milk Types Nutrition Per Cup'!$Q:$Q,""))</f>
        <v>0</v>
      </c>
      <c r="F239" s="31">
        <f>IF(COUNTIF('Premade Flavors'!$A:$A, $C239) &gt; 0,_xlfn.XLOOKUP($C239,'Premade Flavors'!$A:$A,'Premade Flavors'!E:E),_xlfn.XLOOKUP("What's The First Flavor You Want? ",[1]Sheet1!$1:$1,[1]Sheet1!239:239))</f>
        <v>0</v>
      </c>
      <c r="G239" s="31">
        <f>IF(COUNTIF('Premade Flavors'!$A:$A, $C239) &gt; 0,_xlfn.XLOOKUP($C239,'Premade Flavors'!$A:$A,'Premade Flavors'!F:F),_xlfn.XLOOKUP("What's the Second Flavor You Want?",[1]Sheet1!$1:$1,[1]Sheet1!239:239))</f>
        <v>0</v>
      </c>
      <c r="H239" s="31">
        <f>IF(COUNTIF('Premade Flavors'!$A:$A, $C239) &gt; 0,_xlfn.XLOOKUP($C239,'Premade Flavors'!$A:$A,'Premade Flavors'!G:G),_xlfn.XLOOKUP("What's The First Mix In That You Want? ",[1]Sheet1!$1:$1,[1]Sheet1!239:239))</f>
        <v>0</v>
      </c>
      <c r="I239" s="31">
        <f>IF(COUNTIF('Premade Flavors'!$A:$A, $C237) &gt; 0,_xlfn.XLOOKUP($C237,'Premade Flavors'!$A:$A,'Premade Flavors'!H:H),IF([2]Sheet1!W237= 0,,[2]Sheet1!W237))</f>
        <v>0</v>
      </c>
      <c r="J239" s="31">
        <f>IF(COUNTIF('Premade Flavors'!$A:$A,$C239)&gt;0,IF(_xlfn.XLOOKUP("Should It Use Sugar or A Non-Sugar Sweetner?",[1]Sheet1!$1:$1,[1]Sheet1!239:239)="Sugar",_xlfn.XLOOKUP($C239,'Premade Flavors'!$A:$A,'Premade Flavors'!I:I),"Stevia"),_xlfn.XLOOKUP("What Sweetner Do You Want?",[1]Sheet1!$1:$1,[1]Sheet1!239:239))</f>
        <v>0</v>
      </c>
      <c r="K239" s="31"/>
      <c r="L239" s="77">
        <f>_xlfn.XLOOKUP("How Much Ice Cream Do You Want?",[1]Sheet1!$1:$1,[1]Sheet1!239:239)</f>
        <v>0</v>
      </c>
      <c r="M239" s="45">
        <f>IF(COUNTIF('Premade Flavors'!$A:$A, $C239) &gt; 0,_xlfn.XLOOKUP($C239,'Premade Flavors'!$A:$A,'Premade Flavors'!M:M),_xlfn.XLOOKUP("How Strong Do You Want The First Flavor?",[1]Sheet1!$1:$1,[1]Sheet1!239:239))</f>
        <v>0</v>
      </c>
      <c r="N239" s="45">
        <f>IF(COUNTIF('Premade Flavors'!$A:$A, $C239) &gt; 0,_xlfn.XLOOKUP($C239,'Premade Flavors'!$A:$A,'Premade Flavors'!N:N),_xlfn.XLOOKUP("How Strong Do You Want The Second Flavor?",[1]Sheet1!$1:$1,[1]Sheet1!239:239))</f>
        <v>0</v>
      </c>
      <c r="O239" s="45">
        <f>IF(COUNTIF('Premade Flavors'!$A:$A, $C239) &gt; 0,_xlfn.XLOOKUP($C239,'Premade Flavors'!$A:$A,'Premade Flavors'!O:O),_xlfn.XLOOKUP("How Dense Should the Mix Ins Be?",[1]Sheet1!$1:$1,[1]Sheet1!239:239))</f>
        <v>0</v>
      </c>
      <c r="P239" s="45">
        <f>IF(COUNTIF('Premade Flavors'!$A:$A, $C239) &gt; 0,_xlfn.XLOOKUP($C239,'Premade Flavors'!$A:$A,'Premade Flavors'!P:P),_xlfn.XLOOKUP("How Much Of The First Sweetner? ",[1]Sheet1!$1:$1,[1]Sheet1!239:239))</f>
        <v>0</v>
      </c>
      <c r="Q239" s="45">
        <f>IF(COUNTIF('Premade Flavors'!$A:$A, $C239) &gt; 0,_xlfn.XLOOKUP($C239,'Premade Flavors'!$A:$A,'Premade Flavors'!Q:Q),[2]Sheet1!S239)</f>
        <v>0</v>
      </c>
      <c r="R239" s="30">
        <f>(_xlfn.XLOOKUP($L239,Specs!A:A,Specs!B:B,0)-(IF(_xlfn.XLOOKUP($F239,'Liquid Mix In Nutrition'!A:A,'Liquid Mix In Nutrition'!J:J,0)="Yes",0,$T239))-(IF(_xlfn.XLOOKUP($G239,'Liquid Mix In Nutrition'!A:A,'Liquid Mix In Nutrition'!J:J,0)="Yes",0,$U239))-(($V239/MAX(1,_xlfn.XLOOKUP($H239,'Solid Mix In Nutrition'!A:A,'Solid Mix In Nutrition'!I:I,1)))*240)-(($W239/MAX(1,_xlfn.XLOOKUP($I239,'Solid Mix In Nutrition'!A:A,'Solid Mix In Nutrition'!I:I,1)))*240))*0.66</f>
        <v>0</v>
      </c>
      <c r="S239" s="30">
        <f>(_xlfn.XLOOKUP($L239,Specs!A:A,Specs!B:B,0)-(IF(_xlfn.XLOOKUP($F239,'Liquid Mix In Nutrition'!A:A,'Liquid Mix In Nutrition'!J:J,0)="Yes",0,$T239))-(IF(_xlfn.XLOOKUP($G239,'Liquid Mix In Nutrition'!A:A,'Liquid Mix In Nutrition'!J:J,0)="Yes",0,$U239))-(($V239/MAX(1,_xlfn.XLOOKUP($H239,'Solid Mix In Nutrition'!A:A,'Solid Mix In Nutrition'!I:I,1)))*240)-(($W239/MAX(1,_xlfn.XLOOKUP($I239,'Solid Mix In Nutrition'!A:A,'Solid Mix In Nutrition'!I:I,1)))*240))*0.33</f>
        <v>0</v>
      </c>
      <c r="T239" s="30">
        <f>_xlfn.XLOOKUP($M239,Specs!$D:$D,Specs!$E:$E,0)*15*_xlfn.XLOOKUP($L239,Specs!$A:$A,Specs!$C:$C,0)</f>
        <v>0</v>
      </c>
      <c r="U239" s="30">
        <f>_xlfn.XLOOKUP($N239,Specs!$D:$D,Specs!$E:$E,0)*15*_xlfn.XLOOKUP($L239,Specs!$A:$A,Specs!$C:$C,0)</f>
        <v>0</v>
      </c>
      <c r="V239" s="30">
        <f>( ((_xlfn.XLOOKUP($O239,Specs!$H:$H,Specs!$I:$I,0)*_xlfn.XLOOKUP($L239,Specs!$A:$A,Specs!$B:$B,0))/240) *_xlfn.XLOOKUP($H239,'Solid Mix In Nutrition'!A:A,'Solid Mix In Nutrition'!I:I,0)) *IF(AND(NOT($I239=0), COUNTA($I239)),0.5,1)</f>
        <v>0</v>
      </c>
      <c r="W239" s="30">
        <f>( ((_xlfn.XLOOKUP($O239,Specs!$H:$H,Specs!$I:$I,0)*_xlfn.XLOOKUP($L239,Specs!$A:$A,Specs!$B:$B,0))/240) *_xlfn.XLOOKUP($I239,'Solid Mix In Nutrition'!A:A,'Solid Mix In Nutrition'!I:I,0)) *IF(AND(NOT($I239=0), COUNTA($I239)),0.5,0)</f>
        <v>0</v>
      </c>
      <c r="X239" s="30">
        <f>_xlfn.XLOOKUP($P239,Specs!F:F,Specs!G:G,0)*_xlfn.XLOOKUP($J239,'Sweetener Mix In Nutrition'!A:A,'Sweetener Mix In Nutrition'!I:I,0)*_xlfn.XLOOKUP($L239,Specs!A:A,Specs!C:C,0)</f>
        <v>0</v>
      </c>
      <c r="Y239" s="30">
        <f>_xlfn.XLOOKUP($Q239,Specs!F:F,Specs!G:G,0)*_xlfn.XLOOKUP($K239,'Sweetener Mix In Nutrition'!A:A,'Sweetener Mix In Nutrition'!I:I,0)*_xlfn.XLOOKUP($L239,Specs!A:A,Specs!C:C,0)</f>
        <v>0</v>
      </c>
      <c r="Z239" s="34">
        <f t="shared" si="8"/>
        <v>0</v>
      </c>
      <c r="AA239" s="35">
        <f t="shared" si="9"/>
        <v>0</v>
      </c>
      <c r="AB239" s="36">
        <f>(($R239 / 240) * _xlfn.XLOOKUP($D239,'Milk Types Nutrition Per Cup'!A:A,'Milk Types Nutrition Per Cup'!B:B,0)) +(($S239 / 240)  * _xlfn.XLOOKUP($E239,'Milk Types Nutrition Per Cup'!A:A,'Milk Types Nutrition Per Cup'!B:B,0)) +(($T239 / 15)  * _xlfn.XLOOKUP($F239,'Liquid Mix In Nutrition'!A:A,'Liquid Mix In Nutrition'!B:B,0))+(($U239 / 15)  * _xlfn.XLOOKUP($G239,'Liquid Mix In Nutrition'!A:A,'Liquid Mix In Nutrition'!B:B,0))+(($V239 /MAX(1, _xlfn.XLOOKUP($H239,'Solid Mix In Nutrition'!A:A,'Solid Mix In Nutrition'!I:I,1)))  * _xlfn.XLOOKUP($H239,'Solid Mix In Nutrition'!A:A,'Solid Mix In Nutrition'!B:B,0))+(($W239 / MAX(1, _xlfn.XLOOKUP($I239,'Solid Mix In Nutrition'!A:A,'Solid Mix In Nutrition'!I:I,1))))+(($X239 / 100)  * _xlfn.XLOOKUP($J239,'Sweetener Mix In Nutrition'!A:A,'Sweetener Mix In Nutrition'!B:B,0))+(($Y239 / 100)  * _xlfn.XLOOKUP($K239,'Sweetener Mix In Nutrition'!A:A,'Sweetener Mix In Nutrition'!B:B,0))</f>
        <v>0</v>
      </c>
      <c r="AC239" s="36">
        <f>(($R239 / 240) * _xlfn.XLOOKUP($D239,'Milk Types Nutrition Per Cup'!A:A,'Milk Types Nutrition Per Cup'!E:E,0)) +(($S239 / 240)  * _xlfn.XLOOKUP($E239,'Milk Types Nutrition Per Cup'!A:A,'Milk Types Nutrition Per Cup'!E:E,0)) +(($T239 / 15)  * _xlfn.XLOOKUP($F239,'Liquid Mix In Nutrition'!A:A,'Liquid Mix In Nutrition'!E:E,0)) +(($U239 / 15)  * _xlfn.XLOOKUP($G239,'Liquid Mix In Nutrition'!A:A,'Liquid Mix In Nutrition'!E:E,0))+(($V239 / MAX(1, _xlfn.XLOOKUP($H239,'Solid Mix In Nutrition'!A:A,'Solid Mix In Nutrition'!I:I,1)))  * _xlfn.XLOOKUP($H239,'Solid Mix In Nutrition'!A:A,'Solid Mix In Nutrition'!E:E,0))+(($W239 / MAX(1, _xlfn.XLOOKUP($I239,'Solid Mix In Nutrition'!A:A,'Solid Mix In Nutrition'!I:I,1)))  * _xlfn.XLOOKUP($I239,'Solid Mix In Nutrition'!A:A,'Solid Mix In Nutrition'!G:G,0))+(($X239 / 100)  * _xlfn.XLOOKUP($J239,'Sweetener Mix In Nutrition'!A:A,'Sweetener Mix In Nutrition'!E:E,0))+(($Y239 / 100)  * _xlfn.XLOOKUP($K239,'Sweetener Mix In Nutrition'!A:A,'Sweetener Mix In Nutrition'!E:E,0))</f>
        <v>0</v>
      </c>
      <c r="AD239" s="36">
        <f>(($R239 / 240) * _xlfn.XLOOKUP($D239,'Milk Types Nutrition Per Cup'!A:A,'Milk Types Nutrition Per Cup'!E:E,0)) +(($S239 / 240)  * _xlfn.XLOOKUP($E239,'Milk Types Nutrition Per Cup'!A:A,'Milk Types Nutrition Per Cup'!E:E,0)) +(($T239 / 15)  * _xlfn.XLOOKUP($F239,'Liquid Mix In Nutrition'!A:A,'Liquid Mix In Nutrition'!E:E,0)) +(($U239 / 15)  * _xlfn.XLOOKUP($G239,'Liquid Mix In Nutrition'!A:A,'Liquid Mix In Nutrition'!E:E,0))+(($X239 / 100)  * _xlfn.XLOOKUP($J239,'Sweetener Mix In Nutrition'!A:A,'Sweetener Mix In Nutrition'!E:E,0))+(($Y239 / 100)  * _xlfn.XLOOKUP($K239,'Sweetener Mix In Nutrition'!A:A,'Sweetener Mix In Nutrition'!E:E,0))</f>
        <v>0</v>
      </c>
      <c r="AE239" s="37">
        <f>(($R239 / 240) * _xlfn.XLOOKUP($D239,'Milk Types Nutrition Per Cup'!A:A,'Milk Types Nutrition Per Cup'!C:C,0)) +(($S239 / 240)  * _xlfn.XLOOKUP($E239,'Milk Types Nutrition Per Cup'!A:A,'Milk Types Nutrition Per Cup'!C:C,0)) +(($T239 / 15)  * _xlfn.XLOOKUP($F239,'Liquid Mix In Nutrition'!A:A,'Liquid Mix In Nutrition'!C:C,0))+(($U239 / 15)  * _xlfn.XLOOKUP($G239,'Liquid Mix In Nutrition'!A:A,'Liquid Mix In Nutrition'!C:C,0))+(($V239 / MAX(1, _xlfn.XLOOKUP($H239,'Solid Mix In Nutrition'!A:A,'Solid Mix In Nutrition'!I:I,1)))  * _xlfn.XLOOKUP($H239,'Solid Mix In Nutrition'!A:A,'Solid Mix In Nutrition'!C:C,0))+(($W239 / MAX(1, _xlfn.XLOOKUP($I239,'Solid Mix In Nutrition'!A:A,'Solid Mix In Nutrition'!I:I,1)))  * _xlfn.XLOOKUP($I239,'Solid Mix In Nutrition'!A:A,'Solid Mix In Nutrition'!C:C,0))+(($X239 / 100)  * _xlfn.XLOOKUP($J239,'Sweetener Mix In Nutrition'!A:A,'Sweetener Mix In Nutrition'!C:C,0))+(($Y239 / 100)  * _xlfn.XLOOKUP($K239,'Sweetener Mix In Nutrition'!A:A,'Sweetener Mix In Nutrition'!C:C,0))</f>
        <v>0</v>
      </c>
      <c r="AF239" s="38" t="e">
        <f>$AE239 / (_xlfn.XLOOKUP($L239,Specs!A:A,Specs!B:B,0))</f>
        <v>#DIV/0!</v>
      </c>
      <c r="AG239" s="37" t="e">
        <f>60* ($AB239 / _xlfn.XLOOKUP($L239,Specs!A:A,Specs!B:B,0))</f>
        <v>#DIV/0!</v>
      </c>
      <c r="AH239" s="37" t="e">
        <f>60* (AC239 / _xlfn.XLOOKUP($L239,Specs!$A:$A,Specs!$B:$B,0))</f>
        <v>#DIV/0!</v>
      </c>
      <c r="AI239" s="37" t="e">
        <f>60* (AE239 / _xlfn.XLOOKUP($L239,Specs!$A:$A,Specs!$B:$B,0))</f>
        <v>#DIV/0!</v>
      </c>
      <c r="AJ239" s="39">
        <f>(($R239 / 240) * _xlfn.XLOOKUP($D239,'Milk Types Nutrition Per Cup'!A:A,'Milk Types Nutrition Per Cup'!F:F,0)) +(($S239 / 240)  * _xlfn.XLOOKUP($E239,'Milk Types Nutrition Per Cup'!A:A,'Milk Types Nutrition Per Cup'!F:F,0)) +(($T239 / 15)  * _xlfn.XLOOKUP($F239,'Liquid Mix In Nutrition'!A:A,'Liquid Mix In Nutrition'!F:F,0))+(($U239 / 15)  * _xlfn.XLOOKUP($G239,'Liquid Mix In Nutrition'!A:A,'Liquid Mix In Nutrition'!F:F,0))+(($V239 / MAX(1, _xlfn.XLOOKUP($H239,'Solid Mix In Nutrition'!A:A,'Solid Mix In Nutrition'!I:I,1)))  * _xlfn.XLOOKUP($H239,'Solid Mix In Nutrition'!A:A,'Solid Mix In Nutrition'!F:F,0))+(($W239 / MAX(1, _xlfn.XLOOKUP($I239,'Solid Mix In Nutrition'!A:A,'Solid Mix In Nutrition'!I:I,1)))  * _xlfn.XLOOKUP($I239,'Solid Mix In Nutrition'!A:A,'Solid Mix In Nutrition'!F:F,0))+(($X239 / 100)  * _xlfn.XLOOKUP($J239,'Sweetener Mix In Nutrition'!A:A,'Sweetener Mix In Nutrition'!F:F,0))+(($Y239 / 100)  * _xlfn.XLOOKUP($K239,'Sweetener Mix In Nutrition'!A:A,'Sweetener Mix In Nutrition'!F:F,0))</f>
        <v>0</v>
      </c>
      <c r="AK239" s="46">
        <f>[2]Sheet1!AG239</f>
        <v>0</v>
      </c>
      <c r="AL239" s="47"/>
      <c r="AM239" s="40">
        <f>IF(ISERROR(((AL239/Specs!$L$3)*Specs!$L$2)*2),0,ROUNDUP((((AL239/Specs!$L$3)*Specs!$L$2)*2),0))</f>
        <v>0</v>
      </c>
      <c r="AN239" s="48">
        <f>ROUNDUP(((AJ239+Specs!$R$2+Specs!$S$2+_xlfn.XLOOKUP($L239,Specs!A:A,Specs!V:V,0))*Specs!$N$2)+AM239,0)</f>
        <v>1</v>
      </c>
      <c r="AO239" s="40">
        <f>ROUNDUP(((AJ239+Specs!$R$2+Specs!$S$2+_xlfn.XLOOKUP($L239,Specs!A:A,Specs!V:V,0))*Specs!$N$2),0)</f>
        <v>1</v>
      </c>
      <c r="AP239" s="30"/>
    </row>
    <row r="240" spans="1:42" x14ac:dyDescent="0.25">
      <c r="A240" s="41" t="str">
        <f>_xlfn.CONCAT(_xlfn.XLOOKUP("What's Your Name?",[1]Sheet1!$1:$1,[1]Sheet1!240:240)," | ",TEXT(_xlfn.XLOOKUP("Completion time",[1]Sheet1!$1:$1,[1]Sheet1!240:240),"dddd, mmm dd, yyyy hh:mm AM/PM"))</f>
        <v xml:space="preserve"> | Saturday, Jan 00, 1900 12:00 AM</v>
      </c>
      <c r="B240" s="76">
        <f>_xlfn.XLOOKUP("What's Your Email Address?",[1]Sheet1!$1:$1,[1]Sheet1!240:240)</f>
        <v>0</v>
      </c>
      <c r="C240" s="31">
        <f>IF(ISBLANK(_xlfn.XLOOKUP("Which Flavor? (Pint Price | Quart Price | Half Gallon Price) (NOTE: Prices may fluctuate based on market conditions)",[1]Sheet1!$1:$1,[1]Sheet1!240:240)),_xlfn.XLOOKUP("Name Your Ice Cream!",[1]Sheet1!$1:$1,[1]Sheet1!240:240),IF(ISNUMBER(FIND("(", _xlfn.XLOOKUP("Which Flavor? (Pint Price | Quart Price | Half Gallon Price) (NOTE: Prices may fluctuate based on market conditions)",[1]Sheet1!$1:$1,[1]Sheet1!240:240))), LEFT(_xlfn.XLOOKUP("Which Flavor? (Pint Price | Quart Price | Half Gallon Price) (NOTE: Prices may fluctuate based on market conditions)",[1]Sheet1!$1:$1,[1]Sheet1!240:240), FIND("(", _xlfn.XLOOKUP("Which Flavor? (Pint Price | Quart Price | Half Gallon Price) (NOTE: Prices may fluctuate based on market conditions)",[1]Sheet1!$1:$1,[1]Sheet1!240:240)) - 1), _xlfn.XLOOKUP("Which Flavor? (Pint Price | Quart Price | Half Gallon Price) (NOTE: Prices may fluctuate based on market conditions)",[1]Sheet1!$1:$1,[1]Sheet1!240:240)))</f>
        <v>0</v>
      </c>
      <c r="D240" s="31">
        <f>IF(COUNTIF('Premade Flavors'!$A:$A, $C240) &gt; 0,IF(ISBLANK(_xlfn.XLOOKUP("What Ice Cream Base Do You Want To Change It To?",[1]Sheet1!$1:$1,[1]Sheet1!240:240)),_xlfn.XLOOKUP($C240,'Premade Flavors'!$A:$A,'Premade Flavors'!B:B),_xlfn.XLOOKUP("What Ice Cream Base Do You Want To Change It To?",[1]Sheet1!$1:$1,[1]Sheet1!240:240)),_xlfn.XLOOKUP(_xlfn.XLOOKUP("What Kind Of Ice Cream Base Do You Want? ",[1]Sheet1!$1:$1,[1]Sheet1!240:240),'Milk Types Nutrition Per Cup'!O:O,'Milk Types Nutrition Per Cup'!P:P,""))</f>
        <v>0</v>
      </c>
      <c r="E240" s="31">
        <f>IF(COUNTIF('Premade Flavors'!$A:$A, $C240) &gt; 0,IF(ISBLANK(_xlfn.XLOOKUP("What Ice Cream Base Do You Want To Change It To?",[1]Sheet1!$1:$1,[1]Sheet1!240:240)),_xlfn.XLOOKUP($C240,'Premade Flavors'!$A:$A,'Premade Flavors'!C:C),_xlfn.XLOOKUP("What Ice Cream Base Do You Want To Change It To?",[1]Sheet1!$1:$1,[1]Sheet1!240:240)),_xlfn.XLOOKUP(_xlfn.XLOOKUP("What Kind Of Ice Cream Base Do You Want? ",[1]Sheet1!$1:$1,[1]Sheet1!240:240),'Milk Types Nutrition Per Cup'!$O:$O,'Milk Types Nutrition Per Cup'!$Q:$Q,""))</f>
        <v>0</v>
      </c>
      <c r="F240" s="31">
        <f>IF(COUNTIF('Premade Flavors'!$A:$A, $C240) &gt; 0,_xlfn.XLOOKUP($C240,'Premade Flavors'!$A:$A,'Premade Flavors'!E:E),_xlfn.XLOOKUP("What's The First Flavor You Want? ",[1]Sheet1!$1:$1,[1]Sheet1!240:240))</f>
        <v>0</v>
      </c>
      <c r="G240" s="31">
        <f>IF(COUNTIF('Premade Flavors'!$A:$A, $C240) &gt; 0,_xlfn.XLOOKUP($C240,'Premade Flavors'!$A:$A,'Premade Flavors'!F:F),_xlfn.XLOOKUP("What's the Second Flavor You Want?",[1]Sheet1!$1:$1,[1]Sheet1!240:240))</f>
        <v>0</v>
      </c>
      <c r="H240" s="31">
        <f>IF(COUNTIF('Premade Flavors'!$A:$A, $C240) &gt; 0,_xlfn.XLOOKUP($C240,'Premade Flavors'!$A:$A,'Premade Flavors'!G:G),_xlfn.XLOOKUP("What's The First Mix In That You Want? ",[1]Sheet1!$1:$1,[1]Sheet1!240:240))</f>
        <v>0</v>
      </c>
      <c r="I240" s="31">
        <f>IF(COUNTIF('Premade Flavors'!$A:$A, $C238) &gt; 0,_xlfn.XLOOKUP($C238,'Premade Flavors'!$A:$A,'Premade Flavors'!H:H),IF([2]Sheet1!W238= 0,,[2]Sheet1!W238))</f>
        <v>0</v>
      </c>
      <c r="J240" s="31">
        <f>IF(COUNTIF('Premade Flavors'!$A:$A,$C240)&gt;0,IF(_xlfn.XLOOKUP("Should It Use Sugar or A Non-Sugar Sweetner?",[1]Sheet1!$1:$1,[1]Sheet1!240:240)="Sugar",_xlfn.XLOOKUP($C240,'Premade Flavors'!$A:$A,'Premade Flavors'!I:I),"Stevia"),_xlfn.XLOOKUP("What Sweetner Do You Want?",[1]Sheet1!$1:$1,[1]Sheet1!240:240))</f>
        <v>0</v>
      </c>
      <c r="K240" s="31"/>
      <c r="L240" s="77">
        <f>_xlfn.XLOOKUP("How Much Ice Cream Do You Want?",[1]Sheet1!$1:$1,[1]Sheet1!240:240)</f>
        <v>0</v>
      </c>
      <c r="M240" s="45">
        <f>IF(COUNTIF('Premade Flavors'!$A:$A, $C240) &gt; 0,_xlfn.XLOOKUP($C240,'Premade Flavors'!$A:$A,'Premade Flavors'!M:M),_xlfn.XLOOKUP("How Strong Do You Want The First Flavor?",[1]Sheet1!$1:$1,[1]Sheet1!240:240))</f>
        <v>0</v>
      </c>
      <c r="N240" s="45">
        <f>IF(COUNTIF('Premade Flavors'!$A:$A, $C240) &gt; 0,_xlfn.XLOOKUP($C240,'Premade Flavors'!$A:$A,'Premade Flavors'!N:N),_xlfn.XLOOKUP("How Strong Do You Want The Second Flavor?",[1]Sheet1!$1:$1,[1]Sheet1!240:240))</f>
        <v>0</v>
      </c>
      <c r="O240" s="45">
        <f>IF(COUNTIF('Premade Flavors'!$A:$A, $C240) &gt; 0,_xlfn.XLOOKUP($C240,'Premade Flavors'!$A:$A,'Premade Flavors'!O:O),_xlfn.XLOOKUP("How Dense Should the Mix Ins Be?",[1]Sheet1!$1:$1,[1]Sheet1!240:240))</f>
        <v>0</v>
      </c>
      <c r="P240" s="45">
        <f>IF(COUNTIF('Premade Flavors'!$A:$A, $C240) &gt; 0,_xlfn.XLOOKUP($C240,'Premade Flavors'!$A:$A,'Premade Flavors'!P:P),_xlfn.XLOOKUP("How Much Of The First Sweetner? ",[1]Sheet1!$1:$1,[1]Sheet1!240:240))</f>
        <v>0</v>
      </c>
      <c r="Q240" s="45">
        <f>IF(COUNTIF('Premade Flavors'!$A:$A, $C240) &gt; 0,_xlfn.XLOOKUP($C240,'Premade Flavors'!$A:$A,'Premade Flavors'!Q:Q),[2]Sheet1!S240)</f>
        <v>0</v>
      </c>
      <c r="R240" s="30">
        <f>(_xlfn.XLOOKUP($L240,Specs!A:A,Specs!B:B,0)-(IF(_xlfn.XLOOKUP($F240,'Liquid Mix In Nutrition'!A:A,'Liquid Mix In Nutrition'!J:J,0)="Yes",0,$T240))-(IF(_xlfn.XLOOKUP($G240,'Liquid Mix In Nutrition'!A:A,'Liquid Mix In Nutrition'!J:J,0)="Yes",0,$U240))-(($V240/MAX(1,_xlfn.XLOOKUP($H240,'Solid Mix In Nutrition'!A:A,'Solid Mix In Nutrition'!I:I,1)))*240)-(($W240/MAX(1,_xlfn.XLOOKUP($I240,'Solid Mix In Nutrition'!A:A,'Solid Mix In Nutrition'!I:I,1)))*240))*0.66</f>
        <v>0</v>
      </c>
      <c r="S240" s="30">
        <f>(_xlfn.XLOOKUP($L240,Specs!A:A,Specs!B:B,0)-(IF(_xlfn.XLOOKUP($F240,'Liquid Mix In Nutrition'!A:A,'Liquid Mix In Nutrition'!J:J,0)="Yes",0,$T240))-(IF(_xlfn.XLOOKUP($G240,'Liquid Mix In Nutrition'!A:A,'Liquid Mix In Nutrition'!J:J,0)="Yes",0,$U240))-(($V240/MAX(1,_xlfn.XLOOKUP($H240,'Solid Mix In Nutrition'!A:A,'Solid Mix In Nutrition'!I:I,1)))*240)-(($W240/MAX(1,_xlfn.XLOOKUP($I240,'Solid Mix In Nutrition'!A:A,'Solid Mix In Nutrition'!I:I,1)))*240))*0.33</f>
        <v>0</v>
      </c>
      <c r="T240" s="30">
        <f>_xlfn.XLOOKUP($M240,Specs!$D:$D,Specs!$E:$E,0)*15*_xlfn.XLOOKUP($L240,Specs!$A:$A,Specs!$C:$C,0)</f>
        <v>0</v>
      </c>
      <c r="U240" s="30">
        <f>_xlfn.XLOOKUP($N240,Specs!$D:$D,Specs!$E:$E,0)*15*_xlfn.XLOOKUP($L240,Specs!$A:$A,Specs!$C:$C,0)</f>
        <v>0</v>
      </c>
      <c r="V240" s="30">
        <f>( ((_xlfn.XLOOKUP($O240,Specs!$H:$H,Specs!$I:$I,0)*_xlfn.XLOOKUP($L240,Specs!$A:$A,Specs!$B:$B,0))/240) *_xlfn.XLOOKUP($H240,'Solid Mix In Nutrition'!A:A,'Solid Mix In Nutrition'!I:I,0)) *IF(AND(NOT($I240=0), COUNTA($I240)),0.5,1)</f>
        <v>0</v>
      </c>
      <c r="W240" s="30">
        <f>( ((_xlfn.XLOOKUP($O240,Specs!$H:$H,Specs!$I:$I,0)*_xlfn.XLOOKUP($L240,Specs!$A:$A,Specs!$B:$B,0))/240) *_xlfn.XLOOKUP($I240,'Solid Mix In Nutrition'!A:A,'Solid Mix In Nutrition'!I:I,0)) *IF(AND(NOT($I240=0), COUNTA($I240)),0.5,0)</f>
        <v>0</v>
      </c>
      <c r="X240" s="30">
        <f>_xlfn.XLOOKUP($P240,Specs!F:F,Specs!G:G,0)*_xlfn.XLOOKUP($J240,'Sweetener Mix In Nutrition'!A:A,'Sweetener Mix In Nutrition'!I:I,0)*_xlfn.XLOOKUP($L240,Specs!A:A,Specs!C:C,0)</f>
        <v>0</v>
      </c>
      <c r="Y240" s="30">
        <f>_xlfn.XLOOKUP($Q240,Specs!F:F,Specs!G:G,0)*_xlfn.XLOOKUP($K240,'Sweetener Mix In Nutrition'!A:A,'Sweetener Mix In Nutrition'!I:I,0)*_xlfn.XLOOKUP($L240,Specs!A:A,Specs!C:C,0)</f>
        <v>0</v>
      </c>
      <c r="Z240" s="34">
        <f t="shared" si="8"/>
        <v>0</v>
      </c>
      <c r="AA240" s="35">
        <f t="shared" si="9"/>
        <v>0</v>
      </c>
      <c r="AB240" s="36">
        <f>(($R240 / 240) * _xlfn.XLOOKUP($D240,'Milk Types Nutrition Per Cup'!A:A,'Milk Types Nutrition Per Cup'!B:B,0)) +(($S240 / 240)  * _xlfn.XLOOKUP($E240,'Milk Types Nutrition Per Cup'!A:A,'Milk Types Nutrition Per Cup'!B:B,0)) +(($T240 / 15)  * _xlfn.XLOOKUP($F240,'Liquid Mix In Nutrition'!A:A,'Liquid Mix In Nutrition'!B:B,0))+(($U240 / 15)  * _xlfn.XLOOKUP($G240,'Liquid Mix In Nutrition'!A:A,'Liquid Mix In Nutrition'!B:B,0))+(($V240 /MAX(1, _xlfn.XLOOKUP($H240,'Solid Mix In Nutrition'!A:A,'Solid Mix In Nutrition'!I:I,1)))  * _xlfn.XLOOKUP($H240,'Solid Mix In Nutrition'!A:A,'Solid Mix In Nutrition'!B:B,0))+(($W240 / MAX(1, _xlfn.XLOOKUP($I240,'Solid Mix In Nutrition'!A:A,'Solid Mix In Nutrition'!I:I,1))))+(($X240 / 100)  * _xlfn.XLOOKUP($J240,'Sweetener Mix In Nutrition'!A:A,'Sweetener Mix In Nutrition'!B:B,0))+(($Y240 / 100)  * _xlfn.XLOOKUP($K240,'Sweetener Mix In Nutrition'!A:A,'Sweetener Mix In Nutrition'!B:B,0))</f>
        <v>0</v>
      </c>
      <c r="AC240" s="36">
        <f>(($R240 / 240) * _xlfn.XLOOKUP($D240,'Milk Types Nutrition Per Cup'!A:A,'Milk Types Nutrition Per Cup'!E:E,0)) +(($S240 / 240)  * _xlfn.XLOOKUP($E240,'Milk Types Nutrition Per Cup'!A:A,'Milk Types Nutrition Per Cup'!E:E,0)) +(($T240 / 15)  * _xlfn.XLOOKUP($F240,'Liquid Mix In Nutrition'!A:A,'Liquid Mix In Nutrition'!E:E,0)) +(($U240 / 15)  * _xlfn.XLOOKUP($G240,'Liquid Mix In Nutrition'!A:A,'Liquid Mix In Nutrition'!E:E,0))+(($V240 / MAX(1, _xlfn.XLOOKUP($H240,'Solid Mix In Nutrition'!A:A,'Solid Mix In Nutrition'!I:I,1)))  * _xlfn.XLOOKUP($H240,'Solid Mix In Nutrition'!A:A,'Solid Mix In Nutrition'!E:E,0))+(($W240 / MAX(1, _xlfn.XLOOKUP($I240,'Solid Mix In Nutrition'!A:A,'Solid Mix In Nutrition'!I:I,1)))  * _xlfn.XLOOKUP($I240,'Solid Mix In Nutrition'!A:A,'Solid Mix In Nutrition'!G:G,0))+(($X240 / 100)  * _xlfn.XLOOKUP($J240,'Sweetener Mix In Nutrition'!A:A,'Sweetener Mix In Nutrition'!E:E,0))+(($Y240 / 100)  * _xlfn.XLOOKUP($K240,'Sweetener Mix In Nutrition'!A:A,'Sweetener Mix In Nutrition'!E:E,0))</f>
        <v>0</v>
      </c>
      <c r="AD240" s="36">
        <f>(($R240 / 240) * _xlfn.XLOOKUP($D240,'Milk Types Nutrition Per Cup'!A:A,'Milk Types Nutrition Per Cup'!E:E,0)) +(($S240 / 240)  * _xlfn.XLOOKUP($E240,'Milk Types Nutrition Per Cup'!A:A,'Milk Types Nutrition Per Cup'!E:E,0)) +(($T240 / 15)  * _xlfn.XLOOKUP($F240,'Liquid Mix In Nutrition'!A:A,'Liquid Mix In Nutrition'!E:E,0)) +(($U240 / 15)  * _xlfn.XLOOKUP($G240,'Liquid Mix In Nutrition'!A:A,'Liquid Mix In Nutrition'!E:E,0))+(($X240 / 100)  * _xlfn.XLOOKUP($J240,'Sweetener Mix In Nutrition'!A:A,'Sweetener Mix In Nutrition'!E:E,0))+(($Y240 / 100)  * _xlfn.XLOOKUP($K240,'Sweetener Mix In Nutrition'!A:A,'Sweetener Mix In Nutrition'!E:E,0))</f>
        <v>0</v>
      </c>
      <c r="AE240" s="37">
        <f>(($R240 / 240) * _xlfn.XLOOKUP($D240,'Milk Types Nutrition Per Cup'!A:A,'Milk Types Nutrition Per Cup'!C:C,0)) +(($S240 / 240)  * _xlfn.XLOOKUP($E240,'Milk Types Nutrition Per Cup'!A:A,'Milk Types Nutrition Per Cup'!C:C,0)) +(($T240 / 15)  * _xlfn.XLOOKUP($F240,'Liquid Mix In Nutrition'!A:A,'Liquid Mix In Nutrition'!C:C,0))+(($U240 / 15)  * _xlfn.XLOOKUP($G240,'Liquid Mix In Nutrition'!A:A,'Liquid Mix In Nutrition'!C:C,0))+(($V240 / MAX(1, _xlfn.XLOOKUP($H240,'Solid Mix In Nutrition'!A:A,'Solid Mix In Nutrition'!I:I,1)))  * _xlfn.XLOOKUP($H240,'Solid Mix In Nutrition'!A:A,'Solid Mix In Nutrition'!C:C,0))+(($W240 / MAX(1, _xlfn.XLOOKUP($I240,'Solid Mix In Nutrition'!A:A,'Solid Mix In Nutrition'!I:I,1)))  * _xlfn.XLOOKUP($I240,'Solid Mix In Nutrition'!A:A,'Solid Mix In Nutrition'!C:C,0))+(($X240 / 100)  * _xlfn.XLOOKUP($J240,'Sweetener Mix In Nutrition'!A:A,'Sweetener Mix In Nutrition'!C:C,0))+(($Y240 / 100)  * _xlfn.XLOOKUP($K240,'Sweetener Mix In Nutrition'!A:A,'Sweetener Mix In Nutrition'!C:C,0))</f>
        <v>0</v>
      </c>
      <c r="AF240" s="38" t="e">
        <f>$AE240 / (_xlfn.XLOOKUP($L240,Specs!A:A,Specs!B:B,0))</f>
        <v>#DIV/0!</v>
      </c>
      <c r="AG240" s="37" t="e">
        <f>60* ($AB240 / _xlfn.XLOOKUP($L240,Specs!A:A,Specs!B:B,0))</f>
        <v>#DIV/0!</v>
      </c>
      <c r="AH240" s="37" t="e">
        <f>60* (AC240 / _xlfn.XLOOKUP($L240,Specs!$A:$A,Specs!$B:$B,0))</f>
        <v>#DIV/0!</v>
      </c>
      <c r="AI240" s="37" t="e">
        <f>60* (AE240 / _xlfn.XLOOKUP($L240,Specs!$A:$A,Specs!$B:$B,0))</f>
        <v>#DIV/0!</v>
      </c>
      <c r="AJ240" s="39">
        <f>(($R240 / 240) * _xlfn.XLOOKUP($D240,'Milk Types Nutrition Per Cup'!A:A,'Milk Types Nutrition Per Cup'!F:F,0)) +(($S240 / 240)  * _xlfn.XLOOKUP($E240,'Milk Types Nutrition Per Cup'!A:A,'Milk Types Nutrition Per Cup'!F:F,0)) +(($T240 / 15)  * _xlfn.XLOOKUP($F240,'Liquid Mix In Nutrition'!A:A,'Liquid Mix In Nutrition'!F:F,0))+(($U240 / 15)  * _xlfn.XLOOKUP($G240,'Liquid Mix In Nutrition'!A:A,'Liquid Mix In Nutrition'!F:F,0))+(($V240 / MAX(1, _xlfn.XLOOKUP($H240,'Solid Mix In Nutrition'!A:A,'Solid Mix In Nutrition'!I:I,1)))  * _xlfn.XLOOKUP($H240,'Solid Mix In Nutrition'!A:A,'Solid Mix In Nutrition'!F:F,0))+(($W240 / MAX(1, _xlfn.XLOOKUP($I240,'Solid Mix In Nutrition'!A:A,'Solid Mix In Nutrition'!I:I,1)))  * _xlfn.XLOOKUP($I240,'Solid Mix In Nutrition'!A:A,'Solid Mix In Nutrition'!F:F,0))+(($X240 / 100)  * _xlfn.XLOOKUP($J240,'Sweetener Mix In Nutrition'!A:A,'Sweetener Mix In Nutrition'!F:F,0))+(($Y240 / 100)  * _xlfn.XLOOKUP($K240,'Sweetener Mix In Nutrition'!A:A,'Sweetener Mix In Nutrition'!F:F,0))</f>
        <v>0</v>
      </c>
      <c r="AK240" s="46">
        <f>[2]Sheet1!AG240</f>
        <v>0</v>
      </c>
      <c r="AL240" s="47"/>
      <c r="AM240" s="40">
        <f>IF(ISERROR(((AL240/Specs!$L$3)*Specs!$L$2)*2),0,ROUNDUP((((AL240/Specs!$L$3)*Specs!$L$2)*2),0))</f>
        <v>0</v>
      </c>
      <c r="AN240" s="48">
        <f>ROUNDUP(((AJ240+Specs!$R$2+Specs!$S$2+_xlfn.XLOOKUP($L240,Specs!A:A,Specs!V:V,0))*Specs!$N$2)+AM240,0)</f>
        <v>1</v>
      </c>
      <c r="AO240" s="40">
        <f>ROUNDUP(((AJ240+Specs!$R$2+Specs!$S$2+_xlfn.XLOOKUP($L240,Specs!A:A,Specs!V:V,0))*Specs!$N$2),0)</f>
        <v>1</v>
      </c>
      <c r="AP240" s="30"/>
    </row>
    <row r="241" spans="1:42" x14ac:dyDescent="0.25">
      <c r="A241" s="41" t="str">
        <f>_xlfn.CONCAT(_xlfn.XLOOKUP("What's Your Name?",[1]Sheet1!$1:$1,[1]Sheet1!241:241)," | ",TEXT(_xlfn.XLOOKUP("Completion time",[1]Sheet1!$1:$1,[1]Sheet1!241:241),"dddd, mmm dd, yyyy hh:mm AM/PM"))</f>
        <v xml:space="preserve"> | Saturday, Jan 00, 1900 12:00 AM</v>
      </c>
      <c r="B241" s="76">
        <f>_xlfn.XLOOKUP("What's Your Email Address?",[1]Sheet1!$1:$1,[1]Sheet1!241:241)</f>
        <v>0</v>
      </c>
      <c r="C241" s="31">
        <f>IF(ISBLANK(_xlfn.XLOOKUP("Which Flavor? (Pint Price | Quart Price | Half Gallon Price) (NOTE: Prices may fluctuate based on market conditions)",[1]Sheet1!$1:$1,[1]Sheet1!241:241)),_xlfn.XLOOKUP("Name Your Ice Cream!",[1]Sheet1!$1:$1,[1]Sheet1!241:241),IF(ISNUMBER(FIND("(", _xlfn.XLOOKUP("Which Flavor? (Pint Price | Quart Price | Half Gallon Price) (NOTE: Prices may fluctuate based on market conditions)",[1]Sheet1!$1:$1,[1]Sheet1!241:241))), LEFT(_xlfn.XLOOKUP("Which Flavor? (Pint Price | Quart Price | Half Gallon Price) (NOTE: Prices may fluctuate based on market conditions)",[1]Sheet1!$1:$1,[1]Sheet1!241:241), FIND("(", _xlfn.XLOOKUP("Which Flavor? (Pint Price | Quart Price | Half Gallon Price) (NOTE: Prices may fluctuate based on market conditions)",[1]Sheet1!$1:$1,[1]Sheet1!241:241)) - 1), _xlfn.XLOOKUP("Which Flavor? (Pint Price | Quart Price | Half Gallon Price) (NOTE: Prices may fluctuate based on market conditions)",[1]Sheet1!$1:$1,[1]Sheet1!241:241)))</f>
        <v>0</v>
      </c>
      <c r="D241" s="31">
        <f>IF(COUNTIF('Premade Flavors'!$A:$A, $C241) &gt; 0,IF(ISBLANK(_xlfn.XLOOKUP("What Ice Cream Base Do You Want To Change It To?",[1]Sheet1!$1:$1,[1]Sheet1!241:241)),_xlfn.XLOOKUP($C241,'Premade Flavors'!$A:$A,'Premade Flavors'!B:B),_xlfn.XLOOKUP("What Ice Cream Base Do You Want To Change It To?",[1]Sheet1!$1:$1,[1]Sheet1!241:241)),_xlfn.XLOOKUP(_xlfn.XLOOKUP("What Kind Of Ice Cream Base Do You Want? ",[1]Sheet1!$1:$1,[1]Sheet1!241:241),'Milk Types Nutrition Per Cup'!O:O,'Milk Types Nutrition Per Cup'!P:P,""))</f>
        <v>0</v>
      </c>
      <c r="E241" s="31">
        <f>IF(COUNTIF('Premade Flavors'!$A:$A, $C241) &gt; 0,IF(ISBLANK(_xlfn.XLOOKUP("What Ice Cream Base Do You Want To Change It To?",[1]Sheet1!$1:$1,[1]Sheet1!241:241)),_xlfn.XLOOKUP($C241,'Premade Flavors'!$A:$A,'Premade Flavors'!C:C),_xlfn.XLOOKUP("What Ice Cream Base Do You Want To Change It To?",[1]Sheet1!$1:$1,[1]Sheet1!241:241)),_xlfn.XLOOKUP(_xlfn.XLOOKUP("What Kind Of Ice Cream Base Do You Want? ",[1]Sheet1!$1:$1,[1]Sheet1!241:241),'Milk Types Nutrition Per Cup'!$O:$O,'Milk Types Nutrition Per Cup'!$Q:$Q,""))</f>
        <v>0</v>
      </c>
      <c r="F241" s="31">
        <f>IF(COUNTIF('Premade Flavors'!$A:$A, $C241) &gt; 0,_xlfn.XLOOKUP($C241,'Premade Flavors'!$A:$A,'Premade Flavors'!E:E),_xlfn.XLOOKUP("What's The First Flavor You Want? ",[1]Sheet1!$1:$1,[1]Sheet1!241:241))</f>
        <v>0</v>
      </c>
      <c r="G241" s="31">
        <f>IF(COUNTIF('Premade Flavors'!$A:$A, $C241) &gt; 0,_xlfn.XLOOKUP($C241,'Premade Flavors'!$A:$A,'Premade Flavors'!F:F),_xlfn.XLOOKUP("What's the Second Flavor You Want?",[1]Sheet1!$1:$1,[1]Sheet1!241:241))</f>
        <v>0</v>
      </c>
      <c r="H241" s="31">
        <f>IF(COUNTIF('Premade Flavors'!$A:$A, $C241) &gt; 0,_xlfn.XLOOKUP($C241,'Premade Flavors'!$A:$A,'Premade Flavors'!G:G),_xlfn.XLOOKUP("What's The First Mix In That You Want? ",[1]Sheet1!$1:$1,[1]Sheet1!241:241))</f>
        <v>0</v>
      </c>
      <c r="I241" s="31">
        <f>IF(COUNTIF('Premade Flavors'!$A:$A, $C239) &gt; 0,_xlfn.XLOOKUP($C239,'Premade Flavors'!$A:$A,'Premade Flavors'!H:H),IF([2]Sheet1!W239= 0,,[2]Sheet1!W239))</f>
        <v>0</v>
      </c>
      <c r="J241" s="31">
        <f>IF(COUNTIF('Premade Flavors'!$A:$A,$C241)&gt;0,IF(_xlfn.XLOOKUP("Should It Use Sugar or A Non-Sugar Sweetner?",[1]Sheet1!$1:$1,[1]Sheet1!241:241)="Sugar",_xlfn.XLOOKUP($C241,'Premade Flavors'!$A:$A,'Premade Flavors'!I:I),"Stevia"),_xlfn.XLOOKUP("What Sweetner Do You Want?",[1]Sheet1!$1:$1,[1]Sheet1!241:241))</f>
        <v>0</v>
      </c>
      <c r="K241" s="31"/>
      <c r="L241" s="77">
        <f>_xlfn.XLOOKUP("How Much Ice Cream Do You Want?",[1]Sheet1!$1:$1,[1]Sheet1!241:241)</f>
        <v>0</v>
      </c>
      <c r="M241" s="45">
        <f>IF(COUNTIF('Premade Flavors'!$A:$A, $C241) &gt; 0,_xlfn.XLOOKUP($C241,'Premade Flavors'!$A:$A,'Premade Flavors'!M:M),_xlfn.XLOOKUP("How Strong Do You Want The First Flavor?",[1]Sheet1!$1:$1,[1]Sheet1!241:241))</f>
        <v>0</v>
      </c>
      <c r="N241" s="45">
        <f>IF(COUNTIF('Premade Flavors'!$A:$A, $C241) &gt; 0,_xlfn.XLOOKUP($C241,'Premade Flavors'!$A:$A,'Premade Flavors'!N:N),_xlfn.XLOOKUP("How Strong Do You Want The Second Flavor?",[1]Sheet1!$1:$1,[1]Sheet1!241:241))</f>
        <v>0</v>
      </c>
      <c r="O241" s="45">
        <f>IF(COUNTIF('Premade Flavors'!$A:$A, $C241) &gt; 0,_xlfn.XLOOKUP($C241,'Premade Flavors'!$A:$A,'Premade Flavors'!O:O),_xlfn.XLOOKUP("How Dense Should the Mix Ins Be?",[1]Sheet1!$1:$1,[1]Sheet1!241:241))</f>
        <v>0</v>
      </c>
      <c r="P241" s="45">
        <f>IF(COUNTIF('Premade Flavors'!$A:$A, $C241) &gt; 0,_xlfn.XLOOKUP($C241,'Premade Flavors'!$A:$A,'Premade Flavors'!P:P),_xlfn.XLOOKUP("How Much Of The First Sweetner? ",[1]Sheet1!$1:$1,[1]Sheet1!241:241))</f>
        <v>0</v>
      </c>
      <c r="Q241" s="45">
        <f>IF(COUNTIF('Premade Flavors'!$A:$A, $C241) &gt; 0,_xlfn.XLOOKUP($C241,'Premade Flavors'!$A:$A,'Premade Flavors'!Q:Q),[2]Sheet1!S241)</f>
        <v>0</v>
      </c>
      <c r="R241" s="30">
        <f>(_xlfn.XLOOKUP($L241,Specs!A:A,Specs!B:B,0)-(IF(_xlfn.XLOOKUP($F241,'Liquid Mix In Nutrition'!A:A,'Liquid Mix In Nutrition'!J:J,0)="Yes",0,$T241))-(IF(_xlfn.XLOOKUP($G241,'Liquid Mix In Nutrition'!A:A,'Liquid Mix In Nutrition'!J:J,0)="Yes",0,$U241))-(($V241/MAX(1,_xlfn.XLOOKUP($H241,'Solid Mix In Nutrition'!A:A,'Solid Mix In Nutrition'!I:I,1)))*240)-(($W241/MAX(1,_xlfn.XLOOKUP($I241,'Solid Mix In Nutrition'!A:A,'Solid Mix In Nutrition'!I:I,1)))*240))*0.66</f>
        <v>0</v>
      </c>
      <c r="S241" s="30">
        <f>(_xlfn.XLOOKUP($L241,Specs!A:A,Specs!B:B,0)-(IF(_xlfn.XLOOKUP($F241,'Liquid Mix In Nutrition'!A:A,'Liquid Mix In Nutrition'!J:J,0)="Yes",0,$T241))-(IF(_xlfn.XLOOKUP($G241,'Liquid Mix In Nutrition'!A:A,'Liquid Mix In Nutrition'!J:J,0)="Yes",0,$U241))-(($V241/MAX(1,_xlfn.XLOOKUP($H241,'Solid Mix In Nutrition'!A:A,'Solid Mix In Nutrition'!I:I,1)))*240)-(($W241/MAX(1,_xlfn.XLOOKUP($I241,'Solid Mix In Nutrition'!A:A,'Solid Mix In Nutrition'!I:I,1)))*240))*0.33</f>
        <v>0</v>
      </c>
      <c r="T241" s="30">
        <f>_xlfn.XLOOKUP($M241,Specs!$D:$D,Specs!$E:$E,0)*15*_xlfn.XLOOKUP($L241,Specs!$A:$A,Specs!$C:$C,0)</f>
        <v>0</v>
      </c>
      <c r="U241" s="30">
        <f>_xlfn.XLOOKUP($N241,Specs!$D:$D,Specs!$E:$E,0)*15*_xlfn.XLOOKUP($L241,Specs!$A:$A,Specs!$C:$C,0)</f>
        <v>0</v>
      </c>
      <c r="V241" s="30">
        <f>( ((_xlfn.XLOOKUP($O241,Specs!$H:$H,Specs!$I:$I,0)*_xlfn.XLOOKUP($L241,Specs!$A:$A,Specs!$B:$B,0))/240) *_xlfn.XLOOKUP($H241,'Solid Mix In Nutrition'!A:A,'Solid Mix In Nutrition'!I:I,0)) *IF(AND(NOT($I241=0), COUNTA($I241)),0.5,1)</f>
        <v>0</v>
      </c>
      <c r="W241" s="30">
        <f>( ((_xlfn.XLOOKUP($O241,Specs!$H:$H,Specs!$I:$I,0)*_xlfn.XLOOKUP($L241,Specs!$A:$A,Specs!$B:$B,0))/240) *_xlfn.XLOOKUP($I241,'Solid Mix In Nutrition'!A:A,'Solid Mix In Nutrition'!I:I,0)) *IF(AND(NOT($I241=0), COUNTA($I241)),0.5,0)</f>
        <v>0</v>
      </c>
      <c r="X241" s="30">
        <f>_xlfn.XLOOKUP($P241,Specs!F:F,Specs!G:G,0)*_xlfn.XLOOKUP($J241,'Sweetener Mix In Nutrition'!A:A,'Sweetener Mix In Nutrition'!I:I,0)*_xlfn.XLOOKUP($L241,Specs!A:A,Specs!C:C,0)</f>
        <v>0</v>
      </c>
      <c r="Y241" s="30">
        <f>_xlfn.XLOOKUP($Q241,Specs!F:F,Specs!G:G,0)*_xlfn.XLOOKUP($K241,'Sweetener Mix In Nutrition'!A:A,'Sweetener Mix In Nutrition'!I:I,0)*_xlfn.XLOOKUP($L241,Specs!A:A,Specs!C:C,0)</f>
        <v>0</v>
      </c>
      <c r="Z241" s="34">
        <f t="shared" si="8"/>
        <v>0</v>
      </c>
      <c r="AA241" s="35">
        <f t="shared" si="9"/>
        <v>0</v>
      </c>
      <c r="AB241" s="36">
        <f>(($R241 / 240) * _xlfn.XLOOKUP($D241,'Milk Types Nutrition Per Cup'!A:A,'Milk Types Nutrition Per Cup'!B:B,0)) +(($S241 / 240)  * _xlfn.XLOOKUP($E241,'Milk Types Nutrition Per Cup'!A:A,'Milk Types Nutrition Per Cup'!B:B,0)) +(($T241 / 15)  * _xlfn.XLOOKUP($F241,'Liquid Mix In Nutrition'!A:A,'Liquid Mix In Nutrition'!B:B,0))+(($U241 / 15)  * _xlfn.XLOOKUP($G241,'Liquid Mix In Nutrition'!A:A,'Liquid Mix In Nutrition'!B:B,0))+(($V241 /MAX(1, _xlfn.XLOOKUP($H241,'Solid Mix In Nutrition'!A:A,'Solid Mix In Nutrition'!I:I,1)))  * _xlfn.XLOOKUP($H241,'Solid Mix In Nutrition'!A:A,'Solid Mix In Nutrition'!B:B,0))+(($W241 / MAX(1, _xlfn.XLOOKUP($I241,'Solid Mix In Nutrition'!A:A,'Solid Mix In Nutrition'!I:I,1))))+(($X241 / 100)  * _xlfn.XLOOKUP($J241,'Sweetener Mix In Nutrition'!A:A,'Sweetener Mix In Nutrition'!B:B,0))+(($Y241 / 100)  * _xlfn.XLOOKUP($K241,'Sweetener Mix In Nutrition'!A:A,'Sweetener Mix In Nutrition'!B:B,0))</f>
        <v>0</v>
      </c>
      <c r="AC241" s="36">
        <f>(($R241 / 240) * _xlfn.XLOOKUP($D241,'Milk Types Nutrition Per Cup'!A:A,'Milk Types Nutrition Per Cup'!E:E,0)) +(($S241 / 240)  * _xlfn.XLOOKUP($E241,'Milk Types Nutrition Per Cup'!A:A,'Milk Types Nutrition Per Cup'!E:E,0)) +(($T241 / 15)  * _xlfn.XLOOKUP($F241,'Liquid Mix In Nutrition'!A:A,'Liquid Mix In Nutrition'!E:E,0)) +(($U241 / 15)  * _xlfn.XLOOKUP($G241,'Liquid Mix In Nutrition'!A:A,'Liquid Mix In Nutrition'!E:E,0))+(($V241 / MAX(1, _xlfn.XLOOKUP($H241,'Solid Mix In Nutrition'!A:A,'Solid Mix In Nutrition'!I:I,1)))  * _xlfn.XLOOKUP($H241,'Solid Mix In Nutrition'!A:A,'Solid Mix In Nutrition'!E:E,0))+(($W241 / MAX(1, _xlfn.XLOOKUP($I241,'Solid Mix In Nutrition'!A:A,'Solid Mix In Nutrition'!I:I,1)))  * _xlfn.XLOOKUP($I241,'Solid Mix In Nutrition'!A:A,'Solid Mix In Nutrition'!G:G,0))+(($X241 / 100)  * _xlfn.XLOOKUP($J241,'Sweetener Mix In Nutrition'!A:A,'Sweetener Mix In Nutrition'!E:E,0))+(($Y241 / 100)  * _xlfn.XLOOKUP($K241,'Sweetener Mix In Nutrition'!A:A,'Sweetener Mix In Nutrition'!E:E,0))</f>
        <v>0</v>
      </c>
      <c r="AD241" s="36">
        <f>(($R241 / 240) * _xlfn.XLOOKUP($D241,'Milk Types Nutrition Per Cup'!A:A,'Milk Types Nutrition Per Cup'!E:E,0)) +(($S241 / 240)  * _xlfn.XLOOKUP($E241,'Milk Types Nutrition Per Cup'!A:A,'Milk Types Nutrition Per Cup'!E:E,0)) +(($T241 / 15)  * _xlfn.XLOOKUP($F241,'Liquid Mix In Nutrition'!A:A,'Liquid Mix In Nutrition'!E:E,0)) +(($U241 / 15)  * _xlfn.XLOOKUP($G241,'Liquid Mix In Nutrition'!A:A,'Liquid Mix In Nutrition'!E:E,0))+(($X241 / 100)  * _xlfn.XLOOKUP($J241,'Sweetener Mix In Nutrition'!A:A,'Sweetener Mix In Nutrition'!E:E,0))+(($Y241 / 100)  * _xlfn.XLOOKUP($K241,'Sweetener Mix In Nutrition'!A:A,'Sweetener Mix In Nutrition'!E:E,0))</f>
        <v>0</v>
      </c>
      <c r="AE241" s="37">
        <f>(($R241 / 240) * _xlfn.XLOOKUP($D241,'Milk Types Nutrition Per Cup'!A:A,'Milk Types Nutrition Per Cup'!C:C,0)) +(($S241 / 240)  * _xlfn.XLOOKUP($E241,'Milk Types Nutrition Per Cup'!A:A,'Milk Types Nutrition Per Cup'!C:C,0)) +(($T241 / 15)  * _xlfn.XLOOKUP($F241,'Liquid Mix In Nutrition'!A:A,'Liquid Mix In Nutrition'!C:C,0))+(($U241 / 15)  * _xlfn.XLOOKUP($G241,'Liquid Mix In Nutrition'!A:A,'Liquid Mix In Nutrition'!C:C,0))+(($V241 / MAX(1, _xlfn.XLOOKUP($H241,'Solid Mix In Nutrition'!A:A,'Solid Mix In Nutrition'!I:I,1)))  * _xlfn.XLOOKUP($H241,'Solid Mix In Nutrition'!A:A,'Solid Mix In Nutrition'!C:C,0))+(($W241 / MAX(1, _xlfn.XLOOKUP($I241,'Solid Mix In Nutrition'!A:A,'Solid Mix In Nutrition'!I:I,1)))  * _xlfn.XLOOKUP($I241,'Solid Mix In Nutrition'!A:A,'Solid Mix In Nutrition'!C:C,0))+(($X241 / 100)  * _xlfn.XLOOKUP($J241,'Sweetener Mix In Nutrition'!A:A,'Sweetener Mix In Nutrition'!C:C,0))+(($Y241 / 100)  * _xlfn.XLOOKUP($K241,'Sweetener Mix In Nutrition'!A:A,'Sweetener Mix In Nutrition'!C:C,0))</f>
        <v>0</v>
      </c>
      <c r="AF241" s="38" t="e">
        <f>$AE241 / (_xlfn.XLOOKUP($L241,Specs!A:A,Specs!B:B,0))</f>
        <v>#DIV/0!</v>
      </c>
      <c r="AG241" s="37" t="e">
        <f>60* ($AB241 / _xlfn.XLOOKUP($L241,Specs!A:A,Specs!B:B,0))</f>
        <v>#DIV/0!</v>
      </c>
      <c r="AH241" s="37" t="e">
        <f>60* (AC241 / _xlfn.XLOOKUP($L241,Specs!$A:$A,Specs!$B:$B,0))</f>
        <v>#DIV/0!</v>
      </c>
      <c r="AI241" s="37" t="e">
        <f>60* (AE241 / _xlfn.XLOOKUP($L241,Specs!$A:$A,Specs!$B:$B,0))</f>
        <v>#DIV/0!</v>
      </c>
      <c r="AJ241" s="39">
        <f>(($R241 / 240) * _xlfn.XLOOKUP($D241,'Milk Types Nutrition Per Cup'!A:A,'Milk Types Nutrition Per Cup'!F:F,0)) +(($S241 / 240)  * _xlfn.XLOOKUP($E241,'Milk Types Nutrition Per Cup'!A:A,'Milk Types Nutrition Per Cup'!F:F,0)) +(($T241 / 15)  * _xlfn.XLOOKUP($F241,'Liquid Mix In Nutrition'!A:A,'Liquid Mix In Nutrition'!F:F,0))+(($U241 / 15)  * _xlfn.XLOOKUP($G241,'Liquid Mix In Nutrition'!A:A,'Liquid Mix In Nutrition'!F:F,0))+(($V241 / MAX(1, _xlfn.XLOOKUP($H241,'Solid Mix In Nutrition'!A:A,'Solid Mix In Nutrition'!I:I,1)))  * _xlfn.XLOOKUP($H241,'Solid Mix In Nutrition'!A:A,'Solid Mix In Nutrition'!F:F,0))+(($W241 / MAX(1, _xlfn.XLOOKUP($I241,'Solid Mix In Nutrition'!A:A,'Solid Mix In Nutrition'!I:I,1)))  * _xlfn.XLOOKUP($I241,'Solid Mix In Nutrition'!A:A,'Solid Mix In Nutrition'!F:F,0))+(($X241 / 100)  * _xlfn.XLOOKUP($J241,'Sweetener Mix In Nutrition'!A:A,'Sweetener Mix In Nutrition'!F:F,0))+(($Y241 / 100)  * _xlfn.XLOOKUP($K241,'Sweetener Mix In Nutrition'!A:A,'Sweetener Mix In Nutrition'!F:F,0))</f>
        <v>0</v>
      </c>
      <c r="AK241" s="46">
        <f>[2]Sheet1!AG241</f>
        <v>0</v>
      </c>
      <c r="AL241" s="47"/>
      <c r="AM241" s="40">
        <f>IF(ISERROR(((AL241/Specs!$L$3)*Specs!$L$2)*2),0,ROUNDUP((((AL241/Specs!$L$3)*Specs!$L$2)*2),0))</f>
        <v>0</v>
      </c>
      <c r="AN241" s="48">
        <f>ROUNDUP(((AJ241+Specs!$R$2+Specs!$S$2+_xlfn.XLOOKUP($L241,Specs!A:A,Specs!V:V,0))*Specs!$N$2)+AM241,0)</f>
        <v>1</v>
      </c>
      <c r="AO241" s="40">
        <f>ROUNDUP(((AJ241+Specs!$R$2+Specs!$S$2+_xlfn.XLOOKUP($L241,Specs!A:A,Specs!V:V,0))*Specs!$N$2),0)</f>
        <v>1</v>
      </c>
      <c r="AP241" s="30"/>
    </row>
    <row r="242" spans="1:42" x14ac:dyDescent="0.25">
      <c r="A242" s="41" t="str">
        <f>_xlfn.CONCAT(_xlfn.XLOOKUP("What's Your Name?",[1]Sheet1!$1:$1,[1]Sheet1!242:242)," | ",TEXT(_xlfn.XLOOKUP("Completion time",[1]Sheet1!$1:$1,[1]Sheet1!242:242),"dddd, mmm dd, yyyy hh:mm AM/PM"))</f>
        <v xml:space="preserve"> | Saturday, Jan 00, 1900 12:00 AM</v>
      </c>
      <c r="B242" s="76">
        <f>_xlfn.XLOOKUP("What's Your Email Address?",[1]Sheet1!$1:$1,[1]Sheet1!242:242)</f>
        <v>0</v>
      </c>
      <c r="C242" s="31">
        <f>IF(ISBLANK(_xlfn.XLOOKUP("Which Flavor? (Pint Price | Quart Price | Half Gallon Price) (NOTE: Prices may fluctuate based on market conditions)",[1]Sheet1!$1:$1,[1]Sheet1!242:242)),_xlfn.XLOOKUP("Name Your Ice Cream!",[1]Sheet1!$1:$1,[1]Sheet1!242:242),IF(ISNUMBER(FIND("(", _xlfn.XLOOKUP("Which Flavor? (Pint Price | Quart Price | Half Gallon Price) (NOTE: Prices may fluctuate based on market conditions)",[1]Sheet1!$1:$1,[1]Sheet1!242:242))), LEFT(_xlfn.XLOOKUP("Which Flavor? (Pint Price | Quart Price | Half Gallon Price) (NOTE: Prices may fluctuate based on market conditions)",[1]Sheet1!$1:$1,[1]Sheet1!242:242), FIND("(", _xlfn.XLOOKUP("Which Flavor? (Pint Price | Quart Price | Half Gallon Price) (NOTE: Prices may fluctuate based on market conditions)",[1]Sheet1!$1:$1,[1]Sheet1!242:242)) - 1), _xlfn.XLOOKUP("Which Flavor? (Pint Price | Quart Price | Half Gallon Price) (NOTE: Prices may fluctuate based on market conditions)",[1]Sheet1!$1:$1,[1]Sheet1!242:242)))</f>
        <v>0</v>
      </c>
      <c r="D242" s="31">
        <f>IF(COUNTIF('Premade Flavors'!$A:$A, $C242) &gt; 0,IF(ISBLANK(_xlfn.XLOOKUP("What Ice Cream Base Do You Want To Change It To?",[1]Sheet1!$1:$1,[1]Sheet1!242:242)),_xlfn.XLOOKUP($C242,'Premade Flavors'!$A:$A,'Premade Flavors'!B:B),_xlfn.XLOOKUP("What Ice Cream Base Do You Want To Change It To?",[1]Sheet1!$1:$1,[1]Sheet1!242:242)),_xlfn.XLOOKUP(_xlfn.XLOOKUP("What Kind Of Ice Cream Base Do You Want? ",[1]Sheet1!$1:$1,[1]Sheet1!242:242),'Milk Types Nutrition Per Cup'!O:O,'Milk Types Nutrition Per Cup'!P:P,""))</f>
        <v>0</v>
      </c>
      <c r="E242" s="31">
        <f>IF(COUNTIF('Premade Flavors'!$A:$A, $C242) &gt; 0,IF(ISBLANK(_xlfn.XLOOKUP("What Ice Cream Base Do You Want To Change It To?",[1]Sheet1!$1:$1,[1]Sheet1!242:242)),_xlfn.XLOOKUP($C242,'Premade Flavors'!$A:$A,'Premade Flavors'!C:C),_xlfn.XLOOKUP("What Ice Cream Base Do You Want To Change It To?",[1]Sheet1!$1:$1,[1]Sheet1!242:242)),_xlfn.XLOOKUP(_xlfn.XLOOKUP("What Kind Of Ice Cream Base Do You Want? ",[1]Sheet1!$1:$1,[1]Sheet1!242:242),'Milk Types Nutrition Per Cup'!$O:$O,'Milk Types Nutrition Per Cup'!$Q:$Q,""))</f>
        <v>0</v>
      </c>
      <c r="F242" s="31">
        <f>IF(COUNTIF('Premade Flavors'!$A:$A, $C242) &gt; 0,_xlfn.XLOOKUP($C242,'Premade Flavors'!$A:$A,'Premade Flavors'!E:E),_xlfn.XLOOKUP("What's The First Flavor You Want? ",[1]Sheet1!$1:$1,[1]Sheet1!242:242))</f>
        <v>0</v>
      </c>
      <c r="G242" s="31">
        <f>IF(COUNTIF('Premade Flavors'!$A:$A, $C242) &gt; 0,_xlfn.XLOOKUP($C242,'Premade Flavors'!$A:$A,'Premade Flavors'!F:F),_xlfn.XLOOKUP("What's the Second Flavor You Want?",[1]Sheet1!$1:$1,[1]Sheet1!242:242))</f>
        <v>0</v>
      </c>
      <c r="H242" s="31">
        <f>IF(COUNTIF('Premade Flavors'!$A:$A, $C242) &gt; 0,_xlfn.XLOOKUP($C242,'Premade Flavors'!$A:$A,'Premade Flavors'!G:G),_xlfn.XLOOKUP("What's The First Mix In That You Want? ",[1]Sheet1!$1:$1,[1]Sheet1!242:242))</f>
        <v>0</v>
      </c>
      <c r="I242" s="31">
        <f>IF(COUNTIF('Premade Flavors'!$A:$A, $C240) &gt; 0,_xlfn.XLOOKUP($C240,'Premade Flavors'!$A:$A,'Premade Flavors'!H:H),IF([2]Sheet1!W240= 0,,[2]Sheet1!W240))</f>
        <v>0</v>
      </c>
      <c r="J242" s="31">
        <f>IF(COUNTIF('Premade Flavors'!$A:$A,$C242)&gt;0,IF(_xlfn.XLOOKUP("Should It Use Sugar or A Non-Sugar Sweetner?",[1]Sheet1!$1:$1,[1]Sheet1!242:242)="Sugar",_xlfn.XLOOKUP($C242,'Premade Flavors'!$A:$A,'Premade Flavors'!I:I),"Stevia"),_xlfn.XLOOKUP("What Sweetner Do You Want?",[1]Sheet1!$1:$1,[1]Sheet1!242:242))</f>
        <v>0</v>
      </c>
      <c r="K242" s="31"/>
      <c r="L242" s="77">
        <f>_xlfn.XLOOKUP("How Much Ice Cream Do You Want?",[1]Sheet1!$1:$1,[1]Sheet1!242:242)</f>
        <v>0</v>
      </c>
      <c r="M242" s="45">
        <f>IF(COUNTIF('Premade Flavors'!$A:$A, $C242) &gt; 0,_xlfn.XLOOKUP($C242,'Premade Flavors'!$A:$A,'Premade Flavors'!M:M),_xlfn.XLOOKUP("How Strong Do You Want The First Flavor?",[1]Sheet1!$1:$1,[1]Sheet1!242:242))</f>
        <v>0</v>
      </c>
      <c r="N242" s="45">
        <f>IF(COUNTIF('Premade Flavors'!$A:$A, $C242) &gt; 0,_xlfn.XLOOKUP($C242,'Premade Flavors'!$A:$A,'Premade Flavors'!N:N),_xlfn.XLOOKUP("How Strong Do You Want The Second Flavor?",[1]Sheet1!$1:$1,[1]Sheet1!242:242))</f>
        <v>0</v>
      </c>
      <c r="O242" s="45">
        <f>IF(COUNTIF('Premade Flavors'!$A:$A, $C242) &gt; 0,_xlfn.XLOOKUP($C242,'Premade Flavors'!$A:$A,'Premade Flavors'!O:O),_xlfn.XLOOKUP("How Dense Should the Mix Ins Be?",[1]Sheet1!$1:$1,[1]Sheet1!242:242))</f>
        <v>0</v>
      </c>
      <c r="P242" s="45">
        <f>IF(COUNTIF('Premade Flavors'!$A:$A, $C242) &gt; 0,_xlfn.XLOOKUP($C242,'Premade Flavors'!$A:$A,'Premade Flavors'!P:P),_xlfn.XLOOKUP("How Much Of The First Sweetner? ",[1]Sheet1!$1:$1,[1]Sheet1!242:242))</f>
        <v>0</v>
      </c>
      <c r="Q242" s="45">
        <f>IF(COUNTIF('Premade Flavors'!$A:$A, $C242) &gt; 0,_xlfn.XLOOKUP($C242,'Premade Flavors'!$A:$A,'Premade Flavors'!Q:Q),[2]Sheet1!S242)</f>
        <v>0</v>
      </c>
      <c r="R242" s="30">
        <f>(_xlfn.XLOOKUP($L242,Specs!A:A,Specs!B:B,0)-(IF(_xlfn.XLOOKUP($F242,'Liquid Mix In Nutrition'!A:A,'Liquid Mix In Nutrition'!J:J,0)="Yes",0,$T242))-(IF(_xlfn.XLOOKUP($G242,'Liquid Mix In Nutrition'!A:A,'Liquid Mix In Nutrition'!J:J,0)="Yes",0,$U242))-(($V242/MAX(1,_xlfn.XLOOKUP($H242,'Solid Mix In Nutrition'!A:A,'Solid Mix In Nutrition'!I:I,1)))*240)-(($W242/MAX(1,_xlfn.XLOOKUP($I242,'Solid Mix In Nutrition'!A:A,'Solid Mix In Nutrition'!I:I,1)))*240))*0.66</f>
        <v>0</v>
      </c>
      <c r="S242" s="30">
        <f>(_xlfn.XLOOKUP($L242,Specs!A:A,Specs!B:B,0)-(IF(_xlfn.XLOOKUP($F242,'Liquid Mix In Nutrition'!A:A,'Liquid Mix In Nutrition'!J:J,0)="Yes",0,$T242))-(IF(_xlfn.XLOOKUP($G242,'Liquid Mix In Nutrition'!A:A,'Liquid Mix In Nutrition'!J:J,0)="Yes",0,$U242))-(($V242/MAX(1,_xlfn.XLOOKUP($H242,'Solid Mix In Nutrition'!A:A,'Solid Mix In Nutrition'!I:I,1)))*240)-(($W242/MAX(1,_xlfn.XLOOKUP($I242,'Solid Mix In Nutrition'!A:A,'Solid Mix In Nutrition'!I:I,1)))*240))*0.33</f>
        <v>0</v>
      </c>
      <c r="T242" s="30">
        <f>_xlfn.XLOOKUP($M242,Specs!$D:$D,Specs!$E:$E,0)*15*_xlfn.XLOOKUP($L242,Specs!$A:$A,Specs!$C:$C,0)</f>
        <v>0</v>
      </c>
      <c r="U242" s="30">
        <f>_xlfn.XLOOKUP($N242,Specs!$D:$D,Specs!$E:$E,0)*15*_xlfn.XLOOKUP($L242,Specs!$A:$A,Specs!$C:$C,0)</f>
        <v>0</v>
      </c>
      <c r="V242" s="30">
        <f>( ((_xlfn.XLOOKUP($O242,Specs!$H:$H,Specs!$I:$I,0)*_xlfn.XLOOKUP($L242,Specs!$A:$A,Specs!$B:$B,0))/240) *_xlfn.XLOOKUP($H242,'Solid Mix In Nutrition'!A:A,'Solid Mix In Nutrition'!I:I,0)) *IF(AND(NOT($I242=0), COUNTA($I242)),0.5,1)</f>
        <v>0</v>
      </c>
      <c r="W242" s="30">
        <f>( ((_xlfn.XLOOKUP($O242,Specs!$H:$H,Specs!$I:$I,0)*_xlfn.XLOOKUP($L242,Specs!$A:$A,Specs!$B:$B,0))/240) *_xlfn.XLOOKUP($I242,'Solid Mix In Nutrition'!A:A,'Solid Mix In Nutrition'!I:I,0)) *IF(AND(NOT($I242=0), COUNTA($I242)),0.5,0)</f>
        <v>0</v>
      </c>
      <c r="X242" s="30">
        <f>_xlfn.XLOOKUP($P242,Specs!F:F,Specs!G:G,0)*_xlfn.XLOOKUP($J242,'Sweetener Mix In Nutrition'!A:A,'Sweetener Mix In Nutrition'!I:I,0)*_xlfn.XLOOKUP($L242,Specs!A:A,Specs!C:C,0)</f>
        <v>0</v>
      </c>
      <c r="Y242" s="30">
        <f>_xlfn.XLOOKUP($Q242,Specs!F:F,Specs!G:G,0)*_xlfn.XLOOKUP($K242,'Sweetener Mix In Nutrition'!A:A,'Sweetener Mix In Nutrition'!I:I,0)*_xlfn.XLOOKUP($L242,Specs!A:A,Specs!C:C,0)</f>
        <v>0</v>
      </c>
      <c r="Z242" s="34">
        <f t="shared" si="8"/>
        <v>0</v>
      </c>
      <c r="AA242" s="35">
        <f t="shared" si="9"/>
        <v>0</v>
      </c>
      <c r="AB242" s="36">
        <f>(($R242 / 240) * _xlfn.XLOOKUP($D242,'Milk Types Nutrition Per Cup'!A:A,'Milk Types Nutrition Per Cup'!B:B,0)) +(($S242 / 240)  * _xlfn.XLOOKUP($E242,'Milk Types Nutrition Per Cup'!A:A,'Milk Types Nutrition Per Cup'!B:B,0)) +(($T242 / 15)  * _xlfn.XLOOKUP($F242,'Liquid Mix In Nutrition'!A:A,'Liquid Mix In Nutrition'!B:B,0))+(($U242 / 15)  * _xlfn.XLOOKUP($G242,'Liquid Mix In Nutrition'!A:A,'Liquid Mix In Nutrition'!B:B,0))+(($V242 /MAX(1, _xlfn.XLOOKUP($H242,'Solid Mix In Nutrition'!A:A,'Solid Mix In Nutrition'!I:I,1)))  * _xlfn.XLOOKUP($H242,'Solid Mix In Nutrition'!A:A,'Solid Mix In Nutrition'!B:B,0))+(($W242 / MAX(1, _xlfn.XLOOKUP($I242,'Solid Mix In Nutrition'!A:A,'Solid Mix In Nutrition'!I:I,1))))+(($X242 / 100)  * _xlfn.XLOOKUP($J242,'Sweetener Mix In Nutrition'!A:A,'Sweetener Mix In Nutrition'!B:B,0))+(($Y242 / 100)  * _xlfn.XLOOKUP($K242,'Sweetener Mix In Nutrition'!A:A,'Sweetener Mix In Nutrition'!B:B,0))</f>
        <v>0</v>
      </c>
      <c r="AC242" s="36">
        <f>(($R242 / 240) * _xlfn.XLOOKUP($D242,'Milk Types Nutrition Per Cup'!A:A,'Milk Types Nutrition Per Cup'!E:E,0)) +(($S242 / 240)  * _xlfn.XLOOKUP($E242,'Milk Types Nutrition Per Cup'!A:A,'Milk Types Nutrition Per Cup'!E:E,0)) +(($T242 / 15)  * _xlfn.XLOOKUP($F242,'Liquid Mix In Nutrition'!A:A,'Liquid Mix In Nutrition'!E:E,0)) +(($U242 / 15)  * _xlfn.XLOOKUP($G242,'Liquid Mix In Nutrition'!A:A,'Liquid Mix In Nutrition'!E:E,0))+(($V242 / MAX(1, _xlfn.XLOOKUP($H242,'Solid Mix In Nutrition'!A:A,'Solid Mix In Nutrition'!I:I,1)))  * _xlfn.XLOOKUP($H242,'Solid Mix In Nutrition'!A:A,'Solid Mix In Nutrition'!E:E,0))+(($W242 / MAX(1, _xlfn.XLOOKUP($I242,'Solid Mix In Nutrition'!A:A,'Solid Mix In Nutrition'!I:I,1)))  * _xlfn.XLOOKUP($I242,'Solid Mix In Nutrition'!A:A,'Solid Mix In Nutrition'!G:G,0))+(($X242 / 100)  * _xlfn.XLOOKUP($J242,'Sweetener Mix In Nutrition'!A:A,'Sweetener Mix In Nutrition'!E:E,0))+(($Y242 / 100)  * _xlfn.XLOOKUP($K242,'Sweetener Mix In Nutrition'!A:A,'Sweetener Mix In Nutrition'!E:E,0))</f>
        <v>0</v>
      </c>
      <c r="AD242" s="36">
        <f>(($R242 / 240) * _xlfn.XLOOKUP($D242,'Milk Types Nutrition Per Cup'!A:A,'Milk Types Nutrition Per Cup'!E:E,0)) +(($S242 / 240)  * _xlfn.XLOOKUP($E242,'Milk Types Nutrition Per Cup'!A:A,'Milk Types Nutrition Per Cup'!E:E,0)) +(($T242 / 15)  * _xlfn.XLOOKUP($F242,'Liquid Mix In Nutrition'!A:A,'Liquid Mix In Nutrition'!E:E,0)) +(($U242 / 15)  * _xlfn.XLOOKUP($G242,'Liquid Mix In Nutrition'!A:A,'Liquid Mix In Nutrition'!E:E,0))+(($X242 / 100)  * _xlfn.XLOOKUP($J242,'Sweetener Mix In Nutrition'!A:A,'Sweetener Mix In Nutrition'!E:E,0))+(($Y242 / 100)  * _xlfn.XLOOKUP($K242,'Sweetener Mix In Nutrition'!A:A,'Sweetener Mix In Nutrition'!E:E,0))</f>
        <v>0</v>
      </c>
      <c r="AE242" s="37">
        <f>(($R242 / 240) * _xlfn.XLOOKUP($D242,'Milk Types Nutrition Per Cup'!A:A,'Milk Types Nutrition Per Cup'!C:C,0)) +(($S242 / 240)  * _xlfn.XLOOKUP($E242,'Milk Types Nutrition Per Cup'!A:A,'Milk Types Nutrition Per Cup'!C:C,0)) +(($T242 / 15)  * _xlfn.XLOOKUP($F242,'Liquid Mix In Nutrition'!A:A,'Liquid Mix In Nutrition'!C:C,0))+(($U242 / 15)  * _xlfn.XLOOKUP($G242,'Liquid Mix In Nutrition'!A:A,'Liquid Mix In Nutrition'!C:C,0))+(($V242 / MAX(1, _xlfn.XLOOKUP($H242,'Solid Mix In Nutrition'!A:A,'Solid Mix In Nutrition'!I:I,1)))  * _xlfn.XLOOKUP($H242,'Solid Mix In Nutrition'!A:A,'Solid Mix In Nutrition'!C:C,0))+(($W242 / MAX(1, _xlfn.XLOOKUP($I242,'Solid Mix In Nutrition'!A:A,'Solid Mix In Nutrition'!I:I,1)))  * _xlfn.XLOOKUP($I242,'Solid Mix In Nutrition'!A:A,'Solid Mix In Nutrition'!C:C,0))+(($X242 / 100)  * _xlfn.XLOOKUP($J242,'Sweetener Mix In Nutrition'!A:A,'Sweetener Mix In Nutrition'!C:C,0))+(($Y242 / 100)  * _xlfn.XLOOKUP($K242,'Sweetener Mix In Nutrition'!A:A,'Sweetener Mix In Nutrition'!C:C,0))</f>
        <v>0</v>
      </c>
      <c r="AF242" s="38" t="e">
        <f>$AE242 / (_xlfn.XLOOKUP($L242,Specs!A:A,Specs!B:B,0))</f>
        <v>#DIV/0!</v>
      </c>
      <c r="AG242" s="37" t="e">
        <f>60* ($AB242 / _xlfn.XLOOKUP($L242,Specs!A:A,Specs!B:B,0))</f>
        <v>#DIV/0!</v>
      </c>
      <c r="AH242" s="37" t="e">
        <f>60* (AC242 / _xlfn.XLOOKUP($L242,Specs!$A:$A,Specs!$B:$B,0))</f>
        <v>#DIV/0!</v>
      </c>
      <c r="AI242" s="37" t="e">
        <f>60* (AE242 / _xlfn.XLOOKUP($L242,Specs!$A:$A,Specs!$B:$B,0))</f>
        <v>#DIV/0!</v>
      </c>
      <c r="AJ242" s="39">
        <f>(($R242 / 240) * _xlfn.XLOOKUP($D242,'Milk Types Nutrition Per Cup'!A:A,'Milk Types Nutrition Per Cup'!F:F,0)) +(($S242 / 240)  * _xlfn.XLOOKUP($E242,'Milk Types Nutrition Per Cup'!A:A,'Milk Types Nutrition Per Cup'!F:F,0)) +(($T242 / 15)  * _xlfn.XLOOKUP($F242,'Liquid Mix In Nutrition'!A:A,'Liquid Mix In Nutrition'!F:F,0))+(($U242 / 15)  * _xlfn.XLOOKUP($G242,'Liquid Mix In Nutrition'!A:A,'Liquid Mix In Nutrition'!F:F,0))+(($V242 / MAX(1, _xlfn.XLOOKUP($H242,'Solid Mix In Nutrition'!A:A,'Solid Mix In Nutrition'!I:I,1)))  * _xlfn.XLOOKUP($H242,'Solid Mix In Nutrition'!A:A,'Solid Mix In Nutrition'!F:F,0))+(($W242 / MAX(1, _xlfn.XLOOKUP($I242,'Solid Mix In Nutrition'!A:A,'Solid Mix In Nutrition'!I:I,1)))  * _xlfn.XLOOKUP($I242,'Solid Mix In Nutrition'!A:A,'Solid Mix In Nutrition'!F:F,0))+(($X242 / 100)  * _xlfn.XLOOKUP($J242,'Sweetener Mix In Nutrition'!A:A,'Sweetener Mix In Nutrition'!F:F,0))+(($Y242 / 100)  * _xlfn.XLOOKUP($K242,'Sweetener Mix In Nutrition'!A:A,'Sweetener Mix In Nutrition'!F:F,0))</f>
        <v>0</v>
      </c>
      <c r="AK242" s="46">
        <f>[2]Sheet1!AG242</f>
        <v>0</v>
      </c>
      <c r="AL242" s="47"/>
      <c r="AM242" s="40">
        <f>IF(ISERROR(((AL242/Specs!$L$3)*Specs!$L$2)*2),0,ROUNDUP((((AL242/Specs!$L$3)*Specs!$L$2)*2),0))</f>
        <v>0</v>
      </c>
      <c r="AN242" s="48">
        <f>ROUNDUP(((AJ242+Specs!$R$2+Specs!$S$2+_xlfn.XLOOKUP($L242,Specs!A:A,Specs!V:V,0))*Specs!$N$2)+AM242,0)</f>
        <v>1</v>
      </c>
      <c r="AO242" s="40">
        <f>ROUNDUP(((AJ242+Specs!$R$2+Specs!$S$2+_xlfn.XLOOKUP($L242,Specs!A:A,Specs!V:V,0))*Specs!$N$2),0)</f>
        <v>1</v>
      </c>
      <c r="AP242" s="30"/>
    </row>
    <row r="243" spans="1:42" x14ac:dyDescent="0.25">
      <c r="A243" s="41" t="str">
        <f>_xlfn.CONCAT(_xlfn.XLOOKUP("What's Your Name?",[1]Sheet1!$1:$1,[1]Sheet1!243:243)," | ",TEXT(_xlfn.XLOOKUP("Completion time",[1]Sheet1!$1:$1,[1]Sheet1!243:243),"dddd, mmm dd, yyyy hh:mm AM/PM"))</f>
        <v xml:space="preserve"> | Saturday, Jan 00, 1900 12:00 AM</v>
      </c>
      <c r="B243" s="76">
        <f>_xlfn.XLOOKUP("What's Your Email Address?",[1]Sheet1!$1:$1,[1]Sheet1!243:243)</f>
        <v>0</v>
      </c>
      <c r="C243" s="31">
        <f>IF(ISBLANK(_xlfn.XLOOKUP("Which Flavor? (Pint Price | Quart Price | Half Gallon Price) (NOTE: Prices may fluctuate based on market conditions)",[1]Sheet1!$1:$1,[1]Sheet1!243:243)),_xlfn.XLOOKUP("Name Your Ice Cream!",[1]Sheet1!$1:$1,[1]Sheet1!243:243),IF(ISNUMBER(FIND("(", _xlfn.XLOOKUP("Which Flavor? (Pint Price | Quart Price | Half Gallon Price) (NOTE: Prices may fluctuate based on market conditions)",[1]Sheet1!$1:$1,[1]Sheet1!243:243))), LEFT(_xlfn.XLOOKUP("Which Flavor? (Pint Price | Quart Price | Half Gallon Price) (NOTE: Prices may fluctuate based on market conditions)",[1]Sheet1!$1:$1,[1]Sheet1!243:243), FIND("(", _xlfn.XLOOKUP("Which Flavor? (Pint Price | Quart Price | Half Gallon Price) (NOTE: Prices may fluctuate based on market conditions)",[1]Sheet1!$1:$1,[1]Sheet1!243:243)) - 1), _xlfn.XLOOKUP("Which Flavor? (Pint Price | Quart Price | Half Gallon Price) (NOTE: Prices may fluctuate based on market conditions)",[1]Sheet1!$1:$1,[1]Sheet1!243:243)))</f>
        <v>0</v>
      </c>
      <c r="D243" s="31">
        <f>IF(COUNTIF('Premade Flavors'!$A:$A, $C243) &gt; 0,IF(ISBLANK(_xlfn.XLOOKUP("What Ice Cream Base Do You Want To Change It To?",[1]Sheet1!$1:$1,[1]Sheet1!243:243)),_xlfn.XLOOKUP($C243,'Premade Flavors'!$A:$A,'Premade Flavors'!B:B),_xlfn.XLOOKUP("What Ice Cream Base Do You Want To Change It To?",[1]Sheet1!$1:$1,[1]Sheet1!243:243)),_xlfn.XLOOKUP(_xlfn.XLOOKUP("What Kind Of Ice Cream Base Do You Want? ",[1]Sheet1!$1:$1,[1]Sheet1!243:243),'Milk Types Nutrition Per Cup'!O:O,'Milk Types Nutrition Per Cup'!P:P,""))</f>
        <v>0</v>
      </c>
      <c r="E243" s="31">
        <f>IF(COUNTIF('Premade Flavors'!$A:$A, $C243) &gt; 0,IF(ISBLANK(_xlfn.XLOOKUP("What Ice Cream Base Do You Want To Change It To?",[1]Sheet1!$1:$1,[1]Sheet1!243:243)),_xlfn.XLOOKUP($C243,'Premade Flavors'!$A:$A,'Premade Flavors'!C:C),_xlfn.XLOOKUP("What Ice Cream Base Do You Want To Change It To?",[1]Sheet1!$1:$1,[1]Sheet1!243:243)),_xlfn.XLOOKUP(_xlfn.XLOOKUP("What Kind Of Ice Cream Base Do You Want? ",[1]Sheet1!$1:$1,[1]Sheet1!243:243),'Milk Types Nutrition Per Cup'!$O:$O,'Milk Types Nutrition Per Cup'!$Q:$Q,""))</f>
        <v>0</v>
      </c>
      <c r="F243" s="31">
        <f>IF(COUNTIF('Premade Flavors'!$A:$A, $C243) &gt; 0,_xlfn.XLOOKUP($C243,'Premade Flavors'!$A:$A,'Premade Flavors'!E:E),_xlfn.XLOOKUP("What's The First Flavor You Want? ",[1]Sheet1!$1:$1,[1]Sheet1!243:243))</f>
        <v>0</v>
      </c>
      <c r="G243" s="31">
        <f>IF(COUNTIF('Premade Flavors'!$A:$A, $C243) &gt; 0,_xlfn.XLOOKUP($C243,'Premade Flavors'!$A:$A,'Premade Flavors'!F:F),_xlfn.XLOOKUP("What's the Second Flavor You Want?",[1]Sheet1!$1:$1,[1]Sheet1!243:243))</f>
        <v>0</v>
      </c>
      <c r="H243" s="31">
        <f>IF(COUNTIF('Premade Flavors'!$A:$A, $C243) &gt; 0,_xlfn.XLOOKUP($C243,'Premade Flavors'!$A:$A,'Premade Flavors'!G:G),_xlfn.XLOOKUP("What's The First Mix In That You Want? ",[1]Sheet1!$1:$1,[1]Sheet1!243:243))</f>
        <v>0</v>
      </c>
      <c r="I243" s="31">
        <f>IF(COUNTIF('Premade Flavors'!$A:$A, $C241) &gt; 0,_xlfn.XLOOKUP($C241,'Premade Flavors'!$A:$A,'Premade Flavors'!H:H),IF([2]Sheet1!W241= 0,,[2]Sheet1!W241))</f>
        <v>0</v>
      </c>
      <c r="J243" s="31">
        <f>IF(COUNTIF('Premade Flavors'!$A:$A,$C243)&gt;0,IF(_xlfn.XLOOKUP("Should It Use Sugar or A Non-Sugar Sweetner?",[1]Sheet1!$1:$1,[1]Sheet1!243:243)="Sugar",_xlfn.XLOOKUP($C243,'Premade Flavors'!$A:$A,'Premade Flavors'!I:I),"Stevia"),_xlfn.XLOOKUP("What Sweetner Do You Want?",[1]Sheet1!$1:$1,[1]Sheet1!243:243))</f>
        <v>0</v>
      </c>
      <c r="K243" s="31"/>
      <c r="L243" s="77">
        <f>_xlfn.XLOOKUP("How Much Ice Cream Do You Want?",[1]Sheet1!$1:$1,[1]Sheet1!243:243)</f>
        <v>0</v>
      </c>
      <c r="M243" s="45">
        <f>IF(COUNTIF('Premade Flavors'!$A:$A, $C243) &gt; 0,_xlfn.XLOOKUP($C243,'Premade Flavors'!$A:$A,'Premade Flavors'!M:M),_xlfn.XLOOKUP("How Strong Do You Want The First Flavor?",[1]Sheet1!$1:$1,[1]Sheet1!243:243))</f>
        <v>0</v>
      </c>
      <c r="N243" s="45">
        <f>IF(COUNTIF('Premade Flavors'!$A:$A, $C243) &gt; 0,_xlfn.XLOOKUP($C243,'Premade Flavors'!$A:$A,'Premade Flavors'!N:N),_xlfn.XLOOKUP("How Strong Do You Want The Second Flavor?",[1]Sheet1!$1:$1,[1]Sheet1!243:243))</f>
        <v>0</v>
      </c>
      <c r="O243" s="45">
        <f>IF(COUNTIF('Premade Flavors'!$A:$A, $C243) &gt; 0,_xlfn.XLOOKUP($C243,'Premade Flavors'!$A:$A,'Premade Flavors'!O:O),_xlfn.XLOOKUP("How Dense Should the Mix Ins Be?",[1]Sheet1!$1:$1,[1]Sheet1!243:243))</f>
        <v>0</v>
      </c>
      <c r="P243" s="45">
        <f>IF(COUNTIF('Premade Flavors'!$A:$A, $C243) &gt; 0,_xlfn.XLOOKUP($C243,'Premade Flavors'!$A:$A,'Premade Flavors'!P:P),_xlfn.XLOOKUP("How Much Of The First Sweetner? ",[1]Sheet1!$1:$1,[1]Sheet1!243:243))</f>
        <v>0</v>
      </c>
      <c r="Q243" s="45">
        <f>IF(COUNTIF('Premade Flavors'!$A:$A, $C243) &gt; 0,_xlfn.XLOOKUP($C243,'Premade Flavors'!$A:$A,'Premade Flavors'!Q:Q),[2]Sheet1!S243)</f>
        <v>0</v>
      </c>
      <c r="R243" s="30">
        <f>(_xlfn.XLOOKUP($L243,Specs!A:A,Specs!B:B,0)-(IF(_xlfn.XLOOKUP($F243,'Liquid Mix In Nutrition'!A:A,'Liquid Mix In Nutrition'!J:J,0)="Yes",0,$T243))-(IF(_xlfn.XLOOKUP($G243,'Liquid Mix In Nutrition'!A:A,'Liquid Mix In Nutrition'!J:J,0)="Yes",0,$U243))-(($V243/MAX(1,_xlfn.XLOOKUP($H243,'Solid Mix In Nutrition'!A:A,'Solid Mix In Nutrition'!I:I,1)))*240)-(($W243/MAX(1,_xlfn.XLOOKUP($I243,'Solid Mix In Nutrition'!A:A,'Solid Mix In Nutrition'!I:I,1)))*240))*0.66</f>
        <v>0</v>
      </c>
      <c r="S243" s="30">
        <f>(_xlfn.XLOOKUP($L243,Specs!A:A,Specs!B:B,0)-(IF(_xlfn.XLOOKUP($F243,'Liquid Mix In Nutrition'!A:A,'Liquid Mix In Nutrition'!J:J,0)="Yes",0,$T243))-(IF(_xlfn.XLOOKUP($G243,'Liquid Mix In Nutrition'!A:A,'Liquid Mix In Nutrition'!J:J,0)="Yes",0,$U243))-(($V243/MAX(1,_xlfn.XLOOKUP($H243,'Solid Mix In Nutrition'!A:A,'Solid Mix In Nutrition'!I:I,1)))*240)-(($W243/MAX(1,_xlfn.XLOOKUP($I243,'Solid Mix In Nutrition'!A:A,'Solid Mix In Nutrition'!I:I,1)))*240))*0.33</f>
        <v>0</v>
      </c>
      <c r="T243" s="30">
        <f>_xlfn.XLOOKUP($M243,Specs!$D:$D,Specs!$E:$E,0)*15*_xlfn.XLOOKUP($L243,Specs!$A:$A,Specs!$C:$C,0)</f>
        <v>0</v>
      </c>
      <c r="U243" s="30">
        <f>_xlfn.XLOOKUP($N243,Specs!$D:$D,Specs!$E:$E,0)*15*_xlfn.XLOOKUP($L243,Specs!$A:$A,Specs!$C:$C,0)</f>
        <v>0</v>
      </c>
      <c r="V243" s="30">
        <f>( ((_xlfn.XLOOKUP($O243,Specs!$H:$H,Specs!$I:$I,0)*_xlfn.XLOOKUP($L243,Specs!$A:$A,Specs!$B:$B,0))/240) *_xlfn.XLOOKUP($H243,'Solid Mix In Nutrition'!A:A,'Solid Mix In Nutrition'!I:I,0)) *IF(AND(NOT($I243=0), COUNTA($I243)),0.5,1)</f>
        <v>0</v>
      </c>
      <c r="W243" s="30">
        <f>( ((_xlfn.XLOOKUP($O243,Specs!$H:$H,Specs!$I:$I,0)*_xlfn.XLOOKUP($L243,Specs!$A:$A,Specs!$B:$B,0))/240) *_xlfn.XLOOKUP($I243,'Solid Mix In Nutrition'!A:A,'Solid Mix In Nutrition'!I:I,0)) *IF(AND(NOT($I243=0), COUNTA($I243)),0.5,0)</f>
        <v>0</v>
      </c>
      <c r="X243" s="30">
        <f>_xlfn.XLOOKUP($P243,Specs!F:F,Specs!G:G,0)*_xlfn.XLOOKUP($J243,'Sweetener Mix In Nutrition'!A:A,'Sweetener Mix In Nutrition'!I:I,0)*_xlfn.XLOOKUP($L243,Specs!A:A,Specs!C:C,0)</f>
        <v>0</v>
      </c>
      <c r="Y243" s="30">
        <f>_xlfn.XLOOKUP($Q243,Specs!F:F,Specs!G:G,0)*_xlfn.XLOOKUP($K243,'Sweetener Mix In Nutrition'!A:A,'Sweetener Mix In Nutrition'!I:I,0)*_xlfn.XLOOKUP($L243,Specs!A:A,Specs!C:C,0)</f>
        <v>0</v>
      </c>
      <c r="Z243" s="34">
        <f t="shared" si="8"/>
        <v>0</v>
      </c>
      <c r="AA243" s="35">
        <f t="shared" si="9"/>
        <v>0</v>
      </c>
      <c r="AB243" s="36">
        <f>(($R243 / 240) * _xlfn.XLOOKUP($D243,'Milk Types Nutrition Per Cup'!A:A,'Milk Types Nutrition Per Cup'!B:B,0)) +(($S243 / 240)  * _xlfn.XLOOKUP($E243,'Milk Types Nutrition Per Cup'!A:A,'Milk Types Nutrition Per Cup'!B:B,0)) +(($T243 / 15)  * _xlfn.XLOOKUP($F243,'Liquid Mix In Nutrition'!A:A,'Liquid Mix In Nutrition'!B:B,0))+(($U243 / 15)  * _xlfn.XLOOKUP($G243,'Liquid Mix In Nutrition'!A:A,'Liquid Mix In Nutrition'!B:B,0))+(($V243 /MAX(1, _xlfn.XLOOKUP($H243,'Solid Mix In Nutrition'!A:A,'Solid Mix In Nutrition'!I:I,1)))  * _xlfn.XLOOKUP($H243,'Solid Mix In Nutrition'!A:A,'Solid Mix In Nutrition'!B:B,0))+(($W243 / MAX(1, _xlfn.XLOOKUP($I243,'Solid Mix In Nutrition'!A:A,'Solid Mix In Nutrition'!I:I,1))))+(($X243 / 100)  * _xlfn.XLOOKUP($J243,'Sweetener Mix In Nutrition'!A:A,'Sweetener Mix In Nutrition'!B:B,0))+(($Y243 / 100)  * _xlfn.XLOOKUP($K243,'Sweetener Mix In Nutrition'!A:A,'Sweetener Mix In Nutrition'!B:B,0))</f>
        <v>0</v>
      </c>
      <c r="AC243" s="36">
        <f>(($R243 / 240) * _xlfn.XLOOKUP($D243,'Milk Types Nutrition Per Cup'!A:A,'Milk Types Nutrition Per Cup'!E:E,0)) +(($S243 / 240)  * _xlfn.XLOOKUP($E243,'Milk Types Nutrition Per Cup'!A:A,'Milk Types Nutrition Per Cup'!E:E,0)) +(($T243 / 15)  * _xlfn.XLOOKUP($F243,'Liquid Mix In Nutrition'!A:A,'Liquid Mix In Nutrition'!E:E,0)) +(($U243 / 15)  * _xlfn.XLOOKUP($G243,'Liquid Mix In Nutrition'!A:A,'Liquid Mix In Nutrition'!E:E,0))+(($V243 / MAX(1, _xlfn.XLOOKUP($H243,'Solid Mix In Nutrition'!A:A,'Solid Mix In Nutrition'!I:I,1)))  * _xlfn.XLOOKUP($H243,'Solid Mix In Nutrition'!A:A,'Solid Mix In Nutrition'!E:E,0))+(($W243 / MAX(1, _xlfn.XLOOKUP($I243,'Solid Mix In Nutrition'!A:A,'Solid Mix In Nutrition'!I:I,1)))  * _xlfn.XLOOKUP($I243,'Solid Mix In Nutrition'!A:A,'Solid Mix In Nutrition'!G:G,0))+(($X243 / 100)  * _xlfn.XLOOKUP($J243,'Sweetener Mix In Nutrition'!A:A,'Sweetener Mix In Nutrition'!E:E,0))+(($Y243 / 100)  * _xlfn.XLOOKUP($K243,'Sweetener Mix In Nutrition'!A:A,'Sweetener Mix In Nutrition'!E:E,0))</f>
        <v>0</v>
      </c>
      <c r="AD243" s="36">
        <f>(($R243 / 240) * _xlfn.XLOOKUP($D243,'Milk Types Nutrition Per Cup'!A:A,'Milk Types Nutrition Per Cup'!E:E,0)) +(($S243 / 240)  * _xlfn.XLOOKUP($E243,'Milk Types Nutrition Per Cup'!A:A,'Milk Types Nutrition Per Cup'!E:E,0)) +(($T243 / 15)  * _xlfn.XLOOKUP($F243,'Liquid Mix In Nutrition'!A:A,'Liquid Mix In Nutrition'!E:E,0)) +(($U243 / 15)  * _xlfn.XLOOKUP($G243,'Liquid Mix In Nutrition'!A:A,'Liquid Mix In Nutrition'!E:E,0))+(($X243 / 100)  * _xlfn.XLOOKUP($J243,'Sweetener Mix In Nutrition'!A:A,'Sweetener Mix In Nutrition'!E:E,0))+(($Y243 / 100)  * _xlfn.XLOOKUP($K243,'Sweetener Mix In Nutrition'!A:A,'Sweetener Mix In Nutrition'!E:E,0))</f>
        <v>0</v>
      </c>
      <c r="AE243" s="37">
        <f>(($R243 / 240) * _xlfn.XLOOKUP($D243,'Milk Types Nutrition Per Cup'!A:A,'Milk Types Nutrition Per Cup'!C:C,0)) +(($S243 / 240)  * _xlfn.XLOOKUP($E243,'Milk Types Nutrition Per Cup'!A:A,'Milk Types Nutrition Per Cup'!C:C,0)) +(($T243 / 15)  * _xlfn.XLOOKUP($F243,'Liquid Mix In Nutrition'!A:A,'Liquid Mix In Nutrition'!C:C,0))+(($U243 / 15)  * _xlfn.XLOOKUP($G243,'Liquid Mix In Nutrition'!A:A,'Liquid Mix In Nutrition'!C:C,0))+(($V243 / MAX(1, _xlfn.XLOOKUP($H243,'Solid Mix In Nutrition'!A:A,'Solid Mix In Nutrition'!I:I,1)))  * _xlfn.XLOOKUP($H243,'Solid Mix In Nutrition'!A:A,'Solid Mix In Nutrition'!C:C,0))+(($W243 / MAX(1, _xlfn.XLOOKUP($I243,'Solid Mix In Nutrition'!A:A,'Solid Mix In Nutrition'!I:I,1)))  * _xlfn.XLOOKUP($I243,'Solid Mix In Nutrition'!A:A,'Solid Mix In Nutrition'!C:C,0))+(($X243 / 100)  * _xlfn.XLOOKUP($J243,'Sweetener Mix In Nutrition'!A:A,'Sweetener Mix In Nutrition'!C:C,0))+(($Y243 / 100)  * _xlfn.XLOOKUP($K243,'Sweetener Mix In Nutrition'!A:A,'Sweetener Mix In Nutrition'!C:C,0))</f>
        <v>0</v>
      </c>
      <c r="AF243" s="38" t="e">
        <f>$AE243 / (_xlfn.XLOOKUP($L243,Specs!A:A,Specs!B:B,0))</f>
        <v>#DIV/0!</v>
      </c>
      <c r="AG243" s="37" t="e">
        <f>60* ($AB243 / _xlfn.XLOOKUP($L243,Specs!A:A,Specs!B:B,0))</f>
        <v>#DIV/0!</v>
      </c>
      <c r="AH243" s="37" t="e">
        <f>60* (AC243 / _xlfn.XLOOKUP($L243,Specs!$A:$A,Specs!$B:$B,0))</f>
        <v>#DIV/0!</v>
      </c>
      <c r="AI243" s="37" t="e">
        <f>60* (AE243 / _xlfn.XLOOKUP($L243,Specs!$A:$A,Specs!$B:$B,0))</f>
        <v>#DIV/0!</v>
      </c>
      <c r="AJ243" s="39">
        <f>(($R243 / 240) * _xlfn.XLOOKUP($D243,'Milk Types Nutrition Per Cup'!A:A,'Milk Types Nutrition Per Cup'!F:F,0)) +(($S243 / 240)  * _xlfn.XLOOKUP($E243,'Milk Types Nutrition Per Cup'!A:A,'Milk Types Nutrition Per Cup'!F:F,0)) +(($T243 / 15)  * _xlfn.XLOOKUP($F243,'Liquid Mix In Nutrition'!A:A,'Liquid Mix In Nutrition'!F:F,0))+(($U243 / 15)  * _xlfn.XLOOKUP($G243,'Liquid Mix In Nutrition'!A:A,'Liquid Mix In Nutrition'!F:F,0))+(($V243 / MAX(1, _xlfn.XLOOKUP($H243,'Solid Mix In Nutrition'!A:A,'Solid Mix In Nutrition'!I:I,1)))  * _xlfn.XLOOKUP($H243,'Solid Mix In Nutrition'!A:A,'Solid Mix In Nutrition'!F:F,0))+(($W243 / MAX(1, _xlfn.XLOOKUP($I243,'Solid Mix In Nutrition'!A:A,'Solid Mix In Nutrition'!I:I,1)))  * _xlfn.XLOOKUP($I243,'Solid Mix In Nutrition'!A:A,'Solid Mix In Nutrition'!F:F,0))+(($X243 / 100)  * _xlfn.XLOOKUP($J243,'Sweetener Mix In Nutrition'!A:A,'Sweetener Mix In Nutrition'!F:F,0))+(($Y243 / 100)  * _xlfn.XLOOKUP($K243,'Sweetener Mix In Nutrition'!A:A,'Sweetener Mix In Nutrition'!F:F,0))</f>
        <v>0</v>
      </c>
      <c r="AK243" s="46">
        <f>[2]Sheet1!AG243</f>
        <v>0</v>
      </c>
      <c r="AL243" s="47"/>
      <c r="AM243" s="40">
        <f>IF(ISERROR(((AL243/Specs!$L$3)*Specs!$L$2)*2),0,ROUNDUP((((AL243/Specs!$L$3)*Specs!$L$2)*2),0))</f>
        <v>0</v>
      </c>
      <c r="AN243" s="48">
        <f>ROUNDUP(((AJ243+Specs!$R$2+Specs!$S$2+_xlfn.XLOOKUP($L243,Specs!A:A,Specs!V:V,0))*Specs!$N$2)+AM243,0)</f>
        <v>1</v>
      </c>
      <c r="AO243" s="40">
        <f>ROUNDUP(((AJ243+Specs!$R$2+Specs!$S$2+_xlfn.XLOOKUP($L243,Specs!A:A,Specs!V:V,0))*Specs!$N$2),0)</f>
        <v>1</v>
      </c>
      <c r="AP243" s="30"/>
    </row>
    <row r="244" spans="1:42" x14ac:dyDescent="0.25">
      <c r="A244" s="41" t="str">
        <f>_xlfn.CONCAT(_xlfn.XLOOKUP("What's Your Name?",[1]Sheet1!$1:$1,[1]Sheet1!244:244)," | ",TEXT(_xlfn.XLOOKUP("Completion time",[1]Sheet1!$1:$1,[1]Sheet1!244:244),"dddd, mmm dd, yyyy hh:mm AM/PM"))</f>
        <v xml:space="preserve"> | Saturday, Jan 00, 1900 12:00 AM</v>
      </c>
      <c r="B244" s="76">
        <f>_xlfn.XLOOKUP("What's Your Email Address?",[1]Sheet1!$1:$1,[1]Sheet1!244:244)</f>
        <v>0</v>
      </c>
      <c r="C244" s="31">
        <f>IF(ISBLANK(_xlfn.XLOOKUP("Which Flavor? (Pint Price | Quart Price | Half Gallon Price) (NOTE: Prices may fluctuate based on market conditions)",[1]Sheet1!$1:$1,[1]Sheet1!244:244)),_xlfn.XLOOKUP("Name Your Ice Cream!",[1]Sheet1!$1:$1,[1]Sheet1!244:244),IF(ISNUMBER(FIND("(", _xlfn.XLOOKUP("Which Flavor? (Pint Price | Quart Price | Half Gallon Price) (NOTE: Prices may fluctuate based on market conditions)",[1]Sheet1!$1:$1,[1]Sheet1!244:244))), LEFT(_xlfn.XLOOKUP("Which Flavor? (Pint Price | Quart Price | Half Gallon Price) (NOTE: Prices may fluctuate based on market conditions)",[1]Sheet1!$1:$1,[1]Sheet1!244:244), FIND("(", _xlfn.XLOOKUP("Which Flavor? (Pint Price | Quart Price | Half Gallon Price) (NOTE: Prices may fluctuate based on market conditions)",[1]Sheet1!$1:$1,[1]Sheet1!244:244)) - 1), _xlfn.XLOOKUP("Which Flavor? (Pint Price | Quart Price | Half Gallon Price) (NOTE: Prices may fluctuate based on market conditions)",[1]Sheet1!$1:$1,[1]Sheet1!244:244)))</f>
        <v>0</v>
      </c>
      <c r="D244" s="31">
        <f>IF(COUNTIF('Premade Flavors'!$A:$A, $C244) &gt; 0,IF(ISBLANK(_xlfn.XLOOKUP("What Ice Cream Base Do You Want To Change It To?",[1]Sheet1!$1:$1,[1]Sheet1!244:244)),_xlfn.XLOOKUP($C244,'Premade Flavors'!$A:$A,'Premade Flavors'!B:B),_xlfn.XLOOKUP("What Ice Cream Base Do You Want To Change It To?",[1]Sheet1!$1:$1,[1]Sheet1!244:244)),_xlfn.XLOOKUP(_xlfn.XLOOKUP("What Kind Of Ice Cream Base Do You Want? ",[1]Sheet1!$1:$1,[1]Sheet1!244:244),'Milk Types Nutrition Per Cup'!O:O,'Milk Types Nutrition Per Cup'!P:P,""))</f>
        <v>0</v>
      </c>
      <c r="E244" s="31">
        <f>IF(COUNTIF('Premade Flavors'!$A:$A, $C244) &gt; 0,IF(ISBLANK(_xlfn.XLOOKUP("What Ice Cream Base Do You Want To Change It To?",[1]Sheet1!$1:$1,[1]Sheet1!244:244)),_xlfn.XLOOKUP($C244,'Premade Flavors'!$A:$A,'Premade Flavors'!C:C),_xlfn.XLOOKUP("What Ice Cream Base Do You Want To Change It To?",[1]Sheet1!$1:$1,[1]Sheet1!244:244)),_xlfn.XLOOKUP(_xlfn.XLOOKUP("What Kind Of Ice Cream Base Do You Want? ",[1]Sheet1!$1:$1,[1]Sheet1!244:244),'Milk Types Nutrition Per Cup'!$O:$O,'Milk Types Nutrition Per Cup'!$Q:$Q,""))</f>
        <v>0</v>
      </c>
      <c r="F244" s="31">
        <f>IF(COUNTIF('Premade Flavors'!$A:$A, $C244) &gt; 0,_xlfn.XLOOKUP($C244,'Premade Flavors'!$A:$A,'Premade Flavors'!E:E),_xlfn.XLOOKUP("What's The First Flavor You Want? ",[1]Sheet1!$1:$1,[1]Sheet1!244:244))</f>
        <v>0</v>
      </c>
      <c r="G244" s="31">
        <f>IF(COUNTIF('Premade Flavors'!$A:$A, $C244) &gt; 0,_xlfn.XLOOKUP($C244,'Premade Flavors'!$A:$A,'Premade Flavors'!F:F),_xlfn.XLOOKUP("What's the Second Flavor You Want?",[1]Sheet1!$1:$1,[1]Sheet1!244:244))</f>
        <v>0</v>
      </c>
      <c r="H244" s="31">
        <f>IF(COUNTIF('Premade Flavors'!$A:$A, $C244) &gt; 0,_xlfn.XLOOKUP($C244,'Premade Flavors'!$A:$A,'Premade Flavors'!G:G),_xlfn.XLOOKUP("What's The First Mix In That You Want? ",[1]Sheet1!$1:$1,[1]Sheet1!244:244))</f>
        <v>0</v>
      </c>
      <c r="I244" s="31">
        <f>IF(COUNTIF('Premade Flavors'!$A:$A, $C242) &gt; 0,_xlfn.XLOOKUP($C242,'Premade Flavors'!$A:$A,'Premade Flavors'!H:H),IF([2]Sheet1!W242= 0,,[2]Sheet1!W242))</f>
        <v>0</v>
      </c>
      <c r="J244" s="31">
        <f>IF(COUNTIF('Premade Flavors'!$A:$A,$C244)&gt;0,IF(_xlfn.XLOOKUP("Should It Use Sugar or A Non-Sugar Sweetner?",[1]Sheet1!$1:$1,[1]Sheet1!244:244)="Sugar",_xlfn.XLOOKUP($C244,'Premade Flavors'!$A:$A,'Premade Flavors'!I:I),"Stevia"),_xlfn.XLOOKUP("What Sweetner Do You Want?",[1]Sheet1!$1:$1,[1]Sheet1!244:244))</f>
        <v>0</v>
      </c>
      <c r="K244" s="31"/>
      <c r="L244" s="77">
        <f>_xlfn.XLOOKUP("How Much Ice Cream Do You Want?",[1]Sheet1!$1:$1,[1]Sheet1!244:244)</f>
        <v>0</v>
      </c>
      <c r="M244" s="45">
        <f>IF(COUNTIF('Premade Flavors'!$A:$A, $C244) &gt; 0,_xlfn.XLOOKUP($C244,'Premade Flavors'!$A:$A,'Premade Flavors'!M:M),_xlfn.XLOOKUP("How Strong Do You Want The First Flavor?",[1]Sheet1!$1:$1,[1]Sheet1!244:244))</f>
        <v>0</v>
      </c>
      <c r="N244" s="45">
        <f>IF(COUNTIF('Premade Flavors'!$A:$A, $C244) &gt; 0,_xlfn.XLOOKUP($C244,'Premade Flavors'!$A:$A,'Premade Flavors'!N:N),_xlfn.XLOOKUP("How Strong Do You Want The Second Flavor?",[1]Sheet1!$1:$1,[1]Sheet1!244:244))</f>
        <v>0</v>
      </c>
      <c r="O244" s="45">
        <f>IF(COUNTIF('Premade Flavors'!$A:$A, $C244) &gt; 0,_xlfn.XLOOKUP($C244,'Premade Flavors'!$A:$A,'Premade Flavors'!O:O),_xlfn.XLOOKUP("How Dense Should the Mix Ins Be?",[1]Sheet1!$1:$1,[1]Sheet1!244:244))</f>
        <v>0</v>
      </c>
      <c r="P244" s="45">
        <f>IF(COUNTIF('Premade Flavors'!$A:$A, $C244) &gt; 0,_xlfn.XLOOKUP($C244,'Premade Flavors'!$A:$A,'Premade Flavors'!P:P),_xlfn.XLOOKUP("How Much Of The First Sweetner? ",[1]Sheet1!$1:$1,[1]Sheet1!244:244))</f>
        <v>0</v>
      </c>
      <c r="Q244" s="45">
        <f>IF(COUNTIF('Premade Flavors'!$A:$A, $C244) &gt; 0,_xlfn.XLOOKUP($C244,'Premade Flavors'!$A:$A,'Premade Flavors'!Q:Q),[2]Sheet1!S244)</f>
        <v>0</v>
      </c>
      <c r="R244" s="30">
        <f>(_xlfn.XLOOKUP($L244,Specs!A:A,Specs!B:B,0)-(IF(_xlfn.XLOOKUP($F244,'Liquid Mix In Nutrition'!A:A,'Liquid Mix In Nutrition'!J:J,0)="Yes",0,$T244))-(IF(_xlfn.XLOOKUP($G244,'Liquid Mix In Nutrition'!A:A,'Liquid Mix In Nutrition'!J:J,0)="Yes",0,$U244))-(($V244/MAX(1,_xlfn.XLOOKUP($H244,'Solid Mix In Nutrition'!A:A,'Solid Mix In Nutrition'!I:I,1)))*240)-(($W244/MAX(1,_xlfn.XLOOKUP($I244,'Solid Mix In Nutrition'!A:A,'Solid Mix In Nutrition'!I:I,1)))*240))*0.66</f>
        <v>0</v>
      </c>
      <c r="S244" s="30">
        <f>(_xlfn.XLOOKUP($L244,Specs!A:A,Specs!B:B,0)-(IF(_xlfn.XLOOKUP($F244,'Liquid Mix In Nutrition'!A:A,'Liquid Mix In Nutrition'!J:J,0)="Yes",0,$T244))-(IF(_xlfn.XLOOKUP($G244,'Liquid Mix In Nutrition'!A:A,'Liquid Mix In Nutrition'!J:J,0)="Yes",0,$U244))-(($V244/MAX(1,_xlfn.XLOOKUP($H244,'Solid Mix In Nutrition'!A:A,'Solid Mix In Nutrition'!I:I,1)))*240)-(($W244/MAX(1,_xlfn.XLOOKUP($I244,'Solid Mix In Nutrition'!A:A,'Solid Mix In Nutrition'!I:I,1)))*240))*0.33</f>
        <v>0</v>
      </c>
      <c r="T244" s="30">
        <f>_xlfn.XLOOKUP($M244,Specs!$D:$D,Specs!$E:$E,0)*15*_xlfn.XLOOKUP($L244,Specs!$A:$A,Specs!$C:$C,0)</f>
        <v>0</v>
      </c>
      <c r="U244" s="30">
        <f>_xlfn.XLOOKUP($N244,Specs!$D:$D,Specs!$E:$E,0)*15*_xlfn.XLOOKUP($L244,Specs!$A:$A,Specs!$C:$C,0)</f>
        <v>0</v>
      </c>
      <c r="V244" s="30">
        <f>( ((_xlfn.XLOOKUP($O244,Specs!$H:$H,Specs!$I:$I,0)*_xlfn.XLOOKUP($L244,Specs!$A:$A,Specs!$B:$B,0))/240) *_xlfn.XLOOKUP($H244,'Solid Mix In Nutrition'!A:A,'Solid Mix In Nutrition'!I:I,0)) *IF(AND(NOT($I244=0), COUNTA($I244)),0.5,1)</f>
        <v>0</v>
      </c>
      <c r="W244" s="30">
        <f>( ((_xlfn.XLOOKUP($O244,Specs!$H:$H,Specs!$I:$I,0)*_xlfn.XLOOKUP($L244,Specs!$A:$A,Specs!$B:$B,0))/240) *_xlfn.XLOOKUP($I244,'Solid Mix In Nutrition'!A:A,'Solid Mix In Nutrition'!I:I,0)) *IF(AND(NOT($I244=0), COUNTA($I244)),0.5,0)</f>
        <v>0</v>
      </c>
      <c r="X244" s="30">
        <f>_xlfn.XLOOKUP($P244,Specs!F:F,Specs!G:G,0)*_xlfn.XLOOKUP($J244,'Sweetener Mix In Nutrition'!A:A,'Sweetener Mix In Nutrition'!I:I,0)*_xlfn.XLOOKUP($L244,Specs!A:A,Specs!C:C,0)</f>
        <v>0</v>
      </c>
      <c r="Y244" s="30">
        <f>_xlfn.XLOOKUP($Q244,Specs!F:F,Specs!G:G,0)*_xlfn.XLOOKUP($K244,'Sweetener Mix In Nutrition'!A:A,'Sweetener Mix In Nutrition'!I:I,0)*_xlfn.XLOOKUP($L244,Specs!A:A,Specs!C:C,0)</f>
        <v>0</v>
      </c>
      <c r="Z244" s="34">
        <f t="shared" si="8"/>
        <v>0</v>
      </c>
      <c r="AA244" s="35">
        <f t="shared" si="9"/>
        <v>0</v>
      </c>
      <c r="AB244" s="36">
        <f>(($R244 / 240) * _xlfn.XLOOKUP($D244,'Milk Types Nutrition Per Cup'!A:A,'Milk Types Nutrition Per Cup'!B:B,0)) +(($S244 / 240)  * _xlfn.XLOOKUP($E244,'Milk Types Nutrition Per Cup'!A:A,'Milk Types Nutrition Per Cup'!B:B,0)) +(($T244 / 15)  * _xlfn.XLOOKUP($F244,'Liquid Mix In Nutrition'!A:A,'Liquid Mix In Nutrition'!B:B,0))+(($U244 / 15)  * _xlfn.XLOOKUP($G244,'Liquid Mix In Nutrition'!A:A,'Liquid Mix In Nutrition'!B:B,0))+(($V244 /MAX(1, _xlfn.XLOOKUP($H244,'Solid Mix In Nutrition'!A:A,'Solid Mix In Nutrition'!I:I,1)))  * _xlfn.XLOOKUP($H244,'Solid Mix In Nutrition'!A:A,'Solid Mix In Nutrition'!B:B,0))+(($W244 / MAX(1, _xlfn.XLOOKUP($I244,'Solid Mix In Nutrition'!A:A,'Solid Mix In Nutrition'!I:I,1))))+(($X244 / 100)  * _xlfn.XLOOKUP($J244,'Sweetener Mix In Nutrition'!A:A,'Sweetener Mix In Nutrition'!B:B,0))+(($Y244 / 100)  * _xlfn.XLOOKUP($K244,'Sweetener Mix In Nutrition'!A:A,'Sweetener Mix In Nutrition'!B:B,0))</f>
        <v>0</v>
      </c>
      <c r="AC244" s="36">
        <f>(($R244 / 240) * _xlfn.XLOOKUP($D244,'Milk Types Nutrition Per Cup'!A:A,'Milk Types Nutrition Per Cup'!E:E,0)) +(($S244 / 240)  * _xlfn.XLOOKUP($E244,'Milk Types Nutrition Per Cup'!A:A,'Milk Types Nutrition Per Cup'!E:E,0)) +(($T244 / 15)  * _xlfn.XLOOKUP($F244,'Liquid Mix In Nutrition'!A:A,'Liquid Mix In Nutrition'!E:E,0)) +(($U244 / 15)  * _xlfn.XLOOKUP($G244,'Liquid Mix In Nutrition'!A:A,'Liquid Mix In Nutrition'!E:E,0))+(($V244 / MAX(1, _xlfn.XLOOKUP($H244,'Solid Mix In Nutrition'!A:A,'Solid Mix In Nutrition'!I:I,1)))  * _xlfn.XLOOKUP($H244,'Solid Mix In Nutrition'!A:A,'Solid Mix In Nutrition'!E:E,0))+(($W244 / MAX(1, _xlfn.XLOOKUP($I244,'Solid Mix In Nutrition'!A:A,'Solid Mix In Nutrition'!I:I,1)))  * _xlfn.XLOOKUP($I244,'Solid Mix In Nutrition'!A:A,'Solid Mix In Nutrition'!G:G,0))+(($X244 / 100)  * _xlfn.XLOOKUP($J244,'Sweetener Mix In Nutrition'!A:A,'Sweetener Mix In Nutrition'!E:E,0))+(($Y244 / 100)  * _xlfn.XLOOKUP($K244,'Sweetener Mix In Nutrition'!A:A,'Sweetener Mix In Nutrition'!E:E,0))</f>
        <v>0</v>
      </c>
      <c r="AD244" s="36">
        <f>(($R244 / 240) * _xlfn.XLOOKUP($D244,'Milk Types Nutrition Per Cup'!A:A,'Milk Types Nutrition Per Cup'!E:E,0)) +(($S244 / 240)  * _xlfn.XLOOKUP($E244,'Milk Types Nutrition Per Cup'!A:A,'Milk Types Nutrition Per Cup'!E:E,0)) +(($T244 / 15)  * _xlfn.XLOOKUP($F244,'Liquid Mix In Nutrition'!A:A,'Liquid Mix In Nutrition'!E:E,0)) +(($U244 / 15)  * _xlfn.XLOOKUP($G244,'Liquid Mix In Nutrition'!A:A,'Liquid Mix In Nutrition'!E:E,0))+(($X244 / 100)  * _xlfn.XLOOKUP($J244,'Sweetener Mix In Nutrition'!A:A,'Sweetener Mix In Nutrition'!E:E,0))+(($Y244 / 100)  * _xlfn.XLOOKUP($K244,'Sweetener Mix In Nutrition'!A:A,'Sweetener Mix In Nutrition'!E:E,0))</f>
        <v>0</v>
      </c>
      <c r="AE244" s="37">
        <f>(($R244 / 240) * _xlfn.XLOOKUP($D244,'Milk Types Nutrition Per Cup'!A:A,'Milk Types Nutrition Per Cup'!C:C,0)) +(($S244 / 240)  * _xlfn.XLOOKUP($E244,'Milk Types Nutrition Per Cup'!A:A,'Milk Types Nutrition Per Cup'!C:C,0)) +(($T244 / 15)  * _xlfn.XLOOKUP($F244,'Liquid Mix In Nutrition'!A:A,'Liquid Mix In Nutrition'!C:C,0))+(($U244 / 15)  * _xlfn.XLOOKUP($G244,'Liquid Mix In Nutrition'!A:A,'Liquid Mix In Nutrition'!C:C,0))+(($V244 / MAX(1, _xlfn.XLOOKUP($H244,'Solid Mix In Nutrition'!A:A,'Solid Mix In Nutrition'!I:I,1)))  * _xlfn.XLOOKUP($H244,'Solid Mix In Nutrition'!A:A,'Solid Mix In Nutrition'!C:C,0))+(($W244 / MAX(1, _xlfn.XLOOKUP($I244,'Solid Mix In Nutrition'!A:A,'Solid Mix In Nutrition'!I:I,1)))  * _xlfn.XLOOKUP($I244,'Solid Mix In Nutrition'!A:A,'Solid Mix In Nutrition'!C:C,0))+(($X244 / 100)  * _xlfn.XLOOKUP($J244,'Sweetener Mix In Nutrition'!A:A,'Sweetener Mix In Nutrition'!C:C,0))+(($Y244 / 100)  * _xlfn.XLOOKUP($K244,'Sweetener Mix In Nutrition'!A:A,'Sweetener Mix In Nutrition'!C:C,0))</f>
        <v>0</v>
      </c>
      <c r="AF244" s="38" t="e">
        <f>$AE244 / (_xlfn.XLOOKUP($L244,Specs!A:A,Specs!B:B,0))</f>
        <v>#DIV/0!</v>
      </c>
      <c r="AG244" s="37" t="e">
        <f>60* ($AB244 / _xlfn.XLOOKUP($L244,Specs!A:A,Specs!B:B,0))</f>
        <v>#DIV/0!</v>
      </c>
      <c r="AH244" s="37" t="e">
        <f>60* (AC244 / _xlfn.XLOOKUP($L244,Specs!$A:$A,Specs!$B:$B,0))</f>
        <v>#DIV/0!</v>
      </c>
      <c r="AI244" s="37" t="e">
        <f>60* (AE244 / _xlfn.XLOOKUP($L244,Specs!$A:$A,Specs!$B:$B,0))</f>
        <v>#DIV/0!</v>
      </c>
      <c r="AJ244" s="39">
        <f>(($R244 / 240) * _xlfn.XLOOKUP($D244,'Milk Types Nutrition Per Cup'!A:A,'Milk Types Nutrition Per Cup'!F:F,0)) +(($S244 / 240)  * _xlfn.XLOOKUP($E244,'Milk Types Nutrition Per Cup'!A:A,'Milk Types Nutrition Per Cup'!F:F,0)) +(($T244 / 15)  * _xlfn.XLOOKUP($F244,'Liquid Mix In Nutrition'!A:A,'Liquid Mix In Nutrition'!F:F,0))+(($U244 / 15)  * _xlfn.XLOOKUP($G244,'Liquid Mix In Nutrition'!A:A,'Liquid Mix In Nutrition'!F:F,0))+(($V244 / MAX(1, _xlfn.XLOOKUP($H244,'Solid Mix In Nutrition'!A:A,'Solid Mix In Nutrition'!I:I,1)))  * _xlfn.XLOOKUP($H244,'Solid Mix In Nutrition'!A:A,'Solid Mix In Nutrition'!F:F,0))+(($W244 / MAX(1, _xlfn.XLOOKUP($I244,'Solid Mix In Nutrition'!A:A,'Solid Mix In Nutrition'!I:I,1)))  * _xlfn.XLOOKUP($I244,'Solid Mix In Nutrition'!A:A,'Solid Mix In Nutrition'!F:F,0))+(($X244 / 100)  * _xlfn.XLOOKUP($J244,'Sweetener Mix In Nutrition'!A:A,'Sweetener Mix In Nutrition'!F:F,0))+(($Y244 / 100)  * _xlfn.XLOOKUP($K244,'Sweetener Mix In Nutrition'!A:A,'Sweetener Mix In Nutrition'!F:F,0))</f>
        <v>0</v>
      </c>
      <c r="AK244" s="46">
        <f>[2]Sheet1!AG244</f>
        <v>0</v>
      </c>
      <c r="AL244" s="47"/>
      <c r="AM244" s="40">
        <f>IF(ISERROR(((AL244/Specs!$L$3)*Specs!$L$2)*2),0,ROUNDUP((((AL244/Specs!$L$3)*Specs!$L$2)*2),0))</f>
        <v>0</v>
      </c>
      <c r="AN244" s="48">
        <f>ROUNDUP(((AJ244+Specs!$R$2+Specs!$S$2+_xlfn.XLOOKUP($L244,Specs!A:A,Specs!V:V,0))*Specs!$N$2)+AM244,0)</f>
        <v>1</v>
      </c>
      <c r="AO244" s="40">
        <f>ROUNDUP(((AJ244+Specs!$R$2+Specs!$S$2+_xlfn.XLOOKUP($L244,Specs!A:A,Specs!V:V,0))*Specs!$N$2),0)</f>
        <v>1</v>
      </c>
      <c r="AP244" s="30"/>
    </row>
    <row r="245" spans="1:42" x14ac:dyDescent="0.25">
      <c r="A245" s="41" t="str">
        <f>_xlfn.CONCAT(_xlfn.XLOOKUP("What's Your Name?",[1]Sheet1!$1:$1,[1]Sheet1!245:245)," | ",TEXT(_xlfn.XLOOKUP("Completion time",[1]Sheet1!$1:$1,[1]Sheet1!245:245),"dddd, mmm dd, yyyy hh:mm AM/PM"))</f>
        <v xml:space="preserve"> | Saturday, Jan 00, 1900 12:00 AM</v>
      </c>
      <c r="B245" s="76">
        <f>_xlfn.XLOOKUP("What's Your Email Address?",[1]Sheet1!$1:$1,[1]Sheet1!245:245)</f>
        <v>0</v>
      </c>
      <c r="C245" s="31">
        <f>IF(ISBLANK(_xlfn.XLOOKUP("Which Flavor? (Pint Price | Quart Price | Half Gallon Price) (NOTE: Prices may fluctuate based on market conditions)",[1]Sheet1!$1:$1,[1]Sheet1!245:245)),_xlfn.XLOOKUP("Name Your Ice Cream!",[1]Sheet1!$1:$1,[1]Sheet1!245:245),IF(ISNUMBER(FIND("(", _xlfn.XLOOKUP("Which Flavor? (Pint Price | Quart Price | Half Gallon Price) (NOTE: Prices may fluctuate based on market conditions)",[1]Sheet1!$1:$1,[1]Sheet1!245:245))), LEFT(_xlfn.XLOOKUP("Which Flavor? (Pint Price | Quart Price | Half Gallon Price) (NOTE: Prices may fluctuate based on market conditions)",[1]Sheet1!$1:$1,[1]Sheet1!245:245), FIND("(", _xlfn.XLOOKUP("Which Flavor? (Pint Price | Quart Price | Half Gallon Price) (NOTE: Prices may fluctuate based on market conditions)",[1]Sheet1!$1:$1,[1]Sheet1!245:245)) - 1), _xlfn.XLOOKUP("Which Flavor? (Pint Price | Quart Price | Half Gallon Price) (NOTE: Prices may fluctuate based on market conditions)",[1]Sheet1!$1:$1,[1]Sheet1!245:245)))</f>
        <v>0</v>
      </c>
      <c r="D245" s="31">
        <f>IF(COUNTIF('Premade Flavors'!$A:$A, $C245) &gt; 0,IF(ISBLANK(_xlfn.XLOOKUP("What Ice Cream Base Do You Want To Change It To?",[1]Sheet1!$1:$1,[1]Sheet1!245:245)),_xlfn.XLOOKUP($C245,'Premade Flavors'!$A:$A,'Premade Flavors'!B:B),_xlfn.XLOOKUP("What Ice Cream Base Do You Want To Change It To?",[1]Sheet1!$1:$1,[1]Sheet1!245:245)),_xlfn.XLOOKUP(_xlfn.XLOOKUP("What Kind Of Ice Cream Base Do You Want? ",[1]Sheet1!$1:$1,[1]Sheet1!245:245),'Milk Types Nutrition Per Cup'!O:O,'Milk Types Nutrition Per Cup'!P:P,""))</f>
        <v>0</v>
      </c>
      <c r="E245" s="31">
        <f>IF(COUNTIF('Premade Flavors'!$A:$A, $C245) &gt; 0,IF(ISBLANK(_xlfn.XLOOKUP("What Ice Cream Base Do You Want To Change It To?",[1]Sheet1!$1:$1,[1]Sheet1!245:245)),_xlfn.XLOOKUP($C245,'Premade Flavors'!$A:$A,'Premade Flavors'!C:C),_xlfn.XLOOKUP("What Ice Cream Base Do You Want To Change It To?",[1]Sheet1!$1:$1,[1]Sheet1!245:245)),_xlfn.XLOOKUP(_xlfn.XLOOKUP("What Kind Of Ice Cream Base Do You Want? ",[1]Sheet1!$1:$1,[1]Sheet1!245:245),'Milk Types Nutrition Per Cup'!$O:$O,'Milk Types Nutrition Per Cup'!$Q:$Q,""))</f>
        <v>0</v>
      </c>
      <c r="F245" s="31">
        <f>IF(COUNTIF('Premade Flavors'!$A:$A, $C245) &gt; 0,_xlfn.XLOOKUP($C245,'Premade Flavors'!$A:$A,'Premade Flavors'!E:E),_xlfn.XLOOKUP("What's The First Flavor You Want? ",[1]Sheet1!$1:$1,[1]Sheet1!245:245))</f>
        <v>0</v>
      </c>
      <c r="G245" s="31">
        <f>IF(COUNTIF('Premade Flavors'!$A:$A, $C245) &gt; 0,_xlfn.XLOOKUP($C245,'Premade Flavors'!$A:$A,'Premade Flavors'!F:F),_xlfn.XLOOKUP("What's the Second Flavor You Want?",[1]Sheet1!$1:$1,[1]Sheet1!245:245))</f>
        <v>0</v>
      </c>
      <c r="H245" s="31">
        <f>IF(COUNTIF('Premade Flavors'!$A:$A, $C245) &gt; 0,_xlfn.XLOOKUP($C245,'Premade Flavors'!$A:$A,'Premade Flavors'!G:G),_xlfn.XLOOKUP("What's The First Mix In That You Want? ",[1]Sheet1!$1:$1,[1]Sheet1!245:245))</f>
        <v>0</v>
      </c>
      <c r="I245" s="31">
        <f>IF(COUNTIF('Premade Flavors'!$A:$A, $C243) &gt; 0,_xlfn.XLOOKUP($C243,'Premade Flavors'!$A:$A,'Premade Flavors'!H:H),IF([2]Sheet1!W243= 0,,[2]Sheet1!W243))</f>
        <v>0</v>
      </c>
      <c r="J245" s="31">
        <f>IF(COUNTIF('Premade Flavors'!$A:$A,$C245)&gt;0,IF(_xlfn.XLOOKUP("Should It Use Sugar or A Non-Sugar Sweetner?",[1]Sheet1!$1:$1,[1]Sheet1!245:245)="Sugar",_xlfn.XLOOKUP($C245,'Premade Flavors'!$A:$A,'Premade Flavors'!I:I),"Stevia"),_xlfn.XLOOKUP("What Sweetner Do You Want?",[1]Sheet1!$1:$1,[1]Sheet1!245:245))</f>
        <v>0</v>
      </c>
      <c r="K245" s="31"/>
      <c r="L245" s="77">
        <f>_xlfn.XLOOKUP("How Much Ice Cream Do You Want?",[1]Sheet1!$1:$1,[1]Sheet1!245:245)</f>
        <v>0</v>
      </c>
      <c r="M245" s="45">
        <f>IF(COUNTIF('Premade Flavors'!$A:$A, $C245) &gt; 0,_xlfn.XLOOKUP($C245,'Premade Flavors'!$A:$A,'Premade Flavors'!M:M),_xlfn.XLOOKUP("How Strong Do You Want The First Flavor?",[1]Sheet1!$1:$1,[1]Sheet1!245:245))</f>
        <v>0</v>
      </c>
      <c r="N245" s="45">
        <f>IF(COUNTIF('Premade Flavors'!$A:$A, $C245) &gt; 0,_xlfn.XLOOKUP($C245,'Premade Flavors'!$A:$A,'Premade Flavors'!N:N),_xlfn.XLOOKUP("How Strong Do You Want The Second Flavor?",[1]Sheet1!$1:$1,[1]Sheet1!245:245))</f>
        <v>0</v>
      </c>
      <c r="O245" s="45">
        <f>IF(COUNTIF('Premade Flavors'!$A:$A, $C245) &gt; 0,_xlfn.XLOOKUP($C245,'Premade Flavors'!$A:$A,'Premade Flavors'!O:O),_xlfn.XLOOKUP("How Dense Should the Mix Ins Be?",[1]Sheet1!$1:$1,[1]Sheet1!245:245))</f>
        <v>0</v>
      </c>
      <c r="P245" s="45">
        <f>IF(COUNTIF('Premade Flavors'!$A:$A, $C245) &gt; 0,_xlfn.XLOOKUP($C245,'Premade Flavors'!$A:$A,'Premade Flavors'!P:P),_xlfn.XLOOKUP("How Much Of The First Sweetner? ",[1]Sheet1!$1:$1,[1]Sheet1!245:245))</f>
        <v>0</v>
      </c>
      <c r="Q245" s="45">
        <f>IF(COUNTIF('Premade Flavors'!$A:$A, $C245) &gt; 0,_xlfn.XLOOKUP($C245,'Premade Flavors'!$A:$A,'Premade Flavors'!Q:Q),[2]Sheet1!S245)</f>
        <v>0</v>
      </c>
      <c r="R245" s="30">
        <f>(_xlfn.XLOOKUP($L245,Specs!A:A,Specs!B:B,0)-(IF(_xlfn.XLOOKUP($F245,'Liquid Mix In Nutrition'!A:A,'Liquid Mix In Nutrition'!J:J,0)="Yes",0,$T245))-(IF(_xlfn.XLOOKUP($G245,'Liquid Mix In Nutrition'!A:A,'Liquid Mix In Nutrition'!J:J,0)="Yes",0,$U245))-(($V245/MAX(1,_xlfn.XLOOKUP($H245,'Solid Mix In Nutrition'!A:A,'Solid Mix In Nutrition'!I:I,1)))*240)-(($W245/MAX(1,_xlfn.XLOOKUP($I245,'Solid Mix In Nutrition'!A:A,'Solid Mix In Nutrition'!I:I,1)))*240))*0.66</f>
        <v>0</v>
      </c>
      <c r="S245" s="30">
        <f>(_xlfn.XLOOKUP($L245,Specs!A:A,Specs!B:B,0)-(IF(_xlfn.XLOOKUP($F245,'Liquid Mix In Nutrition'!A:A,'Liquid Mix In Nutrition'!J:J,0)="Yes",0,$T245))-(IF(_xlfn.XLOOKUP($G245,'Liquid Mix In Nutrition'!A:A,'Liquid Mix In Nutrition'!J:J,0)="Yes",0,$U245))-(($V245/MAX(1,_xlfn.XLOOKUP($H245,'Solid Mix In Nutrition'!A:A,'Solid Mix In Nutrition'!I:I,1)))*240)-(($W245/MAX(1,_xlfn.XLOOKUP($I245,'Solid Mix In Nutrition'!A:A,'Solid Mix In Nutrition'!I:I,1)))*240))*0.33</f>
        <v>0</v>
      </c>
      <c r="T245" s="30">
        <f>_xlfn.XLOOKUP($M245,Specs!$D:$D,Specs!$E:$E,0)*15*_xlfn.XLOOKUP($L245,Specs!$A:$A,Specs!$C:$C,0)</f>
        <v>0</v>
      </c>
      <c r="U245" s="30">
        <f>_xlfn.XLOOKUP($N245,Specs!$D:$D,Specs!$E:$E,0)*15*_xlfn.XLOOKUP($L245,Specs!$A:$A,Specs!$C:$C,0)</f>
        <v>0</v>
      </c>
      <c r="V245" s="30">
        <f>( ((_xlfn.XLOOKUP($O245,Specs!$H:$H,Specs!$I:$I,0)*_xlfn.XLOOKUP($L245,Specs!$A:$A,Specs!$B:$B,0))/240) *_xlfn.XLOOKUP($H245,'Solid Mix In Nutrition'!A:A,'Solid Mix In Nutrition'!I:I,0)) *IF(AND(NOT($I245=0), COUNTA($I245)),0.5,1)</f>
        <v>0</v>
      </c>
      <c r="W245" s="30">
        <f>( ((_xlfn.XLOOKUP($O245,Specs!$H:$H,Specs!$I:$I,0)*_xlfn.XLOOKUP($L245,Specs!$A:$A,Specs!$B:$B,0))/240) *_xlfn.XLOOKUP($I245,'Solid Mix In Nutrition'!A:A,'Solid Mix In Nutrition'!I:I,0)) *IF(AND(NOT($I245=0), COUNTA($I245)),0.5,0)</f>
        <v>0</v>
      </c>
      <c r="X245" s="30">
        <f>_xlfn.XLOOKUP($P245,Specs!F:F,Specs!G:G,0)*_xlfn.XLOOKUP($J245,'Sweetener Mix In Nutrition'!A:A,'Sweetener Mix In Nutrition'!I:I,0)*_xlfn.XLOOKUP($L245,Specs!A:A,Specs!C:C,0)</f>
        <v>0</v>
      </c>
      <c r="Y245" s="30">
        <f>_xlfn.XLOOKUP($Q245,Specs!F:F,Specs!G:G,0)*_xlfn.XLOOKUP($K245,'Sweetener Mix In Nutrition'!A:A,'Sweetener Mix In Nutrition'!I:I,0)*_xlfn.XLOOKUP($L245,Specs!A:A,Specs!C:C,0)</f>
        <v>0</v>
      </c>
      <c r="Z245" s="34">
        <f t="shared" si="8"/>
        <v>0</v>
      </c>
      <c r="AA245" s="35">
        <f t="shared" si="9"/>
        <v>0</v>
      </c>
      <c r="AB245" s="36">
        <f>(($R245 / 240) * _xlfn.XLOOKUP($D245,'Milk Types Nutrition Per Cup'!A:A,'Milk Types Nutrition Per Cup'!B:B,0)) +(($S245 / 240)  * _xlfn.XLOOKUP($E245,'Milk Types Nutrition Per Cup'!A:A,'Milk Types Nutrition Per Cup'!B:B,0)) +(($T245 / 15)  * _xlfn.XLOOKUP($F245,'Liquid Mix In Nutrition'!A:A,'Liquid Mix In Nutrition'!B:B,0))+(($U245 / 15)  * _xlfn.XLOOKUP($G245,'Liquid Mix In Nutrition'!A:A,'Liquid Mix In Nutrition'!B:B,0))+(($V245 /MAX(1, _xlfn.XLOOKUP($H245,'Solid Mix In Nutrition'!A:A,'Solid Mix In Nutrition'!I:I,1)))  * _xlfn.XLOOKUP($H245,'Solid Mix In Nutrition'!A:A,'Solid Mix In Nutrition'!B:B,0))+(($W245 / MAX(1, _xlfn.XLOOKUP($I245,'Solid Mix In Nutrition'!A:A,'Solid Mix In Nutrition'!I:I,1))))+(($X245 / 100)  * _xlfn.XLOOKUP($J245,'Sweetener Mix In Nutrition'!A:A,'Sweetener Mix In Nutrition'!B:B,0))+(($Y245 / 100)  * _xlfn.XLOOKUP($K245,'Sweetener Mix In Nutrition'!A:A,'Sweetener Mix In Nutrition'!B:B,0))</f>
        <v>0</v>
      </c>
      <c r="AC245" s="36">
        <f>(($R245 / 240) * _xlfn.XLOOKUP($D245,'Milk Types Nutrition Per Cup'!A:A,'Milk Types Nutrition Per Cup'!E:E,0)) +(($S245 / 240)  * _xlfn.XLOOKUP($E245,'Milk Types Nutrition Per Cup'!A:A,'Milk Types Nutrition Per Cup'!E:E,0)) +(($T245 / 15)  * _xlfn.XLOOKUP($F245,'Liquid Mix In Nutrition'!A:A,'Liquid Mix In Nutrition'!E:E,0)) +(($U245 / 15)  * _xlfn.XLOOKUP($G245,'Liquid Mix In Nutrition'!A:A,'Liquid Mix In Nutrition'!E:E,0))+(($V245 / MAX(1, _xlfn.XLOOKUP($H245,'Solid Mix In Nutrition'!A:A,'Solid Mix In Nutrition'!I:I,1)))  * _xlfn.XLOOKUP($H245,'Solid Mix In Nutrition'!A:A,'Solid Mix In Nutrition'!E:E,0))+(($W245 / MAX(1, _xlfn.XLOOKUP($I245,'Solid Mix In Nutrition'!A:A,'Solid Mix In Nutrition'!I:I,1)))  * _xlfn.XLOOKUP($I245,'Solid Mix In Nutrition'!A:A,'Solid Mix In Nutrition'!G:G,0))+(($X245 / 100)  * _xlfn.XLOOKUP($J245,'Sweetener Mix In Nutrition'!A:A,'Sweetener Mix In Nutrition'!E:E,0))+(($Y245 / 100)  * _xlfn.XLOOKUP($K245,'Sweetener Mix In Nutrition'!A:A,'Sweetener Mix In Nutrition'!E:E,0))</f>
        <v>0</v>
      </c>
      <c r="AD245" s="36">
        <f>(($R245 / 240) * _xlfn.XLOOKUP($D245,'Milk Types Nutrition Per Cup'!A:A,'Milk Types Nutrition Per Cup'!E:E,0)) +(($S245 / 240)  * _xlfn.XLOOKUP($E245,'Milk Types Nutrition Per Cup'!A:A,'Milk Types Nutrition Per Cup'!E:E,0)) +(($T245 / 15)  * _xlfn.XLOOKUP($F245,'Liquid Mix In Nutrition'!A:A,'Liquid Mix In Nutrition'!E:E,0)) +(($U245 / 15)  * _xlfn.XLOOKUP($G245,'Liquid Mix In Nutrition'!A:A,'Liquid Mix In Nutrition'!E:E,0))+(($X245 / 100)  * _xlfn.XLOOKUP($J245,'Sweetener Mix In Nutrition'!A:A,'Sweetener Mix In Nutrition'!E:E,0))+(($Y245 / 100)  * _xlfn.XLOOKUP($K245,'Sweetener Mix In Nutrition'!A:A,'Sweetener Mix In Nutrition'!E:E,0))</f>
        <v>0</v>
      </c>
      <c r="AE245" s="37">
        <f>(($R245 / 240) * _xlfn.XLOOKUP($D245,'Milk Types Nutrition Per Cup'!A:A,'Milk Types Nutrition Per Cup'!C:C,0)) +(($S245 / 240)  * _xlfn.XLOOKUP($E245,'Milk Types Nutrition Per Cup'!A:A,'Milk Types Nutrition Per Cup'!C:C,0)) +(($T245 / 15)  * _xlfn.XLOOKUP($F245,'Liquid Mix In Nutrition'!A:A,'Liquid Mix In Nutrition'!C:C,0))+(($U245 / 15)  * _xlfn.XLOOKUP($G245,'Liquid Mix In Nutrition'!A:A,'Liquid Mix In Nutrition'!C:C,0))+(($V245 / MAX(1, _xlfn.XLOOKUP($H245,'Solid Mix In Nutrition'!A:A,'Solid Mix In Nutrition'!I:I,1)))  * _xlfn.XLOOKUP($H245,'Solid Mix In Nutrition'!A:A,'Solid Mix In Nutrition'!C:C,0))+(($W245 / MAX(1, _xlfn.XLOOKUP($I245,'Solid Mix In Nutrition'!A:A,'Solid Mix In Nutrition'!I:I,1)))  * _xlfn.XLOOKUP($I245,'Solid Mix In Nutrition'!A:A,'Solid Mix In Nutrition'!C:C,0))+(($X245 / 100)  * _xlfn.XLOOKUP($J245,'Sweetener Mix In Nutrition'!A:A,'Sweetener Mix In Nutrition'!C:C,0))+(($Y245 / 100)  * _xlfn.XLOOKUP($K245,'Sweetener Mix In Nutrition'!A:A,'Sweetener Mix In Nutrition'!C:C,0))</f>
        <v>0</v>
      </c>
      <c r="AF245" s="38" t="e">
        <f>$AE245 / (_xlfn.XLOOKUP($L245,Specs!A:A,Specs!B:B,0))</f>
        <v>#DIV/0!</v>
      </c>
      <c r="AG245" s="37" t="e">
        <f>60* ($AB245 / _xlfn.XLOOKUP($L245,Specs!A:A,Specs!B:B,0))</f>
        <v>#DIV/0!</v>
      </c>
      <c r="AH245" s="37" t="e">
        <f>60* (AC245 / _xlfn.XLOOKUP($L245,Specs!$A:$A,Specs!$B:$B,0))</f>
        <v>#DIV/0!</v>
      </c>
      <c r="AI245" s="37" t="e">
        <f>60* (AE245 / _xlfn.XLOOKUP($L245,Specs!$A:$A,Specs!$B:$B,0))</f>
        <v>#DIV/0!</v>
      </c>
      <c r="AJ245" s="39">
        <f>(($R245 / 240) * _xlfn.XLOOKUP($D245,'Milk Types Nutrition Per Cup'!A:A,'Milk Types Nutrition Per Cup'!F:F,0)) +(($S245 / 240)  * _xlfn.XLOOKUP($E245,'Milk Types Nutrition Per Cup'!A:A,'Milk Types Nutrition Per Cup'!F:F,0)) +(($T245 / 15)  * _xlfn.XLOOKUP($F245,'Liquid Mix In Nutrition'!A:A,'Liquid Mix In Nutrition'!F:F,0))+(($U245 / 15)  * _xlfn.XLOOKUP($G245,'Liquid Mix In Nutrition'!A:A,'Liquid Mix In Nutrition'!F:F,0))+(($V245 / MAX(1, _xlfn.XLOOKUP($H245,'Solid Mix In Nutrition'!A:A,'Solid Mix In Nutrition'!I:I,1)))  * _xlfn.XLOOKUP($H245,'Solid Mix In Nutrition'!A:A,'Solid Mix In Nutrition'!F:F,0))+(($W245 / MAX(1, _xlfn.XLOOKUP($I245,'Solid Mix In Nutrition'!A:A,'Solid Mix In Nutrition'!I:I,1)))  * _xlfn.XLOOKUP($I245,'Solid Mix In Nutrition'!A:A,'Solid Mix In Nutrition'!F:F,0))+(($X245 / 100)  * _xlfn.XLOOKUP($J245,'Sweetener Mix In Nutrition'!A:A,'Sweetener Mix In Nutrition'!F:F,0))+(($Y245 / 100)  * _xlfn.XLOOKUP($K245,'Sweetener Mix In Nutrition'!A:A,'Sweetener Mix In Nutrition'!F:F,0))</f>
        <v>0</v>
      </c>
      <c r="AK245" s="46">
        <f>[2]Sheet1!AG245</f>
        <v>0</v>
      </c>
      <c r="AL245" s="47"/>
      <c r="AM245" s="40">
        <f>IF(ISERROR(((AL245/Specs!$L$3)*Specs!$L$2)*2),0,ROUNDUP((((AL245/Specs!$L$3)*Specs!$L$2)*2),0))</f>
        <v>0</v>
      </c>
      <c r="AN245" s="48">
        <f>ROUNDUP(((AJ245+Specs!$R$2+Specs!$S$2+_xlfn.XLOOKUP($L245,Specs!A:A,Specs!V:V,0))*Specs!$N$2)+AM245,0)</f>
        <v>1</v>
      </c>
      <c r="AO245" s="40">
        <f>ROUNDUP(((AJ245+Specs!$R$2+Specs!$S$2+_xlfn.XLOOKUP($L245,Specs!A:A,Specs!V:V,0))*Specs!$N$2),0)</f>
        <v>1</v>
      </c>
      <c r="AP245" s="30"/>
    </row>
    <row r="246" spans="1:42" x14ac:dyDescent="0.25">
      <c r="A246" s="41" t="str">
        <f>_xlfn.CONCAT(_xlfn.XLOOKUP("What's Your Name?",[1]Sheet1!$1:$1,[1]Sheet1!246:246)," | ",TEXT(_xlfn.XLOOKUP("Completion time",[1]Sheet1!$1:$1,[1]Sheet1!246:246),"dddd, mmm dd, yyyy hh:mm AM/PM"))</f>
        <v xml:space="preserve"> | Saturday, Jan 00, 1900 12:00 AM</v>
      </c>
      <c r="B246" s="76">
        <f>_xlfn.XLOOKUP("What's Your Email Address?",[1]Sheet1!$1:$1,[1]Sheet1!246:246)</f>
        <v>0</v>
      </c>
      <c r="C246" s="31">
        <f>IF(ISBLANK(_xlfn.XLOOKUP("Which Flavor? (Pint Price | Quart Price | Half Gallon Price) (NOTE: Prices may fluctuate based on market conditions)",[1]Sheet1!$1:$1,[1]Sheet1!246:246)),_xlfn.XLOOKUP("Name Your Ice Cream!",[1]Sheet1!$1:$1,[1]Sheet1!246:246),IF(ISNUMBER(FIND("(", _xlfn.XLOOKUP("Which Flavor? (Pint Price | Quart Price | Half Gallon Price) (NOTE: Prices may fluctuate based on market conditions)",[1]Sheet1!$1:$1,[1]Sheet1!246:246))), LEFT(_xlfn.XLOOKUP("Which Flavor? (Pint Price | Quart Price | Half Gallon Price) (NOTE: Prices may fluctuate based on market conditions)",[1]Sheet1!$1:$1,[1]Sheet1!246:246), FIND("(", _xlfn.XLOOKUP("Which Flavor? (Pint Price | Quart Price | Half Gallon Price) (NOTE: Prices may fluctuate based on market conditions)",[1]Sheet1!$1:$1,[1]Sheet1!246:246)) - 1), _xlfn.XLOOKUP("Which Flavor? (Pint Price | Quart Price | Half Gallon Price) (NOTE: Prices may fluctuate based on market conditions)",[1]Sheet1!$1:$1,[1]Sheet1!246:246)))</f>
        <v>0</v>
      </c>
      <c r="D246" s="31">
        <f>IF(COUNTIF('Premade Flavors'!$A:$A, $C246) &gt; 0,IF(ISBLANK(_xlfn.XLOOKUP("What Ice Cream Base Do You Want To Change It To?",[1]Sheet1!$1:$1,[1]Sheet1!246:246)),_xlfn.XLOOKUP($C246,'Premade Flavors'!$A:$A,'Premade Flavors'!B:B),_xlfn.XLOOKUP("What Ice Cream Base Do You Want To Change It To?",[1]Sheet1!$1:$1,[1]Sheet1!246:246)),_xlfn.XLOOKUP(_xlfn.XLOOKUP("What Kind Of Ice Cream Base Do You Want? ",[1]Sheet1!$1:$1,[1]Sheet1!246:246),'Milk Types Nutrition Per Cup'!O:O,'Milk Types Nutrition Per Cup'!P:P,""))</f>
        <v>0</v>
      </c>
      <c r="E246" s="31">
        <f>IF(COUNTIF('Premade Flavors'!$A:$A, $C246) &gt; 0,IF(ISBLANK(_xlfn.XLOOKUP("What Ice Cream Base Do You Want To Change It To?",[1]Sheet1!$1:$1,[1]Sheet1!246:246)),_xlfn.XLOOKUP($C246,'Premade Flavors'!$A:$A,'Premade Flavors'!C:C),_xlfn.XLOOKUP("What Ice Cream Base Do You Want To Change It To?",[1]Sheet1!$1:$1,[1]Sheet1!246:246)),_xlfn.XLOOKUP(_xlfn.XLOOKUP("What Kind Of Ice Cream Base Do You Want? ",[1]Sheet1!$1:$1,[1]Sheet1!246:246),'Milk Types Nutrition Per Cup'!$O:$O,'Milk Types Nutrition Per Cup'!$Q:$Q,""))</f>
        <v>0</v>
      </c>
      <c r="F246" s="31">
        <f>IF(COUNTIF('Premade Flavors'!$A:$A, $C246) &gt; 0,_xlfn.XLOOKUP($C246,'Premade Flavors'!$A:$A,'Premade Flavors'!E:E),_xlfn.XLOOKUP("What's The First Flavor You Want? ",[1]Sheet1!$1:$1,[1]Sheet1!246:246))</f>
        <v>0</v>
      </c>
      <c r="G246" s="31">
        <f>IF(COUNTIF('Premade Flavors'!$A:$A, $C246) &gt; 0,_xlfn.XLOOKUP($C246,'Premade Flavors'!$A:$A,'Premade Flavors'!F:F),_xlfn.XLOOKUP("What's the Second Flavor You Want?",[1]Sheet1!$1:$1,[1]Sheet1!246:246))</f>
        <v>0</v>
      </c>
      <c r="H246" s="31">
        <f>IF(COUNTIF('Premade Flavors'!$A:$A, $C246) &gt; 0,_xlfn.XLOOKUP($C246,'Premade Flavors'!$A:$A,'Premade Flavors'!G:G),_xlfn.XLOOKUP("What's The First Mix In That You Want? ",[1]Sheet1!$1:$1,[1]Sheet1!246:246))</f>
        <v>0</v>
      </c>
      <c r="I246" s="31">
        <f>IF(COUNTIF('Premade Flavors'!$A:$A, $C244) &gt; 0,_xlfn.XLOOKUP($C244,'Premade Flavors'!$A:$A,'Premade Flavors'!H:H),IF([2]Sheet1!W244= 0,,[2]Sheet1!W244))</f>
        <v>0</v>
      </c>
      <c r="J246" s="31">
        <f>IF(COUNTIF('Premade Flavors'!$A:$A,$C246)&gt;0,IF(_xlfn.XLOOKUP("Should It Use Sugar or A Non-Sugar Sweetner?",[1]Sheet1!$1:$1,[1]Sheet1!246:246)="Sugar",_xlfn.XLOOKUP($C246,'Premade Flavors'!$A:$A,'Premade Flavors'!I:I),"Stevia"),_xlfn.XLOOKUP("What Sweetner Do You Want?",[1]Sheet1!$1:$1,[1]Sheet1!246:246))</f>
        <v>0</v>
      </c>
      <c r="K246" s="31"/>
      <c r="L246" s="77">
        <f>_xlfn.XLOOKUP("How Much Ice Cream Do You Want?",[1]Sheet1!$1:$1,[1]Sheet1!246:246)</f>
        <v>0</v>
      </c>
      <c r="M246" s="45">
        <f>IF(COUNTIF('Premade Flavors'!$A:$A, $C246) &gt; 0,_xlfn.XLOOKUP($C246,'Premade Flavors'!$A:$A,'Premade Flavors'!M:M),_xlfn.XLOOKUP("How Strong Do You Want The First Flavor?",[1]Sheet1!$1:$1,[1]Sheet1!246:246))</f>
        <v>0</v>
      </c>
      <c r="N246" s="45">
        <f>IF(COUNTIF('Premade Flavors'!$A:$A, $C246) &gt; 0,_xlfn.XLOOKUP($C246,'Premade Flavors'!$A:$A,'Premade Flavors'!N:N),_xlfn.XLOOKUP("How Strong Do You Want The Second Flavor?",[1]Sheet1!$1:$1,[1]Sheet1!246:246))</f>
        <v>0</v>
      </c>
      <c r="O246" s="45">
        <f>IF(COUNTIF('Premade Flavors'!$A:$A, $C246) &gt; 0,_xlfn.XLOOKUP($C246,'Premade Flavors'!$A:$A,'Premade Flavors'!O:O),_xlfn.XLOOKUP("How Dense Should the Mix Ins Be?",[1]Sheet1!$1:$1,[1]Sheet1!246:246))</f>
        <v>0</v>
      </c>
      <c r="P246" s="45">
        <f>IF(COUNTIF('Premade Flavors'!$A:$A, $C246) &gt; 0,_xlfn.XLOOKUP($C246,'Premade Flavors'!$A:$A,'Premade Flavors'!P:P),_xlfn.XLOOKUP("How Much Of The First Sweetner? ",[1]Sheet1!$1:$1,[1]Sheet1!246:246))</f>
        <v>0</v>
      </c>
      <c r="Q246" s="45">
        <f>IF(COUNTIF('Premade Flavors'!$A:$A, $C246) &gt; 0,_xlfn.XLOOKUP($C246,'Premade Flavors'!$A:$A,'Premade Flavors'!Q:Q),[2]Sheet1!S246)</f>
        <v>0</v>
      </c>
      <c r="R246" s="30">
        <f>(_xlfn.XLOOKUP($L246,Specs!A:A,Specs!B:B,0)-(IF(_xlfn.XLOOKUP($F246,'Liquid Mix In Nutrition'!A:A,'Liquid Mix In Nutrition'!J:J,0)="Yes",0,$T246))-(IF(_xlfn.XLOOKUP($G246,'Liquid Mix In Nutrition'!A:A,'Liquid Mix In Nutrition'!J:J,0)="Yes",0,$U246))-(($V246/MAX(1,_xlfn.XLOOKUP($H246,'Solid Mix In Nutrition'!A:A,'Solid Mix In Nutrition'!I:I,1)))*240)-(($W246/MAX(1,_xlfn.XLOOKUP($I246,'Solid Mix In Nutrition'!A:A,'Solid Mix In Nutrition'!I:I,1)))*240))*0.66</f>
        <v>0</v>
      </c>
      <c r="S246" s="30">
        <f>(_xlfn.XLOOKUP($L246,Specs!A:A,Specs!B:B,0)-(IF(_xlfn.XLOOKUP($F246,'Liquid Mix In Nutrition'!A:A,'Liquid Mix In Nutrition'!J:J,0)="Yes",0,$T246))-(IF(_xlfn.XLOOKUP($G246,'Liquid Mix In Nutrition'!A:A,'Liquid Mix In Nutrition'!J:J,0)="Yes",0,$U246))-(($V246/MAX(1,_xlfn.XLOOKUP($H246,'Solid Mix In Nutrition'!A:A,'Solid Mix In Nutrition'!I:I,1)))*240)-(($W246/MAX(1,_xlfn.XLOOKUP($I246,'Solid Mix In Nutrition'!A:A,'Solid Mix In Nutrition'!I:I,1)))*240))*0.33</f>
        <v>0</v>
      </c>
      <c r="T246" s="30">
        <f>_xlfn.XLOOKUP($M246,Specs!$D:$D,Specs!$E:$E,0)*15*_xlfn.XLOOKUP($L246,Specs!$A:$A,Specs!$C:$C,0)</f>
        <v>0</v>
      </c>
      <c r="U246" s="30">
        <f>_xlfn.XLOOKUP($N246,Specs!$D:$D,Specs!$E:$E,0)*15*_xlfn.XLOOKUP($L246,Specs!$A:$A,Specs!$C:$C,0)</f>
        <v>0</v>
      </c>
      <c r="V246" s="30">
        <f>( ((_xlfn.XLOOKUP($O246,Specs!$H:$H,Specs!$I:$I,0)*_xlfn.XLOOKUP($L246,Specs!$A:$A,Specs!$B:$B,0))/240) *_xlfn.XLOOKUP($H246,'Solid Mix In Nutrition'!A:A,'Solid Mix In Nutrition'!I:I,0)) *IF(AND(NOT($I246=0), COUNTA($I246)),0.5,1)</f>
        <v>0</v>
      </c>
      <c r="W246" s="30">
        <f>( ((_xlfn.XLOOKUP($O246,Specs!$H:$H,Specs!$I:$I,0)*_xlfn.XLOOKUP($L246,Specs!$A:$A,Specs!$B:$B,0))/240) *_xlfn.XLOOKUP($I246,'Solid Mix In Nutrition'!A:A,'Solid Mix In Nutrition'!I:I,0)) *IF(AND(NOT($I246=0), COUNTA($I246)),0.5,0)</f>
        <v>0</v>
      </c>
      <c r="X246" s="30">
        <f>_xlfn.XLOOKUP($P246,Specs!F:F,Specs!G:G,0)*_xlfn.XLOOKUP($J246,'Sweetener Mix In Nutrition'!A:A,'Sweetener Mix In Nutrition'!I:I,0)*_xlfn.XLOOKUP($L246,Specs!A:A,Specs!C:C,0)</f>
        <v>0</v>
      </c>
      <c r="Y246" s="30">
        <f>_xlfn.XLOOKUP($Q246,Specs!F:F,Specs!G:G,0)*_xlfn.XLOOKUP($K246,'Sweetener Mix In Nutrition'!A:A,'Sweetener Mix In Nutrition'!I:I,0)*_xlfn.XLOOKUP($L246,Specs!A:A,Specs!C:C,0)</f>
        <v>0</v>
      </c>
      <c r="Z246" s="34">
        <f t="shared" si="8"/>
        <v>0</v>
      </c>
      <c r="AA246" s="35">
        <f t="shared" si="9"/>
        <v>0</v>
      </c>
      <c r="AB246" s="36">
        <f>(($R246 / 240) * _xlfn.XLOOKUP($D246,'Milk Types Nutrition Per Cup'!A:A,'Milk Types Nutrition Per Cup'!B:B,0)) +(($S246 / 240)  * _xlfn.XLOOKUP($E246,'Milk Types Nutrition Per Cup'!A:A,'Milk Types Nutrition Per Cup'!B:B,0)) +(($T246 / 15)  * _xlfn.XLOOKUP($F246,'Liquid Mix In Nutrition'!A:A,'Liquid Mix In Nutrition'!B:B,0))+(($U246 / 15)  * _xlfn.XLOOKUP($G246,'Liquid Mix In Nutrition'!A:A,'Liquid Mix In Nutrition'!B:B,0))+(($V246 /MAX(1, _xlfn.XLOOKUP($H246,'Solid Mix In Nutrition'!A:A,'Solid Mix In Nutrition'!I:I,1)))  * _xlfn.XLOOKUP($H246,'Solid Mix In Nutrition'!A:A,'Solid Mix In Nutrition'!B:B,0))+(($W246 / MAX(1, _xlfn.XLOOKUP($I246,'Solid Mix In Nutrition'!A:A,'Solid Mix In Nutrition'!I:I,1))))+(($X246 / 100)  * _xlfn.XLOOKUP($J246,'Sweetener Mix In Nutrition'!A:A,'Sweetener Mix In Nutrition'!B:B,0))+(($Y246 / 100)  * _xlfn.XLOOKUP($K246,'Sweetener Mix In Nutrition'!A:A,'Sweetener Mix In Nutrition'!B:B,0))</f>
        <v>0</v>
      </c>
      <c r="AC246" s="36">
        <f>(($R246 / 240) * _xlfn.XLOOKUP($D246,'Milk Types Nutrition Per Cup'!A:A,'Milk Types Nutrition Per Cup'!E:E,0)) +(($S246 / 240)  * _xlfn.XLOOKUP($E246,'Milk Types Nutrition Per Cup'!A:A,'Milk Types Nutrition Per Cup'!E:E,0)) +(($T246 / 15)  * _xlfn.XLOOKUP($F246,'Liquid Mix In Nutrition'!A:A,'Liquid Mix In Nutrition'!E:E,0)) +(($U246 / 15)  * _xlfn.XLOOKUP($G246,'Liquid Mix In Nutrition'!A:A,'Liquid Mix In Nutrition'!E:E,0))+(($V246 / MAX(1, _xlfn.XLOOKUP($H246,'Solid Mix In Nutrition'!A:A,'Solid Mix In Nutrition'!I:I,1)))  * _xlfn.XLOOKUP($H246,'Solid Mix In Nutrition'!A:A,'Solid Mix In Nutrition'!E:E,0))+(($W246 / MAX(1, _xlfn.XLOOKUP($I246,'Solid Mix In Nutrition'!A:A,'Solid Mix In Nutrition'!I:I,1)))  * _xlfn.XLOOKUP($I246,'Solid Mix In Nutrition'!A:A,'Solid Mix In Nutrition'!G:G,0))+(($X246 / 100)  * _xlfn.XLOOKUP($J246,'Sweetener Mix In Nutrition'!A:A,'Sweetener Mix In Nutrition'!E:E,0))+(($Y246 / 100)  * _xlfn.XLOOKUP($K246,'Sweetener Mix In Nutrition'!A:A,'Sweetener Mix In Nutrition'!E:E,0))</f>
        <v>0</v>
      </c>
      <c r="AD246" s="36">
        <f>(($R246 / 240) * _xlfn.XLOOKUP($D246,'Milk Types Nutrition Per Cup'!A:A,'Milk Types Nutrition Per Cup'!E:E,0)) +(($S246 / 240)  * _xlfn.XLOOKUP($E246,'Milk Types Nutrition Per Cup'!A:A,'Milk Types Nutrition Per Cup'!E:E,0)) +(($T246 / 15)  * _xlfn.XLOOKUP($F246,'Liquid Mix In Nutrition'!A:A,'Liquid Mix In Nutrition'!E:E,0)) +(($U246 / 15)  * _xlfn.XLOOKUP($G246,'Liquid Mix In Nutrition'!A:A,'Liquid Mix In Nutrition'!E:E,0))+(($X246 / 100)  * _xlfn.XLOOKUP($J246,'Sweetener Mix In Nutrition'!A:A,'Sweetener Mix In Nutrition'!E:E,0))+(($Y246 / 100)  * _xlfn.XLOOKUP($K246,'Sweetener Mix In Nutrition'!A:A,'Sweetener Mix In Nutrition'!E:E,0))</f>
        <v>0</v>
      </c>
      <c r="AE246" s="37">
        <f>(($R246 / 240) * _xlfn.XLOOKUP($D246,'Milk Types Nutrition Per Cup'!A:A,'Milk Types Nutrition Per Cup'!C:C,0)) +(($S246 / 240)  * _xlfn.XLOOKUP($E246,'Milk Types Nutrition Per Cup'!A:A,'Milk Types Nutrition Per Cup'!C:C,0)) +(($T246 / 15)  * _xlfn.XLOOKUP($F246,'Liquid Mix In Nutrition'!A:A,'Liquid Mix In Nutrition'!C:C,0))+(($U246 / 15)  * _xlfn.XLOOKUP($G246,'Liquid Mix In Nutrition'!A:A,'Liquid Mix In Nutrition'!C:C,0))+(($V246 / MAX(1, _xlfn.XLOOKUP($H246,'Solid Mix In Nutrition'!A:A,'Solid Mix In Nutrition'!I:I,1)))  * _xlfn.XLOOKUP($H246,'Solid Mix In Nutrition'!A:A,'Solid Mix In Nutrition'!C:C,0))+(($W246 / MAX(1, _xlfn.XLOOKUP($I246,'Solid Mix In Nutrition'!A:A,'Solid Mix In Nutrition'!I:I,1)))  * _xlfn.XLOOKUP($I246,'Solid Mix In Nutrition'!A:A,'Solid Mix In Nutrition'!C:C,0))+(($X246 / 100)  * _xlfn.XLOOKUP($J246,'Sweetener Mix In Nutrition'!A:A,'Sweetener Mix In Nutrition'!C:C,0))+(($Y246 / 100)  * _xlfn.XLOOKUP($K246,'Sweetener Mix In Nutrition'!A:A,'Sweetener Mix In Nutrition'!C:C,0))</f>
        <v>0</v>
      </c>
      <c r="AF246" s="38" t="e">
        <f>$AE246 / (_xlfn.XLOOKUP($L246,Specs!A:A,Specs!B:B,0))</f>
        <v>#DIV/0!</v>
      </c>
      <c r="AG246" s="37" t="e">
        <f>60* ($AB246 / _xlfn.XLOOKUP($L246,Specs!A:A,Specs!B:B,0))</f>
        <v>#DIV/0!</v>
      </c>
      <c r="AH246" s="37" t="e">
        <f>60* (AC246 / _xlfn.XLOOKUP($L246,Specs!$A:$A,Specs!$B:$B,0))</f>
        <v>#DIV/0!</v>
      </c>
      <c r="AI246" s="37" t="e">
        <f>60* (AE246 / _xlfn.XLOOKUP($L246,Specs!$A:$A,Specs!$B:$B,0))</f>
        <v>#DIV/0!</v>
      </c>
      <c r="AJ246" s="39">
        <f>(($R246 / 240) * _xlfn.XLOOKUP($D246,'Milk Types Nutrition Per Cup'!A:A,'Milk Types Nutrition Per Cup'!F:F,0)) +(($S246 / 240)  * _xlfn.XLOOKUP($E246,'Milk Types Nutrition Per Cup'!A:A,'Milk Types Nutrition Per Cup'!F:F,0)) +(($T246 / 15)  * _xlfn.XLOOKUP($F246,'Liquid Mix In Nutrition'!A:A,'Liquid Mix In Nutrition'!F:F,0))+(($U246 / 15)  * _xlfn.XLOOKUP($G246,'Liquid Mix In Nutrition'!A:A,'Liquid Mix In Nutrition'!F:F,0))+(($V246 / MAX(1, _xlfn.XLOOKUP($H246,'Solid Mix In Nutrition'!A:A,'Solid Mix In Nutrition'!I:I,1)))  * _xlfn.XLOOKUP($H246,'Solid Mix In Nutrition'!A:A,'Solid Mix In Nutrition'!F:F,0))+(($W246 / MAX(1, _xlfn.XLOOKUP($I246,'Solid Mix In Nutrition'!A:A,'Solid Mix In Nutrition'!I:I,1)))  * _xlfn.XLOOKUP($I246,'Solid Mix In Nutrition'!A:A,'Solid Mix In Nutrition'!F:F,0))+(($X246 / 100)  * _xlfn.XLOOKUP($J246,'Sweetener Mix In Nutrition'!A:A,'Sweetener Mix In Nutrition'!F:F,0))+(($Y246 / 100)  * _xlfn.XLOOKUP($K246,'Sweetener Mix In Nutrition'!A:A,'Sweetener Mix In Nutrition'!F:F,0))</f>
        <v>0</v>
      </c>
      <c r="AK246" s="46">
        <f>[2]Sheet1!AG246</f>
        <v>0</v>
      </c>
      <c r="AL246" s="47"/>
      <c r="AM246" s="40">
        <f>IF(ISERROR(((AL246/Specs!$L$3)*Specs!$L$2)*2),0,ROUNDUP((((AL246/Specs!$L$3)*Specs!$L$2)*2),0))</f>
        <v>0</v>
      </c>
      <c r="AN246" s="48">
        <f>ROUNDUP(((AJ246+Specs!$R$2+Specs!$S$2+_xlfn.XLOOKUP($L246,Specs!A:A,Specs!V:V,0))*Specs!$N$2)+AM246,0)</f>
        <v>1</v>
      </c>
      <c r="AO246" s="40">
        <f>ROUNDUP(((AJ246+Specs!$R$2+Specs!$S$2+_xlfn.XLOOKUP($L246,Specs!A:A,Specs!V:V,0))*Specs!$N$2),0)</f>
        <v>1</v>
      </c>
      <c r="AP246" s="30"/>
    </row>
    <row r="247" spans="1:42" x14ac:dyDescent="0.25">
      <c r="A247" s="41" t="str">
        <f>_xlfn.CONCAT(_xlfn.XLOOKUP("What's Your Name?",[1]Sheet1!$1:$1,[1]Sheet1!247:247)," | ",TEXT(_xlfn.XLOOKUP("Completion time",[1]Sheet1!$1:$1,[1]Sheet1!247:247),"dddd, mmm dd, yyyy hh:mm AM/PM"))</f>
        <v xml:space="preserve"> | Saturday, Jan 00, 1900 12:00 AM</v>
      </c>
      <c r="B247" s="76">
        <f>_xlfn.XLOOKUP("What's Your Email Address?",[1]Sheet1!$1:$1,[1]Sheet1!247:247)</f>
        <v>0</v>
      </c>
      <c r="C247" s="31">
        <f>IF(ISBLANK(_xlfn.XLOOKUP("Which Flavor? (Pint Price | Quart Price | Half Gallon Price) (NOTE: Prices may fluctuate based on market conditions)",[1]Sheet1!$1:$1,[1]Sheet1!247:247)),_xlfn.XLOOKUP("Name Your Ice Cream!",[1]Sheet1!$1:$1,[1]Sheet1!247:247),IF(ISNUMBER(FIND("(", _xlfn.XLOOKUP("Which Flavor? (Pint Price | Quart Price | Half Gallon Price) (NOTE: Prices may fluctuate based on market conditions)",[1]Sheet1!$1:$1,[1]Sheet1!247:247))), LEFT(_xlfn.XLOOKUP("Which Flavor? (Pint Price | Quart Price | Half Gallon Price) (NOTE: Prices may fluctuate based on market conditions)",[1]Sheet1!$1:$1,[1]Sheet1!247:247), FIND("(", _xlfn.XLOOKUP("Which Flavor? (Pint Price | Quart Price | Half Gallon Price) (NOTE: Prices may fluctuate based on market conditions)",[1]Sheet1!$1:$1,[1]Sheet1!247:247)) - 1), _xlfn.XLOOKUP("Which Flavor? (Pint Price | Quart Price | Half Gallon Price) (NOTE: Prices may fluctuate based on market conditions)",[1]Sheet1!$1:$1,[1]Sheet1!247:247)))</f>
        <v>0</v>
      </c>
      <c r="D247" s="31">
        <f>IF(COUNTIF('Premade Flavors'!$A:$A, $C247) &gt; 0,IF(ISBLANK(_xlfn.XLOOKUP("What Ice Cream Base Do You Want To Change It To?",[1]Sheet1!$1:$1,[1]Sheet1!247:247)),_xlfn.XLOOKUP($C247,'Premade Flavors'!$A:$A,'Premade Flavors'!B:B),_xlfn.XLOOKUP("What Ice Cream Base Do You Want To Change It To?",[1]Sheet1!$1:$1,[1]Sheet1!247:247)),_xlfn.XLOOKUP(_xlfn.XLOOKUP("What Kind Of Ice Cream Base Do You Want? ",[1]Sheet1!$1:$1,[1]Sheet1!247:247),'Milk Types Nutrition Per Cup'!O:O,'Milk Types Nutrition Per Cup'!P:P,""))</f>
        <v>0</v>
      </c>
      <c r="E247" s="31">
        <f>IF(COUNTIF('Premade Flavors'!$A:$A, $C247) &gt; 0,IF(ISBLANK(_xlfn.XLOOKUP("What Ice Cream Base Do You Want To Change It To?",[1]Sheet1!$1:$1,[1]Sheet1!247:247)),_xlfn.XLOOKUP($C247,'Premade Flavors'!$A:$A,'Premade Flavors'!C:C),_xlfn.XLOOKUP("What Ice Cream Base Do You Want To Change It To?",[1]Sheet1!$1:$1,[1]Sheet1!247:247)),_xlfn.XLOOKUP(_xlfn.XLOOKUP("What Kind Of Ice Cream Base Do You Want? ",[1]Sheet1!$1:$1,[1]Sheet1!247:247),'Milk Types Nutrition Per Cup'!$O:$O,'Milk Types Nutrition Per Cup'!$Q:$Q,""))</f>
        <v>0</v>
      </c>
      <c r="F247" s="31">
        <f>IF(COUNTIF('Premade Flavors'!$A:$A, $C247) &gt; 0,_xlfn.XLOOKUP($C247,'Premade Flavors'!$A:$A,'Premade Flavors'!E:E),_xlfn.XLOOKUP("What's The First Flavor You Want? ",[1]Sheet1!$1:$1,[1]Sheet1!247:247))</f>
        <v>0</v>
      </c>
      <c r="G247" s="31">
        <f>IF(COUNTIF('Premade Flavors'!$A:$A, $C247) &gt; 0,_xlfn.XLOOKUP($C247,'Premade Flavors'!$A:$A,'Premade Flavors'!F:F),_xlfn.XLOOKUP("What's the Second Flavor You Want?",[1]Sheet1!$1:$1,[1]Sheet1!247:247))</f>
        <v>0</v>
      </c>
      <c r="H247" s="31">
        <f>IF(COUNTIF('Premade Flavors'!$A:$A, $C247) &gt; 0,_xlfn.XLOOKUP($C247,'Premade Flavors'!$A:$A,'Premade Flavors'!G:G),_xlfn.XLOOKUP("What's The First Mix In That You Want? ",[1]Sheet1!$1:$1,[1]Sheet1!247:247))</f>
        <v>0</v>
      </c>
      <c r="I247" s="31">
        <f>IF(COUNTIF('Premade Flavors'!$A:$A, $C245) &gt; 0,_xlfn.XLOOKUP($C245,'Premade Flavors'!$A:$A,'Premade Flavors'!H:H),IF([2]Sheet1!W245= 0,,[2]Sheet1!W245))</f>
        <v>0</v>
      </c>
      <c r="J247" s="31">
        <f>IF(COUNTIF('Premade Flavors'!$A:$A,$C247)&gt;0,IF(_xlfn.XLOOKUP("Should It Use Sugar or A Non-Sugar Sweetner?",[1]Sheet1!$1:$1,[1]Sheet1!247:247)="Sugar",_xlfn.XLOOKUP($C247,'Premade Flavors'!$A:$A,'Premade Flavors'!I:I),"Stevia"),_xlfn.XLOOKUP("What Sweetner Do You Want?",[1]Sheet1!$1:$1,[1]Sheet1!247:247))</f>
        <v>0</v>
      </c>
      <c r="K247" s="31"/>
      <c r="L247" s="77">
        <f>_xlfn.XLOOKUP("How Much Ice Cream Do You Want?",[1]Sheet1!$1:$1,[1]Sheet1!247:247)</f>
        <v>0</v>
      </c>
      <c r="M247" s="45">
        <f>IF(COUNTIF('Premade Flavors'!$A:$A, $C247) &gt; 0,_xlfn.XLOOKUP($C247,'Premade Flavors'!$A:$A,'Premade Flavors'!M:M),_xlfn.XLOOKUP("How Strong Do You Want The First Flavor?",[1]Sheet1!$1:$1,[1]Sheet1!247:247))</f>
        <v>0</v>
      </c>
      <c r="N247" s="45">
        <f>IF(COUNTIF('Premade Flavors'!$A:$A, $C247) &gt; 0,_xlfn.XLOOKUP($C247,'Premade Flavors'!$A:$A,'Premade Flavors'!N:N),_xlfn.XLOOKUP("How Strong Do You Want The Second Flavor?",[1]Sheet1!$1:$1,[1]Sheet1!247:247))</f>
        <v>0</v>
      </c>
      <c r="O247" s="45">
        <f>IF(COUNTIF('Premade Flavors'!$A:$A, $C247) &gt; 0,_xlfn.XLOOKUP($C247,'Premade Flavors'!$A:$A,'Premade Flavors'!O:O),_xlfn.XLOOKUP("How Dense Should the Mix Ins Be?",[1]Sheet1!$1:$1,[1]Sheet1!247:247))</f>
        <v>0</v>
      </c>
      <c r="P247" s="45">
        <f>IF(COUNTIF('Premade Flavors'!$A:$A, $C247) &gt; 0,_xlfn.XLOOKUP($C247,'Premade Flavors'!$A:$A,'Premade Flavors'!P:P),_xlfn.XLOOKUP("How Much Of The First Sweetner? ",[1]Sheet1!$1:$1,[1]Sheet1!247:247))</f>
        <v>0</v>
      </c>
      <c r="Q247" s="45">
        <f>IF(COUNTIF('Premade Flavors'!$A:$A, $C247) &gt; 0,_xlfn.XLOOKUP($C247,'Premade Flavors'!$A:$A,'Premade Flavors'!Q:Q),[2]Sheet1!S247)</f>
        <v>0</v>
      </c>
      <c r="R247" s="30">
        <f>(_xlfn.XLOOKUP($L247,Specs!A:A,Specs!B:B,0)-(IF(_xlfn.XLOOKUP($F247,'Liquid Mix In Nutrition'!A:A,'Liquid Mix In Nutrition'!J:J,0)="Yes",0,$T247))-(IF(_xlfn.XLOOKUP($G247,'Liquid Mix In Nutrition'!A:A,'Liquid Mix In Nutrition'!J:J,0)="Yes",0,$U247))-(($V247/MAX(1,_xlfn.XLOOKUP($H247,'Solid Mix In Nutrition'!A:A,'Solid Mix In Nutrition'!I:I,1)))*240)-(($W247/MAX(1,_xlfn.XLOOKUP($I247,'Solid Mix In Nutrition'!A:A,'Solid Mix In Nutrition'!I:I,1)))*240))*0.66</f>
        <v>0</v>
      </c>
      <c r="S247" s="30">
        <f>(_xlfn.XLOOKUP($L247,Specs!A:A,Specs!B:B,0)-(IF(_xlfn.XLOOKUP($F247,'Liquid Mix In Nutrition'!A:A,'Liquid Mix In Nutrition'!J:J,0)="Yes",0,$T247))-(IF(_xlfn.XLOOKUP($G247,'Liquid Mix In Nutrition'!A:A,'Liquid Mix In Nutrition'!J:J,0)="Yes",0,$U247))-(($V247/MAX(1,_xlfn.XLOOKUP($H247,'Solid Mix In Nutrition'!A:A,'Solid Mix In Nutrition'!I:I,1)))*240)-(($W247/MAX(1,_xlfn.XLOOKUP($I247,'Solid Mix In Nutrition'!A:A,'Solid Mix In Nutrition'!I:I,1)))*240))*0.33</f>
        <v>0</v>
      </c>
      <c r="T247" s="30">
        <f>_xlfn.XLOOKUP($M247,Specs!$D:$D,Specs!$E:$E,0)*15*_xlfn.XLOOKUP($L247,Specs!$A:$A,Specs!$C:$C,0)</f>
        <v>0</v>
      </c>
      <c r="U247" s="30">
        <f>_xlfn.XLOOKUP($N247,Specs!$D:$D,Specs!$E:$E,0)*15*_xlfn.XLOOKUP($L247,Specs!$A:$A,Specs!$C:$C,0)</f>
        <v>0</v>
      </c>
      <c r="V247" s="30">
        <f>( ((_xlfn.XLOOKUP($O247,Specs!$H:$H,Specs!$I:$I,0)*_xlfn.XLOOKUP($L247,Specs!$A:$A,Specs!$B:$B,0))/240) *_xlfn.XLOOKUP($H247,'Solid Mix In Nutrition'!A:A,'Solid Mix In Nutrition'!I:I,0)) *IF(AND(NOT($I247=0), COUNTA($I247)),0.5,1)</f>
        <v>0</v>
      </c>
      <c r="W247" s="30">
        <f>( ((_xlfn.XLOOKUP($O247,Specs!$H:$H,Specs!$I:$I,0)*_xlfn.XLOOKUP($L247,Specs!$A:$A,Specs!$B:$B,0))/240) *_xlfn.XLOOKUP($I247,'Solid Mix In Nutrition'!A:A,'Solid Mix In Nutrition'!I:I,0)) *IF(AND(NOT($I247=0), COUNTA($I247)),0.5,0)</f>
        <v>0</v>
      </c>
      <c r="X247" s="30">
        <f>_xlfn.XLOOKUP($P247,Specs!F:F,Specs!G:G,0)*_xlfn.XLOOKUP($J247,'Sweetener Mix In Nutrition'!A:A,'Sweetener Mix In Nutrition'!I:I,0)*_xlfn.XLOOKUP($L247,Specs!A:A,Specs!C:C,0)</f>
        <v>0</v>
      </c>
      <c r="Y247" s="30">
        <f>_xlfn.XLOOKUP($Q247,Specs!F:F,Specs!G:G,0)*_xlfn.XLOOKUP($K247,'Sweetener Mix In Nutrition'!A:A,'Sweetener Mix In Nutrition'!I:I,0)*_xlfn.XLOOKUP($L247,Specs!A:A,Specs!C:C,0)</f>
        <v>0</v>
      </c>
      <c r="Z247" s="34">
        <f t="shared" si="8"/>
        <v>0</v>
      </c>
      <c r="AA247" s="35">
        <f t="shared" si="9"/>
        <v>0</v>
      </c>
      <c r="AB247" s="36">
        <f>(($R247 / 240) * _xlfn.XLOOKUP($D247,'Milk Types Nutrition Per Cup'!A:A,'Milk Types Nutrition Per Cup'!B:B,0)) +(($S247 / 240)  * _xlfn.XLOOKUP($E247,'Milk Types Nutrition Per Cup'!A:A,'Milk Types Nutrition Per Cup'!B:B,0)) +(($T247 / 15)  * _xlfn.XLOOKUP($F247,'Liquid Mix In Nutrition'!A:A,'Liquid Mix In Nutrition'!B:B,0))+(($U247 / 15)  * _xlfn.XLOOKUP($G247,'Liquid Mix In Nutrition'!A:A,'Liquid Mix In Nutrition'!B:B,0))+(($V247 /MAX(1, _xlfn.XLOOKUP($H247,'Solid Mix In Nutrition'!A:A,'Solid Mix In Nutrition'!I:I,1)))  * _xlfn.XLOOKUP($H247,'Solid Mix In Nutrition'!A:A,'Solid Mix In Nutrition'!B:B,0))+(($W247 / MAX(1, _xlfn.XLOOKUP($I247,'Solid Mix In Nutrition'!A:A,'Solid Mix In Nutrition'!I:I,1))))+(($X247 / 100)  * _xlfn.XLOOKUP($J247,'Sweetener Mix In Nutrition'!A:A,'Sweetener Mix In Nutrition'!B:B,0))+(($Y247 / 100)  * _xlfn.XLOOKUP($K247,'Sweetener Mix In Nutrition'!A:A,'Sweetener Mix In Nutrition'!B:B,0))</f>
        <v>0</v>
      </c>
      <c r="AC247" s="36">
        <f>(($R247 / 240) * _xlfn.XLOOKUP($D247,'Milk Types Nutrition Per Cup'!A:A,'Milk Types Nutrition Per Cup'!E:E,0)) +(($S247 / 240)  * _xlfn.XLOOKUP($E247,'Milk Types Nutrition Per Cup'!A:A,'Milk Types Nutrition Per Cup'!E:E,0)) +(($T247 / 15)  * _xlfn.XLOOKUP($F247,'Liquid Mix In Nutrition'!A:A,'Liquid Mix In Nutrition'!E:E,0)) +(($U247 / 15)  * _xlfn.XLOOKUP($G247,'Liquid Mix In Nutrition'!A:A,'Liquid Mix In Nutrition'!E:E,0))+(($V247 / MAX(1, _xlfn.XLOOKUP($H247,'Solid Mix In Nutrition'!A:A,'Solid Mix In Nutrition'!I:I,1)))  * _xlfn.XLOOKUP($H247,'Solid Mix In Nutrition'!A:A,'Solid Mix In Nutrition'!E:E,0))+(($W247 / MAX(1, _xlfn.XLOOKUP($I247,'Solid Mix In Nutrition'!A:A,'Solid Mix In Nutrition'!I:I,1)))  * _xlfn.XLOOKUP($I247,'Solid Mix In Nutrition'!A:A,'Solid Mix In Nutrition'!G:G,0))+(($X247 / 100)  * _xlfn.XLOOKUP($J247,'Sweetener Mix In Nutrition'!A:A,'Sweetener Mix In Nutrition'!E:E,0))+(($Y247 / 100)  * _xlfn.XLOOKUP($K247,'Sweetener Mix In Nutrition'!A:A,'Sweetener Mix In Nutrition'!E:E,0))</f>
        <v>0</v>
      </c>
      <c r="AD247" s="36">
        <f>(($R247 / 240) * _xlfn.XLOOKUP($D247,'Milk Types Nutrition Per Cup'!A:A,'Milk Types Nutrition Per Cup'!E:E,0)) +(($S247 / 240)  * _xlfn.XLOOKUP($E247,'Milk Types Nutrition Per Cup'!A:A,'Milk Types Nutrition Per Cup'!E:E,0)) +(($T247 / 15)  * _xlfn.XLOOKUP($F247,'Liquid Mix In Nutrition'!A:A,'Liquid Mix In Nutrition'!E:E,0)) +(($U247 / 15)  * _xlfn.XLOOKUP($G247,'Liquid Mix In Nutrition'!A:A,'Liquid Mix In Nutrition'!E:E,0))+(($X247 / 100)  * _xlfn.XLOOKUP($J247,'Sweetener Mix In Nutrition'!A:A,'Sweetener Mix In Nutrition'!E:E,0))+(($Y247 / 100)  * _xlfn.XLOOKUP($K247,'Sweetener Mix In Nutrition'!A:A,'Sweetener Mix In Nutrition'!E:E,0))</f>
        <v>0</v>
      </c>
      <c r="AE247" s="37">
        <f>(($R247 / 240) * _xlfn.XLOOKUP($D247,'Milk Types Nutrition Per Cup'!A:A,'Milk Types Nutrition Per Cup'!C:C,0)) +(($S247 / 240)  * _xlfn.XLOOKUP($E247,'Milk Types Nutrition Per Cup'!A:A,'Milk Types Nutrition Per Cup'!C:C,0)) +(($T247 / 15)  * _xlfn.XLOOKUP($F247,'Liquid Mix In Nutrition'!A:A,'Liquid Mix In Nutrition'!C:C,0))+(($U247 / 15)  * _xlfn.XLOOKUP($G247,'Liquid Mix In Nutrition'!A:A,'Liquid Mix In Nutrition'!C:C,0))+(($V247 / MAX(1, _xlfn.XLOOKUP($H247,'Solid Mix In Nutrition'!A:A,'Solid Mix In Nutrition'!I:I,1)))  * _xlfn.XLOOKUP($H247,'Solid Mix In Nutrition'!A:A,'Solid Mix In Nutrition'!C:C,0))+(($W247 / MAX(1, _xlfn.XLOOKUP($I247,'Solid Mix In Nutrition'!A:A,'Solid Mix In Nutrition'!I:I,1)))  * _xlfn.XLOOKUP($I247,'Solid Mix In Nutrition'!A:A,'Solid Mix In Nutrition'!C:C,0))+(($X247 / 100)  * _xlfn.XLOOKUP($J247,'Sweetener Mix In Nutrition'!A:A,'Sweetener Mix In Nutrition'!C:C,0))+(($Y247 / 100)  * _xlfn.XLOOKUP($K247,'Sweetener Mix In Nutrition'!A:A,'Sweetener Mix In Nutrition'!C:C,0))</f>
        <v>0</v>
      </c>
      <c r="AF247" s="38" t="e">
        <f>$AE247 / (_xlfn.XLOOKUP($L247,Specs!A:A,Specs!B:B,0))</f>
        <v>#DIV/0!</v>
      </c>
      <c r="AG247" s="37" t="e">
        <f>60* ($AB247 / _xlfn.XLOOKUP($L247,Specs!A:A,Specs!B:B,0))</f>
        <v>#DIV/0!</v>
      </c>
      <c r="AH247" s="37" t="e">
        <f>60* (AC247 / _xlfn.XLOOKUP($L247,Specs!$A:$A,Specs!$B:$B,0))</f>
        <v>#DIV/0!</v>
      </c>
      <c r="AI247" s="37" t="e">
        <f>60* (AE247 / _xlfn.XLOOKUP($L247,Specs!$A:$A,Specs!$B:$B,0))</f>
        <v>#DIV/0!</v>
      </c>
      <c r="AJ247" s="39">
        <f>(($R247 / 240) * _xlfn.XLOOKUP($D247,'Milk Types Nutrition Per Cup'!A:A,'Milk Types Nutrition Per Cup'!F:F,0)) +(($S247 / 240)  * _xlfn.XLOOKUP($E247,'Milk Types Nutrition Per Cup'!A:A,'Milk Types Nutrition Per Cup'!F:F,0)) +(($T247 / 15)  * _xlfn.XLOOKUP($F247,'Liquid Mix In Nutrition'!A:A,'Liquid Mix In Nutrition'!F:F,0))+(($U247 / 15)  * _xlfn.XLOOKUP($G247,'Liquid Mix In Nutrition'!A:A,'Liquid Mix In Nutrition'!F:F,0))+(($V247 / MAX(1, _xlfn.XLOOKUP($H247,'Solid Mix In Nutrition'!A:A,'Solid Mix In Nutrition'!I:I,1)))  * _xlfn.XLOOKUP($H247,'Solid Mix In Nutrition'!A:A,'Solid Mix In Nutrition'!F:F,0))+(($W247 / MAX(1, _xlfn.XLOOKUP($I247,'Solid Mix In Nutrition'!A:A,'Solid Mix In Nutrition'!I:I,1)))  * _xlfn.XLOOKUP($I247,'Solid Mix In Nutrition'!A:A,'Solid Mix In Nutrition'!F:F,0))+(($X247 / 100)  * _xlfn.XLOOKUP($J247,'Sweetener Mix In Nutrition'!A:A,'Sweetener Mix In Nutrition'!F:F,0))+(($Y247 / 100)  * _xlfn.XLOOKUP($K247,'Sweetener Mix In Nutrition'!A:A,'Sweetener Mix In Nutrition'!F:F,0))</f>
        <v>0</v>
      </c>
      <c r="AK247" s="46">
        <f>[2]Sheet1!AG247</f>
        <v>0</v>
      </c>
      <c r="AL247" s="47"/>
      <c r="AM247" s="40">
        <f>IF(ISERROR(((AL247/Specs!$L$3)*Specs!$L$2)*2),0,ROUNDUP((((AL247/Specs!$L$3)*Specs!$L$2)*2),0))</f>
        <v>0</v>
      </c>
      <c r="AN247" s="48">
        <f>ROUNDUP(((AJ247+Specs!$R$2+Specs!$S$2+_xlfn.XLOOKUP($L247,Specs!A:A,Specs!V:V,0))*Specs!$N$2)+AM247,0)</f>
        <v>1</v>
      </c>
      <c r="AO247" s="40">
        <f>ROUNDUP(((AJ247+Specs!$R$2+Specs!$S$2+_xlfn.XLOOKUP($L247,Specs!A:A,Specs!V:V,0))*Specs!$N$2),0)</f>
        <v>1</v>
      </c>
      <c r="AP247" s="30"/>
    </row>
    <row r="248" spans="1:42" x14ac:dyDescent="0.25">
      <c r="A248" s="41" t="str">
        <f>_xlfn.CONCAT(_xlfn.XLOOKUP("What's Your Name?",[1]Sheet1!$1:$1,[1]Sheet1!248:248)," | ",TEXT(_xlfn.XLOOKUP("Completion time",[1]Sheet1!$1:$1,[1]Sheet1!248:248),"dddd, mmm dd, yyyy hh:mm AM/PM"))</f>
        <v xml:space="preserve"> | Saturday, Jan 00, 1900 12:00 AM</v>
      </c>
      <c r="B248" s="76">
        <f>_xlfn.XLOOKUP("What's Your Email Address?",[1]Sheet1!$1:$1,[1]Sheet1!248:248)</f>
        <v>0</v>
      </c>
      <c r="C248" s="31">
        <f>IF(ISBLANK(_xlfn.XLOOKUP("Which Flavor? (Pint Price | Quart Price | Half Gallon Price) (NOTE: Prices may fluctuate based on market conditions)",[1]Sheet1!$1:$1,[1]Sheet1!248:248)),_xlfn.XLOOKUP("Name Your Ice Cream!",[1]Sheet1!$1:$1,[1]Sheet1!248:248),IF(ISNUMBER(FIND("(", _xlfn.XLOOKUP("Which Flavor? (Pint Price | Quart Price | Half Gallon Price) (NOTE: Prices may fluctuate based on market conditions)",[1]Sheet1!$1:$1,[1]Sheet1!248:248))), LEFT(_xlfn.XLOOKUP("Which Flavor? (Pint Price | Quart Price | Half Gallon Price) (NOTE: Prices may fluctuate based on market conditions)",[1]Sheet1!$1:$1,[1]Sheet1!248:248), FIND("(", _xlfn.XLOOKUP("Which Flavor? (Pint Price | Quart Price | Half Gallon Price) (NOTE: Prices may fluctuate based on market conditions)",[1]Sheet1!$1:$1,[1]Sheet1!248:248)) - 1), _xlfn.XLOOKUP("Which Flavor? (Pint Price | Quart Price | Half Gallon Price) (NOTE: Prices may fluctuate based on market conditions)",[1]Sheet1!$1:$1,[1]Sheet1!248:248)))</f>
        <v>0</v>
      </c>
      <c r="D248" s="31">
        <f>IF(COUNTIF('Premade Flavors'!$A:$A, $C248) &gt; 0,IF(ISBLANK(_xlfn.XLOOKUP("What Ice Cream Base Do You Want To Change It To?",[1]Sheet1!$1:$1,[1]Sheet1!248:248)),_xlfn.XLOOKUP($C248,'Premade Flavors'!$A:$A,'Premade Flavors'!B:B),_xlfn.XLOOKUP("What Ice Cream Base Do You Want To Change It To?",[1]Sheet1!$1:$1,[1]Sheet1!248:248)),_xlfn.XLOOKUP(_xlfn.XLOOKUP("What Kind Of Ice Cream Base Do You Want? ",[1]Sheet1!$1:$1,[1]Sheet1!248:248),'Milk Types Nutrition Per Cup'!O:O,'Milk Types Nutrition Per Cup'!P:P,""))</f>
        <v>0</v>
      </c>
      <c r="E248" s="31">
        <f>IF(COUNTIF('Premade Flavors'!$A:$A, $C248) &gt; 0,IF(ISBLANK(_xlfn.XLOOKUP("What Ice Cream Base Do You Want To Change It To?",[1]Sheet1!$1:$1,[1]Sheet1!248:248)),_xlfn.XLOOKUP($C248,'Premade Flavors'!$A:$A,'Premade Flavors'!C:C),_xlfn.XLOOKUP("What Ice Cream Base Do You Want To Change It To?",[1]Sheet1!$1:$1,[1]Sheet1!248:248)),_xlfn.XLOOKUP(_xlfn.XLOOKUP("What Kind Of Ice Cream Base Do You Want? ",[1]Sheet1!$1:$1,[1]Sheet1!248:248),'Milk Types Nutrition Per Cup'!$O:$O,'Milk Types Nutrition Per Cup'!$Q:$Q,""))</f>
        <v>0</v>
      </c>
      <c r="F248" s="31">
        <f>IF(COUNTIF('Premade Flavors'!$A:$A, $C248) &gt; 0,_xlfn.XLOOKUP($C248,'Premade Flavors'!$A:$A,'Premade Flavors'!E:E),_xlfn.XLOOKUP("What's The First Flavor You Want? ",[1]Sheet1!$1:$1,[1]Sheet1!248:248))</f>
        <v>0</v>
      </c>
      <c r="G248" s="31">
        <f>IF(COUNTIF('Premade Flavors'!$A:$A, $C248) &gt; 0,_xlfn.XLOOKUP($C248,'Premade Flavors'!$A:$A,'Premade Flavors'!F:F),_xlfn.XLOOKUP("What's the Second Flavor You Want?",[1]Sheet1!$1:$1,[1]Sheet1!248:248))</f>
        <v>0</v>
      </c>
      <c r="H248" s="31">
        <f>IF(COUNTIF('Premade Flavors'!$A:$A, $C248) &gt; 0,_xlfn.XLOOKUP($C248,'Premade Flavors'!$A:$A,'Premade Flavors'!G:G),_xlfn.XLOOKUP("What's The First Mix In That You Want? ",[1]Sheet1!$1:$1,[1]Sheet1!248:248))</f>
        <v>0</v>
      </c>
      <c r="I248" s="31">
        <f>IF(COUNTIF('Premade Flavors'!$A:$A, $C246) &gt; 0,_xlfn.XLOOKUP($C246,'Premade Flavors'!$A:$A,'Premade Flavors'!H:H),IF([2]Sheet1!W246= 0,,[2]Sheet1!W246))</f>
        <v>0</v>
      </c>
      <c r="J248" s="31">
        <f>IF(COUNTIF('Premade Flavors'!$A:$A,$C248)&gt;0,IF(_xlfn.XLOOKUP("Should It Use Sugar or A Non-Sugar Sweetner?",[1]Sheet1!$1:$1,[1]Sheet1!248:248)="Sugar",_xlfn.XLOOKUP($C248,'Premade Flavors'!$A:$A,'Premade Flavors'!I:I),"Stevia"),_xlfn.XLOOKUP("What Sweetner Do You Want?",[1]Sheet1!$1:$1,[1]Sheet1!248:248))</f>
        <v>0</v>
      </c>
      <c r="K248" s="31"/>
      <c r="L248" s="77">
        <f>_xlfn.XLOOKUP("How Much Ice Cream Do You Want?",[1]Sheet1!$1:$1,[1]Sheet1!248:248)</f>
        <v>0</v>
      </c>
      <c r="M248" s="45">
        <f>IF(COUNTIF('Premade Flavors'!$A:$A, $C248) &gt; 0,_xlfn.XLOOKUP($C248,'Premade Flavors'!$A:$A,'Premade Flavors'!M:M),_xlfn.XLOOKUP("How Strong Do You Want The First Flavor?",[1]Sheet1!$1:$1,[1]Sheet1!248:248))</f>
        <v>0</v>
      </c>
      <c r="N248" s="45">
        <f>IF(COUNTIF('Premade Flavors'!$A:$A, $C248) &gt; 0,_xlfn.XLOOKUP($C248,'Premade Flavors'!$A:$A,'Premade Flavors'!N:N),_xlfn.XLOOKUP("How Strong Do You Want The Second Flavor?",[1]Sheet1!$1:$1,[1]Sheet1!248:248))</f>
        <v>0</v>
      </c>
      <c r="O248" s="45">
        <f>IF(COUNTIF('Premade Flavors'!$A:$A, $C248) &gt; 0,_xlfn.XLOOKUP($C248,'Premade Flavors'!$A:$A,'Premade Flavors'!O:O),_xlfn.XLOOKUP("How Dense Should the Mix Ins Be?",[1]Sheet1!$1:$1,[1]Sheet1!248:248))</f>
        <v>0</v>
      </c>
      <c r="P248" s="45">
        <f>IF(COUNTIF('Premade Flavors'!$A:$A, $C248) &gt; 0,_xlfn.XLOOKUP($C248,'Premade Flavors'!$A:$A,'Premade Flavors'!P:P),_xlfn.XLOOKUP("How Much Of The First Sweetner? ",[1]Sheet1!$1:$1,[1]Sheet1!248:248))</f>
        <v>0</v>
      </c>
      <c r="Q248" s="45">
        <f>IF(COUNTIF('Premade Flavors'!$A:$A, $C248) &gt; 0,_xlfn.XLOOKUP($C248,'Premade Flavors'!$A:$A,'Premade Flavors'!Q:Q),[2]Sheet1!S248)</f>
        <v>0</v>
      </c>
      <c r="R248" s="30">
        <f>(_xlfn.XLOOKUP($L248,Specs!A:A,Specs!B:B,0)-(IF(_xlfn.XLOOKUP($F248,'Liquid Mix In Nutrition'!A:A,'Liquid Mix In Nutrition'!J:J,0)="Yes",0,$T248))-(IF(_xlfn.XLOOKUP($G248,'Liquid Mix In Nutrition'!A:A,'Liquid Mix In Nutrition'!J:J,0)="Yes",0,$U248))-(($V248/MAX(1,_xlfn.XLOOKUP($H248,'Solid Mix In Nutrition'!A:A,'Solid Mix In Nutrition'!I:I,1)))*240)-(($W248/MAX(1,_xlfn.XLOOKUP($I248,'Solid Mix In Nutrition'!A:A,'Solid Mix In Nutrition'!I:I,1)))*240))*0.66</f>
        <v>0</v>
      </c>
      <c r="S248" s="30">
        <f>(_xlfn.XLOOKUP($L248,Specs!A:A,Specs!B:B,0)-(IF(_xlfn.XLOOKUP($F248,'Liquid Mix In Nutrition'!A:A,'Liquid Mix In Nutrition'!J:J,0)="Yes",0,$T248))-(IF(_xlfn.XLOOKUP($G248,'Liquid Mix In Nutrition'!A:A,'Liquid Mix In Nutrition'!J:J,0)="Yes",0,$U248))-(($V248/MAX(1,_xlfn.XLOOKUP($H248,'Solid Mix In Nutrition'!A:A,'Solid Mix In Nutrition'!I:I,1)))*240)-(($W248/MAX(1,_xlfn.XLOOKUP($I248,'Solid Mix In Nutrition'!A:A,'Solid Mix In Nutrition'!I:I,1)))*240))*0.33</f>
        <v>0</v>
      </c>
      <c r="T248" s="30">
        <f>_xlfn.XLOOKUP($M248,Specs!$D:$D,Specs!$E:$E,0)*15*_xlfn.XLOOKUP($L248,Specs!$A:$A,Specs!$C:$C,0)</f>
        <v>0</v>
      </c>
      <c r="U248" s="30">
        <f>_xlfn.XLOOKUP($N248,Specs!$D:$D,Specs!$E:$E,0)*15*_xlfn.XLOOKUP($L248,Specs!$A:$A,Specs!$C:$C,0)</f>
        <v>0</v>
      </c>
      <c r="V248" s="30">
        <f>( ((_xlfn.XLOOKUP($O248,Specs!$H:$H,Specs!$I:$I,0)*_xlfn.XLOOKUP($L248,Specs!$A:$A,Specs!$B:$B,0))/240) *_xlfn.XLOOKUP($H248,'Solid Mix In Nutrition'!A:A,'Solid Mix In Nutrition'!I:I,0)) *IF(AND(NOT($I248=0), COUNTA($I248)),0.5,1)</f>
        <v>0</v>
      </c>
      <c r="W248" s="30">
        <f>( ((_xlfn.XLOOKUP($O248,Specs!$H:$H,Specs!$I:$I,0)*_xlfn.XLOOKUP($L248,Specs!$A:$A,Specs!$B:$B,0))/240) *_xlfn.XLOOKUP($I248,'Solid Mix In Nutrition'!A:A,'Solid Mix In Nutrition'!I:I,0)) *IF(AND(NOT($I248=0), COUNTA($I248)),0.5,0)</f>
        <v>0</v>
      </c>
      <c r="X248" s="30">
        <f>_xlfn.XLOOKUP($P248,Specs!F:F,Specs!G:G,0)*_xlfn.XLOOKUP($J248,'Sweetener Mix In Nutrition'!A:A,'Sweetener Mix In Nutrition'!I:I,0)*_xlfn.XLOOKUP($L248,Specs!A:A,Specs!C:C,0)</f>
        <v>0</v>
      </c>
      <c r="Y248" s="30">
        <f>_xlfn.XLOOKUP($Q248,Specs!F:F,Specs!G:G,0)*_xlfn.XLOOKUP($K248,'Sweetener Mix In Nutrition'!A:A,'Sweetener Mix In Nutrition'!I:I,0)*_xlfn.XLOOKUP($L248,Specs!A:A,Specs!C:C,0)</f>
        <v>0</v>
      </c>
      <c r="Z248" s="34">
        <f t="shared" si="8"/>
        <v>0</v>
      </c>
      <c r="AA248" s="35">
        <f t="shared" si="9"/>
        <v>0</v>
      </c>
      <c r="AB248" s="36">
        <f>(($R248 / 240) * _xlfn.XLOOKUP($D248,'Milk Types Nutrition Per Cup'!A:A,'Milk Types Nutrition Per Cup'!B:B,0)) +(($S248 / 240)  * _xlfn.XLOOKUP($E248,'Milk Types Nutrition Per Cup'!A:A,'Milk Types Nutrition Per Cup'!B:B,0)) +(($T248 / 15)  * _xlfn.XLOOKUP($F248,'Liquid Mix In Nutrition'!A:A,'Liquid Mix In Nutrition'!B:B,0))+(($U248 / 15)  * _xlfn.XLOOKUP($G248,'Liquid Mix In Nutrition'!A:A,'Liquid Mix In Nutrition'!B:B,0))+(($V248 /MAX(1, _xlfn.XLOOKUP($H248,'Solid Mix In Nutrition'!A:A,'Solid Mix In Nutrition'!I:I,1)))  * _xlfn.XLOOKUP($H248,'Solid Mix In Nutrition'!A:A,'Solid Mix In Nutrition'!B:B,0))+(($W248 / MAX(1, _xlfn.XLOOKUP($I248,'Solid Mix In Nutrition'!A:A,'Solid Mix In Nutrition'!I:I,1))))+(($X248 / 100)  * _xlfn.XLOOKUP($J248,'Sweetener Mix In Nutrition'!A:A,'Sweetener Mix In Nutrition'!B:B,0))+(($Y248 / 100)  * _xlfn.XLOOKUP($K248,'Sweetener Mix In Nutrition'!A:A,'Sweetener Mix In Nutrition'!B:B,0))</f>
        <v>0</v>
      </c>
      <c r="AC248" s="36">
        <f>(($R248 / 240) * _xlfn.XLOOKUP($D248,'Milk Types Nutrition Per Cup'!A:A,'Milk Types Nutrition Per Cup'!E:E,0)) +(($S248 / 240)  * _xlfn.XLOOKUP($E248,'Milk Types Nutrition Per Cup'!A:A,'Milk Types Nutrition Per Cup'!E:E,0)) +(($T248 / 15)  * _xlfn.XLOOKUP($F248,'Liquid Mix In Nutrition'!A:A,'Liquid Mix In Nutrition'!E:E,0)) +(($U248 / 15)  * _xlfn.XLOOKUP($G248,'Liquid Mix In Nutrition'!A:A,'Liquid Mix In Nutrition'!E:E,0))+(($V248 / MAX(1, _xlfn.XLOOKUP($H248,'Solid Mix In Nutrition'!A:A,'Solid Mix In Nutrition'!I:I,1)))  * _xlfn.XLOOKUP($H248,'Solid Mix In Nutrition'!A:A,'Solid Mix In Nutrition'!E:E,0))+(($W248 / MAX(1, _xlfn.XLOOKUP($I248,'Solid Mix In Nutrition'!A:A,'Solid Mix In Nutrition'!I:I,1)))  * _xlfn.XLOOKUP($I248,'Solid Mix In Nutrition'!A:A,'Solid Mix In Nutrition'!G:G,0))+(($X248 / 100)  * _xlfn.XLOOKUP($J248,'Sweetener Mix In Nutrition'!A:A,'Sweetener Mix In Nutrition'!E:E,0))+(($Y248 / 100)  * _xlfn.XLOOKUP($K248,'Sweetener Mix In Nutrition'!A:A,'Sweetener Mix In Nutrition'!E:E,0))</f>
        <v>0</v>
      </c>
      <c r="AD248" s="36">
        <f>(($R248 / 240) * _xlfn.XLOOKUP($D248,'Milk Types Nutrition Per Cup'!A:A,'Milk Types Nutrition Per Cup'!E:E,0)) +(($S248 / 240)  * _xlfn.XLOOKUP($E248,'Milk Types Nutrition Per Cup'!A:A,'Milk Types Nutrition Per Cup'!E:E,0)) +(($T248 / 15)  * _xlfn.XLOOKUP($F248,'Liquid Mix In Nutrition'!A:A,'Liquid Mix In Nutrition'!E:E,0)) +(($U248 / 15)  * _xlfn.XLOOKUP($G248,'Liquid Mix In Nutrition'!A:A,'Liquid Mix In Nutrition'!E:E,0))+(($X248 / 100)  * _xlfn.XLOOKUP($J248,'Sweetener Mix In Nutrition'!A:A,'Sweetener Mix In Nutrition'!E:E,0))+(($Y248 / 100)  * _xlfn.XLOOKUP($K248,'Sweetener Mix In Nutrition'!A:A,'Sweetener Mix In Nutrition'!E:E,0))</f>
        <v>0</v>
      </c>
      <c r="AE248" s="37">
        <f>(($R248 / 240) * _xlfn.XLOOKUP($D248,'Milk Types Nutrition Per Cup'!A:A,'Milk Types Nutrition Per Cup'!C:C,0)) +(($S248 / 240)  * _xlfn.XLOOKUP($E248,'Milk Types Nutrition Per Cup'!A:A,'Milk Types Nutrition Per Cup'!C:C,0)) +(($T248 / 15)  * _xlfn.XLOOKUP($F248,'Liquid Mix In Nutrition'!A:A,'Liquid Mix In Nutrition'!C:C,0))+(($U248 / 15)  * _xlfn.XLOOKUP($G248,'Liquid Mix In Nutrition'!A:A,'Liquid Mix In Nutrition'!C:C,0))+(($V248 / MAX(1, _xlfn.XLOOKUP($H248,'Solid Mix In Nutrition'!A:A,'Solid Mix In Nutrition'!I:I,1)))  * _xlfn.XLOOKUP($H248,'Solid Mix In Nutrition'!A:A,'Solid Mix In Nutrition'!C:C,0))+(($W248 / MAX(1, _xlfn.XLOOKUP($I248,'Solid Mix In Nutrition'!A:A,'Solid Mix In Nutrition'!I:I,1)))  * _xlfn.XLOOKUP($I248,'Solid Mix In Nutrition'!A:A,'Solid Mix In Nutrition'!C:C,0))+(($X248 / 100)  * _xlfn.XLOOKUP($J248,'Sweetener Mix In Nutrition'!A:A,'Sweetener Mix In Nutrition'!C:C,0))+(($Y248 / 100)  * _xlfn.XLOOKUP($K248,'Sweetener Mix In Nutrition'!A:A,'Sweetener Mix In Nutrition'!C:C,0))</f>
        <v>0</v>
      </c>
      <c r="AF248" s="38" t="e">
        <f>$AE248 / (_xlfn.XLOOKUP($L248,Specs!A:A,Specs!B:B,0))</f>
        <v>#DIV/0!</v>
      </c>
      <c r="AG248" s="37" t="e">
        <f>60* ($AB248 / _xlfn.XLOOKUP($L248,Specs!A:A,Specs!B:B,0))</f>
        <v>#DIV/0!</v>
      </c>
      <c r="AH248" s="37" t="e">
        <f>60* (AC248 / _xlfn.XLOOKUP($L248,Specs!$A:$A,Specs!$B:$B,0))</f>
        <v>#DIV/0!</v>
      </c>
      <c r="AI248" s="37" t="e">
        <f>60* (AE248 / _xlfn.XLOOKUP($L248,Specs!$A:$A,Specs!$B:$B,0))</f>
        <v>#DIV/0!</v>
      </c>
      <c r="AJ248" s="39">
        <f>(($R248 / 240) * _xlfn.XLOOKUP($D248,'Milk Types Nutrition Per Cup'!A:A,'Milk Types Nutrition Per Cup'!F:F,0)) +(($S248 / 240)  * _xlfn.XLOOKUP($E248,'Milk Types Nutrition Per Cup'!A:A,'Milk Types Nutrition Per Cup'!F:F,0)) +(($T248 / 15)  * _xlfn.XLOOKUP($F248,'Liquid Mix In Nutrition'!A:A,'Liquid Mix In Nutrition'!F:F,0))+(($U248 / 15)  * _xlfn.XLOOKUP($G248,'Liquid Mix In Nutrition'!A:A,'Liquid Mix In Nutrition'!F:F,0))+(($V248 / MAX(1, _xlfn.XLOOKUP($H248,'Solid Mix In Nutrition'!A:A,'Solid Mix In Nutrition'!I:I,1)))  * _xlfn.XLOOKUP($H248,'Solid Mix In Nutrition'!A:A,'Solid Mix In Nutrition'!F:F,0))+(($W248 / MAX(1, _xlfn.XLOOKUP($I248,'Solid Mix In Nutrition'!A:A,'Solid Mix In Nutrition'!I:I,1)))  * _xlfn.XLOOKUP($I248,'Solid Mix In Nutrition'!A:A,'Solid Mix In Nutrition'!F:F,0))+(($X248 / 100)  * _xlfn.XLOOKUP($J248,'Sweetener Mix In Nutrition'!A:A,'Sweetener Mix In Nutrition'!F:F,0))+(($Y248 / 100)  * _xlfn.XLOOKUP($K248,'Sweetener Mix In Nutrition'!A:A,'Sweetener Mix In Nutrition'!F:F,0))</f>
        <v>0</v>
      </c>
      <c r="AK248" s="46">
        <f>[2]Sheet1!AG248</f>
        <v>0</v>
      </c>
      <c r="AL248" s="47"/>
      <c r="AM248" s="40">
        <f>IF(ISERROR(((AL248/Specs!$L$3)*Specs!$L$2)*2),0,ROUNDUP((((AL248/Specs!$L$3)*Specs!$L$2)*2),0))</f>
        <v>0</v>
      </c>
      <c r="AN248" s="48">
        <f>ROUNDUP(((AJ248+Specs!$R$2+Specs!$S$2+_xlfn.XLOOKUP($L248,Specs!A:A,Specs!V:V,0))*Specs!$N$2)+AM248,0)</f>
        <v>1</v>
      </c>
      <c r="AO248" s="40">
        <f>ROUNDUP(((AJ248+Specs!$R$2+Specs!$S$2+_xlfn.XLOOKUP($L248,Specs!A:A,Specs!V:V,0))*Specs!$N$2),0)</f>
        <v>1</v>
      </c>
      <c r="AP248" s="30"/>
    </row>
    <row r="249" spans="1:42" x14ac:dyDescent="0.25">
      <c r="A249" s="41" t="str">
        <f>_xlfn.CONCAT(_xlfn.XLOOKUP("What's Your Name?",[1]Sheet1!$1:$1,[1]Sheet1!249:249)," | ",TEXT(_xlfn.XLOOKUP("Completion time",[1]Sheet1!$1:$1,[1]Sheet1!249:249),"dddd, mmm dd, yyyy hh:mm AM/PM"))</f>
        <v xml:space="preserve"> | Saturday, Jan 00, 1900 12:00 AM</v>
      </c>
      <c r="B249" s="76">
        <f>_xlfn.XLOOKUP("What's Your Email Address?",[1]Sheet1!$1:$1,[1]Sheet1!249:249)</f>
        <v>0</v>
      </c>
      <c r="C249" s="31">
        <f>IF(ISBLANK(_xlfn.XLOOKUP("Which Flavor? (Pint Price | Quart Price | Half Gallon Price) (NOTE: Prices may fluctuate based on market conditions)",[1]Sheet1!$1:$1,[1]Sheet1!249:249)),_xlfn.XLOOKUP("Name Your Ice Cream!",[1]Sheet1!$1:$1,[1]Sheet1!249:249),IF(ISNUMBER(FIND("(", _xlfn.XLOOKUP("Which Flavor? (Pint Price | Quart Price | Half Gallon Price) (NOTE: Prices may fluctuate based on market conditions)",[1]Sheet1!$1:$1,[1]Sheet1!249:249))), LEFT(_xlfn.XLOOKUP("Which Flavor? (Pint Price | Quart Price | Half Gallon Price) (NOTE: Prices may fluctuate based on market conditions)",[1]Sheet1!$1:$1,[1]Sheet1!249:249), FIND("(", _xlfn.XLOOKUP("Which Flavor? (Pint Price | Quart Price | Half Gallon Price) (NOTE: Prices may fluctuate based on market conditions)",[1]Sheet1!$1:$1,[1]Sheet1!249:249)) - 1), _xlfn.XLOOKUP("Which Flavor? (Pint Price | Quart Price | Half Gallon Price) (NOTE: Prices may fluctuate based on market conditions)",[1]Sheet1!$1:$1,[1]Sheet1!249:249)))</f>
        <v>0</v>
      </c>
      <c r="D249" s="31">
        <f>IF(COUNTIF('Premade Flavors'!$A:$A, $C249) &gt; 0,IF(ISBLANK(_xlfn.XLOOKUP("What Ice Cream Base Do You Want To Change It To?",[1]Sheet1!$1:$1,[1]Sheet1!249:249)),_xlfn.XLOOKUP($C249,'Premade Flavors'!$A:$A,'Premade Flavors'!B:B),_xlfn.XLOOKUP("What Ice Cream Base Do You Want To Change It To?",[1]Sheet1!$1:$1,[1]Sheet1!249:249)),_xlfn.XLOOKUP(_xlfn.XLOOKUP("What Kind Of Ice Cream Base Do You Want? ",[1]Sheet1!$1:$1,[1]Sheet1!249:249),'Milk Types Nutrition Per Cup'!O:O,'Milk Types Nutrition Per Cup'!P:P,""))</f>
        <v>0</v>
      </c>
      <c r="E249" s="31">
        <f>IF(COUNTIF('Premade Flavors'!$A:$A, $C249) &gt; 0,IF(ISBLANK(_xlfn.XLOOKUP("What Ice Cream Base Do You Want To Change It To?",[1]Sheet1!$1:$1,[1]Sheet1!249:249)),_xlfn.XLOOKUP($C249,'Premade Flavors'!$A:$A,'Premade Flavors'!C:C),_xlfn.XLOOKUP("What Ice Cream Base Do You Want To Change It To?",[1]Sheet1!$1:$1,[1]Sheet1!249:249)),_xlfn.XLOOKUP(_xlfn.XLOOKUP("What Kind Of Ice Cream Base Do You Want? ",[1]Sheet1!$1:$1,[1]Sheet1!249:249),'Milk Types Nutrition Per Cup'!$O:$O,'Milk Types Nutrition Per Cup'!$Q:$Q,""))</f>
        <v>0</v>
      </c>
      <c r="F249" s="31">
        <f>IF(COUNTIF('Premade Flavors'!$A:$A, $C249) &gt; 0,_xlfn.XLOOKUP($C249,'Premade Flavors'!$A:$A,'Premade Flavors'!E:E),_xlfn.XLOOKUP("What's The First Flavor You Want? ",[1]Sheet1!$1:$1,[1]Sheet1!249:249))</f>
        <v>0</v>
      </c>
      <c r="G249" s="31">
        <f>IF(COUNTIF('Premade Flavors'!$A:$A, $C249) &gt; 0,_xlfn.XLOOKUP($C249,'Premade Flavors'!$A:$A,'Premade Flavors'!F:F),_xlfn.XLOOKUP("What's the Second Flavor You Want?",[1]Sheet1!$1:$1,[1]Sheet1!249:249))</f>
        <v>0</v>
      </c>
      <c r="H249" s="31">
        <f>IF(COUNTIF('Premade Flavors'!$A:$A, $C249) &gt; 0,_xlfn.XLOOKUP($C249,'Premade Flavors'!$A:$A,'Premade Flavors'!G:G),_xlfn.XLOOKUP("What's The First Mix In That You Want? ",[1]Sheet1!$1:$1,[1]Sheet1!249:249))</f>
        <v>0</v>
      </c>
      <c r="I249" s="31">
        <f>IF(COUNTIF('Premade Flavors'!$A:$A, $C247) &gt; 0,_xlfn.XLOOKUP($C247,'Premade Flavors'!$A:$A,'Premade Flavors'!H:H),IF([2]Sheet1!W247= 0,,[2]Sheet1!W247))</f>
        <v>0</v>
      </c>
      <c r="J249" s="31">
        <f>IF(COUNTIF('Premade Flavors'!$A:$A,$C249)&gt;0,IF(_xlfn.XLOOKUP("Should It Use Sugar or A Non-Sugar Sweetner?",[1]Sheet1!$1:$1,[1]Sheet1!249:249)="Sugar",_xlfn.XLOOKUP($C249,'Premade Flavors'!$A:$A,'Premade Flavors'!I:I),"Stevia"),_xlfn.XLOOKUP("What Sweetner Do You Want?",[1]Sheet1!$1:$1,[1]Sheet1!249:249))</f>
        <v>0</v>
      </c>
      <c r="K249" s="31"/>
      <c r="L249" s="77">
        <f>_xlfn.XLOOKUP("How Much Ice Cream Do You Want?",[1]Sheet1!$1:$1,[1]Sheet1!249:249)</f>
        <v>0</v>
      </c>
      <c r="M249" s="45">
        <f>IF(COUNTIF('Premade Flavors'!$A:$A, $C249) &gt; 0,_xlfn.XLOOKUP($C249,'Premade Flavors'!$A:$A,'Premade Flavors'!M:M),_xlfn.XLOOKUP("How Strong Do You Want The First Flavor?",[1]Sheet1!$1:$1,[1]Sheet1!249:249))</f>
        <v>0</v>
      </c>
      <c r="N249" s="45">
        <f>IF(COUNTIF('Premade Flavors'!$A:$A, $C249) &gt; 0,_xlfn.XLOOKUP($C249,'Premade Flavors'!$A:$A,'Premade Flavors'!N:N),_xlfn.XLOOKUP("How Strong Do You Want The Second Flavor?",[1]Sheet1!$1:$1,[1]Sheet1!249:249))</f>
        <v>0</v>
      </c>
      <c r="O249" s="45">
        <f>IF(COUNTIF('Premade Flavors'!$A:$A, $C249) &gt; 0,_xlfn.XLOOKUP($C249,'Premade Flavors'!$A:$A,'Premade Flavors'!O:O),_xlfn.XLOOKUP("How Dense Should the Mix Ins Be?",[1]Sheet1!$1:$1,[1]Sheet1!249:249))</f>
        <v>0</v>
      </c>
      <c r="P249" s="45">
        <f>IF(COUNTIF('Premade Flavors'!$A:$A, $C249) &gt; 0,_xlfn.XLOOKUP($C249,'Premade Flavors'!$A:$A,'Premade Flavors'!P:P),_xlfn.XLOOKUP("How Much Of The First Sweetner? ",[1]Sheet1!$1:$1,[1]Sheet1!249:249))</f>
        <v>0</v>
      </c>
      <c r="Q249" s="45">
        <f>IF(COUNTIF('Premade Flavors'!$A:$A, $C249) &gt; 0,_xlfn.XLOOKUP($C249,'Premade Flavors'!$A:$A,'Premade Flavors'!Q:Q),[2]Sheet1!S249)</f>
        <v>0</v>
      </c>
      <c r="R249" s="30">
        <f>(_xlfn.XLOOKUP($L249,Specs!A:A,Specs!B:B,0)-(IF(_xlfn.XLOOKUP($F249,'Liquid Mix In Nutrition'!A:A,'Liquid Mix In Nutrition'!J:J,0)="Yes",0,$T249))-(IF(_xlfn.XLOOKUP($G249,'Liquid Mix In Nutrition'!A:A,'Liquid Mix In Nutrition'!J:J,0)="Yes",0,$U249))-(($V249/MAX(1,_xlfn.XLOOKUP($H249,'Solid Mix In Nutrition'!A:A,'Solid Mix In Nutrition'!I:I,1)))*240)-(($W249/MAX(1,_xlfn.XLOOKUP($I249,'Solid Mix In Nutrition'!A:A,'Solid Mix In Nutrition'!I:I,1)))*240))*0.66</f>
        <v>0</v>
      </c>
      <c r="S249" s="30">
        <f>(_xlfn.XLOOKUP($L249,Specs!A:A,Specs!B:B,0)-(IF(_xlfn.XLOOKUP($F249,'Liquid Mix In Nutrition'!A:A,'Liquid Mix In Nutrition'!J:J,0)="Yes",0,$T249))-(IF(_xlfn.XLOOKUP($G249,'Liquid Mix In Nutrition'!A:A,'Liquid Mix In Nutrition'!J:J,0)="Yes",0,$U249))-(($V249/MAX(1,_xlfn.XLOOKUP($H249,'Solid Mix In Nutrition'!A:A,'Solid Mix In Nutrition'!I:I,1)))*240)-(($W249/MAX(1,_xlfn.XLOOKUP($I249,'Solid Mix In Nutrition'!A:A,'Solid Mix In Nutrition'!I:I,1)))*240))*0.33</f>
        <v>0</v>
      </c>
      <c r="T249" s="30">
        <f>_xlfn.XLOOKUP($M249,Specs!$D:$D,Specs!$E:$E,0)*15*_xlfn.XLOOKUP($L249,Specs!$A:$A,Specs!$C:$C,0)</f>
        <v>0</v>
      </c>
      <c r="U249" s="30">
        <f>_xlfn.XLOOKUP($N249,Specs!$D:$D,Specs!$E:$E,0)*15*_xlfn.XLOOKUP($L249,Specs!$A:$A,Specs!$C:$C,0)</f>
        <v>0</v>
      </c>
      <c r="V249" s="30">
        <f>( ((_xlfn.XLOOKUP($O249,Specs!$H:$H,Specs!$I:$I,0)*_xlfn.XLOOKUP($L249,Specs!$A:$A,Specs!$B:$B,0))/240) *_xlfn.XLOOKUP($H249,'Solid Mix In Nutrition'!A:A,'Solid Mix In Nutrition'!I:I,0)) *IF(AND(NOT($I249=0), COUNTA($I249)),0.5,1)</f>
        <v>0</v>
      </c>
      <c r="W249" s="30">
        <f>( ((_xlfn.XLOOKUP($O249,Specs!$H:$H,Specs!$I:$I,0)*_xlfn.XLOOKUP($L249,Specs!$A:$A,Specs!$B:$B,0))/240) *_xlfn.XLOOKUP($I249,'Solid Mix In Nutrition'!A:A,'Solid Mix In Nutrition'!I:I,0)) *IF(AND(NOT($I249=0), COUNTA($I249)),0.5,0)</f>
        <v>0</v>
      </c>
      <c r="X249" s="30">
        <f>_xlfn.XLOOKUP($P249,Specs!F:F,Specs!G:G,0)*_xlfn.XLOOKUP($J249,'Sweetener Mix In Nutrition'!A:A,'Sweetener Mix In Nutrition'!I:I,0)*_xlfn.XLOOKUP($L249,Specs!A:A,Specs!C:C,0)</f>
        <v>0</v>
      </c>
      <c r="Y249" s="30">
        <f>_xlfn.XLOOKUP($Q249,Specs!F:F,Specs!G:G,0)*_xlfn.XLOOKUP($K249,'Sweetener Mix In Nutrition'!A:A,'Sweetener Mix In Nutrition'!I:I,0)*_xlfn.XLOOKUP($L249,Specs!A:A,Specs!C:C,0)</f>
        <v>0</v>
      </c>
      <c r="Z249" s="34">
        <f t="shared" si="8"/>
        <v>0</v>
      </c>
      <c r="AA249" s="35">
        <f t="shared" si="9"/>
        <v>0</v>
      </c>
      <c r="AB249" s="36">
        <f>(($R249 / 240) * _xlfn.XLOOKUP($D249,'Milk Types Nutrition Per Cup'!A:A,'Milk Types Nutrition Per Cup'!B:B,0)) +(($S249 / 240)  * _xlfn.XLOOKUP($E249,'Milk Types Nutrition Per Cup'!A:A,'Milk Types Nutrition Per Cup'!B:B,0)) +(($T249 / 15)  * _xlfn.XLOOKUP($F249,'Liquid Mix In Nutrition'!A:A,'Liquid Mix In Nutrition'!B:B,0))+(($U249 / 15)  * _xlfn.XLOOKUP($G249,'Liquid Mix In Nutrition'!A:A,'Liquid Mix In Nutrition'!B:B,0))+(($V249 /MAX(1, _xlfn.XLOOKUP($H249,'Solid Mix In Nutrition'!A:A,'Solid Mix In Nutrition'!I:I,1)))  * _xlfn.XLOOKUP($H249,'Solid Mix In Nutrition'!A:A,'Solid Mix In Nutrition'!B:B,0))+(($W249 / MAX(1, _xlfn.XLOOKUP($I249,'Solid Mix In Nutrition'!A:A,'Solid Mix In Nutrition'!I:I,1))))+(($X249 / 100)  * _xlfn.XLOOKUP($J249,'Sweetener Mix In Nutrition'!A:A,'Sweetener Mix In Nutrition'!B:B,0))+(($Y249 / 100)  * _xlfn.XLOOKUP($K249,'Sweetener Mix In Nutrition'!A:A,'Sweetener Mix In Nutrition'!B:B,0))</f>
        <v>0</v>
      </c>
      <c r="AC249" s="36">
        <f>(($R249 / 240) * _xlfn.XLOOKUP($D249,'Milk Types Nutrition Per Cup'!A:A,'Milk Types Nutrition Per Cup'!E:E,0)) +(($S249 / 240)  * _xlfn.XLOOKUP($E249,'Milk Types Nutrition Per Cup'!A:A,'Milk Types Nutrition Per Cup'!E:E,0)) +(($T249 / 15)  * _xlfn.XLOOKUP($F249,'Liquid Mix In Nutrition'!A:A,'Liquid Mix In Nutrition'!E:E,0)) +(($U249 / 15)  * _xlfn.XLOOKUP($G249,'Liquid Mix In Nutrition'!A:A,'Liquid Mix In Nutrition'!E:E,0))+(($V249 / MAX(1, _xlfn.XLOOKUP($H249,'Solid Mix In Nutrition'!A:A,'Solid Mix In Nutrition'!I:I,1)))  * _xlfn.XLOOKUP($H249,'Solid Mix In Nutrition'!A:A,'Solid Mix In Nutrition'!E:E,0))+(($W249 / MAX(1, _xlfn.XLOOKUP($I249,'Solid Mix In Nutrition'!A:A,'Solid Mix In Nutrition'!I:I,1)))  * _xlfn.XLOOKUP($I249,'Solid Mix In Nutrition'!A:A,'Solid Mix In Nutrition'!G:G,0))+(($X249 / 100)  * _xlfn.XLOOKUP($J249,'Sweetener Mix In Nutrition'!A:A,'Sweetener Mix In Nutrition'!E:E,0))+(($Y249 / 100)  * _xlfn.XLOOKUP($K249,'Sweetener Mix In Nutrition'!A:A,'Sweetener Mix In Nutrition'!E:E,0))</f>
        <v>0</v>
      </c>
      <c r="AD249" s="36">
        <f>(($R249 / 240) * _xlfn.XLOOKUP($D249,'Milk Types Nutrition Per Cup'!A:A,'Milk Types Nutrition Per Cup'!E:E,0)) +(($S249 / 240)  * _xlfn.XLOOKUP($E249,'Milk Types Nutrition Per Cup'!A:A,'Milk Types Nutrition Per Cup'!E:E,0)) +(($T249 / 15)  * _xlfn.XLOOKUP($F249,'Liquid Mix In Nutrition'!A:A,'Liquid Mix In Nutrition'!E:E,0)) +(($U249 / 15)  * _xlfn.XLOOKUP($G249,'Liquid Mix In Nutrition'!A:A,'Liquid Mix In Nutrition'!E:E,0))+(($X249 / 100)  * _xlfn.XLOOKUP($J249,'Sweetener Mix In Nutrition'!A:A,'Sweetener Mix In Nutrition'!E:E,0))+(($Y249 / 100)  * _xlfn.XLOOKUP($K249,'Sweetener Mix In Nutrition'!A:A,'Sweetener Mix In Nutrition'!E:E,0))</f>
        <v>0</v>
      </c>
      <c r="AE249" s="37">
        <f>(($R249 / 240) * _xlfn.XLOOKUP($D249,'Milk Types Nutrition Per Cup'!A:A,'Milk Types Nutrition Per Cup'!C:C,0)) +(($S249 / 240)  * _xlfn.XLOOKUP($E249,'Milk Types Nutrition Per Cup'!A:A,'Milk Types Nutrition Per Cup'!C:C,0)) +(($T249 / 15)  * _xlfn.XLOOKUP($F249,'Liquid Mix In Nutrition'!A:A,'Liquid Mix In Nutrition'!C:C,0))+(($U249 / 15)  * _xlfn.XLOOKUP($G249,'Liquid Mix In Nutrition'!A:A,'Liquid Mix In Nutrition'!C:C,0))+(($V249 / MAX(1, _xlfn.XLOOKUP($H249,'Solid Mix In Nutrition'!A:A,'Solid Mix In Nutrition'!I:I,1)))  * _xlfn.XLOOKUP($H249,'Solid Mix In Nutrition'!A:A,'Solid Mix In Nutrition'!C:C,0))+(($W249 / MAX(1, _xlfn.XLOOKUP($I249,'Solid Mix In Nutrition'!A:A,'Solid Mix In Nutrition'!I:I,1)))  * _xlfn.XLOOKUP($I249,'Solid Mix In Nutrition'!A:A,'Solid Mix In Nutrition'!C:C,0))+(($X249 / 100)  * _xlfn.XLOOKUP($J249,'Sweetener Mix In Nutrition'!A:A,'Sweetener Mix In Nutrition'!C:C,0))+(($Y249 / 100)  * _xlfn.XLOOKUP($K249,'Sweetener Mix In Nutrition'!A:A,'Sweetener Mix In Nutrition'!C:C,0))</f>
        <v>0</v>
      </c>
      <c r="AF249" s="38" t="e">
        <f>$AE249 / (_xlfn.XLOOKUP($L249,Specs!A:A,Specs!B:B,0))</f>
        <v>#DIV/0!</v>
      </c>
      <c r="AG249" s="37" t="e">
        <f>60* ($AB249 / _xlfn.XLOOKUP($L249,Specs!A:A,Specs!B:B,0))</f>
        <v>#DIV/0!</v>
      </c>
      <c r="AH249" s="37" t="e">
        <f>60* (AC249 / _xlfn.XLOOKUP($L249,Specs!$A:$A,Specs!$B:$B,0))</f>
        <v>#DIV/0!</v>
      </c>
      <c r="AI249" s="37" t="e">
        <f>60* (AE249 / _xlfn.XLOOKUP($L249,Specs!$A:$A,Specs!$B:$B,0))</f>
        <v>#DIV/0!</v>
      </c>
      <c r="AJ249" s="39">
        <f>(($R249 / 240) * _xlfn.XLOOKUP($D249,'Milk Types Nutrition Per Cup'!A:A,'Milk Types Nutrition Per Cup'!F:F,0)) +(($S249 / 240)  * _xlfn.XLOOKUP($E249,'Milk Types Nutrition Per Cup'!A:A,'Milk Types Nutrition Per Cup'!F:F,0)) +(($T249 / 15)  * _xlfn.XLOOKUP($F249,'Liquid Mix In Nutrition'!A:A,'Liquid Mix In Nutrition'!F:F,0))+(($U249 / 15)  * _xlfn.XLOOKUP($G249,'Liquid Mix In Nutrition'!A:A,'Liquid Mix In Nutrition'!F:F,0))+(($V249 / MAX(1, _xlfn.XLOOKUP($H249,'Solid Mix In Nutrition'!A:A,'Solid Mix In Nutrition'!I:I,1)))  * _xlfn.XLOOKUP($H249,'Solid Mix In Nutrition'!A:A,'Solid Mix In Nutrition'!F:F,0))+(($W249 / MAX(1, _xlfn.XLOOKUP($I249,'Solid Mix In Nutrition'!A:A,'Solid Mix In Nutrition'!I:I,1)))  * _xlfn.XLOOKUP($I249,'Solid Mix In Nutrition'!A:A,'Solid Mix In Nutrition'!F:F,0))+(($X249 / 100)  * _xlfn.XLOOKUP($J249,'Sweetener Mix In Nutrition'!A:A,'Sweetener Mix In Nutrition'!F:F,0))+(($Y249 / 100)  * _xlfn.XLOOKUP($K249,'Sweetener Mix In Nutrition'!A:A,'Sweetener Mix In Nutrition'!F:F,0))</f>
        <v>0</v>
      </c>
      <c r="AK249" s="46">
        <f>[2]Sheet1!AG249</f>
        <v>0</v>
      </c>
      <c r="AL249" s="47"/>
      <c r="AM249" s="40">
        <f>IF(ISERROR(((AL249/Specs!$L$3)*Specs!$L$2)*2),0,ROUNDUP((((AL249/Specs!$L$3)*Specs!$L$2)*2),0))</f>
        <v>0</v>
      </c>
      <c r="AN249" s="48">
        <f>ROUNDUP(((AJ249+Specs!$R$2+Specs!$S$2+_xlfn.XLOOKUP($L249,Specs!A:A,Specs!V:V,0))*Specs!$N$2)+AM249,0)</f>
        <v>1</v>
      </c>
      <c r="AO249" s="40">
        <f>ROUNDUP(((AJ249+Specs!$R$2+Specs!$S$2+_xlfn.XLOOKUP($L249,Specs!A:A,Specs!V:V,0))*Specs!$N$2),0)</f>
        <v>1</v>
      </c>
      <c r="AP249" s="30"/>
    </row>
    <row r="250" spans="1:42" x14ac:dyDescent="0.25">
      <c r="A250" s="41" t="str">
        <f>_xlfn.CONCAT(_xlfn.XLOOKUP("What's Your Name?",[1]Sheet1!$1:$1,[1]Sheet1!250:250)," | ",TEXT(_xlfn.XLOOKUP("Completion time",[1]Sheet1!$1:$1,[1]Sheet1!250:250),"dddd, mmm dd, yyyy hh:mm AM/PM"))</f>
        <v xml:space="preserve"> | Saturday, Jan 00, 1900 12:00 AM</v>
      </c>
      <c r="B250" s="76">
        <f>_xlfn.XLOOKUP("What's Your Email Address?",[1]Sheet1!$1:$1,[1]Sheet1!250:250)</f>
        <v>0</v>
      </c>
      <c r="C250" s="31">
        <f>IF(ISBLANK(_xlfn.XLOOKUP("Which Flavor? (Pint Price | Quart Price | Half Gallon Price) (NOTE: Prices may fluctuate based on market conditions)",[1]Sheet1!$1:$1,[1]Sheet1!250:250)),_xlfn.XLOOKUP("Name Your Ice Cream!",[1]Sheet1!$1:$1,[1]Sheet1!250:250),IF(ISNUMBER(FIND("(", _xlfn.XLOOKUP("Which Flavor? (Pint Price | Quart Price | Half Gallon Price) (NOTE: Prices may fluctuate based on market conditions)",[1]Sheet1!$1:$1,[1]Sheet1!250:250))), LEFT(_xlfn.XLOOKUP("Which Flavor? (Pint Price | Quart Price | Half Gallon Price) (NOTE: Prices may fluctuate based on market conditions)",[1]Sheet1!$1:$1,[1]Sheet1!250:250), FIND("(", _xlfn.XLOOKUP("Which Flavor? (Pint Price | Quart Price | Half Gallon Price) (NOTE: Prices may fluctuate based on market conditions)",[1]Sheet1!$1:$1,[1]Sheet1!250:250)) - 1), _xlfn.XLOOKUP("Which Flavor? (Pint Price | Quart Price | Half Gallon Price) (NOTE: Prices may fluctuate based on market conditions)",[1]Sheet1!$1:$1,[1]Sheet1!250:250)))</f>
        <v>0</v>
      </c>
      <c r="D250" s="31">
        <f>IF(COUNTIF('Premade Flavors'!$A:$A, $C250) &gt; 0,IF(ISBLANK(_xlfn.XLOOKUP("What Ice Cream Base Do You Want To Change It To?",[1]Sheet1!$1:$1,[1]Sheet1!250:250)),_xlfn.XLOOKUP($C250,'Premade Flavors'!$A:$A,'Premade Flavors'!B:B),_xlfn.XLOOKUP("What Ice Cream Base Do You Want To Change It To?",[1]Sheet1!$1:$1,[1]Sheet1!250:250)),_xlfn.XLOOKUP(_xlfn.XLOOKUP("What Kind Of Ice Cream Base Do You Want? ",[1]Sheet1!$1:$1,[1]Sheet1!250:250),'Milk Types Nutrition Per Cup'!O:O,'Milk Types Nutrition Per Cup'!P:P,""))</f>
        <v>0</v>
      </c>
      <c r="E250" s="31">
        <f>IF(COUNTIF('Premade Flavors'!$A:$A, $C250) &gt; 0,IF(ISBLANK(_xlfn.XLOOKUP("What Ice Cream Base Do You Want To Change It To?",[1]Sheet1!$1:$1,[1]Sheet1!250:250)),_xlfn.XLOOKUP($C250,'Premade Flavors'!$A:$A,'Premade Flavors'!C:C),_xlfn.XLOOKUP("What Ice Cream Base Do You Want To Change It To?",[1]Sheet1!$1:$1,[1]Sheet1!250:250)),_xlfn.XLOOKUP(_xlfn.XLOOKUP("What Kind Of Ice Cream Base Do You Want? ",[1]Sheet1!$1:$1,[1]Sheet1!250:250),'Milk Types Nutrition Per Cup'!$O:$O,'Milk Types Nutrition Per Cup'!$Q:$Q,""))</f>
        <v>0</v>
      </c>
      <c r="F250" s="31">
        <f>IF(COUNTIF('Premade Flavors'!$A:$A, $C250) &gt; 0,_xlfn.XLOOKUP($C250,'Premade Flavors'!$A:$A,'Premade Flavors'!E:E),_xlfn.XLOOKUP("What's The First Flavor You Want? ",[1]Sheet1!$1:$1,[1]Sheet1!250:250))</f>
        <v>0</v>
      </c>
      <c r="G250" s="31">
        <f>IF(COUNTIF('Premade Flavors'!$A:$A, $C250) &gt; 0,_xlfn.XLOOKUP($C250,'Premade Flavors'!$A:$A,'Premade Flavors'!F:F),_xlfn.XLOOKUP("What's the Second Flavor You Want?",[1]Sheet1!$1:$1,[1]Sheet1!250:250))</f>
        <v>0</v>
      </c>
      <c r="H250" s="31">
        <f>IF(COUNTIF('Premade Flavors'!$A:$A, $C250) &gt; 0,_xlfn.XLOOKUP($C250,'Premade Flavors'!$A:$A,'Premade Flavors'!G:G),_xlfn.XLOOKUP("What's The First Mix In That You Want? ",[1]Sheet1!$1:$1,[1]Sheet1!250:250))</f>
        <v>0</v>
      </c>
      <c r="I250" s="31">
        <f>IF(COUNTIF('Premade Flavors'!$A:$A, $C248) &gt; 0,_xlfn.XLOOKUP($C248,'Premade Flavors'!$A:$A,'Premade Flavors'!H:H),IF([2]Sheet1!W248= 0,,[2]Sheet1!W248))</f>
        <v>0</v>
      </c>
      <c r="J250" s="31">
        <f>IF(COUNTIF('Premade Flavors'!$A:$A,$C250)&gt;0,IF(_xlfn.XLOOKUP("Should It Use Sugar or A Non-Sugar Sweetner?",[1]Sheet1!$1:$1,[1]Sheet1!250:250)="Sugar",_xlfn.XLOOKUP($C250,'Premade Flavors'!$A:$A,'Premade Flavors'!I:I),"Stevia"),_xlfn.XLOOKUP("What Sweetner Do You Want?",[1]Sheet1!$1:$1,[1]Sheet1!250:250))</f>
        <v>0</v>
      </c>
      <c r="K250" s="31"/>
      <c r="L250" s="77">
        <f>_xlfn.XLOOKUP("How Much Ice Cream Do You Want?",[1]Sheet1!$1:$1,[1]Sheet1!250:250)</f>
        <v>0</v>
      </c>
      <c r="M250" s="45">
        <f>IF(COUNTIF('Premade Flavors'!$A:$A, $C250) &gt; 0,_xlfn.XLOOKUP($C250,'Premade Flavors'!$A:$A,'Premade Flavors'!M:M),_xlfn.XLOOKUP("How Strong Do You Want The First Flavor?",[1]Sheet1!$1:$1,[1]Sheet1!250:250))</f>
        <v>0</v>
      </c>
      <c r="N250" s="45">
        <f>IF(COUNTIF('Premade Flavors'!$A:$A, $C250) &gt; 0,_xlfn.XLOOKUP($C250,'Premade Flavors'!$A:$A,'Premade Flavors'!N:N),_xlfn.XLOOKUP("How Strong Do You Want The Second Flavor?",[1]Sheet1!$1:$1,[1]Sheet1!250:250))</f>
        <v>0</v>
      </c>
      <c r="O250" s="45">
        <f>IF(COUNTIF('Premade Flavors'!$A:$A, $C250) &gt; 0,_xlfn.XLOOKUP($C250,'Premade Flavors'!$A:$A,'Premade Flavors'!O:O),_xlfn.XLOOKUP("How Dense Should the Mix Ins Be?",[1]Sheet1!$1:$1,[1]Sheet1!250:250))</f>
        <v>0</v>
      </c>
      <c r="P250" s="45">
        <f>IF(COUNTIF('Premade Flavors'!$A:$A, $C250) &gt; 0,_xlfn.XLOOKUP($C250,'Premade Flavors'!$A:$A,'Premade Flavors'!P:P),_xlfn.XLOOKUP("How Much Of The First Sweetner? ",[1]Sheet1!$1:$1,[1]Sheet1!250:250))</f>
        <v>0</v>
      </c>
      <c r="Q250" s="45">
        <f>IF(COUNTIF('Premade Flavors'!$A:$A, $C250) &gt; 0,_xlfn.XLOOKUP($C250,'Premade Flavors'!$A:$A,'Premade Flavors'!Q:Q),[2]Sheet1!S250)</f>
        <v>0</v>
      </c>
      <c r="R250" s="30">
        <f>(_xlfn.XLOOKUP($L250,Specs!A:A,Specs!B:B,0)-(IF(_xlfn.XLOOKUP($F250,'Liquid Mix In Nutrition'!A:A,'Liquid Mix In Nutrition'!J:J,0)="Yes",0,$T250))-(IF(_xlfn.XLOOKUP($G250,'Liquid Mix In Nutrition'!A:A,'Liquid Mix In Nutrition'!J:J,0)="Yes",0,$U250))-(($V250/MAX(1,_xlfn.XLOOKUP($H250,'Solid Mix In Nutrition'!A:A,'Solid Mix In Nutrition'!I:I,1)))*240)-(($W250/MAX(1,_xlfn.XLOOKUP($I250,'Solid Mix In Nutrition'!A:A,'Solid Mix In Nutrition'!I:I,1)))*240))*0.66</f>
        <v>0</v>
      </c>
      <c r="S250" s="30">
        <f>(_xlfn.XLOOKUP($L250,Specs!A:A,Specs!B:B,0)-(IF(_xlfn.XLOOKUP($F250,'Liquid Mix In Nutrition'!A:A,'Liquid Mix In Nutrition'!J:J,0)="Yes",0,$T250))-(IF(_xlfn.XLOOKUP($G250,'Liquid Mix In Nutrition'!A:A,'Liquid Mix In Nutrition'!J:J,0)="Yes",0,$U250))-(($V250/MAX(1,_xlfn.XLOOKUP($H250,'Solid Mix In Nutrition'!A:A,'Solid Mix In Nutrition'!I:I,1)))*240)-(($W250/MAX(1,_xlfn.XLOOKUP($I250,'Solid Mix In Nutrition'!A:A,'Solid Mix In Nutrition'!I:I,1)))*240))*0.33</f>
        <v>0</v>
      </c>
      <c r="T250" s="30">
        <f>_xlfn.XLOOKUP($M250,Specs!$D:$D,Specs!$E:$E,0)*15*_xlfn.XLOOKUP($L250,Specs!$A:$A,Specs!$C:$C,0)</f>
        <v>0</v>
      </c>
      <c r="U250" s="30">
        <f>_xlfn.XLOOKUP($N250,Specs!$D:$D,Specs!$E:$E,0)*15*_xlfn.XLOOKUP($L250,Specs!$A:$A,Specs!$C:$C,0)</f>
        <v>0</v>
      </c>
      <c r="V250" s="30">
        <f>( ((_xlfn.XLOOKUP($O250,Specs!$H:$H,Specs!$I:$I,0)*_xlfn.XLOOKUP($L250,Specs!$A:$A,Specs!$B:$B,0))/240) *_xlfn.XLOOKUP($H250,'Solid Mix In Nutrition'!A:A,'Solid Mix In Nutrition'!I:I,0)) *IF(AND(NOT($I250=0), COUNTA($I250)),0.5,1)</f>
        <v>0</v>
      </c>
      <c r="W250" s="30">
        <f>( ((_xlfn.XLOOKUP($O250,Specs!$H:$H,Specs!$I:$I,0)*_xlfn.XLOOKUP($L250,Specs!$A:$A,Specs!$B:$B,0))/240) *_xlfn.XLOOKUP($I250,'Solid Mix In Nutrition'!A:A,'Solid Mix In Nutrition'!I:I,0)) *IF(AND(NOT($I250=0), COUNTA($I250)),0.5,0)</f>
        <v>0</v>
      </c>
      <c r="X250" s="30">
        <f>_xlfn.XLOOKUP($P250,Specs!F:F,Specs!G:G,0)*_xlfn.XLOOKUP($J250,'Sweetener Mix In Nutrition'!A:A,'Sweetener Mix In Nutrition'!I:I,0)*_xlfn.XLOOKUP($L250,Specs!A:A,Specs!C:C,0)</f>
        <v>0</v>
      </c>
      <c r="Y250" s="30">
        <f>_xlfn.XLOOKUP($Q250,Specs!F:F,Specs!G:G,0)*_xlfn.XLOOKUP($K250,'Sweetener Mix In Nutrition'!A:A,'Sweetener Mix In Nutrition'!I:I,0)*_xlfn.XLOOKUP($L250,Specs!A:A,Specs!C:C,0)</f>
        <v>0</v>
      </c>
      <c r="Z250" s="34">
        <f t="shared" si="8"/>
        <v>0</v>
      </c>
      <c r="AA250" s="35">
        <f t="shared" si="9"/>
        <v>0</v>
      </c>
      <c r="AB250" s="36">
        <f>(($R250 / 240) * _xlfn.XLOOKUP($D250,'Milk Types Nutrition Per Cup'!A:A,'Milk Types Nutrition Per Cup'!B:B,0)) +(($S250 / 240)  * _xlfn.XLOOKUP($E250,'Milk Types Nutrition Per Cup'!A:A,'Milk Types Nutrition Per Cup'!B:B,0)) +(($T250 / 15)  * _xlfn.XLOOKUP($F250,'Liquid Mix In Nutrition'!A:A,'Liquid Mix In Nutrition'!B:B,0))+(($U250 / 15)  * _xlfn.XLOOKUP($G250,'Liquid Mix In Nutrition'!A:A,'Liquid Mix In Nutrition'!B:B,0))+(($V250 /MAX(1, _xlfn.XLOOKUP($H250,'Solid Mix In Nutrition'!A:A,'Solid Mix In Nutrition'!I:I,1)))  * _xlfn.XLOOKUP($H250,'Solid Mix In Nutrition'!A:A,'Solid Mix In Nutrition'!B:B,0))+(($W250 / MAX(1, _xlfn.XLOOKUP($I250,'Solid Mix In Nutrition'!A:A,'Solid Mix In Nutrition'!I:I,1))))+(($X250 / 100)  * _xlfn.XLOOKUP($J250,'Sweetener Mix In Nutrition'!A:A,'Sweetener Mix In Nutrition'!B:B,0))+(($Y250 / 100)  * _xlfn.XLOOKUP($K250,'Sweetener Mix In Nutrition'!A:A,'Sweetener Mix In Nutrition'!B:B,0))</f>
        <v>0</v>
      </c>
      <c r="AC250" s="36">
        <f>(($R250 / 240) * _xlfn.XLOOKUP($D250,'Milk Types Nutrition Per Cup'!A:A,'Milk Types Nutrition Per Cup'!E:E,0)) +(($S250 / 240)  * _xlfn.XLOOKUP($E250,'Milk Types Nutrition Per Cup'!A:A,'Milk Types Nutrition Per Cup'!E:E,0)) +(($T250 / 15)  * _xlfn.XLOOKUP($F250,'Liquid Mix In Nutrition'!A:A,'Liquid Mix In Nutrition'!E:E,0)) +(($U250 / 15)  * _xlfn.XLOOKUP($G250,'Liquid Mix In Nutrition'!A:A,'Liquid Mix In Nutrition'!E:E,0))+(($V250 / MAX(1, _xlfn.XLOOKUP($H250,'Solid Mix In Nutrition'!A:A,'Solid Mix In Nutrition'!I:I,1)))  * _xlfn.XLOOKUP($H250,'Solid Mix In Nutrition'!A:A,'Solid Mix In Nutrition'!E:E,0))+(($W250 / MAX(1, _xlfn.XLOOKUP($I250,'Solid Mix In Nutrition'!A:A,'Solid Mix In Nutrition'!I:I,1)))  * _xlfn.XLOOKUP($I250,'Solid Mix In Nutrition'!A:A,'Solid Mix In Nutrition'!G:G,0))+(($X250 / 100)  * _xlfn.XLOOKUP($J250,'Sweetener Mix In Nutrition'!A:A,'Sweetener Mix In Nutrition'!E:E,0))+(($Y250 / 100)  * _xlfn.XLOOKUP($K250,'Sweetener Mix In Nutrition'!A:A,'Sweetener Mix In Nutrition'!E:E,0))</f>
        <v>0</v>
      </c>
      <c r="AD250" s="36">
        <f>(($R250 / 240) * _xlfn.XLOOKUP($D250,'Milk Types Nutrition Per Cup'!A:A,'Milk Types Nutrition Per Cup'!E:E,0)) +(($S250 / 240)  * _xlfn.XLOOKUP($E250,'Milk Types Nutrition Per Cup'!A:A,'Milk Types Nutrition Per Cup'!E:E,0)) +(($T250 / 15)  * _xlfn.XLOOKUP($F250,'Liquid Mix In Nutrition'!A:A,'Liquid Mix In Nutrition'!E:E,0)) +(($U250 / 15)  * _xlfn.XLOOKUP($G250,'Liquid Mix In Nutrition'!A:A,'Liquid Mix In Nutrition'!E:E,0))+(($X250 / 100)  * _xlfn.XLOOKUP($J250,'Sweetener Mix In Nutrition'!A:A,'Sweetener Mix In Nutrition'!E:E,0))+(($Y250 / 100)  * _xlfn.XLOOKUP($K250,'Sweetener Mix In Nutrition'!A:A,'Sweetener Mix In Nutrition'!E:E,0))</f>
        <v>0</v>
      </c>
      <c r="AE250" s="37">
        <f>(($R250 / 240) * _xlfn.XLOOKUP($D250,'Milk Types Nutrition Per Cup'!A:A,'Milk Types Nutrition Per Cup'!C:C,0)) +(($S250 / 240)  * _xlfn.XLOOKUP($E250,'Milk Types Nutrition Per Cup'!A:A,'Milk Types Nutrition Per Cup'!C:C,0)) +(($T250 / 15)  * _xlfn.XLOOKUP($F250,'Liquid Mix In Nutrition'!A:A,'Liquid Mix In Nutrition'!C:C,0))+(($U250 / 15)  * _xlfn.XLOOKUP($G250,'Liquid Mix In Nutrition'!A:A,'Liquid Mix In Nutrition'!C:C,0))+(($V250 / MAX(1, _xlfn.XLOOKUP($H250,'Solid Mix In Nutrition'!A:A,'Solid Mix In Nutrition'!I:I,1)))  * _xlfn.XLOOKUP($H250,'Solid Mix In Nutrition'!A:A,'Solid Mix In Nutrition'!C:C,0))+(($W250 / MAX(1, _xlfn.XLOOKUP($I250,'Solid Mix In Nutrition'!A:A,'Solid Mix In Nutrition'!I:I,1)))  * _xlfn.XLOOKUP($I250,'Solid Mix In Nutrition'!A:A,'Solid Mix In Nutrition'!C:C,0))+(($X250 / 100)  * _xlfn.XLOOKUP($J250,'Sweetener Mix In Nutrition'!A:A,'Sweetener Mix In Nutrition'!C:C,0))+(($Y250 / 100)  * _xlfn.XLOOKUP($K250,'Sweetener Mix In Nutrition'!A:A,'Sweetener Mix In Nutrition'!C:C,0))</f>
        <v>0</v>
      </c>
      <c r="AF250" s="38" t="e">
        <f>$AE250 / (_xlfn.XLOOKUP($L250,Specs!A:A,Specs!B:B,0))</f>
        <v>#DIV/0!</v>
      </c>
      <c r="AG250" s="37" t="e">
        <f>60* ($AB250 / _xlfn.XLOOKUP($L250,Specs!A:A,Specs!B:B,0))</f>
        <v>#DIV/0!</v>
      </c>
      <c r="AH250" s="37" t="e">
        <f>60* (AC250 / _xlfn.XLOOKUP($L250,Specs!$A:$A,Specs!$B:$B,0))</f>
        <v>#DIV/0!</v>
      </c>
      <c r="AI250" s="37" t="e">
        <f>60* (AE250 / _xlfn.XLOOKUP($L250,Specs!$A:$A,Specs!$B:$B,0))</f>
        <v>#DIV/0!</v>
      </c>
      <c r="AJ250" s="39">
        <f>(($R250 / 240) * _xlfn.XLOOKUP($D250,'Milk Types Nutrition Per Cup'!A:A,'Milk Types Nutrition Per Cup'!F:F,0)) +(($S250 / 240)  * _xlfn.XLOOKUP($E250,'Milk Types Nutrition Per Cup'!A:A,'Milk Types Nutrition Per Cup'!F:F,0)) +(($T250 / 15)  * _xlfn.XLOOKUP($F250,'Liquid Mix In Nutrition'!A:A,'Liquid Mix In Nutrition'!F:F,0))+(($U250 / 15)  * _xlfn.XLOOKUP($G250,'Liquid Mix In Nutrition'!A:A,'Liquid Mix In Nutrition'!F:F,0))+(($V250 / MAX(1, _xlfn.XLOOKUP($H250,'Solid Mix In Nutrition'!A:A,'Solid Mix In Nutrition'!I:I,1)))  * _xlfn.XLOOKUP($H250,'Solid Mix In Nutrition'!A:A,'Solid Mix In Nutrition'!F:F,0))+(($W250 / MAX(1, _xlfn.XLOOKUP($I250,'Solid Mix In Nutrition'!A:A,'Solid Mix In Nutrition'!I:I,1)))  * _xlfn.XLOOKUP($I250,'Solid Mix In Nutrition'!A:A,'Solid Mix In Nutrition'!F:F,0))+(($X250 / 100)  * _xlfn.XLOOKUP($J250,'Sweetener Mix In Nutrition'!A:A,'Sweetener Mix In Nutrition'!F:F,0))+(($Y250 / 100)  * _xlfn.XLOOKUP($K250,'Sweetener Mix In Nutrition'!A:A,'Sweetener Mix In Nutrition'!F:F,0))</f>
        <v>0</v>
      </c>
      <c r="AK250" s="46">
        <f>[2]Sheet1!AG250</f>
        <v>0</v>
      </c>
      <c r="AL250" s="47"/>
      <c r="AM250" s="40">
        <f>IF(ISERROR(((AL250/Specs!$L$3)*Specs!$L$2)*2),0,ROUNDUP((((AL250/Specs!$L$3)*Specs!$L$2)*2),0))</f>
        <v>0</v>
      </c>
      <c r="AN250" s="48">
        <f>ROUNDUP(((AJ250+Specs!$R$2+Specs!$S$2+_xlfn.XLOOKUP($L250,Specs!A:A,Specs!V:V,0))*Specs!$N$2)+AM250,0)</f>
        <v>1</v>
      </c>
      <c r="AO250" s="40">
        <f>ROUNDUP(((AJ250+Specs!$R$2+Specs!$S$2+_xlfn.XLOOKUP($L250,Specs!A:A,Specs!V:V,0))*Specs!$N$2),0)</f>
        <v>1</v>
      </c>
      <c r="AP250" s="30"/>
    </row>
    <row r="251" spans="1:42" x14ac:dyDescent="0.25">
      <c r="A251" s="41" t="str">
        <f>_xlfn.CONCAT(_xlfn.XLOOKUP("What's Your Name?",[1]Sheet1!$1:$1,[1]Sheet1!251:251)," | ",TEXT(_xlfn.XLOOKUP("Completion time",[1]Sheet1!$1:$1,[1]Sheet1!251:251),"dddd, mmm dd, yyyy hh:mm AM/PM"))</f>
        <v xml:space="preserve"> | Saturday, Jan 00, 1900 12:00 AM</v>
      </c>
      <c r="B251" s="76">
        <f>_xlfn.XLOOKUP("What's Your Email Address?",[1]Sheet1!$1:$1,[1]Sheet1!251:251)</f>
        <v>0</v>
      </c>
      <c r="C251" s="31">
        <f>IF(ISBLANK(_xlfn.XLOOKUP("Which Flavor? (Pint Price | Quart Price | Half Gallon Price) (NOTE: Prices may fluctuate based on market conditions)",[1]Sheet1!$1:$1,[1]Sheet1!251:251)),_xlfn.XLOOKUP("Name Your Ice Cream!",[1]Sheet1!$1:$1,[1]Sheet1!251:251),IF(ISNUMBER(FIND("(", _xlfn.XLOOKUP("Which Flavor? (Pint Price | Quart Price | Half Gallon Price) (NOTE: Prices may fluctuate based on market conditions)",[1]Sheet1!$1:$1,[1]Sheet1!251:251))), LEFT(_xlfn.XLOOKUP("Which Flavor? (Pint Price | Quart Price | Half Gallon Price) (NOTE: Prices may fluctuate based on market conditions)",[1]Sheet1!$1:$1,[1]Sheet1!251:251), FIND("(", _xlfn.XLOOKUP("Which Flavor? (Pint Price | Quart Price | Half Gallon Price) (NOTE: Prices may fluctuate based on market conditions)",[1]Sheet1!$1:$1,[1]Sheet1!251:251)) - 1), _xlfn.XLOOKUP("Which Flavor? (Pint Price | Quart Price | Half Gallon Price) (NOTE: Prices may fluctuate based on market conditions)",[1]Sheet1!$1:$1,[1]Sheet1!251:251)))</f>
        <v>0</v>
      </c>
      <c r="D251" s="31">
        <f>IF(COUNTIF('Premade Flavors'!$A:$A, $C251) &gt; 0,IF(ISBLANK(_xlfn.XLOOKUP("What Ice Cream Base Do You Want To Change It To?",[1]Sheet1!$1:$1,[1]Sheet1!251:251)),_xlfn.XLOOKUP($C251,'Premade Flavors'!$A:$A,'Premade Flavors'!B:B),_xlfn.XLOOKUP("What Ice Cream Base Do You Want To Change It To?",[1]Sheet1!$1:$1,[1]Sheet1!251:251)),_xlfn.XLOOKUP(_xlfn.XLOOKUP("What Kind Of Ice Cream Base Do You Want? ",[1]Sheet1!$1:$1,[1]Sheet1!251:251),'Milk Types Nutrition Per Cup'!O:O,'Milk Types Nutrition Per Cup'!P:P,""))</f>
        <v>0</v>
      </c>
      <c r="E251" s="31">
        <f>IF(COUNTIF('Premade Flavors'!$A:$A, $C251) &gt; 0,IF(ISBLANK(_xlfn.XLOOKUP("What Ice Cream Base Do You Want To Change It To?",[1]Sheet1!$1:$1,[1]Sheet1!251:251)),_xlfn.XLOOKUP($C251,'Premade Flavors'!$A:$A,'Premade Flavors'!C:C),_xlfn.XLOOKUP("What Ice Cream Base Do You Want To Change It To?",[1]Sheet1!$1:$1,[1]Sheet1!251:251)),_xlfn.XLOOKUP(_xlfn.XLOOKUP("What Kind Of Ice Cream Base Do You Want? ",[1]Sheet1!$1:$1,[1]Sheet1!251:251),'Milk Types Nutrition Per Cup'!$O:$O,'Milk Types Nutrition Per Cup'!$Q:$Q,""))</f>
        <v>0</v>
      </c>
      <c r="F251" s="31">
        <f>IF(COUNTIF('Premade Flavors'!$A:$A, $C251) &gt; 0,_xlfn.XLOOKUP($C251,'Premade Flavors'!$A:$A,'Premade Flavors'!E:E),_xlfn.XLOOKUP("What's The First Flavor You Want? ",[1]Sheet1!$1:$1,[1]Sheet1!251:251))</f>
        <v>0</v>
      </c>
      <c r="G251" s="31">
        <f>IF(COUNTIF('Premade Flavors'!$A:$A, $C251) &gt; 0,_xlfn.XLOOKUP($C251,'Premade Flavors'!$A:$A,'Premade Flavors'!F:F),_xlfn.XLOOKUP("What's the Second Flavor You Want?",[1]Sheet1!$1:$1,[1]Sheet1!251:251))</f>
        <v>0</v>
      </c>
      <c r="H251" s="31">
        <f>IF(COUNTIF('Premade Flavors'!$A:$A, $C251) &gt; 0,_xlfn.XLOOKUP($C251,'Premade Flavors'!$A:$A,'Premade Flavors'!G:G),_xlfn.XLOOKUP("What's The First Mix In That You Want? ",[1]Sheet1!$1:$1,[1]Sheet1!251:251))</f>
        <v>0</v>
      </c>
      <c r="I251" s="31">
        <f>IF(COUNTIF('Premade Flavors'!$A:$A, $C249) &gt; 0,_xlfn.XLOOKUP($C249,'Premade Flavors'!$A:$A,'Premade Flavors'!H:H),IF([2]Sheet1!W249= 0,,[2]Sheet1!W249))</f>
        <v>0</v>
      </c>
      <c r="J251" s="31">
        <f>IF(COUNTIF('Premade Flavors'!$A:$A,$C251)&gt;0,IF(_xlfn.XLOOKUP("Should It Use Sugar or A Non-Sugar Sweetner?",[1]Sheet1!$1:$1,[1]Sheet1!251:251)="Sugar",_xlfn.XLOOKUP($C251,'Premade Flavors'!$A:$A,'Premade Flavors'!I:I),"Stevia"),_xlfn.XLOOKUP("What Sweetner Do You Want?",[1]Sheet1!$1:$1,[1]Sheet1!251:251))</f>
        <v>0</v>
      </c>
      <c r="K251" s="31"/>
      <c r="L251" s="77">
        <f>_xlfn.XLOOKUP("How Much Ice Cream Do You Want?",[1]Sheet1!$1:$1,[1]Sheet1!251:251)</f>
        <v>0</v>
      </c>
      <c r="M251" s="45">
        <f>IF(COUNTIF('Premade Flavors'!$A:$A, $C251) &gt; 0,_xlfn.XLOOKUP($C251,'Premade Flavors'!$A:$A,'Premade Flavors'!M:M),_xlfn.XLOOKUP("How Strong Do You Want The First Flavor?",[1]Sheet1!$1:$1,[1]Sheet1!251:251))</f>
        <v>0</v>
      </c>
      <c r="N251" s="45">
        <f>IF(COUNTIF('Premade Flavors'!$A:$A, $C251) &gt; 0,_xlfn.XLOOKUP($C251,'Premade Flavors'!$A:$A,'Premade Flavors'!N:N),_xlfn.XLOOKUP("How Strong Do You Want The Second Flavor?",[1]Sheet1!$1:$1,[1]Sheet1!251:251))</f>
        <v>0</v>
      </c>
      <c r="O251" s="45">
        <f>IF(COUNTIF('Premade Flavors'!$A:$A, $C251) &gt; 0,_xlfn.XLOOKUP($C251,'Premade Flavors'!$A:$A,'Premade Flavors'!O:O),_xlfn.XLOOKUP("How Dense Should the Mix Ins Be?",[1]Sheet1!$1:$1,[1]Sheet1!251:251))</f>
        <v>0</v>
      </c>
      <c r="P251" s="45">
        <f>IF(COUNTIF('Premade Flavors'!$A:$A, $C251) &gt; 0,_xlfn.XLOOKUP($C251,'Premade Flavors'!$A:$A,'Premade Flavors'!P:P),_xlfn.XLOOKUP("How Much Of The First Sweetner? ",[1]Sheet1!$1:$1,[1]Sheet1!251:251))</f>
        <v>0</v>
      </c>
      <c r="Q251" s="45">
        <f>IF(COUNTIF('Premade Flavors'!$A:$A, $C251) &gt; 0,_xlfn.XLOOKUP($C251,'Premade Flavors'!$A:$A,'Premade Flavors'!Q:Q),[2]Sheet1!S251)</f>
        <v>0</v>
      </c>
      <c r="R251" s="30">
        <f>(_xlfn.XLOOKUP($L251,Specs!A:A,Specs!B:B,0)-(IF(_xlfn.XLOOKUP($F251,'Liquid Mix In Nutrition'!A:A,'Liquid Mix In Nutrition'!J:J,0)="Yes",0,$T251))-(IF(_xlfn.XLOOKUP($G251,'Liquid Mix In Nutrition'!A:A,'Liquid Mix In Nutrition'!J:J,0)="Yes",0,$U251))-(($V251/MAX(1,_xlfn.XLOOKUP($H251,'Solid Mix In Nutrition'!A:A,'Solid Mix In Nutrition'!I:I,1)))*240)-(($W251/MAX(1,_xlfn.XLOOKUP($I251,'Solid Mix In Nutrition'!A:A,'Solid Mix In Nutrition'!I:I,1)))*240))*0.66</f>
        <v>0</v>
      </c>
      <c r="S251" s="30">
        <f>(_xlfn.XLOOKUP($L251,Specs!A:A,Specs!B:B,0)-(IF(_xlfn.XLOOKUP($F251,'Liquid Mix In Nutrition'!A:A,'Liquid Mix In Nutrition'!J:J,0)="Yes",0,$T251))-(IF(_xlfn.XLOOKUP($G251,'Liquid Mix In Nutrition'!A:A,'Liquid Mix In Nutrition'!J:J,0)="Yes",0,$U251))-(($V251/MAX(1,_xlfn.XLOOKUP($H251,'Solid Mix In Nutrition'!A:A,'Solid Mix In Nutrition'!I:I,1)))*240)-(($W251/MAX(1,_xlfn.XLOOKUP($I251,'Solid Mix In Nutrition'!A:A,'Solid Mix In Nutrition'!I:I,1)))*240))*0.33</f>
        <v>0</v>
      </c>
      <c r="T251" s="30">
        <f>_xlfn.XLOOKUP($M251,Specs!$D:$D,Specs!$E:$E,0)*15*_xlfn.XLOOKUP($L251,Specs!$A:$A,Specs!$C:$C,0)</f>
        <v>0</v>
      </c>
      <c r="U251" s="30">
        <f>_xlfn.XLOOKUP($N251,Specs!$D:$D,Specs!$E:$E,0)*15*_xlfn.XLOOKUP($L251,Specs!$A:$A,Specs!$C:$C,0)</f>
        <v>0</v>
      </c>
      <c r="V251" s="30">
        <f>( ((_xlfn.XLOOKUP($O251,Specs!$H:$H,Specs!$I:$I,0)*_xlfn.XLOOKUP($L251,Specs!$A:$A,Specs!$B:$B,0))/240) *_xlfn.XLOOKUP($H251,'Solid Mix In Nutrition'!A:A,'Solid Mix In Nutrition'!I:I,0)) *IF(AND(NOT($I251=0), COUNTA($I251)),0.5,1)</f>
        <v>0</v>
      </c>
      <c r="W251" s="30">
        <f>( ((_xlfn.XLOOKUP($O251,Specs!$H:$H,Specs!$I:$I,0)*_xlfn.XLOOKUP($L251,Specs!$A:$A,Specs!$B:$B,0))/240) *_xlfn.XLOOKUP($I251,'Solid Mix In Nutrition'!A:A,'Solid Mix In Nutrition'!I:I,0)) *IF(AND(NOT($I251=0), COUNTA($I251)),0.5,0)</f>
        <v>0</v>
      </c>
      <c r="X251" s="30">
        <f>_xlfn.XLOOKUP($P251,Specs!F:F,Specs!G:G,0)*_xlfn.XLOOKUP($J251,'Sweetener Mix In Nutrition'!A:A,'Sweetener Mix In Nutrition'!I:I,0)*_xlfn.XLOOKUP($L251,Specs!A:A,Specs!C:C,0)</f>
        <v>0</v>
      </c>
      <c r="Y251" s="30">
        <f>_xlfn.XLOOKUP($Q251,Specs!F:F,Specs!G:G,0)*_xlfn.XLOOKUP($K251,'Sweetener Mix In Nutrition'!A:A,'Sweetener Mix In Nutrition'!I:I,0)*_xlfn.XLOOKUP($L251,Specs!A:A,Specs!C:C,0)</f>
        <v>0</v>
      </c>
      <c r="Z251" s="34">
        <f t="shared" si="8"/>
        <v>0</v>
      </c>
      <c r="AA251" s="35">
        <f t="shared" si="9"/>
        <v>0</v>
      </c>
      <c r="AB251" s="36">
        <f>(($R251 / 240) * _xlfn.XLOOKUP($D251,'Milk Types Nutrition Per Cup'!A:A,'Milk Types Nutrition Per Cup'!B:B,0)) +(($S251 / 240)  * _xlfn.XLOOKUP($E251,'Milk Types Nutrition Per Cup'!A:A,'Milk Types Nutrition Per Cup'!B:B,0)) +(($T251 / 15)  * _xlfn.XLOOKUP($F251,'Liquid Mix In Nutrition'!A:A,'Liquid Mix In Nutrition'!B:B,0))+(($U251 / 15)  * _xlfn.XLOOKUP($G251,'Liquid Mix In Nutrition'!A:A,'Liquid Mix In Nutrition'!B:B,0))+(($V251 /MAX(1, _xlfn.XLOOKUP($H251,'Solid Mix In Nutrition'!A:A,'Solid Mix In Nutrition'!I:I,1)))  * _xlfn.XLOOKUP($H251,'Solid Mix In Nutrition'!A:A,'Solid Mix In Nutrition'!B:B,0))+(($W251 / MAX(1, _xlfn.XLOOKUP($I251,'Solid Mix In Nutrition'!A:A,'Solid Mix In Nutrition'!I:I,1))))+(($X251 / 100)  * _xlfn.XLOOKUP($J251,'Sweetener Mix In Nutrition'!A:A,'Sweetener Mix In Nutrition'!B:B,0))+(($Y251 / 100)  * _xlfn.XLOOKUP($K251,'Sweetener Mix In Nutrition'!A:A,'Sweetener Mix In Nutrition'!B:B,0))</f>
        <v>0</v>
      </c>
      <c r="AC251" s="36">
        <f>(($R251 / 240) * _xlfn.XLOOKUP($D251,'Milk Types Nutrition Per Cup'!A:A,'Milk Types Nutrition Per Cup'!E:E,0)) +(($S251 / 240)  * _xlfn.XLOOKUP($E251,'Milk Types Nutrition Per Cup'!A:A,'Milk Types Nutrition Per Cup'!E:E,0)) +(($T251 / 15)  * _xlfn.XLOOKUP($F251,'Liquid Mix In Nutrition'!A:A,'Liquid Mix In Nutrition'!E:E,0)) +(($U251 / 15)  * _xlfn.XLOOKUP($G251,'Liquid Mix In Nutrition'!A:A,'Liquid Mix In Nutrition'!E:E,0))+(($V251 / MAX(1, _xlfn.XLOOKUP($H251,'Solid Mix In Nutrition'!A:A,'Solid Mix In Nutrition'!I:I,1)))  * _xlfn.XLOOKUP($H251,'Solid Mix In Nutrition'!A:A,'Solid Mix In Nutrition'!E:E,0))+(($W251 / MAX(1, _xlfn.XLOOKUP($I251,'Solid Mix In Nutrition'!A:A,'Solid Mix In Nutrition'!I:I,1)))  * _xlfn.XLOOKUP($I251,'Solid Mix In Nutrition'!A:A,'Solid Mix In Nutrition'!G:G,0))+(($X251 / 100)  * _xlfn.XLOOKUP($J251,'Sweetener Mix In Nutrition'!A:A,'Sweetener Mix In Nutrition'!E:E,0))+(($Y251 / 100)  * _xlfn.XLOOKUP($K251,'Sweetener Mix In Nutrition'!A:A,'Sweetener Mix In Nutrition'!E:E,0))</f>
        <v>0</v>
      </c>
      <c r="AD251" s="36">
        <f>(($R251 / 240) * _xlfn.XLOOKUP($D251,'Milk Types Nutrition Per Cup'!A:A,'Milk Types Nutrition Per Cup'!E:E,0)) +(($S251 / 240)  * _xlfn.XLOOKUP($E251,'Milk Types Nutrition Per Cup'!A:A,'Milk Types Nutrition Per Cup'!E:E,0)) +(($T251 / 15)  * _xlfn.XLOOKUP($F251,'Liquid Mix In Nutrition'!A:A,'Liquid Mix In Nutrition'!E:E,0)) +(($U251 / 15)  * _xlfn.XLOOKUP($G251,'Liquid Mix In Nutrition'!A:A,'Liquid Mix In Nutrition'!E:E,0))+(($X251 / 100)  * _xlfn.XLOOKUP($J251,'Sweetener Mix In Nutrition'!A:A,'Sweetener Mix In Nutrition'!E:E,0))+(($Y251 / 100)  * _xlfn.XLOOKUP($K251,'Sweetener Mix In Nutrition'!A:A,'Sweetener Mix In Nutrition'!E:E,0))</f>
        <v>0</v>
      </c>
      <c r="AE251" s="37">
        <f>(($R251 / 240) * _xlfn.XLOOKUP($D251,'Milk Types Nutrition Per Cup'!A:A,'Milk Types Nutrition Per Cup'!C:C,0)) +(($S251 / 240)  * _xlfn.XLOOKUP($E251,'Milk Types Nutrition Per Cup'!A:A,'Milk Types Nutrition Per Cup'!C:C,0)) +(($T251 / 15)  * _xlfn.XLOOKUP($F251,'Liquid Mix In Nutrition'!A:A,'Liquid Mix In Nutrition'!C:C,0))+(($U251 / 15)  * _xlfn.XLOOKUP($G251,'Liquid Mix In Nutrition'!A:A,'Liquid Mix In Nutrition'!C:C,0))+(($V251 / MAX(1, _xlfn.XLOOKUP($H251,'Solid Mix In Nutrition'!A:A,'Solid Mix In Nutrition'!I:I,1)))  * _xlfn.XLOOKUP($H251,'Solid Mix In Nutrition'!A:A,'Solid Mix In Nutrition'!C:C,0))+(($W251 / MAX(1, _xlfn.XLOOKUP($I251,'Solid Mix In Nutrition'!A:A,'Solid Mix In Nutrition'!I:I,1)))  * _xlfn.XLOOKUP($I251,'Solid Mix In Nutrition'!A:A,'Solid Mix In Nutrition'!C:C,0))+(($X251 / 100)  * _xlfn.XLOOKUP($J251,'Sweetener Mix In Nutrition'!A:A,'Sweetener Mix In Nutrition'!C:C,0))+(($Y251 / 100)  * _xlfn.XLOOKUP($K251,'Sweetener Mix In Nutrition'!A:A,'Sweetener Mix In Nutrition'!C:C,0))</f>
        <v>0</v>
      </c>
      <c r="AF251" s="38" t="e">
        <f>$AE251 / (_xlfn.XLOOKUP($L251,Specs!A:A,Specs!B:B,0))</f>
        <v>#DIV/0!</v>
      </c>
      <c r="AG251" s="37" t="e">
        <f>60* ($AB251 / _xlfn.XLOOKUP($L251,Specs!A:A,Specs!B:B,0))</f>
        <v>#DIV/0!</v>
      </c>
      <c r="AH251" s="37" t="e">
        <f>60* (AC251 / _xlfn.XLOOKUP($L251,Specs!$A:$A,Specs!$B:$B,0))</f>
        <v>#DIV/0!</v>
      </c>
      <c r="AI251" s="37" t="e">
        <f>60* (AE251 / _xlfn.XLOOKUP($L251,Specs!$A:$A,Specs!$B:$B,0))</f>
        <v>#DIV/0!</v>
      </c>
      <c r="AJ251" s="39">
        <f>(($R251 / 240) * _xlfn.XLOOKUP($D251,'Milk Types Nutrition Per Cup'!A:A,'Milk Types Nutrition Per Cup'!F:F,0)) +(($S251 / 240)  * _xlfn.XLOOKUP($E251,'Milk Types Nutrition Per Cup'!A:A,'Milk Types Nutrition Per Cup'!F:F,0)) +(($T251 / 15)  * _xlfn.XLOOKUP($F251,'Liquid Mix In Nutrition'!A:A,'Liquid Mix In Nutrition'!F:F,0))+(($U251 / 15)  * _xlfn.XLOOKUP($G251,'Liquid Mix In Nutrition'!A:A,'Liquid Mix In Nutrition'!F:F,0))+(($V251 / MAX(1, _xlfn.XLOOKUP($H251,'Solid Mix In Nutrition'!A:A,'Solid Mix In Nutrition'!I:I,1)))  * _xlfn.XLOOKUP($H251,'Solid Mix In Nutrition'!A:A,'Solid Mix In Nutrition'!F:F,0))+(($W251 / MAX(1, _xlfn.XLOOKUP($I251,'Solid Mix In Nutrition'!A:A,'Solid Mix In Nutrition'!I:I,1)))  * _xlfn.XLOOKUP($I251,'Solid Mix In Nutrition'!A:A,'Solid Mix In Nutrition'!F:F,0))+(($X251 / 100)  * _xlfn.XLOOKUP($J251,'Sweetener Mix In Nutrition'!A:A,'Sweetener Mix In Nutrition'!F:F,0))+(($Y251 / 100)  * _xlfn.XLOOKUP($K251,'Sweetener Mix In Nutrition'!A:A,'Sweetener Mix In Nutrition'!F:F,0))</f>
        <v>0</v>
      </c>
      <c r="AK251" s="46">
        <f>[2]Sheet1!AG251</f>
        <v>0</v>
      </c>
      <c r="AL251" s="47"/>
      <c r="AM251" s="40">
        <f>IF(ISERROR(((AL251/Specs!$L$3)*Specs!$L$2)*2),0,ROUNDUP((((AL251/Specs!$L$3)*Specs!$L$2)*2),0))</f>
        <v>0</v>
      </c>
      <c r="AN251" s="48">
        <f>ROUNDUP(((AJ251+Specs!$R$2+Specs!$S$2+_xlfn.XLOOKUP($L251,Specs!A:A,Specs!V:V,0))*Specs!$N$2)+AM251,0)</f>
        <v>1</v>
      </c>
      <c r="AO251" s="40">
        <f>ROUNDUP(((AJ251+Specs!$R$2+Specs!$S$2+_xlfn.XLOOKUP($L251,Specs!A:A,Specs!V:V,0))*Specs!$N$2),0)</f>
        <v>1</v>
      </c>
      <c r="AP251" s="30"/>
    </row>
    <row r="252" spans="1:42" x14ac:dyDescent="0.25">
      <c r="A252" s="41" t="str">
        <f>_xlfn.CONCAT(_xlfn.XLOOKUP("What's Your Name?",[1]Sheet1!$1:$1,[1]Sheet1!252:252)," | ",TEXT(_xlfn.XLOOKUP("Completion time",[1]Sheet1!$1:$1,[1]Sheet1!252:252),"dddd, mmm dd, yyyy hh:mm AM/PM"))</f>
        <v xml:space="preserve"> | Saturday, Jan 00, 1900 12:00 AM</v>
      </c>
      <c r="B252" s="76">
        <f>_xlfn.XLOOKUP("What's Your Email Address?",[1]Sheet1!$1:$1,[1]Sheet1!252:252)</f>
        <v>0</v>
      </c>
      <c r="C252" s="31">
        <f>IF(ISBLANK(_xlfn.XLOOKUP("Which Flavor? (Pint Price | Quart Price | Half Gallon Price) (NOTE: Prices may fluctuate based on market conditions)",[1]Sheet1!$1:$1,[1]Sheet1!252:252)),_xlfn.XLOOKUP("Name Your Ice Cream!",[1]Sheet1!$1:$1,[1]Sheet1!252:252),IF(ISNUMBER(FIND("(", _xlfn.XLOOKUP("Which Flavor? (Pint Price | Quart Price | Half Gallon Price) (NOTE: Prices may fluctuate based on market conditions)",[1]Sheet1!$1:$1,[1]Sheet1!252:252))), LEFT(_xlfn.XLOOKUP("Which Flavor? (Pint Price | Quart Price | Half Gallon Price) (NOTE: Prices may fluctuate based on market conditions)",[1]Sheet1!$1:$1,[1]Sheet1!252:252), FIND("(", _xlfn.XLOOKUP("Which Flavor? (Pint Price | Quart Price | Half Gallon Price) (NOTE: Prices may fluctuate based on market conditions)",[1]Sheet1!$1:$1,[1]Sheet1!252:252)) - 1), _xlfn.XLOOKUP("Which Flavor? (Pint Price | Quart Price | Half Gallon Price) (NOTE: Prices may fluctuate based on market conditions)",[1]Sheet1!$1:$1,[1]Sheet1!252:252)))</f>
        <v>0</v>
      </c>
      <c r="D252" s="31">
        <f>IF(COUNTIF('Premade Flavors'!$A:$A, $C252) &gt; 0,IF(ISBLANK(_xlfn.XLOOKUP("What Ice Cream Base Do You Want To Change It To?",[1]Sheet1!$1:$1,[1]Sheet1!252:252)),_xlfn.XLOOKUP($C252,'Premade Flavors'!$A:$A,'Premade Flavors'!B:B),_xlfn.XLOOKUP("What Ice Cream Base Do You Want To Change It To?",[1]Sheet1!$1:$1,[1]Sheet1!252:252)),_xlfn.XLOOKUP(_xlfn.XLOOKUP("What Kind Of Ice Cream Base Do You Want? ",[1]Sheet1!$1:$1,[1]Sheet1!252:252),'Milk Types Nutrition Per Cup'!O:O,'Milk Types Nutrition Per Cup'!P:P,""))</f>
        <v>0</v>
      </c>
      <c r="E252" s="31">
        <f>IF(COUNTIF('Premade Flavors'!$A:$A, $C252) &gt; 0,IF(ISBLANK(_xlfn.XLOOKUP("What Ice Cream Base Do You Want To Change It To?",[1]Sheet1!$1:$1,[1]Sheet1!252:252)),_xlfn.XLOOKUP($C252,'Premade Flavors'!$A:$A,'Premade Flavors'!C:C),_xlfn.XLOOKUP("What Ice Cream Base Do You Want To Change It To?",[1]Sheet1!$1:$1,[1]Sheet1!252:252)),_xlfn.XLOOKUP(_xlfn.XLOOKUP("What Kind Of Ice Cream Base Do You Want? ",[1]Sheet1!$1:$1,[1]Sheet1!252:252),'Milk Types Nutrition Per Cup'!$O:$O,'Milk Types Nutrition Per Cup'!$Q:$Q,""))</f>
        <v>0</v>
      </c>
      <c r="F252" s="31">
        <f>IF(COUNTIF('Premade Flavors'!$A:$A, $C252) &gt; 0,_xlfn.XLOOKUP($C252,'Premade Flavors'!$A:$A,'Premade Flavors'!E:E),_xlfn.XLOOKUP("What's The First Flavor You Want? ",[1]Sheet1!$1:$1,[1]Sheet1!252:252))</f>
        <v>0</v>
      </c>
      <c r="G252" s="31">
        <f>IF(COUNTIF('Premade Flavors'!$A:$A, $C252) &gt; 0,_xlfn.XLOOKUP($C252,'Premade Flavors'!$A:$A,'Premade Flavors'!F:F),_xlfn.XLOOKUP("What's the Second Flavor You Want?",[1]Sheet1!$1:$1,[1]Sheet1!252:252))</f>
        <v>0</v>
      </c>
      <c r="H252" s="31">
        <f>IF(COUNTIF('Premade Flavors'!$A:$A, $C252) &gt; 0,_xlfn.XLOOKUP($C252,'Premade Flavors'!$A:$A,'Premade Flavors'!G:G),_xlfn.XLOOKUP("What's The First Mix In That You Want? ",[1]Sheet1!$1:$1,[1]Sheet1!252:252))</f>
        <v>0</v>
      </c>
      <c r="I252" s="31">
        <f>IF(COUNTIF('Premade Flavors'!$A:$A, $C250) &gt; 0,_xlfn.XLOOKUP($C250,'Premade Flavors'!$A:$A,'Premade Flavors'!H:H),IF([2]Sheet1!W250= 0,,[2]Sheet1!W250))</f>
        <v>0</v>
      </c>
      <c r="J252" s="31">
        <f>IF(COUNTIF('Premade Flavors'!$A:$A,$C252)&gt;0,IF(_xlfn.XLOOKUP("Should It Use Sugar or A Non-Sugar Sweetner?",[1]Sheet1!$1:$1,[1]Sheet1!252:252)="Sugar",_xlfn.XLOOKUP($C252,'Premade Flavors'!$A:$A,'Premade Flavors'!I:I),"Stevia"),_xlfn.XLOOKUP("What Sweetner Do You Want?",[1]Sheet1!$1:$1,[1]Sheet1!252:252))</f>
        <v>0</v>
      </c>
      <c r="K252" s="31"/>
      <c r="L252" s="77">
        <f>_xlfn.XLOOKUP("How Much Ice Cream Do You Want?",[1]Sheet1!$1:$1,[1]Sheet1!252:252)</f>
        <v>0</v>
      </c>
      <c r="M252" s="45">
        <f>IF(COUNTIF('Premade Flavors'!$A:$A, $C252) &gt; 0,_xlfn.XLOOKUP($C252,'Premade Flavors'!$A:$A,'Premade Flavors'!M:M),_xlfn.XLOOKUP("How Strong Do You Want The First Flavor?",[1]Sheet1!$1:$1,[1]Sheet1!252:252))</f>
        <v>0</v>
      </c>
      <c r="N252" s="45">
        <f>IF(COUNTIF('Premade Flavors'!$A:$A, $C252) &gt; 0,_xlfn.XLOOKUP($C252,'Premade Flavors'!$A:$A,'Premade Flavors'!N:N),_xlfn.XLOOKUP("How Strong Do You Want The Second Flavor?",[1]Sheet1!$1:$1,[1]Sheet1!252:252))</f>
        <v>0</v>
      </c>
      <c r="O252" s="45">
        <f>IF(COUNTIF('Premade Flavors'!$A:$A, $C252) &gt; 0,_xlfn.XLOOKUP($C252,'Premade Flavors'!$A:$A,'Premade Flavors'!O:O),_xlfn.XLOOKUP("How Dense Should the Mix Ins Be?",[1]Sheet1!$1:$1,[1]Sheet1!252:252))</f>
        <v>0</v>
      </c>
      <c r="P252" s="45">
        <f>IF(COUNTIF('Premade Flavors'!$A:$A, $C252) &gt; 0,_xlfn.XLOOKUP($C252,'Premade Flavors'!$A:$A,'Premade Flavors'!P:P),_xlfn.XLOOKUP("How Much Of The First Sweetner? ",[1]Sheet1!$1:$1,[1]Sheet1!252:252))</f>
        <v>0</v>
      </c>
      <c r="Q252" s="45">
        <f>IF(COUNTIF('Premade Flavors'!$A:$A, $C252) &gt; 0,_xlfn.XLOOKUP($C252,'Premade Flavors'!$A:$A,'Premade Flavors'!Q:Q),[2]Sheet1!S252)</f>
        <v>0</v>
      </c>
      <c r="R252" s="30">
        <f>(_xlfn.XLOOKUP($L252,Specs!A:A,Specs!B:B,0)-(IF(_xlfn.XLOOKUP($F252,'Liquid Mix In Nutrition'!A:A,'Liquid Mix In Nutrition'!J:J,0)="Yes",0,$T252))-(IF(_xlfn.XLOOKUP($G252,'Liquid Mix In Nutrition'!A:A,'Liquid Mix In Nutrition'!J:J,0)="Yes",0,$U252))-(($V252/MAX(1,_xlfn.XLOOKUP($H252,'Solid Mix In Nutrition'!A:A,'Solid Mix In Nutrition'!I:I,1)))*240)-(($W252/MAX(1,_xlfn.XLOOKUP($I252,'Solid Mix In Nutrition'!A:A,'Solid Mix In Nutrition'!I:I,1)))*240))*0.66</f>
        <v>0</v>
      </c>
      <c r="S252" s="30">
        <f>(_xlfn.XLOOKUP($L252,Specs!A:A,Specs!B:B,0)-(IF(_xlfn.XLOOKUP($F252,'Liquid Mix In Nutrition'!A:A,'Liquid Mix In Nutrition'!J:J,0)="Yes",0,$T252))-(IF(_xlfn.XLOOKUP($G252,'Liquid Mix In Nutrition'!A:A,'Liquid Mix In Nutrition'!J:J,0)="Yes",0,$U252))-(($V252/MAX(1,_xlfn.XLOOKUP($H252,'Solid Mix In Nutrition'!A:A,'Solid Mix In Nutrition'!I:I,1)))*240)-(($W252/MAX(1,_xlfn.XLOOKUP($I252,'Solid Mix In Nutrition'!A:A,'Solid Mix In Nutrition'!I:I,1)))*240))*0.33</f>
        <v>0</v>
      </c>
      <c r="T252" s="30">
        <f>_xlfn.XLOOKUP($M252,Specs!$D:$D,Specs!$E:$E,0)*15*_xlfn.XLOOKUP($L252,Specs!$A:$A,Specs!$C:$C,0)</f>
        <v>0</v>
      </c>
      <c r="U252" s="30">
        <f>_xlfn.XLOOKUP($N252,Specs!$D:$D,Specs!$E:$E,0)*15*_xlfn.XLOOKUP($L252,Specs!$A:$A,Specs!$C:$C,0)</f>
        <v>0</v>
      </c>
      <c r="V252" s="30">
        <f>( ((_xlfn.XLOOKUP($O252,Specs!$H:$H,Specs!$I:$I,0)*_xlfn.XLOOKUP($L252,Specs!$A:$A,Specs!$B:$B,0))/240) *_xlfn.XLOOKUP($H252,'Solid Mix In Nutrition'!A:A,'Solid Mix In Nutrition'!I:I,0)) *IF(AND(NOT($I252=0), COUNTA($I252)),0.5,1)</f>
        <v>0</v>
      </c>
      <c r="W252" s="30">
        <f>( ((_xlfn.XLOOKUP($O252,Specs!$H:$H,Specs!$I:$I,0)*_xlfn.XLOOKUP($L252,Specs!$A:$A,Specs!$B:$B,0))/240) *_xlfn.XLOOKUP($I252,'Solid Mix In Nutrition'!A:A,'Solid Mix In Nutrition'!I:I,0)) *IF(AND(NOT($I252=0), COUNTA($I252)),0.5,0)</f>
        <v>0</v>
      </c>
      <c r="X252" s="30">
        <f>_xlfn.XLOOKUP($P252,Specs!F:F,Specs!G:G,0)*_xlfn.XLOOKUP($J252,'Sweetener Mix In Nutrition'!A:A,'Sweetener Mix In Nutrition'!I:I,0)*_xlfn.XLOOKUP($L252,Specs!A:A,Specs!C:C,0)</f>
        <v>0</v>
      </c>
      <c r="Y252" s="30">
        <f>_xlfn.XLOOKUP($Q252,Specs!F:F,Specs!G:G,0)*_xlfn.XLOOKUP($K252,'Sweetener Mix In Nutrition'!A:A,'Sweetener Mix In Nutrition'!I:I,0)*_xlfn.XLOOKUP($L252,Specs!A:A,Specs!C:C,0)</f>
        <v>0</v>
      </c>
      <c r="Z252" s="34">
        <f t="shared" si="8"/>
        <v>0</v>
      </c>
      <c r="AA252" s="35">
        <f t="shared" si="9"/>
        <v>0</v>
      </c>
      <c r="AB252" s="36">
        <f>(($R252 / 240) * _xlfn.XLOOKUP($D252,'Milk Types Nutrition Per Cup'!A:A,'Milk Types Nutrition Per Cup'!B:B,0)) +(($S252 / 240)  * _xlfn.XLOOKUP($E252,'Milk Types Nutrition Per Cup'!A:A,'Milk Types Nutrition Per Cup'!B:B,0)) +(($T252 / 15)  * _xlfn.XLOOKUP($F252,'Liquid Mix In Nutrition'!A:A,'Liquid Mix In Nutrition'!B:B,0))+(($U252 / 15)  * _xlfn.XLOOKUP($G252,'Liquid Mix In Nutrition'!A:A,'Liquid Mix In Nutrition'!B:B,0))+(($V252 /MAX(1, _xlfn.XLOOKUP($H252,'Solid Mix In Nutrition'!A:A,'Solid Mix In Nutrition'!I:I,1)))  * _xlfn.XLOOKUP($H252,'Solid Mix In Nutrition'!A:A,'Solid Mix In Nutrition'!B:B,0))+(($W252 / MAX(1, _xlfn.XLOOKUP($I252,'Solid Mix In Nutrition'!A:A,'Solid Mix In Nutrition'!I:I,1))))+(($X252 / 100)  * _xlfn.XLOOKUP($J252,'Sweetener Mix In Nutrition'!A:A,'Sweetener Mix In Nutrition'!B:B,0))+(($Y252 / 100)  * _xlfn.XLOOKUP($K252,'Sweetener Mix In Nutrition'!A:A,'Sweetener Mix In Nutrition'!B:B,0))</f>
        <v>0</v>
      </c>
      <c r="AC252" s="36">
        <f>(($R252 / 240) * _xlfn.XLOOKUP($D252,'Milk Types Nutrition Per Cup'!A:A,'Milk Types Nutrition Per Cup'!E:E,0)) +(($S252 / 240)  * _xlfn.XLOOKUP($E252,'Milk Types Nutrition Per Cup'!A:A,'Milk Types Nutrition Per Cup'!E:E,0)) +(($T252 / 15)  * _xlfn.XLOOKUP($F252,'Liquid Mix In Nutrition'!A:A,'Liquid Mix In Nutrition'!E:E,0)) +(($U252 / 15)  * _xlfn.XLOOKUP($G252,'Liquid Mix In Nutrition'!A:A,'Liquid Mix In Nutrition'!E:E,0))+(($V252 / MAX(1, _xlfn.XLOOKUP($H252,'Solid Mix In Nutrition'!A:A,'Solid Mix In Nutrition'!I:I,1)))  * _xlfn.XLOOKUP($H252,'Solid Mix In Nutrition'!A:A,'Solid Mix In Nutrition'!E:E,0))+(($W252 / MAX(1, _xlfn.XLOOKUP($I252,'Solid Mix In Nutrition'!A:A,'Solid Mix In Nutrition'!I:I,1)))  * _xlfn.XLOOKUP($I252,'Solid Mix In Nutrition'!A:A,'Solid Mix In Nutrition'!G:G,0))+(($X252 / 100)  * _xlfn.XLOOKUP($J252,'Sweetener Mix In Nutrition'!A:A,'Sweetener Mix In Nutrition'!E:E,0))+(($Y252 / 100)  * _xlfn.XLOOKUP($K252,'Sweetener Mix In Nutrition'!A:A,'Sweetener Mix In Nutrition'!E:E,0))</f>
        <v>0</v>
      </c>
      <c r="AD252" s="36">
        <f>(($R252 / 240) * _xlfn.XLOOKUP($D252,'Milk Types Nutrition Per Cup'!A:A,'Milk Types Nutrition Per Cup'!E:E,0)) +(($S252 / 240)  * _xlfn.XLOOKUP($E252,'Milk Types Nutrition Per Cup'!A:A,'Milk Types Nutrition Per Cup'!E:E,0)) +(($T252 / 15)  * _xlfn.XLOOKUP($F252,'Liquid Mix In Nutrition'!A:A,'Liquid Mix In Nutrition'!E:E,0)) +(($U252 / 15)  * _xlfn.XLOOKUP($G252,'Liquid Mix In Nutrition'!A:A,'Liquid Mix In Nutrition'!E:E,0))+(($X252 / 100)  * _xlfn.XLOOKUP($J252,'Sweetener Mix In Nutrition'!A:A,'Sweetener Mix In Nutrition'!E:E,0))+(($Y252 / 100)  * _xlfn.XLOOKUP($K252,'Sweetener Mix In Nutrition'!A:A,'Sweetener Mix In Nutrition'!E:E,0))</f>
        <v>0</v>
      </c>
      <c r="AE252" s="37">
        <f>(($R252 / 240) * _xlfn.XLOOKUP($D252,'Milk Types Nutrition Per Cup'!A:A,'Milk Types Nutrition Per Cup'!C:C,0)) +(($S252 / 240)  * _xlfn.XLOOKUP($E252,'Milk Types Nutrition Per Cup'!A:A,'Milk Types Nutrition Per Cup'!C:C,0)) +(($T252 / 15)  * _xlfn.XLOOKUP($F252,'Liquid Mix In Nutrition'!A:A,'Liquid Mix In Nutrition'!C:C,0))+(($U252 / 15)  * _xlfn.XLOOKUP($G252,'Liquid Mix In Nutrition'!A:A,'Liquid Mix In Nutrition'!C:C,0))+(($V252 / MAX(1, _xlfn.XLOOKUP($H252,'Solid Mix In Nutrition'!A:A,'Solid Mix In Nutrition'!I:I,1)))  * _xlfn.XLOOKUP($H252,'Solid Mix In Nutrition'!A:A,'Solid Mix In Nutrition'!C:C,0))+(($W252 / MAX(1, _xlfn.XLOOKUP($I252,'Solid Mix In Nutrition'!A:A,'Solid Mix In Nutrition'!I:I,1)))  * _xlfn.XLOOKUP($I252,'Solid Mix In Nutrition'!A:A,'Solid Mix In Nutrition'!C:C,0))+(($X252 / 100)  * _xlfn.XLOOKUP($J252,'Sweetener Mix In Nutrition'!A:A,'Sweetener Mix In Nutrition'!C:C,0))+(($Y252 / 100)  * _xlfn.XLOOKUP($K252,'Sweetener Mix In Nutrition'!A:A,'Sweetener Mix In Nutrition'!C:C,0))</f>
        <v>0</v>
      </c>
      <c r="AF252" s="38" t="e">
        <f>$AE252 / (_xlfn.XLOOKUP($L252,Specs!A:A,Specs!B:B,0))</f>
        <v>#DIV/0!</v>
      </c>
      <c r="AG252" s="37" t="e">
        <f>60* ($AB252 / _xlfn.XLOOKUP($L252,Specs!A:A,Specs!B:B,0))</f>
        <v>#DIV/0!</v>
      </c>
      <c r="AH252" s="37" t="e">
        <f>60* (AC252 / _xlfn.XLOOKUP($L252,Specs!$A:$A,Specs!$B:$B,0))</f>
        <v>#DIV/0!</v>
      </c>
      <c r="AI252" s="37" t="e">
        <f>60* (AE252 / _xlfn.XLOOKUP($L252,Specs!$A:$A,Specs!$B:$B,0))</f>
        <v>#DIV/0!</v>
      </c>
      <c r="AJ252" s="39">
        <f>(($R252 / 240) * _xlfn.XLOOKUP($D252,'Milk Types Nutrition Per Cup'!A:A,'Milk Types Nutrition Per Cup'!F:F,0)) +(($S252 / 240)  * _xlfn.XLOOKUP($E252,'Milk Types Nutrition Per Cup'!A:A,'Milk Types Nutrition Per Cup'!F:F,0)) +(($T252 / 15)  * _xlfn.XLOOKUP($F252,'Liquid Mix In Nutrition'!A:A,'Liquid Mix In Nutrition'!F:F,0))+(($U252 / 15)  * _xlfn.XLOOKUP($G252,'Liquid Mix In Nutrition'!A:A,'Liquid Mix In Nutrition'!F:F,0))+(($V252 / MAX(1, _xlfn.XLOOKUP($H252,'Solid Mix In Nutrition'!A:A,'Solid Mix In Nutrition'!I:I,1)))  * _xlfn.XLOOKUP($H252,'Solid Mix In Nutrition'!A:A,'Solid Mix In Nutrition'!F:F,0))+(($W252 / MAX(1, _xlfn.XLOOKUP($I252,'Solid Mix In Nutrition'!A:A,'Solid Mix In Nutrition'!I:I,1)))  * _xlfn.XLOOKUP($I252,'Solid Mix In Nutrition'!A:A,'Solid Mix In Nutrition'!F:F,0))+(($X252 / 100)  * _xlfn.XLOOKUP($J252,'Sweetener Mix In Nutrition'!A:A,'Sweetener Mix In Nutrition'!F:F,0))+(($Y252 / 100)  * _xlfn.XLOOKUP($K252,'Sweetener Mix In Nutrition'!A:A,'Sweetener Mix In Nutrition'!F:F,0))</f>
        <v>0</v>
      </c>
      <c r="AK252" s="46">
        <f>[2]Sheet1!AG252</f>
        <v>0</v>
      </c>
      <c r="AL252" s="47"/>
      <c r="AM252" s="40">
        <f>IF(ISERROR(((AL252/Specs!$L$3)*Specs!$L$2)*2),0,ROUNDUP((((AL252/Specs!$L$3)*Specs!$L$2)*2),0))</f>
        <v>0</v>
      </c>
      <c r="AN252" s="48">
        <f>ROUNDUP(((AJ252+Specs!$R$2+Specs!$S$2+_xlfn.XLOOKUP($L252,Specs!A:A,Specs!V:V,0))*Specs!$N$2)+AM252,0)</f>
        <v>1</v>
      </c>
      <c r="AO252" s="40">
        <f>ROUNDUP(((AJ252+Specs!$R$2+Specs!$S$2+_xlfn.XLOOKUP($L252,Specs!A:A,Specs!V:V,0))*Specs!$N$2),0)</f>
        <v>1</v>
      </c>
      <c r="AP252" s="30"/>
    </row>
    <row r="253" spans="1:42" x14ac:dyDescent="0.25">
      <c r="A253" s="41" t="str">
        <f>_xlfn.CONCAT(_xlfn.XLOOKUP("What's Your Name?",[1]Sheet1!$1:$1,[1]Sheet1!253:253)," | ",TEXT(_xlfn.XLOOKUP("Completion time",[1]Sheet1!$1:$1,[1]Sheet1!253:253),"dddd, mmm dd, yyyy hh:mm AM/PM"))</f>
        <v xml:space="preserve"> | Saturday, Jan 00, 1900 12:00 AM</v>
      </c>
      <c r="B253" s="76">
        <f>_xlfn.XLOOKUP("What's Your Email Address?",[1]Sheet1!$1:$1,[1]Sheet1!253:253)</f>
        <v>0</v>
      </c>
      <c r="C253" s="31">
        <f>IF(ISBLANK(_xlfn.XLOOKUP("Which Flavor? (Pint Price | Quart Price | Half Gallon Price) (NOTE: Prices may fluctuate based on market conditions)",[1]Sheet1!$1:$1,[1]Sheet1!253:253)),_xlfn.XLOOKUP("Name Your Ice Cream!",[1]Sheet1!$1:$1,[1]Sheet1!253:253),IF(ISNUMBER(FIND("(", _xlfn.XLOOKUP("Which Flavor? (Pint Price | Quart Price | Half Gallon Price) (NOTE: Prices may fluctuate based on market conditions)",[1]Sheet1!$1:$1,[1]Sheet1!253:253))), LEFT(_xlfn.XLOOKUP("Which Flavor? (Pint Price | Quart Price | Half Gallon Price) (NOTE: Prices may fluctuate based on market conditions)",[1]Sheet1!$1:$1,[1]Sheet1!253:253), FIND("(", _xlfn.XLOOKUP("Which Flavor? (Pint Price | Quart Price | Half Gallon Price) (NOTE: Prices may fluctuate based on market conditions)",[1]Sheet1!$1:$1,[1]Sheet1!253:253)) - 1), _xlfn.XLOOKUP("Which Flavor? (Pint Price | Quart Price | Half Gallon Price) (NOTE: Prices may fluctuate based on market conditions)",[1]Sheet1!$1:$1,[1]Sheet1!253:253)))</f>
        <v>0</v>
      </c>
      <c r="D253" s="31">
        <f>IF(COUNTIF('Premade Flavors'!$A:$A, $C253) &gt; 0,IF(ISBLANK(_xlfn.XLOOKUP("What Ice Cream Base Do You Want To Change It To?",[1]Sheet1!$1:$1,[1]Sheet1!253:253)),_xlfn.XLOOKUP($C253,'Premade Flavors'!$A:$A,'Premade Flavors'!B:B),_xlfn.XLOOKUP("What Ice Cream Base Do You Want To Change It To?",[1]Sheet1!$1:$1,[1]Sheet1!253:253)),_xlfn.XLOOKUP(_xlfn.XLOOKUP("What Kind Of Ice Cream Base Do You Want? ",[1]Sheet1!$1:$1,[1]Sheet1!253:253),'Milk Types Nutrition Per Cup'!O:O,'Milk Types Nutrition Per Cup'!P:P,""))</f>
        <v>0</v>
      </c>
      <c r="E253" s="31">
        <f>IF(COUNTIF('Premade Flavors'!$A:$A, $C253) &gt; 0,IF(ISBLANK(_xlfn.XLOOKUP("What Ice Cream Base Do You Want To Change It To?",[1]Sheet1!$1:$1,[1]Sheet1!253:253)),_xlfn.XLOOKUP($C253,'Premade Flavors'!$A:$A,'Premade Flavors'!C:C),_xlfn.XLOOKUP("What Ice Cream Base Do You Want To Change It To?",[1]Sheet1!$1:$1,[1]Sheet1!253:253)),_xlfn.XLOOKUP(_xlfn.XLOOKUP("What Kind Of Ice Cream Base Do You Want? ",[1]Sheet1!$1:$1,[1]Sheet1!253:253),'Milk Types Nutrition Per Cup'!$O:$O,'Milk Types Nutrition Per Cup'!$Q:$Q,""))</f>
        <v>0</v>
      </c>
      <c r="F253" s="31">
        <f>IF(COUNTIF('Premade Flavors'!$A:$A, $C253) &gt; 0,_xlfn.XLOOKUP($C253,'Premade Flavors'!$A:$A,'Premade Flavors'!E:E),_xlfn.XLOOKUP("What's The First Flavor You Want? ",[1]Sheet1!$1:$1,[1]Sheet1!253:253))</f>
        <v>0</v>
      </c>
      <c r="G253" s="31">
        <f>IF(COUNTIF('Premade Flavors'!$A:$A, $C253) &gt; 0,_xlfn.XLOOKUP($C253,'Premade Flavors'!$A:$A,'Premade Flavors'!F:F),_xlfn.XLOOKUP("What's the Second Flavor You Want?",[1]Sheet1!$1:$1,[1]Sheet1!253:253))</f>
        <v>0</v>
      </c>
      <c r="H253" s="31">
        <f>IF(COUNTIF('Premade Flavors'!$A:$A, $C253) &gt; 0,_xlfn.XLOOKUP($C253,'Premade Flavors'!$A:$A,'Premade Flavors'!G:G),_xlfn.XLOOKUP("What's The First Mix In That You Want? ",[1]Sheet1!$1:$1,[1]Sheet1!253:253))</f>
        <v>0</v>
      </c>
      <c r="I253" s="31">
        <f>IF(COUNTIF('Premade Flavors'!$A:$A, $C251) &gt; 0,_xlfn.XLOOKUP($C251,'Premade Flavors'!$A:$A,'Premade Flavors'!H:H),IF([2]Sheet1!W251= 0,,[2]Sheet1!W251))</f>
        <v>0</v>
      </c>
      <c r="J253" s="31">
        <f>IF(COUNTIF('Premade Flavors'!$A:$A,$C253)&gt;0,IF(_xlfn.XLOOKUP("Should It Use Sugar or A Non-Sugar Sweetner?",[1]Sheet1!$1:$1,[1]Sheet1!253:253)="Sugar",_xlfn.XLOOKUP($C253,'Premade Flavors'!$A:$A,'Premade Flavors'!I:I),"Stevia"),_xlfn.XLOOKUP("What Sweetner Do You Want?",[1]Sheet1!$1:$1,[1]Sheet1!253:253))</f>
        <v>0</v>
      </c>
      <c r="K253" s="31"/>
      <c r="L253" s="77">
        <f>_xlfn.XLOOKUP("How Much Ice Cream Do You Want?",[1]Sheet1!$1:$1,[1]Sheet1!253:253)</f>
        <v>0</v>
      </c>
      <c r="M253" s="45">
        <f>IF(COUNTIF('Premade Flavors'!$A:$A, $C253) &gt; 0,_xlfn.XLOOKUP($C253,'Premade Flavors'!$A:$A,'Premade Flavors'!M:M),_xlfn.XLOOKUP("How Strong Do You Want The First Flavor?",[1]Sheet1!$1:$1,[1]Sheet1!253:253))</f>
        <v>0</v>
      </c>
      <c r="N253" s="45">
        <f>IF(COUNTIF('Premade Flavors'!$A:$A, $C253) &gt; 0,_xlfn.XLOOKUP($C253,'Premade Flavors'!$A:$A,'Premade Flavors'!N:N),_xlfn.XLOOKUP("How Strong Do You Want The Second Flavor?",[1]Sheet1!$1:$1,[1]Sheet1!253:253))</f>
        <v>0</v>
      </c>
      <c r="O253" s="45">
        <f>IF(COUNTIF('Premade Flavors'!$A:$A, $C253) &gt; 0,_xlfn.XLOOKUP($C253,'Premade Flavors'!$A:$A,'Premade Flavors'!O:O),_xlfn.XLOOKUP("How Dense Should the Mix Ins Be?",[1]Sheet1!$1:$1,[1]Sheet1!253:253))</f>
        <v>0</v>
      </c>
      <c r="P253" s="45">
        <f>IF(COUNTIF('Premade Flavors'!$A:$A, $C253) &gt; 0,_xlfn.XLOOKUP($C253,'Premade Flavors'!$A:$A,'Premade Flavors'!P:P),_xlfn.XLOOKUP("How Much Of The First Sweetner? ",[1]Sheet1!$1:$1,[1]Sheet1!253:253))</f>
        <v>0</v>
      </c>
      <c r="Q253" s="45">
        <f>IF(COUNTIF('Premade Flavors'!$A:$A, $C253) &gt; 0,_xlfn.XLOOKUP($C253,'Premade Flavors'!$A:$A,'Premade Flavors'!Q:Q),[2]Sheet1!S253)</f>
        <v>0</v>
      </c>
      <c r="R253" s="30">
        <f>(_xlfn.XLOOKUP($L253,Specs!A:A,Specs!B:B,0)-(IF(_xlfn.XLOOKUP($F253,'Liquid Mix In Nutrition'!A:A,'Liquid Mix In Nutrition'!J:J,0)="Yes",0,$T253))-(IF(_xlfn.XLOOKUP($G253,'Liquid Mix In Nutrition'!A:A,'Liquid Mix In Nutrition'!J:J,0)="Yes",0,$U253))-(($V253/MAX(1,_xlfn.XLOOKUP($H253,'Solid Mix In Nutrition'!A:A,'Solid Mix In Nutrition'!I:I,1)))*240)-(($W253/MAX(1,_xlfn.XLOOKUP($I253,'Solid Mix In Nutrition'!A:A,'Solid Mix In Nutrition'!I:I,1)))*240))*0.66</f>
        <v>0</v>
      </c>
      <c r="S253" s="30">
        <f>(_xlfn.XLOOKUP($L253,Specs!A:A,Specs!B:B,0)-(IF(_xlfn.XLOOKUP($F253,'Liquid Mix In Nutrition'!A:A,'Liquid Mix In Nutrition'!J:J,0)="Yes",0,$T253))-(IF(_xlfn.XLOOKUP($G253,'Liquid Mix In Nutrition'!A:A,'Liquid Mix In Nutrition'!J:J,0)="Yes",0,$U253))-(($V253/MAX(1,_xlfn.XLOOKUP($H253,'Solid Mix In Nutrition'!A:A,'Solid Mix In Nutrition'!I:I,1)))*240)-(($W253/MAX(1,_xlfn.XLOOKUP($I253,'Solid Mix In Nutrition'!A:A,'Solid Mix In Nutrition'!I:I,1)))*240))*0.33</f>
        <v>0</v>
      </c>
      <c r="T253" s="30">
        <f>_xlfn.XLOOKUP($M253,Specs!$D:$D,Specs!$E:$E,0)*15*_xlfn.XLOOKUP($L253,Specs!$A:$A,Specs!$C:$C,0)</f>
        <v>0</v>
      </c>
      <c r="U253" s="30">
        <f>_xlfn.XLOOKUP($N253,Specs!$D:$D,Specs!$E:$E,0)*15*_xlfn.XLOOKUP($L253,Specs!$A:$A,Specs!$C:$C,0)</f>
        <v>0</v>
      </c>
      <c r="V253" s="30">
        <f>( ((_xlfn.XLOOKUP($O253,Specs!$H:$H,Specs!$I:$I,0)*_xlfn.XLOOKUP($L253,Specs!$A:$A,Specs!$B:$B,0))/240) *_xlfn.XLOOKUP($H253,'Solid Mix In Nutrition'!A:A,'Solid Mix In Nutrition'!I:I,0)) *IF(AND(NOT($I253=0), COUNTA($I253)),0.5,1)</f>
        <v>0</v>
      </c>
      <c r="W253" s="30">
        <f>( ((_xlfn.XLOOKUP($O253,Specs!$H:$H,Specs!$I:$I,0)*_xlfn.XLOOKUP($L253,Specs!$A:$A,Specs!$B:$B,0))/240) *_xlfn.XLOOKUP($I253,'Solid Mix In Nutrition'!A:A,'Solid Mix In Nutrition'!I:I,0)) *IF(AND(NOT($I253=0), COUNTA($I253)),0.5,0)</f>
        <v>0</v>
      </c>
      <c r="X253" s="30">
        <f>_xlfn.XLOOKUP($P253,Specs!F:F,Specs!G:G,0)*_xlfn.XLOOKUP($J253,'Sweetener Mix In Nutrition'!A:A,'Sweetener Mix In Nutrition'!I:I,0)*_xlfn.XLOOKUP($L253,Specs!A:A,Specs!C:C,0)</f>
        <v>0</v>
      </c>
      <c r="Y253" s="30">
        <f>_xlfn.XLOOKUP($Q253,Specs!F:F,Specs!G:G,0)*_xlfn.XLOOKUP($K253,'Sweetener Mix In Nutrition'!A:A,'Sweetener Mix In Nutrition'!I:I,0)*_xlfn.XLOOKUP($L253,Specs!A:A,Specs!C:C,0)</f>
        <v>0</v>
      </c>
      <c r="Z253" s="34">
        <f t="shared" si="8"/>
        <v>0</v>
      </c>
      <c r="AA253" s="35">
        <f t="shared" si="9"/>
        <v>0</v>
      </c>
      <c r="AB253" s="36">
        <f>(($R253 / 240) * _xlfn.XLOOKUP($D253,'Milk Types Nutrition Per Cup'!A:A,'Milk Types Nutrition Per Cup'!B:B,0)) +(($S253 / 240)  * _xlfn.XLOOKUP($E253,'Milk Types Nutrition Per Cup'!A:A,'Milk Types Nutrition Per Cup'!B:B,0)) +(($T253 / 15)  * _xlfn.XLOOKUP($F253,'Liquid Mix In Nutrition'!A:A,'Liquid Mix In Nutrition'!B:B,0))+(($U253 / 15)  * _xlfn.XLOOKUP($G253,'Liquid Mix In Nutrition'!A:A,'Liquid Mix In Nutrition'!B:B,0))+(($V253 /MAX(1, _xlfn.XLOOKUP($H253,'Solid Mix In Nutrition'!A:A,'Solid Mix In Nutrition'!I:I,1)))  * _xlfn.XLOOKUP($H253,'Solid Mix In Nutrition'!A:A,'Solid Mix In Nutrition'!B:B,0))+(($W253 / MAX(1, _xlfn.XLOOKUP($I253,'Solid Mix In Nutrition'!A:A,'Solid Mix In Nutrition'!I:I,1))))+(($X253 / 100)  * _xlfn.XLOOKUP($J253,'Sweetener Mix In Nutrition'!A:A,'Sweetener Mix In Nutrition'!B:B,0))+(($Y253 / 100)  * _xlfn.XLOOKUP($K253,'Sweetener Mix In Nutrition'!A:A,'Sweetener Mix In Nutrition'!B:B,0))</f>
        <v>0</v>
      </c>
      <c r="AC253" s="36">
        <f>(($R253 / 240) * _xlfn.XLOOKUP($D253,'Milk Types Nutrition Per Cup'!A:A,'Milk Types Nutrition Per Cup'!E:E,0)) +(($S253 / 240)  * _xlfn.XLOOKUP($E253,'Milk Types Nutrition Per Cup'!A:A,'Milk Types Nutrition Per Cup'!E:E,0)) +(($T253 / 15)  * _xlfn.XLOOKUP($F253,'Liquid Mix In Nutrition'!A:A,'Liquid Mix In Nutrition'!E:E,0)) +(($U253 / 15)  * _xlfn.XLOOKUP($G253,'Liquid Mix In Nutrition'!A:A,'Liquid Mix In Nutrition'!E:E,0))+(($V253 / MAX(1, _xlfn.XLOOKUP($H253,'Solid Mix In Nutrition'!A:A,'Solid Mix In Nutrition'!I:I,1)))  * _xlfn.XLOOKUP($H253,'Solid Mix In Nutrition'!A:A,'Solid Mix In Nutrition'!E:E,0))+(($W253 / MAX(1, _xlfn.XLOOKUP($I253,'Solid Mix In Nutrition'!A:A,'Solid Mix In Nutrition'!I:I,1)))  * _xlfn.XLOOKUP($I253,'Solid Mix In Nutrition'!A:A,'Solid Mix In Nutrition'!G:G,0))+(($X253 / 100)  * _xlfn.XLOOKUP($J253,'Sweetener Mix In Nutrition'!A:A,'Sweetener Mix In Nutrition'!E:E,0))+(($Y253 / 100)  * _xlfn.XLOOKUP($K253,'Sweetener Mix In Nutrition'!A:A,'Sweetener Mix In Nutrition'!E:E,0))</f>
        <v>0</v>
      </c>
      <c r="AD253" s="36">
        <f>(($R253 / 240) * _xlfn.XLOOKUP($D253,'Milk Types Nutrition Per Cup'!A:A,'Milk Types Nutrition Per Cup'!E:E,0)) +(($S253 / 240)  * _xlfn.XLOOKUP($E253,'Milk Types Nutrition Per Cup'!A:A,'Milk Types Nutrition Per Cup'!E:E,0)) +(($T253 / 15)  * _xlfn.XLOOKUP($F253,'Liquid Mix In Nutrition'!A:A,'Liquid Mix In Nutrition'!E:E,0)) +(($U253 / 15)  * _xlfn.XLOOKUP($G253,'Liquid Mix In Nutrition'!A:A,'Liquid Mix In Nutrition'!E:E,0))+(($X253 / 100)  * _xlfn.XLOOKUP($J253,'Sweetener Mix In Nutrition'!A:A,'Sweetener Mix In Nutrition'!E:E,0))+(($Y253 / 100)  * _xlfn.XLOOKUP($K253,'Sweetener Mix In Nutrition'!A:A,'Sweetener Mix In Nutrition'!E:E,0))</f>
        <v>0</v>
      </c>
      <c r="AE253" s="37">
        <f>(($R253 / 240) * _xlfn.XLOOKUP($D253,'Milk Types Nutrition Per Cup'!A:A,'Milk Types Nutrition Per Cup'!C:C,0)) +(($S253 / 240)  * _xlfn.XLOOKUP($E253,'Milk Types Nutrition Per Cup'!A:A,'Milk Types Nutrition Per Cup'!C:C,0)) +(($T253 / 15)  * _xlfn.XLOOKUP($F253,'Liquid Mix In Nutrition'!A:A,'Liquid Mix In Nutrition'!C:C,0))+(($U253 / 15)  * _xlfn.XLOOKUP($G253,'Liquid Mix In Nutrition'!A:A,'Liquid Mix In Nutrition'!C:C,0))+(($V253 / MAX(1, _xlfn.XLOOKUP($H253,'Solid Mix In Nutrition'!A:A,'Solid Mix In Nutrition'!I:I,1)))  * _xlfn.XLOOKUP($H253,'Solid Mix In Nutrition'!A:A,'Solid Mix In Nutrition'!C:C,0))+(($W253 / MAX(1, _xlfn.XLOOKUP($I253,'Solid Mix In Nutrition'!A:A,'Solid Mix In Nutrition'!I:I,1)))  * _xlfn.XLOOKUP($I253,'Solid Mix In Nutrition'!A:A,'Solid Mix In Nutrition'!C:C,0))+(($X253 / 100)  * _xlfn.XLOOKUP($J253,'Sweetener Mix In Nutrition'!A:A,'Sweetener Mix In Nutrition'!C:C,0))+(($Y253 / 100)  * _xlfn.XLOOKUP($K253,'Sweetener Mix In Nutrition'!A:A,'Sweetener Mix In Nutrition'!C:C,0))</f>
        <v>0</v>
      </c>
      <c r="AF253" s="38" t="e">
        <f>$AE253 / (_xlfn.XLOOKUP($L253,Specs!A:A,Specs!B:B,0))</f>
        <v>#DIV/0!</v>
      </c>
      <c r="AG253" s="37" t="e">
        <f>60* ($AB253 / _xlfn.XLOOKUP($L253,Specs!A:A,Specs!B:B,0))</f>
        <v>#DIV/0!</v>
      </c>
      <c r="AH253" s="37" t="e">
        <f>60* (AC253 / _xlfn.XLOOKUP($L253,Specs!$A:$A,Specs!$B:$B,0))</f>
        <v>#DIV/0!</v>
      </c>
      <c r="AI253" s="37" t="e">
        <f>60* (AE253 / _xlfn.XLOOKUP($L253,Specs!$A:$A,Specs!$B:$B,0))</f>
        <v>#DIV/0!</v>
      </c>
      <c r="AJ253" s="39">
        <f>(($R253 / 240) * _xlfn.XLOOKUP($D253,'Milk Types Nutrition Per Cup'!A:A,'Milk Types Nutrition Per Cup'!F:F,0)) +(($S253 / 240)  * _xlfn.XLOOKUP($E253,'Milk Types Nutrition Per Cup'!A:A,'Milk Types Nutrition Per Cup'!F:F,0)) +(($T253 / 15)  * _xlfn.XLOOKUP($F253,'Liquid Mix In Nutrition'!A:A,'Liquid Mix In Nutrition'!F:F,0))+(($U253 / 15)  * _xlfn.XLOOKUP($G253,'Liquid Mix In Nutrition'!A:A,'Liquid Mix In Nutrition'!F:F,0))+(($V253 / MAX(1, _xlfn.XLOOKUP($H253,'Solid Mix In Nutrition'!A:A,'Solid Mix In Nutrition'!I:I,1)))  * _xlfn.XLOOKUP($H253,'Solid Mix In Nutrition'!A:A,'Solid Mix In Nutrition'!F:F,0))+(($W253 / MAX(1, _xlfn.XLOOKUP($I253,'Solid Mix In Nutrition'!A:A,'Solid Mix In Nutrition'!I:I,1)))  * _xlfn.XLOOKUP($I253,'Solid Mix In Nutrition'!A:A,'Solid Mix In Nutrition'!F:F,0))+(($X253 / 100)  * _xlfn.XLOOKUP($J253,'Sweetener Mix In Nutrition'!A:A,'Sweetener Mix In Nutrition'!F:F,0))+(($Y253 / 100)  * _xlfn.XLOOKUP($K253,'Sweetener Mix In Nutrition'!A:A,'Sweetener Mix In Nutrition'!F:F,0))</f>
        <v>0</v>
      </c>
      <c r="AK253" s="46">
        <f>[2]Sheet1!AG253</f>
        <v>0</v>
      </c>
      <c r="AL253" s="47"/>
      <c r="AM253" s="40">
        <f>IF(ISERROR(((AL253/Specs!$L$3)*Specs!$L$2)*2),0,ROUNDUP((((AL253/Specs!$L$3)*Specs!$L$2)*2),0))</f>
        <v>0</v>
      </c>
      <c r="AN253" s="48">
        <f>ROUNDUP(((AJ253+Specs!$R$2+Specs!$S$2+_xlfn.XLOOKUP($L253,Specs!A:A,Specs!V:V,0))*Specs!$N$2)+AM253,0)</f>
        <v>1</v>
      </c>
      <c r="AO253" s="40">
        <f>ROUNDUP(((AJ253+Specs!$R$2+Specs!$S$2+_xlfn.XLOOKUP($L253,Specs!A:A,Specs!V:V,0))*Specs!$N$2),0)</f>
        <v>1</v>
      </c>
      <c r="AP253" s="30"/>
    </row>
    <row r="254" spans="1:42" x14ac:dyDescent="0.25">
      <c r="A254" s="41" t="str">
        <f>_xlfn.CONCAT(_xlfn.XLOOKUP("What's Your Name?",[1]Sheet1!$1:$1,[1]Sheet1!254:254)," | ",TEXT(_xlfn.XLOOKUP("Completion time",[1]Sheet1!$1:$1,[1]Sheet1!254:254),"dddd, mmm dd, yyyy hh:mm AM/PM"))</f>
        <v xml:space="preserve"> | Saturday, Jan 00, 1900 12:00 AM</v>
      </c>
      <c r="B254" s="76">
        <f>_xlfn.XLOOKUP("What's Your Email Address?",[1]Sheet1!$1:$1,[1]Sheet1!254:254)</f>
        <v>0</v>
      </c>
      <c r="C254" s="31">
        <f>IF(ISBLANK(_xlfn.XLOOKUP("Which Flavor? (Pint Price | Quart Price | Half Gallon Price) (NOTE: Prices may fluctuate based on market conditions)",[1]Sheet1!$1:$1,[1]Sheet1!254:254)),_xlfn.XLOOKUP("Name Your Ice Cream!",[1]Sheet1!$1:$1,[1]Sheet1!254:254),IF(ISNUMBER(FIND("(", _xlfn.XLOOKUP("Which Flavor? (Pint Price | Quart Price | Half Gallon Price) (NOTE: Prices may fluctuate based on market conditions)",[1]Sheet1!$1:$1,[1]Sheet1!254:254))), LEFT(_xlfn.XLOOKUP("Which Flavor? (Pint Price | Quart Price | Half Gallon Price) (NOTE: Prices may fluctuate based on market conditions)",[1]Sheet1!$1:$1,[1]Sheet1!254:254), FIND("(", _xlfn.XLOOKUP("Which Flavor? (Pint Price | Quart Price | Half Gallon Price) (NOTE: Prices may fluctuate based on market conditions)",[1]Sheet1!$1:$1,[1]Sheet1!254:254)) - 1), _xlfn.XLOOKUP("Which Flavor? (Pint Price | Quart Price | Half Gallon Price) (NOTE: Prices may fluctuate based on market conditions)",[1]Sheet1!$1:$1,[1]Sheet1!254:254)))</f>
        <v>0</v>
      </c>
      <c r="D254" s="31">
        <f>IF(COUNTIF('Premade Flavors'!$A:$A, $C254) &gt; 0,IF(ISBLANK(_xlfn.XLOOKUP("What Ice Cream Base Do You Want To Change It To?",[1]Sheet1!$1:$1,[1]Sheet1!254:254)),_xlfn.XLOOKUP($C254,'Premade Flavors'!$A:$A,'Premade Flavors'!B:B),_xlfn.XLOOKUP("What Ice Cream Base Do You Want To Change It To?",[1]Sheet1!$1:$1,[1]Sheet1!254:254)),_xlfn.XLOOKUP(_xlfn.XLOOKUP("What Kind Of Ice Cream Base Do You Want? ",[1]Sheet1!$1:$1,[1]Sheet1!254:254),'Milk Types Nutrition Per Cup'!O:O,'Milk Types Nutrition Per Cup'!P:P,""))</f>
        <v>0</v>
      </c>
      <c r="E254" s="31">
        <f>IF(COUNTIF('Premade Flavors'!$A:$A, $C254) &gt; 0,IF(ISBLANK(_xlfn.XLOOKUP("What Ice Cream Base Do You Want To Change It To?",[1]Sheet1!$1:$1,[1]Sheet1!254:254)),_xlfn.XLOOKUP($C254,'Premade Flavors'!$A:$A,'Premade Flavors'!C:C),_xlfn.XLOOKUP("What Ice Cream Base Do You Want To Change It To?",[1]Sheet1!$1:$1,[1]Sheet1!254:254)),_xlfn.XLOOKUP(_xlfn.XLOOKUP("What Kind Of Ice Cream Base Do You Want? ",[1]Sheet1!$1:$1,[1]Sheet1!254:254),'Milk Types Nutrition Per Cup'!$O:$O,'Milk Types Nutrition Per Cup'!$Q:$Q,""))</f>
        <v>0</v>
      </c>
      <c r="F254" s="31">
        <f>IF(COUNTIF('Premade Flavors'!$A:$A, $C254) &gt; 0,_xlfn.XLOOKUP($C254,'Premade Flavors'!$A:$A,'Premade Flavors'!E:E),_xlfn.XLOOKUP("What's The First Flavor You Want? ",[1]Sheet1!$1:$1,[1]Sheet1!254:254))</f>
        <v>0</v>
      </c>
      <c r="G254" s="31">
        <f>IF(COUNTIF('Premade Flavors'!$A:$A, $C254) &gt; 0,_xlfn.XLOOKUP($C254,'Premade Flavors'!$A:$A,'Premade Flavors'!F:F),_xlfn.XLOOKUP("What's the Second Flavor You Want?",[1]Sheet1!$1:$1,[1]Sheet1!254:254))</f>
        <v>0</v>
      </c>
      <c r="H254" s="31">
        <f>IF(COUNTIF('Premade Flavors'!$A:$A, $C254) &gt; 0,_xlfn.XLOOKUP($C254,'Premade Flavors'!$A:$A,'Premade Flavors'!G:G),_xlfn.XLOOKUP("What's The First Mix In That You Want? ",[1]Sheet1!$1:$1,[1]Sheet1!254:254))</f>
        <v>0</v>
      </c>
      <c r="I254" s="31">
        <f>IF(COUNTIF('Premade Flavors'!$A:$A, $C252) &gt; 0,_xlfn.XLOOKUP($C252,'Premade Flavors'!$A:$A,'Premade Flavors'!H:H),IF([2]Sheet1!W252= 0,,[2]Sheet1!W252))</f>
        <v>0</v>
      </c>
      <c r="J254" s="31">
        <f>IF(COUNTIF('Premade Flavors'!$A:$A,$C254)&gt;0,IF(_xlfn.XLOOKUP("Should It Use Sugar or A Non-Sugar Sweetner?",[1]Sheet1!$1:$1,[1]Sheet1!254:254)="Sugar",_xlfn.XLOOKUP($C254,'Premade Flavors'!$A:$A,'Premade Flavors'!I:I),"Stevia"),_xlfn.XLOOKUP("What Sweetner Do You Want?",[1]Sheet1!$1:$1,[1]Sheet1!254:254))</f>
        <v>0</v>
      </c>
      <c r="K254" s="31"/>
      <c r="L254" s="77">
        <f>_xlfn.XLOOKUP("How Much Ice Cream Do You Want?",[1]Sheet1!$1:$1,[1]Sheet1!254:254)</f>
        <v>0</v>
      </c>
      <c r="M254" s="45">
        <f>IF(COUNTIF('Premade Flavors'!$A:$A, $C254) &gt; 0,_xlfn.XLOOKUP($C254,'Premade Flavors'!$A:$A,'Premade Flavors'!M:M),_xlfn.XLOOKUP("How Strong Do You Want The First Flavor?",[1]Sheet1!$1:$1,[1]Sheet1!254:254))</f>
        <v>0</v>
      </c>
      <c r="N254" s="45">
        <f>IF(COUNTIF('Premade Flavors'!$A:$A, $C254) &gt; 0,_xlfn.XLOOKUP($C254,'Premade Flavors'!$A:$A,'Premade Flavors'!N:N),_xlfn.XLOOKUP("How Strong Do You Want The Second Flavor?",[1]Sheet1!$1:$1,[1]Sheet1!254:254))</f>
        <v>0</v>
      </c>
      <c r="O254" s="45">
        <f>IF(COUNTIF('Premade Flavors'!$A:$A, $C254) &gt; 0,_xlfn.XLOOKUP($C254,'Premade Flavors'!$A:$A,'Premade Flavors'!O:O),_xlfn.XLOOKUP("How Dense Should the Mix Ins Be?",[1]Sheet1!$1:$1,[1]Sheet1!254:254))</f>
        <v>0</v>
      </c>
      <c r="P254" s="45">
        <f>IF(COUNTIF('Premade Flavors'!$A:$A, $C254) &gt; 0,_xlfn.XLOOKUP($C254,'Premade Flavors'!$A:$A,'Premade Flavors'!P:P),_xlfn.XLOOKUP("How Much Of The First Sweetner? ",[1]Sheet1!$1:$1,[1]Sheet1!254:254))</f>
        <v>0</v>
      </c>
      <c r="Q254" s="45">
        <f>IF(COUNTIF('Premade Flavors'!$A:$A, $C254) &gt; 0,_xlfn.XLOOKUP($C254,'Premade Flavors'!$A:$A,'Premade Flavors'!Q:Q),[2]Sheet1!S254)</f>
        <v>0</v>
      </c>
      <c r="R254" s="30">
        <f>(_xlfn.XLOOKUP($L254,Specs!A:A,Specs!B:B,0)-(IF(_xlfn.XLOOKUP($F254,'Liquid Mix In Nutrition'!A:A,'Liquid Mix In Nutrition'!J:J,0)="Yes",0,$T254))-(IF(_xlfn.XLOOKUP($G254,'Liquid Mix In Nutrition'!A:A,'Liquid Mix In Nutrition'!J:J,0)="Yes",0,$U254))-(($V254/MAX(1,_xlfn.XLOOKUP($H254,'Solid Mix In Nutrition'!A:A,'Solid Mix In Nutrition'!I:I,1)))*240)-(($W254/MAX(1,_xlfn.XLOOKUP($I254,'Solid Mix In Nutrition'!A:A,'Solid Mix In Nutrition'!I:I,1)))*240))*0.66</f>
        <v>0</v>
      </c>
      <c r="S254" s="30">
        <f>(_xlfn.XLOOKUP($L254,Specs!A:A,Specs!B:B,0)-(IF(_xlfn.XLOOKUP($F254,'Liquid Mix In Nutrition'!A:A,'Liquid Mix In Nutrition'!J:J,0)="Yes",0,$T254))-(IF(_xlfn.XLOOKUP($G254,'Liquid Mix In Nutrition'!A:A,'Liquid Mix In Nutrition'!J:J,0)="Yes",0,$U254))-(($V254/MAX(1,_xlfn.XLOOKUP($H254,'Solid Mix In Nutrition'!A:A,'Solid Mix In Nutrition'!I:I,1)))*240)-(($W254/MAX(1,_xlfn.XLOOKUP($I254,'Solid Mix In Nutrition'!A:A,'Solid Mix In Nutrition'!I:I,1)))*240))*0.33</f>
        <v>0</v>
      </c>
      <c r="T254" s="30">
        <f>_xlfn.XLOOKUP($M254,Specs!$D:$D,Specs!$E:$E,0)*15*_xlfn.XLOOKUP($L254,Specs!$A:$A,Specs!$C:$C,0)</f>
        <v>0</v>
      </c>
      <c r="U254" s="30">
        <f>_xlfn.XLOOKUP($N254,Specs!$D:$D,Specs!$E:$E,0)*15*_xlfn.XLOOKUP($L254,Specs!$A:$A,Specs!$C:$C,0)</f>
        <v>0</v>
      </c>
      <c r="V254" s="30">
        <f>( ((_xlfn.XLOOKUP($O254,Specs!$H:$H,Specs!$I:$I,0)*_xlfn.XLOOKUP($L254,Specs!$A:$A,Specs!$B:$B,0))/240) *_xlfn.XLOOKUP($H254,'Solid Mix In Nutrition'!A:A,'Solid Mix In Nutrition'!I:I,0)) *IF(AND(NOT($I254=0), COUNTA($I254)),0.5,1)</f>
        <v>0</v>
      </c>
      <c r="W254" s="30">
        <f>( ((_xlfn.XLOOKUP($O254,Specs!$H:$H,Specs!$I:$I,0)*_xlfn.XLOOKUP($L254,Specs!$A:$A,Specs!$B:$B,0))/240) *_xlfn.XLOOKUP($I254,'Solid Mix In Nutrition'!A:A,'Solid Mix In Nutrition'!I:I,0)) *IF(AND(NOT($I254=0), COUNTA($I254)),0.5,0)</f>
        <v>0</v>
      </c>
      <c r="X254" s="30">
        <f>_xlfn.XLOOKUP($P254,Specs!F:F,Specs!G:G,0)*_xlfn.XLOOKUP($J254,'Sweetener Mix In Nutrition'!A:A,'Sweetener Mix In Nutrition'!I:I,0)*_xlfn.XLOOKUP($L254,Specs!A:A,Specs!C:C,0)</f>
        <v>0</v>
      </c>
      <c r="Y254" s="30">
        <f>_xlfn.XLOOKUP($Q254,Specs!F:F,Specs!G:G,0)*_xlfn.XLOOKUP($K254,'Sweetener Mix In Nutrition'!A:A,'Sweetener Mix In Nutrition'!I:I,0)*_xlfn.XLOOKUP($L254,Specs!A:A,Specs!C:C,0)</f>
        <v>0</v>
      </c>
      <c r="Z254" s="34">
        <f t="shared" si="8"/>
        <v>0</v>
      </c>
      <c r="AA254" s="35">
        <f t="shared" si="9"/>
        <v>0</v>
      </c>
      <c r="AB254" s="36">
        <f>(($R254 / 240) * _xlfn.XLOOKUP($D254,'Milk Types Nutrition Per Cup'!A:A,'Milk Types Nutrition Per Cup'!B:B,0)) +(($S254 / 240)  * _xlfn.XLOOKUP($E254,'Milk Types Nutrition Per Cup'!A:A,'Milk Types Nutrition Per Cup'!B:B,0)) +(($T254 / 15)  * _xlfn.XLOOKUP($F254,'Liquid Mix In Nutrition'!A:A,'Liquid Mix In Nutrition'!B:B,0))+(($U254 / 15)  * _xlfn.XLOOKUP($G254,'Liquid Mix In Nutrition'!A:A,'Liquid Mix In Nutrition'!B:B,0))+(($V254 /MAX(1, _xlfn.XLOOKUP($H254,'Solid Mix In Nutrition'!A:A,'Solid Mix In Nutrition'!I:I,1)))  * _xlfn.XLOOKUP($H254,'Solid Mix In Nutrition'!A:A,'Solid Mix In Nutrition'!B:B,0))+(($W254 / MAX(1, _xlfn.XLOOKUP($I254,'Solid Mix In Nutrition'!A:A,'Solid Mix In Nutrition'!I:I,1))))+(($X254 / 100)  * _xlfn.XLOOKUP($J254,'Sweetener Mix In Nutrition'!A:A,'Sweetener Mix In Nutrition'!B:B,0))+(($Y254 / 100)  * _xlfn.XLOOKUP($K254,'Sweetener Mix In Nutrition'!A:A,'Sweetener Mix In Nutrition'!B:B,0))</f>
        <v>0</v>
      </c>
      <c r="AC254" s="36">
        <f>(($R254 / 240) * _xlfn.XLOOKUP($D254,'Milk Types Nutrition Per Cup'!A:A,'Milk Types Nutrition Per Cup'!E:E,0)) +(($S254 / 240)  * _xlfn.XLOOKUP($E254,'Milk Types Nutrition Per Cup'!A:A,'Milk Types Nutrition Per Cup'!E:E,0)) +(($T254 / 15)  * _xlfn.XLOOKUP($F254,'Liquid Mix In Nutrition'!A:A,'Liquid Mix In Nutrition'!E:E,0)) +(($U254 / 15)  * _xlfn.XLOOKUP($G254,'Liquid Mix In Nutrition'!A:A,'Liquid Mix In Nutrition'!E:E,0))+(($V254 / MAX(1, _xlfn.XLOOKUP($H254,'Solid Mix In Nutrition'!A:A,'Solid Mix In Nutrition'!I:I,1)))  * _xlfn.XLOOKUP($H254,'Solid Mix In Nutrition'!A:A,'Solid Mix In Nutrition'!E:E,0))+(($W254 / MAX(1, _xlfn.XLOOKUP($I254,'Solid Mix In Nutrition'!A:A,'Solid Mix In Nutrition'!I:I,1)))  * _xlfn.XLOOKUP($I254,'Solid Mix In Nutrition'!A:A,'Solid Mix In Nutrition'!G:G,0))+(($X254 / 100)  * _xlfn.XLOOKUP($J254,'Sweetener Mix In Nutrition'!A:A,'Sweetener Mix In Nutrition'!E:E,0))+(($Y254 / 100)  * _xlfn.XLOOKUP($K254,'Sweetener Mix In Nutrition'!A:A,'Sweetener Mix In Nutrition'!E:E,0))</f>
        <v>0</v>
      </c>
      <c r="AD254" s="36">
        <f>(($R254 / 240) * _xlfn.XLOOKUP($D254,'Milk Types Nutrition Per Cup'!A:A,'Milk Types Nutrition Per Cup'!E:E,0)) +(($S254 / 240)  * _xlfn.XLOOKUP($E254,'Milk Types Nutrition Per Cup'!A:A,'Milk Types Nutrition Per Cup'!E:E,0)) +(($T254 / 15)  * _xlfn.XLOOKUP($F254,'Liquid Mix In Nutrition'!A:A,'Liquid Mix In Nutrition'!E:E,0)) +(($U254 / 15)  * _xlfn.XLOOKUP($G254,'Liquid Mix In Nutrition'!A:A,'Liquid Mix In Nutrition'!E:E,0))+(($X254 / 100)  * _xlfn.XLOOKUP($J254,'Sweetener Mix In Nutrition'!A:A,'Sweetener Mix In Nutrition'!E:E,0))+(($Y254 / 100)  * _xlfn.XLOOKUP($K254,'Sweetener Mix In Nutrition'!A:A,'Sweetener Mix In Nutrition'!E:E,0))</f>
        <v>0</v>
      </c>
      <c r="AE254" s="37">
        <f>(($R254 / 240) * _xlfn.XLOOKUP($D254,'Milk Types Nutrition Per Cup'!A:A,'Milk Types Nutrition Per Cup'!C:C,0)) +(($S254 / 240)  * _xlfn.XLOOKUP($E254,'Milk Types Nutrition Per Cup'!A:A,'Milk Types Nutrition Per Cup'!C:C,0)) +(($T254 / 15)  * _xlfn.XLOOKUP($F254,'Liquid Mix In Nutrition'!A:A,'Liquid Mix In Nutrition'!C:C,0))+(($U254 / 15)  * _xlfn.XLOOKUP($G254,'Liquid Mix In Nutrition'!A:A,'Liquid Mix In Nutrition'!C:C,0))+(($V254 / MAX(1, _xlfn.XLOOKUP($H254,'Solid Mix In Nutrition'!A:A,'Solid Mix In Nutrition'!I:I,1)))  * _xlfn.XLOOKUP($H254,'Solid Mix In Nutrition'!A:A,'Solid Mix In Nutrition'!C:C,0))+(($W254 / MAX(1, _xlfn.XLOOKUP($I254,'Solid Mix In Nutrition'!A:A,'Solid Mix In Nutrition'!I:I,1)))  * _xlfn.XLOOKUP($I254,'Solid Mix In Nutrition'!A:A,'Solid Mix In Nutrition'!C:C,0))+(($X254 / 100)  * _xlfn.XLOOKUP($J254,'Sweetener Mix In Nutrition'!A:A,'Sweetener Mix In Nutrition'!C:C,0))+(($Y254 / 100)  * _xlfn.XLOOKUP($K254,'Sweetener Mix In Nutrition'!A:A,'Sweetener Mix In Nutrition'!C:C,0))</f>
        <v>0</v>
      </c>
      <c r="AF254" s="38" t="e">
        <f>$AE254 / (_xlfn.XLOOKUP($L254,Specs!A:A,Specs!B:B,0))</f>
        <v>#DIV/0!</v>
      </c>
      <c r="AG254" s="37" t="e">
        <f>60* ($AB254 / _xlfn.XLOOKUP($L254,Specs!A:A,Specs!B:B,0))</f>
        <v>#DIV/0!</v>
      </c>
      <c r="AH254" s="37" t="e">
        <f>60* (AC254 / _xlfn.XLOOKUP($L254,Specs!$A:$A,Specs!$B:$B,0))</f>
        <v>#DIV/0!</v>
      </c>
      <c r="AI254" s="37" t="e">
        <f>60* (AE254 / _xlfn.XLOOKUP($L254,Specs!$A:$A,Specs!$B:$B,0))</f>
        <v>#DIV/0!</v>
      </c>
      <c r="AJ254" s="39">
        <f>(($R254 / 240) * _xlfn.XLOOKUP($D254,'Milk Types Nutrition Per Cup'!A:A,'Milk Types Nutrition Per Cup'!F:F,0)) +(($S254 / 240)  * _xlfn.XLOOKUP($E254,'Milk Types Nutrition Per Cup'!A:A,'Milk Types Nutrition Per Cup'!F:F,0)) +(($T254 / 15)  * _xlfn.XLOOKUP($F254,'Liquid Mix In Nutrition'!A:A,'Liquid Mix In Nutrition'!F:F,0))+(($U254 / 15)  * _xlfn.XLOOKUP($G254,'Liquid Mix In Nutrition'!A:A,'Liquid Mix In Nutrition'!F:F,0))+(($V254 / MAX(1, _xlfn.XLOOKUP($H254,'Solid Mix In Nutrition'!A:A,'Solid Mix In Nutrition'!I:I,1)))  * _xlfn.XLOOKUP($H254,'Solid Mix In Nutrition'!A:A,'Solid Mix In Nutrition'!F:F,0))+(($W254 / MAX(1, _xlfn.XLOOKUP($I254,'Solid Mix In Nutrition'!A:A,'Solid Mix In Nutrition'!I:I,1)))  * _xlfn.XLOOKUP($I254,'Solid Mix In Nutrition'!A:A,'Solid Mix In Nutrition'!F:F,0))+(($X254 / 100)  * _xlfn.XLOOKUP($J254,'Sweetener Mix In Nutrition'!A:A,'Sweetener Mix In Nutrition'!F:F,0))+(($Y254 / 100)  * _xlfn.XLOOKUP($K254,'Sweetener Mix In Nutrition'!A:A,'Sweetener Mix In Nutrition'!F:F,0))</f>
        <v>0</v>
      </c>
      <c r="AK254" s="46">
        <f>[2]Sheet1!AG254</f>
        <v>0</v>
      </c>
      <c r="AL254" s="47"/>
      <c r="AM254" s="40">
        <f>IF(ISERROR(((AL254/Specs!$L$3)*Specs!$L$2)*2),0,ROUNDUP((((AL254/Specs!$L$3)*Specs!$L$2)*2),0))</f>
        <v>0</v>
      </c>
      <c r="AN254" s="48">
        <f>ROUNDUP(((AJ254+Specs!$R$2+Specs!$S$2+_xlfn.XLOOKUP($L254,Specs!A:A,Specs!V:V,0))*Specs!$N$2)+AM254,0)</f>
        <v>1</v>
      </c>
      <c r="AO254" s="40">
        <f>ROUNDUP(((AJ254+Specs!$R$2+Specs!$S$2+_xlfn.XLOOKUP($L254,Specs!A:A,Specs!V:V,0))*Specs!$N$2),0)</f>
        <v>1</v>
      </c>
      <c r="AP254" s="30"/>
    </row>
    <row r="255" spans="1:42" x14ac:dyDescent="0.25">
      <c r="A255" s="41" t="str">
        <f>_xlfn.CONCAT(_xlfn.XLOOKUP("What's Your Name?",[1]Sheet1!$1:$1,[1]Sheet1!255:255)," | ",TEXT(_xlfn.XLOOKUP("Completion time",[1]Sheet1!$1:$1,[1]Sheet1!255:255),"dddd, mmm dd, yyyy hh:mm AM/PM"))</f>
        <v xml:space="preserve"> | Saturday, Jan 00, 1900 12:00 AM</v>
      </c>
      <c r="B255" s="76">
        <f>_xlfn.XLOOKUP("What's Your Email Address?",[1]Sheet1!$1:$1,[1]Sheet1!255:255)</f>
        <v>0</v>
      </c>
      <c r="C255" s="31">
        <f>IF(ISBLANK(_xlfn.XLOOKUP("Which Flavor? (Pint Price | Quart Price | Half Gallon Price) (NOTE: Prices may fluctuate based on market conditions)",[1]Sheet1!$1:$1,[1]Sheet1!255:255)),_xlfn.XLOOKUP("Name Your Ice Cream!",[1]Sheet1!$1:$1,[1]Sheet1!255:255),IF(ISNUMBER(FIND("(", _xlfn.XLOOKUP("Which Flavor? (Pint Price | Quart Price | Half Gallon Price) (NOTE: Prices may fluctuate based on market conditions)",[1]Sheet1!$1:$1,[1]Sheet1!255:255))), LEFT(_xlfn.XLOOKUP("Which Flavor? (Pint Price | Quart Price | Half Gallon Price) (NOTE: Prices may fluctuate based on market conditions)",[1]Sheet1!$1:$1,[1]Sheet1!255:255), FIND("(", _xlfn.XLOOKUP("Which Flavor? (Pint Price | Quart Price | Half Gallon Price) (NOTE: Prices may fluctuate based on market conditions)",[1]Sheet1!$1:$1,[1]Sheet1!255:255)) - 1), _xlfn.XLOOKUP("Which Flavor? (Pint Price | Quart Price | Half Gallon Price) (NOTE: Prices may fluctuate based on market conditions)",[1]Sheet1!$1:$1,[1]Sheet1!255:255)))</f>
        <v>0</v>
      </c>
      <c r="D255" s="31">
        <f>IF(COUNTIF('Premade Flavors'!$A:$A, $C255) &gt; 0,IF(ISBLANK(_xlfn.XLOOKUP("What Ice Cream Base Do You Want To Change It To?",[1]Sheet1!$1:$1,[1]Sheet1!255:255)),_xlfn.XLOOKUP($C255,'Premade Flavors'!$A:$A,'Premade Flavors'!B:B),_xlfn.XLOOKUP("What Ice Cream Base Do You Want To Change It To?",[1]Sheet1!$1:$1,[1]Sheet1!255:255)),_xlfn.XLOOKUP(_xlfn.XLOOKUP("What Kind Of Ice Cream Base Do You Want? ",[1]Sheet1!$1:$1,[1]Sheet1!255:255),'Milk Types Nutrition Per Cup'!O:O,'Milk Types Nutrition Per Cup'!P:P,""))</f>
        <v>0</v>
      </c>
      <c r="E255" s="31">
        <f>IF(COUNTIF('Premade Flavors'!$A:$A, $C255) &gt; 0,IF(ISBLANK(_xlfn.XLOOKUP("What Ice Cream Base Do You Want To Change It To?",[1]Sheet1!$1:$1,[1]Sheet1!255:255)),_xlfn.XLOOKUP($C255,'Premade Flavors'!$A:$A,'Premade Flavors'!C:C),_xlfn.XLOOKUP("What Ice Cream Base Do You Want To Change It To?",[1]Sheet1!$1:$1,[1]Sheet1!255:255)),_xlfn.XLOOKUP(_xlfn.XLOOKUP("What Kind Of Ice Cream Base Do You Want? ",[1]Sheet1!$1:$1,[1]Sheet1!255:255),'Milk Types Nutrition Per Cup'!$O:$O,'Milk Types Nutrition Per Cup'!$Q:$Q,""))</f>
        <v>0</v>
      </c>
      <c r="F255" s="31">
        <f>IF(COUNTIF('Premade Flavors'!$A:$A, $C255) &gt; 0,_xlfn.XLOOKUP($C255,'Premade Flavors'!$A:$A,'Premade Flavors'!E:E),_xlfn.XLOOKUP("What's The First Flavor You Want? ",[1]Sheet1!$1:$1,[1]Sheet1!255:255))</f>
        <v>0</v>
      </c>
      <c r="G255" s="31">
        <f>IF(COUNTIF('Premade Flavors'!$A:$A, $C255) &gt; 0,_xlfn.XLOOKUP($C255,'Premade Flavors'!$A:$A,'Premade Flavors'!F:F),_xlfn.XLOOKUP("What's the Second Flavor You Want?",[1]Sheet1!$1:$1,[1]Sheet1!255:255))</f>
        <v>0</v>
      </c>
      <c r="H255" s="31">
        <f>IF(COUNTIF('Premade Flavors'!$A:$A, $C255) &gt; 0,_xlfn.XLOOKUP($C255,'Premade Flavors'!$A:$A,'Premade Flavors'!G:G),_xlfn.XLOOKUP("What's The First Mix In That You Want? ",[1]Sheet1!$1:$1,[1]Sheet1!255:255))</f>
        <v>0</v>
      </c>
      <c r="I255" s="31">
        <f>IF(COUNTIF('Premade Flavors'!$A:$A, $C253) &gt; 0,_xlfn.XLOOKUP($C253,'Premade Flavors'!$A:$A,'Premade Flavors'!H:H),IF([2]Sheet1!W253= 0,,[2]Sheet1!W253))</f>
        <v>0</v>
      </c>
      <c r="J255" s="31">
        <f>IF(COUNTIF('Premade Flavors'!$A:$A,$C255)&gt;0,IF(_xlfn.XLOOKUP("Should It Use Sugar or A Non-Sugar Sweetner?",[1]Sheet1!$1:$1,[1]Sheet1!255:255)="Sugar",_xlfn.XLOOKUP($C255,'Premade Flavors'!$A:$A,'Premade Flavors'!I:I),"Stevia"),_xlfn.XLOOKUP("What Sweetner Do You Want?",[1]Sheet1!$1:$1,[1]Sheet1!255:255))</f>
        <v>0</v>
      </c>
      <c r="K255" s="31"/>
      <c r="L255" s="77">
        <f>_xlfn.XLOOKUP("How Much Ice Cream Do You Want?",[1]Sheet1!$1:$1,[1]Sheet1!255:255)</f>
        <v>0</v>
      </c>
      <c r="M255" s="45">
        <f>IF(COUNTIF('Premade Flavors'!$A:$A, $C255) &gt; 0,_xlfn.XLOOKUP($C255,'Premade Flavors'!$A:$A,'Premade Flavors'!M:M),_xlfn.XLOOKUP("How Strong Do You Want The First Flavor?",[1]Sheet1!$1:$1,[1]Sheet1!255:255))</f>
        <v>0</v>
      </c>
      <c r="N255" s="45">
        <f>IF(COUNTIF('Premade Flavors'!$A:$A, $C255) &gt; 0,_xlfn.XLOOKUP($C255,'Premade Flavors'!$A:$A,'Premade Flavors'!N:N),_xlfn.XLOOKUP("How Strong Do You Want The Second Flavor?",[1]Sheet1!$1:$1,[1]Sheet1!255:255))</f>
        <v>0</v>
      </c>
      <c r="O255" s="45">
        <f>IF(COUNTIF('Premade Flavors'!$A:$A, $C255) &gt; 0,_xlfn.XLOOKUP($C255,'Premade Flavors'!$A:$A,'Premade Flavors'!O:O),_xlfn.XLOOKUP("How Dense Should the Mix Ins Be?",[1]Sheet1!$1:$1,[1]Sheet1!255:255))</f>
        <v>0</v>
      </c>
      <c r="P255" s="45">
        <f>IF(COUNTIF('Premade Flavors'!$A:$A, $C255) &gt; 0,_xlfn.XLOOKUP($C255,'Premade Flavors'!$A:$A,'Premade Flavors'!P:P),_xlfn.XLOOKUP("How Much Of The First Sweetner? ",[1]Sheet1!$1:$1,[1]Sheet1!255:255))</f>
        <v>0</v>
      </c>
      <c r="Q255" s="45">
        <f>IF(COUNTIF('Premade Flavors'!$A:$A, $C255) &gt; 0,_xlfn.XLOOKUP($C255,'Premade Flavors'!$A:$A,'Premade Flavors'!Q:Q),[2]Sheet1!S255)</f>
        <v>0</v>
      </c>
      <c r="R255" s="30">
        <f>(_xlfn.XLOOKUP($L255,Specs!A:A,Specs!B:B,0)-(IF(_xlfn.XLOOKUP($F255,'Liquid Mix In Nutrition'!A:A,'Liquid Mix In Nutrition'!J:J,0)="Yes",0,$T255))-(IF(_xlfn.XLOOKUP($G255,'Liquid Mix In Nutrition'!A:A,'Liquid Mix In Nutrition'!J:J,0)="Yes",0,$U255))-(($V255/MAX(1,_xlfn.XLOOKUP($H255,'Solid Mix In Nutrition'!A:A,'Solid Mix In Nutrition'!I:I,1)))*240)-(($W255/MAX(1,_xlfn.XLOOKUP($I255,'Solid Mix In Nutrition'!A:A,'Solid Mix In Nutrition'!I:I,1)))*240))*0.66</f>
        <v>0</v>
      </c>
      <c r="S255" s="30">
        <f>(_xlfn.XLOOKUP($L255,Specs!A:A,Specs!B:B,0)-(IF(_xlfn.XLOOKUP($F255,'Liquid Mix In Nutrition'!A:A,'Liquid Mix In Nutrition'!J:J,0)="Yes",0,$T255))-(IF(_xlfn.XLOOKUP($G255,'Liquid Mix In Nutrition'!A:A,'Liquid Mix In Nutrition'!J:J,0)="Yes",0,$U255))-(($V255/MAX(1,_xlfn.XLOOKUP($H255,'Solid Mix In Nutrition'!A:A,'Solid Mix In Nutrition'!I:I,1)))*240)-(($W255/MAX(1,_xlfn.XLOOKUP($I255,'Solid Mix In Nutrition'!A:A,'Solid Mix In Nutrition'!I:I,1)))*240))*0.33</f>
        <v>0</v>
      </c>
      <c r="T255" s="30">
        <f>_xlfn.XLOOKUP($M255,Specs!$D:$D,Specs!$E:$E,0)*15*_xlfn.XLOOKUP($L255,Specs!$A:$A,Specs!$C:$C,0)</f>
        <v>0</v>
      </c>
      <c r="U255" s="30">
        <f>_xlfn.XLOOKUP($N255,Specs!$D:$D,Specs!$E:$E,0)*15*_xlfn.XLOOKUP($L255,Specs!$A:$A,Specs!$C:$C,0)</f>
        <v>0</v>
      </c>
      <c r="V255" s="30">
        <f>( ((_xlfn.XLOOKUP($O255,Specs!$H:$H,Specs!$I:$I,0)*_xlfn.XLOOKUP($L255,Specs!$A:$A,Specs!$B:$B,0))/240) *_xlfn.XLOOKUP($H255,'Solid Mix In Nutrition'!A:A,'Solid Mix In Nutrition'!I:I,0)) *IF(AND(NOT($I255=0), COUNTA($I255)),0.5,1)</f>
        <v>0</v>
      </c>
      <c r="W255" s="30">
        <f>( ((_xlfn.XLOOKUP($O255,Specs!$H:$H,Specs!$I:$I,0)*_xlfn.XLOOKUP($L255,Specs!$A:$A,Specs!$B:$B,0))/240) *_xlfn.XLOOKUP($I255,'Solid Mix In Nutrition'!A:A,'Solid Mix In Nutrition'!I:I,0)) *IF(AND(NOT($I255=0), COUNTA($I255)),0.5,0)</f>
        <v>0</v>
      </c>
      <c r="X255" s="30">
        <f>_xlfn.XLOOKUP($P255,Specs!F:F,Specs!G:G,0)*_xlfn.XLOOKUP($J255,'Sweetener Mix In Nutrition'!A:A,'Sweetener Mix In Nutrition'!I:I,0)*_xlfn.XLOOKUP($L255,Specs!A:A,Specs!C:C,0)</f>
        <v>0</v>
      </c>
      <c r="Y255" s="30">
        <f>_xlfn.XLOOKUP($Q255,Specs!F:F,Specs!G:G,0)*_xlfn.XLOOKUP($K255,'Sweetener Mix In Nutrition'!A:A,'Sweetener Mix In Nutrition'!I:I,0)*_xlfn.XLOOKUP($L255,Specs!A:A,Specs!C:C,0)</f>
        <v>0</v>
      </c>
      <c r="Z255" s="34">
        <f t="shared" si="8"/>
        <v>0</v>
      </c>
      <c r="AA255" s="35">
        <f t="shared" si="9"/>
        <v>0</v>
      </c>
      <c r="AB255" s="36">
        <f>(($R255 / 240) * _xlfn.XLOOKUP($D255,'Milk Types Nutrition Per Cup'!A:A,'Milk Types Nutrition Per Cup'!B:B,0)) +(($S255 / 240)  * _xlfn.XLOOKUP($E255,'Milk Types Nutrition Per Cup'!A:A,'Milk Types Nutrition Per Cup'!B:B,0)) +(($T255 / 15)  * _xlfn.XLOOKUP($F255,'Liquid Mix In Nutrition'!A:A,'Liquid Mix In Nutrition'!B:B,0))+(($U255 / 15)  * _xlfn.XLOOKUP($G255,'Liquid Mix In Nutrition'!A:A,'Liquid Mix In Nutrition'!B:B,0))+(($V255 /MAX(1, _xlfn.XLOOKUP($H255,'Solid Mix In Nutrition'!A:A,'Solid Mix In Nutrition'!I:I,1)))  * _xlfn.XLOOKUP($H255,'Solid Mix In Nutrition'!A:A,'Solid Mix In Nutrition'!B:B,0))+(($W255 / MAX(1, _xlfn.XLOOKUP($I255,'Solid Mix In Nutrition'!A:A,'Solid Mix In Nutrition'!I:I,1))))+(($X255 / 100)  * _xlfn.XLOOKUP($J255,'Sweetener Mix In Nutrition'!A:A,'Sweetener Mix In Nutrition'!B:B,0))+(($Y255 / 100)  * _xlfn.XLOOKUP($K255,'Sweetener Mix In Nutrition'!A:A,'Sweetener Mix In Nutrition'!B:B,0))</f>
        <v>0</v>
      </c>
      <c r="AC255" s="36">
        <f>(($R255 / 240) * _xlfn.XLOOKUP($D255,'Milk Types Nutrition Per Cup'!A:A,'Milk Types Nutrition Per Cup'!E:E,0)) +(($S255 / 240)  * _xlfn.XLOOKUP($E255,'Milk Types Nutrition Per Cup'!A:A,'Milk Types Nutrition Per Cup'!E:E,0)) +(($T255 / 15)  * _xlfn.XLOOKUP($F255,'Liquid Mix In Nutrition'!A:A,'Liquid Mix In Nutrition'!E:E,0)) +(($U255 / 15)  * _xlfn.XLOOKUP($G255,'Liquid Mix In Nutrition'!A:A,'Liquid Mix In Nutrition'!E:E,0))+(($V255 / MAX(1, _xlfn.XLOOKUP($H255,'Solid Mix In Nutrition'!A:A,'Solid Mix In Nutrition'!I:I,1)))  * _xlfn.XLOOKUP($H255,'Solid Mix In Nutrition'!A:A,'Solid Mix In Nutrition'!E:E,0))+(($W255 / MAX(1, _xlfn.XLOOKUP($I255,'Solid Mix In Nutrition'!A:A,'Solid Mix In Nutrition'!I:I,1)))  * _xlfn.XLOOKUP($I255,'Solid Mix In Nutrition'!A:A,'Solid Mix In Nutrition'!G:G,0))+(($X255 / 100)  * _xlfn.XLOOKUP($J255,'Sweetener Mix In Nutrition'!A:A,'Sweetener Mix In Nutrition'!E:E,0))+(($Y255 / 100)  * _xlfn.XLOOKUP($K255,'Sweetener Mix In Nutrition'!A:A,'Sweetener Mix In Nutrition'!E:E,0))</f>
        <v>0</v>
      </c>
      <c r="AD255" s="36">
        <f>(($R255 / 240) * _xlfn.XLOOKUP($D255,'Milk Types Nutrition Per Cup'!A:A,'Milk Types Nutrition Per Cup'!E:E,0)) +(($S255 / 240)  * _xlfn.XLOOKUP($E255,'Milk Types Nutrition Per Cup'!A:A,'Milk Types Nutrition Per Cup'!E:E,0)) +(($T255 / 15)  * _xlfn.XLOOKUP($F255,'Liquid Mix In Nutrition'!A:A,'Liquid Mix In Nutrition'!E:E,0)) +(($U255 / 15)  * _xlfn.XLOOKUP($G255,'Liquid Mix In Nutrition'!A:A,'Liquid Mix In Nutrition'!E:E,0))+(($X255 / 100)  * _xlfn.XLOOKUP($J255,'Sweetener Mix In Nutrition'!A:A,'Sweetener Mix In Nutrition'!E:E,0))+(($Y255 / 100)  * _xlfn.XLOOKUP($K255,'Sweetener Mix In Nutrition'!A:A,'Sweetener Mix In Nutrition'!E:E,0))</f>
        <v>0</v>
      </c>
      <c r="AE255" s="37">
        <f>(($R255 / 240) * _xlfn.XLOOKUP($D255,'Milk Types Nutrition Per Cup'!A:A,'Milk Types Nutrition Per Cup'!C:C,0)) +(($S255 / 240)  * _xlfn.XLOOKUP($E255,'Milk Types Nutrition Per Cup'!A:A,'Milk Types Nutrition Per Cup'!C:C,0)) +(($T255 / 15)  * _xlfn.XLOOKUP($F255,'Liquid Mix In Nutrition'!A:A,'Liquid Mix In Nutrition'!C:C,0))+(($U255 / 15)  * _xlfn.XLOOKUP($G255,'Liquid Mix In Nutrition'!A:A,'Liquid Mix In Nutrition'!C:C,0))+(($V255 / MAX(1, _xlfn.XLOOKUP($H255,'Solid Mix In Nutrition'!A:A,'Solid Mix In Nutrition'!I:I,1)))  * _xlfn.XLOOKUP($H255,'Solid Mix In Nutrition'!A:A,'Solid Mix In Nutrition'!C:C,0))+(($W255 / MAX(1, _xlfn.XLOOKUP($I255,'Solid Mix In Nutrition'!A:A,'Solid Mix In Nutrition'!I:I,1)))  * _xlfn.XLOOKUP($I255,'Solid Mix In Nutrition'!A:A,'Solid Mix In Nutrition'!C:C,0))+(($X255 / 100)  * _xlfn.XLOOKUP($J255,'Sweetener Mix In Nutrition'!A:A,'Sweetener Mix In Nutrition'!C:C,0))+(($Y255 / 100)  * _xlfn.XLOOKUP($K255,'Sweetener Mix In Nutrition'!A:A,'Sweetener Mix In Nutrition'!C:C,0))</f>
        <v>0</v>
      </c>
      <c r="AF255" s="38" t="e">
        <f>$AE255 / (_xlfn.XLOOKUP($L255,Specs!A:A,Specs!B:B,0))</f>
        <v>#DIV/0!</v>
      </c>
      <c r="AG255" s="37" t="e">
        <f>60* ($AB255 / _xlfn.XLOOKUP($L255,Specs!A:A,Specs!B:B,0))</f>
        <v>#DIV/0!</v>
      </c>
      <c r="AH255" s="37" t="e">
        <f>60* (AC255 / _xlfn.XLOOKUP($L255,Specs!$A:$A,Specs!$B:$B,0))</f>
        <v>#DIV/0!</v>
      </c>
      <c r="AI255" s="37" t="e">
        <f>60* (AE255 / _xlfn.XLOOKUP($L255,Specs!$A:$A,Specs!$B:$B,0))</f>
        <v>#DIV/0!</v>
      </c>
      <c r="AJ255" s="39">
        <f>(($R255 / 240) * _xlfn.XLOOKUP($D255,'Milk Types Nutrition Per Cup'!A:A,'Milk Types Nutrition Per Cup'!F:F,0)) +(($S255 / 240)  * _xlfn.XLOOKUP($E255,'Milk Types Nutrition Per Cup'!A:A,'Milk Types Nutrition Per Cup'!F:F,0)) +(($T255 / 15)  * _xlfn.XLOOKUP($F255,'Liquid Mix In Nutrition'!A:A,'Liquid Mix In Nutrition'!F:F,0))+(($U255 / 15)  * _xlfn.XLOOKUP($G255,'Liquid Mix In Nutrition'!A:A,'Liquid Mix In Nutrition'!F:F,0))+(($V255 / MAX(1, _xlfn.XLOOKUP($H255,'Solid Mix In Nutrition'!A:A,'Solid Mix In Nutrition'!I:I,1)))  * _xlfn.XLOOKUP($H255,'Solid Mix In Nutrition'!A:A,'Solid Mix In Nutrition'!F:F,0))+(($W255 / MAX(1, _xlfn.XLOOKUP($I255,'Solid Mix In Nutrition'!A:A,'Solid Mix In Nutrition'!I:I,1)))  * _xlfn.XLOOKUP($I255,'Solid Mix In Nutrition'!A:A,'Solid Mix In Nutrition'!F:F,0))+(($X255 / 100)  * _xlfn.XLOOKUP($J255,'Sweetener Mix In Nutrition'!A:A,'Sweetener Mix In Nutrition'!F:F,0))+(($Y255 / 100)  * _xlfn.XLOOKUP($K255,'Sweetener Mix In Nutrition'!A:A,'Sweetener Mix In Nutrition'!F:F,0))</f>
        <v>0</v>
      </c>
      <c r="AK255" s="46">
        <f>[2]Sheet1!AG255</f>
        <v>0</v>
      </c>
      <c r="AL255" s="47"/>
      <c r="AM255" s="40">
        <f>IF(ISERROR(((AL255/Specs!$L$3)*Specs!$L$2)*2),0,ROUNDUP((((AL255/Specs!$L$3)*Specs!$L$2)*2),0))</f>
        <v>0</v>
      </c>
      <c r="AN255" s="48">
        <f>ROUNDUP(((AJ255+Specs!$R$2+Specs!$S$2+_xlfn.XLOOKUP($L255,Specs!A:A,Specs!V:V,0))*Specs!$N$2)+AM255,0)</f>
        <v>1</v>
      </c>
      <c r="AO255" s="40">
        <f>ROUNDUP(((AJ255+Specs!$R$2+Specs!$S$2+_xlfn.XLOOKUP($L255,Specs!A:A,Specs!V:V,0))*Specs!$N$2),0)</f>
        <v>1</v>
      </c>
      <c r="AP255" s="30"/>
    </row>
    <row r="256" spans="1:42" x14ac:dyDescent="0.25">
      <c r="A256" s="41" t="str">
        <f>_xlfn.CONCAT(_xlfn.XLOOKUP("What's Your Name?",[1]Sheet1!$1:$1,[1]Sheet1!256:256)," | ",TEXT(_xlfn.XLOOKUP("Completion time",[1]Sheet1!$1:$1,[1]Sheet1!256:256),"dddd, mmm dd, yyyy hh:mm AM/PM"))</f>
        <v xml:space="preserve"> | Saturday, Jan 00, 1900 12:00 AM</v>
      </c>
      <c r="B256" s="76">
        <f>_xlfn.XLOOKUP("What's Your Email Address?",[1]Sheet1!$1:$1,[1]Sheet1!256:256)</f>
        <v>0</v>
      </c>
      <c r="C256" s="31">
        <f>IF(ISBLANK(_xlfn.XLOOKUP("Which Flavor? (Pint Price | Quart Price | Half Gallon Price) (NOTE: Prices may fluctuate based on market conditions)",[1]Sheet1!$1:$1,[1]Sheet1!256:256)),_xlfn.XLOOKUP("Name Your Ice Cream!",[1]Sheet1!$1:$1,[1]Sheet1!256:256),IF(ISNUMBER(FIND("(", _xlfn.XLOOKUP("Which Flavor? (Pint Price | Quart Price | Half Gallon Price) (NOTE: Prices may fluctuate based on market conditions)",[1]Sheet1!$1:$1,[1]Sheet1!256:256))), LEFT(_xlfn.XLOOKUP("Which Flavor? (Pint Price | Quart Price | Half Gallon Price) (NOTE: Prices may fluctuate based on market conditions)",[1]Sheet1!$1:$1,[1]Sheet1!256:256), FIND("(", _xlfn.XLOOKUP("Which Flavor? (Pint Price | Quart Price | Half Gallon Price) (NOTE: Prices may fluctuate based on market conditions)",[1]Sheet1!$1:$1,[1]Sheet1!256:256)) - 1), _xlfn.XLOOKUP("Which Flavor? (Pint Price | Quart Price | Half Gallon Price) (NOTE: Prices may fluctuate based on market conditions)",[1]Sheet1!$1:$1,[1]Sheet1!256:256)))</f>
        <v>0</v>
      </c>
      <c r="D256" s="31">
        <f>IF(COUNTIF('Premade Flavors'!$A:$A, $C256) &gt; 0,IF(ISBLANK(_xlfn.XLOOKUP("What Ice Cream Base Do You Want To Change It To?",[1]Sheet1!$1:$1,[1]Sheet1!256:256)),_xlfn.XLOOKUP($C256,'Premade Flavors'!$A:$A,'Premade Flavors'!B:B),_xlfn.XLOOKUP("What Ice Cream Base Do You Want To Change It To?",[1]Sheet1!$1:$1,[1]Sheet1!256:256)),_xlfn.XLOOKUP(_xlfn.XLOOKUP("What Kind Of Ice Cream Base Do You Want? ",[1]Sheet1!$1:$1,[1]Sheet1!256:256),'Milk Types Nutrition Per Cup'!O:O,'Milk Types Nutrition Per Cup'!P:P,""))</f>
        <v>0</v>
      </c>
      <c r="E256" s="31">
        <f>IF(COUNTIF('Premade Flavors'!$A:$A, $C256) &gt; 0,IF(ISBLANK(_xlfn.XLOOKUP("What Ice Cream Base Do You Want To Change It To?",[1]Sheet1!$1:$1,[1]Sheet1!256:256)),_xlfn.XLOOKUP($C256,'Premade Flavors'!$A:$A,'Premade Flavors'!C:C),_xlfn.XLOOKUP("What Ice Cream Base Do You Want To Change It To?",[1]Sheet1!$1:$1,[1]Sheet1!256:256)),_xlfn.XLOOKUP(_xlfn.XLOOKUP("What Kind Of Ice Cream Base Do You Want? ",[1]Sheet1!$1:$1,[1]Sheet1!256:256),'Milk Types Nutrition Per Cup'!$O:$O,'Milk Types Nutrition Per Cup'!$Q:$Q,""))</f>
        <v>0</v>
      </c>
      <c r="F256" s="31">
        <f>IF(COUNTIF('Premade Flavors'!$A:$A, $C256) &gt; 0,_xlfn.XLOOKUP($C256,'Premade Flavors'!$A:$A,'Premade Flavors'!E:E),_xlfn.XLOOKUP("What's The First Flavor You Want? ",[1]Sheet1!$1:$1,[1]Sheet1!256:256))</f>
        <v>0</v>
      </c>
      <c r="G256" s="31">
        <f>IF(COUNTIF('Premade Flavors'!$A:$A, $C256) &gt; 0,_xlfn.XLOOKUP($C256,'Premade Flavors'!$A:$A,'Premade Flavors'!F:F),_xlfn.XLOOKUP("What's the Second Flavor You Want?",[1]Sheet1!$1:$1,[1]Sheet1!256:256))</f>
        <v>0</v>
      </c>
      <c r="H256" s="31">
        <f>IF(COUNTIF('Premade Flavors'!$A:$A, $C256) &gt; 0,_xlfn.XLOOKUP($C256,'Premade Flavors'!$A:$A,'Premade Flavors'!G:G),_xlfn.XLOOKUP("What's The First Mix In That You Want? ",[1]Sheet1!$1:$1,[1]Sheet1!256:256))</f>
        <v>0</v>
      </c>
      <c r="I256" s="31">
        <f>IF(COUNTIF('Premade Flavors'!$A:$A, $C254) &gt; 0,_xlfn.XLOOKUP($C254,'Premade Flavors'!$A:$A,'Premade Flavors'!H:H),IF([2]Sheet1!W254= 0,,[2]Sheet1!W254))</f>
        <v>0</v>
      </c>
      <c r="J256" s="31">
        <f>IF(COUNTIF('Premade Flavors'!$A:$A,$C256)&gt;0,IF(_xlfn.XLOOKUP("Should It Use Sugar or A Non-Sugar Sweetner?",[1]Sheet1!$1:$1,[1]Sheet1!256:256)="Sugar",_xlfn.XLOOKUP($C256,'Premade Flavors'!$A:$A,'Premade Flavors'!I:I),"Stevia"),_xlfn.XLOOKUP("What Sweetner Do You Want?",[1]Sheet1!$1:$1,[1]Sheet1!256:256))</f>
        <v>0</v>
      </c>
      <c r="K256" s="31"/>
      <c r="L256" s="77">
        <f>_xlfn.XLOOKUP("How Much Ice Cream Do You Want?",[1]Sheet1!$1:$1,[1]Sheet1!256:256)</f>
        <v>0</v>
      </c>
      <c r="M256" s="45">
        <f>IF(COUNTIF('Premade Flavors'!$A:$A, $C256) &gt; 0,_xlfn.XLOOKUP($C256,'Premade Flavors'!$A:$A,'Premade Flavors'!M:M),_xlfn.XLOOKUP("How Strong Do You Want The First Flavor?",[1]Sheet1!$1:$1,[1]Sheet1!256:256))</f>
        <v>0</v>
      </c>
      <c r="N256" s="45">
        <f>IF(COUNTIF('Premade Flavors'!$A:$A, $C256) &gt; 0,_xlfn.XLOOKUP($C256,'Premade Flavors'!$A:$A,'Premade Flavors'!N:N),_xlfn.XLOOKUP("How Strong Do You Want The Second Flavor?",[1]Sheet1!$1:$1,[1]Sheet1!256:256))</f>
        <v>0</v>
      </c>
      <c r="O256" s="45">
        <f>IF(COUNTIF('Premade Flavors'!$A:$A, $C256) &gt; 0,_xlfn.XLOOKUP($C256,'Premade Flavors'!$A:$A,'Premade Flavors'!O:O),_xlfn.XLOOKUP("How Dense Should the Mix Ins Be?",[1]Sheet1!$1:$1,[1]Sheet1!256:256))</f>
        <v>0</v>
      </c>
      <c r="P256" s="45">
        <f>IF(COUNTIF('Premade Flavors'!$A:$A, $C256) &gt; 0,_xlfn.XLOOKUP($C256,'Premade Flavors'!$A:$A,'Premade Flavors'!P:P),_xlfn.XLOOKUP("How Much Of The First Sweetner? ",[1]Sheet1!$1:$1,[1]Sheet1!256:256))</f>
        <v>0</v>
      </c>
      <c r="Q256" s="45">
        <f>IF(COUNTIF('Premade Flavors'!$A:$A, $C256) &gt; 0,_xlfn.XLOOKUP($C256,'Premade Flavors'!$A:$A,'Premade Flavors'!Q:Q),[2]Sheet1!S256)</f>
        <v>0</v>
      </c>
      <c r="R256" s="30">
        <f>(_xlfn.XLOOKUP($L256,Specs!A:A,Specs!B:B,0)-(IF(_xlfn.XLOOKUP($F256,'Liquid Mix In Nutrition'!A:A,'Liquid Mix In Nutrition'!J:J,0)="Yes",0,$T256))-(IF(_xlfn.XLOOKUP($G256,'Liquid Mix In Nutrition'!A:A,'Liquid Mix In Nutrition'!J:J,0)="Yes",0,$U256))-(($V256/MAX(1,_xlfn.XLOOKUP($H256,'Solid Mix In Nutrition'!A:A,'Solid Mix In Nutrition'!I:I,1)))*240)-(($W256/MAX(1,_xlfn.XLOOKUP($I256,'Solid Mix In Nutrition'!A:A,'Solid Mix In Nutrition'!I:I,1)))*240))*0.66</f>
        <v>0</v>
      </c>
      <c r="S256" s="30">
        <f>(_xlfn.XLOOKUP($L256,Specs!A:A,Specs!B:B,0)-(IF(_xlfn.XLOOKUP($F256,'Liquid Mix In Nutrition'!A:A,'Liquid Mix In Nutrition'!J:J,0)="Yes",0,$T256))-(IF(_xlfn.XLOOKUP($G256,'Liquid Mix In Nutrition'!A:A,'Liquid Mix In Nutrition'!J:J,0)="Yes",0,$U256))-(($V256/MAX(1,_xlfn.XLOOKUP($H256,'Solid Mix In Nutrition'!A:A,'Solid Mix In Nutrition'!I:I,1)))*240)-(($W256/MAX(1,_xlfn.XLOOKUP($I256,'Solid Mix In Nutrition'!A:A,'Solid Mix In Nutrition'!I:I,1)))*240))*0.33</f>
        <v>0</v>
      </c>
      <c r="T256" s="30">
        <f>_xlfn.XLOOKUP($M256,Specs!$D:$D,Specs!$E:$E,0)*15*_xlfn.XLOOKUP($L256,Specs!$A:$A,Specs!$C:$C,0)</f>
        <v>0</v>
      </c>
      <c r="U256" s="30">
        <f>_xlfn.XLOOKUP($N256,Specs!$D:$D,Specs!$E:$E,0)*15*_xlfn.XLOOKUP($L256,Specs!$A:$A,Specs!$C:$C,0)</f>
        <v>0</v>
      </c>
      <c r="V256" s="30">
        <f>( ((_xlfn.XLOOKUP($O256,Specs!$H:$H,Specs!$I:$I,0)*_xlfn.XLOOKUP($L256,Specs!$A:$A,Specs!$B:$B,0))/240) *_xlfn.XLOOKUP($H256,'Solid Mix In Nutrition'!A:A,'Solid Mix In Nutrition'!I:I,0)) *IF(AND(NOT($I256=0), COUNTA($I256)),0.5,1)</f>
        <v>0</v>
      </c>
      <c r="W256" s="30">
        <f>( ((_xlfn.XLOOKUP($O256,Specs!$H:$H,Specs!$I:$I,0)*_xlfn.XLOOKUP($L256,Specs!$A:$A,Specs!$B:$B,0))/240) *_xlfn.XLOOKUP($I256,'Solid Mix In Nutrition'!A:A,'Solid Mix In Nutrition'!I:I,0)) *IF(AND(NOT($I256=0), COUNTA($I256)),0.5,0)</f>
        <v>0</v>
      </c>
      <c r="X256" s="30">
        <f>_xlfn.XLOOKUP($P256,Specs!F:F,Specs!G:G,0)*_xlfn.XLOOKUP($J256,'Sweetener Mix In Nutrition'!A:A,'Sweetener Mix In Nutrition'!I:I,0)*_xlfn.XLOOKUP($L256,Specs!A:A,Specs!C:C,0)</f>
        <v>0</v>
      </c>
      <c r="Y256" s="30">
        <f>_xlfn.XLOOKUP($Q256,Specs!F:F,Specs!G:G,0)*_xlfn.XLOOKUP($K256,'Sweetener Mix In Nutrition'!A:A,'Sweetener Mix In Nutrition'!I:I,0)*_xlfn.XLOOKUP($L256,Specs!A:A,Specs!C:C,0)</f>
        <v>0</v>
      </c>
      <c r="Z256" s="34">
        <f t="shared" si="8"/>
        <v>0</v>
      </c>
      <c r="AA256" s="35">
        <f t="shared" si="9"/>
        <v>0</v>
      </c>
      <c r="AB256" s="36">
        <f>(($R256 / 240) * _xlfn.XLOOKUP($D256,'Milk Types Nutrition Per Cup'!A:A,'Milk Types Nutrition Per Cup'!B:B,0)) +(($S256 / 240)  * _xlfn.XLOOKUP($E256,'Milk Types Nutrition Per Cup'!A:A,'Milk Types Nutrition Per Cup'!B:B,0)) +(($T256 / 15)  * _xlfn.XLOOKUP($F256,'Liquid Mix In Nutrition'!A:A,'Liquid Mix In Nutrition'!B:B,0))+(($U256 / 15)  * _xlfn.XLOOKUP($G256,'Liquid Mix In Nutrition'!A:A,'Liquid Mix In Nutrition'!B:B,0))+(($V256 /MAX(1, _xlfn.XLOOKUP($H256,'Solid Mix In Nutrition'!A:A,'Solid Mix In Nutrition'!I:I,1)))  * _xlfn.XLOOKUP($H256,'Solid Mix In Nutrition'!A:A,'Solid Mix In Nutrition'!B:B,0))+(($W256 / MAX(1, _xlfn.XLOOKUP($I256,'Solid Mix In Nutrition'!A:A,'Solid Mix In Nutrition'!I:I,1))))+(($X256 / 100)  * _xlfn.XLOOKUP($J256,'Sweetener Mix In Nutrition'!A:A,'Sweetener Mix In Nutrition'!B:B,0))+(($Y256 / 100)  * _xlfn.XLOOKUP($K256,'Sweetener Mix In Nutrition'!A:A,'Sweetener Mix In Nutrition'!B:B,0))</f>
        <v>0</v>
      </c>
      <c r="AC256" s="36">
        <f>(($R256 / 240) * _xlfn.XLOOKUP($D256,'Milk Types Nutrition Per Cup'!A:A,'Milk Types Nutrition Per Cup'!E:E,0)) +(($S256 / 240)  * _xlfn.XLOOKUP($E256,'Milk Types Nutrition Per Cup'!A:A,'Milk Types Nutrition Per Cup'!E:E,0)) +(($T256 / 15)  * _xlfn.XLOOKUP($F256,'Liquid Mix In Nutrition'!A:A,'Liquid Mix In Nutrition'!E:E,0)) +(($U256 / 15)  * _xlfn.XLOOKUP($G256,'Liquid Mix In Nutrition'!A:A,'Liquid Mix In Nutrition'!E:E,0))+(($V256 / MAX(1, _xlfn.XLOOKUP($H256,'Solid Mix In Nutrition'!A:A,'Solid Mix In Nutrition'!I:I,1)))  * _xlfn.XLOOKUP($H256,'Solid Mix In Nutrition'!A:A,'Solid Mix In Nutrition'!E:E,0))+(($W256 / MAX(1, _xlfn.XLOOKUP($I256,'Solid Mix In Nutrition'!A:A,'Solid Mix In Nutrition'!I:I,1)))  * _xlfn.XLOOKUP($I256,'Solid Mix In Nutrition'!A:A,'Solid Mix In Nutrition'!G:G,0))+(($X256 / 100)  * _xlfn.XLOOKUP($J256,'Sweetener Mix In Nutrition'!A:A,'Sweetener Mix In Nutrition'!E:E,0))+(($Y256 / 100)  * _xlfn.XLOOKUP($K256,'Sweetener Mix In Nutrition'!A:A,'Sweetener Mix In Nutrition'!E:E,0))</f>
        <v>0</v>
      </c>
      <c r="AD256" s="36">
        <f>(($R256 / 240) * _xlfn.XLOOKUP($D256,'Milk Types Nutrition Per Cup'!A:A,'Milk Types Nutrition Per Cup'!E:E,0)) +(($S256 / 240)  * _xlfn.XLOOKUP($E256,'Milk Types Nutrition Per Cup'!A:A,'Milk Types Nutrition Per Cup'!E:E,0)) +(($T256 / 15)  * _xlfn.XLOOKUP($F256,'Liquid Mix In Nutrition'!A:A,'Liquid Mix In Nutrition'!E:E,0)) +(($U256 / 15)  * _xlfn.XLOOKUP($G256,'Liquid Mix In Nutrition'!A:A,'Liquid Mix In Nutrition'!E:E,0))+(($X256 / 100)  * _xlfn.XLOOKUP($J256,'Sweetener Mix In Nutrition'!A:A,'Sweetener Mix In Nutrition'!E:E,0))+(($Y256 / 100)  * _xlfn.XLOOKUP($K256,'Sweetener Mix In Nutrition'!A:A,'Sweetener Mix In Nutrition'!E:E,0))</f>
        <v>0</v>
      </c>
      <c r="AE256" s="37">
        <f>(($R256 / 240) * _xlfn.XLOOKUP($D256,'Milk Types Nutrition Per Cup'!A:A,'Milk Types Nutrition Per Cup'!C:C,0)) +(($S256 / 240)  * _xlfn.XLOOKUP($E256,'Milk Types Nutrition Per Cup'!A:A,'Milk Types Nutrition Per Cup'!C:C,0)) +(($T256 / 15)  * _xlfn.XLOOKUP($F256,'Liquid Mix In Nutrition'!A:A,'Liquid Mix In Nutrition'!C:C,0))+(($U256 / 15)  * _xlfn.XLOOKUP($G256,'Liquid Mix In Nutrition'!A:A,'Liquid Mix In Nutrition'!C:C,0))+(($V256 / MAX(1, _xlfn.XLOOKUP($H256,'Solid Mix In Nutrition'!A:A,'Solid Mix In Nutrition'!I:I,1)))  * _xlfn.XLOOKUP($H256,'Solid Mix In Nutrition'!A:A,'Solid Mix In Nutrition'!C:C,0))+(($W256 / MAX(1, _xlfn.XLOOKUP($I256,'Solid Mix In Nutrition'!A:A,'Solid Mix In Nutrition'!I:I,1)))  * _xlfn.XLOOKUP($I256,'Solid Mix In Nutrition'!A:A,'Solid Mix In Nutrition'!C:C,0))+(($X256 / 100)  * _xlfn.XLOOKUP($J256,'Sweetener Mix In Nutrition'!A:A,'Sweetener Mix In Nutrition'!C:C,0))+(($Y256 / 100)  * _xlfn.XLOOKUP($K256,'Sweetener Mix In Nutrition'!A:A,'Sweetener Mix In Nutrition'!C:C,0))</f>
        <v>0</v>
      </c>
      <c r="AF256" s="38" t="e">
        <f>$AE256 / (_xlfn.XLOOKUP($L256,Specs!A:A,Specs!B:B,0))</f>
        <v>#DIV/0!</v>
      </c>
      <c r="AG256" s="37" t="e">
        <f>60* ($AB256 / _xlfn.XLOOKUP($L256,Specs!A:A,Specs!B:B,0))</f>
        <v>#DIV/0!</v>
      </c>
      <c r="AH256" s="37" t="e">
        <f>60* (AC256 / _xlfn.XLOOKUP($L256,Specs!$A:$A,Specs!$B:$B,0))</f>
        <v>#DIV/0!</v>
      </c>
      <c r="AI256" s="37" t="e">
        <f>60* (AE256 / _xlfn.XLOOKUP($L256,Specs!$A:$A,Specs!$B:$B,0))</f>
        <v>#DIV/0!</v>
      </c>
      <c r="AJ256" s="39">
        <f>(($R256 / 240) * _xlfn.XLOOKUP($D256,'Milk Types Nutrition Per Cup'!A:A,'Milk Types Nutrition Per Cup'!F:F,0)) +(($S256 / 240)  * _xlfn.XLOOKUP($E256,'Milk Types Nutrition Per Cup'!A:A,'Milk Types Nutrition Per Cup'!F:F,0)) +(($T256 / 15)  * _xlfn.XLOOKUP($F256,'Liquid Mix In Nutrition'!A:A,'Liquid Mix In Nutrition'!F:F,0))+(($U256 / 15)  * _xlfn.XLOOKUP($G256,'Liquid Mix In Nutrition'!A:A,'Liquid Mix In Nutrition'!F:F,0))+(($V256 / MAX(1, _xlfn.XLOOKUP($H256,'Solid Mix In Nutrition'!A:A,'Solid Mix In Nutrition'!I:I,1)))  * _xlfn.XLOOKUP($H256,'Solid Mix In Nutrition'!A:A,'Solid Mix In Nutrition'!F:F,0))+(($W256 / MAX(1, _xlfn.XLOOKUP($I256,'Solid Mix In Nutrition'!A:A,'Solid Mix In Nutrition'!I:I,1)))  * _xlfn.XLOOKUP($I256,'Solid Mix In Nutrition'!A:A,'Solid Mix In Nutrition'!F:F,0))+(($X256 / 100)  * _xlfn.XLOOKUP($J256,'Sweetener Mix In Nutrition'!A:A,'Sweetener Mix In Nutrition'!F:F,0))+(($Y256 / 100)  * _xlfn.XLOOKUP($K256,'Sweetener Mix In Nutrition'!A:A,'Sweetener Mix In Nutrition'!F:F,0))</f>
        <v>0</v>
      </c>
      <c r="AK256" s="46">
        <f>[2]Sheet1!AG256</f>
        <v>0</v>
      </c>
      <c r="AL256" s="47"/>
      <c r="AM256" s="40">
        <f>IF(ISERROR(((AL256/Specs!$L$3)*Specs!$L$2)*2),0,ROUNDUP((((AL256/Specs!$L$3)*Specs!$L$2)*2),0))</f>
        <v>0</v>
      </c>
      <c r="AN256" s="48">
        <f>ROUNDUP(((AJ256+Specs!$R$2+Specs!$S$2+_xlfn.XLOOKUP($L256,Specs!A:A,Specs!V:V,0))*Specs!$N$2)+AM256,0)</f>
        <v>1</v>
      </c>
      <c r="AO256" s="40">
        <f>ROUNDUP(((AJ256+Specs!$R$2+Specs!$S$2+_xlfn.XLOOKUP($L256,Specs!A:A,Specs!V:V,0))*Specs!$N$2),0)</f>
        <v>1</v>
      </c>
      <c r="AP256" s="30"/>
    </row>
    <row r="257" spans="1:42" x14ac:dyDescent="0.25">
      <c r="A257" s="41" t="str">
        <f>_xlfn.CONCAT(_xlfn.XLOOKUP("What's Your Name?",[1]Sheet1!$1:$1,[1]Sheet1!257:257)," | ",TEXT(_xlfn.XLOOKUP("Completion time",[1]Sheet1!$1:$1,[1]Sheet1!257:257),"dddd, mmm dd, yyyy hh:mm AM/PM"))</f>
        <v xml:space="preserve"> | Saturday, Jan 00, 1900 12:00 AM</v>
      </c>
      <c r="B257" s="76">
        <f>_xlfn.XLOOKUP("What's Your Email Address?",[1]Sheet1!$1:$1,[1]Sheet1!257:257)</f>
        <v>0</v>
      </c>
      <c r="C257" s="31">
        <f>IF(ISBLANK(_xlfn.XLOOKUP("Which Flavor? (Pint Price | Quart Price | Half Gallon Price) (NOTE: Prices may fluctuate based on market conditions)",[1]Sheet1!$1:$1,[1]Sheet1!257:257)),_xlfn.XLOOKUP("Name Your Ice Cream!",[1]Sheet1!$1:$1,[1]Sheet1!257:257),IF(ISNUMBER(FIND("(", _xlfn.XLOOKUP("Which Flavor? (Pint Price | Quart Price | Half Gallon Price) (NOTE: Prices may fluctuate based on market conditions)",[1]Sheet1!$1:$1,[1]Sheet1!257:257))), LEFT(_xlfn.XLOOKUP("Which Flavor? (Pint Price | Quart Price | Half Gallon Price) (NOTE: Prices may fluctuate based on market conditions)",[1]Sheet1!$1:$1,[1]Sheet1!257:257), FIND("(", _xlfn.XLOOKUP("Which Flavor? (Pint Price | Quart Price | Half Gallon Price) (NOTE: Prices may fluctuate based on market conditions)",[1]Sheet1!$1:$1,[1]Sheet1!257:257)) - 1), _xlfn.XLOOKUP("Which Flavor? (Pint Price | Quart Price | Half Gallon Price) (NOTE: Prices may fluctuate based on market conditions)",[1]Sheet1!$1:$1,[1]Sheet1!257:257)))</f>
        <v>0</v>
      </c>
      <c r="D257" s="31">
        <f>IF(COUNTIF('Premade Flavors'!$A:$A, $C257) &gt; 0,IF(ISBLANK(_xlfn.XLOOKUP("What Ice Cream Base Do You Want To Change It To?",[1]Sheet1!$1:$1,[1]Sheet1!257:257)),_xlfn.XLOOKUP($C257,'Premade Flavors'!$A:$A,'Premade Flavors'!B:B),_xlfn.XLOOKUP("What Ice Cream Base Do You Want To Change It To?",[1]Sheet1!$1:$1,[1]Sheet1!257:257)),_xlfn.XLOOKUP(_xlfn.XLOOKUP("What Kind Of Ice Cream Base Do You Want? ",[1]Sheet1!$1:$1,[1]Sheet1!257:257),'Milk Types Nutrition Per Cup'!O:O,'Milk Types Nutrition Per Cup'!P:P,""))</f>
        <v>0</v>
      </c>
      <c r="E257" s="31">
        <f>IF(COUNTIF('Premade Flavors'!$A:$A, $C257) &gt; 0,IF(ISBLANK(_xlfn.XLOOKUP("What Ice Cream Base Do You Want To Change It To?",[1]Sheet1!$1:$1,[1]Sheet1!257:257)),_xlfn.XLOOKUP($C257,'Premade Flavors'!$A:$A,'Premade Flavors'!C:C),_xlfn.XLOOKUP("What Ice Cream Base Do You Want To Change It To?",[1]Sheet1!$1:$1,[1]Sheet1!257:257)),_xlfn.XLOOKUP(_xlfn.XLOOKUP("What Kind Of Ice Cream Base Do You Want? ",[1]Sheet1!$1:$1,[1]Sheet1!257:257),'Milk Types Nutrition Per Cup'!$O:$O,'Milk Types Nutrition Per Cup'!$Q:$Q,""))</f>
        <v>0</v>
      </c>
      <c r="F257" s="31">
        <f>IF(COUNTIF('Premade Flavors'!$A:$A, $C257) &gt; 0,_xlfn.XLOOKUP($C257,'Premade Flavors'!$A:$A,'Premade Flavors'!E:E),_xlfn.XLOOKUP("What's The First Flavor You Want? ",[1]Sheet1!$1:$1,[1]Sheet1!257:257))</f>
        <v>0</v>
      </c>
      <c r="G257" s="31">
        <f>IF(COUNTIF('Premade Flavors'!$A:$A, $C257) &gt; 0,_xlfn.XLOOKUP($C257,'Premade Flavors'!$A:$A,'Premade Flavors'!F:F),_xlfn.XLOOKUP("What's the Second Flavor You Want?",[1]Sheet1!$1:$1,[1]Sheet1!257:257))</f>
        <v>0</v>
      </c>
      <c r="H257" s="31">
        <f>IF(COUNTIF('Premade Flavors'!$A:$A, $C257) &gt; 0,_xlfn.XLOOKUP($C257,'Premade Flavors'!$A:$A,'Premade Flavors'!G:G),_xlfn.XLOOKUP("What's The First Mix In That You Want? ",[1]Sheet1!$1:$1,[1]Sheet1!257:257))</f>
        <v>0</v>
      </c>
      <c r="I257" s="31">
        <f>IF(COUNTIF('Premade Flavors'!$A:$A, $C255) &gt; 0,_xlfn.XLOOKUP($C255,'Premade Flavors'!$A:$A,'Premade Flavors'!H:H),IF([2]Sheet1!W255= 0,,[2]Sheet1!W255))</f>
        <v>0</v>
      </c>
      <c r="J257" s="31">
        <f>IF(COUNTIF('Premade Flavors'!$A:$A,$C257)&gt;0,IF(_xlfn.XLOOKUP("Should It Use Sugar or A Non-Sugar Sweetner?",[1]Sheet1!$1:$1,[1]Sheet1!257:257)="Sugar",_xlfn.XLOOKUP($C257,'Premade Flavors'!$A:$A,'Premade Flavors'!I:I),"Stevia"),_xlfn.XLOOKUP("What Sweetner Do You Want?",[1]Sheet1!$1:$1,[1]Sheet1!257:257))</f>
        <v>0</v>
      </c>
      <c r="K257" s="31"/>
      <c r="L257" s="77">
        <f>_xlfn.XLOOKUP("How Much Ice Cream Do You Want?",[1]Sheet1!$1:$1,[1]Sheet1!257:257)</f>
        <v>0</v>
      </c>
      <c r="M257" s="45">
        <f>IF(COUNTIF('Premade Flavors'!$A:$A, $C257) &gt; 0,_xlfn.XLOOKUP($C257,'Premade Flavors'!$A:$A,'Premade Flavors'!M:M),_xlfn.XLOOKUP("How Strong Do You Want The First Flavor?",[1]Sheet1!$1:$1,[1]Sheet1!257:257))</f>
        <v>0</v>
      </c>
      <c r="N257" s="45">
        <f>IF(COUNTIF('Premade Flavors'!$A:$A, $C257) &gt; 0,_xlfn.XLOOKUP($C257,'Premade Flavors'!$A:$A,'Premade Flavors'!N:N),_xlfn.XLOOKUP("How Strong Do You Want The Second Flavor?",[1]Sheet1!$1:$1,[1]Sheet1!257:257))</f>
        <v>0</v>
      </c>
      <c r="O257" s="45">
        <f>IF(COUNTIF('Premade Flavors'!$A:$A, $C257) &gt; 0,_xlfn.XLOOKUP($C257,'Premade Flavors'!$A:$A,'Premade Flavors'!O:O),_xlfn.XLOOKUP("How Dense Should the Mix Ins Be?",[1]Sheet1!$1:$1,[1]Sheet1!257:257))</f>
        <v>0</v>
      </c>
      <c r="P257" s="45">
        <f>IF(COUNTIF('Premade Flavors'!$A:$A, $C257) &gt; 0,_xlfn.XLOOKUP($C257,'Premade Flavors'!$A:$A,'Premade Flavors'!P:P),_xlfn.XLOOKUP("How Much Of The First Sweetner? ",[1]Sheet1!$1:$1,[1]Sheet1!257:257))</f>
        <v>0</v>
      </c>
      <c r="Q257" s="45">
        <f>IF(COUNTIF('Premade Flavors'!$A:$A, $C257) &gt; 0,_xlfn.XLOOKUP($C257,'Premade Flavors'!$A:$A,'Premade Flavors'!Q:Q),[2]Sheet1!S257)</f>
        <v>0</v>
      </c>
      <c r="R257" s="30">
        <f>(_xlfn.XLOOKUP($L257,Specs!A:A,Specs!B:B,0)-(IF(_xlfn.XLOOKUP($F257,'Liquid Mix In Nutrition'!A:A,'Liquid Mix In Nutrition'!J:J,0)="Yes",0,$T257))-(IF(_xlfn.XLOOKUP($G257,'Liquid Mix In Nutrition'!A:A,'Liquid Mix In Nutrition'!J:J,0)="Yes",0,$U257))-(($V257/MAX(1,_xlfn.XLOOKUP($H257,'Solid Mix In Nutrition'!A:A,'Solid Mix In Nutrition'!I:I,1)))*240)-(($W257/MAX(1,_xlfn.XLOOKUP($I257,'Solid Mix In Nutrition'!A:A,'Solid Mix In Nutrition'!I:I,1)))*240))*0.66</f>
        <v>0</v>
      </c>
      <c r="S257" s="30">
        <f>(_xlfn.XLOOKUP($L257,Specs!A:A,Specs!B:B,0)-(IF(_xlfn.XLOOKUP($F257,'Liquid Mix In Nutrition'!A:A,'Liquid Mix In Nutrition'!J:J,0)="Yes",0,$T257))-(IF(_xlfn.XLOOKUP($G257,'Liquid Mix In Nutrition'!A:A,'Liquid Mix In Nutrition'!J:J,0)="Yes",0,$U257))-(($V257/MAX(1,_xlfn.XLOOKUP($H257,'Solid Mix In Nutrition'!A:A,'Solid Mix In Nutrition'!I:I,1)))*240)-(($W257/MAX(1,_xlfn.XLOOKUP($I257,'Solid Mix In Nutrition'!A:A,'Solid Mix In Nutrition'!I:I,1)))*240))*0.33</f>
        <v>0</v>
      </c>
      <c r="T257" s="30">
        <f>_xlfn.XLOOKUP($M257,Specs!$D:$D,Specs!$E:$E,0)*15*_xlfn.XLOOKUP($L257,Specs!$A:$A,Specs!$C:$C,0)</f>
        <v>0</v>
      </c>
      <c r="U257" s="30">
        <f>_xlfn.XLOOKUP($N257,Specs!$D:$D,Specs!$E:$E,0)*15*_xlfn.XLOOKUP($L257,Specs!$A:$A,Specs!$C:$C,0)</f>
        <v>0</v>
      </c>
      <c r="V257" s="30">
        <f>( ((_xlfn.XLOOKUP($O257,Specs!$H:$H,Specs!$I:$I,0)*_xlfn.XLOOKUP($L257,Specs!$A:$A,Specs!$B:$B,0))/240) *_xlfn.XLOOKUP($H257,'Solid Mix In Nutrition'!A:A,'Solid Mix In Nutrition'!I:I,0)) *IF(AND(NOT($I257=0), COUNTA($I257)),0.5,1)</f>
        <v>0</v>
      </c>
      <c r="W257" s="30">
        <f>( ((_xlfn.XLOOKUP($O257,Specs!$H:$H,Specs!$I:$I,0)*_xlfn.XLOOKUP($L257,Specs!$A:$A,Specs!$B:$B,0))/240) *_xlfn.XLOOKUP($I257,'Solid Mix In Nutrition'!A:A,'Solid Mix In Nutrition'!I:I,0)) *IF(AND(NOT($I257=0), COUNTA($I257)),0.5,0)</f>
        <v>0</v>
      </c>
      <c r="X257" s="30">
        <f>_xlfn.XLOOKUP($P257,Specs!F:F,Specs!G:G,0)*_xlfn.XLOOKUP($J257,'Sweetener Mix In Nutrition'!A:A,'Sweetener Mix In Nutrition'!I:I,0)*_xlfn.XLOOKUP($L257,Specs!A:A,Specs!C:C,0)</f>
        <v>0</v>
      </c>
      <c r="Y257" s="30">
        <f>_xlfn.XLOOKUP($Q257,Specs!F:F,Specs!G:G,0)*_xlfn.XLOOKUP($K257,'Sweetener Mix In Nutrition'!A:A,'Sweetener Mix In Nutrition'!I:I,0)*_xlfn.XLOOKUP($L257,Specs!A:A,Specs!C:C,0)</f>
        <v>0</v>
      </c>
      <c r="Z257" s="34">
        <f t="shared" si="8"/>
        <v>0</v>
      </c>
      <c r="AA257" s="35">
        <f t="shared" si="9"/>
        <v>0</v>
      </c>
      <c r="AB257" s="36">
        <f>(($R257 / 240) * _xlfn.XLOOKUP($D257,'Milk Types Nutrition Per Cup'!A:A,'Milk Types Nutrition Per Cup'!B:B,0)) +(($S257 / 240)  * _xlfn.XLOOKUP($E257,'Milk Types Nutrition Per Cup'!A:A,'Milk Types Nutrition Per Cup'!B:B,0)) +(($T257 / 15)  * _xlfn.XLOOKUP($F257,'Liquid Mix In Nutrition'!A:A,'Liquid Mix In Nutrition'!B:B,0))+(($U257 / 15)  * _xlfn.XLOOKUP($G257,'Liquid Mix In Nutrition'!A:A,'Liquid Mix In Nutrition'!B:B,0))+(($V257 /MAX(1, _xlfn.XLOOKUP($H257,'Solid Mix In Nutrition'!A:A,'Solid Mix In Nutrition'!I:I,1)))  * _xlfn.XLOOKUP($H257,'Solid Mix In Nutrition'!A:A,'Solid Mix In Nutrition'!B:B,0))+(($W257 / MAX(1, _xlfn.XLOOKUP($I257,'Solid Mix In Nutrition'!A:A,'Solid Mix In Nutrition'!I:I,1))))+(($X257 / 100)  * _xlfn.XLOOKUP($J257,'Sweetener Mix In Nutrition'!A:A,'Sweetener Mix In Nutrition'!B:B,0))+(($Y257 / 100)  * _xlfn.XLOOKUP($K257,'Sweetener Mix In Nutrition'!A:A,'Sweetener Mix In Nutrition'!B:B,0))</f>
        <v>0</v>
      </c>
      <c r="AC257" s="36">
        <f>(($R257 / 240) * _xlfn.XLOOKUP($D257,'Milk Types Nutrition Per Cup'!A:A,'Milk Types Nutrition Per Cup'!E:E,0)) +(($S257 / 240)  * _xlfn.XLOOKUP($E257,'Milk Types Nutrition Per Cup'!A:A,'Milk Types Nutrition Per Cup'!E:E,0)) +(($T257 / 15)  * _xlfn.XLOOKUP($F257,'Liquid Mix In Nutrition'!A:A,'Liquid Mix In Nutrition'!E:E,0)) +(($U257 / 15)  * _xlfn.XLOOKUP($G257,'Liquid Mix In Nutrition'!A:A,'Liquid Mix In Nutrition'!E:E,0))+(($V257 / MAX(1, _xlfn.XLOOKUP($H257,'Solid Mix In Nutrition'!A:A,'Solid Mix In Nutrition'!I:I,1)))  * _xlfn.XLOOKUP($H257,'Solid Mix In Nutrition'!A:A,'Solid Mix In Nutrition'!E:E,0))+(($W257 / MAX(1, _xlfn.XLOOKUP($I257,'Solid Mix In Nutrition'!A:A,'Solid Mix In Nutrition'!I:I,1)))  * _xlfn.XLOOKUP($I257,'Solid Mix In Nutrition'!A:A,'Solid Mix In Nutrition'!G:G,0))+(($X257 / 100)  * _xlfn.XLOOKUP($J257,'Sweetener Mix In Nutrition'!A:A,'Sweetener Mix In Nutrition'!E:E,0))+(($Y257 / 100)  * _xlfn.XLOOKUP($K257,'Sweetener Mix In Nutrition'!A:A,'Sweetener Mix In Nutrition'!E:E,0))</f>
        <v>0</v>
      </c>
      <c r="AD257" s="36">
        <f>(($R257 / 240) * _xlfn.XLOOKUP($D257,'Milk Types Nutrition Per Cup'!A:A,'Milk Types Nutrition Per Cup'!E:E,0)) +(($S257 / 240)  * _xlfn.XLOOKUP($E257,'Milk Types Nutrition Per Cup'!A:A,'Milk Types Nutrition Per Cup'!E:E,0)) +(($T257 / 15)  * _xlfn.XLOOKUP($F257,'Liquid Mix In Nutrition'!A:A,'Liquid Mix In Nutrition'!E:E,0)) +(($U257 / 15)  * _xlfn.XLOOKUP($G257,'Liquid Mix In Nutrition'!A:A,'Liquid Mix In Nutrition'!E:E,0))+(($X257 / 100)  * _xlfn.XLOOKUP($J257,'Sweetener Mix In Nutrition'!A:A,'Sweetener Mix In Nutrition'!E:E,0))+(($Y257 / 100)  * _xlfn.XLOOKUP($K257,'Sweetener Mix In Nutrition'!A:A,'Sweetener Mix In Nutrition'!E:E,0))</f>
        <v>0</v>
      </c>
      <c r="AE257" s="37">
        <f>(($R257 / 240) * _xlfn.XLOOKUP($D257,'Milk Types Nutrition Per Cup'!A:A,'Milk Types Nutrition Per Cup'!C:C,0)) +(($S257 / 240)  * _xlfn.XLOOKUP($E257,'Milk Types Nutrition Per Cup'!A:A,'Milk Types Nutrition Per Cup'!C:C,0)) +(($T257 / 15)  * _xlfn.XLOOKUP($F257,'Liquid Mix In Nutrition'!A:A,'Liquid Mix In Nutrition'!C:C,0))+(($U257 / 15)  * _xlfn.XLOOKUP($G257,'Liquid Mix In Nutrition'!A:A,'Liquid Mix In Nutrition'!C:C,0))+(($V257 / MAX(1, _xlfn.XLOOKUP($H257,'Solid Mix In Nutrition'!A:A,'Solid Mix In Nutrition'!I:I,1)))  * _xlfn.XLOOKUP($H257,'Solid Mix In Nutrition'!A:A,'Solid Mix In Nutrition'!C:C,0))+(($W257 / MAX(1, _xlfn.XLOOKUP($I257,'Solid Mix In Nutrition'!A:A,'Solid Mix In Nutrition'!I:I,1)))  * _xlfn.XLOOKUP($I257,'Solid Mix In Nutrition'!A:A,'Solid Mix In Nutrition'!C:C,0))+(($X257 / 100)  * _xlfn.XLOOKUP($J257,'Sweetener Mix In Nutrition'!A:A,'Sweetener Mix In Nutrition'!C:C,0))+(($Y257 / 100)  * _xlfn.XLOOKUP($K257,'Sweetener Mix In Nutrition'!A:A,'Sweetener Mix In Nutrition'!C:C,0))</f>
        <v>0</v>
      </c>
      <c r="AF257" s="38" t="e">
        <f>$AE257 / (_xlfn.XLOOKUP($L257,Specs!A:A,Specs!B:B,0))</f>
        <v>#DIV/0!</v>
      </c>
      <c r="AG257" s="37" t="e">
        <f>60* ($AB257 / _xlfn.XLOOKUP($L257,Specs!A:A,Specs!B:B,0))</f>
        <v>#DIV/0!</v>
      </c>
      <c r="AH257" s="37" t="e">
        <f>60* (AC257 / _xlfn.XLOOKUP($L257,Specs!$A:$A,Specs!$B:$B,0))</f>
        <v>#DIV/0!</v>
      </c>
      <c r="AI257" s="37" t="e">
        <f>60* (AE257 / _xlfn.XLOOKUP($L257,Specs!$A:$A,Specs!$B:$B,0))</f>
        <v>#DIV/0!</v>
      </c>
      <c r="AJ257" s="39">
        <f>(($R257 / 240) * _xlfn.XLOOKUP($D257,'Milk Types Nutrition Per Cup'!A:A,'Milk Types Nutrition Per Cup'!F:F,0)) +(($S257 / 240)  * _xlfn.XLOOKUP($E257,'Milk Types Nutrition Per Cup'!A:A,'Milk Types Nutrition Per Cup'!F:F,0)) +(($T257 / 15)  * _xlfn.XLOOKUP($F257,'Liquid Mix In Nutrition'!A:A,'Liquid Mix In Nutrition'!F:F,0))+(($U257 / 15)  * _xlfn.XLOOKUP($G257,'Liquid Mix In Nutrition'!A:A,'Liquid Mix In Nutrition'!F:F,0))+(($V257 / MAX(1, _xlfn.XLOOKUP($H257,'Solid Mix In Nutrition'!A:A,'Solid Mix In Nutrition'!I:I,1)))  * _xlfn.XLOOKUP($H257,'Solid Mix In Nutrition'!A:A,'Solid Mix In Nutrition'!F:F,0))+(($W257 / MAX(1, _xlfn.XLOOKUP($I257,'Solid Mix In Nutrition'!A:A,'Solid Mix In Nutrition'!I:I,1)))  * _xlfn.XLOOKUP($I257,'Solid Mix In Nutrition'!A:A,'Solid Mix In Nutrition'!F:F,0))+(($X257 / 100)  * _xlfn.XLOOKUP($J257,'Sweetener Mix In Nutrition'!A:A,'Sweetener Mix In Nutrition'!F:F,0))+(($Y257 / 100)  * _xlfn.XLOOKUP($K257,'Sweetener Mix In Nutrition'!A:A,'Sweetener Mix In Nutrition'!F:F,0))</f>
        <v>0</v>
      </c>
      <c r="AK257" s="46">
        <f>[2]Sheet1!AG257</f>
        <v>0</v>
      </c>
      <c r="AL257" s="47"/>
      <c r="AM257" s="40">
        <f>IF(ISERROR(((AL257/Specs!$L$3)*Specs!$L$2)*2),0,ROUNDUP((((AL257/Specs!$L$3)*Specs!$L$2)*2),0))</f>
        <v>0</v>
      </c>
      <c r="AN257" s="48">
        <f>ROUNDUP(((AJ257+Specs!$R$2+Specs!$S$2+_xlfn.XLOOKUP($L257,Specs!A:A,Specs!V:V,0))*Specs!$N$2)+AM257,0)</f>
        <v>1</v>
      </c>
      <c r="AO257" s="40">
        <f>ROUNDUP(((AJ257+Specs!$R$2+Specs!$S$2+_xlfn.XLOOKUP($L257,Specs!A:A,Specs!V:V,0))*Specs!$N$2),0)</f>
        <v>1</v>
      </c>
      <c r="AP257" s="30"/>
    </row>
    <row r="258" spans="1:42" x14ac:dyDescent="0.25">
      <c r="A258" s="41" t="str">
        <f>_xlfn.CONCAT(_xlfn.XLOOKUP("What's Your Name?",[1]Sheet1!$1:$1,[1]Sheet1!258:258)," | ",TEXT(_xlfn.XLOOKUP("Completion time",[1]Sheet1!$1:$1,[1]Sheet1!258:258),"dddd, mmm dd, yyyy hh:mm AM/PM"))</f>
        <v xml:space="preserve"> | Saturday, Jan 00, 1900 12:00 AM</v>
      </c>
      <c r="B258" s="76">
        <f>_xlfn.XLOOKUP("What's Your Email Address?",[1]Sheet1!$1:$1,[1]Sheet1!258:258)</f>
        <v>0</v>
      </c>
      <c r="C258" s="31">
        <f>IF(ISBLANK(_xlfn.XLOOKUP("Which Flavor? (Pint Price | Quart Price | Half Gallon Price) (NOTE: Prices may fluctuate based on market conditions)",[1]Sheet1!$1:$1,[1]Sheet1!258:258)),_xlfn.XLOOKUP("Name Your Ice Cream!",[1]Sheet1!$1:$1,[1]Sheet1!258:258),IF(ISNUMBER(FIND("(", _xlfn.XLOOKUP("Which Flavor? (Pint Price | Quart Price | Half Gallon Price) (NOTE: Prices may fluctuate based on market conditions)",[1]Sheet1!$1:$1,[1]Sheet1!258:258))), LEFT(_xlfn.XLOOKUP("Which Flavor? (Pint Price | Quart Price | Half Gallon Price) (NOTE: Prices may fluctuate based on market conditions)",[1]Sheet1!$1:$1,[1]Sheet1!258:258), FIND("(", _xlfn.XLOOKUP("Which Flavor? (Pint Price | Quart Price | Half Gallon Price) (NOTE: Prices may fluctuate based on market conditions)",[1]Sheet1!$1:$1,[1]Sheet1!258:258)) - 1), _xlfn.XLOOKUP("Which Flavor? (Pint Price | Quart Price | Half Gallon Price) (NOTE: Prices may fluctuate based on market conditions)",[1]Sheet1!$1:$1,[1]Sheet1!258:258)))</f>
        <v>0</v>
      </c>
      <c r="D258" s="31">
        <f>IF(COUNTIF('Premade Flavors'!$A:$A, $C258) &gt; 0,IF(ISBLANK(_xlfn.XLOOKUP("What Ice Cream Base Do You Want To Change It To?",[1]Sheet1!$1:$1,[1]Sheet1!258:258)),_xlfn.XLOOKUP($C258,'Premade Flavors'!$A:$A,'Premade Flavors'!B:B),_xlfn.XLOOKUP("What Ice Cream Base Do You Want To Change It To?",[1]Sheet1!$1:$1,[1]Sheet1!258:258)),_xlfn.XLOOKUP(_xlfn.XLOOKUP("What Kind Of Ice Cream Base Do You Want? ",[1]Sheet1!$1:$1,[1]Sheet1!258:258),'Milk Types Nutrition Per Cup'!O:O,'Milk Types Nutrition Per Cup'!P:P,""))</f>
        <v>0</v>
      </c>
      <c r="E258" s="31">
        <f>IF(COUNTIF('Premade Flavors'!$A:$A, $C258) &gt; 0,IF(ISBLANK(_xlfn.XLOOKUP("What Ice Cream Base Do You Want To Change It To?",[1]Sheet1!$1:$1,[1]Sheet1!258:258)),_xlfn.XLOOKUP($C258,'Premade Flavors'!$A:$A,'Premade Flavors'!C:C),_xlfn.XLOOKUP("What Ice Cream Base Do You Want To Change It To?",[1]Sheet1!$1:$1,[1]Sheet1!258:258)),_xlfn.XLOOKUP(_xlfn.XLOOKUP("What Kind Of Ice Cream Base Do You Want? ",[1]Sheet1!$1:$1,[1]Sheet1!258:258),'Milk Types Nutrition Per Cup'!$O:$O,'Milk Types Nutrition Per Cup'!$Q:$Q,""))</f>
        <v>0</v>
      </c>
      <c r="F258" s="31">
        <f>IF(COUNTIF('Premade Flavors'!$A:$A, $C258) &gt; 0,_xlfn.XLOOKUP($C258,'Premade Flavors'!$A:$A,'Premade Flavors'!E:E),_xlfn.XLOOKUP("What's The First Flavor You Want? ",[1]Sheet1!$1:$1,[1]Sheet1!258:258))</f>
        <v>0</v>
      </c>
      <c r="G258" s="31">
        <f>IF(COUNTIF('Premade Flavors'!$A:$A, $C258) &gt; 0,_xlfn.XLOOKUP($C258,'Premade Flavors'!$A:$A,'Premade Flavors'!F:F),_xlfn.XLOOKUP("What's the Second Flavor You Want?",[1]Sheet1!$1:$1,[1]Sheet1!258:258))</f>
        <v>0</v>
      </c>
      <c r="H258" s="31">
        <f>IF(COUNTIF('Premade Flavors'!$A:$A, $C258) &gt; 0,_xlfn.XLOOKUP($C258,'Premade Flavors'!$A:$A,'Premade Flavors'!G:G),_xlfn.XLOOKUP("What's The First Mix In That You Want? ",[1]Sheet1!$1:$1,[1]Sheet1!258:258))</f>
        <v>0</v>
      </c>
      <c r="I258" s="31">
        <f>IF(COUNTIF('Premade Flavors'!$A:$A, $C256) &gt; 0,_xlfn.XLOOKUP($C256,'Premade Flavors'!$A:$A,'Premade Flavors'!H:H),IF([2]Sheet1!W256= 0,,[2]Sheet1!W256))</f>
        <v>0</v>
      </c>
      <c r="J258" s="31">
        <f>IF(COUNTIF('Premade Flavors'!$A:$A,$C258)&gt;0,IF(_xlfn.XLOOKUP("Should It Use Sugar or A Non-Sugar Sweetner?",[1]Sheet1!$1:$1,[1]Sheet1!258:258)="Sugar",_xlfn.XLOOKUP($C258,'Premade Flavors'!$A:$A,'Premade Flavors'!I:I),"Stevia"),_xlfn.XLOOKUP("What Sweetner Do You Want?",[1]Sheet1!$1:$1,[1]Sheet1!258:258))</f>
        <v>0</v>
      </c>
      <c r="K258" s="31"/>
      <c r="L258" s="77">
        <f>_xlfn.XLOOKUP("How Much Ice Cream Do You Want?",[1]Sheet1!$1:$1,[1]Sheet1!258:258)</f>
        <v>0</v>
      </c>
      <c r="M258" s="45">
        <f>IF(COUNTIF('Premade Flavors'!$A:$A, $C258) &gt; 0,_xlfn.XLOOKUP($C258,'Premade Flavors'!$A:$A,'Premade Flavors'!M:M),_xlfn.XLOOKUP("How Strong Do You Want The First Flavor?",[1]Sheet1!$1:$1,[1]Sheet1!258:258))</f>
        <v>0</v>
      </c>
      <c r="N258" s="45">
        <f>IF(COUNTIF('Premade Flavors'!$A:$A, $C258) &gt; 0,_xlfn.XLOOKUP($C258,'Premade Flavors'!$A:$A,'Premade Flavors'!N:N),_xlfn.XLOOKUP("How Strong Do You Want The Second Flavor?",[1]Sheet1!$1:$1,[1]Sheet1!258:258))</f>
        <v>0</v>
      </c>
      <c r="O258" s="45">
        <f>IF(COUNTIF('Premade Flavors'!$A:$A, $C258) &gt; 0,_xlfn.XLOOKUP($C258,'Premade Flavors'!$A:$A,'Premade Flavors'!O:O),_xlfn.XLOOKUP("How Dense Should the Mix Ins Be?",[1]Sheet1!$1:$1,[1]Sheet1!258:258))</f>
        <v>0</v>
      </c>
      <c r="P258" s="45">
        <f>IF(COUNTIF('Premade Flavors'!$A:$A, $C258) &gt; 0,_xlfn.XLOOKUP($C258,'Premade Flavors'!$A:$A,'Premade Flavors'!P:P),_xlfn.XLOOKUP("How Much Of The First Sweetner? ",[1]Sheet1!$1:$1,[1]Sheet1!258:258))</f>
        <v>0</v>
      </c>
      <c r="Q258" s="45">
        <f>IF(COUNTIF('Premade Flavors'!$A:$A, $C258) &gt; 0,_xlfn.XLOOKUP($C258,'Premade Flavors'!$A:$A,'Premade Flavors'!Q:Q),[2]Sheet1!S258)</f>
        <v>0</v>
      </c>
      <c r="R258" s="30">
        <f>(_xlfn.XLOOKUP($L258,Specs!A:A,Specs!B:B,0)-(IF(_xlfn.XLOOKUP($F258,'Liquid Mix In Nutrition'!A:A,'Liquid Mix In Nutrition'!J:J,0)="Yes",0,$T258))-(IF(_xlfn.XLOOKUP($G258,'Liquid Mix In Nutrition'!A:A,'Liquid Mix In Nutrition'!J:J,0)="Yes",0,$U258))-(($V258/MAX(1,_xlfn.XLOOKUP($H258,'Solid Mix In Nutrition'!A:A,'Solid Mix In Nutrition'!I:I,1)))*240)-(($W258/MAX(1,_xlfn.XLOOKUP($I258,'Solid Mix In Nutrition'!A:A,'Solid Mix In Nutrition'!I:I,1)))*240))*0.66</f>
        <v>0</v>
      </c>
      <c r="S258" s="30">
        <f>(_xlfn.XLOOKUP($L258,Specs!A:A,Specs!B:B,0)-(IF(_xlfn.XLOOKUP($F258,'Liquid Mix In Nutrition'!A:A,'Liquid Mix In Nutrition'!J:J,0)="Yes",0,$T258))-(IF(_xlfn.XLOOKUP($G258,'Liquid Mix In Nutrition'!A:A,'Liquid Mix In Nutrition'!J:J,0)="Yes",0,$U258))-(($V258/MAX(1,_xlfn.XLOOKUP($H258,'Solid Mix In Nutrition'!A:A,'Solid Mix In Nutrition'!I:I,1)))*240)-(($W258/MAX(1,_xlfn.XLOOKUP($I258,'Solid Mix In Nutrition'!A:A,'Solid Mix In Nutrition'!I:I,1)))*240))*0.33</f>
        <v>0</v>
      </c>
      <c r="T258" s="30">
        <f>_xlfn.XLOOKUP($M258,Specs!$D:$D,Specs!$E:$E,0)*15*_xlfn.XLOOKUP($L258,Specs!$A:$A,Specs!$C:$C,0)</f>
        <v>0</v>
      </c>
      <c r="U258" s="30">
        <f>_xlfn.XLOOKUP($N258,Specs!$D:$D,Specs!$E:$E,0)*15*_xlfn.XLOOKUP($L258,Specs!$A:$A,Specs!$C:$C,0)</f>
        <v>0</v>
      </c>
      <c r="V258" s="30">
        <f>( ((_xlfn.XLOOKUP($O258,Specs!$H:$H,Specs!$I:$I,0)*_xlfn.XLOOKUP($L258,Specs!$A:$A,Specs!$B:$B,0))/240) *_xlfn.XLOOKUP($H258,'Solid Mix In Nutrition'!A:A,'Solid Mix In Nutrition'!I:I,0)) *IF(AND(NOT($I258=0), COUNTA($I258)),0.5,1)</f>
        <v>0</v>
      </c>
      <c r="W258" s="30">
        <f>( ((_xlfn.XLOOKUP($O258,Specs!$H:$H,Specs!$I:$I,0)*_xlfn.XLOOKUP($L258,Specs!$A:$A,Specs!$B:$B,0))/240) *_xlfn.XLOOKUP($I258,'Solid Mix In Nutrition'!A:A,'Solid Mix In Nutrition'!I:I,0)) *IF(AND(NOT($I258=0), COUNTA($I258)),0.5,0)</f>
        <v>0</v>
      </c>
      <c r="X258" s="30">
        <f>_xlfn.XLOOKUP($P258,Specs!F:F,Specs!G:G,0)*_xlfn.XLOOKUP($J258,'Sweetener Mix In Nutrition'!A:A,'Sweetener Mix In Nutrition'!I:I,0)*_xlfn.XLOOKUP($L258,Specs!A:A,Specs!C:C,0)</f>
        <v>0</v>
      </c>
      <c r="Y258" s="30">
        <f>_xlfn.XLOOKUP($Q258,Specs!F:F,Specs!G:G,0)*_xlfn.XLOOKUP($K258,'Sweetener Mix In Nutrition'!A:A,'Sweetener Mix In Nutrition'!I:I,0)*_xlfn.XLOOKUP($L258,Specs!A:A,Specs!C:C,0)</f>
        <v>0</v>
      </c>
      <c r="Z258" s="34">
        <f t="shared" si="8"/>
        <v>0</v>
      </c>
      <c r="AA258" s="35">
        <f t="shared" si="9"/>
        <v>0</v>
      </c>
      <c r="AB258" s="36">
        <f>(($R258 / 240) * _xlfn.XLOOKUP($D258,'Milk Types Nutrition Per Cup'!A:A,'Milk Types Nutrition Per Cup'!B:B,0)) +(($S258 / 240)  * _xlfn.XLOOKUP($E258,'Milk Types Nutrition Per Cup'!A:A,'Milk Types Nutrition Per Cup'!B:B,0)) +(($T258 / 15)  * _xlfn.XLOOKUP($F258,'Liquid Mix In Nutrition'!A:A,'Liquid Mix In Nutrition'!B:B,0))+(($U258 / 15)  * _xlfn.XLOOKUP($G258,'Liquid Mix In Nutrition'!A:A,'Liquid Mix In Nutrition'!B:B,0))+(($V258 /MAX(1, _xlfn.XLOOKUP($H258,'Solid Mix In Nutrition'!A:A,'Solid Mix In Nutrition'!I:I,1)))  * _xlfn.XLOOKUP($H258,'Solid Mix In Nutrition'!A:A,'Solid Mix In Nutrition'!B:B,0))+(($W258 / MAX(1, _xlfn.XLOOKUP($I258,'Solid Mix In Nutrition'!A:A,'Solid Mix In Nutrition'!I:I,1))))+(($X258 / 100)  * _xlfn.XLOOKUP($J258,'Sweetener Mix In Nutrition'!A:A,'Sweetener Mix In Nutrition'!B:B,0))+(($Y258 / 100)  * _xlfn.XLOOKUP($K258,'Sweetener Mix In Nutrition'!A:A,'Sweetener Mix In Nutrition'!B:B,0))</f>
        <v>0</v>
      </c>
      <c r="AC258" s="36">
        <f>(($R258 / 240) * _xlfn.XLOOKUP($D258,'Milk Types Nutrition Per Cup'!A:A,'Milk Types Nutrition Per Cup'!E:E,0)) +(($S258 / 240)  * _xlfn.XLOOKUP($E258,'Milk Types Nutrition Per Cup'!A:A,'Milk Types Nutrition Per Cup'!E:E,0)) +(($T258 / 15)  * _xlfn.XLOOKUP($F258,'Liquid Mix In Nutrition'!A:A,'Liquid Mix In Nutrition'!E:E,0)) +(($U258 / 15)  * _xlfn.XLOOKUP($G258,'Liquid Mix In Nutrition'!A:A,'Liquid Mix In Nutrition'!E:E,0))+(($V258 / MAX(1, _xlfn.XLOOKUP($H258,'Solid Mix In Nutrition'!A:A,'Solid Mix In Nutrition'!I:I,1)))  * _xlfn.XLOOKUP($H258,'Solid Mix In Nutrition'!A:A,'Solid Mix In Nutrition'!E:E,0))+(($W258 / MAX(1, _xlfn.XLOOKUP($I258,'Solid Mix In Nutrition'!A:A,'Solid Mix In Nutrition'!I:I,1)))  * _xlfn.XLOOKUP($I258,'Solid Mix In Nutrition'!A:A,'Solid Mix In Nutrition'!G:G,0))+(($X258 / 100)  * _xlfn.XLOOKUP($J258,'Sweetener Mix In Nutrition'!A:A,'Sweetener Mix In Nutrition'!E:E,0))+(($Y258 / 100)  * _xlfn.XLOOKUP($K258,'Sweetener Mix In Nutrition'!A:A,'Sweetener Mix In Nutrition'!E:E,0))</f>
        <v>0</v>
      </c>
      <c r="AD258" s="36">
        <f>(($R258 / 240) * _xlfn.XLOOKUP($D258,'Milk Types Nutrition Per Cup'!A:A,'Milk Types Nutrition Per Cup'!E:E,0)) +(($S258 / 240)  * _xlfn.XLOOKUP($E258,'Milk Types Nutrition Per Cup'!A:A,'Milk Types Nutrition Per Cup'!E:E,0)) +(($T258 / 15)  * _xlfn.XLOOKUP($F258,'Liquid Mix In Nutrition'!A:A,'Liquid Mix In Nutrition'!E:E,0)) +(($U258 / 15)  * _xlfn.XLOOKUP($G258,'Liquid Mix In Nutrition'!A:A,'Liquid Mix In Nutrition'!E:E,0))+(($X258 / 100)  * _xlfn.XLOOKUP($J258,'Sweetener Mix In Nutrition'!A:A,'Sweetener Mix In Nutrition'!E:E,0))+(($Y258 / 100)  * _xlfn.XLOOKUP($K258,'Sweetener Mix In Nutrition'!A:A,'Sweetener Mix In Nutrition'!E:E,0))</f>
        <v>0</v>
      </c>
      <c r="AE258" s="37">
        <f>(($R258 / 240) * _xlfn.XLOOKUP($D258,'Milk Types Nutrition Per Cup'!A:A,'Milk Types Nutrition Per Cup'!C:C,0)) +(($S258 / 240)  * _xlfn.XLOOKUP($E258,'Milk Types Nutrition Per Cup'!A:A,'Milk Types Nutrition Per Cup'!C:C,0)) +(($T258 / 15)  * _xlfn.XLOOKUP($F258,'Liquid Mix In Nutrition'!A:A,'Liquid Mix In Nutrition'!C:C,0))+(($U258 / 15)  * _xlfn.XLOOKUP($G258,'Liquid Mix In Nutrition'!A:A,'Liquid Mix In Nutrition'!C:C,0))+(($V258 / MAX(1, _xlfn.XLOOKUP($H258,'Solid Mix In Nutrition'!A:A,'Solid Mix In Nutrition'!I:I,1)))  * _xlfn.XLOOKUP($H258,'Solid Mix In Nutrition'!A:A,'Solid Mix In Nutrition'!C:C,0))+(($W258 / MAX(1, _xlfn.XLOOKUP($I258,'Solid Mix In Nutrition'!A:A,'Solid Mix In Nutrition'!I:I,1)))  * _xlfn.XLOOKUP($I258,'Solid Mix In Nutrition'!A:A,'Solid Mix In Nutrition'!C:C,0))+(($X258 / 100)  * _xlfn.XLOOKUP($J258,'Sweetener Mix In Nutrition'!A:A,'Sweetener Mix In Nutrition'!C:C,0))+(($Y258 / 100)  * _xlfn.XLOOKUP($K258,'Sweetener Mix In Nutrition'!A:A,'Sweetener Mix In Nutrition'!C:C,0))</f>
        <v>0</v>
      </c>
      <c r="AF258" s="38" t="e">
        <f>$AE258 / (_xlfn.XLOOKUP($L258,Specs!A:A,Specs!B:B,0))</f>
        <v>#DIV/0!</v>
      </c>
      <c r="AG258" s="37" t="e">
        <f>60* ($AB258 / _xlfn.XLOOKUP($L258,Specs!A:A,Specs!B:B,0))</f>
        <v>#DIV/0!</v>
      </c>
      <c r="AH258" s="37" t="e">
        <f>60* (AC258 / _xlfn.XLOOKUP($L258,Specs!$A:$A,Specs!$B:$B,0))</f>
        <v>#DIV/0!</v>
      </c>
      <c r="AI258" s="37" t="e">
        <f>60* (AE258 / _xlfn.XLOOKUP($L258,Specs!$A:$A,Specs!$B:$B,0))</f>
        <v>#DIV/0!</v>
      </c>
      <c r="AJ258" s="39">
        <f>(($R258 / 240) * _xlfn.XLOOKUP($D258,'Milk Types Nutrition Per Cup'!A:A,'Milk Types Nutrition Per Cup'!F:F,0)) +(($S258 / 240)  * _xlfn.XLOOKUP($E258,'Milk Types Nutrition Per Cup'!A:A,'Milk Types Nutrition Per Cup'!F:F,0)) +(($T258 / 15)  * _xlfn.XLOOKUP($F258,'Liquid Mix In Nutrition'!A:A,'Liquid Mix In Nutrition'!F:F,0))+(($U258 / 15)  * _xlfn.XLOOKUP($G258,'Liquid Mix In Nutrition'!A:A,'Liquid Mix In Nutrition'!F:F,0))+(($V258 / MAX(1, _xlfn.XLOOKUP($H258,'Solid Mix In Nutrition'!A:A,'Solid Mix In Nutrition'!I:I,1)))  * _xlfn.XLOOKUP($H258,'Solid Mix In Nutrition'!A:A,'Solid Mix In Nutrition'!F:F,0))+(($W258 / MAX(1, _xlfn.XLOOKUP($I258,'Solid Mix In Nutrition'!A:A,'Solid Mix In Nutrition'!I:I,1)))  * _xlfn.XLOOKUP($I258,'Solid Mix In Nutrition'!A:A,'Solid Mix In Nutrition'!F:F,0))+(($X258 / 100)  * _xlfn.XLOOKUP($J258,'Sweetener Mix In Nutrition'!A:A,'Sweetener Mix In Nutrition'!F:F,0))+(($Y258 / 100)  * _xlfn.XLOOKUP($K258,'Sweetener Mix In Nutrition'!A:A,'Sweetener Mix In Nutrition'!F:F,0))</f>
        <v>0</v>
      </c>
      <c r="AK258" s="46">
        <f>[2]Sheet1!AG258</f>
        <v>0</v>
      </c>
      <c r="AL258" s="47"/>
      <c r="AM258" s="40">
        <f>IF(ISERROR(((AL258/Specs!$L$3)*Specs!$L$2)*2),0,ROUNDUP((((AL258/Specs!$L$3)*Specs!$L$2)*2),0))</f>
        <v>0</v>
      </c>
      <c r="AN258" s="48">
        <f>ROUNDUP(((AJ258+Specs!$R$2+Specs!$S$2+_xlfn.XLOOKUP($L258,Specs!A:A,Specs!V:V,0))*Specs!$N$2)+AM258,0)</f>
        <v>1</v>
      </c>
      <c r="AO258" s="40">
        <f>ROUNDUP(((AJ258+Specs!$R$2+Specs!$S$2+_xlfn.XLOOKUP($L258,Specs!A:A,Specs!V:V,0))*Specs!$N$2),0)</f>
        <v>1</v>
      </c>
      <c r="AP258" s="30"/>
    </row>
    <row r="259" spans="1:42" x14ac:dyDescent="0.25">
      <c r="A259" s="41" t="str">
        <f>_xlfn.CONCAT(_xlfn.XLOOKUP("What's Your Name?",[1]Sheet1!$1:$1,[1]Sheet1!259:259)," | ",TEXT(_xlfn.XLOOKUP("Completion time",[1]Sheet1!$1:$1,[1]Sheet1!259:259),"dddd, mmm dd, yyyy hh:mm AM/PM"))</f>
        <v xml:space="preserve"> | Saturday, Jan 00, 1900 12:00 AM</v>
      </c>
      <c r="B259" s="76">
        <f>_xlfn.XLOOKUP("What's Your Email Address?",[1]Sheet1!$1:$1,[1]Sheet1!259:259)</f>
        <v>0</v>
      </c>
      <c r="C259" s="31">
        <f>IF(ISBLANK(_xlfn.XLOOKUP("Which Flavor? (Pint Price | Quart Price | Half Gallon Price) (NOTE: Prices may fluctuate based on market conditions)",[1]Sheet1!$1:$1,[1]Sheet1!259:259)),_xlfn.XLOOKUP("Name Your Ice Cream!",[1]Sheet1!$1:$1,[1]Sheet1!259:259),IF(ISNUMBER(FIND("(", _xlfn.XLOOKUP("Which Flavor? (Pint Price | Quart Price | Half Gallon Price) (NOTE: Prices may fluctuate based on market conditions)",[1]Sheet1!$1:$1,[1]Sheet1!259:259))), LEFT(_xlfn.XLOOKUP("Which Flavor? (Pint Price | Quart Price | Half Gallon Price) (NOTE: Prices may fluctuate based on market conditions)",[1]Sheet1!$1:$1,[1]Sheet1!259:259), FIND("(", _xlfn.XLOOKUP("Which Flavor? (Pint Price | Quart Price | Half Gallon Price) (NOTE: Prices may fluctuate based on market conditions)",[1]Sheet1!$1:$1,[1]Sheet1!259:259)) - 1), _xlfn.XLOOKUP("Which Flavor? (Pint Price | Quart Price | Half Gallon Price) (NOTE: Prices may fluctuate based on market conditions)",[1]Sheet1!$1:$1,[1]Sheet1!259:259)))</f>
        <v>0</v>
      </c>
      <c r="D259" s="31">
        <f>IF(COUNTIF('Premade Flavors'!$A:$A, $C259) &gt; 0,IF(ISBLANK(_xlfn.XLOOKUP("What Ice Cream Base Do You Want To Change It To?",[1]Sheet1!$1:$1,[1]Sheet1!259:259)),_xlfn.XLOOKUP($C259,'Premade Flavors'!$A:$A,'Premade Flavors'!B:B),_xlfn.XLOOKUP("What Ice Cream Base Do You Want To Change It To?",[1]Sheet1!$1:$1,[1]Sheet1!259:259)),_xlfn.XLOOKUP(_xlfn.XLOOKUP("What Kind Of Ice Cream Base Do You Want? ",[1]Sheet1!$1:$1,[1]Sheet1!259:259),'Milk Types Nutrition Per Cup'!O:O,'Milk Types Nutrition Per Cup'!P:P,""))</f>
        <v>0</v>
      </c>
      <c r="E259" s="31">
        <f>IF(COUNTIF('Premade Flavors'!$A:$A, $C259) &gt; 0,IF(ISBLANK(_xlfn.XLOOKUP("What Ice Cream Base Do You Want To Change It To?",[1]Sheet1!$1:$1,[1]Sheet1!259:259)),_xlfn.XLOOKUP($C259,'Premade Flavors'!$A:$A,'Premade Flavors'!C:C),_xlfn.XLOOKUP("What Ice Cream Base Do You Want To Change It To?",[1]Sheet1!$1:$1,[1]Sheet1!259:259)),_xlfn.XLOOKUP(_xlfn.XLOOKUP("What Kind Of Ice Cream Base Do You Want? ",[1]Sheet1!$1:$1,[1]Sheet1!259:259),'Milk Types Nutrition Per Cup'!$O:$O,'Milk Types Nutrition Per Cup'!$Q:$Q,""))</f>
        <v>0</v>
      </c>
      <c r="F259" s="31">
        <f>IF(COUNTIF('Premade Flavors'!$A:$A, $C259) &gt; 0,_xlfn.XLOOKUP($C259,'Premade Flavors'!$A:$A,'Premade Flavors'!E:E),_xlfn.XLOOKUP("What's The First Flavor You Want? ",[1]Sheet1!$1:$1,[1]Sheet1!259:259))</f>
        <v>0</v>
      </c>
      <c r="G259" s="31">
        <f>IF(COUNTIF('Premade Flavors'!$A:$A, $C259) &gt; 0,_xlfn.XLOOKUP($C259,'Premade Flavors'!$A:$A,'Premade Flavors'!F:F),_xlfn.XLOOKUP("What's the Second Flavor You Want?",[1]Sheet1!$1:$1,[1]Sheet1!259:259))</f>
        <v>0</v>
      </c>
      <c r="H259" s="31">
        <f>IF(COUNTIF('Premade Flavors'!$A:$A, $C259) &gt; 0,_xlfn.XLOOKUP($C259,'Premade Flavors'!$A:$A,'Premade Flavors'!G:G),_xlfn.XLOOKUP("What's The First Mix In That You Want? ",[1]Sheet1!$1:$1,[1]Sheet1!259:259))</f>
        <v>0</v>
      </c>
      <c r="I259" s="31">
        <f>IF(COUNTIF('Premade Flavors'!$A:$A, $C257) &gt; 0,_xlfn.XLOOKUP($C257,'Premade Flavors'!$A:$A,'Premade Flavors'!H:H),IF([2]Sheet1!W257= 0,,[2]Sheet1!W257))</f>
        <v>0</v>
      </c>
      <c r="J259" s="31">
        <f>IF(COUNTIF('Premade Flavors'!$A:$A,$C259)&gt;0,IF(_xlfn.XLOOKUP("Should It Use Sugar or A Non-Sugar Sweetner?",[1]Sheet1!$1:$1,[1]Sheet1!259:259)="Sugar",_xlfn.XLOOKUP($C259,'Premade Flavors'!$A:$A,'Premade Flavors'!I:I),"Stevia"),_xlfn.XLOOKUP("What Sweetner Do You Want?",[1]Sheet1!$1:$1,[1]Sheet1!259:259))</f>
        <v>0</v>
      </c>
      <c r="K259" s="31"/>
      <c r="L259" s="77">
        <f>_xlfn.XLOOKUP("How Much Ice Cream Do You Want?",[1]Sheet1!$1:$1,[1]Sheet1!259:259)</f>
        <v>0</v>
      </c>
      <c r="M259" s="45">
        <f>IF(COUNTIF('Premade Flavors'!$A:$A, $C259) &gt; 0,_xlfn.XLOOKUP($C259,'Premade Flavors'!$A:$A,'Premade Flavors'!M:M),_xlfn.XLOOKUP("How Strong Do You Want The First Flavor?",[1]Sheet1!$1:$1,[1]Sheet1!259:259))</f>
        <v>0</v>
      </c>
      <c r="N259" s="45">
        <f>IF(COUNTIF('Premade Flavors'!$A:$A, $C259) &gt; 0,_xlfn.XLOOKUP($C259,'Premade Flavors'!$A:$A,'Premade Flavors'!N:N),_xlfn.XLOOKUP("How Strong Do You Want The Second Flavor?",[1]Sheet1!$1:$1,[1]Sheet1!259:259))</f>
        <v>0</v>
      </c>
      <c r="O259" s="45">
        <f>IF(COUNTIF('Premade Flavors'!$A:$A, $C259) &gt; 0,_xlfn.XLOOKUP($C259,'Premade Flavors'!$A:$A,'Premade Flavors'!O:O),_xlfn.XLOOKUP("How Dense Should the Mix Ins Be?",[1]Sheet1!$1:$1,[1]Sheet1!259:259))</f>
        <v>0</v>
      </c>
      <c r="P259" s="45">
        <f>IF(COUNTIF('Premade Flavors'!$A:$A, $C259) &gt; 0,_xlfn.XLOOKUP($C259,'Premade Flavors'!$A:$A,'Premade Flavors'!P:P),_xlfn.XLOOKUP("How Much Of The First Sweetner? ",[1]Sheet1!$1:$1,[1]Sheet1!259:259))</f>
        <v>0</v>
      </c>
      <c r="Q259" s="45">
        <f>IF(COUNTIF('Premade Flavors'!$A:$A, $C259) &gt; 0,_xlfn.XLOOKUP($C259,'Premade Flavors'!$A:$A,'Premade Flavors'!Q:Q),[2]Sheet1!S259)</f>
        <v>0</v>
      </c>
      <c r="R259" s="30">
        <f>(_xlfn.XLOOKUP($L259,Specs!A:A,Specs!B:B,0)-(IF(_xlfn.XLOOKUP($F259,'Liquid Mix In Nutrition'!A:A,'Liquid Mix In Nutrition'!J:J,0)="Yes",0,$T259))-(IF(_xlfn.XLOOKUP($G259,'Liquid Mix In Nutrition'!A:A,'Liquid Mix In Nutrition'!J:J,0)="Yes",0,$U259))-(($V259/MAX(1,_xlfn.XLOOKUP($H259,'Solid Mix In Nutrition'!A:A,'Solid Mix In Nutrition'!I:I,1)))*240)-(($W259/MAX(1,_xlfn.XLOOKUP($I259,'Solid Mix In Nutrition'!A:A,'Solid Mix In Nutrition'!I:I,1)))*240))*0.66</f>
        <v>0</v>
      </c>
      <c r="S259" s="30">
        <f>(_xlfn.XLOOKUP($L259,Specs!A:A,Specs!B:B,0)-(IF(_xlfn.XLOOKUP($F259,'Liquid Mix In Nutrition'!A:A,'Liquid Mix In Nutrition'!J:J,0)="Yes",0,$T259))-(IF(_xlfn.XLOOKUP($G259,'Liquid Mix In Nutrition'!A:A,'Liquid Mix In Nutrition'!J:J,0)="Yes",0,$U259))-(($V259/MAX(1,_xlfn.XLOOKUP($H259,'Solid Mix In Nutrition'!A:A,'Solid Mix In Nutrition'!I:I,1)))*240)-(($W259/MAX(1,_xlfn.XLOOKUP($I259,'Solid Mix In Nutrition'!A:A,'Solid Mix In Nutrition'!I:I,1)))*240))*0.33</f>
        <v>0</v>
      </c>
      <c r="T259" s="30">
        <f>_xlfn.XLOOKUP($M259,Specs!$D:$D,Specs!$E:$E,0)*15*_xlfn.XLOOKUP($L259,Specs!$A:$A,Specs!$C:$C,0)</f>
        <v>0</v>
      </c>
      <c r="U259" s="30">
        <f>_xlfn.XLOOKUP($N259,Specs!$D:$D,Specs!$E:$E,0)*15*_xlfn.XLOOKUP($L259,Specs!$A:$A,Specs!$C:$C,0)</f>
        <v>0</v>
      </c>
      <c r="V259" s="30">
        <f>( ((_xlfn.XLOOKUP($O259,Specs!$H:$H,Specs!$I:$I,0)*_xlfn.XLOOKUP($L259,Specs!$A:$A,Specs!$B:$B,0))/240) *_xlfn.XLOOKUP($H259,'Solid Mix In Nutrition'!A:A,'Solid Mix In Nutrition'!I:I,0)) *IF(AND(NOT($I259=0), COUNTA($I259)),0.5,1)</f>
        <v>0</v>
      </c>
      <c r="W259" s="30">
        <f>( ((_xlfn.XLOOKUP($O259,Specs!$H:$H,Specs!$I:$I,0)*_xlfn.XLOOKUP($L259,Specs!$A:$A,Specs!$B:$B,0))/240) *_xlfn.XLOOKUP($I259,'Solid Mix In Nutrition'!A:A,'Solid Mix In Nutrition'!I:I,0)) *IF(AND(NOT($I259=0), COUNTA($I259)),0.5,0)</f>
        <v>0</v>
      </c>
      <c r="X259" s="30">
        <f>_xlfn.XLOOKUP($P259,Specs!F:F,Specs!G:G,0)*_xlfn.XLOOKUP($J259,'Sweetener Mix In Nutrition'!A:A,'Sweetener Mix In Nutrition'!I:I,0)*_xlfn.XLOOKUP($L259,Specs!A:A,Specs!C:C,0)</f>
        <v>0</v>
      </c>
      <c r="Y259" s="30">
        <f>_xlfn.XLOOKUP($Q259,Specs!F:F,Specs!G:G,0)*_xlfn.XLOOKUP($K259,'Sweetener Mix In Nutrition'!A:A,'Sweetener Mix In Nutrition'!I:I,0)*_xlfn.XLOOKUP($L259,Specs!A:A,Specs!C:C,0)</f>
        <v>0</v>
      </c>
      <c r="Z259" s="34">
        <f t="shared" si="8"/>
        <v>0</v>
      </c>
      <c r="AA259" s="35">
        <f t="shared" si="9"/>
        <v>0</v>
      </c>
      <c r="AB259" s="36">
        <f>(($R259 / 240) * _xlfn.XLOOKUP($D259,'Milk Types Nutrition Per Cup'!A:A,'Milk Types Nutrition Per Cup'!B:B,0)) +(($S259 / 240)  * _xlfn.XLOOKUP($E259,'Milk Types Nutrition Per Cup'!A:A,'Milk Types Nutrition Per Cup'!B:B,0)) +(($T259 / 15)  * _xlfn.XLOOKUP($F259,'Liquid Mix In Nutrition'!A:A,'Liquid Mix In Nutrition'!B:B,0))+(($U259 / 15)  * _xlfn.XLOOKUP($G259,'Liquid Mix In Nutrition'!A:A,'Liquid Mix In Nutrition'!B:B,0))+(($V259 /MAX(1, _xlfn.XLOOKUP($H259,'Solid Mix In Nutrition'!A:A,'Solid Mix In Nutrition'!I:I,1)))  * _xlfn.XLOOKUP($H259,'Solid Mix In Nutrition'!A:A,'Solid Mix In Nutrition'!B:B,0))+(($W259 / MAX(1, _xlfn.XLOOKUP($I259,'Solid Mix In Nutrition'!A:A,'Solid Mix In Nutrition'!I:I,1))))+(($X259 / 100)  * _xlfn.XLOOKUP($J259,'Sweetener Mix In Nutrition'!A:A,'Sweetener Mix In Nutrition'!B:B,0))+(($Y259 / 100)  * _xlfn.XLOOKUP($K259,'Sweetener Mix In Nutrition'!A:A,'Sweetener Mix In Nutrition'!B:B,0))</f>
        <v>0</v>
      </c>
      <c r="AC259" s="36">
        <f>(($R259 / 240) * _xlfn.XLOOKUP($D259,'Milk Types Nutrition Per Cup'!A:A,'Milk Types Nutrition Per Cup'!E:E,0)) +(($S259 / 240)  * _xlfn.XLOOKUP($E259,'Milk Types Nutrition Per Cup'!A:A,'Milk Types Nutrition Per Cup'!E:E,0)) +(($T259 / 15)  * _xlfn.XLOOKUP($F259,'Liquid Mix In Nutrition'!A:A,'Liquid Mix In Nutrition'!E:E,0)) +(($U259 / 15)  * _xlfn.XLOOKUP($G259,'Liquid Mix In Nutrition'!A:A,'Liquid Mix In Nutrition'!E:E,0))+(($V259 / MAX(1, _xlfn.XLOOKUP($H259,'Solid Mix In Nutrition'!A:A,'Solid Mix In Nutrition'!I:I,1)))  * _xlfn.XLOOKUP($H259,'Solid Mix In Nutrition'!A:A,'Solid Mix In Nutrition'!E:E,0))+(($W259 / MAX(1, _xlfn.XLOOKUP($I259,'Solid Mix In Nutrition'!A:A,'Solid Mix In Nutrition'!I:I,1)))  * _xlfn.XLOOKUP($I259,'Solid Mix In Nutrition'!A:A,'Solid Mix In Nutrition'!G:G,0))+(($X259 / 100)  * _xlfn.XLOOKUP($J259,'Sweetener Mix In Nutrition'!A:A,'Sweetener Mix In Nutrition'!E:E,0))+(($Y259 / 100)  * _xlfn.XLOOKUP($K259,'Sweetener Mix In Nutrition'!A:A,'Sweetener Mix In Nutrition'!E:E,0))</f>
        <v>0</v>
      </c>
      <c r="AD259" s="36">
        <f>(($R259 / 240) * _xlfn.XLOOKUP($D259,'Milk Types Nutrition Per Cup'!A:A,'Milk Types Nutrition Per Cup'!E:E,0)) +(($S259 / 240)  * _xlfn.XLOOKUP($E259,'Milk Types Nutrition Per Cup'!A:A,'Milk Types Nutrition Per Cup'!E:E,0)) +(($T259 / 15)  * _xlfn.XLOOKUP($F259,'Liquid Mix In Nutrition'!A:A,'Liquid Mix In Nutrition'!E:E,0)) +(($U259 / 15)  * _xlfn.XLOOKUP($G259,'Liquid Mix In Nutrition'!A:A,'Liquid Mix In Nutrition'!E:E,0))+(($X259 / 100)  * _xlfn.XLOOKUP($J259,'Sweetener Mix In Nutrition'!A:A,'Sweetener Mix In Nutrition'!E:E,0))+(($Y259 / 100)  * _xlfn.XLOOKUP($K259,'Sweetener Mix In Nutrition'!A:A,'Sweetener Mix In Nutrition'!E:E,0))</f>
        <v>0</v>
      </c>
      <c r="AE259" s="37">
        <f>(($R259 / 240) * _xlfn.XLOOKUP($D259,'Milk Types Nutrition Per Cup'!A:A,'Milk Types Nutrition Per Cup'!C:C,0)) +(($S259 / 240)  * _xlfn.XLOOKUP($E259,'Milk Types Nutrition Per Cup'!A:A,'Milk Types Nutrition Per Cup'!C:C,0)) +(($T259 / 15)  * _xlfn.XLOOKUP($F259,'Liquid Mix In Nutrition'!A:A,'Liquid Mix In Nutrition'!C:C,0))+(($U259 / 15)  * _xlfn.XLOOKUP($G259,'Liquid Mix In Nutrition'!A:A,'Liquid Mix In Nutrition'!C:C,0))+(($V259 / MAX(1, _xlfn.XLOOKUP($H259,'Solid Mix In Nutrition'!A:A,'Solid Mix In Nutrition'!I:I,1)))  * _xlfn.XLOOKUP($H259,'Solid Mix In Nutrition'!A:A,'Solid Mix In Nutrition'!C:C,0))+(($W259 / MAX(1, _xlfn.XLOOKUP($I259,'Solid Mix In Nutrition'!A:A,'Solid Mix In Nutrition'!I:I,1)))  * _xlfn.XLOOKUP($I259,'Solid Mix In Nutrition'!A:A,'Solid Mix In Nutrition'!C:C,0))+(($X259 / 100)  * _xlfn.XLOOKUP($J259,'Sweetener Mix In Nutrition'!A:A,'Sweetener Mix In Nutrition'!C:C,0))+(($Y259 / 100)  * _xlfn.XLOOKUP($K259,'Sweetener Mix In Nutrition'!A:A,'Sweetener Mix In Nutrition'!C:C,0))</f>
        <v>0</v>
      </c>
      <c r="AF259" s="38" t="e">
        <f>$AE259 / (_xlfn.XLOOKUP($L259,Specs!A:A,Specs!B:B,0))</f>
        <v>#DIV/0!</v>
      </c>
      <c r="AG259" s="37" t="e">
        <f>60* ($AB259 / _xlfn.XLOOKUP($L259,Specs!A:A,Specs!B:B,0))</f>
        <v>#DIV/0!</v>
      </c>
      <c r="AH259" s="37" t="e">
        <f>60* (AC259 / _xlfn.XLOOKUP($L259,Specs!$A:$A,Specs!$B:$B,0))</f>
        <v>#DIV/0!</v>
      </c>
      <c r="AI259" s="37" t="e">
        <f>60* (AE259 / _xlfn.XLOOKUP($L259,Specs!$A:$A,Specs!$B:$B,0))</f>
        <v>#DIV/0!</v>
      </c>
      <c r="AJ259" s="39">
        <f>(($R259 / 240) * _xlfn.XLOOKUP($D259,'Milk Types Nutrition Per Cup'!A:A,'Milk Types Nutrition Per Cup'!F:F,0)) +(($S259 / 240)  * _xlfn.XLOOKUP($E259,'Milk Types Nutrition Per Cup'!A:A,'Milk Types Nutrition Per Cup'!F:F,0)) +(($T259 / 15)  * _xlfn.XLOOKUP($F259,'Liquid Mix In Nutrition'!A:A,'Liquid Mix In Nutrition'!F:F,0))+(($U259 / 15)  * _xlfn.XLOOKUP($G259,'Liquid Mix In Nutrition'!A:A,'Liquid Mix In Nutrition'!F:F,0))+(($V259 / MAX(1, _xlfn.XLOOKUP($H259,'Solid Mix In Nutrition'!A:A,'Solid Mix In Nutrition'!I:I,1)))  * _xlfn.XLOOKUP($H259,'Solid Mix In Nutrition'!A:A,'Solid Mix In Nutrition'!F:F,0))+(($W259 / MAX(1, _xlfn.XLOOKUP($I259,'Solid Mix In Nutrition'!A:A,'Solid Mix In Nutrition'!I:I,1)))  * _xlfn.XLOOKUP($I259,'Solid Mix In Nutrition'!A:A,'Solid Mix In Nutrition'!F:F,0))+(($X259 / 100)  * _xlfn.XLOOKUP($J259,'Sweetener Mix In Nutrition'!A:A,'Sweetener Mix In Nutrition'!F:F,0))+(($Y259 / 100)  * _xlfn.XLOOKUP($K259,'Sweetener Mix In Nutrition'!A:A,'Sweetener Mix In Nutrition'!F:F,0))</f>
        <v>0</v>
      </c>
      <c r="AK259" s="46">
        <f>[2]Sheet1!AG259</f>
        <v>0</v>
      </c>
      <c r="AL259" s="47"/>
      <c r="AM259" s="40">
        <f>IF(ISERROR(((AL259/Specs!$L$3)*Specs!$L$2)*2),0,ROUNDUP((((AL259/Specs!$L$3)*Specs!$L$2)*2),0))</f>
        <v>0</v>
      </c>
      <c r="AN259" s="48">
        <f>ROUNDUP(((AJ259+Specs!$R$2+Specs!$S$2+_xlfn.XLOOKUP($L259,Specs!A:A,Specs!V:V,0))*Specs!$N$2)+AM259,0)</f>
        <v>1</v>
      </c>
      <c r="AO259" s="40">
        <f>ROUNDUP(((AJ259+Specs!$R$2+Specs!$S$2+_xlfn.XLOOKUP($L259,Specs!A:A,Specs!V:V,0))*Specs!$N$2),0)</f>
        <v>1</v>
      </c>
      <c r="AP259" s="30"/>
    </row>
    <row r="260" spans="1:42" x14ac:dyDescent="0.25">
      <c r="A260" s="41" t="str">
        <f>_xlfn.CONCAT(_xlfn.XLOOKUP("What's Your Name?",[1]Sheet1!$1:$1,[1]Sheet1!260:260)," | ",TEXT(_xlfn.XLOOKUP("Completion time",[1]Sheet1!$1:$1,[1]Sheet1!260:260),"dddd, mmm dd, yyyy hh:mm AM/PM"))</f>
        <v xml:space="preserve"> | Saturday, Jan 00, 1900 12:00 AM</v>
      </c>
      <c r="B260" s="76">
        <f>_xlfn.XLOOKUP("What's Your Email Address?",[1]Sheet1!$1:$1,[1]Sheet1!260:260)</f>
        <v>0</v>
      </c>
      <c r="C260" s="31">
        <f>IF(ISBLANK(_xlfn.XLOOKUP("Which Flavor? (Pint Price | Quart Price | Half Gallon Price) (NOTE: Prices may fluctuate based on market conditions)",[1]Sheet1!$1:$1,[1]Sheet1!260:260)),_xlfn.XLOOKUP("Name Your Ice Cream!",[1]Sheet1!$1:$1,[1]Sheet1!260:260),IF(ISNUMBER(FIND("(", _xlfn.XLOOKUP("Which Flavor? (Pint Price | Quart Price | Half Gallon Price) (NOTE: Prices may fluctuate based on market conditions)",[1]Sheet1!$1:$1,[1]Sheet1!260:260))), LEFT(_xlfn.XLOOKUP("Which Flavor? (Pint Price | Quart Price | Half Gallon Price) (NOTE: Prices may fluctuate based on market conditions)",[1]Sheet1!$1:$1,[1]Sheet1!260:260), FIND("(", _xlfn.XLOOKUP("Which Flavor? (Pint Price | Quart Price | Half Gallon Price) (NOTE: Prices may fluctuate based on market conditions)",[1]Sheet1!$1:$1,[1]Sheet1!260:260)) - 1), _xlfn.XLOOKUP("Which Flavor? (Pint Price | Quart Price | Half Gallon Price) (NOTE: Prices may fluctuate based on market conditions)",[1]Sheet1!$1:$1,[1]Sheet1!260:260)))</f>
        <v>0</v>
      </c>
      <c r="D260" s="31">
        <f>IF(COUNTIF('Premade Flavors'!$A:$A, $C260) &gt; 0,IF(ISBLANK(_xlfn.XLOOKUP("What Ice Cream Base Do You Want To Change It To?",[1]Sheet1!$1:$1,[1]Sheet1!260:260)),_xlfn.XLOOKUP($C260,'Premade Flavors'!$A:$A,'Premade Flavors'!B:B),_xlfn.XLOOKUP("What Ice Cream Base Do You Want To Change It To?",[1]Sheet1!$1:$1,[1]Sheet1!260:260)),_xlfn.XLOOKUP(_xlfn.XLOOKUP("What Kind Of Ice Cream Base Do You Want? ",[1]Sheet1!$1:$1,[1]Sheet1!260:260),'Milk Types Nutrition Per Cup'!O:O,'Milk Types Nutrition Per Cup'!P:P,""))</f>
        <v>0</v>
      </c>
      <c r="E260" s="31">
        <f>IF(COUNTIF('Premade Flavors'!$A:$A, $C260) &gt; 0,IF(ISBLANK(_xlfn.XLOOKUP("What Ice Cream Base Do You Want To Change It To?",[1]Sheet1!$1:$1,[1]Sheet1!260:260)),_xlfn.XLOOKUP($C260,'Premade Flavors'!$A:$A,'Premade Flavors'!C:C),_xlfn.XLOOKUP("What Ice Cream Base Do You Want To Change It To?",[1]Sheet1!$1:$1,[1]Sheet1!260:260)),_xlfn.XLOOKUP(_xlfn.XLOOKUP("What Kind Of Ice Cream Base Do You Want? ",[1]Sheet1!$1:$1,[1]Sheet1!260:260),'Milk Types Nutrition Per Cup'!$O:$O,'Milk Types Nutrition Per Cup'!$Q:$Q,""))</f>
        <v>0</v>
      </c>
      <c r="F260" s="31">
        <f>IF(COUNTIF('Premade Flavors'!$A:$A, $C260) &gt; 0,_xlfn.XLOOKUP($C260,'Premade Flavors'!$A:$A,'Premade Flavors'!E:E),_xlfn.XLOOKUP("What's The First Flavor You Want? ",[1]Sheet1!$1:$1,[1]Sheet1!260:260))</f>
        <v>0</v>
      </c>
      <c r="G260" s="31">
        <f>IF(COUNTIF('Premade Flavors'!$A:$A, $C260) &gt; 0,_xlfn.XLOOKUP($C260,'Premade Flavors'!$A:$A,'Premade Flavors'!F:F),_xlfn.XLOOKUP("What's the Second Flavor You Want?",[1]Sheet1!$1:$1,[1]Sheet1!260:260))</f>
        <v>0</v>
      </c>
      <c r="H260" s="31">
        <f>IF(COUNTIF('Premade Flavors'!$A:$A, $C260) &gt; 0,_xlfn.XLOOKUP($C260,'Premade Flavors'!$A:$A,'Premade Flavors'!G:G),_xlfn.XLOOKUP("What's The First Mix In That You Want? ",[1]Sheet1!$1:$1,[1]Sheet1!260:260))</f>
        <v>0</v>
      </c>
      <c r="I260" s="31">
        <f>IF(COUNTIF('Premade Flavors'!$A:$A, $C258) &gt; 0,_xlfn.XLOOKUP($C258,'Premade Flavors'!$A:$A,'Premade Flavors'!H:H),IF([2]Sheet1!W258= 0,,[2]Sheet1!W258))</f>
        <v>0</v>
      </c>
      <c r="J260" s="31">
        <f>IF(COUNTIF('Premade Flavors'!$A:$A,$C260)&gt;0,IF(_xlfn.XLOOKUP("Should It Use Sugar or A Non-Sugar Sweetner?",[1]Sheet1!$1:$1,[1]Sheet1!260:260)="Sugar",_xlfn.XLOOKUP($C260,'Premade Flavors'!$A:$A,'Premade Flavors'!I:I),"Stevia"),_xlfn.XLOOKUP("What Sweetner Do You Want?",[1]Sheet1!$1:$1,[1]Sheet1!260:260))</f>
        <v>0</v>
      </c>
      <c r="K260" s="31"/>
      <c r="L260" s="77">
        <f>_xlfn.XLOOKUP("How Much Ice Cream Do You Want?",[1]Sheet1!$1:$1,[1]Sheet1!260:260)</f>
        <v>0</v>
      </c>
      <c r="M260" s="45">
        <f>IF(COUNTIF('Premade Flavors'!$A:$A, $C260) &gt; 0,_xlfn.XLOOKUP($C260,'Premade Flavors'!$A:$A,'Premade Flavors'!M:M),_xlfn.XLOOKUP("How Strong Do You Want The First Flavor?",[1]Sheet1!$1:$1,[1]Sheet1!260:260))</f>
        <v>0</v>
      </c>
      <c r="N260" s="45">
        <f>IF(COUNTIF('Premade Flavors'!$A:$A, $C260) &gt; 0,_xlfn.XLOOKUP($C260,'Premade Flavors'!$A:$A,'Premade Flavors'!N:N),_xlfn.XLOOKUP("How Strong Do You Want The Second Flavor?",[1]Sheet1!$1:$1,[1]Sheet1!260:260))</f>
        <v>0</v>
      </c>
      <c r="O260" s="45">
        <f>IF(COUNTIF('Premade Flavors'!$A:$A, $C260) &gt; 0,_xlfn.XLOOKUP($C260,'Premade Flavors'!$A:$A,'Premade Flavors'!O:O),_xlfn.XLOOKUP("How Dense Should the Mix Ins Be?",[1]Sheet1!$1:$1,[1]Sheet1!260:260))</f>
        <v>0</v>
      </c>
      <c r="P260" s="45">
        <f>IF(COUNTIF('Premade Flavors'!$A:$A, $C260) &gt; 0,_xlfn.XLOOKUP($C260,'Premade Flavors'!$A:$A,'Premade Flavors'!P:P),_xlfn.XLOOKUP("How Much Of The First Sweetner? ",[1]Sheet1!$1:$1,[1]Sheet1!260:260))</f>
        <v>0</v>
      </c>
      <c r="Q260" s="45">
        <f>IF(COUNTIF('Premade Flavors'!$A:$A, $C260) &gt; 0,_xlfn.XLOOKUP($C260,'Premade Flavors'!$A:$A,'Premade Flavors'!Q:Q),[2]Sheet1!S260)</f>
        <v>0</v>
      </c>
      <c r="R260" s="30">
        <f>(_xlfn.XLOOKUP($L260,Specs!A:A,Specs!B:B,0)-(IF(_xlfn.XLOOKUP($F260,'Liquid Mix In Nutrition'!A:A,'Liquid Mix In Nutrition'!J:J,0)="Yes",0,$T260))-(IF(_xlfn.XLOOKUP($G260,'Liquid Mix In Nutrition'!A:A,'Liquid Mix In Nutrition'!J:J,0)="Yes",0,$U260))-(($V260/MAX(1,_xlfn.XLOOKUP($H260,'Solid Mix In Nutrition'!A:A,'Solid Mix In Nutrition'!I:I,1)))*240)-(($W260/MAX(1,_xlfn.XLOOKUP($I260,'Solid Mix In Nutrition'!A:A,'Solid Mix In Nutrition'!I:I,1)))*240))*0.66</f>
        <v>0</v>
      </c>
      <c r="S260" s="30">
        <f>(_xlfn.XLOOKUP($L260,Specs!A:A,Specs!B:B,0)-(IF(_xlfn.XLOOKUP($F260,'Liquid Mix In Nutrition'!A:A,'Liquid Mix In Nutrition'!J:J,0)="Yes",0,$T260))-(IF(_xlfn.XLOOKUP($G260,'Liquid Mix In Nutrition'!A:A,'Liquid Mix In Nutrition'!J:J,0)="Yes",0,$U260))-(($V260/MAX(1,_xlfn.XLOOKUP($H260,'Solid Mix In Nutrition'!A:A,'Solid Mix In Nutrition'!I:I,1)))*240)-(($W260/MAX(1,_xlfn.XLOOKUP($I260,'Solid Mix In Nutrition'!A:A,'Solid Mix In Nutrition'!I:I,1)))*240))*0.33</f>
        <v>0</v>
      </c>
      <c r="T260" s="30">
        <f>_xlfn.XLOOKUP($M260,Specs!$D:$D,Specs!$E:$E,0)*15*_xlfn.XLOOKUP($L260,Specs!$A:$A,Specs!$C:$C,0)</f>
        <v>0</v>
      </c>
      <c r="U260" s="30">
        <f>_xlfn.XLOOKUP($N260,Specs!$D:$D,Specs!$E:$E,0)*15*_xlfn.XLOOKUP($L260,Specs!$A:$A,Specs!$C:$C,0)</f>
        <v>0</v>
      </c>
      <c r="V260" s="30">
        <f>( ((_xlfn.XLOOKUP($O260,Specs!$H:$H,Specs!$I:$I,0)*_xlfn.XLOOKUP($L260,Specs!$A:$A,Specs!$B:$B,0))/240) *_xlfn.XLOOKUP($H260,'Solid Mix In Nutrition'!A:A,'Solid Mix In Nutrition'!I:I,0)) *IF(AND(NOT($I260=0), COUNTA($I260)),0.5,1)</f>
        <v>0</v>
      </c>
      <c r="W260" s="30">
        <f>( ((_xlfn.XLOOKUP($O260,Specs!$H:$H,Specs!$I:$I,0)*_xlfn.XLOOKUP($L260,Specs!$A:$A,Specs!$B:$B,0))/240) *_xlfn.XLOOKUP($I260,'Solid Mix In Nutrition'!A:A,'Solid Mix In Nutrition'!I:I,0)) *IF(AND(NOT($I260=0), COUNTA($I260)),0.5,0)</f>
        <v>0</v>
      </c>
      <c r="X260" s="30">
        <f>_xlfn.XLOOKUP($P260,Specs!F:F,Specs!G:G,0)*_xlfn.XLOOKUP($J260,'Sweetener Mix In Nutrition'!A:A,'Sweetener Mix In Nutrition'!I:I,0)*_xlfn.XLOOKUP($L260,Specs!A:A,Specs!C:C,0)</f>
        <v>0</v>
      </c>
      <c r="Y260" s="30">
        <f>_xlfn.XLOOKUP($Q260,Specs!F:F,Specs!G:G,0)*_xlfn.XLOOKUP($K260,'Sweetener Mix In Nutrition'!A:A,'Sweetener Mix In Nutrition'!I:I,0)*_xlfn.XLOOKUP($L260,Specs!A:A,Specs!C:C,0)</f>
        <v>0</v>
      </c>
      <c r="Z260" s="34">
        <f t="shared" si="8"/>
        <v>0</v>
      </c>
      <c r="AA260" s="35">
        <f t="shared" si="9"/>
        <v>0</v>
      </c>
      <c r="AB260" s="36">
        <f>(($R260 / 240) * _xlfn.XLOOKUP($D260,'Milk Types Nutrition Per Cup'!A:A,'Milk Types Nutrition Per Cup'!B:B,0)) +(($S260 / 240)  * _xlfn.XLOOKUP($E260,'Milk Types Nutrition Per Cup'!A:A,'Milk Types Nutrition Per Cup'!B:B,0)) +(($T260 / 15)  * _xlfn.XLOOKUP($F260,'Liquid Mix In Nutrition'!A:A,'Liquid Mix In Nutrition'!B:B,0))+(($U260 / 15)  * _xlfn.XLOOKUP($G260,'Liquid Mix In Nutrition'!A:A,'Liquid Mix In Nutrition'!B:B,0))+(($V260 /MAX(1, _xlfn.XLOOKUP($H260,'Solid Mix In Nutrition'!A:A,'Solid Mix In Nutrition'!I:I,1)))  * _xlfn.XLOOKUP($H260,'Solid Mix In Nutrition'!A:A,'Solid Mix In Nutrition'!B:B,0))+(($W260 / MAX(1, _xlfn.XLOOKUP($I260,'Solid Mix In Nutrition'!A:A,'Solid Mix In Nutrition'!I:I,1))))+(($X260 / 100)  * _xlfn.XLOOKUP($J260,'Sweetener Mix In Nutrition'!A:A,'Sweetener Mix In Nutrition'!B:B,0))+(($Y260 / 100)  * _xlfn.XLOOKUP($K260,'Sweetener Mix In Nutrition'!A:A,'Sweetener Mix In Nutrition'!B:B,0))</f>
        <v>0</v>
      </c>
      <c r="AC260" s="36">
        <f>(($R260 / 240) * _xlfn.XLOOKUP($D260,'Milk Types Nutrition Per Cup'!A:A,'Milk Types Nutrition Per Cup'!E:E,0)) +(($S260 / 240)  * _xlfn.XLOOKUP($E260,'Milk Types Nutrition Per Cup'!A:A,'Milk Types Nutrition Per Cup'!E:E,0)) +(($T260 / 15)  * _xlfn.XLOOKUP($F260,'Liquid Mix In Nutrition'!A:A,'Liquid Mix In Nutrition'!E:E,0)) +(($U260 / 15)  * _xlfn.XLOOKUP($G260,'Liquid Mix In Nutrition'!A:A,'Liquid Mix In Nutrition'!E:E,0))+(($V260 / MAX(1, _xlfn.XLOOKUP($H260,'Solid Mix In Nutrition'!A:A,'Solid Mix In Nutrition'!I:I,1)))  * _xlfn.XLOOKUP($H260,'Solid Mix In Nutrition'!A:A,'Solid Mix In Nutrition'!E:E,0))+(($W260 / MAX(1, _xlfn.XLOOKUP($I260,'Solid Mix In Nutrition'!A:A,'Solid Mix In Nutrition'!I:I,1)))  * _xlfn.XLOOKUP($I260,'Solid Mix In Nutrition'!A:A,'Solid Mix In Nutrition'!G:G,0))+(($X260 / 100)  * _xlfn.XLOOKUP($J260,'Sweetener Mix In Nutrition'!A:A,'Sweetener Mix In Nutrition'!E:E,0))+(($Y260 / 100)  * _xlfn.XLOOKUP($K260,'Sweetener Mix In Nutrition'!A:A,'Sweetener Mix In Nutrition'!E:E,0))</f>
        <v>0</v>
      </c>
      <c r="AD260" s="36">
        <f>(($R260 / 240) * _xlfn.XLOOKUP($D260,'Milk Types Nutrition Per Cup'!A:A,'Milk Types Nutrition Per Cup'!E:E,0)) +(($S260 / 240)  * _xlfn.XLOOKUP($E260,'Milk Types Nutrition Per Cup'!A:A,'Milk Types Nutrition Per Cup'!E:E,0)) +(($T260 / 15)  * _xlfn.XLOOKUP($F260,'Liquid Mix In Nutrition'!A:A,'Liquid Mix In Nutrition'!E:E,0)) +(($U260 / 15)  * _xlfn.XLOOKUP($G260,'Liquid Mix In Nutrition'!A:A,'Liquid Mix In Nutrition'!E:E,0))+(($X260 / 100)  * _xlfn.XLOOKUP($J260,'Sweetener Mix In Nutrition'!A:A,'Sweetener Mix In Nutrition'!E:E,0))+(($Y260 / 100)  * _xlfn.XLOOKUP($K260,'Sweetener Mix In Nutrition'!A:A,'Sweetener Mix In Nutrition'!E:E,0))</f>
        <v>0</v>
      </c>
      <c r="AE260" s="37">
        <f>(($R260 / 240) * _xlfn.XLOOKUP($D260,'Milk Types Nutrition Per Cup'!A:A,'Milk Types Nutrition Per Cup'!C:C,0)) +(($S260 / 240)  * _xlfn.XLOOKUP($E260,'Milk Types Nutrition Per Cup'!A:A,'Milk Types Nutrition Per Cup'!C:C,0)) +(($T260 / 15)  * _xlfn.XLOOKUP($F260,'Liquid Mix In Nutrition'!A:A,'Liquid Mix In Nutrition'!C:C,0))+(($U260 / 15)  * _xlfn.XLOOKUP($G260,'Liquid Mix In Nutrition'!A:A,'Liquid Mix In Nutrition'!C:C,0))+(($V260 / MAX(1, _xlfn.XLOOKUP($H260,'Solid Mix In Nutrition'!A:A,'Solid Mix In Nutrition'!I:I,1)))  * _xlfn.XLOOKUP($H260,'Solid Mix In Nutrition'!A:A,'Solid Mix In Nutrition'!C:C,0))+(($W260 / MAX(1, _xlfn.XLOOKUP($I260,'Solid Mix In Nutrition'!A:A,'Solid Mix In Nutrition'!I:I,1)))  * _xlfn.XLOOKUP($I260,'Solid Mix In Nutrition'!A:A,'Solid Mix In Nutrition'!C:C,0))+(($X260 / 100)  * _xlfn.XLOOKUP($J260,'Sweetener Mix In Nutrition'!A:A,'Sweetener Mix In Nutrition'!C:C,0))+(($Y260 / 100)  * _xlfn.XLOOKUP($K260,'Sweetener Mix In Nutrition'!A:A,'Sweetener Mix In Nutrition'!C:C,0))</f>
        <v>0</v>
      </c>
      <c r="AF260" s="38" t="e">
        <f>$AE260 / (_xlfn.XLOOKUP($L260,Specs!A:A,Specs!B:B,0))</f>
        <v>#DIV/0!</v>
      </c>
      <c r="AG260" s="37" t="e">
        <f>60* ($AB260 / _xlfn.XLOOKUP($L260,Specs!A:A,Specs!B:B,0))</f>
        <v>#DIV/0!</v>
      </c>
      <c r="AH260" s="37" t="e">
        <f>60* (AC260 / _xlfn.XLOOKUP($L260,Specs!$A:$A,Specs!$B:$B,0))</f>
        <v>#DIV/0!</v>
      </c>
      <c r="AI260" s="37" t="e">
        <f>60* (AE260 / _xlfn.XLOOKUP($L260,Specs!$A:$A,Specs!$B:$B,0))</f>
        <v>#DIV/0!</v>
      </c>
      <c r="AJ260" s="39">
        <f>(($R260 / 240) * _xlfn.XLOOKUP($D260,'Milk Types Nutrition Per Cup'!A:A,'Milk Types Nutrition Per Cup'!F:F,0)) +(($S260 / 240)  * _xlfn.XLOOKUP($E260,'Milk Types Nutrition Per Cup'!A:A,'Milk Types Nutrition Per Cup'!F:F,0)) +(($T260 / 15)  * _xlfn.XLOOKUP($F260,'Liquid Mix In Nutrition'!A:A,'Liquid Mix In Nutrition'!F:F,0))+(($U260 / 15)  * _xlfn.XLOOKUP($G260,'Liquid Mix In Nutrition'!A:A,'Liquid Mix In Nutrition'!F:F,0))+(($V260 / MAX(1, _xlfn.XLOOKUP($H260,'Solid Mix In Nutrition'!A:A,'Solid Mix In Nutrition'!I:I,1)))  * _xlfn.XLOOKUP($H260,'Solid Mix In Nutrition'!A:A,'Solid Mix In Nutrition'!F:F,0))+(($W260 / MAX(1, _xlfn.XLOOKUP($I260,'Solid Mix In Nutrition'!A:A,'Solid Mix In Nutrition'!I:I,1)))  * _xlfn.XLOOKUP($I260,'Solid Mix In Nutrition'!A:A,'Solid Mix In Nutrition'!F:F,0))+(($X260 / 100)  * _xlfn.XLOOKUP($J260,'Sweetener Mix In Nutrition'!A:A,'Sweetener Mix In Nutrition'!F:F,0))+(($Y260 / 100)  * _xlfn.XLOOKUP($K260,'Sweetener Mix In Nutrition'!A:A,'Sweetener Mix In Nutrition'!F:F,0))</f>
        <v>0</v>
      </c>
      <c r="AK260" s="46">
        <f>[2]Sheet1!AG260</f>
        <v>0</v>
      </c>
      <c r="AL260" s="47"/>
      <c r="AM260" s="40">
        <f>IF(ISERROR(((AL260/Specs!$L$3)*Specs!$L$2)*2),0,ROUNDUP((((AL260/Specs!$L$3)*Specs!$L$2)*2),0))</f>
        <v>0</v>
      </c>
      <c r="AN260" s="48">
        <f>ROUNDUP(((AJ260+Specs!$R$2+Specs!$S$2+_xlfn.XLOOKUP($L260,Specs!A:A,Specs!V:V,0))*Specs!$N$2)+AM260,0)</f>
        <v>1</v>
      </c>
      <c r="AO260" s="40">
        <f>ROUNDUP(((AJ260+Specs!$R$2+Specs!$S$2+_xlfn.XLOOKUP($L260,Specs!A:A,Specs!V:V,0))*Specs!$N$2),0)</f>
        <v>1</v>
      </c>
      <c r="AP260" s="30"/>
    </row>
    <row r="261" spans="1:42" x14ac:dyDescent="0.25">
      <c r="A261" s="41" t="str">
        <f>_xlfn.CONCAT(_xlfn.XLOOKUP("What's Your Name?",[1]Sheet1!$1:$1,[1]Sheet1!261:261)," | ",TEXT(_xlfn.XLOOKUP("Completion time",[1]Sheet1!$1:$1,[1]Sheet1!261:261),"dddd, mmm dd, yyyy hh:mm AM/PM"))</f>
        <v xml:space="preserve"> | Saturday, Jan 00, 1900 12:00 AM</v>
      </c>
      <c r="B261" s="76">
        <f>_xlfn.XLOOKUP("What's Your Email Address?",[1]Sheet1!$1:$1,[1]Sheet1!261:261)</f>
        <v>0</v>
      </c>
      <c r="C261" s="31">
        <f>IF(ISBLANK(_xlfn.XLOOKUP("Which Flavor? (Pint Price | Quart Price | Half Gallon Price) (NOTE: Prices may fluctuate based on market conditions)",[1]Sheet1!$1:$1,[1]Sheet1!261:261)),_xlfn.XLOOKUP("Name Your Ice Cream!",[1]Sheet1!$1:$1,[1]Sheet1!261:261),IF(ISNUMBER(FIND("(", _xlfn.XLOOKUP("Which Flavor? (Pint Price | Quart Price | Half Gallon Price) (NOTE: Prices may fluctuate based on market conditions)",[1]Sheet1!$1:$1,[1]Sheet1!261:261))), LEFT(_xlfn.XLOOKUP("Which Flavor? (Pint Price | Quart Price | Half Gallon Price) (NOTE: Prices may fluctuate based on market conditions)",[1]Sheet1!$1:$1,[1]Sheet1!261:261), FIND("(", _xlfn.XLOOKUP("Which Flavor? (Pint Price | Quart Price | Half Gallon Price) (NOTE: Prices may fluctuate based on market conditions)",[1]Sheet1!$1:$1,[1]Sheet1!261:261)) - 1), _xlfn.XLOOKUP("Which Flavor? (Pint Price | Quart Price | Half Gallon Price) (NOTE: Prices may fluctuate based on market conditions)",[1]Sheet1!$1:$1,[1]Sheet1!261:261)))</f>
        <v>0</v>
      </c>
      <c r="D261" s="31">
        <f>IF(COUNTIF('Premade Flavors'!$A:$A, $C261) &gt; 0,IF(ISBLANK(_xlfn.XLOOKUP("What Ice Cream Base Do You Want To Change It To?",[1]Sheet1!$1:$1,[1]Sheet1!261:261)),_xlfn.XLOOKUP($C261,'Premade Flavors'!$A:$A,'Premade Flavors'!B:B),_xlfn.XLOOKUP("What Ice Cream Base Do You Want To Change It To?",[1]Sheet1!$1:$1,[1]Sheet1!261:261)),_xlfn.XLOOKUP(_xlfn.XLOOKUP("What Kind Of Ice Cream Base Do You Want? ",[1]Sheet1!$1:$1,[1]Sheet1!261:261),'Milk Types Nutrition Per Cup'!O:O,'Milk Types Nutrition Per Cup'!P:P,""))</f>
        <v>0</v>
      </c>
      <c r="E261" s="31">
        <f>IF(COUNTIF('Premade Flavors'!$A:$A, $C261) &gt; 0,IF(ISBLANK(_xlfn.XLOOKUP("What Ice Cream Base Do You Want To Change It To?",[1]Sheet1!$1:$1,[1]Sheet1!261:261)),_xlfn.XLOOKUP($C261,'Premade Flavors'!$A:$A,'Premade Flavors'!C:C),_xlfn.XLOOKUP("What Ice Cream Base Do You Want To Change It To?",[1]Sheet1!$1:$1,[1]Sheet1!261:261)),_xlfn.XLOOKUP(_xlfn.XLOOKUP("What Kind Of Ice Cream Base Do You Want? ",[1]Sheet1!$1:$1,[1]Sheet1!261:261),'Milk Types Nutrition Per Cup'!$O:$O,'Milk Types Nutrition Per Cup'!$Q:$Q,""))</f>
        <v>0</v>
      </c>
      <c r="F261" s="31">
        <f>IF(COUNTIF('Premade Flavors'!$A:$A, $C261) &gt; 0,_xlfn.XLOOKUP($C261,'Premade Flavors'!$A:$A,'Premade Flavors'!E:E),_xlfn.XLOOKUP("What's The First Flavor You Want? ",[1]Sheet1!$1:$1,[1]Sheet1!261:261))</f>
        <v>0</v>
      </c>
      <c r="G261" s="31">
        <f>IF(COUNTIF('Premade Flavors'!$A:$A, $C261) &gt; 0,_xlfn.XLOOKUP($C261,'Premade Flavors'!$A:$A,'Premade Flavors'!F:F),_xlfn.XLOOKUP("What's the Second Flavor You Want?",[1]Sheet1!$1:$1,[1]Sheet1!261:261))</f>
        <v>0</v>
      </c>
      <c r="H261" s="31">
        <f>IF(COUNTIF('Premade Flavors'!$A:$A, $C261) &gt; 0,_xlfn.XLOOKUP($C261,'Premade Flavors'!$A:$A,'Premade Flavors'!G:G),_xlfn.XLOOKUP("What's The First Mix In That You Want? ",[1]Sheet1!$1:$1,[1]Sheet1!261:261))</f>
        <v>0</v>
      </c>
      <c r="I261" s="31">
        <f>IF(COUNTIF('Premade Flavors'!$A:$A, $C259) &gt; 0,_xlfn.XLOOKUP($C259,'Premade Flavors'!$A:$A,'Premade Flavors'!H:H),IF([2]Sheet1!W259= 0,,[2]Sheet1!W259))</f>
        <v>0</v>
      </c>
      <c r="J261" s="31">
        <f>IF(COUNTIF('Premade Flavors'!$A:$A,$C261)&gt;0,IF(_xlfn.XLOOKUP("Should It Use Sugar or A Non-Sugar Sweetner?",[1]Sheet1!$1:$1,[1]Sheet1!261:261)="Sugar",_xlfn.XLOOKUP($C261,'Premade Flavors'!$A:$A,'Premade Flavors'!I:I),"Stevia"),_xlfn.XLOOKUP("What Sweetner Do You Want?",[1]Sheet1!$1:$1,[1]Sheet1!261:261))</f>
        <v>0</v>
      </c>
      <c r="K261" s="31"/>
      <c r="L261" s="77">
        <f>_xlfn.XLOOKUP("How Much Ice Cream Do You Want?",[1]Sheet1!$1:$1,[1]Sheet1!261:261)</f>
        <v>0</v>
      </c>
      <c r="M261" s="45">
        <f>IF(COUNTIF('Premade Flavors'!$A:$A, $C261) &gt; 0,_xlfn.XLOOKUP($C261,'Premade Flavors'!$A:$A,'Premade Flavors'!M:M),_xlfn.XLOOKUP("How Strong Do You Want The First Flavor?",[1]Sheet1!$1:$1,[1]Sheet1!261:261))</f>
        <v>0</v>
      </c>
      <c r="N261" s="45">
        <f>IF(COUNTIF('Premade Flavors'!$A:$A, $C261) &gt; 0,_xlfn.XLOOKUP($C261,'Premade Flavors'!$A:$A,'Premade Flavors'!N:N),_xlfn.XLOOKUP("How Strong Do You Want The Second Flavor?",[1]Sheet1!$1:$1,[1]Sheet1!261:261))</f>
        <v>0</v>
      </c>
      <c r="O261" s="45">
        <f>IF(COUNTIF('Premade Flavors'!$A:$A, $C261) &gt; 0,_xlfn.XLOOKUP($C261,'Premade Flavors'!$A:$A,'Premade Flavors'!O:O),_xlfn.XLOOKUP("How Dense Should the Mix Ins Be?",[1]Sheet1!$1:$1,[1]Sheet1!261:261))</f>
        <v>0</v>
      </c>
      <c r="P261" s="45">
        <f>IF(COUNTIF('Premade Flavors'!$A:$A, $C261) &gt; 0,_xlfn.XLOOKUP($C261,'Premade Flavors'!$A:$A,'Premade Flavors'!P:P),_xlfn.XLOOKUP("How Much Of The First Sweetner? ",[1]Sheet1!$1:$1,[1]Sheet1!261:261))</f>
        <v>0</v>
      </c>
      <c r="Q261" s="45">
        <f>IF(COUNTIF('Premade Flavors'!$A:$A, $C261) &gt; 0,_xlfn.XLOOKUP($C261,'Premade Flavors'!$A:$A,'Premade Flavors'!Q:Q),[2]Sheet1!S261)</f>
        <v>0</v>
      </c>
      <c r="R261" s="30">
        <f>(_xlfn.XLOOKUP($L261,Specs!A:A,Specs!B:B,0)-(IF(_xlfn.XLOOKUP($F261,'Liquid Mix In Nutrition'!A:A,'Liquid Mix In Nutrition'!J:J,0)="Yes",0,$T261))-(IF(_xlfn.XLOOKUP($G261,'Liquid Mix In Nutrition'!A:A,'Liquid Mix In Nutrition'!J:J,0)="Yes",0,$U261))-(($V261/MAX(1,_xlfn.XLOOKUP($H261,'Solid Mix In Nutrition'!A:A,'Solid Mix In Nutrition'!I:I,1)))*240)-(($W261/MAX(1,_xlfn.XLOOKUP($I261,'Solid Mix In Nutrition'!A:A,'Solid Mix In Nutrition'!I:I,1)))*240))*0.66</f>
        <v>0</v>
      </c>
      <c r="S261" s="30">
        <f>(_xlfn.XLOOKUP($L261,Specs!A:A,Specs!B:B,0)-(IF(_xlfn.XLOOKUP($F261,'Liquid Mix In Nutrition'!A:A,'Liquid Mix In Nutrition'!J:J,0)="Yes",0,$T261))-(IF(_xlfn.XLOOKUP($G261,'Liquid Mix In Nutrition'!A:A,'Liquid Mix In Nutrition'!J:J,0)="Yes",0,$U261))-(($V261/MAX(1,_xlfn.XLOOKUP($H261,'Solid Mix In Nutrition'!A:A,'Solid Mix In Nutrition'!I:I,1)))*240)-(($W261/MAX(1,_xlfn.XLOOKUP($I261,'Solid Mix In Nutrition'!A:A,'Solid Mix In Nutrition'!I:I,1)))*240))*0.33</f>
        <v>0</v>
      </c>
      <c r="T261" s="30">
        <f>_xlfn.XLOOKUP($M261,Specs!$D:$D,Specs!$E:$E,0)*15*_xlfn.XLOOKUP($L261,Specs!$A:$A,Specs!$C:$C,0)</f>
        <v>0</v>
      </c>
      <c r="U261" s="30">
        <f>_xlfn.XLOOKUP($N261,Specs!$D:$D,Specs!$E:$E,0)*15*_xlfn.XLOOKUP($L261,Specs!$A:$A,Specs!$C:$C,0)</f>
        <v>0</v>
      </c>
      <c r="V261" s="30">
        <f>( ((_xlfn.XLOOKUP($O261,Specs!$H:$H,Specs!$I:$I,0)*_xlfn.XLOOKUP($L261,Specs!$A:$A,Specs!$B:$B,0))/240) *_xlfn.XLOOKUP($H261,'Solid Mix In Nutrition'!A:A,'Solid Mix In Nutrition'!I:I,0)) *IF(AND(NOT($I261=0), COUNTA($I261)),0.5,1)</f>
        <v>0</v>
      </c>
      <c r="W261" s="30">
        <f>( ((_xlfn.XLOOKUP($O261,Specs!$H:$H,Specs!$I:$I,0)*_xlfn.XLOOKUP($L261,Specs!$A:$A,Specs!$B:$B,0))/240) *_xlfn.XLOOKUP($I261,'Solid Mix In Nutrition'!A:A,'Solid Mix In Nutrition'!I:I,0)) *IF(AND(NOT($I261=0), COUNTA($I261)),0.5,0)</f>
        <v>0</v>
      </c>
      <c r="X261" s="30">
        <f>_xlfn.XLOOKUP($P261,Specs!F:F,Specs!G:G,0)*_xlfn.XLOOKUP($J261,'Sweetener Mix In Nutrition'!A:A,'Sweetener Mix In Nutrition'!I:I,0)*_xlfn.XLOOKUP($L261,Specs!A:A,Specs!C:C,0)</f>
        <v>0</v>
      </c>
      <c r="Y261" s="30">
        <f>_xlfn.XLOOKUP($Q261,Specs!F:F,Specs!G:G,0)*_xlfn.XLOOKUP($K261,'Sweetener Mix In Nutrition'!A:A,'Sweetener Mix In Nutrition'!I:I,0)*_xlfn.XLOOKUP($L261,Specs!A:A,Specs!C:C,0)</f>
        <v>0</v>
      </c>
      <c r="Z261" s="34">
        <f t="shared" si="8"/>
        <v>0</v>
      </c>
      <c r="AA261" s="35">
        <f t="shared" si="9"/>
        <v>0</v>
      </c>
      <c r="AB261" s="36">
        <f>(($R261 / 240) * _xlfn.XLOOKUP($D261,'Milk Types Nutrition Per Cup'!A:A,'Milk Types Nutrition Per Cup'!B:B,0)) +(($S261 / 240)  * _xlfn.XLOOKUP($E261,'Milk Types Nutrition Per Cup'!A:A,'Milk Types Nutrition Per Cup'!B:B,0)) +(($T261 / 15)  * _xlfn.XLOOKUP($F261,'Liquid Mix In Nutrition'!A:A,'Liquid Mix In Nutrition'!B:B,0))+(($U261 / 15)  * _xlfn.XLOOKUP($G261,'Liquid Mix In Nutrition'!A:A,'Liquid Mix In Nutrition'!B:B,0))+(($V261 /MAX(1, _xlfn.XLOOKUP($H261,'Solid Mix In Nutrition'!A:A,'Solid Mix In Nutrition'!I:I,1)))  * _xlfn.XLOOKUP($H261,'Solid Mix In Nutrition'!A:A,'Solid Mix In Nutrition'!B:B,0))+(($W261 / MAX(1, _xlfn.XLOOKUP($I261,'Solid Mix In Nutrition'!A:A,'Solid Mix In Nutrition'!I:I,1))))+(($X261 / 100)  * _xlfn.XLOOKUP($J261,'Sweetener Mix In Nutrition'!A:A,'Sweetener Mix In Nutrition'!B:B,0))+(($Y261 / 100)  * _xlfn.XLOOKUP($K261,'Sweetener Mix In Nutrition'!A:A,'Sweetener Mix In Nutrition'!B:B,0))</f>
        <v>0</v>
      </c>
      <c r="AC261" s="36">
        <f>(($R261 / 240) * _xlfn.XLOOKUP($D261,'Milk Types Nutrition Per Cup'!A:A,'Milk Types Nutrition Per Cup'!E:E,0)) +(($S261 / 240)  * _xlfn.XLOOKUP($E261,'Milk Types Nutrition Per Cup'!A:A,'Milk Types Nutrition Per Cup'!E:E,0)) +(($T261 / 15)  * _xlfn.XLOOKUP($F261,'Liquid Mix In Nutrition'!A:A,'Liquid Mix In Nutrition'!E:E,0)) +(($U261 / 15)  * _xlfn.XLOOKUP($G261,'Liquid Mix In Nutrition'!A:A,'Liquid Mix In Nutrition'!E:E,0))+(($V261 / MAX(1, _xlfn.XLOOKUP($H261,'Solid Mix In Nutrition'!A:A,'Solid Mix In Nutrition'!I:I,1)))  * _xlfn.XLOOKUP($H261,'Solid Mix In Nutrition'!A:A,'Solid Mix In Nutrition'!E:E,0))+(($W261 / MAX(1, _xlfn.XLOOKUP($I261,'Solid Mix In Nutrition'!A:A,'Solid Mix In Nutrition'!I:I,1)))  * _xlfn.XLOOKUP($I261,'Solid Mix In Nutrition'!A:A,'Solid Mix In Nutrition'!G:G,0))+(($X261 / 100)  * _xlfn.XLOOKUP($J261,'Sweetener Mix In Nutrition'!A:A,'Sweetener Mix In Nutrition'!E:E,0))+(($Y261 / 100)  * _xlfn.XLOOKUP($K261,'Sweetener Mix In Nutrition'!A:A,'Sweetener Mix In Nutrition'!E:E,0))</f>
        <v>0</v>
      </c>
      <c r="AD261" s="36">
        <f>(($R261 / 240) * _xlfn.XLOOKUP($D261,'Milk Types Nutrition Per Cup'!A:A,'Milk Types Nutrition Per Cup'!E:E,0)) +(($S261 / 240)  * _xlfn.XLOOKUP($E261,'Milk Types Nutrition Per Cup'!A:A,'Milk Types Nutrition Per Cup'!E:E,0)) +(($T261 / 15)  * _xlfn.XLOOKUP($F261,'Liquid Mix In Nutrition'!A:A,'Liquid Mix In Nutrition'!E:E,0)) +(($U261 / 15)  * _xlfn.XLOOKUP($G261,'Liquid Mix In Nutrition'!A:A,'Liquid Mix In Nutrition'!E:E,0))+(($X261 / 100)  * _xlfn.XLOOKUP($J261,'Sweetener Mix In Nutrition'!A:A,'Sweetener Mix In Nutrition'!E:E,0))+(($Y261 / 100)  * _xlfn.XLOOKUP($K261,'Sweetener Mix In Nutrition'!A:A,'Sweetener Mix In Nutrition'!E:E,0))</f>
        <v>0</v>
      </c>
      <c r="AE261" s="37">
        <f>(($R261 / 240) * _xlfn.XLOOKUP($D261,'Milk Types Nutrition Per Cup'!A:A,'Milk Types Nutrition Per Cup'!C:C,0)) +(($S261 / 240)  * _xlfn.XLOOKUP($E261,'Milk Types Nutrition Per Cup'!A:A,'Milk Types Nutrition Per Cup'!C:C,0)) +(($T261 / 15)  * _xlfn.XLOOKUP($F261,'Liquid Mix In Nutrition'!A:A,'Liquid Mix In Nutrition'!C:C,0))+(($U261 / 15)  * _xlfn.XLOOKUP($G261,'Liquid Mix In Nutrition'!A:A,'Liquid Mix In Nutrition'!C:C,0))+(($V261 / MAX(1, _xlfn.XLOOKUP($H261,'Solid Mix In Nutrition'!A:A,'Solid Mix In Nutrition'!I:I,1)))  * _xlfn.XLOOKUP($H261,'Solid Mix In Nutrition'!A:A,'Solid Mix In Nutrition'!C:C,0))+(($W261 / MAX(1, _xlfn.XLOOKUP($I261,'Solid Mix In Nutrition'!A:A,'Solid Mix In Nutrition'!I:I,1)))  * _xlfn.XLOOKUP($I261,'Solid Mix In Nutrition'!A:A,'Solid Mix In Nutrition'!C:C,0))+(($X261 / 100)  * _xlfn.XLOOKUP($J261,'Sweetener Mix In Nutrition'!A:A,'Sweetener Mix In Nutrition'!C:C,0))+(($Y261 / 100)  * _xlfn.XLOOKUP($K261,'Sweetener Mix In Nutrition'!A:A,'Sweetener Mix In Nutrition'!C:C,0))</f>
        <v>0</v>
      </c>
      <c r="AF261" s="38" t="e">
        <f>$AE261 / (_xlfn.XLOOKUP($L261,Specs!A:A,Specs!B:B,0))</f>
        <v>#DIV/0!</v>
      </c>
      <c r="AG261" s="37" t="e">
        <f>60* ($AB261 / _xlfn.XLOOKUP($L261,Specs!A:A,Specs!B:B,0))</f>
        <v>#DIV/0!</v>
      </c>
      <c r="AH261" s="37" t="e">
        <f>60* (AC261 / _xlfn.XLOOKUP($L261,Specs!$A:$A,Specs!$B:$B,0))</f>
        <v>#DIV/0!</v>
      </c>
      <c r="AI261" s="37" t="e">
        <f>60* (AE261 / _xlfn.XLOOKUP($L261,Specs!$A:$A,Specs!$B:$B,0))</f>
        <v>#DIV/0!</v>
      </c>
      <c r="AJ261" s="39">
        <f>(($R261 / 240) * _xlfn.XLOOKUP($D261,'Milk Types Nutrition Per Cup'!A:A,'Milk Types Nutrition Per Cup'!F:F,0)) +(($S261 / 240)  * _xlfn.XLOOKUP($E261,'Milk Types Nutrition Per Cup'!A:A,'Milk Types Nutrition Per Cup'!F:F,0)) +(($T261 / 15)  * _xlfn.XLOOKUP($F261,'Liquid Mix In Nutrition'!A:A,'Liquid Mix In Nutrition'!F:F,0))+(($U261 / 15)  * _xlfn.XLOOKUP($G261,'Liquid Mix In Nutrition'!A:A,'Liquid Mix In Nutrition'!F:F,0))+(($V261 / MAX(1, _xlfn.XLOOKUP($H261,'Solid Mix In Nutrition'!A:A,'Solid Mix In Nutrition'!I:I,1)))  * _xlfn.XLOOKUP($H261,'Solid Mix In Nutrition'!A:A,'Solid Mix In Nutrition'!F:F,0))+(($W261 / MAX(1, _xlfn.XLOOKUP($I261,'Solid Mix In Nutrition'!A:A,'Solid Mix In Nutrition'!I:I,1)))  * _xlfn.XLOOKUP($I261,'Solid Mix In Nutrition'!A:A,'Solid Mix In Nutrition'!F:F,0))+(($X261 / 100)  * _xlfn.XLOOKUP($J261,'Sweetener Mix In Nutrition'!A:A,'Sweetener Mix In Nutrition'!F:F,0))+(($Y261 / 100)  * _xlfn.XLOOKUP($K261,'Sweetener Mix In Nutrition'!A:A,'Sweetener Mix In Nutrition'!F:F,0))</f>
        <v>0</v>
      </c>
      <c r="AK261" s="46">
        <f>[2]Sheet1!AG261</f>
        <v>0</v>
      </c>
      <c r="AL261" s="47"/>
      <c r="AM261" s="40">
        <f>IF(ISERROR(((AL261/Specs!$L$3)*Specs!$L$2)*2),0,ROUNDUP((((AL261/Specs!$L$3)*Specs!$L$2)*2),0))</f>
        <v>0</v>
      </c>
      <c r="AN261" s="48">
        <f>ROUNDUP(((AJ261+Specs!$R$2+Specs!$S$2+_xlfn.XLOOKUP($L261,Specs!A:A,Specs!V:V,0))*Specs!$N$2)+AM261,0)</f>
        <v>1</v>
      </c>
      <c r="AO261" s="40">
        <f>ROUNDUP(((AJ261+Specs!$R$2+Specs!$S$2+_xlfn.XLOOKUP($L261,Specs!A:A,Specs!V:V,0))*Specs!$N$2),0)</f>
        <v>1</v>
      </c>
      <c r="AP261" s="30"/>
    </row>
    <row r="262" spans="1:42" x14ac:dyDescent="0.25">
      <c r="A262" s="41" t="str">
        <f>_xlfn.CONCAT(_xlfn.XLOOKUP("What's Your Name?",[1]Sheet1!$1:$1,[1]Sheet1!262:262)," | ",TEXT(_xlfn.XLOOKUP("Completion time",[1]Sheet1!$1:$1,[1]Sheet1!262:262),"dddd, mmm dd, yyyy hh:mm AM/PM"))</f>
        <v xml:space="preserve"> | Saturday, Jan 00, 1900 12:00 AM</v>
      </c>
      <c r="B262" s="76">
        <f>_xlfn.XLOOKUP("What's Your Email Address?",[1]Sheet1!$1:$1,[1]Sheet1!262:262)</f>
        <v>0</v>
      </c>
      <c r="C262" s="31">
        <f>IF(ISBLANK(_xlfn.XLOOKUP("Which Flavor? (Pint Price | Quart Price | Half Gallon Price) (NOTE: Prices may fluctuate based on market conditions)",[1]Sheet1!$1:$1,[1]Sheet1!262:262)),_xlfn.XLOOKUP("Name Your Ice Cream!",[1]Sheet1!$1:$1,[1]Sheet1!262:262),IF(ISNUMBER(FIND("(", _xlfn.XLOOKUP("Which Flavor? (Pint Price | Quart Price | Half Gallon Price) (NOTE: Prices may fluctuate based on market conditions)",[1]Sheet1!$1:$1,[1]Sheet1!262:262))), LEFT(_xlfn.XLOOKUP("Which Flavor? (Pint Price | Quart Price | Half Gallon Price) (NOTE: Prices may fluctuate based on market conditions)",[1]Sheet1!$1:$1,[1]Sheet1!262:262), FIND("(", _xlfn.XLOOKUP("Which Flavor? (Pint Price | Quart Price | Half Gallon Price) (NOTE: Prices may fluctuate based on market conditions)",[1]Sheet1!$1:$1,[1]Sheet1!262:262)) - 1), _xlfn.XLOOKUP("Which Flavor? (Pint Price | Quart Price | Half Gallon Price) (NOTE: Prices may fluctuate based on market conditions)",[1]Sheet1!$1:$1,[1]Sheet1!262:262)))</f>
        <v>0</v>
      </c>
      <c r="D262" s="31">
        <f>IF(COUNTIF('Premade Flavors'!$A:$A, $C262) &gt; 0,IF(ISBLANK(_xlfn.XLOOKUP("What Ice Cream Base Do You Want To Change It To?",[1]Sheet1!$1:$1,[1]Sheet1!262:262)),_xlfn.XLOOKUP($C262,'Premade Flavors'!$A:$A,'Premade Flavors'!B:B),_xlfn.XLOOKUP("What Ice Cream Base Do You Want To Change It To?",[1]Sheet1!$1:$1,[1]Sheet1!262:262)),_xlfn.XLOOKUP(_xlfn.XLOOKUP("What Kind Of Ice Cream Base Do You Want? ",[1]Sheet1!$1:$1,[1]Sheet1!262:262),'Milk Types Nutrition Per Cup'!O:O,'Milk Types Nutrition Per Cup'!P:P,""))</f>
        <v>0</v>
      </c>
      <c r="E262" s="31">
        <f>IF(COUNTIF('Premade Flavors'!$A:$A, $C262) &gt; 0,IF(ISBLANK(_xlfn.XLOOKUP("What Ice Cream Base Do You Want To Change It To?",[1]Sheet1!$1:$1,[1]Sheet1!262:262)),_xlfn.XLOOKUP($C262,'Premade Flavors'!$A:$A,'Premade Flavors'!C:C),_xlfn.XLOOKUP("What Ice Cream Base Do You Want To Change It To?",[1]Sheet1!$1:$1,[1]Sheet1!262:262)),_xlfn.XLOOKUP(_xlfn.XLOOKUP("What Kind Of Ice Cream Base Do You Want? ",[1]Sheet1!$1:$1,[1]Sheet1!262:262),'Milk Types Nutrition Per Cup'!$O:$O,'Milk Types Nutrition Per Cup'!$Q:$Q,""))</f>
        <v>0</v>
      </c>
      <c r="F262" s="31">
        <f>IF(COUNTIF('Premade Flavors'!$A:$A, $C262) &gt; 0,_xlfn.XLOOKUP($C262,'Premade Flavors'!$A:$A,'Premade Flavors'!E:E),_xlfn.XLOOKUP("What's The First Flavor You Want? ",[1]Sheet1!$1:$1,[1]Sheet1!262:262))</f>
        <v>0</v>
      </c>
      <c r="G262" s="31">
        <f>IF(COUNTIF('Premade Flavors'!$A:$A, $C262) &gt; 0,_xlfn.XLOOKUP($C262,'Premade Flavors'!$A:$A,'Premade Flavors'!F:F),_xlfn.XLOOKUP("What's the Second Flavor You Want?",[1]Sheet1!$1:$1,[1]Sheet1!262:262))</f>
        <v>0</v>
      </c>
      <c r="H262" s="31">
        <f>IF(COUNTIF('Premade Flavors'!$A:$A, $C262) &gt; 0,_xlfn.XLOOKUP($C262,'Premade Flavors'!$A:$A,'Premade Flavors'!G:G),_xlfn.XLOOKUP("What's The First Mix In That You Want? ",[1]Sheet1!$1:$1,[1]Sheet1!262:262))</f>
        <v>0</v>
      </c>
      <c r="I262" s="31">
        <f>IF(COUNTIF('Premade Flavors'!$A:$A, $C260) &gt; 0,_xlfn.XLOOKUP($C260,'Premade Flavors'!$A:$A,'Premade Flavors'!H:H),IF([2]Sheet1!W260= 0,,[2]Sheet1!W260))</f>
        <v>0</v>
      </c>
      <c r="J262" s="31">
        <f>IF(COUNTIF('Premade Flavors'!$A:$A,$C262)&gt;0,IF(_xlfn.XLOOKUP("Should It Use Sugar or A Non-Sugar Sweetner?",[1]Sheet1!$1:$1,[1]Sheet1!262:262)="Sugar",_xlfn.XLOOKUP($C262,'Premade Flavors'!$A:$A,'Premade Flavors'!I:I),"Stevia"),_xlfn.XLOOKUP("What Sweetner Do You Want?",[1]Sheet1!$1:$1,[1]Sheet1!262:262))</f>
        <v>0</v>
      </c>
      <c r="K262" s="31"/>
      <c r="L262" s="77">
        <f>_xlfn.XLOOKUP("How Much Ice Cream Do You Want?",[1]Sheet1!$1:$1,[1]Sheet1!262:262)</f>
        <v>0</v>
      </c>
      <c r="M262" s="45">
        <f>IF(COUNTIF('Premade Flavors'!$A:$A, $C262) &gt; 0,_xlfn.XLOOKUP($C262,'Premade Flavors'!$A:$A,'Premade Flavors'!M:M),_xlfn.XLOOKUP("How Strong Do You Want The First Flavor?",[1]Sheet1!$1:$1,[1]Sheet1!262:262))</f>
        <v>0</v>
      </c>
      <c r="N262" s="45">
        <f>IF(COUNTIF('Premade Flavors'!$A:$A, $C262) &gt; 0,_xlfn.XLOOKUP($C262,'Premade Flavors'!$A:$A,'Premade Flavors'!N:N),_xlfn.XLOOKUP("How Strong Do You Want The Second Flavor?",[1]Sheet1!$1:$1,[1]Sheet1!262:262))</f>
        <v>0</v>
      </c>
      <c r="O262" s="45">
        <f>IF(COUNTIF('Premade Flavors'!$A:$A, $C262) &gt; 0,_xlfn.XLOOKUP($C262,'Premade Flavors'!$A:$A,'Premade Flavors'!O:O),_xlfn.XLOOKUP("How Dense Should the Mix Ins Be?",[1]Sheet1!$1:$1,[1]Sheet1!262:262))</f>
        <v>0</v>
      </c>
      <c r="P262" s="45">
        <f>IF(COUNTIF('Premade Flavors'!$A:$A, $C262) &gt; 0,_xlfn.XLOOKUP($C262,'Premade Flavors'!$A:$A,'Premade Flavors'!P:P),_xlfn.XLOOKUP("How Much Of The First Sweetner? ",[1]Sheet1!$1:$1,[1]Sheet1!262:262))</f>
        <v>0</v>
      </c>
      <c r="Q262" s="45">
        <f>IF(COUNTIF('Premade Flavors'!$A:$A, $C262) &gt; 0,_xlfn.XLOOKUP($C262,'Premade Flavors'!$A:$A,'Premade Flavors'!Q:Q),[2]Sheet1!S262)</f>
        <v>0</v>
      </c>
      <c r="R262" s="30">
        <f>(_xlfn.XLOOKUP($L262,Specs!A:A,Specs!B:B,0)-(IF(_xlfn.XLOOKUP($F262,'Liquid Mix In Nutrition'!A:A,'Liquid Mix In Nutrition'!J:J,0)="Yes",0,$T262))-(IF(_xlfn.XLOOKUP($G262,'Liquid Mix In Nutrition'!A:A,'Liquid Mix In Nutrition'!J:J,0)="Yes",0,$U262))-(($V262/MAX(1,_xlfn.XLOOKUP($H262,'Solid Mix In Nutrition'!A:A,'Solid Mix In Nutrition'!I:I,1)))*240)-(($W262/MAX(1,_xlfn.XLOOKUP($I262,'Solid Mix In Nutrition'!A:A,'Solid Mix In Nutrition'!I:I,1)))*240))*0.66</f>
        <v>0</v>
      </c>
      <c r="S262" s="30">
        <f>(_xlfn.XLOOKUP($L262,Specs!A:A,Specs!B:B,0)-(IF(_xlfn.XLOOKUP($F262,'Liquid Mix In Nutrition'!A:A,'Liquid Mix In Nutrition'!J:J,0)="Yes",0,$T262))-(IF(_xlfn.XLOOKUP($G262,'Liquid Mix In Nutrition'!A:A,'Liquid Mix In Nutrition'!J:J,0)="Yes",0,$U262))-(($V262/MAX(1,_xlfn.XLOOKUP($H262,'Solid Mix In Nutrition'!A:A,'Solid Mix In Nutrition'!I:I,1)))*240)-(($W262/MAX(1,_xlfn.XLOOKUP($I262,'Solid Mix In Nutrition'!A:A,'Solid Mix In Nutrition'!I:I,1)))*240))*0.33</f>
        <v>0</v>
      </c>
      <c r="T262" s="30">
        <f>_xlfn.XLOOKUP($M262,Specs!$D:$D,Specs!$E:$E,0)*15*_xlfn.XLOOKUP($L262,Specs!$A:$A,Specs!$C:$C,0)</f>
        <v>0</v>
      </c>
      <c r="U262" s="30">
        <f>_xlfn.XLOOKUP($N262,Specs!$D:$D,Specs!$E:$E,0)*15*_xlfn.XLOOKUP($L262,Specs!$A:$A,Specs!$C:$C,0)</f>
        <v>0</v>
      </c>
      <c r="V262" s="30">
        <f>( ((_xlfn.XLOOKUP($O262,Specs!$H:$H,Specs!$I:$I,0)*_xlfn.XLOOKUP($L262,Specs!$A:$A,Specs!$B:$B,0))/240) *_xlfn.XLOOKUP($H262,'Solid Mix In Nutrition'!A:A,'Solid Mix In Nutrition'!I:I,0)) *IF(AND(NOT($I262=0), COUNTA($I262)),0.5,1)</f>
        <v>0</v>
      </c>
      <c r="W262" s="30">
        <f>( ((_xlfn.XLOOKUP($O262,Specs!$H:$H,Specs!$I:$I,0)*_xlfn.XLOOKUP($L262,Specs!$A:$A,Specs!$B:$B,0))/240) *_xlfn.XLOOKUP($I262,'Solid Mix In Nutrition'!A:A,'Solid Mix In Nutrition'!I:I,0)) *IF(AND(NOT($I262=0), COUNTA($I262)),0.5,0)</f>
        <v>0</v>
      </c>
      <c r="X262" s="30">
        <f>_xlfn.XLOOKUP($P262,Specs!F:F,Specs!G:G,0)*_xlfn.XLOOKUP($J262,'Sweetener Mix In Nutrition'!A:A,'Sweetener Mix In Nutrition'!I:I,0)*_xlfn.XLOOKUP($L262,Specs!A:A,Specs!C:C,0)</f>
        <v>0</v>
      </c>
      <c r="Y262" s="30">
        <f>_xlfn.XLOOKUP($Q262,Specs!F:F,Specs!G:G,0)*_xlfn.XLOOKUP($K262,'Sweetener Mix In Nutrition'!A:A,'Sweetener Mix In Nutrition'!I:I,0)*_xlfn.XLOOKUP($L262,Specs!A:A,Specs!C:C,0)</f>
        <v>0</v>
      </c>
      <c r="Z262" s="34">
        <f t="shared" si="8"/>
        <v>0</v>
      </c>
      <c r="AA262" s="35">
        <f t="shared" si="9"/>
        <v>0</v>
      </c>
      <c r="AB262" s="36">
        <f>(($R262 / 240) * _xlfn.XLOOKUP($D262,'Milk Types Nutrition Per Cup'!A:A,'Milk Types Nutrition Per Cup'!B:B,0)) +(($S262 / 240)  * _xlfn.XLOOKUP($E262,'Milk Types Nutrition Per Cup'!A:A,'Milk Types Nutrition Per Cup'!B:B,0)) +(($T262 / 15)  * _xlfn.XLOOKUP($F262,'Liquid Mix In Nutrition'!A:A,'Liquid Mix In Nutrition'!B:B,0))+(($U262 / 15)  * _xlfn.XLOOKUP($G262,'Liquid Mix In Nutrition'!A:A,'Liquid Mix In Nutrition'!B:B,0))+(($V262 /MAX(1, _xlfn.XLOOKUP($H262,'Solid Mix In Nutrition'!A:A,'Solid Mix In Nutrition'!I:I,1)))  * _xlfn.XLOOKUP($H262,'Solid Mix In Nutrition'!A:A,'Solid Mix In Nutrition'!B:B,0))+(($W262 / MAX(1, _xlfn.XLOOKUP($I262,'Solid Mix In Nutrition'!A:A,'Solid Mix In Nutrition'!I:I,1))))+(($X262 / 100)  * _xlfn.XLOOKUP($J262,'Sweetener Mix In Nutrition'!A:A,'Sweetener Mix In Nutrition'!B:B,0))+(($Y262 / 100)  * _xlfn.XLOOKUP($K262,'Sweetener Mix In Nutrition'!A:A,'Sweetener Mix In Nutrition'!B:B,0))</f>
        <v>0</v>
      </c>
      <c r="AC262" s="36">
        <f>(($R262 / 240) * _xlfn.XLOOKUP($D262,'Milk Types Nutrition Per Cup'!A:A,'Milk Types Nutrition Per Cup'!E:E,0)) +(($S262 / 240)  * _xlfn.XLOOKUP($E262,'Milk Types Nutrition Per Cup'!A:A,'Milk Types Nutrition Per Cup'!E:E,0)) +(($T262 / 15)  * _xlfn.XLOOKUP($F262,'Liquid Mix In Nutrition'!A:A,'Liquid Mix In Nutrition'!E:E,0)) +(($U262 / 15)  * _xlfn.XLOOKUP($G262,'Liquid Mix In Nutrition'!A:A,'Liquid Mix In Nutrition'!E:E,0))+(($V262 / MAX(1, _xlfn.XLOOKUP($H262,'Solid Mix In Nutrition'!A:A,'Solid Mix In Nutrition'!I:I,1)))  * _xlfn.XLOOKUP($H262,'Solid Mix In Nutrition'!A:A,'Solid Mix In Nutrition'!E:E,0))+(($W262 / MAX(1, _xlfn.XLOOKUP($I262,'Solid Mix In Nutrition'!A:A,'Solid Mix In Nutrition'!I:I,1)))  * _xlfn.XLOOKUP($I262,'Solid Mix In Nutrition'!A:A,'Solid Mix In Nutrition'!G:G,0))+(($X262 / 100)  * _xlfn.XLOOKUP($J262,'Sweetener Mix In Nutrition'!A:A,'Sweetener Mix In Nutrition'!E:E,0))+(($Y262 / 100)  * _xlfn.XLOOKUP($K262,'Sweetener Mix In Nutrition'!A:A,'Sweetener Mix In Nutrition'!E:E,0))</f>
        <v>0</v>
      </c>
      <c r="AD262" s="36">
        <f>(($R262 / 240) * _xlfn.XLOOKUP($D262,'Milk Types Nutrition Per Cup'!A:A,'Milk Types Nutrition Per Cup'!E:E,0)) +(($S262 / 240)  * _xlfn.XLOOKUP($E262,'Milk Types Nutrition Per Cup'!A:A,'Milk Types Nutrition Per Cup'!E:E,0)) +(($T262 / 15)  * _xlfn.XLOOKUP($F262,'Liquid Mix In Nutrition'!A:A,'Liquid Mix In Nutrition'!E:E,0)) +(($U262 / 15)  * _xlfn.XLOOKUP($G262,'Liquid Mix In Nutrition'!A:A,'Liquid Mix In Nutrition'!E:E,0))+(($X262 / 100)  * _xlfn.XLOOKUP($J262,'Sweetener Mix In Nutrition'!A:A,'Sweetener Mix In Nutrition'!E:E,0))+(($Y262 / 100)  * _xlfn.XLOOKUP($K262,'Sweetener Mix In Nutrition'!A:A,'Sweetener Mix In Nutrition'!E:E,0))</f>
        <v>0</v>
      </c>
      <c r="AE262" s="37">
        <f>(($R262 / 240) * _xlfn.XLOOKUP($D262,'Milk Types Nutrition Per Cup'!A:A,'Milk Types Nutrition Per Cup'!C:C,0)) +(($S262 / 240)  * _xlfn.XLOOKUP($E262,'Milk Types Nutrition Per Cup'!A:A,'Milk Types Nutrition Per Cup'!C:C,0)) +(($T262 / 15)  * _xlfn.XLOOKUP($F262,'Liquid Mix In Nutrition'!A:A,'Liquid Mix In Nutrition'!C:C,0))+(($U262 / 15)  * _xlfn.XLOOKUP($G262,'Liquid Mix In Nutrition'!A:A,'Liquid Mix In Nutrition'!C:C,0))+(($V262 / MAX(1, _xlfn.XLOOKUP($H262,'Solid Mix In Nutrition'!A:A,'Solid Mix In Nutrition'!I:I,1)))  * _xlfn.XLOOKUP($H262,'Solid Mix In Nutrition'!A:A,'Solid Mix In Nutrition'!C:C,0))+(($W262 / MAX(1, _xlfn.XLOOKUP($I262,'Solid Mix In Nutrition'!A:A,'Solid Mix In Nutrition'!I:I,1)))  * _xlfn.XLOOKUP($I262,'Solid Mix In Nutrition'!A:A,'Solid Mix In Nutrition'!C:C,0))+(($X262 / 100)  * _xlfn.XLOOKUP($J262,'Sweetener Mix In Nutrition'!A:A,'Sweetener Mix In Nutrition'!C:C,0))+(($Y262 / 100)  * _xlfn.XLOOKUP($K262,'Sweetener Mix In Nutrition'!A:A,'Sweetener Mix In Nutrition'!C:C,0))</f>
        <v>0</v>
      </c>
      <c r="AF262" s="38" t="e">
        <f>$AE262 / (_xlfn.XLOOKUP($L262,Specs!A:A,Specs!B:B,0))</f>
        <v>#DIV/0!</v>
      </c>
      <c r="AG262" s="37" t="e">
        <f>60* ($AB262 / _xlfn.XLOOKUP($L262,Specs!A:A,Specs!B:B,0))</f>
        <v>#DIV/0!</v>
      </c>
      <c r="AH262" s="37" t="e">
        <f>60* (AC262 / _xlfn.XLOOKUP($L262,Specs!$A:$A,Specs!$B:$B,0))</f>
        <v>#DIV/0!</v>
      </c>
      <c r="AI262" s="37" t="e">
        <f>60* (AE262 / _xlfn.XLOOKUP($L262,Specs!$A:$A,Specs!$B:$B,0))</f>
        <v>#DIV/0!</v>
      </c>
      <c r="AJ262" s="39">
        <f>(($R262 / 240) * _xlfn.XLOOKUP($D262,'Milk Types Nutrition Per Cup'!A:A,'Milk Types Nutrition Per Cup'!F:F,0)) +(($S262 / 240)  * _xlfn.XLOOKUP($E262,'Milk Types Nutrition Per Cup'!A:A,'Milk Types Nutrition Per Cup'!F:F,0)) +(($T262 / 15)  * _xlfn.XLOOKUP($F262,'Liquid Mix In Nutrition'!A:A,'Liquid Mix In Nutrition'!F:F,0))+(($U262 / 15)  * _xlfn.XLOOKUP($G262,'Liquid Mix In Nutrition'!A:A,'Liquid Mix In Nutrition'!F:F,0))+(($V262 / MAX(1, _xlfn.XLOOKUP($H262,'Solid Mix In Nutrition'!A:A,'Solid Mix In Nutrition'!I:I,1)))  * _xlfn.XLOOKUP($H262,'Solid Mix In Nutrition'!A:A,'Solid Mix In Nutrition'!F:F,0))+(($W262 / MAX(1, _xlfn.XLOOKUP($I262,'Solid Mix In Nutrition'!A:A,'Solid Mix In Nutrition'!I:I,1)))  * _xlfn.XLOOKUP($I262,'Solid Mix In Nutrition'!A:A,'Solid Mix In Nutrition'!F:F,0))+(($X262 / 100)  * _xlfn.XLOOKUP($J262,'Sweetener Mix In Nutrition'!A:A,'Sweetener Mix In Nutrition'!F:F,0))+(($Y262 / 100)  * _xlfn.XLOOKUP($K262,'Sweetener Mix In Nutrition'!A:A,'Sweetener Mix In Nutrition'!F:F,0))</f>
        <v>0</v>
      </c>
      <c r="AK262" s="46">
        <f>[2]Sheet1!AG262</f>
        <v>0</v>
      </c>
      <c r="AL262" s="47"/>
      <c r="AM262" s="40">
        <f>IF(ISERROR(((AL262/Specs!$L$3)*Specs!$L$2)*2),0,ROUNDUP((((AL262/Specs!$L$3)*Specs!$L$2)*2),0))</f>
        <v>0</v>
      </c>
      <c r="AN262" s="48">
        <f>ROUNDUP(((AJ262+Specs!$R$2+Specs!$S$2+_xlfn.XLOOKUP($L262,Specs!A:A,Specs!V:V,0))*Specs!$N$2)+AM262,0)</f>
        <v>1</v>
      </c>
      <c r="AO262" s="40">
        <f>ROUNDUP(((AJ262+Specs!$R$2+Specs!$S$2+_xlfn.XLOOKUP($L262,Specs!A:A,Specs!V:V,0))*Specs!$N$2),0)</f>
        <v>1</v>
      </c>
      <c r="AP262" s="30"/>
    </row>
    <row r="263" spans="1:42" x14ac:dyDescent="0.25">
      <c r="A263" s="41" t="str">
        <f>_xlfn.CONCAT(_xlfn.XLOOKUP("What's Your Name?",[1]Sheet1!$1:$1,[1]Sheet1!263:263)," | ",TEXT(_xlfn.XLOOKUP("Completion time",[1]Sheet1!$1:$1,[1]Sheet1!263:263),"dddd, mmm dd, yyyy hh:mm AM/PM"))</f>
        <v xml:space="preserve"> | Saturday, Jan 00, 1900 12:00 AM</v>
      </c>
      <c r="B263" s="76">
        <f>_xlfn.XLOOKUP("What's Your Email Address?",[1]Sheet1!$1:$1,[1]Sheet1!263:263)</f>
        <v>0</v>
      </c>
      <c r="C263" s="31">
        <f>IF(ISBLANK(_xlfn.XLOOKUP("Which Flavor? (Pint Price | Quart Price | Half Gallon Price) (NOTE: Prices may fluctuate based on market conditions)",[1]Sheet1!$1:$1,[1]Sheet1!263:263)),_xlfn.XLOOKUP("Name Your Ice Cream!",[1]Sheet1!$1:$1,[1]Sheet1!263:263),IF(ISNUMBER(FIND("(", _xlfn.XLOOKUP("Which Flavor? (Pint Price | Quart Price | Half Gallon Price) (NOTE: Prices may fluctuate based on market conditions)",[1]Sheet1!$1:$1,[1]Sheet1!263:263))), LEFT(_xlfn.XLOOKUP("Which Flavor? (Pint Price | Quart Price | Half Gallon Price) (NOTE: Prices may fluctuate based on market conditions)",[1]Sheet1!$1:$1,[1]Sheet1!263:263), FIND("(", _xlfn.XLOOKUP("Which Flavor? (Pint Price | Quart Price | Half Gallon Price) (NOTE: Prices may fluctuate based on market conditions)",[1]Sheet1!$1:$1,[1]Sheet1!263:263)) - 1), _xlfn.XLOOKUP("Which Flavor? (Pint Price | Quart Price | Half Gallon Price) (NOTE: Prices may fluctuate based on market conditions)",[1]Sheet1!$1:$1,[1]Sheet1!263:263)))</f>
        <v>0</v>
      </c>
      <c r="D263" s="31">
        <f>IF(COUNTIF('Premade Flavors'!$A:$A, $C263) &gt; 0,IF(ISBLANK(_xlfn.XLOOKUP("What Ice Cream Base Do You Want To Change It To?",[1]Sheet1!$1:$1,[1]Sheet1!263:263)),_xlfn.XLOOKUP($C263,'Premade Flavors'!$A:$A,'Premade Flavors'!B:B),_xlfn.XLOOKUP("What Ice Cream Base Do You Want To Change It To?",[1]Sheet1!$1:$1,[1]Sheet1!263:263)),_xlfn.XLOOKUP(_xlfn.XLOOKUP("What Kind Of Ice Cream Base Do You Want? ",[1]Sheet1!$1:$1,[1]Sheet1!263:263),'Milk Types Nutrition Per Cup'!O:O,'Milk Types Nutrition Per Cup'!P:P,""))</f>
        <v>0</v>
      </c>
      <c r="E263" s="31">
        <f>IF(COUNTIF('Premade Flavors'!$A:$A, $C263) &gt; 0,IF(ISBLANK(_xlfn.XLOOKUP("What Ice Cream Base Do You Want To Change It To?",[1]Sheet1!$1:$1,[1]Sheet1!263:263)),_xlfn.XLOOKUP($C263,'Premade Flavors'!$A:$A,'Premade Flavors'!C:C),_xlfn.XLOOKUP("What Ice Cream Base Do You Want To Change It To?",[1]Sheet1!$1:$1,[1]Sheet1!263:263)),_xlfn.XLOOKUP(_xlfn.XLOOKUP("What Kind Of Ice Cream Base Do You Want? ",[1]Sheet1!$1:$1,[1]Sheet1!263:263),'Milk Types Nutrition Per Cup'!$O:$O,'Milk Types Nutrition Per Cup'!$Q:$Q,""))</f>
        <v>0</v>
      </c>
      <c r="F263" s="31">
        <f>IF(COUNTIF('Premade Flavors'!$A:$A, $C263) &gt; 0,_xlfn.XLOOKUP($C263,'Premade Flavors'!$A:$A,'Premade Flavors'!E:E),_xlfn.XLOOKUP("What's The First Flavor You Want? ",[1]Sheet1!$1:$1,[1]Sheet1!263:263))</f>
        <v>0</v>
      </c>
      <c r="G263" s="31">
        <f>IF(COUNTIF('Premade Flavors'!$A:$A, $C263) &gt; 0,_xlfn.XLOOKUP($C263,'Premade Flavors'!$A:$A,'Premade Flavors'!F:F),_xlfn.XLOOKUP("What's the Second Flavor You Want?",[1]Sheet1!$1:$1,[1]Sheet1!263:263))</f>
        <v>0</v>
      </c>
      <c r="H263" s="31">
        <f>IF(COUNTIF('Premade Flavors'!$A:$A, $C263) &gt; 0,_xlfn.XLOOKUP($C263,'Premade Flavors'!$A:$A,'Premade Flavors'!G:G),_xlfn.XLOOKUP("What's The First Mix In That You Want? ",[1]Sheet1!$1:$1,[1]Sheet1!263:263))</f>
        <v>0</v>
      </c>
      <c r="I263" s="31">
        <f>IF(COUNTIF('Premade Flavors'!$A:$A, $C261) &gt; 0,_xlfn.XLOOKUP($C261,'Premade Flavors'!$A:$A,'Premade Flavors'!H:H),IF([2]Sheet1!W261= 0,,[2]Sheet1!W261))</f>
        <v>0</v>
      </c>
      <c r="J263" s="31">
        <f>IF(COUNTIF('Premade Flavors'!$A:$A,$C263)&gt;0,IF(_xlfn.XLOOKUP("Should It Use Sugar or A Non-Sugar Sweetner?",[1]Sheet1!$1:$1,[1]Sheet1!263:263)="Sugar",_xlfn.XLOOKUP($C263,'Premade Flavors'!$A:$A,'Premade Flavors'!I:I),"Stevia"),_xlfn.XLOOKUP("What Sweetner Do You Want?",[1]Sheet1!$1:$1,[1]Sheet1!263:263))</f>
        <v>0</v>
      </c>
      <c r="K263" s="31"/>
      <c r="L263" s="77">
        <f>_xlfn.XLOOKUP("How Much Ice Cream Do You Want?",[1]Sheet1!$1:$1,[1]Sheet1!263:263)</f>
        <v>0</v>
      </c>
      <c r="M263" s="45">
        <f>IF(COUNTIF('Premade Flavors'!$A:$A, $C263) &gt; 0,_xlfn.XLOOKUP($C263,'Premade Flavors'!$A:$A,'Premade Flavors'!M:M),_xlfn.XLOOKUP("How Strong Do You Want The First Flavor?",[1]Sheet1!$1:$1,[1]Sheet1!263:263))</f>
        <v>0</v>
      </c>
      <c r="N263" s="45">
        <f>IF(COUNTIF('Premade Flavors'!$A:$A, $C263) &gt; 0,_xlfn.XLOOKUP($C263,'Premade Flavors'!$A:$A,'Premade Flavors'!N:N),_xlfn.XLOOKUP("How Strong Do You Want The Second Flavor?",[1]Sheet1!$1:$1,[1]Sheet1!263:263))</f>
        <v>0</v>
      </c>
      <c r="O263" s="45">
        <f>IF(COUNTIF('Premade Flavors'!$A:$A, $C263) &gt; 0,_xlfn.XLOOKUP($C263,'Premade Flavors'!$A:$A,'Premade Flavors'!O:O),_xlfn.XLOOKUP("How Dense Should the Mix Ins Be?",[1]Sheet1!$1:$1,[1]Sheet1!263:263))</f>
        <v>0</v>
      </c>
      <c r="P263" s="45">
        <f>IF(COUNTIF('Premade Flavors'!$A:$A, $C263) &gt; 0,_xlfn.XLOOKUP($C263,'Premade Flavors'!$A:$A,'Premade Flavors'!P:P),_xlfn.XLOOKUP("How Much Of The First Sweetner? ",[1]Sheet1!$1:$1,[1]Sheet1!263:263))</f>
        <v>0</v>
      </c>
      <c r="Q263" s="45">
        <f>IF(COUNTIF('Premade Flavors'!$A:$A, $C263) &gt; 0,_xlfn.XLOOKUP($C263,'Premade Flavors'!$A:$A,'Premade Flavors'!Q:Q),[2]Sheet1!S263)</f>
        <v>0</v>
      </c>
      <c r="R263" s="30">
        <f>(_xlfn.XLOOKUP($L263,Specs!A:A,Specs!B:B,0)-(IF(_xlfn.XLOOKUP($F263,'Liquid Mix In Nutrition'!A:A,'Liquid Mix In Nutrition'!J:J,0)="Yes",0,$T263))-(IF(_xlfn.XLOOKUP($G263,'Liquid Mix In Nutrition'!A:A,'Liquid Mix In Nutrition'!J:J,0)="Yes",0,$U263))-(($V263/MAX(1,_xlfn.XLOOKUP($H263,'Solid Mix In Nutrition'!A:A,'Solid Mix In Nutrition'!I:I,1)))*240)-(($W263/MAX(1,_xlfn.XLOOKUP($I263,'Solid Mix In Nutrition'!A:A,'Solid Mix In Nutrition'!I:I,1)))*240))*0.66</f>
        <v>0</v>
      </c>
      <c r="S263" s="30">
        <f>(_xlfn.XLOOKUP($L263,Specs!A:A,Specs!B:B,0)-(IF(_xlfn.XLOOKUP($F263,'Liquid Mix In Nutrition'!A:A,'Liquid Mix In Nutrition'!J:J,0)="Yes",0,$T263))-(IF(_xlfn.XLOOKUP($G263,'Liquid Mix In Nutrition'!A:A,'Liquid Mix In Nutrition'!J:J,0)="Yes",0,$U263))-(($V263/MAX(1,_xlfn.XLOOKUP($H263,'Solid Mix In Nutrition'!A:A,'Solid Mix In Nutrition'!I:I,1)))*240)-(($W263/MAX(1,_xlfn.XLOOKUP($I263,'Solid Mix In Nutrition'!A:A,'Solid Mix In Nutrition'!I:I,1)))*240))*0.33</f>
        <v>0</v>
      </c>
      <c r="T263" s="30">
        <f>_xlfn.XLOOKUP($M263,Specs!$D:$D,Specs!$E:$E,0)*15*_xlfn.XLOOKUP($L263,Specs!$A:$A,Specs!$C:$C,0)</f>
        <v>0</v>
      </c>
      <c r="U263" s="30">
        <f>_xlfn.XLOOKUP($N263,Specs!$D:$D,Specs!$E:$E,0)*15*_xlfn.XLOOKUP($L263,Specs!$A:$A,Specs!$C:$C,0)</f>
        <v>0</v>
      </c>
      <c r="V263" s="30">
        <f>( ((_xlfn.XLOOKUP($O263,Specs!$H:$H,Specs!$I:$I,0)*_xlfn.XLOOKUP($L263,Specs!$A:$A,Specs!$B:$B,0))/240) *_xlfn.XLOOKUP($H263,'Solid Mix In Nutrition'!A:A,'Solid Mix In Nutrition'!I:I,0)) *IF(AND(NOT($I263=0), COUNTA($I263)),0.5,1)</f>
        <v>0</v>
      </c>
      <c r="W263" s="30">
        <f>( ((_xlfn.XLOOKUP($O263,Specs!$H:$H,Specs!$I:$I,0)*_xlfn.XLOOKUP($L263,Specs!$A:$A,Specs!$B:$B,0))/240) *_xlfn.XLOOKUP($I263,'Solid Mix In Nutrition'!A:A,'Solid Mix In Nutrition'!I:I,0)) *IF(AND(NOT($I263=0), COUNTA($I263)),0.5,0)</f>
        <v>0</v>
      </c>
      <c r="X263" s="30">
        <f>_xlfn.XLOOKUP($P263,Specs!F:F,Specs!G:G,0)*_xlfn.XLOOKUP($J263,'Sweetener Mix In Nutrition'!A:A,'Sweetener Mix In Nutrition'!I:I,0)*_xlfn.XLOOKUP($L263,Specs!A:A,Specs!C:C,0)</f>
        <v>0</v>
      </c>
      <c r="Y263" s="30">
        <f>_xlfn.XLOOKUP($Q263,Specs!F:F,Specs!G:G,0)*_xlfn.XLOOKUP($K263,'Sweetener Mix In Nutrition'!A:A,'Sweetener Mix In Nutrition'!I:I,0)*_xlfn.XLOOKUP($L263,Specs!A:A,Specs!C:C,0)</f>
        <v>0</v>
      </c>
      <c r="Z263" s="34">
        <f t="shared" si="8"/>
        <v>0</v>
      </c>
      <c r="AA263" s="35">
        <f t="shared" si="9"/>
        <v>0</v>
      </c>
      <c r="AB263" s="36">
        <f>(($R263 / 240) * _xlfn.XLOOKUP($D263,'Milk Types Nutrition Per Cup'!A:A,'Milk Types Nutrition Per Cup'!B:B,0)) +(($S263 / 240)  * _xlfn.XLOOKUP($E263,'Milk Types Nutrition Per Cup'!A:A,'Milk Types Nutrition Per Cup'!B:B,0)) +(($T263 / 15)  * _xlfn.XLOOKUP($F263,'Liquid Mix In Nutrition'!A:A,'Liquid Mix In Nutrition'!B:B,0))+(($U263 / 15)  * _xlfn.XLOOKUP($G263,'Liquid Mix In Nutrition'!A:A,'Liquid Mix In Nutrition'!B:B,0))+(($V263 /MAX(1, _xlfn.XLOOKUP($H263,'Solid Mix In Nutrition'!A:A,'Solid Mix In Nutrition'!I:I,1)))  * _xlfn.XLOOKUP($H263,'Solid Mix In Nutrition'!A:A,'Solid Mix In Nutrition'!B:B,0))+(($W263 / MAX(1, _xlfn.XLOOKUP($I263,'Solid Mix In Nutrition'!A:A,'Solid Mix In Nutrition'!I:I,1))))+(($X263 / 100)  * _xlfn.XLOOKUP($J263,'Sweetener Mix In Nutrition'!A:A,'Sweetener Mix In Nutrition'!B:B,0))+(($Y263 / 100)  * _xlfn.XLOOKUP($K263,'Sweetener Mix In Nutrition'!A:A,'Sweetener Mix In Nutrition'!B:B,0))</f>
        <v>0</v>
      </c>
      <c r="AC263" s="36">
        <f>(($R263 / 240) * _xlfn.XLOOKUP($D263,'Milk Types Nutrition Per Cup'!A:A,'Milk Types Nutrition Per Cup'!E:E,0)) +(($S263 / 240)  * _xlfn.XLOOKUP($E263,'Milk Types Nutrition Per Cup'!A:A,'Milk Types Nutrition Per Cup'!E:E,0)) +(($T263 / 15)  * _xlfn.XLOOKUP($F263,'Liquid Mix In Nutrition'!A:A,'Liquid Mix In Nutrition'!E:E,0)) +(($U263 / 15)  * _xlfn.XLOOKUP($G263,'Liquid Mix In Nutrition'!A:A,'Liquid Mix In Nutrition'!E:E,0))+(($V263 / MAX(1, _xlfn.XLOOKUP($H263,'Solid Mix In Nutrition'!A:A,'Solid Mix In Nutrition'!I:I,1)))  * _xlfn.XLOOKUP($H263,'Solid Mix In Nutrition'!A:A,'Solid Mix In Nutrition'!E:E,0))+(($W263 / MAX(1, _xlfn.XLOOKUP($I263,'Solid Mix In Nutrition'!A:A,'Solid Mix In Nutrition'!I:I,1)))  * _xlfn.XLOOKUP($I263,'Solid Mix In Nutrition'!A:A,'Solid Mix In Nutrition'!G:G,0))+(($X263 / 100)  * _xlfn.XLOOKUP($J263,'Sweetener Mix In Nutrition'!A:A,'Sweetener Mix In Nutrition'!E:E,0))+(($Y263 / 100)  * _xlfn.XLOOKUP($K263,'Sweetener Mix In Nutrition'!A:A,'Sweetener Mix In Nutrition'!E:E,0))</f>
        <v>0</v>
      </c>
      <c r="AD263" s="36">
        <f>(($R263 / 240) * _xlfn.XLOOKUP($D263,'Milk Types Nutrition Per Cup'!A:A,'Milk Types Nutrition Per Cup'!E:E,0)) +(($S263 / 240)  * _xlfn.XLOOKUP($E263,'Milk Types Nutrition Per Cup'!A:A,'Milk Types Nutrition Per Cup'!E:E,0)) +(($T263 / 15)  * _xlfn.XLOOKUP($F263,'Liquid Mix In Nutrition'!A:A,'Liquid Mix In Nutrition'!E:E,0)) +(($U263 / 15)  * _xlfn.XLOOKUP($G263,'Liquid Mix In Nutrition'!A:A,'Liquid Mix In Nutrition'!E:E,0))+(($X263 / 100)  * _xlfn.XLOOKUP($J263,'Sweetener Mix In Nutrition'!A:A,'Sweetener Mix In Nutrition'!E:E,0))+(($Y263 / 100)  * _xlfn.XLOOKUP($K263,'Sweetener Mix In Nutrition'!A:A,'Sweetener Mix In Nutrition'!E:E,0))</f>
        <v>0</v>
      </c>
      <c r="AE263" s="37">
        <f>(($R263 / 240) * _xlfn.XLOOKUP($D263,'Milk Types Nutrition Per Cup'!A:A,'Milk Types Nutrition Per Cup'!C:C,0)) +(($S263 / 240)  * _xlfn.XLOOKUP($E263,'Milk Types Nutrition Per Cup'!A:A,'Milk Types Nutrition Per Cup'!C:C,0)) +(($T263 / 15)  * _xlfn.XLOOKUP($F263,'Liquid Mix In Nutrition'!A:A,'Liquid Mix In Nutrition'!C:C,0))+(($U263 / 15)  * _xlfn.XLOOKUP($G263,'Liquid Mix In Nutrition'!A:A,'Liquid Mix In Nutrition'!C:C,0))+(($V263 / MAX(1, _xlfn.XLOOKUP($H263,'Solid Mix In Nutrition'!A:A,'Solid Mix In Nutrition'!I:I,1)))  * _xlfn.XLOOKUP($H263,'Solid Mix In Nutrition'!A:A,'Solid Mix In Nutrition'!C:C,0))+(($W263 / MAX(1, _xlfn.XLOOKUP($I263,'Solid Mix In Nutrition'!A:A,'Solid Mix In Nutrition'!I:I,1)))  * _xlfn.XLOOKUP($I263,'Solid Mix In Nutrition'!A:A,'Solid Mix In Nutrition'!C:C,0))+(($X263 / 100)  * _xlfn.XLOOKUP($J263,'Sweetener Mix In Nutrition'!A:A,'Sweetener Mix In Nutrition'!C:C,0))+(($Y263 / 100)  * _xlfn.XLOOKUP($K263,'Sweetener Mix In Nutrition'!A:A,'Sweetener Mix In Nutrition'!C:C,0))</f>
        <v>0</v>
      </c>
      <c r="AF263" s="38" t="e">
        <f>$AE263 / (_xlfn.XLOOKUP($L263,Specs!A:A,Specs!B:B,0))</f>
        <v>#DIV/0!</v>
      </c>
      <c r="AG263" s="37" t="e">
        <f>60* ($AB263 / _xlfn.XLOOKUP($L263,Specs!A:A,Specs!B:B,0))</f>
        <v>#DIV/0!</v>
      </c>
      <c r="AH263" s="37" t="e">
        <f>60* (AC263 / _xlfn.XLOOKUP($L263,Specs!$A:$A,Specs!$B:$B,0))</f>
        <v>#DIV/0!</v>
      </c>
      <c r="AI263" s="37" t="e">
        <f>60* (AE263 / _xlfn.XLOOKUP($L263,Specs!$A:$A,Specs!$B:$B,0))</f>
        <v>#DIV/0!</v>
      </c>
      <c r="AJ263" s="39">
        <f>(($R263 / 240) * _xlfn.XLOOKUP($D263,'Milk Types Nutrition Per Cup'!A:A,'Milk Types Nutrition Per Cup'!F:F,0)) +(($S263 / 240)  * _xlfn.XLOOKUP($E263,'Milk Types Nutrition Per Cup'!A:A,'Milk Types Nutrition Per Cup'!F:F,0)) +(($T263 / 15)  * _xlfn.XLOOKUP($F263,'Liquid Mix In Nutrition'!A:A,'Liquid Mix In Nutrition'!F:F,0))+(($U263 / 15)  * _xlfn.XLOOKUP($G263,'Liquid Mix In Nutrition'!A:A,'Liquid Mix In Nutrition'!F:F,0))+(($V263 / MAX(1, _xlfn.XLOOKUP($H263,'Solid Mix In Nutrition'!A:A,'Solid Mix In Nutrition'!I:I,1)))  * _xlfn.XLOOKUP($H263,'Solid Mix In Nutrition'!A:A,'Solid Mix In Nutrition'!F:F,0))+(($W263 / MAX(1, _xlfn.XLOOKUP($I263,'Solid Mix In Nutrition'!A:A,'Solid Mix In Nutrition'!I:I,1)))  * _xlfn.XLOOKUP($I263,'Solid Mix In Nutrition'!A:A,'Solid Mix In Nutrition'!F:F,0))+(($X263 / 100)  * _xlfn.XLOOKUP($J263,'Sweetener Mix In Nutrition'!A:A,'Sweetener Mix In Nutrition'!F:F,0))+(($Y263 / 100)  * _xlfn.XLOOKUP($K263,'Sweetener Mix In Nutrition'!A:A,'Sweetener Mix In Nutrition'!F:F,0))</f>
        <v>0</v>
      </c>
      <c r="AK263" s="46">
        <f>[2]Sheet1!AG263</f>
        <v>0</v>
      </c>
      <c r="AL263" s="47"/>
      <c r="AM263" s="40">
        <f>IF(ISERROR(((AL263/Specs!$L$3)*Specs!$L$2)*2),0,ROUNDUP((((AL263/Specs!$L$3)*Specs!$L$2)*2),0))</f>
        <v>0</v>
      </c>
      <c r="AN263" s="48">
        <f>ROUNDUP(((AJ263+Specs!$R$2+Specs!$S$2+_xlfn.XLOOKUP($L263,Specs!A:A,Specs!V:V,0))*Specs!$N$2)+AM263,0)</f>
        <v>1</v>
      </c>
      <c r="AO263" s="40">
        <f>ROUNDUP(((AJ263+Specs!$R$2+Specs!$S$2+_xlfn.XLOOKUP($L263,Specs!A:A,Specs!V:V,0))*Specs!$N$2),0)</f>
        <v>1</v>
      </c>
      <c r="AP263" s="30"/>
    </row>
    <row r="264" spans="1:42" x14ac:dyDescent="0.25">
      <c r="A264" s="41" t="str">
        <f>_xlfn.CONCAT(_xlfn.XLOOKUP("What's Your Name?",[1]Sheet1!$1:$1,[1]Sheet1!264:264)," | ",TEXT(_xlfn.XLOOKUP("Completion time",[1]Sheet1!$1:$1,[1]Sheet1!264:264),"dddd, mmm dd, yyyy hh:mm AM/PM"))</f>
        <v xml:space="preserve"> | Saturday, Jan 00, 1900 12:00 AM</v>
      </c>
      <c r="B264" s="76">
        <f>_xlfn.XLOOKUP("What's Your Email Address?",[1]Sheet1!$1:$1,[1]Sheet1!264:264)</f>
        <v>0</v>
      </c>
      <c r="C264" s="31">
        <f>IF(ISBLANK(_xlfn.XLOOKUP("Which Flavor? (Pint Price | Quart Price | Half Gallon Price) (NOTE: Prices may fluctuate based on market conditions)",[1]Sheet1!$1:$1,[1]Sheet1!264:264)),_xlfn.XLOOKUP("Name Your Ice Cream!",[1]Sheet1!$1:$1,[1]Sheet1!264:264),IF(ISNUMBER(FIND("(", _xlfn.XLOOKUP("Which Flavor? (Pint Price | Quart Price | Half Gallon Price) (NOTE: Prices may fluctuate based on market conditions)",[1]Sheet1!$1:$1,[1]Sheet1!264:264))), LEFT(_xlfn.XLOOKUP("Which Flavor? (Pint Price | Quart Price | Half Gallon Price) (NOTE: Prices may fluctuate based on market conditions)",[1]Sheet1!$1:$1,[1]Sheet1!264:264), FIND("(", _xlfn.XLOOKUP("Which Flavor? (Pint Price | Quart Price | Half Gallon Price) (NOTE: Prices may fluctuate based on market conditions)",[1]Sheet1!$1:$1,[1]Sheet1!264:264)) - 1), _xlfn.XLOOKUP("Which Flavor? (Pint Price | Quart Price | Half Gallon Price) (NOTE: Prices may fluctuate based on market conditions)",[1]Sheet1!$1:$1,[1]Sheet1!264:264)))</f>
        <v>0</v>
      </c>
      <c r="D264" s="31">
        <f>IF(COUNTIF('Premade Flavors'!$A:$A, $C264) &gt; 0,IF(ISBLANK(_xlfn.XLOOKUP("What Ice Cream Base Do You Want To Change It To?",[1]Sheet1!$1:$1,[1]Sheet1!264:264)),_xlfn.XLOOKUP($C264,'Premade Flavors'!$A:$A,'Premade Flavors'!B:B),_xlfn.XLOOKUP("What Ice Cream Base Do You Want To Change It To?",[1]Sheet1!$1:$1,[1]Sheet1!264:264)),_xlfn.XLOOKUP(_xlfn.XLOOKUP("What Kind Of Ice Cream Base Do You Want? ",[1]Sheet1!$1:$1,[1]Sheet1!264:264),'Milk Types Nutrition Per Cup'!O:O,'Milk Types Nutrition Per Cup'!P:P,""))</f>
        <v>0</v>
      </c>
      <c r="E264" s="31">
        <f>IF(COUNTIF('Premade Flavors'!$A:$A, $C264) &gt; 0,IF(ISBLANK(_xlfn.XLOOKUP("What Ice Cream Base Do You Want To Change It To?",[1]Sheet1!$1:$1,[1]Sheet1!264:264)),_xlfn.XLOOKUP($C264,'Premade Flavors'!$A:$A,'Premade Flavors'!C:C),_xlfn.XLOOKUP("What Ice Cream Base Do You Want To Change It To?",[1]Sheet1!$1:$1,[1]Sheet1!264:264)),_xlfn.XLOOKUP(_xlfn.XLOOKUP("What Kind Of Ice Cream Base Do You Want? ",[1]Sheet1!$1:$1,[1]Sheet1!264:264),'Milk Types Nutrition Per Cup'!$O:$O,'Milk Types Nutrition Per Cup'!$Q:$Q,""))</f>
        <v>0</v>
      </c>
      <c r="F264" s="31">
        <f>IF(COUNTIF('Premade Flavors'!$A:$A, $C264) &gt; 0,_xlfn.XLOOKUP($C264,'Premade Flavors'!$A:$A,'Premade Flavors'!E:E),_xlfn.XLOOKUP("What's The First Flavor You Want? ",[1]Sheet1!$1:$1,[1]Sheet1!264:264))</f>
        <v>0</v>
      </c>
      <c r="G264" s="31">
        <f>IF(COUNTIF('Premade Flavors'!$A:$A, $C264) &gt; 0,_xlfn.XLOOKUP($C264,'Premade Flavors'!$A:$A,'Premade Flavors'!F:F),_xlfn.XLOOKUP("What's the Second Flavor You Want?",[1]Sheet1!$1:$1,[1]Sheet1!264:264))</f>
        <v>0</v>
      </c>
      <c r="H264" s="31">
        <f>IF(COUNTIF('Premade Flavors'!$A:$A, $C264) &gt; 0,_xlfn.XLOOKUP($C264,'Premade Flavors'!$A:$A,'Premade Flavors'!G:G),_xlfn.XLOOKUP("What's The First Mix In That You Want? ",[1]Sheet1!$1:$1,[1]Sheet1!264:264))</f>
        <v>0</v>
      </c>
      <c r="I264" s="31">
        <f>IF(COUNTIF('Premade Flavors'!$A:$A, $C262) &gt; 0,_xlfn.XLOOKUP($C262,'Premade Flavors'!$A:$A,'Premade Flavors'!H:H),IF([2]Sheet1!W262= 0,,[2]Sheet1!W262))</f>
        <v>0</v>
      </c>
      <c r="J264" s="31">
        <f>IF(COUNTIF('Premade Flavors'!$A:$A,$C264)&gt;0,IF(_xlfn.XLOOKUP("Should It Use Sugar or A Non-Sugar Sweetner?",[1]Sheet1!$1:$1,[1]Sheet1!264:264)="Sugar",_xlfn.XLOOKUP($C264,'Premade Flavors'!$A:$A,'Premade Flavors'!I:I),"Stevia"),_xlfn.XLOOKUP("What Sweetner Do You Want?",[1]Sheet1!$1:$1,[1]Sheet1!264:264))</f>
        <v>0</v>
      </c>
      <c r="K264" s="31"/>
      <c r="L264" s="77">
        <f>_xlfn.XLOOKUP("How Much Ice Cream Do You Want?",[1]Sheet1!$1:$1,[1]Sheet1!264:264)</f>
        <v>0</v>
      </c>
      <c r="M264" s="45">
        <f>IF(COUNTIF('Premade Flavors'!$A:$A, $C264) &gt; 0,_xlfn.XLOOKUP($C264,'Premade Flavors'!$A:$A,'Premade Flavors'!M:M),_xlfn.XLOOKUP("How Strong Do You Want The First Flavor?",[1]Sheet1!$1:$1,[1]Sheet1!264:264))</f>
        <v>0</v>
      </c>
      <c r="N264" s="45">
        <f>IF(COUNTIF('Premade Flavors'!$A:$A, $C264) &gt; 0,_xlfn.XLOOKUP($C264,'Premade Flavors'!$A:$A,'Premade Flavors'!N:N),_xlfn.XLOOKUP("How Strong Do You Want The Second Flavor?",[1]Sheet1!$1:$1,[1]Sheet1!264:264))</f>
        <v>0</v>
      </c>
      <c r="O264" s="45">
        <f>IF(COUNTIF('Premade Flavors'!$A:$A, $C264) &gt; 0,_xlfn.XLOOKUP($C264,'Premade Flavors'!$A:$A,'Premade Flavors'!O:O),_xlfn.XLOOKUP("How Dense Should the Mix Ins Be?",[1]Sheet1!$1:$1,[1]Sheet1!264:264))</f>
        <v>0</v>
      </c>
      <c r="P264" s="45">
        <f>IF(COUNTIF('Premade Flavors'!$A:$A, $C264) &gt; 0,_xlfn.XLOOKUP($C264,'Premade Flavors'!$A:$A,'Premade Flavors'!P:P),_xlfn.XLOOKUP("How Much Of The First Sweetner? ",[1]Sheet1!$1:$1,[1]Sheet1!264:264))</f>
        <v>0</v>
      </c>
      <c r="Q264" s="45">
        <f>IF(COUNTIF('Premade Flavors'!$A:$A, $C264) &gt; 0,_xlfn.XLOOKUP($C264,'Premade Flavors'!$A:$A,'Premade Flavors'!Q:Q),[2]Sheet1!S264)</f>
        <v>0</v>
      </c>
      <c r="R264" s="30">
        <f>(_xlfn.XLOOKUP($L264,Specs!A:A,Specs!B:B,0)-(IF(_xlfn.XLOOKUP($F264,'Liquid Mix In Nutrition'!A:A,'Liquid Mix In Nutrition'!J:J,0)="Yes",0,$T264))-(IF(_xlfn.XLOOKUP($G264,'Liquid Mix In Nutrition'!A:A,'Liquid Mix In Nutrition'!J:J,0)="Yes",0,$U264))-(($V264/MAX(1,_xlfn.XLOOKUP($H264,'Solid Mix In Nutrition'!A:A,'Solid Mix In Nutrition'!I:I,1)))*240)-(($W264/MAX(1,_xlfn.XLOOKUP($I264,'Solid Mix In Nutrition'!A:A,'Solid Mix In Nutrition'!I:I,1)))*240))*0.66</f>
        <v>0</v>
      </c>
      <c r="S264" s="30">
        <f>(_xlfn.XLOOKUP($L264,Specs!A:A,Specs!B:B,0)-(IF(_xlfn.XLOOKUP($F264,'Liquid Mix In Nutrition'!A:A,'Liquid Mix In Nutrition'!J:J,0)="Yes",0,$T264))-(IF(_xlfn.XLOOKUP($G264,'Liquid Mix In Nutrition'!A:A,'Liquid Mix In Nutrition'!J:J,0)="Yes",0,$U264))-(($V264/MAX(1,_xlfn.XLOOKUP($H264,'Solid Mix In Nutrition'!A:A,'Solid Mix In Nutrition'!I:I,1)))*240)-(($W264/MAX(1,_xlfn.XLOOKUP($I264,'Solid Mix In Nutrition'!A:A,'Solid Mix In Nutrition'!I:I,1)))*240))*0.33</f>
        <v>0</v>
      </c>
      <c r="T264" s="30">
        <f>_xlfn.XLOOKUP($M264,Specs!$D:$D,Specs!$E:$E,0)*15*_xlfn.XLOOKUP($L264,Specs!$A:$A,Specs!$C:$C,0)</f>
        <v>0</v>
      </c>
      <c r="U264" s="30">
        <f>_xlfn.XLOOKUP($N264,Specs!$D:$D,Specs!$E:$E,0)*15*_xlfn.XLOOKUP($L264,Specs!$A:$A,Specs!$C:$C,0)</f>
        <v>0</v>
      </c>
      <c r="V264" s="30">
        <f>( ((_xlfn.XLOOKUP($O264,Specs!$H:$H,Specs!$I:$I,0)*_xlfn.XLOOKUP($L264,Specs!$A:$A,Specs!$B:$B,0))/240) *_xlfn.XLOOKUP($H264,'Solid Mix In Nutrition'!A:A,'Solid Mix In Nutrition'!I:I,0)) *IF(AND(NOT($I264=0), COUNTA($I264)),0.5,1)</f>
        <v>0</v>
      </c>
      <c r="W264" s="30">
        <f>( ((_xlfn.XLOOKUP($O264,Specs!$H:$H,Specs!$I:$I,0)*_xlfn.XLOOKUP($L264,Specs!$A:$A,Specs!$B:$B,0))/240) *_xlfn.XLOOKUP($I264,'Solid Mix In Nutrition'!A:A,'Solid Mix In Nutrition'!I:I,0)) *IF(AND(NOT($I264=0), COUNTA($I264)),0.5,0)</f>
        <v>0</v>
      </c>
      <c r="X264" s="30">
        <f>_xlfn.XLOOKUP($P264,Specs!F:F,Specs!G:G,0)*_xlfn.XLOOKUP($J264,'Sweetener Mix In Nutrition'!A:A,'Sweetener Mix In Nutrition'!I:I,0)*_xlfn.XLOOKUP($L264,Specs!A:A,Specs!C:C,0)</f>
        <v>0</v>
      </c>
      <c r="Y264" s="30">
        <f>_xlfn.XLOOKUP($Q264,Specs!F:F,Specs!G:G,0)*_xlfn.XLOOKUP($K264,'Sweetener Mix In Nutrition'!A:A,'Sweetener Mix In Nutrition'!I:I,0)*_xlfn.XLOOKUP($L264,Specs!A:A,Specs!C:C,0)</f>
        <v>0</v>
      </c>
      <c r="Z264" s="34">
        <f t="shared" si="8"/>
        <v>0</v>
      </c>
      <c r="AA264" s="35">
        <f t="shared" si="9"/>
        <v>0</v>
      </c>
      <c r="AB264" s="36">
        <f>(($R264 / 240) * _xlfn.XLOOKUP($D264,'Milk Types Nutrition Per Cup'!A:A,'Milk Types Nutrition Per Cup'!B:B,0)) +(($S264 / 240)  * _xlfn.XLOOKUP($E264,'Milk Types Nutrition Per Cup'!A:A,'Milk Types Nutrition Per Cup'!B:B,0)) +(($T264 / 15)  * _xlfn.XLOOKUP($F264,'Liquid Mix In Nutrition'!A:A,'Liquid Mix In Nutrition'!B:B,0))+(($U264 / 15)  * _xlfn.XLOOKUP($G264,'Liquid Mix In Nutrition'!A:A,'Liquid Mix In Nutrition'!B:B,0))+(($V264 /MAX(1, _xlfn.XLOOKUP($H264,'Solid Mix In Nutrition'!A:A,'Solid Mix In Nutrition'!I:I,1)))  * _xlfn.XLOOKUP($H264,'Solid Mix In Nutrition'!A:A,'Solid Mix In Nutrition'!B:B,0))+(($W264 / MAX(1, _xlfn.XLOOKUP($I264,'Solid Mix In Nutrition'!A:A,'Solid Mix In Nutrition'!I:I,1))))+(($X264 / 100)  * _xlfn.XLOOKUP($J264,'Sweetener Mix In Nutrition'!A:A,'Sweetener Mix In Nutrition'!B:B,0))+(($Y264 / 100)  * _xlfn.XLOOKUP($K264,'Sweetener Mix In Nutrition'!A:A,'Sweetener Mix In Nutrition'!B:B,0))</f>
        <v>0</v>
      </c>
      <c r="AC264" s="36">
        <f>(($R264 / 240) * _xlfn.XLOOKUP($D264,'Milk Types Nutrition Per Cup'!A:A,'Milk Types Nutrition Per Cup'!E:E,0)) +(($S264 / 240)  * _xlfn.XLOOKUP($E264,'Milk Types Nutrition Per Cup'!A:A,'Milk Types Nutrition Per Cup'!E:E,0)) +(($T264 / 15)  * _xlfn.XLOOKUP($F264,'Liquid Mix In Nutrition'!A:A,'Liquid Mix In Nutrition'!E:E,0)) +(($U264 / 15)  * _xlfn.XLOOKUP($G264,'Liquid Mix In Nutrition'!A:A,'Liquid Mix In Nutrition'!E:E,0))+(($V264 / MAX(1, _xlfn.XLOOKUP($H264,'Solid Mix In Nutrition'!A:A,'Solid Mix In Nutrition'!I:I,1)))  * _xlfn.XLOOKUP($H264,'Solid Mix In Nutrition'!A:A,'Solid Mix In Nutrition'!E:E,0))+(($W264 / MAX(1, _xlfn.XLOOKUP($I264,'Solid Mix In Nutrition'!A:A,'Solid Mix In Nutrition'!I:I,1)))  * _xlfn.XLOOKUP($I264,'Solid Mix In Nutrition'!A:A,'Solid Mix In Nutrition'!G:G,0))+(($X264 / 100)  * _xlfn.XLOOKUP($J264,'Sweetener Mix In Nutrition'!A:A,'Sweetener Mix In Nutrition'!E:E,0))+(($Y264 / 100)  * _xlfn.XLOOKUP($K264,'Sweetener Mix In Nutrition'!A:A,'Sweetener Mix In Nutrition'!E:E,0))</f>
        <v>0</v>
      </c>
      <c r="AD264" s="36">
        <f>(($R264 / 240) * _xlfn.XLOOKUP($D264,'Milk Types Nutrition Per Cup'!A:A,'Milk Types Nutrition Per Cup'!E:E,0)) +(($S264 / 240)  * _xlfn.XLOOKUP($E264,'Milk Types Nutrition Per Cup'!A:A,'Milk Types Nutrition Per Cup'!E:E,0)) +(($T264 / 15)  * _xlfn.XLOOKUP($F264,'Liquid Mix In Nutrition'!A:A,'Liquid Mix In Nutrition'!E:E,0)) +(($U264 / 15)  * _xlfn.XLOOKUP($G264,'Liquid Mix In Nutrition'!A:A,'Liquid Mix In Nutrition'!E:E,0))+(($X264 / 100)  * _xlfn.XLOOKUP($J264,'Sweetener Mix In Nutrition'!A:A,'Sweetener Mix In Nutrition'!E:E,0))+(($Y264 / 100)  * _xlfn.XLOOKUP($K264,'Sweetener Mix In Nutrition'!A:A,'Sweetener Mix In Nutrition'!E:E,0))</f>
        <v>0</v>
      </c>
      <c r="AE264" s="37">
        <f>(($R264 / 240) * _xlfn.XLOOKUP($D264,'Milk Types Nutrition Per Cup'!A:A,'Milk Types Nutrition Per Cup'!C:C,0)) +(($S264 / 240)  * _xlfn.XLOOKUP($E264,'Milk Types Nutrition Per Cup'!A:A,'Milk Types Nutrition Per Cup'!C:C,0)) +(($T264 / 15)  * _xlfn.XLOOKUP($F264,'Liquid Mix In Nutrition'!A:A,'Liquid Mix In Nutrition'!C:C,0))+(($U264 / 15)  * _xlfn.XLOOKUP($G264,'Liquid Mix In Nutrition'!A:A,'Liquid Mix In Nutrition'!C:C,0))+(($V264 / MAX(1, _xlfn.XLOOKUP($H264,'Solid Mix In Nutrition'!A:A,'Solid Mix In Nutrition'!I:I,1)))  * _xlfn.XLOOKUP($H264,'Solid Mix In Nutrition'!A:A,'Solid Mix In Nutrition'!C:C,0))+(($W264 / MAX(1, _xlfn.XLOOKUP($I264,'Solid Mix In Nutrition'!A:A,'Solid Mix In Nutrition'!I:I,1)))  * _xlfn.XLOOKUP($I264,'Solid Mix In Nutrition'!A:A,'Solid Mix In Nutrition'!C:C,0))+(($X264 / 100)  * _xlfn.XLOOKUP($J264,'Sweetener Mix In Nutrition'!A:A,'Sweetener Mix In Nutrition'!C:C,0))+(($Y264 / 100)  * _xlfn.XLOOKUP($K264,'Sweetener Mix In Nutrition'!A:A,'Sweetener Mix In Nutrition'!C:C,0))</f>
        <v>0</v>
      </c>
      <c r="AF264" s="38" t="e">
        <f>$AE264 / (_xlfn.XLOOKUP($L264,Specs!A:A,Specs!B:B,0))</f>
        <v>#DIV/0!</v>
      </c>
      <c r="AG264" s="37" t="e">
        <f>60* ($AB264 / _xlfn.XLOOKUP($L264,Specs!A:A,Specs!B:B,0))</f>
        <v>#DIV/0!</v>
      </c>
      <c r="AH264" s="37" t="e">
        <f>60* (AC264 / _xlfn.XLOOKUP($L264,Specs!$A:$A,Specs!$B:$B,0))</f>
        <v>#DIV/0!</v>
      </c>
      <c r="AI264" s="37" t="e">
        <f>60* (AE264 / _xlfn.XLOOKUP($L264,Specs!$A:$A,Specs!$B:$B,0))</f>
        <v>#DIV/0!</v>
      </c>
      <c r="AJ264" s="39">
        <f>(($R264 / 240) * _xlfn.XLOOKUP($D264,'Milk Types Nutrition Per Cup'!A:A,'Milk Types Nutrition Per Cup'!F:F,0)) +(($S264 / 240)  * _xlfn.XLOOKUP($E264,'Milk Types Nutrition Per Cup'!A:A,'Milk Types Nutrition Per Cup'!F:F,0)) +(($T264 / 15)  * _xlfn.XLOOKUP($F264,'Liquid Mix In Nutrition'!A:A,'Liquid Mix In Nutrition'!F:F,0))+(($U264 / 15)  * _xlfn.XLOOKUP($G264,'Liquid Mix In Nutrition'!A:A,'Liquid Mix In Nutrition'!F:F,0))+(($V264 / MAX(1, _xlfn.XLOOKUP($H264,'Solid Mix In Nutrition'!A:A,'Solid Mix In Nutrition'!I:I,1)))  * _xlfn.XLOOKUP($H264,'Solid Mix In Nutrition'!A:A,'Solid Mix In Nutrition'!F:F,0))+(($W264 / MAX(1, _xlfn.XLOOKUP($I264,'Solid Mix In Nutrition'!A:A,'Solid Mix In Nutrition'!I:I,1)))  * _xlfn.XLOOKUP($I264,'Solid Mix In Nutrition'!A:A,'Solid Mix In Nutrition'!F:F,0))+(($X264 / 100)  * _xlfn.XLOOKUP($J264,'Sweetener Mix In Nutrition'!A:A,'Sweetener Mix In Nutrition'!F:F,0))+(($Y264 / 100)  * _xlfn.XLOOKUP($K264,'Sweetener Mix In Nutrition'!A:A,'Sweetener Mix In Nutrition'!F:F,0))</f>
        <v>0</v>
      </c>
      <c r="AK264" s="46">
        <f>[2]Sheet1!AG264</f>
        <v>0</v>
      </c>
      <c r="AL264" s="47"/>
      <c r="AM264" s="40">
        <f>IF(ISERROR(((AL264/Specs!$L$3)*Specs!$L$2)*2),0,ROUNDUP((((AL264/Specs!$L$3)*Specs!$L$2)*2),0))</f>
        <v>0</v>
      </c>
      <c r="AN264" s="48">
        <f>ROUNDUP(((AJ264+Specs!$R$2+Specs!$S$2+_xlfn.XLOOKUP($L264,Specs!A:A,Specs!V:V,0))*Specs!$N$2)+AM264,0)</f>
        <v>1</v>
      </c>
      <c r="AO264" s="40">
        <f>ROUNDUP(((AJ264+Specs!$R$2+Specs!$S$2+_xlfn.XLOOKUP($L264,Specs!A:A,Specs!V:V,0))*Specs!$N$2),0)</f>
        <v>1</v>
      </c>
      <c r="AP264" s="30"/>
    </row>
    <row r="265" spans="1:42" x14ac:dyDescent="0.25">
      <c r="A265" s="41" t="str">
        <f>_xlfn.CONCAT(_xlfn.XLOOKUP("What's Your Name?",[1]Sheet1!$1:$1,[1]Sheet1!265:265)," | ",TEXT(_xlfn.XLOOKUP("Completion time",[1]Sheet1!$1:$1,[1]Sheet1!265:265),"dddd, mmm dd, yyyy hh:mm AM/PM"))</f>
        <v xml:space="preserve"> | Saturday, Jan 00, 1900 12:00 AM</v>
      </c>
      <c r="B265" s="76">
        <f>_xlfn.XLOOKUP("What's Your Email Address?",[1]Sheet1!$1:$1,[1]Sheet1!265:265)</f>
        <v>0</v>
      </c>
      <c r="C265" s="31">
        <f>IF(ISBLANK(_xlfn.XLOOKUP("Which Flavor? (Pint Price | Quart Price | Half Gallon Price) (NOTE: Prices may fluctuate based on market conditions)",[1]Sheet1!$1:$1,[1]Sheet1!265:265)),_xlfn.XLOOKUP("Name Your Ice Cream!",[1]Sheet1!$1:$1,[1]Sheet1!265:265),IF(ISNUMBER(FIND("(", _xlfn.XLOOKUP("Which Flavor? (Pint Price | Quart Price | Half Gallon Price) (NOTE: Prices may fluctuate based on market conditions)",[1]Sheet1!$1:$1,[1]Sheet1!265:265))), LEFT(_xlfn.XLOOKUP("Which Flavor? (Pint Price | Quart Price | Half Gallon Price) (NOTE: Prices may fluctuate based on market conditions)",[1]Sheet1!$1:$1,[1]Sheet1!265:265), FIND("(", _xlfn.XLOOKUP("Which Flavor? (Pint Price | Quart Price | Half Gallon Price) (NOTE: Prices may fluctuate based on market conditions)",[1]Sheet1!$1:$1,[1]Sheet1!265:265)) - 1), _xlfn.XLOOKUP("Which Flavor? (Pint Price | Quart Price | Half Gallon Price) (NOTE: Prices may fluctuate based on market conditions)",[1]Sheet1!$1:$1,[1]Sheet1!265:265)))</f>
        <v>0</v>
      </c>
      <c r="D265" s="31">
        <f>IF(COUNTIF('Premade Flavors'!$A:$A, $C265) &gt; 0,IF(ISBLANK(_xlfn.XLOOKUP("What Ice Cream Base Do You Want To Change It To?",[1]Sheet1!$1:$1,[1]Sheet1!265:265)),_xlfn.XLOOKUP($C265,'Premade Flavors'!$A:$A,'Premade Flavors'!B:B),_xlfn.XLOOKUP("What Ice Cream Base Do You Want To Change It To?",[1]Sheet1!$1:$1,[1]Sheet1!265:265)),_xlfn.XLOOKUP(_xlfn.XLOOKUP("What Kind Of Ice Cream Base Do You Want? ",[1]Sheet1!$1:$1,[1]Sheet1!265:265),'Milk Types Nutrition Per Cup'!O:O,'Milk Types Nutrition Per Cup'!P:P,""))</f>
        <v>0</v>
      </c>
      <c r="E265" s="31">
        <f>IF(COUNTIF('Premade Flavors'!$A:$A, $C265) &gt; 0,IF(ISBLANK(_xlfn.XLOOKUP("What Ice Cream Base Do You Want To Change It To?",[1]Sheet1!$1:$1,[1]Sheet1!265:265)),_xlfn.XLOOKUP($C265,'Premade Flavors'!$A:$A,'Premade Flavors'!C:C),_xlfn.XLOOKUP("What Ice Cream Base Do You Want To Change It To?",[1]Sheet1!$1:$1,[1]Sheet1!265:265)),_xlfn.XLOOKUP(_xlfn.XLOOKUP("What Kind Of Ice Cream Base Do You Want? ",[1]Sheet1!$1:$1,[1]Sheet1!265:265),'Milk Types Nutrition Per Cup'!$O:$O,'Milk Types Nutrition Per Cup'!$Q:$Q,""))</f>
        <v>0</v>
      </c>
      <c r="F265" s="31">
        <f>IF(COUNTIF('Premade Flavors'!$A:$A, $C265) &gt; 0,_xlfn.XLOOKUP($C265,'Premade Flavors'!$A:$A,'Premade Flavors'!E:E),_xlfn.XLOOKUP("What's The First Flavor You Want? ",[1]Sheet1!$1:$1,[1]Sheet1!265:265))</f>
        <v>0</v>
      </c>
      <c r="G265" s="31">
        <f>IF(COUNTIF('Premade Flavors'!$A:$A, $C265) &gt; 0,_xlfn.XLOOKUP($C265,'Premade Flavors'!$A:$A,'Premade Flavors'!F:F),_xlfn.XLOOKUP("What's the Second Flavor You Want?",[1]Sheet1!$1:$1,[1]Sheet1!265:265))</f>
        <v>0</v>
      </c>
      <c r="H265" s="31">
        <f>IF(COUNTIF('Premade Flavors'!$A:$A, $C265) &gt; 0,_xlfn.XLOOKUP($C265,'Premade Flavors'!$A:$A,'Premade Flavors'!G:G),_xlfn.XLOOKUP("What's The First Mix In That You Want? ",[1]Sheet1!$1:$1,[1]Sheet1!265:265))</f>
        <v>0</v>
      </c>
      <c r="I265" s="31">
        <f>IF(COUNTIF('Premade Flavors'!$A:$A, $C263) &gt; 0,_xlfn.XLOOKUP($C263,'Premade Flavors'!$A:$A,'Premade Flavors'!H:H),IF([2]Sheet1!W263= 0,,[2]Sheet1!W263))</f>
        <v>0</v>
      </c>
      <c r="J265" s="31">
        <f>IF(COUNTIF('Premade Flavors'!$A:$A,$C265)&gt;0,IF(_xlfn.XLOOKUP("Should It Use Sugar or A Non-Sugar Sweetner?",[1]Sheet1!$1:$1,[1]Sheet1!265:265)="Sugar",_xlfn.XLOOKUP($C265,'Premade Flavors'!$A:$A,'Premade Flavors'!I:I),"Stevia"),_xlfn.XLOOKUP("What Sweetner Do You Want?",[1]Sheet1!$1:$1,[1]Sheet1!265:265))</f>
        <v>0</v>
      </c>
      <c r="K265" s="31"/>
      <c r="L265" s="77">
        <f>_xlfn.XLOOKUP("How Much Ice Cream Do You Want?",[1]Sheet1!$1:$1,[1]Sheet1!265:265)</f>
        <v>0</v>
      </c>
      <c r="M265" s="45">
        <f>IF(COUNTIF('Premade Flavors'!$A:$A, $C265) &gt; 0,_xlfn.XLOOKUP($C265,'Premade Flavors'!$A:$A,'Premade Flavors'!M:M),_xlfn.XLOOKUP("How Strong Do You Want The First Flavor?",[1]Sheet1!$1:$1,[1]Sheet1!265:265))</f>
        <v>0</v>
      </c>
      <c r="N265" s="45">
        <f>IF(COUNTIF('Premade Flavors'!$A:$A, $C265) &gt; 0,_xlfn.XLOOKUP($C265,'Premade Flavors'!$A:$A,'Premade Flavors'!N:N),_xlfn.XLOOKUP("How Strong Do You Want The Second Flavor?",[1]Sheet1!$1:$1,[1]Sheet1!265:265))</f>
        <v>0</v>
      </c>
      <c r="O265" s="45">
        <f>IF(COUNTIF('Premade Flavors'!$A:$A, $C265) &gt; 0,_xlfn.XLOOKUP($C265,'Premade Flavors'!$A:$A,'Premade Flavors'!O:O),_xlfn.XLOOKUP("How Dense Should the Mix Ins Be?",[1]Sheet1!$1:$1,[1]Sheet1!265:265))</f>
        <v>0</v>
      </c>
      <c r="P265" s="45">
        <f>IF(COUNTIF('Premade Flavors'!$A:$A, $C265) &gt; 0,_xlfn.XLOOKUP($C265,'Premade Flavors'!$A:$A,'Premade Flavors'!P:P),_xlfn.XLOOKUP("How Much Of The First Sweetner? ",[1]Sheet1!$1:$1,[1]Sheet1!265:265))</f>
        <v>0</v>
      </c>
      <c r="Q265" s="45">
        <f>IF(COUNTIF('Premade Flavors'!$A:$A, $C265) &gt; 0,_xlfn.XLOOKUP($C265,'Premade Flavors'!$A:$A,'Premade Flavors'!Q:Q),[2]Sheet1!S265)</f>
        <v>0</v>
      </c>
      <c r="R265" s="30">
        <f>(_xlfn.XLOOKUP($L265,Specs!A:A,Specs!B:B,0)-(IF(_xlfn.XLOOKUP($F265,'Liquid Mix In Nutrition'!A:A,'Liquid Mix In Nutrition'!J:J,0)="Yes",0,$T265))-(IF(_xlfn.XLOOKUP($G265,'Liquid Mix In Nutrition'!A:A,'Liquid Mix In Nutrition'!J:J,0)="Yes",0,$U265))-(($V265/MAX(1,_xlfn.XLOOKUP($H265,'Solid Mix In Nutrition'!A:A,'Solid Mix In Nutrition'!I:I,1)))*240)-(($W265/MAX(1,_xlfn.XLOOKUP($I265,'Solid Mix In Nutrition'!A:A,'Solid Mix In Nutrition'!I:I,1)))*240))*0.66</f>
        <v>0</v>
      </c>
      <c r="S265" s="30">
        <f>(_xlfn.XLOOKUP($L265,Specs!A:A,Specs!B:B,0)-(IF(_xlfn.XLOOKUP($F265,'Liquid Mix In Nutrition'!A:A,'Liquid Mix In Nutrition'!J:J,0)="Yes",0,$T265))-(IF(_xlfn.XLOOKUP($G265,'Liquid Mix In Nutrition'!A:A,'Liquid Mix In Nutrition'!J:J,0)="Yes",0,$U265))-(($V265/MAX(1,_xlfn.XLOOKUP($H265,'Solid Mix In Nutrition'!A:A,'Solid Mix In Nutrition'!I:I,1)))*240)-(($W265/MAX(1,_xlfn.XLOOKUP($I265,'Solid Mix In Nutrition'!A:A,'Solid Mix In Nutrition'!I:I,1)))*240))*0.33</f>
        <v>0</v>
      </c>
      <c r="T265" s="30">
        <f>_xlfn.XLOOKUP($M265,Specs!$D:$D,Specs!$E:$E,0)*15*_xlfn.XLOOKUP($L265,Specs!$A:$A,Specs!$C:$C,0)</f>
        <v>0</v>
      </c>
      <c r="U265" s="30">
        <f>_xlfn.XLOOKUP($N265,Specs!$D:$D,Specs!$E:$E,0)*15*_xlfn.XLOOKUP($L265,Specs!$A:$A,Specs!$C:$C,0)</f>
        <v>0</v>
      </c>
      <c r="V265" s="30">
        <f>( ((_xlfn.XLOOKUP($O265,Specs!$H:$H,Specs!$I:$I,0)*_xlfn.XLOOKUP($L265,Specs!$A:$A,Specs!$B:$B,0))/240) *_xlfn.XLOOKUP($H265,'Solid Mix In Nutrition'!A:A,'Solid Mix In Nutrition'!I:I,0)) *IF(AND(NOT($I265=0), COUNTA($I265)),0.5,1)</f>
        <v>0</v>
      </c>
      <c r="W265" s="30">
        <f>( ((_xlfn.XLOOKUP($O265,Specs!$H:$H,Specs!$I:$I,0)*_xlfn.XLOOKUP($L265,Specs!$A:$A,Specs!$B:$B,0))/240) *_xlfn.XLOOKUP($I265,'Solid Mix In Nutrition'!A:A,'Solid Mix In Nutrition'!I:I,0)) *IF(AND(NOT($I265=0), COUNTA($I265)),0.5,0)</f>
        <v>0</v>
      </c>
      <c r="X265" s="30">
        <f>_xlfn.XLOOKUP($P265,Specs!F:F,Specs!G:G,0)*_xlfn.XLOOKUP($J265,'Sweetener Mix In Nutrition'!A:A,'Sweetener Mix In Nutrition'!I:I,0)*_xlfn.XLOOKUP($L265,Specs!A:A,Specs!C:C,0)</f>
        <v>0</v>
      </c>
      <c r="Y265" s="30">
        <f>_xlfn.XLOOKUP($Q265,Specs!F:F,Specs!G:G,0)*_xlfn.XLOOKUP($K265,'Sweetener Mix In Nutrition'!A:A,'Sweetener Mix In Nutrition'!I:I,0)*_xlfn.XLOOKUP($L265,Specs!A:A,Specs!C:C,0)</f>
        <v>0</v>
      </c>
      <c r="Z265" s="34">
        <f t="shared" si="8"/>
        <v>0</v>
      </c>
      <c r="AA265" s="35">
        <f t="shared" si="9"/>
        <v>0</v>
      </c>
      <c r="AB265" s="36">
        <f>(($R265 / 240) * _xlfn.XLOOKUP($D265,'Milk Types Nutrition Per Cup'!A:A,'Milk Types Nutrition Per Cup'!B:B,0)) +(($S265 / 240)  * _xlfn.XLOOKUP($E265,'Milk Types Nutrition Per Cup'!A:A,'Milk Types Nutrition Per Cup'!B:B,0)) +(($T265 / 15)  * _xlfn.XLOOKUP($F265,'Liquid Mix In Nutrition'!A:A,'Liquid Mix In Nutrition'!B:B,0))+(($U265 / 15)  * _xlfn.XLOOKUP($G265,'Liquid Mix In Nutrition'!A:A,'Liquid Mix In Nutrition'!B:B,0))+(($V265 /MAX(1, _xlfn.XLOOKUP($H265,'Solid Mix In Nutrition'!A:A,'Solid Mix In Nutrition'!I:I,1)))  * _xlfn.XLOOKUP($H265,'Solid Mix In Nutrition'!A:A,'Solid Mix In Nutrition'!B:B,0))+(($W265 / MAX(1, _xlfn.XLOOKUP($I265,'Solid Mix In Nutrition'!A:A,'Solid Mix In Nutrition'!I:I,1))))+(($X265 / 100)  * _xlfn.XLOOKUP($J265,'Sweetener Mix In Nutrition'!A:A,'Sweetener Mix In Nutrition'!B:B,0))+(($Y265 / 100)  * _xlfn.XLOOKUP($K265,'Sweetener Mix In Nutrition'!A:A,'Sweetener Mix In Nutrition'!B:B,0))</f>
        <v>0</v>
      </c>
      <c r="AC265" s="36">
        <f>(($R265 / 240) * _xlfn.XLOOKUP($D265,'Milk Types Nutrition Per Cup'!A:A,'Milk Types Nutrition Per Cup'!E:E,0)) +(($S265 / 240)  * _xlfn.XLOOKUP($E265,'Milk Types Nutrition Per Cup'!A:A,'Milk Types Nutrition Per Cup'!E:E,0)) +(($T265 / 15)  * _xlfn.XLOOKUP($F265,'Liquid Mix In Nutrition'!A:A,'Liquid Mix In Nutrition'!E:E,0)) +(($U265 / 15)  * _xlfn.XLOOKUP($G265,'Liquid Mix In Nutrition'!A:A,'Liquid Mix In Nutrition'!E:E,0))+(($V265 / MAX(1, _xlfn.XLOOKUP($H265,'Solid Mix In Nutrition'!A:A,'Solid Mix In Nutrition'!I:I,1)))  * _xlfn.XLOOKUP($H265,'Solid Mix In Nutrition'!A:A,'Solid Mix In Nutrition'!E:E,0))+(($W265 / MAX(1, _xlfn.XLOOKUP($I265,'Solid Mix In Nutrition'!A:A,'Solid Mix In Nutrition'!I:I,1)))  * _xlfn.XLOOKUP($I265,'Solid Mix In Nutrition'!A:A,'Solid Mix In Nutrition'!G:G,0))+(($X265 / 100)  * _xlfn.XLOOKUP($J265,'Sweetener Mix In Nutrition'!A:A,'Sweetener Mix In Nutrition'!E:E,0))+(($Y265 / 100)  * _xlfn.XLOOKUP($K265,'Sweetener Mix In Nutrition'!A:A,'Sweetener Mix In Nutrition'!E:E,0))</f>
        <v>0</v>
      </c>
      <c r="AD265" s="36">
        <f>(($R265 / 240) * _xlfn.XLOOKUP($D265,'Milk Types Nutrition Per Cup'!A:A,'Milk Types Nutrition Per Cup'!E:E,0)) +(($S265 / 240)  * _xlfn.XLOOKUP($E265,'Milk Types Nutrition Per Cup'!A:A,'Milk Types Nutrition Per Cup'!E:E,0)) +(($T265 / 15)  * _xlfn.XLOOKUP($F265,'Liquid Mix In Nutrition'!A:A,'Liquid Mix In Nutrition'!E:E,0)) +(($U265 / 15)  * _xlfn.XLOOKUP($G265,'Liquid Mix In Nutrition'!A:A,'Liquid Mix In Nutrition'!E:E,0))+(($X265 / 100)  * _xlfn.XLOOKUP($J265,'Sweetener Mix In Nutrition'!A:A,'Sweetener Mix In Nutrition'!E:E,0))+(($Y265 / 100)  * _xlfn.XLOOKUP($K265,'Sweetener Mix In Nutrition'!A:A,'Sweetener Mix In Nutrition'!E:E,0))</f>
        <v>0</v>
      </c>
      <c r="AE265" s="37">
        <f>(($R265 / 240) * _xlfn.XLOOKUP($D265,'Milk Types Nutrition Per Cup'!A:A,'Milk Types Nutrition Per Cup'!C:C,0)) +(($S265 / 240)  * _xlfn.XLOOKUP($E265,'Milk Types Nutrition Per Cup'!A:A,'Milk Types Nutrition Per Cup'!C:C,0)) +(($T265 / 15)  * _xlfn.XLOOKUP($F265,'Liquid Mix In Nutrition'!A:A,'Liquid Mix In Nutrition'!C:C,0))+(($U265 / 15)  * _xlfn.XLOOKUP($G265,'Liquid Mix In Nutrition'!A:A,'Liquid Mix In Nutrition'!C:C,0))+(($V265 / MAX(1, _xlfn.XLOOKUP($H265,'Solid Mix In Nutrition'!A:A,'Solid Mix In Nutrition'!I:I,1)))  * _xlfn.XLOOKUP($H265,'Solid Mix In Nutrition'!A:A,'Solid Mix In Nutrition'!C:C,0))+(($W265 / MAX(1, _xlfn.XLOOKUP($I265,'Solid Mix In Nutrition'!A:A,'Solid Mix In Nutrition'!I:I,1)))  * _xlfn.XLOOKUP($I265,'Solid Mix In Nutrition'!A:A,'Solid Mix In Nutrition'!C:C,0))+(($X265 / 100)  * _xlfn.XLOOKUP($J265,'Sweetener Mix In Nutrition'!A:A,'Sweetener Mix In Nutrition'!C:C,0))+(($Y265 / 100)  * _xlfn.XLOOKUP($K265,'Sweetener Mix In Nutrition'!A:A,'Sweetener Mix In Nutrition'!C:C,0))</f>
        <v>0</v>
      </c>
      <c r="AF265" s="38" t="e">
        <f>$AE265 / (_xlfn.XLOOKUP($L265,Specs!A:A,Specs!B:B,0))</f>
        <v>#DIV/0!</v>
      </c>
      <c r="AG265" s="37" t="e">
        <f>60* ($AB265 / _xlfn.XLOOKUP($L265,Specs!A:A,Specs!B:B,0))</f>
        <v>#DIV/0!</v>
      </c>
      <c r="AH265" s="37" t="e">
        <f>60* (AC265 / _xlfn.XLOOKUP($L265,Specs!$A:$A,Specs!$B:$B,0))</f>
        <v>#DIV/0!</v>
      </c>
      <c r="AI265" s="37" t="e">
        <f>60* (AE265 / _xlfn.XLOOKUP($L265,Specs!$A:$A,Specs!$B:$B,0))</f>
        <v>#DIV/0!</v>
      </c>
      <c r="AJ265" s="39">
        <f>(($R265 / 240) * _xlfn.XLOOKUP($D265,'Milk Types Nutrition Per Cup'!A:A,'Milk Types Nutrition Per Cup'!F:F,0)) +(($S265 / 240)  * _xlfn.XLOOKUP($E265,'Milk Types Nutrition Per Cup'!A:A,'Milk Types Nutrition Per Cup'!F:F,0)) +(($T265 / 15)  * _xlfn.XLOOKUP($F265,'Liquid Mix In Nutrition'!A:A,'Liquid Mix In Nutrition'!F:F,0))+(($U265 / 15)  * _xlfn.XLOOKUP($G265,'Liquid Mix In Nutrition'!A:A,'Liquid Mix In Nutrition'!F:F,0))+(($V265 / MAX(1, _xlfn.XLOOKUP($H265,'Solid Mix In Nutrition'!A:A,'Solid Mix In Nutrition'!I:I,1)))  * _xlfn.XLOOKUP($H265,'Solid Mix In Nutrition'!A:A,'Solid Mix In Nutrition'!F:F,0))+(($W265 / MAX(1, _xlfn.XLOOKUP($I265,'Solid Mix In Nutrition'!A:A,'Solid Mix In Nutrition'!I:I,1)))  * _xlfn.XLOOKUP($I265,'Solid Mix In Nutrition'!A:A,'Solid Mix In Nutrition'!F:F,0))+(($X265 / 100)  * _xlfn.XLOOKUP($J265,'Sweetener Mix In Nutrition'!A:A,'Sweetener Mix In Nutrition'!F:F,0))+(($Y265 / 100)  * _xlfn.XLOOKUP($K265,'Sweetener Mix In Nutrition'!A:A,'Sweetener Mix In Nutrition'!F:F,0))</f>
        <v>0</v>
      </c>
      <c r="AK265" s="46">
        <f>[2]Sheet1!AG265</f>
        <v>0</v>
      </c>
      <c r="AL265" s="47"/>
      <c r="AM265" s="40">
        <f>IF(ISERROR(((AL265/Specs!$L$3)*Specs!$L$2)*2),0,ROUNDUP((((AL265/Specs!$L$3)*Specs!$L$2)*2),0))</f>
        <v>0</v>
      </c>
      <c r="AN265" s="48">
        <f>ROUNDUP(((AJ265+Specs!$R$2+Specs!$S$2+_xlfn.XLOOKUP($L265,Specs!A:A,Specs!V:V,0))*Specs!$N$2)+AM265,0)</f>
        <v>1</v>
      </c>
      <c r="AO265" s="40">
        <f>ROUNDUP(((AJ265+Specs!$R$2+Specs!$S$2+_xlfn.XLOOKUP($L265,Specs!A:A,Specs!V:V,0))*Specs!$N$2),0)</f>
        <v>1</v>
      </c>
      <c r="AP265" s="30"/>
    </row>
    <row r="266" spans="1:42" x14ac:dyDescent="0.25">
      <c r="A266" s="41" t="str">
        <f>_xlfn.CONCAT(_xlfn.XLOOKUP("What's Your Name?",[1]Sheet1!$1:$1,[1]Sheet1!266:266)," | ",TEXT(_xlfn.XLOOKUP("Completion time",[1]Sheet1!$1:$1,[1]Sheet1!266:266),"dddd, mmm dd, yyyy hh:mm AM/PM"))</f>
        <v xml:space="preserve"> | Saturday, Jan 00, 1900 12:00 AM</v>
      </c>
      <c r="B266" s="76">
        <f>_xlfn.XLOOKUP("What's Your Email Address?",[1]Sheet1!$1:$1,[1]Sheet1!266:266)</f>
        <v>0</v>
      </c>
      <c r="C266" s="31">
        <f>IF(ISBLANK(_xlfn.XLOOKUP("Which Flavor? (Pint Price | Quart Price | Half Gallon Price) (NOTE: Prices may fluctuate based on market conditions)",[1]Sheet1!$1:$1,[1]Sheet1!266:266)),_xlfn.XLOOKUP("Name Your Ice Cream!",[1]Sheet1!$1:$1,[1]Sheet1!266:266),IF(ISNUMBER(FIND("(", _xlfn.XLOOKUP("Which Flavor? (Pint Price | Quart Price | Half Gallon Price) (NOTE: Prices may fluctuate based on market conditions)",[1]Sheet1!$1:$1,[1]Sheet1!266:266))), LEFT(_xlfn.XLOOKUP("Which Flavor? (Pint Price | Quart Price | Half Gallon Price) (NOTE: Prices may fluctuate based on market conditions)",[1]Sheet1!$1:$1,[1]Sheet1!266:266), FIND("(", _xlfn.XLOOKUP("Which Flavor? (Pint Price | Quart Price | Half Gallon Price) (NOTE: Prices may fluctuate based on market conditions)",[1]Sheet1!$1:$1,[1]Sheet1!266:266)) - 1), _xlfn.XLOOKUP("Which Flavor? (Pint Price | Quart Price | Half Gallon Price) (NOTE: Prices may fluctuate based on market conditions)",[1]Sheet1!$1:$1,[1]Sheet1!266:266)))</f>
        <v>0</v>
      </c>
      <c r="D266" s="31">
        <f>IF(COUNTIF('Premade Flavors'!$A:$A, $C266) &gt; 0,IF(ISBLANK(_xlfn.XLOOKUP("What Ice Cream Base Do You Want To Change It To?",[1]Sheet1!$1:$1,[1]Sheet1!266:266)),_xlfn.XLOOKUP($C266,'Premade Flavors'!$A:$A,'Premade Flavors'!B:B),_xlfn.XLOOKUP("What Ice Cream Base Do You Want To Change It To?",[1]Sheet1!$1:$1,[1]Sheet1!266:266)),_xlfn.XLOOKUP(_xlfn.XLOOKUP("What Kind Of Ice Cream Base Do You Want? ",[1]Sheet1!$1:$1,[1]Sheet1!266:266),'Milk Types Nutrition Per Cup'!O:O,'Milk Types Nutrition Per Cup'!P:P,""))</f>
        <v>0</v>
      </c>
      <c r="E266" s="31">
        <f>IF(COUNTIF('Premade Flavors'!$A:$A, $C266) &gt; 0,IF(ISBLANK(_xlfn.XLOOKUP("What Ice Cream Base Do You Want To Change It To?",[1]Sheet1!$1:$1,[1]Sheet1!266:266)),_xlfn.XLOOKUP($C266,'Premade Flavors'!$A:$A,'Premade Flavors'!C:C),_xlfn.XLOOKUP("What Ice Cream Base Do You Want To Change It To?",[1]Sheet1!$1:$1,[1]Sheet1!266:266)),_xlfn.XLOOKUP(_xlfn.XLOOKUP("What Kind Of Ice Cream Base Do You Want? ",[1]Sheet1!$1:$1,[1]Sheet1!266:266),'Milk Types Nutrition Per Cup'!$O:$O,'Milk Types Nutrition Per Cup'!$Q:$Q,""))</f>
        <v>0</v>
      </c>
      <c r="F266" s="31">
        <f>IF(COUNTIF('Premade Flavors'!$A:$A, $C266) &gt; 0,_xlfn.XLOOKUP($C266,'Premade Flavors'!$A:$A,'Premade Flavors'!E:E),_xlfn.XLOOKUP("What's The First Flavor You Want? ",[1]Sheet1!$1:$1,[1]Sheet1!266:266))</f>
        <v>0</v>
      </c>
      <c r="G266" s="31">
        <f>IF(COUNTIF('Premade Flavors'!$A:$A, $C266) &gt; 0,_xlfn.XLOOKUP($C266,'Premade Flavors'!$A:$A,'Premade Flavors'!F:F),_xlfn.XLOOKUP("What's the Second Flavor You Want?",[1]Sheet1!$1:$1,[1]Sheet1!266:266))</f>
        <v>0</v>
      </c>
      <c r="H266" s="31">
        <f>IF(COUNTIF('Premade Flavors'!$A:$A, $C266) &gt; 0,_xlfn.XLOOKUP($C266,'Premade Flavors'!$A:$A,'Premade Flavors'!G:G),_xlfn.XLOOKUP("What's The First Mix In That You Want? ",[1]Sheet1!$1:$1,[1]Sheet1!266:266))</f>
        <v>0</v>
      </c>
      <c r="I266" s="31">
        <f>IF(COUNTIF('Premade Flavors'!$A:$A, $C264) &gt; 0,_xlfn.XLOOKUP($C264,'Premade Flavors'!$A:$A,'Premade Flavors'!H:H),IF([2]Sheet1!W264= 0,,[2]Sheet1!W264))</f>
        <v>0</v>
      </c>
      <c r="J266" s="31">
        <f>IF(COUNTIF('Premade Flavors'!$A:$A,$C266)&gt;0,IF(_xlfn.XLOOKUP("Should It Use Sugar or A Non-Sugar Sweetner?",[1]Sheet1!$1:$1,[1]Sheet1!266:266)="Sugar",_xlfn.XLOOKUP($C266,'Premade Flavors'!$A:$A,'Premade Flavors'!I:I),"Stevia"),_xlfn.XLOOKUP("What Sweetner Do You Want?",[1]Sheet1!$1:$1,[1]Sheet1!266:266))</f>
        <v>0</v>
      </c>
      <c r="K266" s="31"/>
      <c r="L266" s="77">
        <f>_xlfn.XLOOKUP("How Much Ice Cream Do You Want?",[1]Sheet1!$1:$1,[1]Sheet1!266:266)</f>
        <v>0</v>
      </c>
      <c r="M266" s="45">
        <f>IF(COUNTIF('Premade Flavors'!$A:$A, $C266) &gt; 0,_xlfn.XLOOKUP($C266,'Premade Flavors'!$A:$A,'Premade Flavors'!M:M),_xlfn.XLOOKUP("How Strong Do You Want The First Flavor?",[1]Sheet1!$1:$1,[1]Sheet1!266:266))</f>
        <v>0</v>
      </c>
      <c r="N266" s="45">
        <f>IF(COUNTIF('Premade Flavors'!$A:$A, $C266) &gt; 0,_xlfn.XLOOKUP($C266,'Premade Flavors'!$A:$A,'Premade Flavors'!N:N),_xlfn.XLOOKUP("How Strong Do You Want The Second Flavor?",[1]Sheet1!$1:$1,[1]Sheet1!266:266))</f>
        <v>0</v>
      </c>
      <c r="O266" s="45">
        <f>IF(COUNTIF('Premade Flavors'!$A:$A, $C266) &gt; 0,_xlfn.XLOOKUP($C266,'Premade Flavors'!$A:$A,'Premade Flavors'!O:O),_xlfn.XLOOKUP("How Dense Should the Mix Ins Be?",[1]Sheet1!$1:$1,[1]Sheet1!266:266))</f>
        <v>0</v>
      </c>
      <c r="P266" s="45">
        <f>IF(COUNTIF('Premade Flavors'!$A:$A, $C266) &gt; 0,_xlfn.XLOOKUP($C266,'Premade Flavors'!$A:$A,'Premade Flavors'!P:P),_xlfn.XLOOKUP("How Much Of The First Sweetner? ",[1]Sheet1!$1:$1,[1]Sheet1!266:266))</f>
        <v>0</v>
      </c>
      <c r="Q266" s="45">
        <f>IF(COUNTIF('Premade Flavors'!$A:$A, $C266) &gt; 0,_xlfn.XLOOKUP($C266,'Premade Flavors'!$A:$A,'Premade Flavors'!Q:Q),[2]Sheet1!S266)</f>
        <v>0</v>
      </c>
      <c r="R266" s="30">
        <f>(_xlfn.XLOOKUP($L266,Specs!A:A,Specs!B:B,0)-(IF(_xlfn.XLOOKUP($F266,'Liquid Mix In Nutrition'!A:A,'Liquid Mix In Nutrition'!J:J,0)="Yes",0,$T266))-(IF(_xlfn.XLOOKUP($G266,'Liquid Mix In Nutrition'!A:A,'Liquid Mix In Nutrition'!J:J,0)="Yes",0,$U266))-(($V266/MAX(1,_xlfn.XLOOKUP($H266,'Solid Mix In Nutrition'!A:A,'Solid Mix In Nutrition'!I:I,1)))*240)-(($W266/MAX(1,_xlfn.XLOOKUP($I266,'Solid Mix In Nutrition'!A:A,'Solid Mix In Nutrition'!I:I,1)))*240))*0.66</f>
        <v>0</v>
      </c>
      <c r="S266" s="30">
        <f>(_xlfn.XLOOKUP($L266,Specs!A:A,Specs!B:B,0)-(IF(_xlfn.XLOOKUP($F266,'Liquid Mix In Nutrition'!A:A,'Liquid Mix In Nutrition'!J:J,0)="Yes",0,$T266))-(IF(_xlfn.XLOOKUP($G266,'Liquid Mix In Nutrition'!A:A,'Liquid Mix In Nutrition'!J:J,0)="Yes",0,$U266))-(($V266/MAX(1,_xlfn.XLOOKUP($H266,'Solid Mix In Nutrition'!A:A,'Solid Mix In Nutrition'!I:I,1)))*240)-(($W266/MAX(1,_xlfn.XLOOKUP($I266,'Solid Mix In Nutrition'!A:A,'Solid Mix In Nutrition'!I:I,1)))*240))*0.33</f>
        <v>0</v>
      </c>
      <c r="T266" s="30">
        <f>_xlfn.XLOOKUP($M266,Specs!$D:$D,Specs!$E:$E,0)*15*_xlfn.XLOOKUP($L266,Specs!$A:$A,Specs!$C:$C,0)</f>
        <v>0</v>
      </c>
      <c r="U266" s="30">
        <f>_xlfn.XLOOKUP($N266,Specs!$D:$D,Specs!$E:$E,0)*15*_xlfn.XLOOKUP($L266,Specs!$A:$A,Specs!$C:$C,0)</f>
        <v>0</v>
      </c>
      <c r="V266" s="30">
        <f>( ((_xlfn.XLOOKUP($O266,Specs!$H:$H,Specs!$I:$I,0)*_xlfn.XLOOKUP($L266,Specs!$A:$A,Specs!$B:$B,0))/240) *_xlfn.XLOOKUP($H266,'Solid Mix In Nutrition'!A:A,'Solid Mix In Nutrition'!I:I,0)) *IF(AND(NOT($I266=0), COUNTA($I266)),0.5,1)</f>
        <v>0</v>
      </c>
      <c r="W266" s="30">
        <f>( ((_xlfn.XLOOKUP($O266,Specs!$H:$H,Specs!$I:$I,0)*_xlfn.XLOOKUP($L266,Specs!$A:$A,Specs!$B:$B,0))/240) *_xlfn.XLOOKUP($I266,'Solid Mix In Nutrition'!A:A,'Solid Mix In Nutrition'!I:I,0)) *IF(AND(NOT($I266=0), COUNTA($I266)),0.5,0)</f>
        <v>0</v>
      </c>
      <c r="X266" s="30">
        <f>_xlfn.XLOOKUP($P266,Specs!F:F,Specs!G:G,0)*_xlfn.XLOOKUP($J266,'Sweetener Mix In Nutrition'!A:A,'Sweetener Mix In Nutrition'!I:I,0)*_xlfn.XLOOKUP($L266,Specs!A:A,Specs!C:C,0)</f>
        <v>0</v>
      </c>
      <c r="Y266" s="30">
        <f>_xlfn.XLOOKUP($Q266,Specs!F:F,Specs!G:G,0)*_xlfn.XLOOKUP($K266,'Sweetener Mix In Nutrition'!A:A,'Sweetener Mix In Nutrition'!I:I,0)*_xlfn.XLOOKUP($L266,Specs!A:A,Specs!C:C,0)</f>
        <v>0</v>
      </c>
      <c r="Z266" s="34">
        <f t="shared" si="8"/>
        <v>0</v>
      </c>
      <c r="AA266" s="35">
        <f t="shared" si="9"/>
        <v>0</v>
      </c>
      <c r="AB266" s="36">
        <f>(($R266 / 240) * _xlfn.XLOOKUP($D266,'Milk Types Nutrition Per Cup'!A:A,'Milk Types Nutrition Per Cup'!B:B,0)) +(($S266 / 240)  * _xlfn.XLOOKUP($E266,'Milk Types Nutrition Per Cup'!A:A,'Milk Types Nutrition Per Cup'!B:B,0)) +(($T266 / 15)  * _xlfn.XLOOKUP($F266,'Liquid Mix In Nutrition'!A:A,'Liquid Mix In Nutrition'!B:B,0))+(($U266 / 15)  * _xlfn.XLOOKUP($G266,'Liquid Mix In Nutrition'!A:A,'Liquid Mix In Nutrition'!B:B,0))+(($V266 /MAX(1, _xlfn.XLOOKUP($H266,'Solid Mix In Nutrition'!A:A,'Solid Mix In Nutrition'!I:I,1)))  * _xlfn.XLOOKUP($H266,'Solid Mix In Nutrition'!A:A,'Solid Mix In Nutrition'!B:B,0))+(($W266 / MAX(1, _xlfn.XLOOKUP($I266,'Solid Mix In Nutrition'!A:A,'Solid Mix In Nutrition'!I:I,1))))+(($X266 / 100)  * _xlfn.XLOOKUP($J266,'Sweetener Mix In Nutrition'!A:A,'Sweetener Mix In Nutrition'!B:B,0))+(($Y266 / 100)  * _xlfn.XLOOKUP($K266,'Sweetener Mix In Nutrition'!A:A,'Sweetener Mix In Nutrition'!B:B,0))</f>
        <v>0</v>
      </c>
      <c r="AC266" s="36">
        <f>(($R266 / 240) * _xlfn.XLOOKUP($D266,'Milk Types Nutrition Per Cup'!A:A,'Milk Types Nutrition Per Cup'!E:E,0)) +(($S266 / 240)  * _xlfn.XLOOKUP($E266,'Milk Types Nutrition Per Cup'!A:A,'Milk Types Nutrition Per Cup'!E:E,0)) +(($T266 / 15)  * _xlfn.XLOOKUP($F266,'Liquid Mix In Nutrition'!A:A,'Liquid Mix In Nutrition'!E:E,0)) +(($U266 / 15)  * _xlfn.XLOOKUP($G266,'Liquid Mix In Nutrition'!A:A,'Liquid Mix In Nutrition'!E:E,0))+(($V266 / MAX(1, _xlfn.XLOOKUP($H266,'Solid Mix In Nutrition'!A:A,'Solid Mix In Nutrition'!I:I,1)))  * _xlfn.XLOOKUP($H266,'Solid Mix In Nutrition'!A:A,'Solid Mix In Nutrition'!E:E,0))+(($W266 / MAX(1, _xlfn.XLOOKUP($I266,'Solid Mix In Nutrition'!A:A,'Solid Mix In Nutrition'!I:I,1)))  * _xlfn.XLOOKUP($I266,'Solid Mix In Nutrition'!A:A,'Solid Mix In Nutrition'!G:G,0))+(($X266 / 100)  * _xlfn.XLOOKUP($J266,'Sweetener Mix In Nutrition'!A:A,'Sweetener Mix In Nutrition'!E:E,0))+(($Y266 / 100)  * _xlfn.XLOOKUP($K266,'Sweetener Mix In Nutrition'!A:A,'Sweetener Mix In Nutrition'!E:E,0))</f>
        <v>0</v>
      </c>
      <c r="AD266" s="36">
        <f>(($R266 / 240) * _xlfn.XLOOKUP($D266,'Milk Types Nutrition Per Cup'!A:A,'Milk Types Nutrition Per Cup'!E:E,0)) +(($S266 / 240)  * _xlfn.XLOOKUP($E266,'Milk Types Nutrition Per Cup'!A:A,'Milk Types Nutrition Per Cup'!E:E,0)) +(($T266 / 15)  * _xlfn.XLOOKUP($F266,'Liquid Mix In Nutrition'!A:A,'Liquid Mix In Nutrition'!E:E,0)) +(($U266 / 15)  * _xlfn.XLOOKUP($G266,'Liquid Mix In Nutrition'!A:A,'Liquid Mix In Nutrition'!E:E,0))+(($X266 / 100)  * _xlfn.XLOOKUP($J266,'Sweetener Mix In Nutrition'!A:A,'Sweetener Mix In Nutrition'!E:E,0))+(($Y266 / 100)  * _xlfn.XLOOKUP($K266,'Sweetener Mix In Nutrition'!A:A,'Sweetener Mix In Nutrition'!E:E,0))</f>
        <v>0</v>
      </c>
      <c r="AE266" s="37">
        <f>(($R266 / 240) * _xlfn.XLOOKUP($D266,'Milk Types Nutrition Per Cup'!A:A,'Milk Types Nutrition Per Cup'!C:C,0)) +(($S266 / 240)  * _xlfn.XLOOKUP($E266,'Milk Types Nutrition Per Cup'!A:A,'Milk Types Nutrition Per Cup'!C:C,0)) +(($T266 / 15)  * _xlfn.XLOOKUP($F266,'Liquid Mix In Nutrition'!A:A,'Liquid Mix In Nutrition'!C:C,0))+(($U266 / 15)  * _xlfn.XLOOKUP($G266,'Liquid Mix In Nutrition'!A:A,'Liquid Mix In Nutrition'!C:C,0))+(($V266 / MAX(1, _xlfn.XLOOKUP($H266,'Solid Mix In Nutrition'!A:A,'Solid Mix In Nutrition'!I:I,1)))  * _xlfn.XLOOKUP($H266,'Solid Mix In Nutrition'!A:A,'Solid Mix In Nutrition'!C:C,0))+(($W266 / MAX(1, _xlfn.XLOOKUP($I266,'Solid Mix In Nutrition'!A:A,'Solid Mix In Nutrition'!I:I,1)))  * _xlfn.XLOOKUP($I266,'Solid Mix In Nutrition'!A:A,'Solid Mix In Nutrition'!C:C,0))+(($X266 / 100)  * _xlfn.XLOOKUP($J266,'Sweetener Mix In Nutrition'!A:A,'Sweetener Mix In Nutrition'!C:C,0))+(($Y266 / 100)  * _xlfn.XLOOKUP($K266,'Sweetener Mix In Nutrition'!A:A,'Sweetener Mix In Nutrition'!C:C,0))</f>
        <v>0</v>
      </c>
      <c r="AF266" s="38" t="e">
        <f>$AE266 / (_xlfn.XLOOKUP($L266,Specs!A:A,Specs!B:B,0))</f>
        <v>#DIV/0!</v>
      </c>
      <c r="AG266" s="37" t="e">
        <f>60* ($AB266 / _xlfn.XLOOKUP($L266,Specs!A:A,Specs!B:B,0))</f>
        <v>#DIV/0!</v>
      </c>
      <c r="AH266" s="37" t="e">
        <f>60* (AC266 / _xlfn.XLOOKUP($L266,Specs!$A:$A,Specs!$B:$B,0))</f>
        <v>#DIV/0!</v>
      </c>
      <c r="AI266" s="37" t="e">
        <f>60* (AE266 / _xlfn.XLOOKUP($L266,Specs!$A:$A,Specs!$B:$B,0))</f>
        <v>#DIV/0!</v>
      </c>
      <c r="AJ266" s="39">
        <f>(($R266 / 240) * _xlfn.XLOOKUP($D266,'Milk Types Nutrition Per Cup'!A:A,'Milk Types Nutrition Per Cup'!F:F,0)) +(($S266 / 240)  * _xlfn.XLOOKUP($E266,'Milk Types Nutrition Per Cup'!A:A,'Milk Types Nutrition Per Cup'!F:F,0)) +(($T266 / 15)  * _xlfn.XLOOKUP($F266,'Liquid Mix In Nutrition'!A:A,'Liquid Mix In Nutrition'!F:F,0))+(($U266 / 15)  * _xlfn.XLOOKUP($G266,'Liquid Mix In Nutrition'!A:A,'Liquid Mix In Nutrition'!F:F,0))+(($V266 / MAX(1, _xlfn.XLOOKUP($H266,'Solid Mix In Nutrition'!A:A,'Solid Mix In Nutrition'!I:I,1)))  * _xlfn.XLOOKUP($H266,'Solid Mix In Nutrition'!A:A,'Solid Mix In Nutrition'!F:F,0))+(($W266 / MAX(1, _xlfn.XLOOKUP($I266,'Solid Mix In Nutrition'!A:A,'Solid Mix In Nutrition'!I:I,1)))  * _xlfn.XLOOKUP($I266,'Solid Mix In Nutrition'!A:A,'Solid Mix In Nutrition'!F:F,0))+(($X266 / 100)  * _xlfn.XLOOKUP($J266,'Sweetener Mix In Nutrition'!A:A,'Sweetener Mix In Nutrition'!F:F,0))+(($Y266 / 100)  * _xlfn.XLOOKUP($K266,'Sweetener Mix In Nutrition'!A:A,'Sweetener Mix In Nutrition'!F:F,0))</f>
        <v>0</v>
      </c>
      <c r="AK266" s="46">
        <f>[2]Sheet1!AG266</f>
        <v>0</v>
      </c>
      <c r="AL266" s="47"/>
      <c r="AM266" s="40">
        <f>IF(ISERROR(((AL266/Specs!$L$3)*Specs!$L$2)*2),0,ROUNDUP((((AL266/Specs!$L$3)*Specs!$L$2)*2),0))</f>
        <v>0</v>
      </c>
      <c r="AN266" s="48">
        <f>ROUNDUP(((AJ266+Specs!$R$2+Specs!$S$2+_xlfn.XLOOKUP($L266,Specs!A:A,Specs!V:V,0))*Specs!$N$2)+AM266,0)</f>
        <v>1</v>
      </c>
      <c r="AO266" s="40">
        <f>ROUNDUP(((AJ266+Specs!$R$2+Specs!$S$2+_xlfn.XLOOKUP($L266,Specs!A:A,Specs!V:V,0))*Specs!$N$2),0)</f>
        <v>1</v>
      </c>
      <c r="AP266" s="30"/>
    </row>
    <row r="267" spans="1:42" x14ac:dyDescent="0.25">
      <c r="A267" s="41" t="str">
        <f>_xlfn.CONCAT(_xlfn.XLOOKUP("What's Your Name?",[1]Sheet1!$1:$1,[1]Sheet1!267:267)," | ",TEXT(_xlfn.XLOOKUP("Completion time",[1]Sheet1!$1:$1,[1]Sheet1!267:267),"dddd, mmm dd, yyyy hh:mm AM/PM"))</f>
        <v xml:space="preserve"> | Saturday, Jan 00, 1900 12:00 AM</v>
      </c>
      <c r="B267" s="76">
        <f>_xlfn.XLOOKUP("What's Your Email Address?",[1]Sheet1!$1:$1,[1]Sheet1!267:267)</f>
        <v>0</v>
      </c>
      <c r="C267" s="31">
        <f>IF(ISBLANK(_xlfn.XLOOKUP("Which Flavor? (Pint Price | Quart Price | Half Gallon Price) (NOTE: Prices may fluctuate based on market conditions)",[1]Sheet1!$1:$1,[1]Sheet1!267:267)),_xlfn.XLOOKUP("Name Your Ice Cream!",[1]Sheet1!$1:$1,[1]Sheet1!267:267),IF(ISNUMBER(FIND("(", _xlfn.XLOOKUP("Which Flavor? (Pint Price | Quart Price | Half Gallon Price) (NOTE: Prices may fluctuate based on market conditions)",[1]Sheet1!$1:$1,[1]Sheet1!267:267))), LEFT(_xlfn.XLOOKUP("Which Flavor? (Pint Price | Quart Price | Half Gallon Price) (NOTE: Prices may fluctuate based on market conditions)",[1]Sheet1!$1:$1,[1]Sheet1!267:267), FIND("(", _xlfn.XLOOKUP("Which Flavor? (Pint Price | Quart Price | Half Gallon Price) (NOTE: Prices may fluctuate based on market conditions)",[1]Sheet1!$1:$1,[1]Sheet1!267:267)) - 1), _xlfn.XLOOKUP("Which Flavor? (Pint Price | Quart Price | Half Gallon Price) (NOTE: Prices may fluctuate based on market conditions)",[1]Sheet1!$1:$1,[1]Sheet1!267:267)))</f>
        <v>0</v>
      </c>
      <c r="D267" s="31">
        <f>IF(COUNTIF('Premade Flavors'!$A:$A, $C267) &gt; 0,IF(ISBLANK(_xlfn.XLOOKUP("What Ice Cream Base Do You Want To Change It To?",[1]Sheet1!$1:$1,[1]Sheet1!267:267)),_xlfn.XLOOKUP($C267,'Premade Flavors'!$A:$A,'Premade Flavors'!B:B),_xlfn.XLOOKUP("What Ice Cream Base Do You Want To Change It To?",[1]Sheet1!$1:$1,[1]Sheet1!267:267)),_xlfn.XLOOKUP(_xlfn.XLOOKUP("What Kind Of Ice Cream Base Do You Want? ",[1]Sheet1!$1:$1,[1]Sheet1!267:267),'Milk Types Nutrition Per Cup'!O:O,'Milk Types Nutrition Per Cup'!P:P,""))</f>
        <v>0</v>
      </c>
      <c r="E267" s="31">
        <f>IF(COUNTIF('Premade Flavors'!$A:$A, $C267) &gt; 0,IF(ISBLANK(_xlfn.XLOOKUP("What Ice Cream Base Do You Want To Change It To?",[1]Sheet1!$1:$1,[1]Sheet1!267:267)),_xlfn.XLOOKUP($C267,'Premade Flavors'!$A:$A,'Premade Flavors'!C:C),_xlfn.XLOOKUP("What Ice Cream Base Do You Want To Change It To?",[1]Sheet1!$1:$1,[1]Sheet1!267:267)),_xlfn.XLOOKUP(_xlfn.XLOOKUP("What Kind Of Ice Cream Base Do You Want? ",[1]Sheet1!$1:$1,[1]Sheet1!267:267),'Milk Types Nutrition Per Cup'!$O:$O,'Milk Types Nutrition Per Cup'!$Q:$Q,""))</f>
        <v>0</v>
      </c>
      <c r="F267" s="31">
        <f>IF(COUNTIF('Premade Flavors'!$A:$A, $C267) &gt; 0,_xlfn.XLOOKUP($C267,'Premade Flavors'!$A:$A,'Premade Flavors'!E:E),_xlfn.XLOOKUP("What's The First Flavor You Want? ",[1]Sheet1!$1:$1,[1]Sheet1!267:267))</f>
        <v>0</v>
      </c>
      <c r="G267" s="31">
        <f>IF(COUNTIF('Premade Flavors'!$A:$A, $C267) &gt; 0,_xlfn.XLOOKUP($C267,'Premade Flavors'!$A:$A,'Premade Flavors'!F:F),_xlfn.XLOOKUP("What's the Second Flavor You Want?",[1]Sheet1!$1:$1,[1]Sheet1!267:267))</f>
        <v>0</v>
      </c>
      <c r="H267" s="31">
        <f>IF(COUNTIF('Premade Flavors'!$A:$A, $C267) &gt; 0,_xlfn.XLOOKUP($C267,'Premade Flavors'!$A:$A,'Premade Flavors'!G:G),_xlfn.XLOOKUP("What's The First Mix In That You Want? ",[1]Sheet1!$1:$1,[1]Sheet1!267:267))</f>
        <v>0</v>
      </c>
      <c r="I267" s="31">
        <f>IF(COUNTIF('Premade Flavors'!$A:$A, $C265) &gt; 0,_xlfn.XLOOKUP($C265,'Premade Flavors'!$A:$A,'Premade Flavors'!H:H),IF([2]Sheet1!W265= 0,,[2]Sheet1!W265))</f>
        <v>0</v>
      </c>
      <c r="J267" s="31">
        <f>IF(COUNTIF('Premade Flavors'!$A:$A,$C267)&gt;0,IF(_xlfn.XLOOKUP("Should It Use Sugar or A Non-Sugar Sweetner?",[1]Sheet1!$1:$1,[1]Sheet1!267:267)="Sugar",_xlfn.XLOOKUP($C267,'Premade Flavors'!$A:$A,'Premade Flavors'!I:I),"Stevia"),_xlfn.XLOOKUP("What Sweetner Do You Want?",[1]Sheet1!$1:$1,[1]Sheet1!267:267))</f>
        <v>0</v>
      </c>
      <c r="K267" s="31"/>
      <c r="L267" s="77">
        <f>_xlfn.XLOOKUP("How Much Ice Cream Do You Want?",[1]Sheet1!$1:$1,[1]Sheet1!267:267)</f>
        <v>0</v>
      </c>
      <c r="M267" s="45">
        <f>IF(COUNTIF('Premade Flavors'!$A:$A, $C267) &gt; 0,_xlfn.XLOOKUP($C267,'Premade Flavors'!$A:$A,'Premade Flavors'!M:M),_xlfn.XLOOKUP("How Strong Do You Want The First Flavor?",[1]Sheet1!$1:$1,[1]Sheet1!267:267))</f>
        <v>0</v>
      </c>
      <c r="N267" s="45">
        <f>IF(COUNTIF('Premade Flavors'!$A:$A, $C267) &gt; 0,_xlfn.XLOOKUP($C267,'Premade Flavors'!$A:$A,'Premade Flavors'!N:N),_xlfn.XLOOKUP("How Strong Do You Want The Second Flavor?",[1]Sheet1!$1:$1,[1]Sheet1!267:267))</f>
        <v>0</v>
      </c>
      <c r="O267" s="45">
        <f>IF(COUNTIF('Premade Flavors'!$A:$A, $C267) &gt; 0,_xlfn.XLOOKUP($C267,'Premade Flavors'!$A:$A,'Premade Flavors'!O:O),_xlfn.XLOOKUP("How Dense Should the Mix Ins Be?",[1]Sheet1!$1:$1,[1]Sheet1!267:267))</f>
        <v>0</v>
      </c>
      <c r="P267" s="45">
        <f>IF(COUNTIF('Premade Flavors'!$A:$A, $C267) &gt; 0,_xlfn.XLOOKUP($C267,'Premade Flavors'!$A:$A,'Premade Flavors'!P:P),_xlfn.XLOOKUP("How Much Of The First Sweetner? ",[1]Sheet1!$1:$1,[1]Sheet1!267:267))</f>
        <v>0</v>
      </c>
      <c r="Q267" s="45">
        <f>IF(COUNTIF('Premade Flavors'!$A:$A, $C267) &gt; 0,_xlfn.XLOOKUP($C267,'Premade Flavors'!$A:$A,'Premade Flavors'!Q:Q),[2]Sheet1!S267)</f>
        <v>0</v>
      </c>
      <c r="R267" s="30">
        <f>(_xlfn.XLOOKUP($L267,Specs!A:A,Specs!B:B,0)-(IF(_xlfn.XLOOKUP($F267,'Liquid Mix In Nutrition'!A:A,'Liquid Mix In Nutrition'!J:J,0)="Yes",0,$T267))-(IF(_xlfn.XLOOKUP($G267,'Liquid Mix In Nutrition'!A:A,'Liquid Mix In Nutrition'!J:J,0)="Yes",0,$U267))-(($V267/MAX(1,_xlfn.XLOOKUP($H267,'Solid Mix In Nutrition'!A:A,'Solid Mix In Nutrition'!I:I,1)))*240)-(($W267/MAX(1,_xlfn.XLOOKUP($I267,'Solid Mix In Nutrition'!A:A,'Solid Mix In Nutrition'!I:I,1)))*240))*0.66</f>
        <v>0</v>
      </c>
      <c r="S267" s="30">
        <f>(_xlfn.XLOOKUP($L267,Specs!A:A,Specs!B:B,0)-(IF(_xlfn.XLOOKUP($F267,'Liquid Mix In Nutrition'!A:A,'Liquid Mix In Nutrition'!J:J,0)="Yes",0,$T267))-(IF(_xlfn.XLOOKUP($G267,'Liquid Mix In Nutrition'!A:A,'Liquid Mix In Nutrition'!J:J,0)="Yes",0,$U267))-(($V267/MAX(1,_xlfn.XLOOKUP($H267,'Solid Mix In Nutrition'!A:A,'Solid Mix In Nutrition'!I:I,1)))*240)-(($W267/MAX(1,_xlfn.XLOOKUP($I267,'Solid Mix In Nutrition'!A:A,'Solid Mix In Nutrition'!I:I,1)))*240))*0.33</f>
        <v>0</v>
      </c>
      <c r="T267" s="30">
        <f>_xlfn.XLOOKUP($M267,Specs!$D:$D,Specs!$E:$E,0)*15*_xlfn.XLOOKUP($L267,Specs!$A:$A,Specs!$C:$C,0)</f>
        <v>0</v>
      </c>
      <c r="U267" s="30">
        <f>_xlfn.XLOOKUP($N267,Specs!$D:$D,Specs!$E:$E,0)*15*_xlfn.XLOOKUP($L267,Specs!$A:$A,Specs!$C:$C,0)</f>
        <v>0</v>
      </c>
      <c r="V267" s="30">
        <f>( ((_xlfn.XLOOKUP($O267,Specs!$H:$H,Specs!$I:$I,0)*_xlfn.XLOOKUP($L267,Specs!$A:$A,Specs!$B:$B,0))/240) *_xlfn.XLOOKUP($H267,'Solid Mix In Nutrition'!A:A,'Solid Mix In Nutrition'!I:I,0)) *IF(AND(NOT($I267=0), COUNTA($I267)),0.5,1)</f>
        <v>0</v>
      </c>
      <c r="W267" s="30">
        <f>( ((_xlfn.XLOOKUP($O267,Specs!$H:$H,Specs!$I:$I,0)*_xlfn.XLOOKUP($L267,Specs!$A:$A,Specs!$B:$B,0))/240) *_xlfn.XLOOKUP($I267,'Solid Mix In Nutrition'!A:A,'Solid Mix In Nutrition'!I:I,0)) *IF(AND(NOT($I267=0), COUNTA($I267)),0.5,0)</f>
        <v>0</v>
      </c>
      <c r="X267" s="30">
        <f>_xlfn.XLOOKUP($P267,Specs!F:F,Specs!G:G,0)*_xlfn.XLOOKUP($J267,'Sweetener Mix In Nutrition'!A:A,'Sweetener Mix In Nutrition'!I:I,0)*_xlfn.XLOOKUP($L267,Specs!A:A,Specs!C:C,0)</f>
        <v>0</v>
      </c>
      <c r="Y267" s="30">
        <f>_xlfn.XLOOKUP($Q267,Specs!F:F,Specs!G:G,0)*_xlfn.XLOOKUP($K267,'Sweetener Mix In Nutrition'!A:A,'Sweetener Mix In Nutrition'!I:I,0)*_xlfn.XLOOKUP($L267,Specs!A:A,Specs!C:C,0)</f>
        <v>0</v>
      </c>
      <c r="Z267" s="34">
        <f t="shared" si="8"/>
        <v>0</v>
      </c>
      <c r="AA267" s="35">
        <f t="shared" si="9"/>
        <v>0</v>
      </c>
      <c r="AB267" s="36">
        <f>(($R267 / 240) * _xlfn.XLOOKUP($D267,'Milk Types Nutrition Per Cup'!A:A,'Milk Types Nutrition Per Cup'!B:B,0)) +(($S267 / 240)  * _xlfn.XLOOKUP($E267,'Milk Types Nutrition Per Cup'!A:A,'Milk Types Nutrition Per Cup'!B:B,0)) +(($T267 / 15)  * _xlfn.XLOOKUP($F267,'Liquid Mix In Nutrition'!A:A,'Liquid Mix In Nutrition'!B:B,0))+(($U267 / 15)  * _xlfn.XLOOKUP($G267,'Liquid Mix In Nutrition'!A:A,'Liquid Mix In Nutrition'!B:B,0))+(($V267 /MAX(1, _xlfn.XLOOKUP($H267,'Solid Mix In Nutrition'!A:A,'Solid Mix In Nutrition'!I:I,1)))  * _xlfn.XLOOKUP($H267,'Solid Mix In Nutrition'!A:A,'Solid Mix In Nutrition'!B:B,0))+(($W267 / MAX(1, _xlfn.XLOOKUP($I267,'Solid Mix In Nutrition'!A:A,'Solid Mix In Nutrition'!I:I,1))))+(($X267 / 100)  * _xlfn.XLOOKUP($J267,'Sweetener Mix In Nutrition'!A:A,'Sweetener Mix In Nutrition'!B:B,0))+(($Y267 / 100)  * _xlfn.XLOOKUP($K267,'Sweetener Mix In Nutrition'!A:A,'Sweetener Mix In Nutrition'!B:B,0))</f>
        <v>0</v>
      </c>
      <c r="AC267" s="36">
        <f>(($R267 / 240) * _xlfn.XLOOKUP($D267,'Milk Types Nutrition Per Cup'!A:A,'Milk Types Nutrition Per Cup'!E:E,0)) +(($S267 / 240)  * _xlfn.XLOOKUP($E267,'Milk Types Nutrition Per Cup'!A:A,'Milk Types Nutrition Per Cup'!E:E,0)) +(($T267 / 15)  * _xlfn.XLOOKUP($F267,'Liquid Mix In Nutrition'!A:A,'Liquid Mix In Nutrition'!E:E,0)) +(($U267 / 15)  * _xlfn.XLOOKUP($G267,'Liquid Mix In Nutrition'!A:A,'Liquid Mix In Nutrition'!E:E,0))+(($V267 / MAX(1, _xlfn.XLOOKUP($H267,'Solid Mix In Nutrition'!A:A,'Solid Mix In Nutrition'!I:I,1)))  * _xlfn.XLOOKUP($H267,'Solid Mix In Nutrition'!A:A,'Solid Mix In Nutrition'!E:E,0))+(($W267 / MAX(1, _xlfn.XLOOKUP($I267,'Solid Mix In Nutrition'!A:A,'Solid Mix In Nutrition'!I:I,1)))  * _xlfn.XLOOKUP($I267,'Solid Mix In Nutrition'!A:A,'Solid Mix In Nutrition'!G:G,0))+(($X267 / 100)  * _xlfn.XLOOKUP($J267,'Sweetener Mix In Nutrition'!A:A,'Sweetener Mix In Nutrition'!E:E,0))+(($Y267 / 100)  * _xlfn.XLOOKUP($K267,'Sweetener Mix In Nutrition'!A:A,'Sweetener Mix In Nutrition'!E:E,0))</f>
        <v>0</v>
      </c>
      <c r="AD267" s="36">
        <f>(($R267 / 240) * _xlfn.XLOOKUP($D267,'Milk Types Nutrition Per Cup'!A:A,'Milk Types Nutrition Per Cup'!E:E,0)) +(($S267 / 240)  * _xlfn.XLOOKUP($E267,'Milk Types Nutrition Per Cup'!A:A,'Milk Types Nutrition Per Cup'!E:E,0)) +(($T267 / 15)  * _xlfn.XLOOKUP($F267,'Liquid Mix In Nutrition'!A:A,'Liquid Mix In Nutrition'!E:E,0)) +(($U267 / 15)  * _xlfn.XLOOKUP($G267,'Liquid Mix In Nutrition'!A:A,'Liquid Mix In Nutrition'!E:E,0))+(($X267 / 100)  * _xlfn.XLOOKUP($J267,'Sweetener Mix In Nutrition'!A:A,'Sweetener Mix In Nutrition'!E:E,0))+(($Y267 / 100)  * _xlfn.XLOOKUP($K267,'Sweetener Mix In Nutrition'!A:A,'Sweetener Mix In Nutrition'!E:E,0))</f>
        <v>0</v>
      </c>
      <c r="AE267" s="37">
        <f>(($R267 / 240) * _xlfn.XLOOKUP($D267,'Milk Types Nutrition Per Cup'!A:A,'Milk Types Nutrition Per Cup'!C:C,0)) +(($S267 / 240)  * _xlfn.XLOOKUP($E267,'Milk Types Nutrition Per Cup'!A:A,'Milk Types Nutrition Per Cup'!C:C,0)) +(($T267 / 15)  * _xlfn.XLOOKUP($F267,'Liquid Mix In Nutrition'!A:A,'Liquid Mix In Nutrition'!C:C,0))+(($U267 / 15)  * _xlfn.XLOOKUP($G267,'Liquid Mix In Nutrition'!A:A,'Liquid Mix In Nutrition'!C:C,0))+(($V267 / MAX(1, _xlfn.XLOOKUP($H267,'Solid Mix In Nutrition'!A:A,'Solid Mix In Nutrition'!I:I,1)))  * _xlfn.XLOOKUP($H267,'Solid Mix In Nutrition'!A:A,'Solid Mix In Nutrition'!C:C,0))+(($W267 / MAX(1, _xlfn.XLOOKUP($I267,'Solid Mix In Nutrition'!A:A,'Solid Mix In Nutrition'!I:I,1)))  * _xlfn.XLOOKUP($I267,'Solid Mix In Nutrition'!A:A,'Solid Mix In Nutrition'!C:C,0))+(($X267 / 100)  * _xlfn.XLOOKUP($J267,'Sweetener Mix In Nutrition'!A:A,'Sweetener Mix In Nutrition'!C:C,0))+(($Y267 / 100)  * _xlfn.XLOOKUP($K267,'Sweetener Mix In Nutrition'!A:A,'Sweetener Mix In Nutrition'!C:C,0))</f>
        <v>0</v>
      </c>
      <c r="AF267" s="38" t="e">
        <f>$AE267 / (_xlfn.XLOOKUP($L267,Specs!A:A,Specs!B:B,0))</f>
        <v>#DIV/0!</v>
      </c>
      <c r="AG267" s="37" t="e">
        <f>60* ($AB267 / _xlfn.XLOOKUP($L267,Specs!A:A,Specs!B:B,0))</f>
        <v>#DIV/0!</v>
      </c>
      <c r="AH267" s="37" t="e">
        <f>60* (AC267 / _xlfn.XLOOKUP($L267,Specs!$A:$A,Specs!$B:$B,0))</f>
        <v>#DIV/0!</v>
      </c>
      <c r="AI267" s="37" t="e">
        <f>60* (AE267 / _xlfn.XLOOKUP($L267,Specs!$A:$A,Specs!$B:$B,0))</f>
        <v>#DIV/0!</v>
      </c>
      <c r="AJ267" s="39">
        <f>(($R267 / 240) * _xlfn.XLOOKUP($D267,'Milk Types Nutrition Per Cup'!A:A,'Milk Types Nutrition Per Cup'!F:F,0)) +(($S267 / 240)  * _xlfn.XLOOKUP($E267,'Milk Types Nutrition Per Cup'!A:A,'Milk Types Nutrition Per Cup'!F:F,0)) +(($T267 / 15)  * _xlfn.XLOOKUP($F267,'Liquid Mix In Nutrition'!A:A,'Liquid Mix In Nutrition'!F:F,0))+(($U267 / 15)  * _xlfn.XLOOKUP($G267,'Liquid Mix In Nutrition'!A:A,'Liquid Mix In Nutrition'!F:F,0))+(($V267 / MAX(1, _xlfn.XLOOKUP($H267,'Solid Mix In Nutrition'!A:A,'Solid Mix In Nutrition'!I:I,1)))  * _xlfn.XLOOKUP($H267,'Solid Mix In Nutrition'!A:A,'Solid Mix In Nutrition'!F:F,0))+(($W267 / MAX(1, _xlfn.XLOOKUP($I267,'Solid Mix In Nutrition'!A:A,'Solid Mix In Nutrition'!I:I,1)))  * _xlfn.XLOOKUP($I267,'Solid Mix In Nutrition'!A:A,'Solid Mix In Nutrition'!F:F,0))+(($X267 / 100)  * _xlfn.XLOOKUP($J267,'Sweetener Mix In Nutrition'!A:A,'Sweetener Mix In Nutrition'!F:F,0))+(($Y267 / 100)  * _xlfn.XLOOKUP($K267,'Sweetener Mix In Nutrition'!A:A,'Sweetener Mix In Nutrition'!F:F,0))</f>
        <v>0</v>
      </c>
      <c r="AK267" s="46">
        <f>[2]Sheet1!AG267</f>
        <v>0</v>
      </c>
      <c r="AL267" s="47"/>
      <c r="AM267" s="40">
        <f>IF(ISERROR(((AL267/Specs!$L$3)*Specs!$L$2)*2),0,ROUNDUP((((AL267/Specs!$L$3)*Specs!$L$2)*2),0))</f>
        <v>0</v>
      </c>
      <c r="AN267" s="48">
        <f>ROUNDUP(((AJ267+Specs!$R$2+Specs!$S$2+_xlfn.XLOOKUP($L267,Specs!A:A,Specs!V:V,0))*Specs!$N$2)+AM267,0)</f>
        <v>1</v>
      </c>
      <c r="AO267" s="40">
        <f>ROUNDUP(((AJ267+Specs!$R$2+Specs!$S$2+_xlfn.XLOOKUP($L267,Specs!A:A,Specs!V:V,0))*Specs!$N$2),0)</f>
        <v>1</v>
      </c>
      <c r="AP267" s="30"/>
    </row>
    <row r="268" spans="1:42" x14ac:dyDescent="0.25">
      <c r="A268" s="41" t="str">
        <f>_xlfn.CONCAT(_xlfn.XLOOKUP("What's Your Name?",[1]Sheet1!$1:$1,[1]Sheet1!268:268)," | ",TEXT(_xlfn.XLOOKUP("Completion time",[1]Sheet1!$1:$1,[1]Sheet1!268:268),"dddd, mmm dd, yyyy hh:mm AM/PM"))</f>
        <v xml:space="preserve"> | Saturday, Jan 00, 1900 12:00 AM</v>
      </c>
      <c r="B268" s="76">
        <f>_xlfn.XLOOKUP("What's Your Email Address?",[1]Sheet1!$1:$1,[1]Sheet1!268:268)</f>
        <v>0</v>
      </c>
      <c r="C268" s="31">
        <f>IF(ISBLANK(_xlfn.XLOOKUP("Which Flavor? (Pint Price | Quart Price | Half Gallon Price) (NOTE: Prices may fluctuate based on market conditions)",[1]Sheet1!$1:$1,[1]Sheet1!268:268)),_xlfn.XLOOKUP("Name Your Ice Cream!",[1]Sheet1!$1:$1,[1]Sheet1!268:268),IF(ISNUMBER(FIND("(", _xlfn.XLOOKUP("Which Flavor? (Pint Price | Quart Price | Half Gallon Price) (NOTE: Prices may fluctuate based on market conditions)",[1]Sheet1!$1:$1,[1]Sheet1!268:268))), LEFT(_xlfn.XLOOKUP("Which Flavor? (Pint Price | Quart Price | Half Gallon Price) (NOTE: Prices may fluctuate based on market conditions)",[1]Sheet1!$1:$1,[1]Sheet1!268:268), FIND("(", _xlfn.XLOOKUP("Which Flavor? (Pint Price | Quart Price | Half Gallon Price) (NOTE: Prices may fluctuate based on market conditions)",[1]Sheet1!$1:$1,[1]Sheet1!268:268)) - 1), _xlfn.XLOOKUP("Which Flavor? (Pint Price | Quart Price | Half Gallon Price) (NOTE: Prices may fluctuate based on market conditions)",[1]Sheet1!$1:$1,[1]Sheet1!268:268)))</f>
        <v>0</v>
      </c>
      <c r="D268" s="31">
        <f>IF(COUNTIF('Premade Flavors'!$A:$A, $C268) &gt; 0,IF(ISBLANK(_xlfn.XLOOKUP("What Ice Cream Base Do You Want To Change It To?",[1]Sheet1!$1:$1,[1]Sheet1!268:268)),_xlfn.XLOOKUP($C268,'Premade Flavors'!$A:$A,'Premade Flavors'!B:B),_xlfn.XLOOKUP("What Ice Cream Base Do You Want To Change It To?",[1]Sheet1!$1:$1,[1]Sheet1!268:268)),_xlfn.XLOOKUP(_xlfn.XLOOKUP("What Kind Of Ice Cream Base Do You Want? ",[1]Sheet1!$1:$1,[1]Sheet1!268:268),'Milk Types Nutrition Per Cup'!O:O,'Milk Types Nutrition Per Cup'!P:P,""))</f>
        <v>0</v>
      </c>
      <c r="E268" s="31">
        <f>IF(COUNTIF('Premade Flavors'!$A:$A, $C268) &gt; 0,IF(ISBLANK(_xlfn.XLOOKUP("What Ice Cream Base Do You Want To Change It To?",[1]Sheet1!$1:$1,[1]Sheet1!268:268)),_xlfn.XLOOKUP($C268,'Premade Flavors'!$A:$A,'Premade Flavors'!C:C),_xlfn.XLOOKUP("What Ice Cream Base Do You Want To Change It To?",[1]Sheet1!$1:$1,[1]Sheet1!268:268)),_xlfn.XLOOKUP(_xlfn.XLOOKUP("What Kind Of Ice Cream Base Do You Want? ",[1]Sheet1!$1:$1,[1]Sheet1!268:268),'Milk Types Nutrition Per Cup'!$O:$O,'Milk Types Nutrition Per Cup'!$Q:$Q,""))</f>
        <v>0</v>
      </c>
      <c r="F268" s="31">
        <f>IF(COUNTIF('Premade Flavors'!$A:$A, $C268) &gt; 0,_xlfn.XLOOKUP($C268,'Premade Flavors'!$A:$A,'Premade Flavors'!E:E),_xlfn.XLOOKUP("What's The First Flavor You Want? ",[1]Sheet1!$1:$1,[1]Sheet1!268:268))</f>
        <v>0</v>
      </c>
      <c r="G268" s="31">
        <f>IF(COUNTIF('Premade Flavors'!$A:$A, $C268) &gt; 0,_xlfn.XLOOKUP($C268,'Premade Flavors'!$A:$A,'Premade Flavors'!F:F),_xlfn.XLOOKUP("What's the Second Flavor You Want?",[1]Sheet1!$1:$1,[1]Sheet1!268:268))</f>
        <v>0</v>
      </c>
      <c r="H268" s="31">
        <f>IF(COUNTIF('Premade Flavors'!$A:$A, $C268) &gt; 0,_xlfn.XLOOKUP($C268,'Premade Flavors'!$A:$A,'Premade Flavors'!G:G),_xlfn.XLOOKUP("What's The First Mix In That You Want? ",[1]Sheet1!$1:$1,[1]Sheet1!268:268))</f>
        <v>0</v>
      </c>
      <c r="I268" s="31">
        <f>IF(COUNTIF('Premade Flavors'!$A:$A, $C266) &gt; 0,_xlfn.XLOOKUP($C266,'Premade Flavors'!$A:$A,'Premade Flavors'!H:H),IF([2]Sheet1!W266= 0,,[2]Sheet1!W266))</f>
        <v>0</v>
      </c>
      <c r="J268" s="31">
        <f>IF(COUNTIF('Premade Flavors'!$A:$A,$C268)&gt;0,IF(_xlfn.XLOOKUP("Should It Use Sugar or A Non-Sugar Sweetner?",[1]Sheet1!$1:$1,[1]Sheet1!268:268)="Sugar",_xlfn.XLOOKUP($C268,'Premade Flavors'!$A:$A,'Premade Flavors'!I:I),"Stevia"),_xlfn.XLOOKUP("What Sweetner Do You Want?",[1]Sheet1!$1:$1,[1]Sheet1!268:268))</f>
        <v>0</v>
      </c>
      <c r="K268" s="31"/>
      <c r="L268" s="77">
        <f>_xlfn.XLOOKUP("How Much Ice Cream Do You Want?",[1]Sheet1!$1:$1,[1]Sheet1!268:268)</f>
        <v>0</v>
      </c>
      <c r="M268" s="45">
        <f>IF(COUNTIF('Premade Flavors'!$A:$A, $C268) &gt; 0,_xlfn.XLOOKUP($C268,'Premade Flavors'!$A:$A,'Premade Flavors'!M:M),_xlfn.XLOOKUP("How Strong Do You Want The First Flavor?",[1]Sheet1!$1:$1,[1]Sheet1!268:268))</f>
        <v>0</v>
      </c>
      <c r="N268" s="45">
        <f>IF(COUNTIF('Premade Flavors'!$A:$A, $C268) &gt; 0,_xlfn.XLOOKUP($C268,'Premade Flavors'!$A:$A,'Premade Flavors'!N:N),_xlfn.XLOOKUP("How Strong Do You Want The Second Flavor?",[1]Sheet1!$1:$1,[1]Sheet1!268:268))</f>
        <v>0</v>
      </c>
      <c r="O268" s="45">
        <f>IF(COUNTIF('Premade Flavors'!$A:$A, $C268) &gt; 0,_xlfn.XLOOKUP($C268,'Premade Flavors'!$A:$A,'Premade Flavors'!O:O),_xlfn.XLOOKUP("How Dense Should the Mix Ins Be?",[1]Sheet1!$1:$1,[1]Sheet1!268:268))</f>
        <v>0</v>
      </c>
      <c r="P268" s="45">
        <f>IF(COUNTIF('Premade Flavors'!$A:$A, $C268) &gt; 0,_xlfn.XLOOKUP($C268,'Premade Flavors'!$A:$A,'Premade Flavors'!P:P),_xlfn.XLOOKUP("How Much Of The First Sweetner? ",[1]Sheet1!$1:$1,[1]Sheet1!268:268))</f>
        <v>0</v>
      </c>
      <c r="Q268" s="45">
        <f>IF(COUNTIF('Premade Flavors'!$A:$A, $C268) &gt; 0,_xlfn.XLOOKUP($C268,'Premade Flavors'!$A:$A,'Premade Flavors'!Q:Q),[2]Sheet1!S268)</f>
        <v>0</v>
      </c>
      <c r="R268" s="30">
        <f>(_xlfn.XLOOKUP($L268,Specs!A:A,Specs!B:B,0)-(IF(_xlfn.XLOOKUP($F268,'Liquid Mix In Nutrition'!A:A,'Liquid Mix In Nutrition'!J:J,0)="Yes",0,$T268))-(IF(_xlfn.XLOOKUP($G268,'Liquid Mix In Nutrition'!A:A,'Liquid Mix In Nutrition'!J:J,0)="Yes",0,$U268))-(($V268/MAX(1,_xlfn.XLOOKUP($H268,'Solid Mix In Nutrition'!A:A,'Solid Mix In Nutrition'!I:I,1)))*240)-(($W268/MAX(1,_xlfn.XLOOKUP($I268,'Solid Mix In Nutrition'!A:A,'Solid Mix In Nutrition'!I:I,1)))*240))*0.66</f>
        <v>0</v>
      </c>
      <c r="S268" s="30">
        <f>(_xlfn.XLOOKUP($L268,Specs!A:A,Specs!B:B,0)-(IF(_xlfn.XLOOKUP($F268,'Liquid Mix In Nutrition'!A:A,'Liquid Mix In Nutrition'!J:J,0)="Yes",0,$T268))-(IF(_xlfn.XLOOKUP($G268,'Liquid Mix In Nutrition'!A:A,'Liquid Mix In Nutrition'!J:J,0)="Yes",0,$U268))-(($V268/MAX(1,_xlfn.XLOOKUP($H268,'Solid Mix In Nutrition'!A:A,'Solid Mix In Nutrition'!I:I,1)))*240)-(($W268/MAX(1,_xlfn.XLOOKUP($I268,'Solid Mix In Nutrition'!A:A,'Solid Mix In Nutrition'!I:I,1)))*240))*0.33</f>
        <v>0</v>
      </c>
      <c r="T268" s="30">
        <f>_xlfn.XLOOKUP($M268,Specs!$D:$D,Specs!$E:$E,0)*15*_xlfn.XLOOKUP($L268,Specs!$A:$A,Specs!$C:$C,0)</f>
        <v>0</v>
      </c>
      <c r="U268" s="30">
        <f>_xlfn.XLOOKUP($N268,Specs!$D:$D,Specs!$E:$E,0)*15*_xlfn.XLOOKUP($L268,Specs!$A:$A,Specs!$C:$C,0)</f>
        <v>0</v>
      </c>
      <c r="V268" s="30">
        <f>( ((_xlfn.XLOOKUP($O268,Specs!$H:$H,Specs!$I:$I,0)*_xlfn.XLOOKUP($L268,Specs!$A:$A,Specs!$B:$B,0))/240) *_xlfn.XLOOKUP($H268,'Solid Mix In Nutrition'!A:A,'Solid Mix In Nutrition'!I:I,0)) *IF(AND(NOT($I268=0), COUNTA($I268)),0.5,1)</f>
        <v>0</v>
      </c>
      <c r="W268" s="30">
        <f>( ((_xlfn.XLOOKUP($O268,Specs!$H:$H,Specs!$I:$I,0)*_xlfn.XLOOKUP($L268,Specs!$A:$A,Specs!$B:$B,0))/240) *_xlfn.XLOOKUP($I268,'Solid Mix In Nutrition'!A:A,'Solid Mix In Nutrition'!I:I,0)) *IF(AND(NOT($I268=0), COUNTA($I268)),0.5,0)</f>
        <v>0</v>
      </c>
      <c r="X268" s="30">
        <f>_xlfn.XLOOKUP($P268,Specs!F:F,Specs!G:G,0)*_xlfn.XLOOKUP($J268,'Sweetener Mix In Nutrition'!A:A,'Sweetener Mix In Nutrition'!I:I,0)*_xlfn.XLOOKUP($L268,Specs!A:A,Specs!C:C,0)</f>
        <v>0</v>
      </c>
      <c r="Y268" s="30">
        <f>_xlfn.XLOOKUP($Q268,Specs!F:F,Specs!G:G,0)*_xlfn.XLOOKUP($K268,'Sweetener Mix In Nutrition'!A:A,'Sweetener Mix In Nutrition'!I:I,0)*_xlfn.XLOOKUP($L268,Specs!A:A,Specs!C:C,0)</f>
        <v>0</v>
      </c>
      <c r="Z268" s="34">
        <f t="shared" si="8"/>
        <v>0</v>
      </c>
      <c r="AA268" s="35">
        <f t="shared" si="9"/>
        <v>0</v>
      </c>
      <c r="AB268" s="36">
        <f>(($R268 / 240) * _xlfn.XLOOKUP($D268,'Milk Types Nutrition Per Cup'!A:A,'Milk Types Nutrition Per Cup'!B:B,0)) +(($S268 / 240)  * _xlfn.XLOOKUP($E268,'Milk Types Nutrition Per Cup'!A:A,'Milk Types Nutrition Per Cup'!B:B,0)) +(($T268 / 15)  * _xlfn.XLOOKUP($F268,'Liquid Mix In Nutrition'!A:A,'Liquid Mix In Nutrition'!B:B,0))+(($U268 / 15)  * _xlfn.XLOOKUP($G268,'Liquid Mix In Nutrition'!A:A,'Liquid Mix In Nutrition'!B:B,0))+(($V268 /MAX(1, _xlfn.XLOOKUP($H268,'Solid Mix In Nutrition'!A:A,'Solid Mix In Nutrition'!I:I,1)))  * _xlfn.XLOOKUP($H268,'Solid Mix In Nutrition'!A:A,'Solid Mix In Nutrition'!B:B,0))+(($W268 / MAX(1, _xlfn.XLOOKUP($I268,'Solid Mix In Nutrition'!A:A,'Solid Mix In Nutrition'!I:I,1))))+(($X268 / 100)  * _xlfn.XLOOKUP($J268,'Sweetener Mix In Nutrition'!A:A,'Sweetener Mix In Nutrition'!B:B,0))+(($Y268 / 100)  * _xlfn.XLOOKUP($K268,'Sweetener Mix In Nutrition'!A:A,'Sweetener Mix In Nutrition'!B:B,0))</f>
        <v>0</v>
      </c>
      <c r="AC268" s="36">
        <f>(($R268 / 240) * _xlfn.XLOOKUP($D268,'Milk Types Nutrition Per Cup'!A:A,'Milk Types Nutrition Per Cup'!E:E,0)) +(($S268 / 240)  * _xlfn.XLOOKUP($E268,'Milk Types Nutrition Per Cup'!A:A,'Milk Types Nutrition Per Cup'!E:E,0)) +(($T268 / 15)  * _xlfn.XLOOKUP($F268,'Liquid Mix In Nutrition'!A:A,'Liquid Mix In Nutrition'!E:E,0)) +(($U268 / 15)  * _xlfn.XLOOKUP($G268,'Liquid Mix In Nutrition'!A:A,'Liquid Mix In Nutrition'!E:E,0))+(($V268 / MAX(1, _xlfn.XLOOKUP($H268,'Solid Mix In Nutrition'!A:A,'Solid Mix In Nutrition'!I:I,1)))  * _xlfn.XLOOKUP($H268,'Solid Mix In Nutrition'!A:A,'Solid Mix In Nutrition'!E:E,0))+(($W268 / MAX(1, _xlfn.XLOOKUP($I268,'Solid Mix In Nutrition'!A:A,'Solid Mix In Nutrition'!I:I,1)))  * _xlfn.XLOOKUP($I268,'Solid Mix In Nutrition'!A:A,'Solid Mix In Nutrition'!G:G,0))+(($X268 / 100)  * _xlfn.XLOOKUP($J268,'Sweetener Mix In Nutrition'!A:A,'Sweetener Mix In Nutrition'!E:E,0))+(($Y268 / 100)  * _xlfn.XLOOKUP($K268,'Sweetener Mix In Nutrition'!A:A,'Sweetener Mix In Nutrition'!E:E,0))</f>
        <v>0</v>
      </c>
      <c r="AD268" s="36">
        <f>(($R268 / 240) * _xlfn.XLOOKUP($D268,'Milk Types Nutrition Per Cup'!A:A,'Milk Types Nutrition Per Cup'!E:E,0)) +(($S268 / 240)  * _xlfn.XLOOKUP($E268,'Milk Types Nutrition Per Cup'!A:A,'Milk Types Nutrition Per Cup'!E:E,0)) +(($T268 / 15)  * _xlfn.XLOOKUP($F268,'Liquid Mix In Nutrition'!A:A,'Liquid Mix In Nutrition'!E:E,0)) +(($U268 / 15)  * _xlfn.XLOOKUP($G268,'Liquid Mix In Nutrition'!A:A,'Liquid Mix In Nutrition'!E:E,0))+(($X268 / 100)  * _xlfn.XLOOKUP($J268,'Sweetener Mix In Nutrition'!A:A,'Sweetener Mix In Nutrition'!E:E,0))+(($Y268 / 100)  * _xlfn.XLOOKUP($K268,'Sweetener Mix In Nutrition'!A:A,'Sweetener Mix In Nutrition'!E:E,0))</f>
        <v>0</v>
      </c>
      <c r="AE268" s="37">
        <f>(($R268 / 240) * _xlfn.XLOOKUP($D268,'Milk Types Nutrition Per Cup'!A:A,'Milk Types Nutrition Per Cup'!C:C,0)) +(($S268 / 240)  * _xlfn.XLOOKUP($E268,'Milk Types Nutrition Per Cup'!A:A,'Milk Types Nutrition Per Cup'!C:C,0)) +(($T268 / 15)  * _xlfn.XLOOKUP($F268,'Liquid Mix In Nutrition'!A:A,'Liquid Mix In Nutrition'!C:C,0))+(($U268 / 15)  * _xlfn.XLOOKUP($G268,'Liquid Mix In Nutrition'!A:A,'Liquid Mix In Nutrition'!C:C,0))+(($V268 / MAX(1, _xlfn.XLOOKUP($H268,'Solid Mix In Nutrition'!A:A,'Solid Mix In Nutrition'!I:I,1)))  * _xlfn.XLOOKUP($H268,'Solid Mix In Nutrition'!A:A,'Solid Mix In Nutrition'!C:C,0))+(($W268 / MAX(1, _xlfn.XLOOKUP($I268,'Solid Mix In Nutrition'!A:A,'Solid Mix In Nutrition'!I:I,1)))  * _xlfn.XLOOKUP($I268,'Solid Mix In Nutrition'!A:A,'Solid Mix In Nutrition'!C:C,0))+(($X268 / 100)  * _xlfn.XLOOKUP($J268,'Sweetener Mix In Nutrition'!A:A,'Sweetener Mix In Nutrition'!C:C,0))+(($Y268 / 100)  * _xlfn.XLOOKUP($K268,'Sweetener Mix In Nutrition'!A:A,'Sweetener Mix In Nutrition'!C:C,0))</f>
        <v>0</v>
      </c>
      <c r="AF268" s="38" t="e">
        <f>$AE268 / (_xlfn.XLOOKUP($L268,Specs!A:A,Specs!B:B,0))</f>
        <v>#DIV/0!</v>
      </c>
      <c r="AG268" s="37" t="e">
        <f>60* ($AB268 / _xlfn.XLOOKUP($L268,Specs!A:A,Specs!B:B,0))</f>
        <v>#DIV/0!</v>
      </c>
      <c r="AH268" s="37" t="e">
        <f>60* (AC268 / _xlfn.XLOOKUP($L268,Specs!$A:$A,Specs!$B:$B,0))</f>
        <v>#DIV/0!</v>
      </c>
      <c r="AI268" s="37" t="e">
        <f>60* (AE268 / _xlfn.XLOOKUP($L268,Specs!$A:$A,Specs!$B:$B,0))</f>
        <v>#DIV/0!</v>
      </c>
      <c r="AJ268" s="39">
        <f>(($R268 / 240) * _xlfn.XLOOKUP($D268,'Milk Types Nutrition Per Cup'!A:A,'Milk Types Nutrition Per Cup'!F:F,0)) +(($S268 / 240)  * _xlfn.XLOOKUP($E268,'Milk Types Nutrition Per Cup'!A:A,'Milk Types Nutrition Per Cup'!F:F,0)) +(($T268 / 15)  * _xlfn.XLOOKUP($F268,'Liquid Mix In Nutrition'!A:A,'Liquid Mix In Nutrition'!F:F,0))+(($U268 / 15)  * _xlfn.XLOOKUP($G268,'Liquid Mix In Nutrition'!A:A,'Liquid Mix In Nutrition'!F:F,0))+(($V268 / MAX(1, _xlfn.XLOOKUP($H268,'Solid Mix In Nutrition'!A:A,'Solid Mix In Nutrition'!I:I,1)))  * _xlfn.XLOOKUP($H268,'Solid Mix In Nutrition'!A:A,'Solid Mix In Nutrition'!F:F,0))+(($W268 / MAX(1, _xlfn.XLOOKUP($I268,'Solid Mix In Nutrition'!A:A,'Solid Mix In Nutrition'!I:I,1)))  * _xlfn.XLOOKUP($I268,'Solid Mix In Nutrition'!A:A,'Solid Mix In Nutrition'!F:F,0))+(($X268 / 100)  * _xlfn.XLOOKUP($J268,'Sweetener Mix In Nutrition'!A:A,'Sweetener Mix In Nutrition'!F:F,0))+(($Y268 / 100)  * _xlfn.XLOOKUP($K268,'Sweetener Mix In Nutrition'!A:A,'Sweetener Mix In Nutrition'!F:F,0))</f>
        <v>0</v>
      </c>
      <c r="AK268" s="46">
        <f>[2]Sheet1!AG268</f>
        <v>0</v>
      </c>
      <c r="AL268" s="47"/>
      <c r="AM268" s="40">
        <f>IF(ISERROR(((AL268/Specs!$L$3)*Specs!$L$2)*2),0,ROUNDUP((((AL268/Specs!$L$3)*Specs!$L$2)*2),0))</f>
        <v>0</v>
      </c>
      <c r="AN268" s="48">
        <f>ROUNDUP(((AJ268+Specs!$R$2+Specs!$S$2+_xlfn.XLOOKUP($L268,Specs!A:A,Specs!V:V,0))*Specs!$N$2)+AM268,0)</f>
        <v>1</v>
      </c>
      <c r="AO268" s="40">
        <f>ROUNDUP(((AJ268+Specs!$R$2+Specs!$S$2+_xlfn.XLOOKUP($L268,Specs!A:A,Specs!V:V,0))*Specs!$N$2),0)</f>
        <v>1</v>
      </c>
      <c r="AP268" s="30"/>
    </row>
    <row r="269" spans="1:42" x14ac:dyDescent="0.25">
      <c r="A269" s="41" t="str">
        <f>_xlfn.CONCAT(_xlfn.XLOOKUP("What's Your Name?",[1]Sheet1!$1:$1,[1]Sheet1!269:269)," | ",TEXT(_xlfn.XLOOKUP("Completion time",[1]Sheet1!$1:$1,[1]Sheet1!269:269),"dddd, mmm dd, yyyy hh:mm AM/PM"))</f>
        <v xml:space="preserve"> | Saturday, Jan 00, 1900 12:00 AM</v>
      </c>
      <c r="B269" s="76">
        <f>_xlfn.XLOOKUP("What's Your Email Address?",[1]Sheet1!$1:$1,[1]Sheet1!269:269)</f>
        <v>0</v>
      </c>
      <c r="C269" s="31">
        <f>IF(ISBLANK(_xlfn.XLOOKUP("Which Flavor? (Pint Price | Quart Price | Half Gallon Price) (NOTE: Prices may fluctuate based on market conditions)",[1]Sheet1!$1:$1,[1]Sheet1!269:269)),_xlfn.XLOOKUP("Name Your Ice Cream!",[1]Sheet1!$1:$1,[1]Sheet1!269:269),IF(ISNUMBER(FIND("(", _xlfn.XLOOKUP("Which Flavor? (Pint Price | Quart Price | Half Gallon Price) (NOTE: Prices may fluctuate based on market conditions)",[1]Sheet1!$1:$1,[1]Sheet1!269:269))), LEFT(_xlfn.XLOOKUP("Which Flavor? (Pint Price | Quart Price | Half Gallon Price) (NOTE: Prices may fluctuate based on market conditions)",[1]Sheet1!$1:$1,[1]Sheet1!269:269), FIND("(", _xlfn.XLOOKUP("Which Flavor? (Pint Price | Quart Price | Half Gallon Price) (NOTE: Prices may fluctuate based on market conditions)",[1]Sheet1!$1:$1,[1]Sheet1!269:269)) - 1), _xlfn.XLOOKUP("Which Flavor? (Pint Price | Quart Price | Half Gallon Price) (NOTE: Prices may fluctuate based on market conditions)",[1]Sheet1!$1:$1,[1]Sheet1!269:269)))</f>
        <v>0</v>
      </c>
      <c r="D269" s="31">
        <f>IF(COUNTIF('Premade Flavors'!$A:$A, $C269) &gt; 0,IF(ISBLANK(_xlfn.XLOOKUP("What Ice Cream Base Do You Want To Change It To?",[1]Sheet1!$1:$1,[1]Sheet1!269:269)),_xlfn.XLOOKUP($C269,'Premade Flavors'!$A:$A,'Premade Flavors'!B:B),_xlfn.XLOOKUP("What Ice Cream Base Do You Want To Change It To?",[1]Sheet1!$1:$1,[1]Sheet1!269:269)),_xlfn.XLOOKUP(_xlfn.XLOOKUP("What Kind Of Ice Cream Base Do You Want? ",[1]Sheet1!$1:$1,[1]Sheet1!269:269),'Milk Types Nutrition Per Cup'!O:O,'Milk Types Nutrition Per Cup'!P:P,""))</f>
        <v>0</v>
      </c>
      <c r="E269" s="31">
        <f>IF(COUNTIF('Premade Flavors'!$A:$A, $C269) &gt; 0,IF(ISBLANK(_xlfn.XLOOKUP("What Ice Cream Base Do You Want To Change It To?",[1]Sheet1!$1:$1,[1]Sheet1!269:269)),_xlfn.XLOOKUP($C269,'Premade Flavors'!$A:$A,'Premade Flavors'!C:C),_xlfn.XLOOKUP("What Ice Cream Base Do You Want To Change It To?",[1]Sheet1!$1:$1,[1]Sheet1!269:269)),_xlfn.XLOOKUP(_xlfn.XLOOKUP("What Kind Of Ice Cream Base Do You Want? ",[1]Sheet1!$1:$1,[1]Sheet1!269:269),'Milk Types Nutrition Per Cup'!$O:$O,'Milk Types Nutrition Per Cup'!$Q:$Q,""))</f>
        <v>0</v>
      </c>
      <c r="F269" s="31">
        <f>IF(COUNTIF('Premade Flavors'!$A:$A, $C269) &gt; 0,_xlfn.XLOOKUP($C269,'Premade Flavors'!$A:$A,'Premade Flavors'!E:E),_xlfn.XLOOKUP("What's The First Flavor You Want? ",[1]Sheet1!$1:$1,[1]Sheet1!269:269))</f>
        <v>0</v>
      </c>
      <c r="G269" s="31">
        <f>IF(COUNTIF('Premade Flavors'!$A:$A, $C269) &gt; 0,_xlfn.XLOOKUP($C269,'Premade Flavors'!$A:$A,'Premade Flavors'!F:F),_xlfn.XLOOKUP("What's the Second Flavor You Want?",[1]Sheet1!$1:$1,[1]Sheet1!269:269))</f>
        <v>0</v>
      </c>
      <c r="H269" s="31">
        <f>IF(COUNTIF('Premade Flavors'!$A:$A, $C269) &gt; 0,_xlfn.XLOOKUP($C269,'Premade Flavors'!$A:$A,'Premade Flavors'!G:G),_xlfn.XLOOKUP("What's The First Mix In That You Want? ",[1]Sheet1!$1:$1,[1]Sheet1!269:269))</f>
        <v>0</v>
      </c>
      <c r="I269" s="31">
        <f>IF(COUNTIF('Premade Flavors'!$A:$A, $C267) &gt; 0,_xlfn.XLOOKUP($C267,'Premade Flavors'!$A:$A,'Premade Flavors'!H:H),IF([2]Sheet1!W267= 0,,[2]Sheet1!W267))</f>
        <v>0</v>
      </c>
      <c r="J269" s="31">
        <f>IF(COUNTIF('Premade Flavors'!$A:$A,$C269)&gt;0,IF(_xlfn.XLOOKUP("Should It Use Sugar or A Non-Sugar Sweetner?",[1]Sheet1!$1:$1,[1]Sheet1!269:269)="Sugar",_xlfn.XLOOKUP($C269,'Premade Flavors'!$A:$A,'Premade Flavors'!I:I),"Stevia"),_xlfn.XLOOKUP("What Sweetner Do You Want?",[1]Sheet1!$1:$1,[1]Sheet1!269:269))</f>
        <v>0</v>
      </c>
      <c r="K269" s="31"/>
      <c r="L269" s="77">
        <f>_xlfn.XLOOKUP("How Much Ice Cream Do You Want?",[1]Sheet1!$1:$1,[1]Sheet1!269:269)</f>
        <v>0</v>
      </c>
      <c r="M269" s="45">
        <f>IF(COUNTIF('Premade Flavors'!$A:$A, $C269) &gt; 0,_xlfn.XLOOKUP($C269,'Premade Flavors'!$A:$A,'Premade Flavors'!M:M),_xlfn.XLOOKUP("How Strong Do You Want The First Flavor?",[1]Sheet1!$1:$1,[1]Sheet1!269:269))</f>
        <v>0</v>
      </c>
      <c r="N269" s="45">
        <f>IF(COUNTIF('Premade Flavors'!$A:$A, $C269) &gt; 0,_xlfn.XLOOKUP($C269,'Premade Flavors'!$A:$A,'Premade Flavors'!N:N),_xlfn.XLOOKUP("How Strong Do You Want The Second Flavor?",[1]Sheet1!$1:$1,[1]Sheet1!269:269))</f>
        <v>0</v>
      </c>
      <c r="O269" s="45">
        <f>IF(COUNTIF('Premade Flavors'!$A:$A, $C269) &gt; 0,_xlfn.XLOOKUP($C269,'Premade Flavors'!$A:$A,'Premade Flavors'!O:O),_xlfn.XLOOKUP("How Dense Should the Mix Ins Be?",[1]Sheet1!$1:$1,[1]Sheet1!269:269))</f>
        <v>0</v>
      </c>
      <c r="P269" s="45">
        <f>IF(COUNTIF('Premade Flavors'!$A:$A, $C269) &gt; 0,_xlfn.XLOOKUP($C269,'Premade Flavors'!$A:$A,'Premade Flavors'!P:P),_xlfn.XLOOKUP("How Much Of The First Sweetner? ",[1]Sheet1!$1:$1,[1]Sheet1!269:269))</f>
        <v>0</v>
      </c>
      <c r="Q269" s="45">
        <f>IF(COUNTIF('Premade Flavors'!$A:$A, $C269) &gt; 0,_xlfn.XLOOKUP($C269,'Premade Flavors'!$A:$A,'Premade Flavors'!Q:Q),[2]Sheet1!S269)</f>
        <v>0</v>
      </c>
      <c r="R269" s="30">
        <f>(_xlfn.XLOOKUP($L269,Specs!A:A,Specs!B:B,0)-(IF(_xlfn.XLOOKUP($F269,'Liquid Mix In Nutrition'!A:A,'Liquid Mix In Nutrition'!J:J,0)="Yes",0,$T269))-(IF(_xlfn.XLOOKUP($G269,'Liquid Mix In Nutrition'!A:A,'Liquid Mix In Nutrition'!J:J,0)="Yes",0,$U269))-(($V269/MAX(1,_xlfn.XLOOKUP($H269,'Solid Mix In Nutrition'!A:A,'Solid Mix In Nutrition'!I:I,1)))*240)-(($W269/MAX(1,_xlfn.XLOOKUP($I269,'Solid Mix In Nutrition'!A:A,'Solid Mix In Nutrition'!I:I,1)))*240))*0.66</f>
        <v>0</v>
      </c>
      <c r="S269" s="30">
        <f>(_xlfn.XLOOKUP($L269,Specs!A:A,Specs!B:B,0)-(IF(_xlfn.XLOOKUP($F269,'Liquid Mix In Nutrition'!A:A,'Liquid Mix In Nutrition'!J:J,0)="Yes",0,$T269))-(IF(_xlfn.XLOOKUP($G269,'Liquid Mix In Nutrition'!A:A,'Liquid Mix In Nutrition'!J:J,0)="Yes",0,$U269))-(($V269/MAX(1,_xlfn.XLOOKUP($H269,'Solid Mix In Nutrition'!A:A,'Solid Mix In Nutrition'!I:I,1)))*240)-(($W269/MAX(1,_xlfn.XLOOKUP($I269,'Solid Mix In Nutrition'!A:A,'Solid Mix In Nutrition'!I:I,1)))*240))*0.33</f>
        <v>0</v>
      </c>
      <c r="T269" s="30">
        <f>_xlfn.XLOOKUP($M269,Specs!$D:$D,Specs!$E:$E,0)*15*_xlfn.XLOOKUP($L269,Specs!$A:$A,Specs!$C:$C,0)</f>
        <v>0</v>
      </c>
      <c r="U269" s="30">
        <f>_xlfn.XLOOKUP($N269,Specs!$D:$D,Specs!$E:$E,0)*15*_xlfn.XLOOKUP($L269,Specs!$A:$A,Specs!$C:$C,0)</f>
        <v>0</v>
      </c>
      <c r="V269" s="30">
        <f>( ((_xlfn.XLOOKUP($O269,Specs!$H:$H,Specs!$I:$I,0)*_xlfn.XLOOKUP($L269,Specs!$A:$A,Specs!$B:$B,0))/240) *_xlfn.XLOOKUP($H269,'Solid Mix In Nutrition'!A:A,'Solid Mix In Nutrition'!I:I,0)) *IF(AND(NOT($I269=0), COUNTA($I269)),0.5,1)</f>
        <v>0</v>
      </c>
      <c r="W269" s="30">
        <f>( ((_xlfn.XLOOKUP($O269,Specs!$H:$H,Specs!$I:$I,0)*_xlfn.XLOOKUP($L269,Specs!$A:$A,Specs!$B:$B,0))/240) *_xlfn.XLOOKUP($I269,'Solid Mix In Nutrition'!A:A,'Solid Mix In Nutrition'!I:I,0)) *IF(AND(NOT($I269=0), COUNTA($I269)),0.5,0)</f>
        <v>0</v>
      </c>
      <c r="X269" s="30">
        <f>_xlfn.XLOOKUP($P269,Specs!F:F,Specs!G:G,0)*_xlfn.XLOOKUP($J269,'Sweetener Mix In Nutrition'!A:A,'Sweetener Mix In Nutrition'!I:I,0)*_xlfn.XLOOKUP($L269,Specs!A:A,Specs!C:C,0)</f>
        <v>0</v>
      </c>
      <c r="Y269" s="30">
        <f>_xlfn.XLOOKUP($Q269,Specs!F:F,Specs!G:G,0)*_xlfn.XLOOKUP($K269,'Sweetener Mix In Nutrition'!A:A,'Sweetener Mix In Nutrition'!I:I,0)*_xlfn.XLOOKUP($L269,Specs!A:A,Specs!C:C,0)</f>
        <v>0</v>
      </c>
      <c r="Z269" s="34">
        <f t="shared" si="8"/>
        <v>0</v>
      </c>
      <c r="AA269" s="35">
        <f t="shared" si="9"/>
        <v>0</v>
      </c>
      <c r="AB269" s="36">
        <f>(($R269 / 240) * _xlfn.XLOOKUP($D269,'Milk Types Nutrition Per Cup'!A:A,'Milk Types Nutrition Per Cup'!B:B,0)) +(($S269 / 240)  * _xlfn.XLOOKUP($E269,'Milk Types Nutrition Per Cup'!A:A,'Milk Types Nutrition Per Cup'!B:B,0)) +(($T269 / 15)  * _xlfn.XLOOKUP($F269,'Liquid Mix In Nutrition'!A:A,'Liquid Mix In Nutrition'!B:B,0))+(($U269 / 15)  * _xlfn.XLOOKUP($G269,'Liquid Mix In Nutrition'!A:A,'Liquid Mix In Nutrition'!B:B,0))+(($V269 /MAX(1, _xlfn.XLOOKUP($H269,'Solid Mix In Nutrition'!A:A,'Solid Mix In Nutrition'!I:I,1)))  * _xlfn.XLOOKUP($H269,'Solid Mix In Nutrition'!A:A,'Solid Mix In Nutrition'!B:B,0))+(($W269 / MAX(1, _xlfn.XLOOKUP($I269,'Solid Mix In Nutrition'!A:A,'Solid Mix In Nutrition'!I:I,1))))+(($X269 / 100)  * _xlfn.XLOOKUP($J269,'Sweetener Mix In Nutrition'!A:A,'Sweetener Mix In Nutrition'!B:B,0))+(($Y269 / 100)  * _xlfn.XLOOKUP($K269,'Sweetener Mix In Nutrition'!A:A,'Sweetener Mix In Nutrition'!B:B,0))</f>
        <v>0</v>
      </c>
      <c r="AC269" s="36">
        <f>(($R269 / 240) * _xlfn.XLOOKUP($D269,'Milk Types Nutrition Per Cup'!A:A,'Milk Types Nutrition Per Cup'!E:E,0)) +(($S269 / 240)  * _xlfn.XLOOKUP($E269,'Milk Types Nutrition Per Cup'!A:A,'Milk Types Nutrition Per Cup'!E:E,0)) +(($T269 / 15)  * _xlfn.XLOOKUP($F269,'Liquid Mix In Nutrition'!A:A,'Liquid Mix In Nutrition'!E:E,0)) +(($U269 / 15)  * _xlfn.XLOOKUP($G269,'Liquid Mix In Nutrition'!A:A,'Liquid Mix In Nutrition'!E:E,0))+(($V269 / MAX(1, _xlfn.XLOOKUP($H269,'Solid Mix In Nutrition'!A:A,'Solid Mix In Nutrition'!I:I,1)))  * _xlfn.XLOOKUP($H269,'Solid Mix In Nutrition'!A:A,'Solid Mix In Nutrition'!E:E,0))+(($W269 / MAX(1, _xlfn.XLOOKUP($I269,'Solid Mix In Nutrition'!A:A,'Solid Mix In Nutrition'!I:I,1)))  * _xlfn.XLOOKUP($I269,'Solid Mix In Nutrition'!A:A,'Solid Mix In Nutrition'!G:G,0))+(($X269 / 100)  * _xlfn.XLOOKUP($J269,'Sweetener Mix In Nutrition'!A:A,'Sweetener Mix In Nutrition'!E:E,0))+(($Y269 / 100)  * _xlfn.XLOOKUP($K269,'Sweetener Mix In Nutrition'!A:A,'Sweetener Mix In Nutrition'!E:E,0))</f>
        <v>0</v>
      </c>
      <c r="AD269" s="36">
        <f>(($R269 / 240) * _xlfn.XLOOKUP($D269,'Milk Types Nutrition Per Cup'!A:A,'Milk Types Nutrition Per Cup'!E:E,0)) +(($S269 / 240)  * _xlfn.XLOOKUP($E269,'Milk Types Nutrition Per Cup'!A:A,'Milk Types Nutrition Per Cup'!E:E,0)) +(($T269 / 15)  * _xlfn.XLOOKUP($F269,'Liquid Mix In Nutrition'!A:A,'Liquid Mix In Nutrition'!E:E,0)) +(($U269 / 15)  * _xlfn.XLOOKUP($G269,'Liquid Mix In Nutrition'!A:A,'Liquid Mix In Nutrition'!E:E,0))+(($X269 / 100)  * _xlfn.XLOOKUP($J269,'Sweetener Mix In Nutrition'!A:A,'Sweetener Mix In Nutrition'!E:E,0))+(($Y269 / 100)  * _xlfn.XLOOKUP($K269,'Sweetener Mix In Nutrition'!A:A,'Sweetener Mix In Nutrition'!E:E,0))</f>
        <v>0</v>
      </c>
      <c r="AE269" s="37">
        <f>(($R269 / 240) * _xlfn.XLOOKUP($D269,'Milk Types Nutrition Per Cup'!A:A,'Milk Types Nutrition Per Cup'!C:C,0)) +(($S269 / 240)  * _xlfn.XLOOKUP($E269,'Milk Types Nutrition Per Cup'!A:A,'Milk Types Nutrition Per Cup'!C:C,0)) +(($T269 / 15)  * _xlfn.XLOOKUP($F269,'Liquid Mix In Nutrition'!A:A,'Liquid Mix In Nutrition'!C:C,0))+(($U269 / 15)  * _xlfn.XLOOKUP($G269,'Liquid Mix In Nutrition'!A:A,'Liquid Mix In Nutrition'!C:C,0))+(($V269 / MAX(1, _xlfn.XLOOKUP($H269,'Solid Mix In Nutrition'!A:A,'Solid Mix In Nutrition'!I:I,1)))  * _xlfn.XLOOKUP($H269,'Solid Mix In Nutrition'!A:A,'Solid Mix In Nutrition'!C:C,0))+(($W269 / MAX(1, _xlfn.XLOOKUP($I269,'Solid Mix In Nutrition'!A:A,'Solid Mix In Nutrition'!I:I,1)))  * _xlfn.XLOOKUP($I269,'Solid Mix In Nutrition'!A:A,'Solid Mix In Nutrition'!C:C,0))+(($X269 / 100)  * _xlfn.XLOOKUP($J269,'Sweetener Mix In Nutrition'!A:A,'Sweetener Mix In Nutrition'!C:C,0))+(($Y269 / 100)  * _xlfn.XLOOKUP($K269,'Sweetener Mix In Nutrition'!A:A,'Sweetener Mix In Nutrition'!C:C,0))</f>
        <v>0</v>
      </c>
      <c r="AF269" s="38" t="e">
        <f>$AE269 / (_xlfn.XLOOKUP($L269,Specs!A:A,Specs!B:B,0))</f>
        <v>#DIV/0!</v>
      </c>
      <c r="AG269" s="37" t="e">
        <f>60* ($AB269 / _xlfn.XLOOKUP($L269,Specs!A:A,Specs!B:B,0))</f>
        <v>#DIV/0!</v>
      </c>
      <c r="AH269" s="37" t="e">
        <f>60* (AC269 / _xlfn.XLOOKUP($L269,Specs!$A:$A,Specs!$B:$B,0))</f>
        <v>#DIV/0!</v>
      </c>
      <c r="AI269" s="37" t="e">
        <f>60* (AE269 / _xlfn.XLOOKUP($L269,Specs!$A:$A,Specs!$B:$B,0))</f>
        <v>#DIV/0!</v>
      </c>
      <c r="AJ269" s="39">
        <f>(($R269 / 240) * _xlfn.XLOOKUP($D269,'Milk Types Nutrition Per Cup'!A:A,'Milk Types Nutrition Per Cup'!F:F,0)) +(($S269 / 240)  * _xlfn.XLOOKUP($E269,'Milk Types Nutrition Per Cup'!A:A,'Milk Types Nutrition Per Cup'!F:F,0)) +(($T269 / 15)  * _xlfn.XLOOKUP($F269,'Liquid Mix In Nutrition'!A:A,'Liquid Mix In Nutrition'!F:F,0))+(($U269 / 15)  * _xlfn.XLOOKUP($G269,'Liquid Mix In Nutrition'!A:A,'Liquid Mix In Nutrition'!F:F,0))+(($V269 / MAX(1, _xlfn.XLOOKUP($H269,'Solid Mix In Nutrition'!A:A,'Solid Mix In Nutrition'!I:I,1)))  * _xlfn.XLOOKUP($H269,'Solid Mix In Nutrition'!A:A,'Solid Mix In Nutrition'!F:F,0))+(($W269 / MAX(1, _xlfn.XLOOKUP($I269,'Solid Mix In Nutrition'!A:A,'Solid Mix In Nutrition'!I:I,1)))  * _xlfn.XLOOKUP($I269,'Solid Mix In Nutrition'!A:A,'Solid Mix In Nutrition'!F:F,0))+(($X269 / 100)  * _xlfn.XLOOKUP($J269,'Sweetener Mix In Nutrition'!A:A,'Sweetener Mix In Nutrition'!F:F,0))+(($Y269 / 100)  * _xlfn.XLOOKUP($K269,'Sweetener Mix In Nutrition'!A:A,'Sweetener Mix In Nutrition'!F:F,0))</f>
        <v>0</v>
      </c>
      <c r="AK269" s="46">
        <f>[2]Sheet1!AG269</f>
        <v>0</v>
      </c>
      <c r="AL269" s="47"/>
      <c r="AM269" s="40">
        <f>IF(ISERROR(((AL269/Specs!$L$3)*Specs!$L$2)*2),0,ROUNDUP((((AL269/Specs!$L$3)*Specs!$L$2)*2),0))</f>
        <v>0</v>
      </c>
      <c r="AN269" s="48">
        <f>ROUNDUP(((AJ269+Specs!$R$2+Specs!$S$2+_xlfn.XLOOKUP($L269,Specs!A:A,Specs!V:V,0))*Specs!$N$2)+AM269,0)</f>
        <v>1</v>
      </c>
      <c r="AO269" s="40">
        <f>ROUNDUP(((AJ269+Specs!$R$2+Specs!$S$2+_xlfn.XLOOKUP($L269,Specs!A:A,Specs!V:V,0))*Specs!$N$2),0)</f>
        <v>1</v>
      </c>
      <c r="AP269" s="30"/>
    </row>
    <row r="270" spans="1:42" x14ac:dyDescent="0.25">
      <c r="A270" s="41" t="str">
        <f>_xlfn.CONCAT(_xlfn.XLOOKUP("What's Your Name?",[1]Sheet1!$1:$1,[1]Sheet1!270:270)," | ",TEXT(_xlfn.XLOOKUP("Completion time",[1]Sheet1!$1:$1,[1]Sheet1!270:270),"dddd, mmm dd, yyyy hh:mm AM/PM"))</f>
        <v xml:space="preserve"> | Saturday, Jan 00, 1900 12:00 AM</v>
      </c>
      <c r="B270" s="76">
        <f>_xlfn.XLOOKUP("What's Your Email Address?",[1]Sheet1!$1:$1,[1]Sheet1!270:270)</f>
        <v>0</v>
      </c>
      <c r="C270" s="31">
        <f>IF(ISBLANK(_xlfn.XLOOKUP("Which Flavor? (Pint Price | Quart Price | Half Gallon Price) (NOTE: Prices may fluctuate based on market conditions)",[1]Sheet1!$1:$1,[1]Sheet1!270:270)),_xlfn.XLOOKUP("Name Your Ice Cream!",[1]Sheet1!$1:$1,[1]Sheet1!270:270),IF(ISNUMBER(FIND("(", _xlfn.XLOOKUP("Which Flavor? (Pint Price | Quart Price | Half Gallon Price) (NOTE: Prices may fluctuate based on market conditions)",[1]Sheet1!$1:$1,[1]Sheet1!270:270))), LEFT(_xlfn.XLOOKUP("Which Flavor? (Pint Price | Quart Price | Half Gallon Price) (NOTE: Prices may fluctuate based on market conditions)",[1]Sheet1!$1:$1,[1]Sheet1!270:270), FIND("(", _xlfn.XLOOKUP("Which Flavor? (Pint Price | Quart Price | Half Gallon Price) (NOTE: Prices may fluctuate based on market conditions)",[1]Sheet1!$1:$1,[1]Sheet1!270:270)) - 1), _xlfn.XLOOKUP("Which Flavor? (Pint Price | Quart Price | Half Gallon Price) (NOTE: Prices may fluctuate based on market conditions)",[1]Sheet1!$1:$1,[1]Sheet1!270:270)))</f>
        <v>0</v>
      </c>
      <c r="D270" s="31">
        <f>IF(COUNTIF('Premade Flavors'!$A:$A, $C270) &gt; 0,IF(ISBLANK(_xlfn.XLOOKUP("What Ice Cream Base Do You Want To Change It To?",[1]Sheet1!$1:$1,[1]Sheet1!270:270)),_xlfn.XLOOKUP($C270,'Premade Flavors'!$A:$A,'Premade Flavors'!B:B),_xlfn.XLOOKUP("What Ice Cream Base Do You Want To Change It To?",[1]Sheet1!$1:$1,[1]Sheet1!270:270)),_xlfn.XLOOKUP(_xlfn.XLOOKUP("What Kind Of Ice Cream Base Do You Want? ",[1]Sheet1!$1:$1,[1]Sheet1!270:270),'Milk Types Nutrition Per Cup'!O:O,'Milk Types Nutrition Per Cup'!P:P,""))</f>
        <v>0</v>
      </c>
      <c r="E270" s="31">
        <f>IF(COUNTIF('Premade Flavors'!$A:$A, $C270) &gt; 0,IF(ISBLANK(_xlfn.XLOOKUP("What Ice Cream Base Do You Want To Change It To?",[1]Sheet1!$1:$1,[1]Sheet1!270:270)),_xlfn.XLOOKUP($C270,'Premade Flavors'!$A:$A,'Premade Flavors'!C:C),_xlfn.XLOOKUP("What Ice Cream Base Do You Want To Change It To?",[1]Sheet1!$1:$1,[1]Sheet1!270:270)),_xlfn.XLOOKUP(_xlfn.XLOOKUP("What Kind Of Ice Cream Base Do You Want? ",[1]Sheet1!$1:$1,[1]Sheet1!270:270),'Milk Types Nutrition Per Cup'!$O:$O,'Milk Types Nutrition Per Cup'!$Q:$Q,""))</f>
        <v>0</v>
      </c>
      <c r="F270" s="31">
        <f>IF(COUNTIF('Premade Flavors'!$A:$A, $C270) &gt; 0,_xlfn.XLOOKUP($C270,'Premade Flavors'!$A:$A,'Premade Flavors'!E:E),_xlfn.XLOOKUP("What's The First Flavor You Want? ",[1]Sheet1!$1:$1,[1]Sheet1!270:270))</f>
        <v>0</v>
      </c>
      <c r="G270" s="31">
        <f>IF(COUNTIF('Premade Flavors'!$A:$A, $C270) &gt; 0,_xlfn.XLOOKUP($C270,'Premade Flavors'!$A:$A,'Premade Flavors'!F:F),_xlfn.XLOOKUP("What's the Second Flavor You Want?",[1]Sheet1!$1:$1,[1]Sheet1!270:270))</f>
        <v>0</v>
      </c>
      <c r="H270" s="31">
        <f>IF(COUNTIF('Premade Flavors'!$A:$A, $C270) &gt; 0,_xlfn.XLOOKUP($C270,'Premade Flavors'!$A:$A,'Premade Flavors'!G:G),_xlfn.XLOOKUP("What's The First Mix In That You Want? ",[1]Sheet1!$1:$1,[1]Sheet1!270:270))</f>
        <v>0</v>
      </c>
      <c r="I270" s="31">
        <f>IF(COUNTIF('Premade Flavors'!$A:$A, $C268) &gt; 0,_xlfn.XLOOKUP($C268,'Premade Flavors'!$A:$A,'Premade Flavors'!H:H),IF([2]Sheet1!W268= 0,,[2]Sheet1!W268))</f>
        <v>0</v>
      </c>
      <c r="J270" s="31">
        <f>IF(COUNTIF('Premade Flavors'!$A:$A,$C270)&gt;0,IF(_xlfn.XLOOKUP("Should It Use Sugar or A Non-Sugar Sweetner?",[1]Sheet1!$1:$1,[1]Sheet1!270:270)="Sugar",_xlfn.XLOOKUP($C270,'Premade Flavors'!$A:$A,'Premade Flavors'!I:I),"Stevia"),_xlfn.XLOOKUP("What Sweetner Do You Want?",[1]Sheet1!$1:$1,[1]Sheet1!270:270))</f>
        <v>0</v>
      </c>
      <c r="K270" s="31"/>
      <c r="L270" s="77">
        <f>_xlfn.XLOOKUP("How Much Ice Cream Do You Want?",[1]Sheet1!$1:$1,[1]Sheet1!270:270)</f>
        <v>0</v>
      </c>
      <c r="M270" s="45">
        <f>IF(COUNTIF('Premade Flavors'!$A:$A, $C270) &gt; 0,_xlfn.XLOOKUP($C270,'Premade Flavors'!$A:$A,'Premade Flavors'!M:M),_xlfn.XLOOKUP("How Strong Do You Want The First Flavor?",[1]Sheet1!$1:$1,[1]Sheet1!270:270))</f>
        <v>0</v>
      </c>
      <c r="N270" s="45">
        <f>IF(COUNTIF('Premade Flavors'!$A:$A, $C270) &gt; 0,_xlfn.XLOOKUP($C270,'Premade Flavors'!$A:$A,'Premade Flavors'!N:N),_xlfn.XLOOKUP("How Strong Do You Want The Second Flavor?",[1]Sheet1!$1:$1,[1]Sheet1!270:270))</f>
        <v>0</v>
      </c>
      <c r="O270" s="45">
        <f>IF(COUNTIF('Premade Flavors'!$A:$A, $C270) &gt; 0,_xlfn.XLOOKUP($C270,'Premade Flavors'!$A:$A,'Premade Flavors'!O:O),_xlfn.XLOOKUP("How Dense Should the Mix Ins Be?",[1]Sheet1!$1:$1,[1]Sheet1!270:270))</f>
        <v>0</v>
      </c>
      <c r="P270" s="45">
        <f>IF(COUNTIF('Premade Flavors'!$A:$A, $C270) &gt; 0,_xlfn.XLOOKUP($C270,'Premade Flavors'!$A:$A,'Premade Flavors'!P:P),_xlfn.XLOOKUP("How Much Of The First Sweetner? ",[1]Sheet1!$1:$1,[1]Sheet1!270:270))</f>
        <v>0</v>
      </c>
      <c r="Q270" s="45">
        <f>IF(COUNTIF('Premade Flavors'!$A:$A, $C270) &gt; 0,_xlfn.XLOOKUP($C270,'Premade Flavors'!$A:$A,'Premade Flavors'!Q:Q),[2]Sheet1!S270)</f>
        <v>0</v>
      </c>
      <c r="R270" s="30">
        <f>(_xlfn.XLOOKUP($L270,Specs!A:A,Specs!B:B,0)-(IF(_xlfn.XLOOKUP($F270,'Liquid Mix In Nutrition'!A:A,'Liquid Mix In Nutrition'!J:J,0)="Yes",0,$T270))-(IF(_xlfn.XLOOKUP($G270,'Liquid Mix In Nutrition'!A:A,'Liquid Mix In Nutrition'!J:J,0)="Yes",0,$U270))-(($V270/MAX(1,_xlfn.XLOOKUP($H270,'Solid Mix In Nutrition'!A:A,'Solid Mix In Nutrition'!I:I,1)))*240)-(($W270/MAX(1,_xlfn.XLOOKUP($I270,'Solid Mix In Nutrition'!A:A,'Solid Mix In Nutrition'!I:I,1)))*240))*0.66</f>
        <v>0</v>
      </c>
      <c r="S270" s="30">
        <f>(_xlfn.XLOOKUP($L270,Specs!A:A,Specs!B:B,0)-(IF(_xlfn.XLOOKUP($F270,'Liquid Mix In Nutrition'!A:A,'Liquid Mix In Nutrition'!J:J,0)="Yes",0,$T270))-(IF(_xlfn.XLOOKUP($G270,'Liquid Mix In Nutrition'!A:A,'Liquid Mix In Nutrition'!J:J,0)="Yes",0,$U270))-(($V270/MAX(1,_xlfn.XLOOKUP($H270,'Solid Mix In Nutrition'!A:A,'Solid Mix In Nutrition'!I:I,1)))*240)-(($W270/MAX(1,_xlfn.XLOOKUP($I270,'Solid Mix In Nutrition'!A:A,'Solid Mix In Nutrition'!I:I,1)))*240))*0.33</f>
        <v>0</v>
      </c>
      <c r="T270" s="30">
        <f>_xlfn.XLOOKUP($M270,Specs!$D:$D,Specs!$E:$E,0)*15*_xlfn.XLOOKUP($L270,Specs!$A:$A,Specs!$C:$C,0)</f>
        <v>0</v>
      </c>
      <c r="U270" s="30">
        <f>_xlfn.XLOOKUP($N270,Specs!$D:$D,Specs!$E:$E,0)*15*_xlfn.XLOOKUP($L270,Specs!$A:$A,Specs!$C:$C,0)</f>
        <v>0</v>
      </c>
      <c r="V270" s="30">
        <f>( ((_xlfn.XLOOKUP($O270,Specs!$H:$H,Specs!$I:$I,0)*_xlfn.XLOOKUP($L270,Specs!$A:$A,Specs!$B:$B,0))/240) *_xlfn.XLOOKUP($H270,'Solid Mix In Nutrition'!A:A,'Solid Mix In Nutrition'!I:I,0)) *IF(AND(NOT($I270=0), COUNTA($I270)),0.5,1)</f>
        <v>0</v>
      </c>
      <c r="W270" s="30">
        <f>( ((_xlfn.XLOOKUP($O270,Specs!$H:$H,Specs!$I:$I,0)*_xlfn.XLOOKUP($L270,Specs!$A:$A,Specs!$B:$B,0))/240) *_xlfn.XLOOKUP($I270,'Solid Mix In Nutrition'!A:A,'Solid Mix In Nutrition'!I:I,0)) *IF(AND(NOT($I270=0), COUNTA($I270)),0.5,0)</f>
        <v>0</v>
      </c>
      <c r="X270" s="30">
        <f>_xlfn.XLOOKUP($P270,Specs!F:F,Specs!G:G,0)*_xlfn.XLOOKUP($J270,'Sweetener Mix In Nutrition'!A:A,'Sweetener Mix In Nutrition'!I:I,0)*_xlfn.XLOOKUP($L270,Specs!A:A,Specs!C:C,0)</f>
        <v>0</v>
      </c>
      <c r="Y270" s="30">
        <f>_xlfn.XLOOKUP($Q270,Specs!F:F,Specs!G:G,0)*_xlfn.XLOOKUP($K270,'Sweetener Mix In Nutrition'!A:A,'Sweetener Mix In Nutrition'!I:I,0)*_xlfn.XLOOKUP($L270,Specs!A:A,Specs!C:C,0)</f>
        <v>0</v>
      </c>
      <c r="Z270" s="34">
        <f t="shared" si="8"/>
        <v>0</v>
      </c>
      <c r="AA270" s="35">
        <f t="shared" si="9"/>
        <v>0</v>
      </c>
      <c r="AB270" s="36">
        <f>(($R270 / 240) * _xlfn.XLOOKUP($D270,'Milk Types Nutrition Per Cup'!A:A,'Milk Types Nutrition Per Cup'!B:B,0)) +(($S270 / 240)  * _xlfn.XLOOKUP($E270,'Milk Types Nutrition Per Cup'!A:A,'Milk Types Nutrition Per Cup'!B:B,0)) +(($T270 / 15)  * _xlfn.XLOOKUP($F270,'Liquid Mix In Nutrition'!A:A,'Liquid Mix In Nutrition'!B:B,0))+(($U270 / 15)  * _xlfn.XLOOKUP($G270,'Liquid Mix In Nutrition'!A:A,'Liquid Mix In Nutrition'!B:B,0))+(($V270 /MAX(1, _xlfn.XLOOKUP($H270,'Solid Mix In Nutrition'!A:A,'Solid Mix In Nutrition'!I:I,1)))  * _xlfn.XLOOKUP($H270,'Solid Mix In Nutrition'!A:A,'Solid Mix In Nutrition'!B:B,0))+(($W270 / MAX(1, _xlfn.XLOOKUP($I270,'Solid Mix In Nutrition'!A:A,'Solid Mix In Nutrition'!I:I,1))))+(($X270 / 100)  * _xlfn.XLOOKUP($J270,'Sweetener Mix In Nutrition'!A:A,'Sweetener Mix In Nutrition'!B:B,0))+(($Y270 / 100)  * _xlfn.XLOOKUP($K270,'Sweetener Mix In Nutrition'!A:A,'Sweetener Mix In Nutrition'!B:B,0))</f>
        <v>0</v>
      </c>
      <c r="AC270" s="36">
        <f>(($R270 / 240) * _xlfn.XLOOKUP($D270,'Milk Types Nutrition Per Cup'!A:A,'Milk Types Nutrition Per Cup'!E:E,0)) +(($S270 / 240)  * _xlfn.XLOOKUP($E270,'Milk Types Nutrition Per Cup'!A:A,'Milk Types Nutrition Per Cup'!E:E,0)) +(($T270 / 15)  * _xlfn.XLOOKUP($F270,'Liquid Mix In Nutrition'!A:A,'Liquid Mix In Nutrition'!E:E,0)) +(($U270 / 15)  * _xlfn.XLOOKUP($G270,'Liquid Mix In Nutrition'!A:A,'Liquid Mix In Nutrition'!E:E,0))+(($V270 / MAX(1, _xlfn.XLOOKUP($H270,'Solid Mix In Nutrition'!A:A,'Solid Mix In Nutrition'!I:I,1)))  * _xlfn.XLOOKUP($H270,'Solid Mix In Nutrition'!A:A,'Solid Mix In Nutrition'!E:E,0))+(($W270 / MAX(1, _xlfn.XLOOKUP($I270,'Solid Mix In Nutrition'!A:A,'Solid Mix In Nutrition'!I:I,1)))  * _xlfn.XLOOKUP($I270,'Solid Mix In Nutrition'!A:A,'Solid Mix In Nutrition'!G:G,0))+(($X270 / 100)  * _xlfn.XLOOKUP($J270,'Sweetener Mix In Nutrition'!A:A,'Sweetener Mix In Nutrition'!E:E,0))+(($Y270 / 100)  * _xlfn.XLOOKUP($K270,'Sweetener Mix In Nutrition'!A:A,'Sweetener Mix In Nutrition'!E:E,0))</f>
        <v>0</v>
      </c>
      <c r="AD270" s="36">
        <f>(($R270 / 240) * _xlfn.XLOOKUP($D270,'Milk Types Nutrition Per Cup'!A:A,'Milk Types Nutrition Per Cup'!E:E,0)) +(($S270 / 240)  * _xlfn.XLOOKUP($E270,'Milk Types Nutrition Per Cup'!A:A,'Milk Types Nutrition Per Cup'!E:E,0)) +(($T270 / 15)  * _xlfn.XLOOKUP($F270,'Liquid Mix In Nutrition'!A:A,'Liquid Mix In Nutrition'!E:E,0)) +(($U270 / 15)  * _xlfn.XLOOKUP($G270,'Liquid Mix In Nutrition'!A:A,'Liquid Mix In Nutrition'!E:E,0))+(($X270 / 100)  * _xlfn.XLOOKUP($J270,'Sweetener Mix In Nutrition'!A:A,'Sweetener Mix In Nutrition'!E:E,0))+(($Y270 / 100)  * _xlfn.XLOOKUP($K270,'Sweetener Mix In Nutrition'!A:A,'Sweetener Mix In Nutrition'!E:E,0))</f>
        <v>0</v>
      </c>
      <c r="AE270" s="37">
        <f>(($R270 / 240) * _xlfn.XLOOKUP($D270,'Milk Types Nutrition Per Cup'!A:A,'Milk Types Nutrition Per Cup'!C:C,0)) +(($S270 / 240)  * _xlfn.XLOOKUP($E270,'Milk Types Nutrition Per Cup'!A:A,'Milk Types Nutrition Per Cup'!C:C,0)) +(($T270 / 15)  * _xlfn.XLOOKUP($F270,'Liquid Mix In Nutrition'!A:A,'Liquid Mix In Nutrition'!C:C,0))+(($U270 / 15)  * _xlfn.XLOOKUP($G270,'Liquid Mix In Nutrition'!A:A,'Liquid Mix In Nutrition'!C:C,0))+(($V270 / MAX(1, _xlfn.XLOOKUP($H270,'Solid Mix In Nutrition'!A:A,'Solid Mix In Nutrition'!I:I,1)))  * _xlfn.XLOOKUP($H270,'Solid Mix In Nutrition'!A:A,'Solid Mix In Nutrition'!C:C,0))+(($W270 / MAX(1, _xlfn.XLOOKUP($I270,'Solid Mix In Nutrition'!A:A,'Solid Mix In Nutrition'!I:I,1)))  * _xlfn.XLOOKUP($I270,'Solid Mix In Nutrition'!A:A,'Solid Mix In Nutrition'!C:C,0))+(($X270 / 100)  * _xlfn.XLOOKUP($J270,'Sweetener Mix In Nutrition'!A:A,'Sweetener Mix In Nutrition'!C:C,0))+(($Y270 / 100)  * _xlfn.XLOOKUP($K270,'Sweetener Mix In Nutrition'!A:A,'Sweetener Mix In Nutrition'!C:C,0))</f>
        <v>0</v>
      </c>
      <c r="AF270" s="38" t="e">
        <f>$AE270 / (_xlfn.XLOOKUP($L270,Specs!A:A,Specs!B:B,0))</f>
        <v>#DIV/0!</v>
      </c>
      <c r="AG270" s="37" t="e">
        <f>60* ($AB270 / _xlfn.XLOOKUP($L270,Specs!A:A,Specs!B:B,0))</f>
        <v>#DIV/0!</v>
      </c>
      <c r="AH270" s="37" t="e">
        <f>60* (AC270 / _xlfn.XLOOKUP($L270,Specs!$A:$A,Specs!$B:$B,0))</f>
        <v>#DIV/0!</v>
      </c>
      <c r="AI270" s="37" t="e">
        <f>60* (AE270 / _xlfn.XLOOKUP($L270,Specs!$A:$A,Specs!$B:$B,0))</f>
        <v>#DIV/0!</v>
      </c>
      <c r="AJ270" s="39">
        <f>(($R270 / 240) * _xlfn.XLOOKUP($D270,'Milk Types Nutrition Per Cup'!A:A,'Milk Types Nutrition Per Cup'!F:F,0)) +(($S270 / 240)  * _xlfn.XLOOKUP($E270,'Milk Types Nutrition Per Cup'!A:A,'Milk Types Nutrition Per Cup'!F:F,0)) +(($T270 / 15)  * _xlfn.XLOOKUP($F270,'Liquid Mix In Nutrition'!A:A,'Liquid Mix In Nutrition'!F:F,0))+(($U270 / 15)  * _xlfn.XLOOKUP($G270,'Liquid Mix In Nutrition'!A:A,'Liquid Mix In Nutrition'!F:F,0))+(($V270 / MAX(1, _xlfn.XLOOKUP($H270,'Solid Mix In Nutrition'!A:A,'Solid Mix In Nutrition'!I:I,1)))  * _xlfn.XLOOKUP($H270,'Solid Mix In Nutrition'!A:A,'Solid Mix In Nutrition'!F:F,0))+(($W270 / MAX(1, _xlfn.XLOOKUP($I270,'Solid Mix In Nutrition'!A:A,'Solid Mix In Nutrition'!I:I,1)))  * _xlfn.XLOOKUP($I270,'Solid Mix In Nutrition'!A:A,'Solid Mix In Nutrition'!F:F,0))+(($X270 / 100)  * _xlfn.XLOOKUP($J270,'Sweetener Mix In Nutrition'!A:A,'Sweetener Mix In Nutrition'!F:F,0))+(($Y270 / 100)  * _xlfn.XLOOKUP($K270,'Sweetener Mix In Nutrition'!A:A,'Sweetener Mix In Nutrition'!F:F,0))</f>
        <v>0</v>
      </c>
      <c r="AK270" s="46">
        <f>[2]Sheet1!AG270</f>
        <v>0</v>
      </c>
      <c r="AL270" s="47"/>
      <c r="AM270" s="40">
        <f>IF(ISERROR(((AL270/Specs!$L$3)*Specs!$L$2)*2),0,ROUNDUP((((AL270/Specs!$L$3)*Specs!$L$2)*2),0))</f>
        <v>0</v>
      </c>
      <c r="AN270" s="48">
        <f>ROUNDUP(((AJ270+Specs!$R$2+Specs!$S$2+_xlfn.XLOOKUP($L270,Specs!A:A,Specs!V:V,0))*Specs!$N$2)+AM270,0)</f>
        <v>1</v>
      </c>
      <c r="AO270" s="40">
        <f>ROUNDUP(((AJ270+Specs!$R$2+Specs!$S$2+_xlfn.XLOOKUP($L270,Specs!A:A,Specs!V:V,0))*Specs!$N$2),0)</f>
        <v>1</v>
      </c>
      <c r="AP270" s="30"/>
    </row>
    <row r="271" spans="1:42" x14ac:dyDescent="0.25">
      <c r="A271" s="41" t="str">
        <f>_xlfn.CONCAT(_xlfn.XLOOKUP("What's Your Name?",[1]Sheet1!$1:$1,[1]Sheet1!271:271)," | ",TEXT(_xlfn.XLOOKUP("Completion time",[1]Sheet1!$1:$1,[1]Sheet1!271:271),"dddd, mmm dd, yyyy hh:mm AM/PM"))</f>
        <v xml:space="preserve"> | Saturday, Jan 00, 1900 12:00 AM</v>
      </c>
      <c r="B271" s="76">
        <f>_xlfn.XLOOKUP("What's Your Email Address?",[1]Sheet1!$1:$1,[1]Sheet1!271:271)</f>
        <v>0</v>
      </c>
      <c r="C271" s="31">
        <f>IF(ISBLANK(_xlfn.XLOOKUP("Which Flavor? (Pint Price | Quart Price | Half Gallon Price) (NOTE: Prices may fluctuate based on market conditions)",[1]Sheet1!$1:$1,[1]Sheet1!271:271)),_xlfn.XLOOKUP("Name Your Ice Cream!",[1]Sheet1!$1:$1,[1]Sheet1!271:271),IF(ISNUMBER(FIND("(", _xlfn.XLOOKUP("Which Flavor? (Pint Price | Quart Price | Half Gallon Price) (NOTE: Prices may fluctuate based on market conditions)",[1]Sheet1!$1:$1,[1]Sheet1!271:271))), LEFT(_xlfn.XLOOKUP("Which Flavor? (Pint Price | Quart Price | Half Gallon Price) (NOTE: Prices may fluctuate based on market conditions)",[1]Sheet1!$1:$1,[1]Sheet1!271:271), FIND("(", _xlfn.XLOOKUP("Which Flavor? (Pint Price | Quart Price | Half Gallon Price) (NOTE: Prices may fluctuate based on market conditions)",[1]Sheet1!$1:$1,[1]Sheet1!271:271)) - 1), _xlfn.XLOOKUP("Which Flavor? (Pint Price | Quart Price | Half Gallon Price) (NOTE: Prices may fluctuate based on market conditions)",[1]Sheet1!$1:$1,[1]Sheet1!271:271)))</f>
        <v>0</v>
      </c>
      <c r="D271" s="31">
        <f>IF(COUNTIF('Premade Flavors'!$A:$A, $C271) &gt; 0,IF(ISBLANK(_xlfn.XLOOKUP("What Ice Cream Base Do You Want To Change It To?",[1]Sheet1!$1:$1,[1]Sheet1!271:271)),_xlfn.XLOOKUP($C271,'Premade Flavors'!$A:$A,'Premade Flavors'!B:B),_xlfn.XLOOKUP("What Ice Cream Base Do You Want To Change It To?",[1]Sheet1!$1:$1,[1]Sheet1!271:271)),_xlfn.XLOOKUP(_xlfn.XLOOKUP("What Kind Of Ice Cream Base Do You Want? ",[1]Sheet1!$1:$1,[1]Sheet1!271:271),'Milk Types Nutrition Per Cup'!O:O,'Milk Types Nutrition Per Cup'!P:P,""))</f>
        <v>0</v>
      </c>
      <c r="E271" s="31">
        <f>IF(COUNTIF('Premade Flavors'!$A:$A, $C271) &gt; 0,IF(ISBLANK(_xlfn.XLOOKUP("What Ice Cream Base Do You Want To Change It To?",[1]Sheet1!$1:$1,[1]Sheet1!271:271)),_xlfn.XLOOKUP($C271,'Premade Flavors'!$A:$A,'Premade Flavors'!C:C),_xlfn.XLOOKUP("What Ice Cream Base Do You Want To Change It To?",[1]Sheet1!$1:$1,[1]Sheet1!271:271)),_xlfn.XLOOKUP(_xlfn.XLOOKUP("What Kind Of Ice Cream Base Do You Want? ",[1]Sheet1!$1:$1,[1]Sheet1!271:271),'Milk Types Nutrition Per Cup'!$O:$O,'Milk Types Nutrition Per Cup'!$Q:$Q,""))</f>
        <v>0</v>
      </c>
      <c r="F271" s="31">
        <f>IF(COUNTIF('Premade Flavors'!$A:$A, $C271) &gt; 0,_xlfn.XLOOKUP($C271,'Premade Flavors'!$A:$A,'Premade Flavors'!E:E),_xlfn.XLOOKUP("What's The First Flavor You Want? ",[1]Sheet1!$1:$1,[1]Sheet1!271:271))</f>
        <v>0</v>
      </c>
      <c r="G271" s="31">
        <f>IF(COUNTIF('Premade Flavors'!$A:$A, $C271) &gt; 0,_xlfn.XLOOKUP($C271,'Premade Flavors'!$A:$A,'Premade Flavors'!F:F),_xlfn.XLOOKUP("What's the Second Flavor You Want?",[1]Sheet1!$1:$1,[1]Sheet1!271:271))</f>
        <v>0</v>
      </c>
      <c r="H271" s="31">
        <f>IF(COUNTIF('Premade Flavors'!$A:$A, $C271) &gt; 0,_xlfn.XLOOKUP($C271,'Premade Flavors'!$A:$A,'Premade Flavors'!G:G),_xlfn.XLOOKUP("What's The First Mix In That You Want? ",[1]Sheet1!$1:$1,[1]Sheet1!271:271))</f>
        <v>0</v>
      </c>
      <c r="I271" s="31">
        <f>IF(COUNTIF('Premade Flavors'!$A:$A, $C269) &gt; 0,_xlfn.XLOOKUP($C269,'Premade Flavors'!$A:$A,'Premade Flavors'!H:H),IF([2]Sheet1!W269= 0,,[2]Sheet1!W269))</f>
        <v>0</v>
      </c>
      <c r="J271" s="31">
        <f>IF(COUNTIF('Premade Flavors'!$A:$A,$C271)&gt;0,IF(_xlfn.XLOOKUP("Should It Use Sugar or A Non-Sugar Sweetner?",[1]Sheet1!$1:$1,[1]Sheet1!271:271)="Sugar",_xlfn.XLOOKUP($C271,'Premade Flavors'!$A:$A,'Premade Flavors'!I:I),"Stevia"),_xlfn.XLOOKUP("What Sweetner Do You Want?",[1]Sheet1!$1:$1,[1]Sheet1!271:271))</f>
        <v>0</v>
      </c>
      <c r="K271" s="31"/>
      <c r="L271" s="77">
        <f>_xlfn.XLOOKUP("How Much Ice Cream Do You Want?",[1]Sheet1!$1:$1,[1]Sheet1!271:271)</f>
        <v>0</v>
      </c>
      <c r="M271" s="45">
        <f>IF(COUNTIF('Premade Flavors'!$A:$A, $C271) &gt; 0,_xlfn.XLOOKUP($C271,'Premade Flavors'!$A:$A,'Premade Flavors'!M:M),_xlfn.XLOOKUP("How Strong Do You Want The First Flavor?",[1]Sheet1!$1:$1,[1]Sheet1!271:271))</f>
        <v>0</v>
      </c>
      <c r="N271" s="45">
        <f>IF(COUNTIF('Premade Flavors'!$A:$A, $C271) &gt; 0,_xlfn.XLOOKUP($C271,'Premade Flavors'!$A:$A,'Premade Flavors'!N:N),_xlfn.XLOOKUP("How Strong Do You Want The Second Flavor?",[1]Sheet1!$1:$1,[1]Sheet1!271:271))</f>
        <v>0</v>
      </c>
      <c r="O271" s="45">
        <f>IF(COUNTIF('Premade Flavors'!$A:$A, $C271) &gt; 0,_xlfn.XLOOKUP($C271,'Premade Flavors'!$A:$A,'Premade Flavors'!O:O),_xlfn.XLOOKUP("How Dense Should the Mix Ins Be?",[1]Sheet1!$1:$1,[1]Sheet1!271:271))</f>
        <v>0</v>
      </c>
      <c r="P271" s="45">
        <f>IF(COUNTIF('Premade Flavors'!$A:$A, $C271) &gt; 0,_xlfn.XLOOKUP($C271,'Premade Flavors'!$A:$A,'Premade Flavors'!P:P),_xlfn.XLOOKUP("How Much Of The First Sweetner? ",[1]Sheet1!$1:$1,[1]Sheet1!271:271))</f>
        <v>0</v>
      </c>
      <c r="Q271" s="45">
        <f>IF(COUNTIF('Premade Flavors'!$A:$A, $C271) &gt; 0,_xlfn.XLOOKUP($C271,'Premade Flavors'!$A:$A,'Premade Flavors'!Q:Q),[2]Sheet1!S271)</f>
        <v>0</v>
      </c>
      <c r="R271" s="30">
        <f>(_xlfn.XLOOKUP($L271,Specs!A:A,Specs!B:B,0)-(IF(_xlfn.XLOOKUP($F271,'Liquid Mix In Nutrition'!A:A,'Liquid Mix In Nutrition'!J:J,0)="Yes",0,$T271))-(IF(_xlfn.XLOOKUP($G271,'Liquid Mix In Nutrition'!A:A,'Liquid Mix In Nutrition'!J:J,0)="Yes",0,$U271))-(($V271/MAX(1,_xlfn.XLOOKUP($H271,'Solid Mix In Nutrition'!A:A,'Solid Mix In Nutrition'!I:I,1)))*240)-(($W271/MAX(1,_xlfn.XLOOKUP($I271,'Solid Mix In Nutrition'!A:A,'Solid Mix In Nutrition'!I:I,1)))*240))*0.66</f>
        <v>0</v>
      </c>
      <c r="S271" s="30">
        <f>(_xlfn.XLOOKUP($L271,Specs!A:A,Specs!B:B,0)-(IF(_xlfn.XLOOKUP($F271,'Liquid Mix In Nutrition'!A:A,'Liquid Mix In Nutrition'!J:J,0)="Yes",0,$T271))-(IF(_xlfn.XLOOKUP($G271,'Liquid Mix In Nutrition'!A:A,'Liquid Mix In Nutrition'!J:J,0)="Yes",0,$U271))-(($V271/MAX(1,_xlfn.XLOOKUP($H271,'Solid Mix In Nutrition'!A:A,'Solid Mix In Nutrition'!I:I,1)))*240)-(($W271/MAX(1,_xlfn.XLOOKUP($I271,'Solid Mix In Nutrition'!A:A,'Solid Mix In Nutrition'!I:I,1)))*240))*0.33</f>
        <v>0</v>
      </c>
      <c r="T271" s="30">
        <f>_xlfn.XLOOKUP($M271,Specs!$D:$D,Specs!$E:$E,0)*15*_xlfn.XLOOKUP($L271,Specs!$A:$A,Specs!$C:$C,0)</f>
        <v>0</v>
      </c>
      <c r="U271" s="30">
        <f>_xlfn.XLOOKUP($N271,Specs!$D:$D,Specs!$E:$E,0)*15*_xlfn.XLOOKUP($L271,Specs!$A:$A,Specs!$C:$C,0)</f>
        <v>0</v>
      </c>
      <c r="V271" s="30">
        <f>( ((_xlfn.XLOOKUP($O271,Specs!$H:$H,Specs!$I:$I,0)*_xlfn.XLOOKUP($L271,Specs!$A:$A,Specs!$B:$B,0))/240) *_xlfn.XLOOKUP($H271,'Solid Mix In Nutrition'!A:A,'Solid Mix In Nutrition'!I:I,0)) *IF(AND(NOT($I271=0), COUNTA($I271)),0.5,1)</f>
        <v>0</v>
      </c>
      <c r="W271" s="30">
        <f>( ((_xlfn.XLOOKUP($O271,Specs!$H:$H,Specs!$I:$I,0)*_xlfn.XLOOKUP($L271,Specs!$A:$A,Specs!$B:$B,0))/240) *_xlfn.XLOOKUP($I271,'Solid Mix In Nutrition'!A:A,'Solid Mix In Nutrition'!I:I,0)) *IF(AND(NOT($I271=0), COUNTA($I271)),0.5,0)</f>
        <v>0</v>
      </c>
      <c r="X271" s="30">
        <f>_xlfn.XLOOKUP($P271,Specs!F:F,Specs!G:G,0)*_xlfn.XLOOKUP($J271,'Sweetener Mix In Nutrition'!A:A,'Sweetener Mix In Nutrition'!I:I,0)*_xlfn.XLOOKUP($L271,Specs!A:A,Specs!C:C,0)</f>
        <v>0</v>
      </c>
      <c r="Y271" s="30">
        <f>_xlfn.XLOOKUP($Q271,Specs!F:F,Specs!G:G,0)*_xlfn.XLOOKUP($K271,'Sweetener Mix In Nutrition'!A:A,'Sweetener Mix In Nutrition'!I:I,0)*_xlfn.XLOOKUP($L271,Specs!A:A,Specs!C:C,0)</f>
        <v>0</v>
      </c>
      <c r="Z271" s="34">
        <f t="shared" si="8"/>
        <v>0</v>
      </c>
      <c r="AA271" s="35">
        <f t="shared" si="9"/>
        <v>0</v>
      </c>
      <c r="AB271" s="36">
        <f>(($R271 / 240) * _xlfn.XLOOKUP($D271,'Milk Types Nutrition Per Cup'!A:A,'Milk Types Nutrition Per Cup'!B:B,0)) +(($S271 / 240)  * _xlfn.XLOOKUP($E271,'Milk Types Nutrition Per Cup'!A:A,'Milk Types Nutrition Per Cup'!B:B,0)) +(($T271 / 15)  * _xlfn.XLOOKUP($F271,'Liquid Mix In Nutrition'!A:A,'Liquid Mix In Nutrition'!B:B,0))+(($U271 / 15)  * _xlfn.XLOOKUP($G271,'Liquid Mix In Nutrition'!A:A,'Liquid Mix In Nutrition'!B:B,0))+(($V271 /MAX(1, _xlfn.XLOOKUP($H271,'Solid Mix In Nutrition'!A:A,'Solid Mix In Nutrition'!I:I,1)))  * _xlfn.XLOOKUP($H271,'Solid Mix In Nutrition'!A:A,'Solid Mix In Nutrition'!B:B,0))+(($W271 / MAX(1, _xlfn.XLOOKUP($I271,'Solid Mix In Nutrition'!A:A,'Solid Mix In Nutrition'!I:I,1))))+(($X271 / 100)  * _xlfn.XLOOKUP($J271,'Sweetener Mix In Nutrition'!A:A,'Sweetener Mix In Nutrition'!B:B,0))+(($Y271 / 100)  * _xlfn.XLOOKUP($K271,'Sweetener Mix In Nutrition'!A:A,'Sweetener Mix In Nutrition'!B:B,0))</f>
        <v>0</v>
      </c>
      <c r="AC271" s="36">
        <f>(($R271 / 240) * _xlfn.XLOOKUP($D271,'Milk Types Nutrition Per Cup'!A:A,'Milk Types Nutrition Per Cup'!E:E,0)) +(($S271 / 240)  * _xlfn.XLOOKUP($E271,'Milk Types Nutrition Per Cup'!A:A,'Milk Types Nutrition Per Cup'!E:E,0)) +(($T271 / 15)  * _xlfn.XLOOKUP($F271,'Liquid Mix In Nutrition'!A:A,'Liquid Mix In Nutrition'!E:E,0)) +(($U271 / 15)  * _xlfn.XLOOKUP($G271,'Liquid Mix In Nutrition'!A:A,'Liquid Mix In Nutrition'!E:E,0))+(($V271 / MAX(1, _xlfn.XLOOKUP($H271,'Solid Mix In Nutrition'!A:A,'Solid Mix In Nutrition'!I:I,1)))  * _xlfn.XLOOKUP($H271,'Solid Mix In Nutrition'!A:A,'Solid Mix In Nutrition'!E:E,0))+(($W271 / MAX(1, _xlfn.XLOOKUP($I271,'Solid Mix In Nutrition'!A:A,'Solid Mix In Nutrition'!I:I,1)))  * _xlfn.XLOOKUP($I271,'Solid Mix In Nutrition'!A:A,'Solid Mix In Nutrition'!G:G,0))+(($X271 / 100)  * _xlfn.XLOOKUP($J271,'Sweetener Mix In Nutrition'!A:A,'Sweetener Mix In Nutrition'!E:E,0))+(($Y271 / 100)  * _xlfn.XLOOKUP($K271,'Sweetener Mix In Nutrition'!A:A,'Sweetener Mix In Nutrition'!E:E,0))</f>
        <v>0</v>
      </c>
      <c r="AD271" s="36">
        <f>(($R271 / 240) * _xlfn.XLOOKUP($D271,'Milk Types Nutrition Per Cup'!A:A,'Milk Types Nutrition Per Cup'!E:E,0)) +(($S271 / 240)  * _xlfn.XLOOKUP($E271,'Milk Types Nutrition Per Cup'!A:A,'Milk Types Nutrition Per Cup'!E:E,0)) +(($T271 / 15)  * _xlfn.XLOOKUP($F271,'Liquid Mix In Nutrition'!A:A,'Liquid Mix In Nutrition'!E:E,0)) +(($U271 / 15)  * _xlfn.XLOOKUP($G271,'Liquid Mix In Nutrition'!A:A,'Liquid Mix In Nutrition'!E:E,0))+(($X271 / 100)  * _xlfn.XLOOKUP($J271,'Sweetener Mix In Nutrition'!A:A,'Sweetener Mix In Nutrition'!E:E,0))+(($Y271 / 100)  * _xlfn.XLOOKUP($K271,'Sweetener Mix In Nutrition'!A:A,'Sweetener Mix In Nutrition'!E:E,0))</f>
        <v>0</v>
      </c>
      <c r="AE271" s="37">
        <f>(($R271 / 240) * _xlfn.XLOOKUP($D271,'Milk Types Nutrition Per Cup'!A:A,'Milk Types Nutrition Per Cup'!C:C,0)) +(($S271 / 240)  * _xlfn.XLOOKUP($E271,'Milk Types Nutrition Per Cup'!A:A,'Milk Types Nutrition Per Cup'!C:C,0)) +(($T271 / 15)  * _xlfn.XLOOKUP($F271,'Liquid Mix In Nutrition'!A:A,'Liquid Mix In Nutrition'!C:C,0))+(($U271 / 15)  * _xlfn.XLOOKUP($G271,'Liquid Mix In Nutrition'!A:A,'Liquid Mix In Nutrition'!C:C,0))+(($V271 / MAX(1, _xlfn.XLOOKUP($H271,'Solid Mix In Nutrition'!A:A,'Solid Mix In Nutrition'!I:I,1)))  * _xlfn.XLOOKUP($H271,'Solid Mix In Nutrition'!A:A,'Solid Mix In Nutrition'!C:C,0))+(($W271 / MAX(1, _xlfn.XLOOKUP($I271,'Solid Mix In Nutrition'!A:A,'Solid Mix In Nutrition'!I:I,1)))  * _xlfn.XLOOKUP($I271,'Solid Mix In Nutrition'!A:A,'Solid Mix In Nutrition'!C:C,0))+(($X271 / 100)  * _xlfn.XLOOKUP($J271,'Sweetener Mix In Nutrition'!A:A,'Sweetener Mix In Nutrition'!C:C,0))+(($Y271 / 100)  * _xlfn.XLOOKUP($K271,'Sweetener Mix In Nutrition'!A:A,'Sweetener Mix In Nutrition'!C:C,0))</f>
        <v>0</v>
      </c>
      <c r="AF271" s="38" t="e">
        <f>$AE271 / (_xlfn.XLOOKUP($L271,Specs!A:A,Specs!B:B,0))</f>
        <v>#DIV/0!</v>
      </c>
      <c r="AG271" s="37" t="e">
        <f>60* ($AB271 / _xlfn.XLOOKUP($L271,Specs!A:A,Specs!B:B,0))</f>
        <v>#DIV/0!</v>
      </c>
      <c r="AH271" s="37" t="e">
        <f>60* (AC271 / _xlfn.XLOOKUP($L271,Specs!$A:$A,Specs!$B:$B,0))</f>
        <v>#DIV/0!</v>
      </c>
      <c r="AI271" s="37" t="e">
        <f>60* (AE271 / _xlfn.XLOOKUP($L271,Specs!$A:$A,Specs!$B:$B,0))</f>
        <v>#DIV/0!</v>
      </c>
      <c r="AJ271" s="39">
        <f>(($R271 / 240) * _xlfn.XLOOKUP($D271,'Milk Types Nutrition Per Cup'!A:A,'Milk Types Nutrition Per Cup'!F:F,0)) +(($S271 / 240)  * _xlfn.XLOOKUP($E271,'Milk Types Nutrition Per Cup'!A:A,'Milk Types Nutrition Per Cup'!F:F,0)) +(($T271 / 15)  * _xlfn.XLOOKUP($F271,'Liquid Mix In Nutrition'!A:A,'Liquid Mix In Nutrition'!F:F,0))+(($U271 / 15)  * _xlfn.XLOOKUP($G271,'Liquid Mix In Nutrition'!A:A,'Liquid Mix In Nutrition'!F:F,0))+(($V271 / MAX(1, _xlfn.XLOOKUP($H271,'Solid Mix In Nutrition'!A:A,'Solid Mix In Nutrition'!I:I,1)))  * _xlfn.XLOOKUP($H271,'Solid Mix In Nutrition'!A:A,'Solid Mix In Nutrition'!F:F,0))+(($W271 / MAX(1, _xlfn.XLOOKUP($I271,'Solid Mix In Nutrition'!A:A,'Solid Mix In Nutrition'!I:I,1)))  * _xlfn.XLOOKUP($I271,'Solid Mix In Nutrition'!A:A,'Solid Mix In Nutrition'!F:F,0))+(($X271 / 100)  * _xlfn.XLOOKUP($J271,'Sweetener Mix In Nutrition'!A:A,'Sweetener Mix In Nutrition'!F:F,0))+(($Y271 / 100)  * _xlfn.XLOOKUP($K271,'Sweetener Mix In Nutrition'!A:A,'Sweetener Mix In Nutrition'!F:F,0))</f>
        <v>0</v>
      </c>
      <c r="AK271" s="46">
        <f>[2]Sheet1!AG271</f>
        <v>0</v>
      </c>
      <c r="AL271" s="47"/>
      <c r="AM271" s="40">
        <f>IF(ISERROR(((AL271/Specs!$L$3)*Specs!$L$2)*2),0,ROUNDUP((((AL271/Specs!$L$3)*Specs!$L$2)*2),0))</f>
        <v>0</v>
      </c>
      <c r="AN271" s="48">
        <f>ROUNDUP(((AJ271+Specs!$R$2+Specs!$S$2+_xlfn.XLOOKUP($L271,Specs!A:A,Specs!V:V,0))*Specs!$N$2)+AM271,0)</f>
        <v>1</v>
      </c>
      <c r="AO271" s="40">
        <f>ROUNDUP(((AJ271+Specs!$R$2+Specs!$S$2+_xlfn.XLOOKUP($L271,Specs!A:A,Specs!V:V,0))*Specs!$N$2),0)</f>
        <v>1</v>
      </c>
      <c r="AP271" s="30"/>
    </row>
    <row r="272" spans="1:42" x14ac:dyDescent="0.25">
      <c r="A272" s="41" t="str">
        <f>_xlfn.CONCAT(_xlfn.XLOOKUP("What's Your Name?",[1]Sheet1!$1:$1,[1]Sheet1!272:272)," | ",TEXT(_xlfn.XLOOKUP("Completion time",[1]Sheet1!$1:$1,[1]Sheet1!272:272),"dddd, mmm dd, yyyy hh:mm AM/PM"))</f>
        <v xml:space="preserve"> | Saturday, Jan 00, 1900 12:00 AM</v>
      </c>
      <c r="B272" s="76">
        <f>_xlfn.XLOOKUP("What's Your Email Address?",[1]Sheet1!$1:$1,[1]Sheet1!272:272)</f>
        <v>0</v>
      </c>
      <c r="C272" s="31">
        <f>IF(ISBLANK(_xlfn.XLOOKUP("Which Flavor? (Pint Price | Quart Price | Half Gallon Price) (NOTE: Prices may fluctuate based on market conditions)",[1]Sheet1!$1:$1,[1]Sheet1!272:272)),_xlfn.XLOOKUP("Name Your Ice Cream!",[1]Sheet1!$1:$1,[1]Sheet1!272:272),IF(ISNUMBER(FIND("(", _xlfn.XLOOKUP("Which Flavor? (Pint Price | Quart Price | Half Gallon Price) (NOTE: Prices may fluctuate based on market conditions)",[1]Sheet1!$1:$1,[1]Sheet1!272:272))), LEFT(_xlfn.XLOOKUP("Which Flavor? (Pint Price | Quart Price | Half Gallon Price) (NOTE: Prices may fluctuate based on market conditions)",[1]Sheet1!$1:$1,[1]Sheet1!272:272), FIND("(", _xlfn.XLOOKUP("Which Flavor? (Pint Price | Quart Price | Half Gallon Price) (NOTE: Prices may fluctuate based on market conditions)",[1]Sheet1!$1:$1,[1]Sheet1!272:272)) - 1), _xlfn.XLOOKUP("Which Flavor? (Pint Price | Quart Price | Half Gallon Price) (NOTE: Prices may fluctuate based on market conditions)",[1]Sheet1!$1:$1,[1]Sheet1!272:272)))</f>
        <v>0</v>
      </c>
      <c r="D272" s="31">
        <f>IF(COUNTIF('Premade Flavors'!$A:$A, $C272) &gt; 0,IF(ISBLANK(_xlfn.XLOOKUP("What Ice Cream Base Do You Want To Change It To?",[1]Sheet1!$1:$1,[1]Sheet1!272:272)),_xlfn.XLOOKUP($C272,'Premade Flavors'!$A:$A,'Premade Flavors'!B:B),_xlfn.XLOOKUP("What Ice Cream Base Do You Want To Change It To?",[1]Sheet1!$1:$1,[1]Sheet1!272:272)),_xlfn.XLOOKUP(_xlfn.XLOOKUP("What Kind Of Ice Cream Base Do You Want? ",[1]Sheet1!$1:$1,[1]Sheet1!272:272),'Milk Types Nutrition Per Cup'!O:O,'Milk Types Nutrition Per Cup'!P:P,""))</f>
        <v>0</v>
      </c>
      <c r="E272" s="31">
        <f>IF(COUNTIF('Premade Flavors'!$A:$A, $C272) &gt; 0,IF(ISBLANK(_xlfn.XLOOKUP("What Ice Cream Base Do You Want To Change It To?",[1]Sheet1!$1:$1,[1]Sheet1!272:272)),_xlfn.XLOOKUP($C272,'Premade Flavors'!$A:$A,'Premade Flavors'!C:C),_xlfn.XLOOKUP("What Ice Cream Base Do You Want To Change It To?",[1]Sheet1!$1:$1,[1]Sheet1!272:272)),_xlfn.XLOOKUP(_xlfn.XLOOKUP("What Kind Of Ice Cream Base Do You Want? ",[1]Sheet1!$1:$1,[1]Sheet1!272:272),'Milk Types Nutrition Per Cup'!$O:$O,'Milk Types Nutrition Per Cup'!$Q:$Q,""))</f>
        <v>0</v>
      </c>
      <c r="F272" s="31">
        <f>IF(COUNTIF('Premade Flavors'!$A:$A, $C272) &gt; 0,_xlfn.XLOOKUP($C272,'Premade Flavors'!$A:$A,'Premade Flavors'!E:E),_xlfn.XLOOKUP("What's The First Flavor You Want? ",[1]Sheet1!$1:$1,[1]Sheet1!272:272))</f>
        <v>0</v>
      </c>
      <c r="G272" s="31">
        <f>IF(COUNTIF('Premade Flavors'!$A:$A, $C272) &gt; 0,_xlfn.XLOOKUP($C272,'Premade Flavors'!$A:$A,'Premade Flavors'!F:F),_xlfn.XLOOKUP("What's the Second Flavor You Want?",[1]Sheet1!$1:$1,[1]Sheet1!272:272))</f>
        <v>0</v>
      </c>
      <c r="H272" s="31">
        <f>IF(COUNTIF('Premade Flavors'!$A:$A, $C272) &gt; 0,_xlfn.XLOOKUP($C272,'Premade Flavors'!$A:$A,'Premade Flavors'!G:G),_xlfn.XLOOKUP("What's The First Mix In That You Want? ",[1]Sheet1!$1:$1,[1]Sheet1!272:272))</f>
        <v>0</v>
      </c>
      <c r="I272" s="31">
        <f>IF(COUNTIF('Premade Flavors'!$A:$A, $C270) &gt; 0,_xlfn.XLOOKUP($C270,'Premade Flavors'!$A:$A,'Premade Flavors'!H:H),IF([2]Sheet1!W270= 0,,[2]Sheet1!W270))</f>
        <v>0</v>
      </c>
      <c r="J272" s="31">
        <f>IF(COUNTIF('Premade Flavors'!$A:$A,$C272)&gt;0,IF(_xlfn.XLOOKUP("Should It Use Sugar or A Non-Sugar Sweetner?",[1]Sheet1!$1:$1,[1]Sheet1!272:272)="Sugar",_xlfn.XLOOKUP($C272,'Premade Flavors'!$A:$A,'Premade Flavors'!I:I),"Stevia"),_xlfn.XLOOKUP("What Sweetner Do You Want?",[1]Sheet1!$1:$1,[1]Sheet1!272:272))</f>
        <v>0</v>
      </c>
      <c r="K272" s="31"/>
      <c r="L272" s="77">
        <f>_xlfn.XLOOKUP("How Much Ice Cream Do You Want?",[1]Sheet1!$1:$1,[1]Sheet1!272:272)</f>
        <v>0</v>
      </c>
      <c r="M272" s="45">
        <f>IF(COUNTIF('Premade Flavors'!$A:$A, $C272) &gt; 0,_xlfn.XLOOKUP($C272,'Premade Flavors'!$A:$A,'Premade Flavors'!M:M),_xlfn.XLOOKUP("How Strong Do You Want The First Flavor?",[1]Sheet1!$1:$1,[1]Sheet1!272:272))</f>
        <v>0</v>
      </c>
      <c r="N272" s="45">
        <f>IF(COUNTIF('Premade Flavors'!$A:$A, $C272) &gt; 0,_xlfn.XLOOKUP($C272,'Premade Flavors'!$A:$A,'Premade Flavors'!N:N),_xlfn.XLOOKUP("How Strong Do You Want The Second Flavor?",[1]Sheet1!$1:$1,[1]Sheet1!272:272))</f>
        <v>0</v>
      </c>
      <c r="O272" s="45">
        <f>IF(COUNTIF('Premade Flavors'!$A:$A, $C272) &gt; 0,_xlfn.XLOOKUP($C272,'Premade Flavors'!$A:$A,'Premade Flavors'!O:O),_xlfn.XLOOKUP("How Dense Should the Mix Ins Be?",[1]Sheet1!$1:$1,[1]Sheet1!272:272))</f>
        <v>0</v>
      </c>
      <c r="P272" s="45">
        <f>IF(COUNTIF('Premade Flavors'!$A:$A, $C272) &gt; 0,_xlfn.XLOOKUP($C272,'Premade Flavors'!$A:$A,'Premade Flavors'!P:P),_xlfn.XLOOKUP("How Much Of The First Sweetner? ",[1]Sheet1!$1:$1,[1]Sheet1!272:272))</f>
        <v>0</v>
      </c>
      <c r="Q272" s="45">
        <f>IF(COUNTIF('Premade Flavors'!$A:$A, $C272) &gt; 0,_xlfn.XLOOKUP($C272,'Premade Flavors'!$A:$A,'Premade Flavors'!Q:Q),[2]Sheet1!S272)</f>
        <v>0</v>
      </c>
      <c r="R272" s="30">
        <f>(_xlfn.XLOOKUP($L272,Specs!A:A,Specs!B:B,0)-(IF(_xlfn.XLOOKUP($F272,'Liquid Mix In Nutrition'!A:A,'Liquid Mix In Nutrition'!J:J,0)="Yes",0,$T272))-(IF(_xlfn.XLOOKUP($G272,'Liquid Mix In Nutrition'!A:A,'Liquid Mix In Nutrition'!J:J,0)="Yes",0,$U272))-(($V272/MAX(1,_xlfn.XLOOKUP($H272,'Solid Mix In Nutrition'!A:A,'Solid Mix In Nutrition'!I:I,1)))*240)-(($W272/MAX(1,_xlfn.XLOOKUP($I272,'Solid Mix In Nutrition'!A:A,'Solid Mix In Nutrition'!I:I,1)))*240))*0.66</f>
        <v>0</v>
      </c>
      <c r="S272" s="30">
        <f>(_xlfn.XLOOKUP($L272,Specs!A:A,Specs!B:B,0)-(IF(_xlfn.XLOOKUP($F272,'Liquid Mix In Nutrition'!A:A,'Liquid Mix In Nutrition'!J:J,0)="Yes",0,$T272))-(IF(_xlfn.XLOOKUP($G272,'Liquid Mix In Nutrition'!A:A,'Liquid Mix In Nutrition'!J:J,0)="Yes",0,$U272))-(($V272/MAX(1,_xlfn.XLOOKUP($H272,'Solid Mix In Nutrition'!A:A,'Solid Mix In Nutrition'!I:I,1)))*240)-(($W272/MAX(1,_xlfn.XLOOKUP($I272,'Solid Mix In Nutrition'!A:A,'Solid Mix In Nutrition'!I:I,1)))*240))*0.33</f>
        <v>0</v>
      </c>
      <c r="T272" s="30">
        <f>_xlfn.XLOOKUP($M272,Specs!$D:$D,Specs!$E:$E,0)*15*_xlfn.XLOOKUP($L272,Specs!$A:$A,Specs!$C:$C,0)</f>
        <v>0</v>
      </c>
      <c r="U272" s="30">
        <f>_xlfn.XLOOKUP($N272,Specs!$D:$D,Specs!$E:$E,0)*15*_xlfn.XLOOKUP($L272,Specs!$A:$A,Specs!$C:$C,0)</f>
        <v>0</v>
      </c>
      <c r="V272" s="30">
        <f>( ((_xlfn.XLOOKUP($O272,Specs!$H:$H,Specs!$I:$I,0)*_xlfn.XLOOKUP($L272,Specs!$A:$A,Specs!$B:$B,0))/240) *_xlfn.XLOOKUP($H272,'Solid Mix In Nutrition'!A:A,'Solid Mix In Nutrition'!I:I,0)) *IF(AND(NOT($I272=0), COUNTA($I272)),0.5,1)</f>
        <v>0</v>
      </c>
      <c r="W272" s="30">
        <f>( ((_xlfn.XLOOKUP($O272,Specs!$H:$H,Specs!$I:$I,0)*_xlfn.XLOOKUP($L272,Specs!$A:$A,Specs!$B:$B,0))/240) *_xlfn.XLOOKUP($I272,'Solid Mix In Nutrition'!A:A,'Solid Mix In Nutrition'!I:I,0)) *IF(AND(NOT($I272=0), COUNTA($I272)),0.5,0)</f>
        <v>0</v>
      </c>
      <c r="X272" s="30">
        <f>_xlfn.XLOOKUP($P272,Specs!F:F,Specs!G:G,0)*_xlfn.XLOOKUP($J272,'Sweetener Mix In Nutrition'!A:A,'Sweetener Mix In Nutrition'!I:I,0)*_xlfn.XLOOKUP($L272,Specs!A:A,Specs!C:C,0)</f>
        <v>0</v>
      </c>
      <c r="Y272" s="30">
        <f>_xlfn.XLOOKUP($Q272,Specs!F:F,Specs!G:G,0)*_xlfn.XLOOKUP($K272,'Sweetener Mix In Nutrition'!A:A,'Sweetener Mix In Nutrition'!I:I,0)*_xlfn.XLOOKUP($L272,Specs!A:A,Specs!C:C,0)</f>
        <v>0</v>
      </c>
      <c r="Z272" s="34">
        <f t="shared" si="8"/>
        <v>0</v>
      </c>
      <c r="AA272" s="35">
        <f t="shared" si="9"/>
        <v>0</v>
      </c>
      <c r="AB272" s="36">
        <f>(($R272 / 240) * _xlfn.XLOOKUP($D272,'Milk Types Nutrition Per Cup'!A:A,'Milk Types Nutrition Per Cup'!B:B,0)) +(($S272 / 240)  * _xlfn.XLOOKUP($E272,'Milk Types Nutrition Per Cup'!A:A,'Milk Types Nutrition Per Cup'!B:B,0)) +(($T272 / 15)  * _xlfn.XLOOKUP($F272,'Liquid Mix In Nutrition'!A:A,'Liquid Mix In Nutrition'!B:B,0))+(($U272 / 15)  * _xlfn.XLOOKUP($G272,'Liquid Mix In Nutrition'!A:A,'Liquid Mix In Nutrition'!B:B,0))+(($V272 /MAX(1, _xlfn.XLOOKUP($H272,'Solid Mix In Nutrition'!A:A,'Solid Mix In Nutrition'!I:I,1)))  * _xlfn.XLOOKUP($H272,'Solid Mix In Nutrition'!A:A,'Solid Mix In Nutrition'!B:B,0))+(($W272 / MAX(1, _xlfn.XLOOKUP($I272,'Solid Mix In Nutrition'!A:A,'Solid Mix In Nutrition'!I:I,1))))+(($X272 / 100)  * _xlfn.XLOOKUP($J272,'Sweetener Mix In Nutrition'!A:A,'Sweetener Mix In Nutrition'!B:B,0))+(($Y272 / 100)  * _xlfn.XLOOKUP($K272,'Sweetener Mix In Nutrition'!A:A,'Sweetener Mix In Nutrition'!B:B,0))</f>
        <v>0</v>
      </c>
      <c r="AC272" s="36">
        <f>(($R272 / 240) * _xlfn.XLOOKUP($D272,'Milk Types Nutrition Per Cup'!A:A,'Milk Types Nutrition Per Cup'!E:E,0)) +(($S272 / 240)  * _xlfn.XLOOKUP($E272,'Milk Types Nutrition Per Cup'!A:A,'Milk Types Nutrition Per Cup'!E:E,0)) +(($T272 / 15)  * _xlfn.XLOOKUP($F272,'Liquid Mix In Nutrition'!A:A,'Liquid Mix In Nutrition'!E:E,0)) +(($U272 / 15)  * _xlfn.XLOOKUP($G272,'Liquid Mix In Nutrition'!A:A,'Liquid Mix In Nutrition'!E:E,0))+(($V272 / MAX(1, _xlfn.XLOOKUP($H272,'Solid Mix In Nutrition'!A:A,'Solid Mix In Nutrition'!I:I,1)))  * _xlfn.XLOOKUP($H272,'Solid Mix In Nutrition'!A:A,'Solid Mix In Nutrition'!E:E,0))+(($W272 / MAX(1, _xlfn.XLOOKUP($I272,'Solid Mix In Nutrition'!A:A,'Solid Mix In Nutrition'!I:I,1)))  * _xlfn.XLOOKUP($I272,'Solid Mix In Nutrition'!A:A,'Solid Mix In Nutrition'!G:G,0))+(($X272 / 100)  * _xlfn.XLOOKUP($J272,'Sweetener Mix In Nutrition'!A:A,'Sweetener Mix In Nutrition'!E:E,0))+(($Y272 / 100)  * _xlfn.XLOOKUP($K272,'Sweetener Mix In Nutrition'!A:A,'Sweetener Mix In Nutrition'!E:E,0))</f>
        <v>0</v>
      </c>
      <c r="AD272" s="36">
        <f>(($R272 / 240) * _xlfn.XLOOKUP($D272,'Milk Types Nutrition Per Cup'!A:A,'Milk Types Nutrition Per Cup'!E:E,0)) +(($S272 / 240)  * _xlfn.XLOOKUP($E272,'Milk Types Nutrition Per Cup'!A:A,'Milk Types Nutrition Per Cup'!E:E,0)) +(($T272 / 15)  * _xlfn.XLOOKUP($F272,'Liquid Mix In Nutrition'!A:A,'Liquid Mix In Nutrition'!E:E,0)) +(($U272 / 15)  * _xlfn.XLOOKUP($G272,'Liquid Mix In Nutrition'!A:A,'Liquid Mix In Nutrition'!E:E,0))+(($X272 / 100)  * _xlfn.XLOOKUP($J272,'Sweetener Mix In Nutrition'!A:A,'Sweetener Mix In Nutrition'!E:E,0))+(($Y272 / 100)  * _xlfn.XLOOKUP($K272,'Sweetener Mix In Nutrition'!A:A,'Sweetener Mix In Nutrition'!E:E,0))</f>
        <v>0</v>
      </c>
      <c r="AE272" s="37">
        <f>(($R272 / 240) * _xlfn.XLOOKUP($D272,'Milk Types Nutrition Per Cup'!A:A,'Milk Types Nutrition Per Cup'!C:C,0)) +(($S272 / 240)  * _xlfn.XLOOKUP($E272,'Milk Types Nutrition Per Cup'!A:A,'Milk Types Nutrition Per Cup'!C:C,0)) +(($T272 / 15)  * _xlfn.XLOOKUP($F272,'Liquid Mix In Nutrition'!A:A,'Liquid Mix In Nutrition'!C:C,0))+(($U272 / 15)  * _xlfn.XLOOKUP($G272,'Liquid Mix In Nutrition'!A:A,'Liquid Mix In Nutrition'!C:C,0))+(($V272 / MAX(1, _xlfn.XLOOKUP($H272,'Solid Mix In Nutrition'!A:A,'Solid Mix In Nutrition'!I:I,1)))  * _xlfn.XLOOKUP($H272,'Solid Mix In Nutrition'!A:A,'Solid Mix In Nutrition'!C:C,0))+(($W272 / MAX(1, _xlfn.XLOOKUP($I272,'Solid Mix In Nutrition'!A:A,'Solid Mix In Nutrition'!I:I,1)))  * _xlfn.XLOOKUP($I272,'Solid Mix In Nutrition'!A:A,'Solid Mix In Nutrition'!C:C,0))+(($X272 / 100)  * _xlfn.XLOOKUP($J272,'Sweetener Mix In Nutrition'!A:A,'Sweetener Mix In Nutrition'!C:C,0))+(($Y272 / 100)  * _xlfn.XLOOKUP($K272,'Sweetener Mix In Nutrition'!A:A,'Sweetener Mix In Nutrition'!C:C,0))</f>
        <v>0</v>
      </c>
      <c r="AF272" s="38" t="e">
        <f>$AE272 / (_xlfn.XLOOKUP($L272,Specs!A:A,Specs!B:B,0))</f>
        <v>#DIV/0!</v>
      </c>
      <c r="AG272" s="37" t="e">
        <f>60* ($AB272 / _xlfn.XLOOKUP($L272,Specs!A:A,Specs!B:B,0))</f>
        <v>#DIV/0!</v>
      </c>
      <c r="AH272" s="37" t="e">
        <f>60* (AC272 / _xlfn.XLOOKUP($L272,Specs!$A:$A,Specs!$B:$B,0))</f>
        <v>#DIV/0!</v>
      </c>
      <c r="AI272" s="37" t="e">
        <f>60* (AE272 / _xlfn.XLOOKUP($L272,Specs!$A:$A,Specs!$B:$B,0))</f>
        <v>#DIV/0!</v>
      </c>
      <c r="AJ272" s="39">
        <f>(($R272 / 240) * _xlfn.XLOOKUP($D272,'Milk Types Nutrition Per Cup'!A:A,'Milk Types Nutrition Per Cup'!F:F,0)) +(($S272 / 240)  * _xlfn.XLOOKUP($E272,'Milk Types Nutrition Per Cup'!A:A,'Milk Types Nutrition Per Cup'!F:F,0)) +(($T272 / 15)  * _xlfn.XLOOKUP($F272,'Liquid Mix In Nutrition'!A:A,'Liquid Mix In Nutrition'!F:F,0))+(($U272 / 15)  * _xlfn.XLOOKUP($G272,'Liquid Mix In Nutrition'!A:A,'Liquid Mix In Nutrition'!F:F,0))+(($V272 / MAX(1, _xlfn.XLOOKUP($H272,'Solid Mix In Nutrition'!A:A,'Solid Mix In Nutrition'!I:I,1)))  * _xlfn.XLOOKUP($H272,'Solid Mix In Nutrition'!A:A,'Solid Mix In Nutrition'!F:F,0))+(($W272 / MAX(1, _xlfn.XLOOKUP($I272,'Solid Mix In Nutrition'!A:A,'Solid Mix In Nutrition'!I:I,1)))  * _xlfn.XLOOKUP($I272,'Solid Mix In Nutrition'!A:A,'Solid Mix In Nutrition'!F:F,0))+(($X272 / 100)  * _xlfn.XLOOKUP($J272,'Sweetener Mix In Nutrition'!A:A,'Sweetener Mix In Nutrition'!F:F,0))+(($Y272 / 100)  * _xlfn.XLOOKUP($K272,'Sweetener Mix In Nutrition'!A:A,'Sweetener Mix In Nutrition'!F:F,0))</f>
        <v>0</v>
      </c>
      <c r="AK272" s="46">
        <f>[2]Sheet1!AG272</f>
        <v>0</v>
      </c>
      <c r="AL272" s="47"/>
      <c r="AM272" s="40">
        <f>IF(ISERROR(((AL272/Specs!$L$3)*Specs!$L$2)*2),0,ROUNDUP((((AL272/Specs!$L$3)*Specs!$L$2)*2),0))</f>
        <v>0</v>
      </c>
      <c r="AN272" s="48">
        <f>ROUNDUP(((AJ272+Specs!$R$2+Specs!$S$2+_xlfn.XLOOKUP($L272,Specs!A:A,Specs!V:V,0))*Specs!$N$2)+AM272,0)</f>
        <v>1</v>
      </c>
      <c r="AO272" s="40">
        <f>ROUNDUP(((AJ272+Specs!$R$2+Specs!$S$2+_xlfn.XLOOKUP($L272,Specs!A:A,Specs!V:V,0))*Specs!$N$2),0)</f>
        <v>1</v>
      </c>
      <c r="AP272" s="30"/>
    </row>
    <row r="273" spans="1:42" x14ac:dyDescent="0.25">
      <c r="A273" s="41" t="str">
        <f>_xlfn.CONCAT(_xlfn.XLOOKUP("What's Your Name?",[1]Sheet1!$1:$1,[1]Sheet1!273:273)," | ",TEXT(_xlfn.XLOOKUP("Completion time",[1]Sheet1!$1:$1,[1]Sheet1!273:273),"dddd, mmm dd, yyyy hh:mm AM/PM"))</f>
        <v xml:space="preserve"> | Saturday, Jan 00, 1900 12:00 AM</v>
      </c>
      <c r="B273" s="76">
        <f>_xlfn.XLOOKUP("What's Your Email Address?",[1]Sheet1!$1:$1,[1]Sheet1!273:273)</f>
        <v>0</v>
      </c>
      <c r="C273" s="31">
        <f>IF(ISBLANK(_xlfn.XLOOKUP("Which Flavor? (Pint Price | Quart Price | Half Gallon Price) (NOTE: Prices may fluctuate based on market conditions)",[1]Sheet1!$1:$1,[1]Sheet1!273:273)),_xlfn.XLOOKUP("Name Your Ice Cream!",[1]Sheet1!$1:$1,[1]Sheet1!273:273),IF(ISNUMBER(FIND("(", _xlfn.XLOOKUP("Which Flavor? (Pint Price | Quart Price | Half Gallon Price) (NOTE: Prices may fluctuate based on market conditions)",[1]Sheet1!$1:$1,[1]Sheet1!273:273))), LEFT(_xlfn.XLOOKUP("Which Flavor? (Pint Price | Quart Price | Half Gallon Price) (NOTE: Prices may fluctuate based on market conditions)",[1]Sheet1!$1:$1,[1]Sheet1!273:273), FIND("(", _xlfn.XLOOKUP("Which Flavor? (Pint Price | Quart Price | Half Gallon Price) (NOTE: Prices may fluctuate based on market conditions)",[1]Sheet1!$1:$1,[1]Sheet1!273:273)) - 1), _xlfn.XLOOKUP("Which Flavor? (Pint Price | Quart Price | Half Gallon Price) (NOTE: Prices may fluctuate based on market conditions)",[1]Sheet1!$1:$1,[1]Sheet1!273:273)))</f>
        <v>0</v>
      </c>
      <c r="D273" s="31">
        <f>IF(COUNTIF('Premade Flavors'!$A:$A, $C273) &gt; 0,IF(ISBLANK(_xlfn.XLOOKUP("What Ice Cream Base Do You Want To Change It To?",[1]Sheet1!$1:$1,[1]Sheet1!273:273)),_xlfn.XLOOKUP($C273,'Premade Flavors'!$A:$A,'Premade Flavors'!B:B),_xlfn.XLOOKUP("What Ice Cream Base Do You Want To Change It To?",[1]Sheet1!$1:$1,[1]Sheet1!273:273)),_xlfn.XLOOKUP(_xlfn.XLOOKUP("What Kind Of Ice Cream Base Do You Want? ",[1]Sheet1!$1:$1,[1]Sheet1!273:273),'Milk Types Nutrition Per Cup'!O:O,'Milk Types Nutrition Per Cup'!P:P,""))</f>
        <v>0</v>
      </c>
      <c r="E273" s="31">
        <f>IF(COUNTIF('Premade Flavors'!$A:$A, $C273) &gt; 0,IF(ISBLANK(_xlfn.XLOOKUP("What Ice Cream Base Do You Want To Change It To?",[1]Sheet1!$1:$1,[1]Sheet1!273:273)),_xlfn.XLOOKUP($C273,'Premade Flavors'!$A:$A,'Premade Flavors'!C:C),_xlfn.XLOOKUP("What Ice Cream Base Do You Want To Change It To?",[1]Sheet1!$1:$1,[1]Sheet1!273:273)),_xlfn.XLOOKUP(_xlfn.XLOOKUP("What Kind Of Ice Cream Base Do You Want? ",[1]Sheet1!$1:$1,[1]Sheet1!273:273),'Milk Types Nutrition Per Cup'!$O:$O,'Milk Types Nutrition Per Cup'!$Q:$Q,""))</f>
        <v>0</v>
      </c>
      <c r="F273" s="31">
        <f>IF(COUNTIF('Premade Flavors'!$A:$A, $C273) &gt; 0,_xlfn.XLOOKUP($C273,'Premade Flavors'!$A:$A,'Premade Flavors'!E:E),_xlfn.XLOOKUP("What's The First Flavor You Want? ",[1]Sheet1!$1:$1,[1]Sheet1!273:273))</f>
        <v>0</v>
      </c>
      <c r="G273" s="31">
        <f>IF(COUNTIF('Premade Flavors'!$A:$A, $C273) &gt; 0,_xlfn.XLOOKUP($C273,'Premade Flavors'!$A:$A,'Premade Flavors'!F:F),_xlfn.XLOOKUP("What's the Second Flavor You Want?",[1]Sheet1!$1:$1,[1]Sheet1!273:273))</f>
        <v>0</v>
      </c>
      <c r="H273" s="31">
        <f>IF(COUNTIF('Premade Flavors'!$A:$A, $C273) &gt; 0,_xlfn.XLOOKUP($C273,'Premade Flavors'!$A:$A,'Premade Flavors'!G:G),_xlfn.XLOOKUP("What's The First Mix In That You Want? ",[1]Sheet1!$1:$1,[1]Sheet1!273:273))</f>
        <v>0</v>
      </c>
      <c r="I273" s="31">
        <f>IF(COUNTIF('Premade Flavors'!$A:$A, $C271) &gt; 0,_xlfn.XLOOKUP($C271,'Premade Flavors'!$A:$A,'Premade Flavors'!H:H),IF([2]Sheet1!W271= 0,,[2]Sheet1!W271))</f>
        <v>0</v>
      </c>
      <c r="J273" s="31">
        <f>IF(COUNTIF('Premade Flavors'!$A:$A,$C273)&gt;0,IF(_xlfn.XLOOKUP("Should It Use Sugar or A Non-Sugar Sweetner?",[1]Sheet1!$1:$1,[1]Sheet1!273:273)="Sugar",_xlfn.XLOOKUP($C273,'Premade Flavors'!$A:$A,'Premade Flavors'!I:I),"Stevia"),_xlfn.XLOOKUP("What Sweetner Do You Want?",[1]Sheet1!$1:$1,[1]Sheet1!273:273))</f>
        <v>0</v>
      </c>
      <c r="K273" s="31"/>
      <c r="L273" s="77">
        <f>_xlfn.XLOOKUP("How Much Ice Cream Do You Want?",[1]Sheet1!$1:$1,[1]Sheet1!273:273)</f>
        <v>0</v>
      </c>
      <c r="M273" s="45">
        <f>IF(COUNTIF('Premade Flavors'!$A:$A, $C273) &gt; 0,_xlfn.XLOOKUP($C273,'Premade Flavors'!$A:$A,'Premade Flavors'!M:M),_xlfn.XLOOKUP("How Strong Do You Want The First Flavor?",[1]Sheet1!$1:$1,[1]Sheet1!273:273))</f>
        <v>0</v>
      </c>
      <c r="N273" s="45">
        <f>IF(COUNTIF('Premade Flavors'!$A:$A, $C273) &gt; 0,_xlfn.XLOOKUP($C273,'Premade Flavors'!$A:$A,'Premade Flavors'!N:N),_xlfn.XLOOKUP("How Strong Do You Want The Second Flavor?",[1]Sheet1!$1:$1,[1]Sheet1!273:273))</f>
        <v>0</v>
      </c>
      <c r="O273" s="45">
        <f>IF(COUNTIF('Premade Flavors'!$A:$A, $C273) &gt; 0,_xlfn.XLOOKUP($C273,'Premade Flavors'!$A:$A,'Premade Flavors'!O:O),_xlfn.XLOOKUP("How Dense Should the Mix Ins Be?",[1]Sheet1!$1:$1,[1]Sheet1!273:273))</f>
        <v>0</v>
      </c>
      <c r="P273" s="45">
        <f>IF(COUNTIF('Premade Flavors'!$A:$A, $C273) &gt; 0,_xlfn.XLOOKUP($C273,'Premade Flavors'!$A:$A,'Premade Flavors'!P:P),_xlfn.XLOOKUP("How Much Of The First Sweetner? ",[1]Sheet1!$1:$1,[1]Sheet1!273:273))</f>
        <v>0</v>
      </c>
      <c r="Q273" s="45">
        <f>IF(COUNTIF('Premade Flavors'!$A:$A, $C273) &gt; 0,_xlfn.XLOOKUP($C273,'Premade Flavors'!$A:$A,'Premade Flavors'!Q:Q),[2]Sheet1!S273)</f>
        <v>0</v>
      </c>
      <c r="R273" s="30">
        <f>(_xlfn.XLOOKUP($L273,Specs!A:A,Specs!B:B,0)-(IF(_xlfn.XLOOKUP($F273,'Liquid Mix In Nutrition'!A:A,'Liquid Mix In Nutrition'!J:J,0)="Yes",0,$T273))-(IF(_xlfn.XLOOKUP($G273,'Liquid Mix In Nutrition'!A:A,'Liquid Mix In Nutrition'!J:J,0)="Yes",0,$U273))-(($V273/MAX(1,_xlfn.XLOOKUP($H273,'Solid Mix In Nutrition'!A:A,'Solid Mix In Nutrition'!I:I,1)))*240)-(($W273/MAX(1,_xlfn.XLOOKUP($I273,'Solid Mix In Nutrition'!A:A,'Solid Mix In Nutrition'!I:I,1)))*240))*0.66</f>
        <v>0</v>
      </c>
      <c r="S273" s="30">
        <f>(_xlfn.XLOOKUP($L273,Specs!A:A,Specs!B:B,0)-(IF(_xlfn.XLOOKUP($F273,'Liquid Mix In Nutrition'!A:A,'Liquid Mix In Nutrition'!J:J,0)="Yes",0,$T273))-(IF(_xlfn.XLOOKUP($G273,'Liquid Mix In Nutrition'!A:A,'Liquid Mix In Nutrition'!J:J,0)="Yes",0,$U273))-(($V273/MAX(1,_xlfn.XLOOKUP($H273,'Solid Mix In Nutrition'!A:A,'Solid Mix In Nutrition'!I:I,1)))*240)-(($W273/MAX(1,_xlfn.XLOOKUP($I273,'Solid Mix In Nutrition'!A:A,'Solid Mix In Nutrition'!I:I,1)))*240))*0.33</f>
        <v>0</v>
      </c>
      <c r="T273" s="30">
        <f>_xlfn.XLOOKUP($M273,Specs!$D:$D,Specs!$E:$E,0)*15*_xlfn.XLOOKUP($L273,Specs!$A:$A,Specs!$C:$C,0)</f>
        <v>0</v>
      </c>
      <c r="U273" s="30">
        <f>_xlfn.XLOOKUP($N273,Specs!$D:$D,Specs!$E:$E,0)*15*_xlfn.XLOOKUP($L273,Specs!$A:$A,Specs!$C:$C,0)</f>
        <v>0</v>
      </c>
      <c r="V273" s="30">
        <f>( ((_xlfn.XLOOKUP($O273,Specs!$H:$H,Specs!$I:$I,0)*_xlfn.XLOOKUP($L273,Specs!$A:$A,Specs!$B:$B,0))/240) *_xlfn.XLOOKUP($H273,'Solid Mix In Nutrition'!A:A,'Solid Mix In Nutrition'!I:I,0)) *IF(AND(NOT($I273=0), COUNTA($I273)),0.5,1)</f>
        <v>0</v>
      </c>
      <c r="W273" s="30">
        <f>( ((_xlfn.XLOOKUP($O273,Specs!$H:$H,Specs!$I:$I,0)*_xlfn.XLOOKUP($L273,Specs!$A:$A,Specs!$B:$B,0))/240) *_xlfn.XLOOKUP($I273,'Solid Mix In Nutrition'!A:A,'Solid Mix In Nutrition'!I:I,0)) *IF(AND(NOT($I273=0), COUNTA($I273)),0.5,0)</f>
        <v>0</v>
      </c>
      <c r="X273" s="30">
        <f>_xlfn.XLOOKUP($P273,Specs!F:F,Specs!G:G,0)*_xlfn.XLOOKUP($J273,'Sweetener Mix In Nutrition'!A:A,'Sweetener Mix In Nutrition'!I:I,0)*_xlfn.XLOOKUP($L273,Specs!A:A,Specs!C:C,0)</f>
        <v>0</v>
      </c>
      <c r="Y273" s="30">
        <f>_xlfn.XLOOKUP($Q273,Specs!F:F,Specs!G:G,0)*_xlfn.XLOOKUP($K273,'Sweetener Mix In Nutrition'!A:A,'Sweetener Mix In Nutrition'!I:I,0)*_xlfn.XLOOKUP($L273,Specs!A:A,Specs!C:C,0)</f>
        <v>0</v>
      </c>
      <c r="Z273" s="34">
        <f t="shared" si="8"/>
        <v>0</v>
      </c>
      <c r="AA273" s="35">
        <f t="shared" si="9"/>
        <v>0</v>
      </c>
      <c r="AB273" s="36">
        <f>(($R273 / 240) * _xlfn.XLOOKUP($D273,'Milk Types Nutrition Per Cup'!A:A,'Milk Types Nutrition Per Cup'!B:B,0)) +(($S273 / 240)  * _xlfn.XLOOKUP($E273,'Milk Types Nutrition Per Cup'!A:A,'Milk Types Nutrition Per Cup'!B:B,0)) +(($T273 / 15)  * _xlfn.XLOOKUP($F273,'Liquid Mix In Nutrition'!A:A,'Liquid Mix In Nutrition'!B:B,0))+(($U273 / 15)  * _xlfn.XLOOKUP($G273,'Liquid Mix In Nutrition'!A:A,'Liquid Mix In Nutrition'!B:B,0))+(($V273 /MAX(1, _xlfn.XLOOKUP($H273,'Solid Mix In Nutrition'!A:A,'Solid Mix In Nutrition'!I:I,1)))  * _xlfn.XLOOKUP($H273,'Solid Mix In Nutrition'!A:A,'Solid Mix In Nutrition'!B:B,0))+(($W273 / MAX(1, _xlfn.XLOOKUP($I273,'Solid Mix In Nutrition'!A:A,'Solid Mix In Nutrition'!I:I,1))))+(($X273 / 100)  * _xlfn.XLOOKUP($J273,'Sweetener Mix In Nutrition'!A:A,'Sweetener Mix In Nutrition'!B:B,0))+(($Y273 / 100)  * _xlfn.XLOOKUP($K273,'Sweetener Mix In Nutrition'!A:A,'Sweetener Mix In Nutrition'!B:B,0))</f>
        <v>0</v>
      </c>
      <c r="AC273" s="36">
        <f>(($R273 / 240) * _xlfn.XLOOKUP($D273,'Milk Types Nutrition Per Cup'!A:A,'Milk Types Nutrition Per Cup'!E:E,0)) +(($S273 / 240)  * _xlfn.XLOOKUP($E273,'Milk Types Nutrition Per Cup'!A:A,'Milk Types Nutrition Per Cup'!E:E,0)) +(($T273 / 15)  * _xlfn.XLOOKUP($F273,'Liquid Mix In Nutrition'!A:A,'Liquid Mix In Nutrition'!E:E,0)) +(($U273 / 15)  * _xlfn.XLOOKUP($G273,'Liquid Mix In Nutrition'!A:A,'Liquid Mix In Nutrition'!E:E,0))+(($V273 / MAX(1, _xlfn.XLOOKUP($H273,'Solid Mix In Nutrition'!A:A,'Solid Mix In Nutrition'!I:I,1)))  * _xlfn.XLOOKUP($H273,'Solid Mix In Nutrition'!A:A,'Solid Mix In Nutrition'!E:E,0))+(($W273 / MAX(1, _xlfn.XLOOKUP($I273,'Solid Mix In Nutrition'!A:A,'Solid Mix In Nutrition'!I:I,1)))  * _xlfn.XLOOKUP($I273,'Solid Mix In Nutrition'!A:A,'Solid Mix In Nutrition'!G:G,0))+(($X273 / 100)  * _xlfn.XLOOKUP($J273,'Sweetener Mix In Nutrition'!A:A,'Sweetener Mix In Nutrition'!E:E,0))+(($Y273 / 100)  * _xlfn.XLOOKUP($K273,'Sweetener Mix In Nutrition'!A:A,'Sweetener Mix In Nutrition'!E:E,0))</f>
        <v>0</v>
      </c>
      <c r="AD273" s="36">
        <f>(($R273 / 240) * _xlfn.XLOOKUP($D273,'Milk Types Nutrition Per Cup'!A:A,'Milk Types Nutrition Per Cup'!E:E,0)) +(($S273 / 240)  * _xlfn.XLOOKUP($E273,'Milk Types Nutrition Per Cup'!A:A,'Milk Types Nutrition Per Cup'!E:E,0)) +(($T273 / 15)  * _xlfn.XLOOKUP($F273,'Liquid Mix In Nutrition'!A:A,'Liquid Mix In Nutrition'!E:E,0)) +(($U273 / 15)  * _xlfn.XLOOKUP($G273,'Liquid Mix In Nutrition'!A:A,'Liquid Mix In Nutrition'!E:E,0))+(($X273 / 100)  * _xlfn.XLOOKUP($J273,'Sweetener Mix In Nutrition'!A:A,'Sweetener Mix In Nutrition'!E:E,0))+(($Y273 / 100)  * _xlfn.XLOOKUP($K273,'Sweetener Mix In Nutrition'!A:A,'Sweetener Mix In Nutrition'!E:E,0))</f>
        <v>0</v>
      </c>
      <c r="AE273" s="37">
        <f>(($R273 / 240) * _xlfn.XLOOKUP($D273,'Milk Types Nutrition Per Cup'!A:A,'Milk Types Nutrition Per Cup'!C:C,0)) +(($S273 / 240)  * _xlfn.XLOOKUP($E273,'Milk Types Nutrition Per Cup'!A:A,'Milk Types Nutrition Per Cup'!C:C,0)) +(($T273 / 15)  * _xlfn.XLOOKUP($F273,'Liquid Mix In Nutrition'!A:A,'Liquid Mix In Nutrition'!C:C,0))+(($U273 / 15)  * _xlfn.XLOOKUP($G273,'Liquid Mix In Nutrition'!A:A,'Liquid Mix In Nutrition'!C:C,0))+(($V273 / MAX(1, _xlfn.XLOOKUP($H273,'Solid Mix In Nutrition'!A:A,'Solid Mix In Nutrition'!I:I,1)))  * _xlfn.XLOOKUP($H273,'Solid Mix In Nutrition'!A:A,'Solid Mix In Nutrition'!C:C,0))+(($W273 / MAX(1, _xlfn.XLOOKUP($I273,'Solid Mix In Nutrition'!A:A,'Solid Mix In Nutrition'!I:I,1)))  * _xlfn.XLOOKUP($I273,'Solid Mix In Nutrition'!A:A,'Solid Mix In Nutrition'!C:C,0))+(($X273 / 100)  * _xlfn.XLOOKUP($J273,'Sweetener Mix In Nutrition'!A:A,'Sweetener Mix In Nutrition'!C:C,0))+(($Y273 / 100)  * _xlfn.XLOOKUP($K273,'Sweetener Mix In Nutrition'!A:A,'Sweetener Mix In Nutrition'!C:C,0))</f>
        <v>0</v>
      </c>
      <c r="AF273" s="38" t="e">
        <f>$AE273 / (_xlfn.XLOOKUP($L273,Specs!A:A,Specs!B:B,0))</f>
        <v>#DIV/0!</v>
      </c>
      <c r="AG273" s="37" t="e">
        <f>60* ($AB273 / _xlfn.XLOOKUP($L273,Specs!A:A,Specs!B:B,0))</f>
        <v>#DIV/0!</v>
      </c>
      <c r="AH273" s="37" t="e">
        <f>60* (AC273 / _xlfn.XLOOKUP($L273,Specs!$A:$A,Specs!$B:$B,0))</f>
        <v>#DIV/0!</v>
      </c>
      <c r="AI273" s="37" t="e">
        <f>60* (AE273 / _xlfn.XLOOKUP($L273,Specs!$A:$A,Specs!$B:$B,0))</f>
        <v>#DIV/0!</v>
      </c>
      <c r="AJ273" s="39">
        <f>(($R273 / 240) * _xlfn.XLOOKUP($D273,'Milk Types Nutrition Per Cup'!A:A,'Milk Types Nutrition Per Cup'!F:F,0)) +(($S273 / 240)  * _xlfn.XLOOKUP($E273,'Milk Types Nutrition Per Cup'!A:A,'Milk Types Nutrition Per Cup'!F:F,0)) +(($T273 / 15)  * _xlfn.XLOOKUP($F273,'Liquid Mix In Nutrition'!A:A,'Liquid Mix In Nutrition'!F:F,0))+(($U273 / 15)  * _xlfn.XLOOKUP($G273,'Liquid Mix In Nutrition'!A:A,'Liquid Mix In Nutrition'!F:F,0))+(($V273 / MAX(1, _xlfn.XLOOKUP($H273,'Solid Mix In Nutrition'!A:A,'Solid Mix In Nutrition'!I:I,1)))  * _xlfn.XLOOKUP($H273,'Solid Mix In Nutrition'!A:A,'Solid Mix In Nutrition'!F:F,0))+(($W273 / MAX(1, _xlfn.XLOOKUP($I273,'Solid Mix In Nutrition'!A:A,'Solid Mix In Nutrition'!I:I,1)))  * _xlfn.XLOOKUP($I273,'Solid Mix In Nutrition'!A:A,'Solid Mix In Nutrition'!F:F,0))+(($X273 / 100)  * _xlfn.XLOOKUP($J273,'Sweetener Mix In Nutrition'!A:A,'Sweetener Mix In Nutrition'!F:F,0))+(($Y273 / 100)  * _xlfn.XLOOKUP($K273,'Sweetener Mix In Nutrition'!A:A,'Sweetener Mix In Nutrition'!F:F,0))</f>
        <v>0</v>
      </c>
      <c r="AK273" s="46">
        <f>[2]Sheet1!AG273</f>
        <v>0</v>
      </c>
      <c r="AL273" s="47"/>
      <c r="AM273" s="40">
        <f>IF(ISERROR(((AL273/Specs!$L$3)*Specs!$L$2)*2),0,ROUNDUP((((AL273/Specs!$L$3)*Specs!$L$2)*2),0))</f>
        <v>0</v>
      </c>
      <c r="AN273" s="48">
        <f>ROUNDUP(((AJ273+Specs!$R$2+Specs!$S$2+_xlfn.XLOOKUP($L273,Specs!A:A,Specs!V:V,0))*Specs!$N$2)+AM273,0)</f>
        <v>1</v>
      </c>
      <c r="AO273" s="40">
        <f>ROUNDUP(((AJ273+Specs!$R$2+Specs!$S$2+_xlfn.XLOOKUP($L273,Specs!A:A,Specs!V:V,0))*Specs!$N$2),0)</f>
        <v>1</v>
      </c>
      <c r="AP273" s="30"/>
    </row>
    <row r="274" spans="1:42" x14ac:dyDescent="0.25">
      <c r="A274" s="41" t="str">
        <f>_xlfn.CONCAT(_xlfn.XLOOKUP("What's Your Name?",[1]Sheet1!$1:$1,[1]Sheet1!274:274)," | ",TEXT(_xlfn.XLOOKUP("Completion time",[1]Sheet1!$1:$1,[1]Sheet1!274:274),"dddd, mmm dd, yyyy hh:mm AM/PM"))</f>
        <v xml:space="preserve"> | Saturday, Jan 00, 1900 12:00 AM</v>
      </c>
      <c r="B274" s="76">
        <f>_xlfn.XLOOKUP("What's Your Email Address?",[1]Sheet1!$1:$1,[1]Sheet1!274:274)</f>
        <v>0</v>
      </c>
      <c r="C274" s="31">
        <f>IF(ISBLANK(_xlfn.XLOOKUP("Which Flavor? (Pint Price | Quart Price | Half Gallon Price) (NOTE: Prices may fluctuate based on market conditions)",[1]Sheet1!$1:$1,[1]Sheet1!274:274)),_xlfn.XLOOKUP("Name Your Ice Cream!",[1]Sheet1!$1:$1,[1]Sheet1!274:274),IF(ISNUMBER(FIND("(", _xlfn.XLOOKUP("Which Flavor? (Pint Price | Quart Price | Half Gallon Price) (NOTE: Prices may fluctuate based on market conditions)",[1]Sheet1!$1:$1,[1]Sheet1!274:274))), LEFT(_xlfn.XLOOKUP("Which Flavor? (Pint Price | Quart Price | Half Gallon Price) (NOTE: Prices may fluctuate based on market conditions)",[1]Sheet1!$1:$1,[1]Sheet1!274:274), FIND("(", _xlfn.XLOOKUP("Which Flavor? (Pint Price | Quart Price | Half Gallon Price) (NOTE: Prices may fluctuate based on market conditions)",[1]Sheet1!$1:$1,[1]Sheet1!274:274)) - 1), _xlfn.XLOOKUP("Which Flavor? (Pint Price | Quart Price | Half Gallon Price) (NOTE: Prices may fluctuate based on market conditions)",[1]Sheet1!$1:$1,[1]Sheet1!274:274)))</f>
        <v>0</v>
      </c>
      <c r="D274" s="31">
        <f>IF(COUNTIF('Premade Flavors'!$A:$A, $C274) &gt; 0,IF(ISBLANK(_xlfn.XLOOKUP("What Ice Cream Base Do You Want To Change It To?",[1]Sheet1!$1:$1,[1]Sheet1!274:274)),_xlfn.XLOOKUP($C274,'Premade Flavors'!$A:$A,'Premade Flavors'!B:B),_xlfn.XLOOKUP("What Ice Cream Base Do You Want To Change It To?",[1]Sheet1!$1:$1,[1]Sheet1!274:274)),_xlfn.XLOOKUP(_xlfn.XLOOKUP("What Kind Of Ice Cream Base Do You Want? ",[1]Sheet1!$1:$1,[1]Sheet1!274:274),'Milk Types Nutrition Per Cup'!O:O,'Milk Types Nutrition Per Cup'!P:P,""))</f>
        <v>0</v>
      </c>
      <c r="E274" s="31">
        <f>IF(COUNTIF('Premade Flavors'!$A:$A, $C274) &gt; 0,IF(ISBLANK(_xlfn.XLOOKUP("What Ice Cream Base Do You Want To Change It To?",[1]Sheet1!$1:$1,[1]Sheet1!274:274)),_xlfn.XLOOKUP($C274,'Premade Flavors'!$A:$A,'Premade Flavors'!C:C),_xlfn.XLOOKUP("What Ice Cream Base Do You Want To Change It To?",[1]Sheet1!$1:$1,[1]Sheet1!274:274)),_xlfn.XLOOKUP(_xlfn.XLOOKUP("What Kind Of Ice Cream Base Do You Want? ",[1]Sheet1!$1:$1,[1]Sheet1!274:274),'Milk Types Nutrition Per Cup'!$O:$O,'Milk Types Nutrition Per Cup'!$Q:$Q,""))</f>
        <v>0</v>
      </c>
      <c r="F274" s="31">
        <f>IF(COUNTIF('Premade Flavors'!$A:$A, $C274) &gt; 0,_xlfn.XLOOKUP($C274,'Premade Flavors'!$A:$A,'Premade Flavors'!E:E),_xlfn.XLOOKUP("What's The First Flavor You Want? ",[1]Sheet1!$1:$1,[1]Sheet1!274:274))</f>
        <v>0</v>
      </c>
      <c r="G274" s="31">
        <f>IF(COUNTIF('Premade Flavors'!$A:$A, $C274) &gt; 0,_xlfn.XLOOKUP($C274,'Premade Flavors'!$A:$A,'Premade Flavors'!F:F),_xlfn.XLOOKUP("What's the Second Flavor You Want?",[1]Sheet1!$1:$1,[1]Sheet1!274:274))</f>
        <v>0</v>
      </c>
      <c r="H274" s="31">
        <f>IF(COUNTIF('Premade Flavors'!$A:$A, $C274) &gt; 0,_xlfn.XLOOKUP($C274,'Premade Flavors'!$A:$A,'Premade Flavors'!G:G),_xlfn.XLOOKUP("What's The First Mix In That You Want? ",[1]Sheet1!$1:$1,[1]Sheet1!274:274))</f>
        <v>0</v>
      </c>
      <c r="I274" s="31">
        <f>IF(COUNTIF('Premade Flavors'!$A:$A, $C272) &gt; 0,_xlfn.XLOOKUP($C272,'Premade Flavors'!$A:$A,'Premade Flavors'!H:H),IF([2]Sheet1!W272= 0,,[2]Sheet1!W272))</f>
        <v>0</v>
      </c>
      <c r="J274" s="31">
        <f>IF(COUNTIF('Premade Flavors'!$A:$A,$C274)&gt;0,IF(_xlfn.XLOOKUP("Should It Use Sugar or A Non-Sugar Sweetner?",[1]Sheet1!$1:$1,[1]Sheet1!274:274)="Sugar",_xlfn.XLOOKUP($C274,'Premade Flavors'!$A:$A,'Premade Flavors'!I:I),"Stevia"),_xlfn.XLOOKUP("What Sweetner Do You Want?",[1]Sheet1!$1:$1,[1]Sheet1!274:274))</f>
        <v>0</v>
      </c>
      <c r="K274" s="31"/>
      <c r="L274" s="77">
        <f>_xlfn.XLOOKUP("How Much Ice Cream Do You Want?",[1]Sheet1!$1:$1,[1]Sheet1!274:274)</f>
        <v>0</v>
      </c>
      <c r="M274" s="45">
        <f>IF(COUNTIF('Premade Flavors'!$A:$A, $C274) &gt; 0,_xlfn.XLOOKUP($C274,'Premade Flavors'!$A:$A,'Premade Flavors'!M:M),_xlfn.XLOOKUP("How Strong Do You Want The First Flavor?",[1]Sheet1!$1:$1,[1]Sheet1!274:274))</f>
        <v>0</v>
      </c>
      <c r="N274" s="45">
        <f>IF(COUNTIF('Premade Flavors'!$A:$A, $C274) &gt; 0,_xlfn.XLOOKUP($C274,'Premade Flavors'!$A:$A,'Premade Flavors'!N:N),_xlfn.XLOOKUP("How Strong Do You Want The Second Flavor?",[1]Sheet1!$1:$1,[1]Sheet1!274:274))</f>
        <v>0</v>
      </c>
      <c r="O274" s="45">
        <f>IF(COUNTIF('Premade Flavors'!$A:$A, $C274) &gt; 0,_xlfn.XLOOKUP($C274,'Premade Flavors'!$A:$A,'Premade Flavors'!O:O),_xlfn.XLOOKUP("How Dense Should the Mix Ins Be?",[1]Sheet1!$1:$1,[1]Sheet1!274:274))</f>
        <v>0</v>
      </c>
      <c r="P274" s="45">
        <f>IF(COUNTIF('Premade Flavors'!$A:$A, $C274) &gt; 0,_xlfn.XLOOKUP($C274,'Premade Flavors'!$A:$A,'Premade Flavors'!P:P),_xlfn.XLOOKUP("How Much Of The First Sweetner? ",[1]Sheet1!$1:$1,[1]Sheet1!274:274))</f>
        <v>0</v>
      </c>
      <c r="Q274" s="45">
        <f>IF(COUNTIF('Premade Flavors'!$A:$A, $C274) &gt; 0,_xlfn.XLOOKUP($C274,'Premade Flavors'!$A:$A,'Premade Flavors'!Q:Q),[2]Sheet1!S274)</f>
        <v>0</v>
      </c>
      <c r="R274" s="30">
        <f>(_xlfn.XLOOKUP($L274,Specs!A:A,Specs!B:B,0)-(IF(_xlfn.XLOOKUP($F274,'Liquid Mix In Nutrition'!A:A,'Liquid Mix In Nutrition'!J:J,0)="Yes",0,$T274))-(IF(_xlfn.XLOOKUP($G274,'Liquid Mix In Nutrition'!A:A,'Liquid Mix In Nutrition'!J:J,0)="Yes",0,$U274))-(($V274/MAX(1,_xlfn.XLOOKUP($H274,'Solid Mix In Nutrition'!A:A,'Solid Mix In Nutrition'!I:I,1)))*240)-(($W274/MAX(1,_xlfn.XLOOKUP($I274,'Solid Mix In Nutrition'!A:A,'Solid Mix In Nutrition'!I:I,1)))*240))*0.66</f>
        <v>0</v>
      </c>
      <c r="S274" s="30">
        <f>(_xlfn.XLOOKUP($L274,Specs!A:A,Specs!B:B,0)-(IF(_xlfn.XLOOKUP($F274,'Liquid Mix In Nutrition'!A:A,'Liquid Mix In Nutrition'!J:J,0)="Yes",0,$T274))-(IF(_xlfn.XLOOKUP($G274,'Liquid Mix In Nutrition'!A:A,'Liquid Mix In Nutrition'!J:J,0)="Yes",0,$U274))-(($V274/MAX(1,_xlfn.XLOOKUP($H274,'Solid Mix In Nutrition'!A:A,'Solid Mix In Nutrition'!I:I,1)))*240)-(($W274/MAX(1,_xlfn.XLOOKUP($I274,'Solid Mix In Nutrition'!A:A,'Solid Mix In Nutrition'!I:I,1)))*240))*0.33</f>
        <v>0</v>
      </c>
      <c r="T274" s="30">
        <f>_xlfn.XLOOKUP($M274,Specs!$D:$D,Specs!$E:$E,0)*15*_xlfn.XLOOKUP($L274,Specs!$A:$A,Specs!$C:$C,0)</f>
        <v>0</v>
      </c>
      <c r="U274" s="30">
        <f>_xlfn.XLOOKUP($N274,Specs!$D:$D,Specs!$E:$E,0)*15*_xlfn.XLOOKUP($L274,Specs!$A:$A,Specs!$C:$C,0)</f>
        <v>0</v>
      </c>
      <c r="V274" s="30">
        <f>( ((_xlfn.XLOOKUP($O274,Specs!$H:$H,Specs!$I:$I,0)*_xlfn.XLOOKUP($L274,Specs!$A:$A,Specs!$B:$B,0))/240) *_xlfn.XLOOKUP($H274,'Solid Mix In Nutrition'!A:A,'Solid Mix In Nutrition'!I:I,0)) *IF(AND(NOT($I274=0), COUNTA($I274)),0.5,1)</f>
        <v>0</v>
      </c>
      <c r="W274" s="30">
        <f>( ((_xlfn.XLOOKUP($O274,Specs!$H:$H,Specs!$I:$I,0)*_xlfn.XLOOKUP($L274,Specs!$A:$A,Specs!$B:$B,0))/240) *_xlfn.XLOOKUP($I274,'Solid Mix In Nutrition'!A:A,'Solid Mix In Nutrition'!I:I,0)) *IF(AND(NOT($I274=0), COUNTA($I274)),0.5,0)</f>
        <v>0</v>
      </c>
      <c r="X274" s="30">
        <f>_xlfn.XLOOKUP($P274,Specs!F:F,Specs!G:G,0)*_xlfn.XLOOKUP($J274,'Sweetener Mix In Nutrition'!A:A,'Sweetener Mix In Nutrition'!I:I,0)*_xlfn.XLOOKUP($L274,Specs!A:A,Specs!C:C,0)</f>
        <v>0</v>
      </c>
      <c r="Y274" s="30">
        <f>_xlfn.XLOOKUP($Q274,Specs!F:F,Specs!G:G,0)*_xlfn.XLOOKUP($K274,'Sweetener Mix In Nutrition'!A:A,'Sweetener Mix In Nutrition'!I:I,0)*_xlfn.XLOOKUP($L274,Specs!A:A,Specs!C:C,0)</f>
        <v>0</v>
      </c>
      <c r="Z274" s="34">
        <f t="shared" si="8"/>
        <v>0</v>
      </c>
      <c r="AA274" s="35">
        <f t="shared" si="9"/>
        <v>0</v>
      </c>
      <c r="AB274" s="36">
        <f>(($R274 / 240) * _xlfn.XLOOKUP($D274,'Milk Types Nutrition Per Cup'!A:A,'Milk Types Nutrition Per Cup'!B:B,0)) +(($S274 / 240)  * _xlfn.XLOOKUP($E274,'Milk Types Nutrition Per Cup'!A:A,'Milk Types Nutrition Per Cup'!B:B,0)) +(($T274 / 15)  * _xlfn.XLOOKUP($F274,'Liquid Mix In Nutrition'!A:A,'Liquid Mix In Nutrition'!B:B,0))+(($U274 / 15)  * _xlfn.XLOOKUP($G274,'Liquid Mix In Nutrition'!A:A,'Liquid Mix In Nutrition'!B:B,0))+(($V274 /MAX(1, _xlfn.XLOOKUP($H274,'Solid Mix In Nutrition'!A:A,'Solid Mix In Nutrition'!I:I,1)))  * _xlfn.XLOOKUP($H274,'Solid Mix In Nutrition'!A:A,'Solid Mix In Nutrition'!B:B,0))+(($W274 / MAX(1, _xlfn.XLOOKUP($I274,'Solid Mix In Nutrition'!A:A,'Solid Mix In Nutrition'!I:I,1))))+(($X274 / 100)  * _xlfn.XLOOKUP($J274,'Sweetener Mix In Nutrition'!A:A,'Sweetener Mix In Nutrition'!B:B,0))+(($Y274 / 100)  * _xlfn.XLOOKUP($K274,'Sweetener Mix In Nutrition'!A:A,'Sweetener Mix In Nutrition'!B:B,0))</f>
        <v>0</v>
      </c>
      <c r="AC274" s="36">
        <f>(($R274 / 240) * _xlfn.XLOOKUP($D274,'Milk Types Nutrition Per Cup'!A:A,'Milk Types Nutrition Per Cup'!E:E,0)) +(($S274 / 240)  * _xlfn.XLOOKUP($E274,'Milk Types Nutrition Per Cup'!A:A,'Milk Types Nutrition Per Cup'!E:E,0)) +(($T274 / 15)  * _xlfn.XLOOKUP($F274,'Liquid Mix In Nutrition'!A:A,'Liquid Mix In Nutrition'!E:E,0)) +(($U274 / 15)  * _xlfn.XLOOKUP($G274,'Liquid Mix In Nutrition'!A:A,'Liquid Mix In Nutrition'!E:E,0))+(($V274 / MAX(1, _xlfn.XLOOKUP($H274,'Solid Mix In Nutrition'!A:A,'Solid Mix In Nutrition'!I:I,1)))  * _xlfn.XLOOKUP($H274,'Solid Mix In Nutrition'!A:A,'Solid Mix In Nutrition'!E:E,0))+(($W274 / MAX(1, _xlfn.XLOOKUP($I274,'Solid Mix In Nutrition'!A:A,'Solid Mix In Nutrition'!I:I,1)))  * _xlfn.XLOOKUP($I274,'Solid Mix In Nutrition'!A:A,'Solid Mix In Nutrition'!G:G,0))+(($X274 / 100)  * _xlfn.XLOOKUP($J274,'Sweetener Mix In Nutrition'!A:A,'Sweetener Mix In Nutrition'!E:E,0))+(($Y274 / 100)  * _xlfn.XLOOKUP($K274,'Sweetener Mix In Nutrition'!A:A,'Sweetener Mix In Nutrition'!E:E,0))</f>
        <v>0</v>
      </c>
      <c r="AD274" s="36">
        <f>(($R274 / 240) * _xlfn.XLOOKUP($D274,'Milk Types Nutrition Per Cup'!A:A,'Milk Types Nutrition Per Cup'!E:E,0)) +(($S274 / 240)  * _xlfn.XLOOKUP($E274,'Milk Types Nutrition Per Cup'!A:A,'Milk Types Nutrition Per Cup'!E:E,0)) +(($T274 / 15)  * _xlfn.XLOOKUP($F274,'Liquid Mix In Nutrition'!A:A,'Liquid Mix In Nutrition'!E:E,0)) +(($U274 / 15)  * _xlfn.XLOOKUP($G274,'Liquid Mix In Nutrition'!A:A,'Liquid Mix In Nutrition'!E:E,0))+(($X274 / 100)  * _xlfn.XLOOKUP($J274,'Sweetener Mix In Nutrition'!A:A,'Sweetener Mix In Nutrition'!E:E,0))+(($Y274 / 100)  * _xlfn.XLOOKUP($K274,'Sweetener Mix In Nutrition'!A:A,'Sweetener Mix In Nutrition'!E:E,0))</f>
        <v>0</v>
      </c>
      <c r="AE274" s="37">
        <f>(($R274 / 240) * _xlfn.XLOOKUP($D274,'Milk Types Nutrition Per Cup'!A:A,'Milk Types Nutrition Per Cup'!C:C,0)) +(($S274 / 240)  * _xlfn.XLOOKUP($E274,'Milk Types Nutrition Per Cup'!A:A,'Milk Types Nutrition Per Cup'!C:C,0)) +(($T274 / 15)  * _xlfn.XLOOKUP($F274,'Liquid Mix In Nutrition'!A:A,'Liquid Mix In Nutrition'!C:C,0))+(($U274 / 15)  * _xlfn.XLOOKUP($G274,'Liquid Mix In Nutrition'!A:A,'Liquid Mix In Nutrition'!C:C,0))+(($V274 / MAX(1, _xlfn.XLOOKUP($H274,'Solid Mix In Nutrition'!A:A,'Solid Mix In Nutrition'!I:I,1)))  * _xlfn.XLOOKUP($H274,'Solid Mix In Nutrition'!A:A,'Solid Mix In Nutrition'!C:C,0))+(($W274 / MAX(1, _xlfn.XLOOKUP($I274,'Solid Mix In Nutrition'!A:A,'Solid Mix In Nutrition'!I:I,1)))  * _xlfn.XLOOKUP($I274,'Solid Mix In Nutrition'!A:A,'Solid Mix In Nutrition'!C:C,0))+(($X274 / 100)  * _xlfn.XLOOKUP($J274,'Sweetener Mix In Nutrition'!A:A,'Sweetener Mix In Nutrition'!C:C,0))+(($Y274 / 100)  * _xlfn.XLOOKUP($K274,'Sweetener Mix In Nutrition'!A:A,'Sweetener Mix In Nutrition'!C:C,0))</f>
        <v>0</v>
      </c>
      <c r="AF274" s="38" t="e">
        <f>$AE274 / (_xlfn.XLOOKUP($L274,Specs!A:A,Specs!B:B,0))</f>
        <v>#DIV/0!</v>
      </c>
      <c r="AG274" s="37" t="e">
        <f>60* ($AB274 / _xlfn.XLOOKUP($L274,Specs!A:A,Specs!B:B,0))</f>
        <v>#DIV/0!</v>
      </c>
      <c r="AH274" s="37" t="e">
        <f>60* (AC274 / _xlfn.XLOOKUP($L274,Specs!$A:$A,Specs!$B:$B,0))</f>
        <v>#DIV/0!</v>
      </c>
      <c r="AI274" s="37" t="e">
        <f>60* (AE274 / _xlfn.XLOOKUP($L274,Specs!$A:$A,Specs!$B:$B,0))</f>
        <v>#DIV/0!</v>
      </c>
      <c r="AJ274" s="39">
        <f>(($R274 / 240) * _xlfn.XLOOKUP($D274,'Milk Types Nutrition Per Cup'!A:A,'Milk Types Nutrition Per Cup'!F:F,0)) +(($S274 / 240)  * _xlfn.XLOOKUP($E274,'Milk Types Nutrition Per Cup'!A:A,'Milk Types Nutrition Per Cup'!F:F,0)) +(($T274 / 15)  * _xlfn.XLOOKUP($F274,'Liquid Mix In Nutrition'!A:A,'Liquid Mix In Nutrition'!F:F,0))+(($U274 / 15)  * _xlfn.XLOOKUP($G274,'Liquid Mix In Nutrition'!A:A,'Liquid Mix In Nutrition'!F:F,0))+(($V274 / MAX(1, _xlfn.XLOOKUP($H274,'Solid Mix In Nutrition'!A:A,'Solid Mix In Nutrition'!I:I,1)))  * _xlfn.XLOOKUP($H274,'Solid Mix In Nutrition'!A:A,'Solid Mix In Nutrition'!F:F,0))+(($W274 / MAX(1, _xlfn.XLOOKUP($I274,'Solid Mix In Nutrition'!A:A,'Solid Mix In Nutrition'!I:I,1)))  * _xlfn.XLOOKUP($I274,'Solid Mix In Nutrition'!A:A,'Solid Mix In Nutrition'!F:F,0))+(($X274 / 100)  * _xlfn.XLOOKUP($J274,'Sweetener Mix In Nutrition'!A:A,'Sweetener Mix In Nutrition'!F:F,0))+(($Y274 / 100)  * _xlfn.XLOOKUP($K274,'Sweetener Mix In Nutrition'!A:A,'Sweetener Mix In Nutrition'!F:F,0))</f>
        <v>0</v>
      </c>
      <c r="AK274" s="46">
        <f>[2]Sheet1!AG274</f>
        <v>0</v>
      </c>
      <c r="AL274" s="47"/>
      <c r="AM274" s="40">
        <f>IF(ISERROR(((AL274/Specs!$L$3)*Specs!$L$2)*2),0,ROUNDUP((((AL274/Specs!$L$3)*Specs!$L$2)*2),0))</f>
        <v>0</v>
      </c>
      <c r="AN274" s="48">
        <f>ROUNDUP(((AJ274+Specs!$R$2+Specs!$S$2+_xlfn.XLOOKUP($L274,Specs!A:A,Specs!V:V,0))*Specs!$N$2)+AM274,0)</f>
        <v>1</v>
      </c>
      <c r="AO274" s="40">
        <f>ROUNDUP(((AJ274+Specs!$R$2+Specs!$S$2+_xlfn.XLOOKUP($L274,Specs!A:A,Specs!V:V,0))*Specs!$N$2),0)</f>
        <v>1</v>
      </c>
      <c r="AP274" s="30"/>
    </row>
    <row r="275" spans="1:42" x14ac:dyDescent="0.25">
      <c r="A275" s="41" t="str">
        <f>_xlfn.CONCAT(_xlfn.XLOOKUP("What's Your Name?",[1]Sheet1!$1:$1,[1]Sheet1!275:275)," | ",TEXT(_xlfn.XLOOKUP("Completion time",[1]Sheet1!$1:$1,[1]Sheet1!275:275),"dddd, mmm dd, yyyy hh:mm AM/PM"))</f>
        <v xml:space="preserve"> | Saturday, Jan 00, 1900 12:00 AM</v>
      </c>
      <c r="B275" s="76">
        <f>_xlfn.XLOOKUP("What's Your Email Address?",[1]Sheet1!$1:$1,[1]Sheet1!275:275)</f>
        <v>0</v>
      </c>
      <c r="C275" s="31">
        <f>IF(ISBLANK(_xlfn.XLOOKUP("Which Flavor? (Pint Price | Quart Price | Half Gallon Price) (NOTE: Prices may fluctuate based on market conditions)",[1]Sheet1!$1:$1,[1]Sheet1!275:275)),_xlfn.XLOOKUP("Name Your Ice Cream!",[1]Sheet1!$1:$1,[1]Sheet1!275:275),IF(ISNUMBER(FIND("(", _xlfn.XLOOKUP("Which Flavor? (Pint Price | Quart Price | Half Gallon Price) (NOTE: Prices may fluctuate based on market conditions)",[1]Sheet1!$1:$1,[1]Sheet1!275:275))), LEFT(_xlfn.XLOOKUP("Which Flavor? (Pint Price | Quart Price | Half Gallon Price) (NOTE: Prices may fluctuate based on market conditions)",[1]Sheet1!$1:$1,[1]Sheet1!275:275), FIND("(", _xlfn.XLOOKUP("Which Flavor? (Pint Price | Quart Price | Half Gallon Price) (NOTE: Prices may fluctuate based on market conditions)",[1]Sheet1!$1:$1,[1]Sheet1!275:275)) - 1), _xlfn.XLOOKUP("Which Flavor? (Pint Price | Quart Price | Half Gallon Price) (NOTE: Prices may fluctuate based on market conditions)",[1]Sheet1!$1:$1,[1]Sheet1!275:275)))</f>
        <v>0</v>
      </c>
      <c r="D275" s="31">
        <f>IF(COUNTIF('Premade Flavors'!$A:$A, $C275) &gt; 0,IF(ISBLANK(_xlfn.XLOOKUP("What Ice Cream Base Do You Want To Change It To?",[1]Sheet1!$1:$1,[1]Sheet1!275:275)),_xlfn.XLOOKUP($C275,'Premade Flavors'!$A:$A,'Premade Flavors'!B:B),_xlfn.XLOOKUP("What Ice Cream Base Do You Want To Change It To?",[1]Sheet1!$1:$1,[1]Sheet1!275:275)),_xlfn.XLOOKUP(_xlfn.XLOOKUP("What Kind Of Ice Cream Base Do You Want? ",[1]Sheet1!$1:$1,[1]Sheet1!275:275),'Milk Types Nutrition Per Cup'!O:O,'Milk Types Nutrition Per Cup'!P:P,""))</f>
        <v>0</v>
      </c>
      <c r="E275" s="31">
        <f>IF(COUNTIF('Premade Flavors'!$A:$A, $C275) &gt; 0,IF(ISBLANK(_xlfn.XLOOKUP("What Ice Cream Base Do You Want To Change It To?",[1]Sheet1!$1:$1,[1]Sheet1!275:275)),_xlfn.XLOOKUP($C275,'Premade Flavors'!$A:$A,'Premade Flavors'!C:C),_xlfn.XLOOKUP("What Ice Cream Base Do You Want To Change It To?",[1]Sheet1!$1:$1,[1]Sheet1!275:275)),_xlfn.XLOOKUP(_xlfn.XLOOKUP("What Kind Of Ice Cream Base Do You Want? ",[1]Sheet1!$1:$1,[1]Sheet1!275:275),'Milk Types Nutrition Per Cup'!$O:$O,'Milk Types Nutrition Per Cup'!$Q:$Q,""))</f>
        <v>0</v>
      </c>
      <c r="F275" s="31">
        <f>IF(COUNTIF('Premade Flavors'!$A:$A, $C275) &gt; 0,_xlfn.XLOOKUP($C275,'Premade Flavors'!$A:$A,'Premade Flavors'!E:E),_xlfn.XLOOKUP("What's The First Flavor You Want? ",[1]Sheet1!$1:$1,[1]Sheet1!275:275))</f>
        <v>0</v>
      </c>
      <c r="G275" s="31">
        <f>IF(COUNTIF('Premade Flavors'!$A:$A, $C275) &gt; 0,_xlfn.XLOOKUP($C275,'Premade Flavors'!$A:$A,'Premade Flavors'!F:F),_xlfn.XLOOKUP("What's the Second Flavor You Want?",[1]Sheet1!$1:$1,[1]Sheet1!275:275))</f>
        <v>0</v>
      </c>
      <c r="H275" s="31">
        <f>IF(COUNTIF('Premade Flavors'!$A:$A, $C275) &gt; 0,_xlfn.XLOOKUP($C275,'Premade Flavors'!$A:$A,'Premade Flavors'!G:G),_xlfn.XLOOKUP("What's The First Mix In That You Want? ",[1]Sheet1!$1:$1,[1]Sheet1!275:275))</f>
        <v>0</v>
      </c>
      <c r="I275" s="31">
        <f>IF(COUNTIF('Premade Flavors'!$A:$A, $C273) &gt; 0,_xlfn.XLOOKUP($C273,'Premade Flavors'!$A:$A,'Premade Flavors'!H:H),IF([2]Sheet1!W273= 0,,[2]Sheet1!W273))</f>
        <v>0</v>
      </c>
      <c r="J275" s="31">
        <f>IF(COUNTIF('Premade Flavors'!$A:$A,$C275)&gt;0,IF(_xlfn.XLOOKUP("Should It Use Sugar or A Non-Sugar Sweetner?",[1]Sheet1!$1:$1,[1]Sheet1!275:275)="Sugar",_xlfn.XLOOKUP($C275,'Premade Flavors'!$A:$A,'Premade Flavors'!I:I),"Stevia"),_xlfn.XLOOKUP("What Sweetner Do You Want?",[1]Sheet1!$1:$1,[1]Sheet1!275:275))</f>
        <v>0</v>
      </c>
      <c r="K275" s="31"/>
      <c r="L275" s="77">
        <f>_xlfn.XLOOKUP("How Much Ice Cream Do You Want?",[1]Sheet1!$1:$1,[1]Sheet1!275:275)</f>
        <v>0</v>
      </c>
      <c r="M275" s="45">
        <f>IF(COUNTIF('Premade Flavors'!$A:$A, $C275) &gt; 0,_xlfn.XLOOKUP($C275,'Premade Flavors'!$A:$A,'Premade Flavors'!M:M),_xlfn.XLOOKUP("How Strong Do You Want The First Flavor?",[1]Sheet1!$1:$1,[1]Sheet1!275:275))</f>
        <v>0</v>
      </c>
      <c r="N275" s="45">
        <f>IF(COUNTIF('Premade Flavors'!$A:$A, $C275) &gt; 0,_xlfn.XLOOKUP($C275,'Premade Flavors'!$A:$A,'Premade Flavors'!N:N),_xlfn.XLOOKUP("How Strong Do You Want The Second Flavor?",[1]Sheet1!$1:$1,[1]Sheet1!275:275))</f>
        <v>0</v>
      </c>
      <c r="O275" s="45">
        <f>IF(COUNTIF('Premade Flavors'!$A:$A, $C275) &gt; 0,_xlfn.XLOOKUP($C275,'Premade Flavors'!$A:$A,'Premade Flavors'!O:O),_xlfn.XLOOKUP("How Dense Should the Mix Ins Be?",[1]Sheet1!$1:$1,[1]Sheet1!275:275))</f>
        <v>0</v>
      </c>
      <c r="P275" s="45">
        <f>IF(COUNTIF('Premade Flavors'!$A:$A, $C275) &gt; 0,_xlfn.XLOOKUP($C275,'Premade Flavors'!$A:$A,'Premade Flavors'!P:P),_xlfn.XLOOKUP("How Much Of The First Sweetner? ",[1]Sheet1!$1:$1,[1]Sheet1!275:275))</f>
        <v>0</v>
      </c>
      <c r="Q275" s="45">
        <f>IF(COUNTIF('Premade Flavors'!$A:$A, $C275) &gt; 0,_xlfn.XLOOKUP($C275,'Premade Flavors'!$A:$A,'Premade Flavors'!Q:Q),[2]Sheet1!S275)</f>
        <v>0</v>
      </c>
      <c r="R275" s="30">
        <f>(_xlfn.XLOOKUP($L275,Specs!A:A,Specs!B:B,0)-(IF(_xlfn.XLOOKUP($F275,'Liquid Mix In Nutrition'!A:A,'Liquid Mix In Nutrition'!J:J,0)="Yes",0,$T275))-(IF(_xlfn.XLOOKUP($G275,'Liquid Mix In Nutrition'!A:A,'Liquid Mix In Nutrition'!J:J,0)="Yes",0,$U275))-(($V275/MAX(1,_xlfn.XLOOKUP($H275,'Solid Mix In Nutrition'!A:A,'Solid Mix In Nutrition'!I:I,1)))*240)-(($W275/MAX(1,_xlfn.XLOOKUP($I275,'Solid Mix In Nutrition'!A:A,'Solid Mix In Nutrition'!I:I,1)))*240))*0.66</f>
        <v>0</v>
      </c>
      <c r="S275" s="30">
        <f>(_xlfn.XLOOKUP($L275,Specs!A:A,Specs!B:B,0)-(IF(_xlfn.XLOOKUP($F275,'Liquid Mix In Nutrition'!A:A,'Liquid Mix In Nutrition'!J:J,0)="Yes",0,$T275))-(IF(_xlfn.XLOOKUP($G275,'Liquid Mix In Nutrition'!A:A,'Liquid Mix In Nutrition'!J:J,0)="Yes",0,$U275))-(($V275/MAX(1,_xlfn.XLOOKUP($H275,'Solid Mix In Nutrition'!A:A,'Solid Mix In Nutrition'!I:I,1)))*240)-(($W275/MAX(1,_xlfn.XLOOKUP($I275,'Solid Mix In Nutrition'!A:A,'Solid Mix In Nutrition'!I:I,1)))*240))*0.33</f>
        <v>0</v>
      </c>
      <c r="T275" s="30">
        <f>_xlfn.XLOOKUP($M275,Specs!$D:$D,Specs!$E:$E,0)*15*_xlfn.XLOOKUP($L275,Specs!$A:$A,Specs!$C:$C,0)</f>
        <v>0</v>
      </c>
      <c r="U275" s="30">
        <f>_xlfn.XLOOKUP($N275,Specs!$D:$D,Specs!$E:$E,0)*15*_xlfn.XLOOKUP($L275,Specs!$A:$A,Specs!$C:$C,0)</f>
        <v>0</v>
      </c>
      <c r="V275" s="30">
        <f>( ((_xlfn.XLOOKUP($O275,Specs!$H:$H,Specs!$I:$I,0)*_xlfn.XLOOKUP($L275,Specs!$A:$A,Specs!$B:$B,0))/240) *_xlfn.XLOOKUP($H275,'Solid Mix In Nutrition'!A:A,'Solid Mix In Nutrition'!I:I,0)) *IF(AND(NOT($I275=0), COUNTA($I275)),0.5,1)</f>
        <v>0</v>
      </c>
      <c r="W275" s="30">
        <f>( ((_xlfn.XLOOKUP($O275,Specs!$H:$H,Specs!$I:$I,0)*_xlfn.XLOOKUP($L275,Specs!$A:$A,Specs!$B:$B,0))/240) *_xlfn.XLOOKUP($I275,'Solid Mix In Nutrition'!A:A,'Solid Mix In Nutrition'!I:I,0)) *IF(AND(NOT($I275=0), COUNTA($I275)),0.5,0)</f>
        <v>0</v>
      </c>
      <c r="X275" s="30">
        <f>_xlfn.XLOOKUP($P275,Specs!F:F,Specs!G:G,0)*_xlfn.XLOOKUP($J275,'Sweetener Mix In Nutrition'!A:A,'Sweetener Mix In Nutrition'!I:I,0)*_xlfn.XLOOKUP($L275,Specs!A:A,Specs!C:C,0)</f>
        <v>0</v>
      </c>
      <c r="Y275" s="30">
        <f>_xlfn.XLOOKUP($Q275,Specs!F:F,Specs!G:G,0)*_xlfn.XLOOKUP($K275,'Sweetener Mix In Nutrition'!A:A,'Sweetener Mix In Nutrition'!I:I,0)*_xlfn.XLOOKUP($L275,Specs!A:A,Specs!C:C,0)</f>
        <v>0</v>
      </c>
      <c r="Z275" s="34">
        <f t="shared" si="8"/>
        <v>0</v>
      </c>
      <c r="AA275" s="35">
        <f t="shared" si="9"/>
        <v>0</v>
      </c>
      <c r="AB275" s="36">
        <f>(($R275 / 240) * _xlfn.XLOOKUP($D275,'Milk Types Nutrition Per Cup'!A:A,'Milk Types Nutrition Per Cup'!B:B,0)) +(($S275 / 240)  * _xlfn.XLOOKUP($E275,'Milk Types Nutrition Per Cup'!A:A,'Milk Types Nutrition Per Cup'!B:B,0)) +(($T275 / 15)  * _xlfn.XLOOKUP($F275,'Liquid Mix In Nutrition'!A:A,'Liquid Mix In Nutrition'!B:B,0))+(($U275 / 15)  * _xlfn.XLOOKUP($G275,'Liquid Mix In Nutrition'!A:A,'Liquid Mix In Nutrition'!B:B,0))+(($V275 /MAX(1, _xlfn.XLOOKUP($H275,'Solid Mix In Nutrition'!A:A,'Solid Mix In Nutrition'!I:I,1)))  * _xlfn.XLOOKUP($H275,'Solid Mix In Nutrition'!A:A,'Solid Mix In Nutrition'!B:B,0))+(($W275 / MAX(1, _xlfn.XLOOKUP($I275,'Solid Mix In Nutrition'!A:A,'Solid Mix In Nutrition'!I:I,1))))+(($X275 / 100)  * _xlfn.XLOOKUP($J275,'Sweetener Mix In Nutrition'!A:A,'Sweetener Mix In Nutrition'!B:B,0))+(($Y275 / 100)  * _xlfn.XLOOKUP($K275,'Sweetener Mix In Nutrition'!A:A,'Sweetener Mix In Nutrition'!B:B,0))</f>
        <v>0</v>
      </c>
      <c r="AC275" s="36">
        <f>(($R275 / 240) * _xlfn.XLOOKUP($D275,'Milk Types Nutrition Per Cup'!A:A,'Milk Types Nutrition Per Cup'!E:E,0)) +(($S275 / 240)  * _xlfn.XLOOKUP($E275,'Milk Types Nutrition Per Cup'!A:A,'Milk Types Nutrition Per Cup'!E:E,0)) +(($T275 / 15)  * _xlfn.XLOOKUP($F275,'Liquid Mix In Nutrition'!A:A,'Liquid Mix In Nutrition'!E:E,0)) +(($U275 / 15)  * _xlfn.XLOOKUP($G275,'Liquid Mix In Nutrition'!A:A,'Liquid Mix In Nutrition'!E:E,0))+(($V275 / MAX(1, _xlfn.XLOOKUP($H275,'Solid Mix In Nutrition'!A:A,'Solid Mix In Nutrition'!I:I,1)))  * _xlfn.XLOOKUP($H275,'Solid Mix In Nutrition'!A:A,'Solid Mix In Nutrition'!E:E,0))+(($W275 / MAX(1, _xlfn.XLOOKUP($I275,'Solid Mix In Nutrition'!A:A,'Solid Mix In Nutrition'!I:I,1)))  * _xlfn.XLOOKUP($I275,'Solid Mix In Nutrition'!A:A,'Solid Mix In Nutrition'!G:G,0))+(($X275 / 100)  * _xlfn.XLOOKUP($J275,'Sweetener Mix In Nutrition'!A:A,'Sweetener Mix In Nutrition'!E:E,0))+(($Y275 / 100)  * _xlfn.XLOOKUP($K275,'Sweetener Mix In Nutrition'!A:A,'Sweetener Mix In Nutrition'!E:E,0))</f>
        <v>0</v>
      </c>
      <c r="AD275" s="36">
        <f>(($R275 / 240) * _xlfn.XLOOKUP($D275,'Milk Types Nutrition Per Cup'!A:A,'Milk Types Nutrition Per Cup'!E:E,0)) +(($S275 / 240)  * _xlfn.XLOOKUP($E275,'Milk Types Nutrition Per Cup'!A:A,'Milk Types Nutrition Per Cup'!E:E,0)) +(($T275 / 15)  * _xlfn.XLOOKUP($F275,'Liquid Mix In Nutrition'!A:A,'Liquid Mix In Nutrition'!E:E,0)) +(($U275 / 15)  * _xlfn.XLOOKUP($G275,'Liquid Mix In Nutrition'!A:A,'Liquid Mix In Nutrition'!E:E,0))+(($X275 / 100)  * _xlfn.XLOOKUP($J275,'Sweetener Mix In Nutrition'!A:A,'Sweetener Mix In Nutrition'!E:E,0))+(($Y275 / 100)  * _xlfn.XLOOKUP($K275,'Sweetener Mix In Nutrition'!A:A,'Sweetener Mix In Nutrition'!E:E,0))</f>
        <v>0</v>
      </c>
      <c r="AE275" s="37">
        <f>(($R275 / 240) * _xlfn.XLOOKUP($D275,'Milk Types Nutrition Per Cup'!A:A,'Milk Types Nutrition Per Cup'!C:C,0)) +(($S275 / 240)  * _xlfn.XLOOKUP($E275,'Milk Types Nutrition Per Cup'!A:A,'Milk Types Nutrition Per Cup'!C:C,0)) +(($T275 / 15)  * _xlfn.XLOOKUP($F275,'Liquid Mix In Nutrition'!A:A,'Liquid Mix In Nutrition'!C:C,0))+(($U275 / 15)  * _xlfn.XLOOKUP($G275,'Liquid Mix In Nutrition'!A:A,'Liquid Mix In Nutrition'!C:C,0))+(($V275 / MAX(1, _xlfn.XLOOKUP($H275,'Solid Mix In Nutrition'!A:A,'Solid Mix In Nutrition'!I:I,1)))  * _xlfn.XLOOKUP($H275,'Solid Mix In Nutrition'!A:A,'Solid Mix In Nutrition'!C:C,0))+(($W275 / MAX(1, _xlfn.XLOOKUP($I275,'Solid Mix In Nutrition'!A:A,'Solid Mix In Nutrition'!I:I,1)))  * _xlfn.XLOOKUP($I275,'Solid Mix In Nutrition'!A:A,'Solid Mix In Nutrition'!C:C,0))+(($X275 / 100)  * _xlfn.XLOOKUP($J275,'Sweetener Mix In Nutrition'!A:A,'Sweetener Mix In Nutrition'!C:C,0))+(($Y275 / 100)  * _xlfn.XLOOKUP($K275,'Sweetener Mix In Nutrition'!A:A,'Sweetener Mix In Nutrition'!C:C,0))</f>
        <v>0</v>
      </c>
      <c r="AF275" s="38" t="e">
        <f>$AE275 / (_xlfn.XLOOKUP($L275,Specs!A:A,Specs!B:B,0))</f>
        <v>#DIV/0!</v>
      </c>
      <c r="AG275" s="37" t="e">
        <f>60* ($AB275 / _xlfn.XLOOKUP($L275,Specs!A:A,Specs!B:B,0))</f>
        <v>#DIV/0!</v>
      </c>
      <c r="AH275" s="37" t="e">
        <f>60* (AC275 / _xlfn.XLOOKUP($L275,Specs!$A:$A,Specs!$B:$B,0))</f>
        <v>#DIV/0!</v>
      </c>
      <c r="AI275" s="37" t="e">
        <f>60* (AE275 / _xlfn.XLOOKUP($L275,Specs!$A:$A,Specs!$B:$B,0))</f>
        <v>#DIV/0!</v>
      </c>
      <c r="AJ275" s="39">
        <f>(($R275 / 240) * _xlfn.XLOOKUP($D275,'Milk Types Nutrition Per Cup'!A:A,'Milk Types Nutrition Per Cup'!F:F,0)) +(($S275 / 240)  * _xlfn.XLOOKUP($E275,'Milk Types Nutrition Per Cup'!A:A,'Milk Types Nutrition Per Cup'!F:F,0)) +(($T275 / 15)  * _xlfn.XLOOKUP($F275,'Liquid Mix In Nutrition'!A:A,'Liquid Mix In Nutrition'!F:F,0))+(($U275 / 15)  * _xlfn.XLOOKUP($G275,'Liquid Mix In Nutrition'!A:A,'Liquid Mix In Nutrition'!F:F,0))+(($V275 / MAX(1, _xlfn.XLOOKUP($H275,'Solid Mix In Nutrition'!A:A,'Solid Mix In Nutrition'!I:I,1)))  * _xlfn.XLOOKUP($H275,'Solid Mix In Nutrition'!A:A,'Solid Mix In Nutrition'!F:F,0))+(($W275 / MAX(1, _xlfn.XLOOKUP($I275,'Solid Mix In Nutrition'!A:A,'Solid Mix In Nutrition'!I:I,1)))  * _xlfn.XLOOKUP($I275,'Solid Mix In Nutrition'!A:A,'Solid Mix In Nutrition'!F:F,0))+(($X275 / 100)  * _xlfn.XLOOKUP($J275,'Sweetener Mix In Nutrition'!A:A,'Sweetener Mix In Nutrition'!F:F,0))+(($Y275 / 100)  * _xlfn.XLOOKUP($K275,'Sweetener Mix In Nutrition'!A:A,'Sweetener Mix In Nutrition'!F:F,0))</f>
        <v>0</v>
      </c>
      <c r="AK275" s="46">
        <f>[2]Sheet1!AG275</f>
        <v>0</v>
      </c>
      <c r="AL275" s="47"/>
      <c r="AM275" s="40">
        <f>IF(ISERROR(((AL275/Specs!$L$3)*Specs!$L$2)*2),0,ROUNDUP((((AL275/Specs!$L$3)*Specs!$L$2)*2),0))</f>
        <v>0</v>
      </c>
      <c r="AN275" s="48">
        <f>ROUNDUP(((AJ275+Specs!$R$2+Specs!$S$2+_xlfn.XLOOKUP($L275,Specs!A:A,Specs!V:V,0))*Specs!$N$2)+AM275,0)</f>
        <v>1</v>
      </c>
      <c r="AO275" s="40">
        <f>ROUNDUP(((AJ275+Specs!$R$2+Specs!$S$2+_xlfn.XLOOKUP($L275,Specs!A:A,Specs!V:V,0))*Specs!$N$2),0)</f>
        <v>1</v>
      </c>
      <c r="AP275" s="30"/>
    </row>
    <row r="276" spans="1:42" x14ac:dyDescent="0.25">
      <c r="A276" s="41" t="str">
        <f>_xlfn.CONCAT(_xlfn.XLOOKUP("What's Your Name?",[1]Sheet1!$1:$1,[1]Sheet1!276:276)," | ",TEXT(_xlfn.XLOOKUP("Completion time",[1]Sheet1!$1:$1,[1]Sheet1!276:276),"dddd, mmm dd, yyyy hh:mm AM/PM"))</f>
        <v xml:space="preserve"> | Saturday, Jan 00, 1900 12:00 AM</v>
      </c>
      <c r="B276" s="76">
        <f>_xlfn.XLOOKUP("What's Your Email Address?",[1]Sheet1!$1:$1,[1]Sheet1!276:276)</f>
        <v>0</v>
      </c>
      <c r="C276" s="31">
        <f>IF(ISBLANK(_xlfn.XLOOKUP("Which Flavor? (Pint Price | Quart Price | Half Gallon Price) (NOTE: Prices may fluctuate based on market conditions)",[1]Sheet1!$1:$1,[1]Sheet1!276:276)),_xlfn.XLOOKUP("Name Your Ice Cream!",[1]Sheet1!$1:$1,[1]Sheet1!276:276),IF(ISNUMBER(FIND("(", _xlfn.XLOOKUP("Which Flavor? (Pint Price | Quart Price | Half Gallon Price) (NOTE: Prices may fluctuate based on market conditions)",[1]Sheet1!$1:$1,[1]Sheet1!276:276))), LEFT(_xlfn.XLOOKUP("Which Flavor? (Pint Price | Quart Price | Half Gallon Price) (NOTE: Prices may fluctuate based on market conditions)",[1]Sheet1!$1:$1,[1]Sheet1!276:276), FIND("(", _xlfn.XLOOKUP("Which Flavor? (Pint Price | Quart Price | Half Gallon Price) (NOTE: Prices may fluctuate based on market conditions)",[1]Sheet1!$1:$1,[1]Sheet1!276:276)) - 1), _xlfn.XLOOKUP("Which Flavor? (Pint Price | Quart Price | Half Gallon Price) (NOTE: Prices may fluctuate based on market conditions)",[1]Sheet1!$1:$1,[1]Sheet1!276:276)))</f>
        <v>0</v>
      </c>
      <c r="D276" s="31">
        <f>IF(COUNTIF('Premade Flavors'!$A:$A, $C276) &gt; 0,IF(ISBLANK(_xlfn.XLOOKUP("What Ice Cream Base Do You Want To Change It To?",[1]Sheet1!$1:$1,[1]Sheet1!276:276)),_xlfn.XLOOKUP($C276,'Premade Flavors'!$A:$A,'Premade Flavors'!B:B),_xlfn.XLOOKUP("What Ice Cream Base Do You Want To Change It To?",[1]Sheet1!$1:$1,[1]Sheet1!276:276)),_xlfn.XLOOKUP(_xlfn.XLOOKUP("What Kind Of Ice Cream Base Do You Want? ",[1]Sheet1!$1:$1,[1]Sheet1!276:276),'Milk Types Nutrition Per Cup'!O:O,'Milk Types Nutrition Per Cup'!P:P,""))</f>
        <v>0</v>
      </c>
      <c r="E276" s="31">
        <f>IF(COUNTIF('Premade Flavors'!$A:$A, $C276) &gt; 0,IF(ISBLANK(_xlfn.XLOOKUP("What Ice Cream Base Do You Want To Change It To?",[1]Sheet1!$1:$1,[1]Sheet1!276:276)),_xlfn.XLOOKUP($C276,'Premade Flavors'!$A:$A,'Premade Flavors'!C:C),_xlfn.XLOOKUP("What Ice Cream Base Do You Want To Change It To?",[1]Sheet1!$1:$1,[1]Sheet1!276:276)),_xlfn.XLOOKUP(_xlfn.XLOOKUP("What Kind Of Ice Cream Base Do You Want? ",[1]Sheet1!$1:$1,[1]Sheet1!276:276),'Milk Types Nutrition Per Cup'!$O:$O,'Milk Types Nutrition Per Cup'!$Q:$Q,""))</f>
        <v>0</v>
      </c>
      <c r="F276" s="31">
        <f>IF(COUNTIF('Premade Flavors'!$A:$A, $C276) &gt; 0,_xlfn.XLOOKUP($C276,'Premade Flavors'!$A:$A,'Premade Flavors'!E:E),_xlfn.XLOOKUP("What's The First Flavor You Want? ",[1]Sheet1!$1:$1,[1]Sheet1!276:276))</f>
        <v>0</v>
      </c>
      <c r="G276" s="31">
        <f>IF(COUNTIF('Premade Flavors'!$A:$A, $C276) &gt; 0,_xlfn.XLOOKUP($C276,'Premade Flavors'!$A:$A,'Premade Flavors'!F:F),_xlfn.XLOOKUP("What's the Second Flavor You Want?",[1]Sheet1!$1:$1,[1]Sheet1!276:276))</f>
        <v>0</v>
      </c>
      <c r="H276" s="31">
        <f>IF(COUNTIF('Premade Flavors'!$A:$A, $C276) &gt; 0,_xlfn.XLOOKUP($C276,'Premade Flavors'!$A:$A,'Premade Flavors'!G:G),_xlfn.XLOOKUP("What's The First Mix In That You Want? ",[1]Sheet1!$1:$1,[1]Sheet1!276:276))</f>
        <v>0</v>
      </c>
      <c r="I276" s="31">
        <f>IF(COUNTIF('Premade Flavors'!$A:$A, $C274) &gt; 0,_xlfn.XLOOKUP($C274,'Premade Flavors'!$A:$A,'Premade Flavors'!H:H),IF([2]Sheet1!W274= 0,,[2]Sheet1!W274))</f>
        <v>0</v>
      </c>
      <c r="J276" s="31">
        <f>IF(COUNTIF('Premade Flavors'!$A:$A,$C276)&gt;0,IF(_xlfn.XLOOKUP("Should It Use Sugar or A Non-Sugar Sweetner?",[1]Sheet1!$1:$1,[1]Sheet1!276:276)="Sugar",_xlfn.XLOOKUP($C276,'Premade Flavors'!$A:$A,'Premade Flavors'!I:I),"Stevia"),_xlfn.XLOOKUP("What Sweetner Do You Want?",[1]Sheet1!$1:$1,[1]Sheet1!276:276))</f>
        <v>0</v>
      </c>
      <c r="K276" s="31"/>
      <c r="L276" s="77">
        <f>_xlfn.XLOOKUP("How Much Ice Cream Do You Want?",[1]Sheet1!$1:$1,[1]Sheet1!276:276)</f>
        <v>0</v>
      </c>
      <c r="M276" s="45">
        <f>IF(COUNTIF('Premade Flavors'!$A:$A, $C276) &gt; 0,_xlfn.XLOOKUP($C276,'Premade Flavors'!$A:$A,'Premade Flavors'!M:M),_xlfn.XLOOKUP("How Strong Do You Want The First Flavor?",[1]Sheet1!$1:$1,[1]Sheet1!276:276))</f>
        <v>0</v>
      </c>
      <c r="N276" s="45">
        <f>IF(COUNTIF('Premade Flavors'!$A:$A, $C276) &gt; 0,_xlfn.XLOOKUP($C276,'Premade Flavors'!$A:$A,'Premade Flavors'!N:N),_xlfn.XLOOKUP("How Strong Do You Want The Second Flavor?",[1]Sheet1!$1:$1,[1]Sheet1!276:276))</f>
        <v>0</v>
      </c>
      <c r="O276" s="45">
        <f>IF(COUNTIF('Premade Flavors'!$A:$A, $C276) &gt; 0,_xlfn.XLOOKUP($C276,'Premade Flavors'!$A:$A,'Premade Flavors'!O:O),_xlfn.XLOOKUP("How Dense Should the Mix Ins Be?",[1]Sheet1!$1:$1,[1]Sheet1!276:276))</f>
        <v>0</v>
      </c>
      <c r="P276" s="45">
        <f>IF(COUNTIF('Premade Flavors'!$A:$A, $C276) &gt; 0,_xlfn.XLOOKUP($C276,'Premade Flavors'!$A:$A,'Premade Flavors'!P:P),_xlfn.XLOOKUP("How Much Of The First Sweetner? ",[1]Sheet1!$1:$1,[1]Sheet1!276:276))</f>
        <v>0</v>
      </c>
      <c r="Q276" s="45">
        <f>IF(COUNTIF('Premade Flavors'!$A:$A, $C276) &gt; 0,_xlfn.XLOOKUP($C276,'Premade Flavors'!$A:$A,'Premade Flavors'!Q:Q),[2]Sheet1!S276)</f>
        <v>0</v>
      </c>
      <c r="R276" s="30">
        <f>(_xlfn.XLOOKUP($L276,Specs!A:A,Specs!B:B,0)-(IF(_xlfn.XLOOKUP($F276,'Liquid Mix In Nutrition'!A:A,'Liquid Mix In Nutrition'!J:J,0)="Yes",0,$T276))-(IF(_xlfn.XLOOKUP($G276,'Liquid Mix In Nutrition'!A:A,'Liquid Mix In Nutrition'!J:J,0)="Yes",0,$U276))-(($V276/MAX(1,_xlfn.XLOOKUP($H276,'Solid Mix In Nutrition'!A:A,'Solid Mix In Nutrition'!I:I,1)))*240)-(($W276/MAX(1,_xlfn.XLOOKUP($I276,'Solid Mix In Nutrition'!A:A,'Solid Mix In Nutrition'!I:I,1)))*240))*0.66</f>
        <v>0</v>
      </c>
      <c r="S276" s="30">
        <f>(_xlfn.XLOOKUP($L276,Specs!A:A,Specs!B:B,0)-(IF(_xlfn.XLOOKUP($F276,'Liquid Mix In Nutrition'!A:A,'Liquid Mix In Nutrition'!J:J,0)="Yes",0,$T276))-(IF(_xlfn.XLOOKUP($G276,'Liquid Mix In Nutrition'!A:A,'Liquid Mix In Nutrition'!J:J,0)="Yes",0,$U276))-(($V276/MAX(1,_xlfn.XLOOKUP($H276,'Solid Mix In Nutrition'!A:A,'Solid Mix In Nutrition'!I:I,1)))*240)-(($W276/MAX(1,_xlfn.XLOOKUP($I276,'Solid Mix In Nutrition'!A:A,'Solid Mix In Nutrition'!I:I,1)))*240))*0.33</f>
        <v>0</v>
      </c>
      <c r="T276" s="30">
        <f>_xlfn.XLOOKUP($M276,Specs!$D:$D,Specs!$E:$E,0)*15*_xlfn.XLOOKUP($L276,Specs!$A:$A,Specs!$C:$C,0)</f>
        <v>0</v>
      </c>
      <c r="U276" s="30">
        <f>_xlfn.XLOOKUP($N276,Specs!$D:$D,Specs!$E:$E,0)*15*_xlfn.XLOOKUP($L276,Specs!$A:$A,Specs!$C:$C,0)</f>
        <v>0</v>
      </c>
      <c r="V276" s="30">
        <f>( ((_xlfn.XLOOKUP($O276,Specs!$H:$H,Specs!$I:$I,0)*_xlfn.XLOOKUP($L276,Specs!$A:$A,Specs!$B:$B,0))/240) *_xlfn.XLOOKUP($H276,'Solid Mix In Nutrition'!A:A,'Solid Mix In Nutrition'!I:I,0)) *IF(AND(NOT($I276=0), COUNTA($I276)),0.5,1)</f>
        <v>0</v>
      </c>
      <c r="W276" s="30">
        <f>( ((_xlfn.XLOOKUP($O276,Specs!$H:$H,Specs!$I:$I,0)*_xlfn.XLOOKUP($L276,Specs!$A:$A,Specs!$B:$B,0))/240) *_xlfn.XLOOKUP($I276,'Solid Mix In Nutrition'!A:A,'Solid Mix In Nutrition'!I:I,0)) *IF(AND(NOT($I276=0), COUNTA($I276)),0.5,0)</f>
        <v>0</v>
      </c>
      <c r="X276" s="30">
        <f>_xlfn.XLOOKUP($P276,Specs!F:F,Specs!G:G,0)*_xlfn.XLOOKUP($J276,'Sweetener Mix In Nutrition'!A:A,'Sweetener Mix In Nutrition'!I:I,0)*_xlfn.XLOOKUP($L276,Specs!A:A,Specs!C:C,0)</f>
        <v>0</v>
      </c>
      <c r="Y276" s="30">
        <f>_xlfn.XLOOKUP($Q276,Specs!F:F,Specs!G:G,0)*_xlfn.XLOOKUP($K276,'Sweetener Mix In Nutrition'!A:A,'Sweetener Mix In Nutrition'!I:I,0)*_xlfn.XLOOKUP($L276,Specs!A:A,Specs!C:C,0)</f>
        <v>0</v>
      </c>
      <c r="Z276" s="34">
        <f t="shared" si="8"/>
        <v>0</v>
      </c>
      <c r="AA276" s="35">
        <f t="shared" si="9"/>
        <v>0</v>
      </c>
      <c r="AB276" s="36">
        <f>(($R276 / 240) * _xlfn.XLOOKUP($D276,'Milk Types Nutrition Per Cup'!A:A,'Milk Types Nutrition Per Cup'!B:B,0)) +(($S276 / 240)  * _xlfn.XLOOKUP($E276,'Milk Types Nutrition Per Cup'!A:A,'Milk Types Nutrition Per Cup'!B:B,0)) +(($T276 / 15)  * _xlfn.XLOOKUP($F276,'Liquid Mix In Nutrition'!A:A,'Liquid Mix In Nutrition'!B:B,0))+(($U276 / 15)  * _xlfn.XLOOKUP($G276,'Liquid Mix In Nutrition'!A:A,'Liquid Mix In Nutrition'!B:B,0))+(($V276 /MAX(1, _xlfn.XLOOKUP($H276,'Solid Mix In Nutrition'!A:A,'Solid Mix In Nutrition'!I:I,1)))  * _xlfn.XLOOKUP($H276,'Solid Mix In Nutrition'!A:A,'Solid Mix In Nutrition'!B:B,0))+(($W276 / MAX(1, _xlfn.XLOOKUP($I276,'Solid Mix In Nutrition'!A:A,'Solid Mix In Nutrition'!I:I,1))))+(($X276 / 100)  * _xlfn.XLOOKUP($J276,'Sweetener Mix In Nutrition'!A:A,'Sweetener Mix In Nutrition'!B:B,0))+(($Y276 / 100)  * _xlfn.XLOOKUP($K276,'Sweetener Mix In Nutrition'!A:A,'Sweetener Mix In Nutrition'!B:B,0))</f>
        <v>0</v>
      </c>
      <c r="AC276" s="36">
        <f>(($R276 / 240) * _xlfn.XLOOKUP($D276,'Milk Types Nutrition Per Cup'!A:A,'Milk Types Nutrition Per Cup'!E:E,0)) +(($S276 / 240)  * _xlfn.XLOOKUP($E276,'Milk Types Nutrition Per Cup'!A:A,'Milk Types Nutrition Per Cup'!E:E,0)) +(($T276 / 15)  * _xlfn.XLOOKUP($F276,'Liquid Mix In Nutrition'!A:A,'Liquid Mix In Nutrition'!E:E,0)) +(($U276 / 15)  * _xlfn.XLOOKUP($G276,'Liquid Mix In Nutrition'!A:A,'Liquid Mix In Nutrition'!E:E,0))+(($V276 / MAX(1, _xlfn.XLOOKUP($H276,'Solid Mix In Nutrition'!A:A,'Solid Mix In Nutrition'!I:I,1)))  * _xlfn.XLOOKUP($H276,'Solid Mix In Nutrition'!A:A,'Solid Mix In Nutrition'!E:E,0))+(($W276 / MAX(1, _xlfn.XLOOKUP($I276,'Solid Mix In Nutrition'!A:A,'Solid Mix In Nutrition'!I:I,1)))  * _xlfn.XLOOKUP($I276,'Solid Mix In Nutrition'!A:A,'Solid Mix In Nutrition'!G:G,0))+(($X276 / 100)  * _xlfn.XLOOKUP($J276,'Sweetener Mix In Nutrition'!A:A,'Sweetener Mix In Nutrition'!E:E,0))+(($Y276 / 100)  * _xlfn.XLOOKUP($K276,'Sweetener Mix In Nutrition'!A:A,'Sweetener Mix In Nutrition'!E:E,0))</f>
        <v>0</v>
      </c>
      <c r="AD276" s="36">
        <f>(($R276 / 240) * _xlfn.XLOOKUP($D276,'Milk Types Nutrition Per Cup'!A:A,'Milk Types Nutrition Per Cup'!E:E,0)) +(($S276 / 240)  * _xlfn.XLOOKUP($E276,'Milk Types Nutrition Per Cup'!A:A,'Milk Types Nutrition Per Cup'!E:E,0)) +(($T276 / 15)  * _xlfn.XLOOKUP($F276,'Liquid Mix In Nutrition'!A:A,'Liquid Mix In Nutrition'!E:E,0)) +(($U276 / 15)  * _xlfn.XLOOKUP($G276,'Liquid Mix In Nutrition'!A:A,'Liquid Mix In Nutrition'!E:E,0))+(($X276 / 100)  * _xlfn.XLOOKUP($J276,'Sweetener Mix In Nutrition'!A:A,'Sweetener Mix In Nutrition'!E:E,0))+(($Y276 / 100)  * _xlfn.XLOOKUP($K276,'Sweetener Mix In Nutrition'!A:A,'Sweetener Mix In Nutrition'!E:E,0))</f>
        <v>0</v>
      </c>
      <c r="AE276" s="37">
        <f>(($R276 / 240) * _xlfn.XLOOKUP($D276,'Milk Types Nutrition Per Cup'!A:A,'Milk Types Nutrition Per Cup'!C:C,0)) +(($S276 / 240)  * _xlfn.XLOOKUP($E276,'Milk Types Nutrition Per Cup'!A:A,'Milk Types Nutrition Per Cup'!C:C,0)) +(($T276 / 15)  * _xlfn.XLOOKUP($F276,'Liquid Mix In Nutrition'!A:A,'Liquid Mix In Nutrition'!C:C,0))+(($U276 / 15)  * _xlfn.XLOOKUP($G276,'Liquid Mix In Nutrition'!A:A,'Liquid Mix In Nutrition'!C:C,0))+(($V276 / MAX(1, _xlfn.XLOOKUP($H276,'Solid Mix In Nutrition'!A:A,'Solid Mix In Nutrition'!I:I,1)))  * _xlfn.XLOOKUP($H276,'Solid Mix In Nutrition'!A:A,'Solid Mix In Nutrition'!C:C,0))+(($W276 / MAX(1, _xlfn.XLOOKUP($I276,'Solid Mix In Nutrition'!A:A,'Solid Mix In Nutrition'!I:I,1)))  * _xlfn.XLOOKUP($I276,'Solid Mix In Nutrition'!A:A,'Solid Mix In Nutrition'!C:C,0))+(($X276 / 100)  * _xlfn.XLOOKUP($J276,'Sweetener Mix In Nutrition'!A:A,'Sweetener Mix In Nutrition'!C:C,0))+(($Y276 / 100)  * _xlfn.XLOOKUP($K276,'Sweetener Mix In Nutrition'!A:A,'Sweetener Mix In Nutrition'!C:C,0))</f>
        <v>0</v>
      </c>
      <c r="AF276" s="38" t="e">
        <f>$AE276 / (_xlfn.XLOOKUP($L276,Specs!A:A,Specs!B:B,0))</f>
        <v>#DIV/0!</v>
      </c>
      <c r="AG276" s="37" t="e">
        <f>60* ($AB276 / _xlfn.XLOOKUP($L276,Specs!A:A,Specs!B:B,0))</f>
        <v>#DIV/0!</v>
      </c>
      <c r="AH276" s="37" t="e">
        <f>60* (AC276 / _xlfn.XLOOKUP($L276,Specs!$A:$A,Specs!$B:$B,0))</f>
        <v>#DIV/0!</v>
      </c>
      <c r="AI276" s="37" t="e">
        <f>60* (AE276 / _xlfn.XLOOKUP($L276,Specs!$A:$A,Specs!$B:$B,0))</f>
        <v>#DIV/0!</v>
      </c>
      <c r="AJ276" s="39">
        <f>(($R276 / 240) * _xlfn.XLOOKUP($D276,'Milk Types Nutrition Per Cup'!A:A,'Milk Types Nutrition Per Cup'!F:F,0)) +(($S276 / 240)  * _xlfn.XLOOKUP($E276,'Milk Types Nutrition Per Cup'!A:A,'Milk Types Nutrition Per Cup'!F:F,0)) +(($T276 / 15)  * _xlfn.XLOOKUP($F276,'Liquid Mix In Nutrition'!A:A,'Liquid Mix In Nutrition'!F:F,0))+(($U276 / 15)  * _xlfn.XLOOKUP($G276,'Liquid Mix In Nutrition'!A:A,'Liquid Mix In Nutrition'!F:F,0))+(($V276 / MAX(1, _xlfn.XLOOKUP($H276,'Solid Mix In Nutrition'!A:A,'Solid Mix In Nutrition'!I:I,1)))  * _xlfn.XLOOKUP($H276,'Solid Mix In Nutrition'!A:A,'Solid Mix In Nutrition'!F:F,0))+(($W276 / MAX(1, _xlfn.XLOOKUP($I276,'Solid Mix In Nutrition'!A:A,'Solid Mix In Nutrition'!I:I,1)))  * _xlfn.XLOOKUP($I276,'Solid Mix In Nutrition'!A:A,'Solid Mix In Nutrition'!F:F,0))+(($X276 / 100)  * _xlfn.XLOOKUP($J276,'Sweetener Mix In Nutrition'!A:A,'Sweetener Mix In Nutrition'!F:F,0))+(($Y276 / 100)  * _xlfn.XLOOKUP($K276,'Sweetener Mix In Nutrition'!A:A,'Sweetener Mix In Nutrition'!F:F,0))</f>
        <v>0</v>
      </c>
      <c r="AK276" s="46">
        <f>[2]Sheet1!AG276</f>
        <v>0</v>
      </c>
      <c r="AL276" s="47"/>
      <c r="AM276" s="40">
        <f>IF(ISERROR(((AL276/Specs!$L$3)*Specs!$L$2)*2),0,ROUNDUP((((AL276/Specs!$L$3)*Specs!$L$2)*2),0))</f>
        <v>0</v>
      </c>
      <c r="AN276" s="48">
        <f>ROUNDUP(((AJ276+Specs!$R$2+Specs!$S$2+_xlfn.XLOOKUP($L276,Specs!A:A,Specs!V:V,0))*Specs!$N$2)+AM276,0)</f>
        <v>1</v>
      </c>
      <c r="AO276" s="40">
        <f>ROUNDUP(((AJ276+Specs!$R$2+Specs!$S$2+_xlfn.XLOOKUP($L276,Specs!A:A,Specs!V:V,0))*Specs!$N$2),0)</f>
        <v>1</v>
      </c>
      <c r="AP276" s="30"/>
    </row>
    <row r="277" spans="1:42" x14ac:dyDescent="0.25">
      <c r="A277" s="41" t="str">
        <f>_xlfn.CONCAT(_xlfn.XLOOKUP("What's Your Name?",[1]Sheet1!$1:$1,[1]Sheet1!277:277)," | ",TEXT(_xlfn.XLOOKUP("Completion time",[1]Sheet1!$1:$1,[1]Sheet1!277:277),"dddd, mmm dd, yyyy hh:mm AM/PM"))</f>
        <v xml:space="preserve"> | Saturday, Jan 00, 1900 12:00 AM</v>
      </c>
      <c r="B277" s="76">
        <f>_xlfn.XLOOKUP("What's Your Email Address?",[1]Sheet1!$1:$1,[1]Sheet1!277:277)</f>
        <v>0</v>
      </c>
      <c r="C277" s="31">
        <f>IF(ISBLANK(_xlfn.XLOOKUP("Which Flavor? (Pint Price | Quart Price | Half Gallon Price) (NOTE: Prices may fluctuate based on market conditions)",[1]Sheet1!$1:$1,[1]Sheet1!277:277)),_xlfn.XLOOKUP("Name Your Ice Cream!",[1]Sheet1!$1:$1,[1]Sheet1!277:277),IF(ISNUMBER(FIND("(", _xlfn.XLOOKUP("Which Flavor? (Pint Price | Quart Price | Half Gallon Price) (NOTE: Prices may fluctuate based on market conditions)",[1]Sheet1!$1:$1,[1]Sheet1!277:277))), LEFT(_xlfn.XLOOKUP("Which Flavor? (Pint Price | Quart Price | Half Gallon Price) (NOTE: Prices may fluctuate based on market conditions)",[1]Sheet1!$1:$1,[1]Sheet1!277:277), FIND("(", _xlfn.XLOOKUP("Which Flavor? (Pint Price | Quart Price | Half Gallon Price) (NOTE: Prices may fluctuate based on market conditions)",[1]Sheet1!$1:$1,[1]Sheet1!277:277)) - 1), _xlfn.XLOOKUP("Which Flavor? (Pint Price | Quart Price | Half Gallon Price) (NOTE: Prices may fluctuate based on market conditions)",[1]Sheet1!$1:$1,[1]Sheet1!277:277)))</f>
        <v>0</v>
      </c>
      <c r="D277" s="31">
        <f>IF(COUNTIF('Premade Flavors'!$A:$A, $C277) &gt; 0,IF(ISBLANK(_xlfn.XLOOKUP("What Ice Cream Base Do You Want To Change It To?",[1]Sheet1!$1:$1,[1]Sheet1!277:277)),_xlfn.XLOOKUP($C277,'Premade Flavors'!$A:$A,'Premade Flavors'!B:B),_xlfn.XLOOKUP("What Ice Cream Base Do You Want To Change It To?",[1]Sheet1!$1:$1,[1]Sheet1!277:277)),_xlfn.XLOOKUP(_xlfn.XLOOKUP("What Kind Of Ice Cream Base Do You Want? ",[1]Sheet1!$1:$1,[1]Sheet1!277:277),'Milk Types Nutrition Per Cup'!O:O,'Milk Types Nutrition Per Cup'!P:P,""))</f>
        <v>0</v>
      </c>
      <c r="E277" s="31">
        <f>IF(COUNTIF('Premade Flavors'!$A:$A, $C277) &gt; 0,IF(ISBLANK(_xlfn.XLOOKUP("What Ice Cream Base Do You Want To Change It To?",[1]Sheet1!$1:$1,[1]Sheet1!277:277)),_xlfn.XLOOKUP($C277,'Premade Flavors'!$A:$A,'Premade Flavors'!C:C),_xlfn.XLOOKUP("What Ice Cream Base Do You Want To Change It To?",[1]Sheet1!$1:$1,[1]Sheet1!277:277)),_xlfn.XLOOKUP(_xlfn.XLOOKUP("What Kind Of Ice Cream Base Do You Want? ",[1]Sheet1!$1:$1,[1]Sheet1!277:277),'Milk Types Nutrition Per Cup'!$O:$O,'Milk Types Nutrition Per Cup'!$Q:$Q,""))</f>
        <v>0</v>
      </c>
      <c r="F277" s="31">
        <f>IF(COUNTIF('Premade Flavors'!$A:$A, $C277) &gt; 0,_xlfn.XLOOKUP($C277,'Premade Flavors'!$A:$A,'Premade Flavors'!E:E),_xlfn.XLOOKUP("What's The First Flavor You Want? ",[1]Sheet1!$1:$1,[1]Sheet1!277:277))</f>
        <v>0</v>
      </c>
      <c r="G277" s="31">
        <f>IF(COUNTIF('Premade Flavors'!$A:$A, $C277) &gt; 0,_xlfn.XLOOKUP($C277,'Premade Flavors'!$A:$A,'Premade Flavors'!F:F),_xlfn.XLOOKUP("What's the Second Flavor You Want?",[1]Sheet1!$1:$1,[1]Sheet1!277:277))</f>
        <v>0</v>
      </c>
      <c r="H277" s="31">
        <f>IF(COUNTIF('Premade Flavors'!$A:$A, $C277) &gt; 0,_xlfn.XLOOKUP($C277,'Premade Flavors'!$A:$A,'Premade Flavors'!G:G),_xlfn.XLOOKUP("What's The First Mix In That You Want? ",[1]Sheet1!$1:$1,[1]Sheet1!277:277))</f>
        <v>0</v>
      </c>
      <c r="I277" s="31">
        <f>IF(COUNTIF('Premade Flavors'!$A:$A, $C275) &gt; 0,_xlfn.XLOOKUP($C275,'Premade Flavors'!$A:$A,'Premade Flavors'!H:H),IF([2]Sheet1!W275= 0,,[2]Sheet1!W275))</f>
        <v>0</v>
      </c>
      <c r="J277" s="31">
        <f>IF(COUNTIF('Premade Flavors'!$A:$A,$C277)&gt;0,IF(_xlfn.XLOOKUP("Should It Use Sugar or A Non-Sugar Sweetner?",[1]Sheet1!$1:$1,[1]Sheet1!277:277)="Sugar",_xlfn.XLOOKUP($C277,'Premade Flavors'!$A:$A,'Premade Flavors'!I:I),"Stevia"),_xlfn.XLOOKUP("What Sweetner Do You Want?",[1]Sheet1!$1:$1,[1]Sheet1!277:277))</f>
        <v>0</v>
      </c>
      <c r="K277" s="31"/>
      <c r="L277" s="77">
        <f>_xlfn.XLOOKUP("How Much Ice Cream Do You Want?",[1]Sheet1!$1:$1,[1]Sheet1!277:277)</f>
        <v>0</v>
      </c>
      <c r="M277" s="45">
        <f>IF(COUNTIF('Premade Flavors'!$A:$A, $C277) &gt; 0,_xlfn.XLOOKUP($C277,'Premade Flavors'!$A:$A,'Premade Flavors'!M:M),_xlfn.XLOOKUP("How Strong Do You Want The First Flavor?",[1]Sheet1!$1:$1,[1]Sheet1!277:277))</f>
        <v>0</v>
      </c>
      <c r="N277" s="45">
        <f>IF(COUNTIF('Premade Flavors'!$A:$A, $C277) &gt; 0,_xlfn.XLOOKUP($C277,'Premade Flavors'!$A:$A,'Premade Flavors'!N:N),_xlfn.XLOOKUP("How Strong Do You Want The Second Flavor?",[1]Sheet1!$1:$1,[1]Sheet1!277:277))</f>
        <v>0</v>
      </c>
      <c r="O277" s="45">
        <f>IF(COUNTIF('Premade Flavors'!$A:$A, $C277) &gt; 0,_xlfn.XLOOKUP($C277,'Premade Flavors'!$A:$A,'Premade Flavors'!O:O),_xlfn.XLOOKUP("How Dense Should the Mix Ins Be?",[1]Sheet1!$1:$1,[1]Sheet1!277:277))</f>
        <v>0</v>
      </c>
      <c r="P277" s="45">
        <f>IF(COUNTIF('Premade Flavors'!$A:$A, $C277) &gt; 0,_xlfn.XLOOKUP($C277,'Premade Flavors'!$A:$A,'Premade Flavors'!P:P),_xlfn.XLOOKUP("How Much Of The First Sweetner? ",[1]Sheet1!$1:$1,[1]Sheet1!277:277))</f>
        <v>0</v>
      </c>
      <c r="Q277" s="45">
        <f>IF(COUNTIF('Premade Flavors'!$A:$A, $C277) &gt; 0,_xlfn.XLOOKUP($C277,'Premade Flavors'!$A:$A,'Premade Flavors'!Q:Q),[2]Sheet1!S277)</f>
        <v>0</v>
      </c>
      <c r="R277" s="30">
        <f>(_xlfn.XLOOKUP($L277,Specs!A:A,Specs!B:B,0)-(IF(_xlfn.XLOOKUP($F277,'Liquid Mix In Nutrition'!A:A,'Liquid Mix In Nutrition'!J:J,0)="Yes",0,$T277))-(IF(_xlfn.XLOOKUP($G277,'Liquid Mix In Nutrition'!A:A,'Liquid Mix In Nutrition'!J:J,0)="Yes",0,$U277))-(($V277/MAX(1,_xlfn.XLOOKUP($H277,'Solid Mix In Nutrition'!A:A,'Solid Mix In Nutrition'!I:I,1)))*240)-(($W277/MAX(1,_xlfn.XLOOKUP($I277,'Solid Mix In Nutrition'!A:A,'Solid Mix In Nutrition'!I:I,1)))*240))*0.66</f>
        <v>0</v>
      </c>
      <c r="S277" s="30">
        <f>(_xlfn.XLOOKUP($L277,Specs!A:A,Specs!B:B,0)-(IF(_xlfn.XLOOKUP($F277,'Liquid Mix In Nutrition'!A:A,'Liquid Mix In Nutrition'!J:J,0)="Yes",0,$T277))-(IF(_xlfn.XLOOKUP($G277,'Liquid Mix In Nutrition'!A:A,'Liquid Mix In Nutrition'!J:J,0)="Yes",0,$U277))-(($V277/MAX(1,_xlfn.XLOOKUP($H277,'Solid Mix In Nutrition'!A:A,'Solid Mix In Nutrition'!I:I,1)))*240)-(($W277/MAX(1,_xlfn.XLOOKUP($I277,'Solid Mix In Nutrition'!A:A,'Solid Mix In Nutrition'!I:I,1)))*240))*0.33</f>
        <v>0</v>
      </c>
      <c r="T277" s="30">
        <f>_xlfn.XLOOKUP($M277,Specs!$D:$D,Specs!$E:$E,0)*15*_xlfn.XLOOKUP($L277,Specs!$A:$A,Specs!$C:$C,0)</f>
        <v>0</v>
      </c>
      <c r="U277" s="30">
        <f>_xlfn.XLOOKUP($N277,Specs!$D:$D,Specs!$E:$E,0)*15*_xlfn.XLOOKUP($L277,Specs!$A:$A,Specs!$C:$C,0)</f>
        <v>0</v>
      </c>
      <c r="V277" s="30">
        <f>( ((_xlfn.XLOOKUP($O277,Specs!$H:$H,Specs!$I:$I,0)*_xlfn.XLOOKUP($L277,Specs!$A:$A,Specs!$B:$B,0))/240) *_xlfn.XLOOKUP($H277,'Solid Mix In Nutrition'!A:A,'Solid Mix In Nutrition'!I:I,0)) *IF(AND(NOT($I277=0), COUNTA($I277)),0.5,1)</f>
        <v>0</v>
      </c>
      <c r="W277" s="30">
        <f>( ((_xlfn.XLOOKUP($O277,Specs!$H:$H,Specs!$I:$I,0)*_xlfn.XLOOKUP($L277,Specs!$A:$A,Specs!$B:$B,0))/240) *_xlfn.XLOOKUP($I277,'Solid Mix In Nutrition'!A:A,'Solid Mix In Nutrition'!I:I,0)) *IF(AND(NOT($I277=0), COUNTA($I277)),0.5,0)</f>
        <v>0</v>
      </c>
      <c r="X277" s="30">
        <f>_xlfn.XLOOKUP($P277,Specs!F:F,Specs!G:G,0)*_xlfn.XLOOKUP($J277,'Sweetener Mix In Nutrition'!A:A,'Sweetener Mix In Nutrition'!I:I,0)*_xlfn.XLOOKUP($L277,Specs!A:A,Specs!C:C,0)</f>
        <v>0</v>
      </c>
      <c r="Y277" s="30">
        <f>_xlfn.XLOOKUP($Q277,Specs!F:F,Specs!G:G,0)*_xlfn.XLOOKUP($K277,'Sweetener Mix In Nutrition'!A:A,'Sweetener Mix In Nutrition'!I:I,0)*_xlfn.XLOOKUP($L277,Specs!A:A,Specs!C:C,0)</f>
        <v>0</v>
      </c>
      <c r="Z277" s="34">
        <f t="shared" si="8"/>
        <v>0</v>
      </c>
      <c r="AA277" s="35">
        <f t="shared" si="9"/>
        <v>0</v>
      </c>
      <c r="AB277" s="36">
        <f>(($R277 / 240) * _xlfn.XLOOKUP($D277,'Milk Types Nutrition Per Cup'!A:A,'Milk Types Nutrition Per Cup'!B:B,0)) +(($S277 / 240)  * _xlfn.XLOOKUP($E277,'Milk Types Nutrition Per Cup'!A:A,'Milk Types Nutrition Per Cup'!B:B,0)) +(($T277 / 15)  * _xlfn.XLOOKUP($F277,'Liquid Mix In Nutrition'!A:A,'Liquid Mix In Nutrition'!B:B,0))+(($U277 / 15)  * _xlfn.XLOOKUP($G277,'Liquid Mix In Nutrition'!A:A,'Liquid Mix In Nutrition'!B:B,0))+(($V277 /MAX(1, _xlfn.XLOOKUP($H277,'Solid Mix In Nutrition'!A:A,'Solid Mix In Nutrition'!I:I,1)))  * _xlfn.XLOOKUP($H277,'Solid Mix In Nutrition'!A:A,'Solid Mix In Nutrition'!B:B,0))+(($W277 / MAX(1, _xlfn.XLOOKUP($I277,'Solid Mix In Nutrition'!A:A,'Solid Mix In Nutrition'!I:I,1))))+(($X277 / 100)  * _xlfn.XLOOKUP($J277,'Sweetener Mix In Nutrition'!A:A,'Sweetener Mix In Nutrition'!B:B,0))+(($Y277 / 100)  * _xlfn.XLOOKUP($K277,'Sweetener Mix In Nutrition'!A:A,'Sweetener Mix In Nutrition'!B:B,0))</f>
        <v>0</v>
      </c>
      <c r="AC277" s="36">
        <f>(($R277 / 240) * _xlfn.XLOOKUP($D277,'Milk Types Nutrition Per Cup'!A:A,'Milk Types Nutrition Per Cup'!E:E,0)) +(($S277 / 240)  * _xlfn.XLOOKUP($E277,'Milk Types Nutrition Per Cup'!A:A,'Milk Types Nutrition Per Cup'!E:E,0)) +(($T277 / 15)  * _xlfn.XLOOKUP($F277,'Liquid Mix In Nutrition'!A:A,'Liquid Mix In Nutrition'!E:E,0)) +(($U277 / 15)  * _xlfn.XLOOKUP($G277,'Liquid Mix In Nutrition'!A:A,'Liquid Mix In Nutrition'!E:E,0))+(($V277 / MAX(1, _xlfn.XLOOKUP($H277,'Solid Mix In Nutrition'!A:A,'Solid Mix In Nutrition'!I:I,1)))  * _xlfn.XLOOKUP($H277,'Solid Mix In Nutrition'!A:A,'Solid Mix In Nutrition'!E:E,0))+(($W277 / MAX(1, _xlfn.XLOOKUP($I277,'Solid Mix In Nutrition'!A:A,'Solid Mix In Nutrition'!I:I,1)))  * _xlfn.XLOOKUP($I277,'Solid Mix In Nutrition'!A:A,'Solid Mix In Nutrition'!G:G,0))+(($X277 / 100)  * _xlfn.XLOOKUP($J277,'Sweetener Mix In Nutrition'!A:A,'Sweetener Mix In Nutrition'!E:E,0))+(($Y277 / 100)  * _xlfn.XLOOKUP($K277,'Sweetener Mix In Nutrition'!A:A,'Sweetener Mix In Nutrition'!E:E,0))</f>
        <v>0</v>
      </c>
      <c r="AD277" s="36">
        <f>(($R277 / 240) * _xlfn.XLOOKUP($D277,'Milk Types Nutrition Per Cup'!A:A,'Milk Types Nutrition Per Cup'!E:E,0)) +(($S277 / 240)  * _xlfn.XLOOKUP($E277,'Milk Types Nutrition Per Cup'!A:A,'Milk Types Nutrition Per Cup'!E:E,0)) +(($T277 / 15)  * _xlfn.XLOOKUP($F277,'Liquid Mix In Nutrition'!A:A,'Liquid Mix In Nutrition'!E:E,0)) +(($U277 / 15)  * _xlfn.XLOOKUP($G277,'Liquid Mix In Nutrition'!A:A,'Liquid Mix In Nutrition'!E:E,0))+(($X277 / 100)  * _xlfn.XLOOKUP($J277,'Sweetener Mix In Nutrition'!A:A,'Sweetener Mix In Nutrition'!E:E,0))+(($Y277 / 100)  * _xlfn.XLOOKUP($K277,'Sweetener Mix In Nutrition'!A:A,'Sweetener Mix In Nutrition'!E:E,0))</f>
        <v>0</v>
      </c>
      <c r="AE277" s="37">
        <f>(($R277 / 240) * _xlfn.XLOOKUP($D277,'Milk Types Nutrition Per Cup'!A:A,'Milk Types Nutrition Per Cup'!C:C,0)) +(($S277 / 240)  * _xlfn.XLOOKUP($E277,'Milk Types Nutrition Per Cup'!A:A,'Milk Types Nutrition Per Cup'!C:C,0)) +(($T277 / 15)  * _xlfn.XLOOKUP($F277,'Liquid Mix In Nutrition'!A:A,'Liquid Mix In Nutrition'!C:C,0))+(($U277 / 15)  * _xlfn.XLOOKUP($G277,'Liquid Mix In Nutrition'!A:A,'Liquid Mix In Nutrition'!C:C,0))+(($V277 / MAX(1, _xlfn.XLOOKUP($H277,'Solid Mix In Nutrition'!A:A,'Solid Mix In Nutrition'!I:I,1)))  * _xlfn.XLOOKUP($H277,'Solid Mix In Nutrition'!A:A,'Solid Mix In Nutrition'!C:C,0))+(($W277 / MAX(1, _xlfn.XLOOKUP($I277,'Solid Mix In Nutrition'!A:A,'Solid Mix In Nutrition'!I:I,1)))  * _xlfn.XLOOKUP($I277,'Solid Mix In Nutrition'!A:A,'Solid Mix In Nutrition'!C:C,0))+(($X277 / 100)  * _xlfn.XLOOKUP($J277,'Sweetener Mix In Nutrition'!A:A,'Sweetener Mix In Nutrition'!C:C,0))+(($Y277 / 100)  * _xlfn.XLOOKUP($K277,'Sweetener Mix In Nutrition'!A:A,'Sweetener Mix In Nutrition'!C:C,0))</f>
        <v>0</v>
      </c>
      <c r="AF277" s="38" t="e">
        <f>$AE277 / (_xlfn.XLOOKUP($L277,Specs!A:A,Specs!B:B,0))</f>
        <v>#DIV/0!</v>
      </c>
      <c r="AG277" s="37" t="e">
        <f>60* ($AB277 / _xlfn.XLOOKUP($L277,Specs!A:A,Specs!B:B,0))</f>
        <v>#DIV/0!</v>
      </c>
      <c r="AH277" s="37" t="e">
        <f>60* (AC277 / _xlfn.XLOOKUP($L277,Specs!$A:$A,Specs!$B:$B,0))</f>
        <v>#DIV/0!</v>
      </c>
      <c r="AI277" s="37" t="e">
        <f>60* (AE277 / _xlfn.XLOOKUP($L277,Specs!$A:$A,Specs!$B:$B,0))</f>
        <v>#DIV/0!</v>
      </c>
      <c r="AJ277" s="39">
        <f>(($R277 / 240) * _xlfn.XLOOKUP($D277,'Milk Types Nutrition Per Cup'!A:A,'Milk Types Nutrition Per Cup'!F:F,0)) +(($S277 / 240)  * _xlfn.XLOOKUP($E277,'Milk Types Nutrition Per Cup'!A:A,'Milk Types Nutrition Per Cup'!F:F,0)) +(($T277 / 15)  * _xlfn.XLOOKUP($F277,'Liquid Mix In Nutrition'!A:A,'Liquid Mix In Nutrition'!F:F,0))+(($U277 / 15)  * _xlfn.XLOOKUP($G277,'Liquid Mix In Nutrition'!A:A,'Liquid Mix In Nutrition'!F:F,0))+(($V277 / MAX(1, _xlfn.XLOOKUP($H277,'Solid Mix In Nutrition'!A:A,'Solid Mix In Nutrition'!I:I,1)))  * _xlfn.XLOOKUP($H277,'Solid Mix In Nutrition'!A:A,'Solid Mix In Nutrition'!F:F,0))+(($W277 / MAX(1, _xlfn.XLOOKUP($I277,'Solid Mix In Nutrition'!A:A,'Solid Mix In Nutrition'!I:I,1)))  * _xlfn.XLOOKUP($I277,'Solid Mix In Nutrition'!A:A,'Solid Mix In Nutrition'!F:F,0))+(($X277 / 100)  * _xlfn.XLOOKUP($J277,'Sweetener Mix In Nutrition'!A:A,'Sweetener Mix In Nutrition'!F:F,0))+(($Y277 / 100)  * _xlfn.XLOOKUP($K277,'Sweetener Mix In Nutrition'!A:A,'Sweetener Mix In Nutrition'!F:F,0))</f>
        <v>0</v>
      </c>
      <c r="AK277" s="46">
        <f>[2]Sheet1!AG277</f>
        <v>0</v>
      </c>
      <c r="AL277" s="47"/>
      <c r="AM277" s="40">
        <f>IF(ISERROR(((AL277/Specs!$L$3)*Specs!$L$2)*2),0,ROUNDUP((((AL277/Specs!$L$3)*Specs!$L$2)*2),0))</f>
        <v>0</v>
      </c>
      <c r="AN277" s="48">
        <f>ROUNDUP(((AJ277+Specs!$R$2+Specs!$S$2+_xlfn.XLOOKUP($L277,Specs!A:A,Specs!V:V,0))*Specs!$N$2)+AM277,0)</f>
        <v>1</v>
      </c>
      <c r="AO277" s="40">
        <f>ROUNDUP(((AJ277+Specs!$R$2+Specs!$S$2+_xlfn.XLOOKUP($L277,Specs!A:A,Specs!V:V,0))*Specs!$N$2),0)</f>
        <v>1</v>
      </c>
      <c r="AP277" s="30"/>
    </row>
    <row r="278" spans="1:42" x14ac:dyDescent="0.25">
      <c r="A278" s="41" t="str">
        <f>_xlfn.CONCAT(_xlfn.XLOOKUP("What's Your Name?",[1]Sheet1!$1:$1,[1]Sheet1!278:278)," | ",TEXT(_xlfn.XLOOKUP("Completion time",[1]Sheet1!$1:$1,[1]Sheet1!278:278),"dddd, mmm dd, yyyy hh:mm AM/PM"))</f>
        <v xml:space="preserve"> | Saturday, Jan 00, 1900 12:00 AM</v>
      </c>
      <c r="B278" s="76">
        <f>_xlfn.XLOOKUP("What's Your Email Address?",[1]Sheet1!$1:$1,[1]Sheet1!278:278)</f>
        <v>0</v>
      </c>
      <c r="C278" s="31">
        <f>IF(ISBLANK(_xlfn.XLOOKUP("Which Flavor? (Pint Price | Quart Price | Half Gallon Price) (NOTE: Prices may fluctuate based on market conditions)",[1]Sheet1!$1:$1,[1]Sheet1!278:278)),_xlfn.XLOOKUP("Name Your Ice Cream!",[1]Sheet1!$1:$1,[1]Sheet1!278:278),IF(ISNUMBER(FIND("(", _xlfn.XLOOKUP("Which Flavor? (Pint Price | Quart Price | Half Gallon Price) (NOTE: Prices may fluctuate based on market conditions)",[1]Sheet1!$1:$1,[1]Sheet1!278:278))), LEFT(_xlfn.XLOOKUP("Which Flavor? (Pint Price | Quart Price | Half Gallon Price) (NOTE: Prices may fluctuate based on market conditions)",[1]Sheet1!$1:$1,[1]Sheet1!278:278), FIND("(", _xlfn.XLOOKUP("Which Flavor? (Pint Price | Quart Price | Half Gallon Price) (NOTE: Prices may fluctuate based on market conditions)",[1]Sheet1!$1:$1,[1]Sheet1!278:278)) - 1), _xlfn.XLOOKUP("Which Flavor? (Pint Price | Quart Price | Half Gallon Price) (NOTE: Prices may fluctuate based on market conditions)",[1]Sheet1!$1:$1,[1]Sheet1!278:278)))</f>
        <v>0</v>
      </c>
      <c r="D278" s="31">
        <f>IF(COUNTIF('Premade Flavors'!$A:$A, $C278) &gt; 0,IF(ISBLANK(_xlfn.XLOOKUP("What Ice Cream Base Do You Want To Change It To?",[1]Sheet1!$1:$1,[1]Sheet1!278:278)),_xlfn.XLOOKUP($C278,'Premade Flavors'!$A:$A,'Premade Flavors'!B:B),_xlfn.XLOOKUP("What Ice Cream Base Do You Want To Change It To?",[1]Sheet1!$1:$1,[1]Sheet1!278:278)),_xlfn.XLOOKUP(_xlfn.XLOOKUP("What Kind Of Ice Cream Base Do You Want? ",[1]Sheet1!$1:$1,[1]Sheet1!278:278),'Milk Types Nutrition Per Cup'!O:O,'Milk Types Nutrition Per Cup'!P:P,""))</f>
        <v>0</v>
      </c>
      <c r="E278" s="31">
        <f>IF(COUNTIF('Premade Flavors'!$A:$A, $C278) &gt; 0,IF(ISBLANK(_xlfn.XLOOKUP("What Ice Cream Base Do You Want To Change It To?",[1]Sheet1!$1:$1,[1]Sheet1!278:278)),_xlfn.XLOOKUP($C278,'Premade Flavors'!$A:$A,'Premade Flavors'!C:C),_xlfn.XLOOKUP("What Ice Cream Base Do You Want To Change It To?",[1]Sheet1!$1:$1,[1]Sheet1!278:278)),_xlfn.XLOOKUP(_xlfn.XLOOKUP("What Kind Of Ice Cream Base Do You Want? ",[1]Sheet1!$1:$1,[1]Sheet1!278:278),'Milk Types Nutrition Per Cup'!$O:$O,'Milk Types Nutrition Per Cup'!$Q:$Q,""))</f>
        <v>0</v>
      </c>
      <c r="F278" s="31">
        <f>IF(COUNTIF('Premade Flavors'!$A:$A, $C278) &gt; 0,_xlfn.XLOOKUP($C278,'Premade Flavors'!$A:$A,'Premade Flavors'!E:E),_xlfn.XLOOKUP("What's The First Flavor You Want? ",[1]Sheet1!$1:$1,[1]Sheet1!278:278))</f>
        <v>0</v>
      </c>
      <c r="G278" s="31">
        <f>IF(COUNTIF('Premade Flavors'!$A:$A, $C278) &gt; 0,_xlfn.XLOOKUP($C278,'Premade Flavors'!$A:$A,'Premade Flavors'!F:F),_xlfn.XLOOKUP("What's the Second Flavor You Want?",[1]Sheet1!$1:$1,[1]Sheet1!278:278))</f>
        <v>0</v>
      </c>
      <c r="H278" s="31">
        <f>IF(COUNTIF('Premade Flavors'!$A:$A, $C278) &gt; 0,_xlfn.XLOOKUP($C278,'Premade Flavors'!$A:$A,'Premade Flavors'!G:G),_xlfn.XLOOKUP("What's The First Mix In That You Want? ",[1]Sheet1!$1:$1,[1]Sheet1!278:278))</f>
        <v>0</v>
      </c>
      <c r="I278" s="31">
        <f>IF(COUNTIF('Premade Flavors'!$A:$A, $C276) &gt; 0,_xlfn.XLOOKUP($C276,'Premade Flavors'!$A:$A,'Premade Flavors'!H:H),IF([2]Sheet1!W276= 0,,[2]Sheet1!W276))</f>
        <v>0</v>
      </c>
      <c r="J278" s="31">
        <f>IF(COUNTIF('Premade Flavors'!$A:$A,$C278)&gt;0,IF(_xlfn.XLOOKUP("Should It Use Sugar or A Non-Sugar Sweetner?",[1]Sheet1!$1:$1,[1]Sheet1!278:278)="Sugar",_xlfn.XLOOKUP($C278,'Premade Flavors'!$A:$A,'Premade Flavors'!I:I),"Stevia"),_xlfn.XLOOKUP("What Sweetner Do You Want?",[1]Sheet1!$1:$1,[1]Sheet1!278:278))</f>
        <v>0</v>
      </c>
      <c r="K278" s="31"/>
      <c r="L278" s="77">
        <f>_xlfn.XLOOKUP("How Much Ice Cream Do You Want?",[1]Sheet1!$1:$1,[1]Sheet1!278:278)</f>
        <v>0</v>
      </c>
      <c r="M278" s="45">
        <f>IF(COUNTIF('Premade Flavors'!$A:$A, $C278) &gt; 0,_xlfn.XLOOKUP($C278,'Premade Flavors'!$A:$A,'Premade Flavors'!M:M),_xlfn.XLOOKUP("How Strong Do You Want The First Flavor?",[1]Sheet1!$1:$1,[1]Sheet1!278:278))</f>
        <v>0</v>
      </c>
      <c r="N278" s="45">
        <f>IF(COUNTIF('Premade Flavors'!$A:$A, $C278) &gt; 0,_xlfn.XLOOKUP($C278,'Premade Flavors'!$A:$A,'Premade Flavors'!N:N),_xlfn.XLOOKUP("How Strong Do You Want The Second Flavor?",[1]Sheet1!$1:$1,[1]Sheet1!278:278))</f>
        <v>0</v>
      </c>
      <c r="O278" s="45">
        <f>IF(COUNTIF('Premade Flavors'!$A:$A, $C278) &gt; 0,_xlfn.XLOOKUP($C278,'Premade Flavors'!$A:$A,'Premade Flavors'!O:O),_xlfn.XLOOKUP("How Dense Should the Mix Ins Be?",[1]Sheet1!$1:$1,[1]Sheet1!278:278))</f>
        <v>0</v>
      </c>
      <c r="P278" s="45">
        <f>IF(COUNTIF('Premade Flavors'!$A:$A, $C278) &gt; 0,_xlfn.XLOOKUP($C278,'Premade Flavors'!$A:$A,'Premade Flavors'!P:P),_xlfn.XLOOKUP("How Much Of The First Sweetner? ",[1]Sheet1!$1:$1,[1]Sheet1!278:278))</f>
        <v>0</v>
      </c>
      <c r="Q278" s="45">
        <f>IF(COUNTIF('Premade Flavors'!$A:$A, $C278) &gt; 0,_xlfn.XLOOKUP($C278,'Premade Flavors'!$A:$A,'Premade Flavors'!Q:Q),[2]Sheet1!S278)</f>
        <v>0</v>
      </c>
      <c r="R278" s="30">
        <f>(_xlfn.XLOOKUP($L278,Specs!A:A,Specs!B:B,0)-(IF(_xlfn.XLOOKUP($F278,'Liquid Mix In Nutrition'!A:A,'Liquid Mix In Nutrition'!J:J,0)="Yes",0,$T278))-(IF(_xlfn.XLOOKUP($G278,'Liquid Mix In Nutrition'!A:A,'Liquid Mix In Nutrition'!J:J,0)="Yes",0,$U278))-(($V278/MAX(1,_xlfn.XLOOKUP($H278,'Solid Mix In Nutrition'!A:A,'Solid Mix In Nutrition'!I:I,1)))*240)-(($W278/MAX(1,_xlfn.XLOOKUP($I278,'Solid Mix In Nutrition'!A:A,'Solid Mix In Nutrition'!I:I,1)))*240))*0.66</f>
        <v>0</v>
      </c>
      <c r="S278" s="30">
        <f>(_xlfn.XLOOKUP($L278,Specs!A:A,Specs!B:B,0)-(IF(_xlfn.XLOOKUP($F278,'Liquid Mix In Nutrition'!A:A,'Liquid Mix In Nutrition'!J:J,0)="Yes",0,$T278))-(IF(_xlfn.XLOOKUP($G278,'Liquid Mix In Nutrition'!A:A,'Liquid Mix In Nutrition'!J:J,0)="Yes",0,$U278))-(($V278/MAX(1,_xlfn.XLOOKUP($H278,'Solid Mix In Nutrition'!A:A,'Solid Mix In Nutrition'!I:I,1)))*240)-(($W278/MAX(1,_xlfn.XLOOKUP($I278,'Solid Mix In Nutrition'!A:A,'Solid Mix In Nutrition'!I:I,1)))*240))*0.33</f>
        <v>0</v>
      </c>
      <c r="T278" s="30">
        <f>_xlfn.XLOOKUP($M278,Specs!$D:$D,Specs!$E:$E,0)*15*_xlfn.XLOOKUP($L278,Specs!$A:$A,Specs!$C:$C,0)</f>
        <v>0</v>
      </c>
      <c r="U278" s="30">
        <f>_xlfn.XLOOKUP($N278,Specs!$D:$D,Specs!$E:$E,0)*15*_xlfn.XLOOKUP($L278,Specs!$A:$A,Specs!$C:$C,0)</f>
        <v>0</v>
      </c>
      <c r="V278" s="30">
        <f>( ((_xlfn.XLOOKUP($O278,Specs!$H:$H,Specs!$I:$I,0)*_xlfn.XLOOKUP($L278,Specs!$A:$A,Specs!$B:$B,0))/240) *_xlfn.XLOOKUP($H278,'Solid Mix In Nutrition'!A:A,'Solid Mix In Nutrition'!I:I,0)) *IF(AND(NOT($I278=0), COUNTA($I278)),0.5,1)</f>
        <v>0</v>
      </c>
      <c r="W278" s="30">
        <f>( ((_xlfn.XLOOKUP($O278,Specs!$H:$H,Specs!$I:$I,0)*_xlfn.XLOOKUP($L278,Specs!$A:$A,Specs!$B:$B,0))/240) *_xlfn.XLOOKUP($I278,'Solid Mix In Nutrition'!A:A,'Solid Mix In Nutrition'!I:I,0)) *IF(AND(NOT($I278=0), COUNTA($I278)),0.5,0)</f>
        <v>0</v>
      </c>
      <c r="X278" s="30">
        <f>_xlfn.XLOOKUP($P278,Specs!F:F,Specs!G:G,0)*_xlfn.XLOOKUP($J278,'Sweetener Mix In Nutrition'!A:A,'Sweetener Mix In Nutrition'!I:I,0)*_xlfn.XLOOKUP($L278,Specs!A:A,Specs!C:C,0)</f>
        <v>0</v>
      </c>
      <c r="Y278" s="30">
        <f>_xlfn.XLOOKUP($Q278,Specs!F:F,Specs!G:G,0)*_xlfn.XLOOKUP($K278,'Sweetener Mix In Nutrition'!A:A,'Sweetener Mix In Nutrition'!I:I,0)*_xlfn.XLOOKUP($L278,Specs!A:A,Specs!C:C,0)</f>
        <v>0</v>
      </c>
      <c r="Z278" s="34">
        <f t="shared" si="8"/>
        <v>0</v>
      </c>
      <c r="AA278" s="35">
        <f t="shared" si="9"/>
        <v>0</v>
      </c>
      <c r="AB278" s="36">
        <f>(($R278 / 240) * _xlfn.XLOOKUP($D278,'Milk Types Nutrition Per Cup'!A:A,'Milk Types Nutrition Per Cup'!B:B,0)) +(($S278 / 240)  * _xlfn.XLOOKUP($E278,'Milk Types Nutrition Per Cup'!A:A,'Milk Types Nutrition Per Cup'!B:B,0)) +(($T278 / 15)  * _xlfn.XLOOKUP($F278,'Liquid Mix In Nutrition'!A:A,'Liquid Mix In Nutrition'!B:B,0))+(($U278 / 15)  * _xlfn.XLOOKUP($G278,'Liquid Mix In Nutrition'!A:A,'Liquid Mix In Nutrition'!B:B,0))+(($V278 /MAX(1, _xlfn.XLOOKUP($H278,'Solid Mix In Nutrition'!A:A,'Solid Mix In Nutrition'!I:I,1)))  * _xlfn.XLOOKUP($H278,'Solid Mix In Nutrition'!A:A,'Solid Mix In Nutrition'!B:B,0))+(($W278 / MAX(1, _xlfn.XLOOKUP($I278,'Solid Mix In Nutrition'!A:A,'Solid Mix In Nutrition'!I:I,1))))+(($X278 / 100)  * _xlfn.XLOOKUP($J278,'Sweetener Mix In Nutrition'!A:A,'Sweetener Mix In Nutrition'!B:B,0))+(($Y278 / 100)  * _xlfn.XLOOKUP($K278,'Sweetener Mix In Nutrition'!A:A,'Sweetener Mix In Nutrition'!B:B,0))</f>
        <v>0</v>
      </c>
      <c r="AC278" s="36">
        <f>(($R278 / 240) * _xlfn.XLOOKUP($D278,'Milk Types Nutrition Per Cup'!A:A,'Milk Types Nutrition Per Cup'!E:E,0)) +(($S278 / 240)  * _xlfn.XLOOKUP($E278,'Milk Types Nutrition Per Cup'!A:A,'Milk Types Nutrition Per Cup'!E:E,0)) +(($T278 / 15)  * _xlfn.XLOOKUP($F278,'Liquid Mix In Nutrition'!A:A,'Liquid Mix In Nutrition'!E:E,0)) +(($U278 / 15)  * _xlfn.XLOOKUP($G278,'Liquid Mix In Nutrition'!A:A,'Liquid Mix In Nutrition'!E:E,0))+(($V278 / MAX(1, _xlfn.XLOOKUP($H278,'Solid Mix In Nutrition'!A:A,'Solid Mix In Nutrition'!I:I,1)))  * _xlfn.XLOOKUP($H278,'Solid Mix In Nutrition'!A:A,'Solid Mix In Nutrition'!E:E,0))+(($W278 / MAX(1, _xlfn.XLOOKUP($I278,'Solid Mix In Nutrition'!A:A,'Solid Mix In Nutrition'!I:I,1)))  * _xlfn.XLOOKUP($I278,'Solid Mix In Nutrition'!A:A,'Solid Mix In Nutrition'!G:G,0))+(($X278 / 100)  * _xlfn.XLOOKUP($J278,'Sweetener Mix In Nutrition'!A:A,'Sweetener Mix In Nutrition'!E:E,0))+(($Y278 / 100)  * _xlfn.XLOOKUP($K278,'Sweetener Mix In Nutrition'!A:A,'Sweetener Mix In Nutrition'!E:E,0))</f>
        <v>0</v>
      </c>
      <c r="AD278" s="36">
        <f>(($R278 / 240) * _xlfn.XLOOKUP($D278,'Milk Types Nutrition Per Cup'!A:A,'Milk Types Nutrition Per Cup'!E:E,0)) +(($S278 / 240)  * _xlfn.XLOOKUP($E278,'Milk Types Nutrition Per Cup'!A:A,'Milk Types Nutrition Per Cup'!E:E,0)) +(($T278 / 15)  * _xlfn.XLOOKUP($F278,'Liquid Mix In Nutrition'!A:A,'Liquid Mix In Nutrition'!E:E,0)) +(($U278 / 15)  * _xlfn.XLOOKUP($G278,'Liquid Mix In Nutrition'!A:A,'Liquid Mix In Nutrition'!E:E,0))+(($X278 / 100)  * _xlfn.XLOOKUP($J278,'Sweetener Mix In Nutrition'!A:A,'Sweetener Mix In Nutrition'!E:E,0))+(($Y278 / 100)  * _xlfn.XLOOKUP($K278,'Sweetener Mix In Nutrition'!A:A,'Sweetener Mix In Nutrition'!E:E,0))</f>
        <v>0</v>
      </c>
      <c r="AE278" s="37">
        <f>(($R278 / 240) * _xlfn.XLOOKUP($D278,'Milk Types Nutrition Per Cup'!A:A,'Milk Types Nutrition Per Cup'!C:C,0)) +(($S278 / 240)  * _xlfn.XLOOKUP($E278,'Milk Types Nutrition Per Cup'!A:A,'Milk Types Nutrition Per Cup'!C:C,0)) +(($T278 / 15)  * _xlfn.XLOOKUP($F278,'Liquid Mix In Nutrition'!A:A,'Liquid Mix In Nutrition'!C:C,0))+(($U278 / 15)  * _xlfn.XLOOKUP($G278,'Liquid Mix In Nutrition'!A:A,'Liquid Mix In Nutrition'!C:C,0))+(($V278 / MAX(1, _xlfn.XLOOKUP($H278,'Solid Mix In Nutrition'!A:A,'Solid Mix In Nutrition'!I:I,1)))  * _xlfn.XLOOKUP($H278,'Solid Mix In Nutrition'!A:A,'Solid Mix In Nutrition'!C:C,0))+(($W278 / MAX(1, _xlfn.XLOOKUP($I278,'Solid Mix In Nutrition'!A:A,'Solid Mix In Nutrition'!I:I,1)))  * _xlfn.XLOOKUP($I278,'Solid Mix In Nutrition'!A:A,'Solid Mix In Nutrition'!C:C,0))+(($X278 / 100)  * _xlfn.XLOOKUP($J278,'Sweetener Mix In Nutrition'!A:A,'Sweetener Mix In Nutrition'!C:C,0))+(($Y278 / 100)  * _xlfn.XLOOKUP($K278,'Sweetener Mix In Nutrition'!A:A,'Sweetener Mix In Nutrition'!C:C,0))</f>
        <v>0</v>
      </c>
      <c r="AF278" s="38" t="e">
        <f>$AE278 / (_xlfn.XLOOKUP($L278,Specs!A:A,Specs!B:B,0))</f>
        <v>#DIV/0!</v>
      </c>
      <c r="AG278" s="37" t="e">
        <f>60* ($AB278 / _xlfn.XLOOKUP($L278,Specs!A:A,Specs!B:B,0))</f>
        <v>#DIV/0!</v>
      </c>
      <c r="AH278" s="37" t="e">
        <f>60* (AC278 / _xlfn.XLOOKUP($L278,Specs!$A:$A,Specs!$B:$B,0))</f>
        <v>#DIV/0!</v>
      </c>
      <c r="AI278" s="37" t="e">
        <f>60* (AE278 / _xlfn.XLOOKUP($L278,Specs!$A:$A,Specs!$B:$B,0))</f>
        <v>#DIV/0!</v>
      </c>
      <c r="AJ278" s="39">
        <f>(($R278 / 240) * _xlfn.XLOOKUP($D278,'Milk Types Nutrition Per Cup'!A:A,'Milk Types Nutrition Per Cup'!F:F,0)) +(($S278 / 240)  * _xlfn.XLOOKUP($E278,'Milk Types Nutrition Per Cup'!A:A,'Milk Types Nutrition Per Cup'!F:F,0)) +(($T278 / 15)  * _xlfn.XLOOKUP($F278,'Liquid Mix In Nutrition'!A:A,'Liquid Mix In Nutrition'!F:F,0))+(($U278 / 15)  * _xlfn.XLOOKUP($G278,'Liquid Mix In Nutrition'!A:A,'Liquid Mix In Nutrition'!F:F,0))+(($V278 / MAX(1, _xlfn.XLOOKUP($H278,'Solid Mix In Nutrition'!A:A,'Solid Mix In Nutrition'!I:I,1)))  * _xlfn.XLOOKUP($H278,'Solid Mix In Nutrition'!A:A,'Solid Mix In Nutrition'!F:F,0))+(($W278 / MAX(1, _xlfn.XLOOKUP($I278,'Solid Mix In Nutrition'!A:A,'Solid Mix In Nutrition'!I:I,1)))  * _xlfn.XLOOKUP($I278,'Solid Mix In Nutrition'!A:A,'Solid Mix In Nutrition'!F:F,0))+(($X278 / 100)  * _xlfn.XLOOKUP($J278,'Sweetener Mix In Nutrition'!A:A,'Sweetener Mix In Nutrition'!F:F,0))+(($Y278 / 100)  * _xlfn.XLOOKUP($K278,'Sweetener Mix In Nutrition'!A:A,'Sweetener Mix In Nutrition'!F:F,0))</f>
        <v>0</v>
      </c>
      <c r="AK278" s="46">
        <f>[2]Sheet1!AG278</f>
        <v>0</v>
      </c>
      <c r="AL278" s="47"/>
      <c r="AM278" s="40">
        <f>IF(ISERROR(((AL278/Specs!$L$3)*Specs!$L$2)*2),0,ROUNDUP((((AL278/Specs!$L$3)*Specs!$L$2)*2),0))</f>
        <v>0</v>
      </c>
      <c r="AN278" s="48">
        <f>ROUNDUP(((AJ278+Specs!$R$2+Specs!$S$2+_xlfn.XLOOKUP($L278,Specs!A:A,Specs!V:V,0))*Specs!$N$2)+AM278,0)</f>
        <v>1</v>
      </c>
      <c r="AO278" s="40">
        <f>ROUNDUP(((AJ278+Specs!$R$2+Specs!$S$2+_xlfn.XLOOKUP($L278,Specs!A:A,Specs!V:V,0))*Specs!$N$2),0)</f>
        <v>1</v>
      </c>
      <c r="AP278" s="30"/>
    </row>
    <row r="279" spans="1:42" x14ac:dyDescent="0.25">
      <c r="A279" s="41" t="str">
        <f>_xlfn.CONCAT(_xlfn.XLOOKUP("What's Your Name?",[1]Sheet1!$1:$1,[1]Sheet1!279:279)," | ",TEXT(_xlfn.XLOOKUP("Completion time",[1]Sheet1!$1:$1,[1]Sheet1!279:279),"dddd, mmm dd, yyyy hh:mm AM/PM"))</f>
        <v xml:space="preserve"> | Saturday, Jan 00, 1900 12:00 AM</v>
      </c>
      <c r="B279" s="76">
        <f>_xlfn.XLOOKUP("What's Your Email Address?",[1]Sheet1!$1:$1,[1]Sheet1!279:279)</f>
        <v>0</v>
      </c>
      <c r="C279" s="31">
        <f>IF(ISBLANK(_xlfn.XLOOKUP("Which Flavor? (Pint Price | Quart Price | Half Gallon Price) (NOTE: Prices may fluctuate based on market conditions)",[1]Sheet1!$1:$1,[1]Sheet1!279:279)),_xlfn.XLOOKUP("Name Your Ice Cream!",[1]Sheet1!$1:$1,[1]Sheet1!279:279),IF(ISNUMBER(FIND("(", _xlfn.XLOOKUP("Which Flavor? (Pint Price | Quart Price | Half Gallon Price) (NOTE: Prices may fluctuate based on market conditions)",[1]Sheet1!$1:$1,[1]Sheet1!279:279))), LEFT(_xlfn.XLOOKUP("Which Flavor? (Pint Price | Quart Price | Half Gallon Price) (NOTE: Prices may fluctuate based on market conditions)",[1]Sheet1!$1:$1,[1]Sheet1!279:279), FIND("(", _xlfn.XLOOKUP("Which Flavor? (Pint Price | Quart Price | Half Gallon Price) (NOTE: Prices may fluctuate based on market conditions)",[1]Sheet1!$1:$1,[1]Sheet1!279:279)) - 1), _xlfn.XLOOKUP("Which Flavor? (Pint Price | Quart Price | Half Gallon Price) (NOTE: Prices may fluctuate based on market conditions)",[1]Sheet1!$1:$1,[1]Sheet1!279:279)))</f>
        <v>0</v>
      </c>
      <c r="D279" s="31">
        <f>IF(COUNTIF('Premade Flavors'!$A:$A, $C279) &gt; 0,IF(ISBLANK(_xlfn.XLOOKUP("What Ice Cream Base Do You Want To Change It To?",[1]Sheet1!$1:$1,[1]Sheet1!279:279)),_xlfn.XLOOKUP($C279,'Premade Flavors'!$A:$A,'Premade Flavors'!B:B),_xlfn.XLOOKUP("What Ice Cream Base Do You Want To Change It To?",[1]Sheet1!$1:$1,[1]Sheet1!279:279)),_xlfn.XLOOKUP(_xlfn.XLOOKUP("What Kind Of Ice Cream Base Do You Want? ",[1]Sheet1!$1:$1,[1]Sheet1!279:279),'Milk Types Nutrition Per Cup'!O:O,'Milk Types Nutrition Per Cup'!P:P,""))</f>
        <v>0</v>
      </c>
      <c r="E279" s="31">
        <f>IF(COUNTIF('Premade Flavors'!$A:$A, $C279) &gt; 0,IF(ISBLANK(_xlfn.XLOOKUP("What Ice Cream Base Do You Want To Change It To?",[1]Sheet1!$1:$1,[1]Sheet1!279:279)),_xlfn.XLOOKUP($C279,'Premade Flavors'!$A:$A,'Premade Flavors'!C:C),_xlfn.XLOOKUP("What Ice Cream Base Do You Want To Change It To?",[1]Sheet1!$1:$1,[1]Sheet1!279:279)),_xlfn.XLOOKUP(_xlfn.XLOOKUP("What Kind Of Ice Cream Base Do You Want? ",[1]Sheet1!$1:$1,[1]Sheet1!279:279),'Milk Types Nutrition Per Cup'!$O:$O,'Milk Types Nutrition Per Cup'!$Q:$Q,""))</f>
        <v>0</v>
      </c>
      <c r="F279" s="31">
        <f>IF(COUNTIF('Premade Flavors'!$A:$A, $C279) &gt; 0,_xlfn.XLOOKUP($C279,'Premade Flavors'!$A:$A,'Premade Flavors'!E:E),_xlfn.XLOOKUP("What's The First Flavor You Want? ",[1]Sheet1!$1:$1,[1]Sheet1!279:279))</f>
        <v>0</v>
      </c>
      <c r="G279" s="31">
        <f>IF(COUNTIF('Premade Flavors'!$A:$A, $C279) &gt; 0,_xlfn.XLOOKUP($C279,'Premade Flavors'!$A:$A,'Premade Flavors'!F:F),_xlfn.XLOOKUP("What's the Second Flavor You Want?",[1]Sheet1!$1:$1,[1]Sheet1!279:279))</f>
        <v>0</v>
      </c>
      <c r="H279" s="31">
        <f>IF(COUNTIF('Premade Flavors'!$A:$A, $C279) &gt; 0,_xlfn.XLOOKUP($C279,'Premade Flavors'!$A:$A,'Premade Flavors'!G:G),_xlfn.XLOOKUP("What's The First Mix In That You Want? ",[1]Sheet1!$1:$1,[1]Sheet1!279:279))</f>
        <v>0</v>
      </c>
      <c r="I279" s="31">
        <f>IF(COUNTIF('Premade Flavors'!$A:$A, $C277) &gt; 0,_xlfn.XLOOKUP($C277,'Premade Flavors'!$A:$A,'Premade Flavors'!H:H),IF([2]Sheet1!W277= 0,,[2]Sheet1!W277))</f>
        <v>0</v>
      </c>
      <c r="J279" s="31">
        <f>IF(COUNTIF('Premade Flavors'!$A:$A,$C279)&gt;0,IF(_xlfn.XLOOKUP("Should It Use Sugar or A Non-Sugar Sweetner?",[1]Sheet1!$1:$1,[1]Sheet1!279:279)="Sugar",_xlfn.XLOOKUP($C279,'Premade Flavors'!$A:$A,'Premade Flavors'!I:I),"Stevia"),_xlfn.XLOOKUP("What Sweetner Do You Want?",[1]Sheet1!$1:$1,[1]Sheet1!279:279))</f>
        <v>0</v>
      </c>
      <c r="K279" s="31"/>
      <c r="L279" s="77">
        <f>_xlfn.XLOOKUP("How Much Ice Cream Do You Want?",[1]Sheet1!$1:$1,[1]Sheet1!279:279)</f>
        <v>0</v>
      </c>
      <c r="M279" s="45">
        <f>IF(COUNTIF('Premade Flavors'!$A:$A, $C279) &gt; 0,_xlfn.XLOOKUP($C279,'Premade Flavors'!$A:$A,'Premade Flavors'!M:M),_xlfn.XLOOKUP("How Strong Do You Want The First Flavor?",[1]Sheet1!$1:$1,[1]Sheet1!279:279))</f>
        <v>0</v>
      </c>
      <c r="N279" s="45">
        <f>IF(COUNTIF('Premade Flavors'!$A:$A, $C279) &gt; 0,_xlfn.XLOOKUP($C279,'Premade Flavors'!$A:$A,'Premade Flavors'!N:N),_xlfn.XLOOKUP("How Strong Do You Want The Second Flavor?",[1]Sheet1!$1:$1,[1]Sheet1!279:279))</f>
        <v>0</v>
      </c>
      <c r="O279" s="45">
        <f>IF(COUNTIF('Premade Flavors'!$A:$A, $C279) &gt; 0,_xlfn.XLOOKUP($C279,'Premade Flavors'!$A:$A,'Premade Flavors'!O:O),_xlfn.XLOOKUP("How Dense Should the Mix Ins Be?",[1]Sheet1!$1:$1,[1]Sheet1!279:279))</f>
        <v>0</v>
      </c>
      <c r="P279" s="45">
        <f>IF(COUNTIF('Premade Flavors'!$A:$A, $C279) &gt; 0,_xlfn.XLOOKUP($C279,'Premade Flavors'!$A:$A,'Premade Flavors'!P:P),_xlfn.XLOOKUP("How Much Of The First Sweetner? ",[1]Sheet1!$1:$1,[1]Sheet1!279:279))</f>
        <v>0</v>
      </c>
      <c r="Q279" s="45">
        <f>IF(COUNTIF('Premade Flavors'!$A:$A, $C279) &gt; 0,_xlfn.XLOOKUP($C279,'Premade Flavors'!$A:$A,'Premade Flavors'!Q:Q),[2]Sheet1!S279)</f>
        <v>0</v>
      </c>
      <c r="R279" s="30">
        <f>(_xlfn.XLOOKUP($L279,Specs!A:A,Specs!B:B,0)-(IF(_xlfn.XLOOKUP($F279,'Liquid Mix In Nutrition'!A:A,'Liquid Mix In Nutrition'!J:J,0)="Yes",0,$T279))-(IF(_xlfn.XLOOKUP($G279,'Liquid Mix In Nutrition'!A:A,'Liquid Mix In Nutrition'!J:J,0)="Yes",0,$U279))-(($V279/MAX(1,_xlfn.XLOOKUP($H279,'Solid Mix In Nutrition'!A:A,'Solid Mix In Nutrition'!I:I,1)))*240)-(($W279/MAX(1,_xlfn.XLOOKUP($I279,'Solid Mix In Nutrition'!A:A,'Solid Mix In Nutrition'!I:I,1)))*240))*0.66</f>
        <v>0</v>
      </c>
      <c r="S279" s="30">
        <f>(_xlfn.XLOOKUP($L279,Specs!A:A,Specs!B:B,0)-(IF(_xlfn.XLOOKUP($F279,'Liquid Mix In Nutrition'!A:A,'Liquid Mix In Nutrition'!J:J,0)="Yes",0,$T279))-(IF(_xlfn.XLOOKUP($G279,'Liquid Mix In Nutrition'!A:A,'Liquid Mix In Nutrition'!J:J,0)="Yes",0,$U279))-(($V279/MAX(1,_xlfn.XLOOKUP($H279,'Solid Mix In Nutrition'!A:A,'Solid Mix In Nutrition'!I:I,1)))*240)-(($W279/MAX(1,_xlfn.XLOOKUP($I279,'Solid Mix In Nutrition'!A:A,'Solid Mix In Nutrition'!I:I,1)))*240))*0.33</f>
        <v>0</v>
      </c>
      <c r="T279" s="30">
        <f>_xlfn.XLOOKUP($M279,Specs!$D:$D,Specs!$E:$E,0)*15*_xlfn.XLOOKUP($L279,Specs!$A:$A,Specs!$C:$C,0)</f>
        <v>0</v>
      </c>
      <c r="U279" s="30">
        <f>_xlfn.XLOOKUP($N279,Specs!$D:$D,Specs!$E:$E,0)*15*_xlfn.XLOOKUP($L279,Specs!$A:$A,Specs!$C:$C,0)</f>
        <v>0</v>
      </c>
      <c r="V279" s="30">
        <f>( ((_xlfn.XLOOKUP($O279,Specs!$H:$H,Specs!$I:$I,0)*_xlfn.XLOOKUP($L279,Specs!$A:$A,Specs!$B:$B,0))/240) *_xlfn.XLOOKUP($H279,'Solid Mix In Nutrition'!A:A,'Solid Mix In Nutrition'!I:I,0)) *IF(AND(NOT($I279=0), COUNTA($I279)),0.5,1)</f>
        <v>0</v>
      </c>
      <c r="W279" s="30">
        <f>( ((_xlfn.XLOOKUP($O279,Specs!$H:$H,Specs!$I:$I,0)*_xlfn.XLOOKUP($L279,Specs!$A:$A,Specs!$B:$B,0))/240) *_xlfn.XLOOKUP($I279,'Solid Mix In Nutrition'!A:A,'Solid Mix In Nutrition'!I:I,0)) *IF(AND(NOT($I279=0), COUNTA($I279)),0.5,0)</f>
        <v>0</v>
      </c>
      <c r="X279" s="30">
        <f>_xlfn.XLOOKUP($P279,Specs!F:F,Specs!G:G,0)*_xlfn.XLOOKUP($J279,'Sweetener Mix In Nutrition'!A:A,'Sweetener Mix In Nutrition'!I:I,0)*_xlfn.XLOOKUP($L279,Specs!A:A,Specs!C:C,0)</f>
        <v>0</v>
      </c>
      <c r="Y279" s="30">
        <f>_xlfn.XLOOKUP($Q279,Specs!F:F,Specs!G:G,0)*_xlfn.XLOOKUP($K279,'Sweetener Mix In Nutrition'!A:A,'Sweetener Mix In Nutrition'!I:I,0)*_xlfn.XLOOKUP($L279,Specs!A:A,Specs!C:C,0)</f>
        <v>0</v>
      </c>
      <c r="Z279" s="34">
        <f t="shared" si="8"/>
        <v>0</v>
      </c>
      <c r="AA279" s="35">
        <f t="shared" si="9"/>
        <v>0</v>
      </c>
      <c r="AB279" s="36">
        <f>(($R279 / 240) * _xlfn.XLOOKUP($D279,'Milk Types Nutrition Per Cup'!A:A,'Milk Types Nutrition Per Cup'!B:B,0)) +(($S279 / 240)  * _xlfn.XLOOKUP($E279,'Milk Types Nutrition Per Cup'!A:A,'Milk Types Nutrition Per Cup'!B:B,0)) +(($T279 / 15)  * _xlfn.XLOOKUP($F279,'Liquid Mix In Nutrition'!A:A,'Liquid Mix In Nutrition'!B:B,0))+(($U279 / 15)  * _xlfn.XLOOKUP($G279,'Liquid Mix In Nutrition'!A:A,'Liquid Mix In Nutrition'!B:B,0))+(($V279 /MAX(1, _xlfn.XLOOKUP($H279,'Solid Mix In Nutrition'!A:A,'Solid Mix In Nutrition'!I:I,1)))  * _xlfn.XLOOKUP($H279,'Solid Mix In Nutrition'!A:A,'Solid Mix In Nutrition'!B:B,0))+(($W279 / MAX(1, _xlfn.XLOOKUP($I279,'Solid Mix In Nutrition'!A:A,'Solid Mix In Nutrition'!I:I,1))))+(($X279 / 100)  * _xlfn.XLOOKUP($J279,'Sweetener Mix In Nutrition'!A:A,'Sweetener Mix In Nutrition'!B:B,0))+(($Y279 / 100)  * _xlfn.XLOOKUP($K279,'Sweetener Mix In Nutrition'!A:A,'Sweetener Mix In Nutrition'!B:B,0))</f>
        <v>0</v>
      </c>
      <c r="AC279" s="36">
        <f>(($R279 / 240) * _xlfn.XLOOKUP($D279,'Milk Types Nutrition Per Cup'!A:A,'Milk Types Nutrition Per Cup'!E:E,0)) +(($S279 / 240)  * _xlfn.XLOOKUP($E279,'Milk Types Nutrition Per Cup'!A:A,'Milk Types Nutrition Per Cup'!E:E,0)) +(($T279 / 15)  * _xlfn.XLOOKUP($F279,'Liquid Mix In Nutrition'!A:A,'Liquid Mix In Nutrition'!E:E,0)) +(($U279 / 15)  * _xlfn.XLOOKUP($G279,'Liquid Mix In Nutrition'!A:A,'Liquid Mix In Nutrition'!E:E,0))+(($V279 / MAX(1, _xlfn.XLOOKUP($H279,'Solid Mix In Nutrition'!A:A,'Solid Mix In Nutrition'!I:I,1)))  * _xlfn.XLOOKUP($H279,'Solid Mix In Nutrition'!A:A,'Solid Mix In Nutrition'!E:E,0))+(($W279 / MAX(1, _xlfn.XLOOKUP($I279,'Solid Mix In Nutrition'!A:A,'Solid Mix In Nutrition'!I:I,1)))  * _xlfn.XLOOKUP($I279,'Solid Mix In Nutrition'!A:A,'Solid Mix In Nutrition'!G:G,0))+(($X279 / 100)  * _xlfn.XLOOKUP($J279,'Sweetener Mix In Nutrition'!A:A,'Sweetener Mix In Nutrition'!E:E,0))+(($Y279 / 100)  * _xlfn.XLOOKUP($K279,'Sweetener Mix In Nutrition'!A:A,'Sweetener Mix In Nutrition'!E:E,0))</f>
        <v>0</v>
      </c>
      <c r="AD279" s="36">
        <f>(($R279 / 240) * _xlfn.XLOOKUP($D279,'Milk Types Nutrition Per Cup'!A:A,'Milk Types Nutrition Per Cup'!E:E,0)) +(($S279 / 240)  * _xlfn.XLOOKUP($E279,'Milk Types Nutrition Per Cup'!A:A,'Milk Types Nutrition Per Cup'!E:E,0)) +(($T279 / 15)  * _xlfn.XLOOKUP($F279,'Liquid Mix In Nutrition'!A:A,'Liquid Mix In Nutrition'!E:E,0)) +(($U279 / 15)  * _xlfn.XLOOKUP($G279,'Liquid Mix In Nutrition'!A:A,'Liquid Mix In Nutrition'!E:E,0))+(($X279 / 100)  * _xlfn.XLOOKUP($J279,'Sweetener Mix In Nutrition'!A:A,'Sweetener Mix In Nutrition'!E:E,0))+(($Y279 / 100)  * _xlfn.XLOOKUP($K279,'Sweetener Mix In Nutrition'!A:A,'Sweetener Mix In Nutrition'!E:E,0))</f>
        <v>0</v>
      </c>
      <c r="AE279" s="37">
        <f>(($R279 / 240) * _xlfn.XLOOKUP($D279,'Milk Types Nutrition Per Cup'!A:A,'Milk Types Nutrition Per Cup'!C:C,0)) +(($S279 / 240)  * _xlfn.XLOOKUP($E279,'Milk Types Nutrition Per Cup'!A:A,'Milk Types Nutrition Per Cup'!C:C,0)) +(($T279 / 15)  * _xlfn.XLOOKUP($F279,'Liquid Mix In Nutrition'!A:A,'Liquid Mix In Nutrition'!C:C,0))+(($U279 / 15)  * _xlfn.XLOOKUP($G279,'Liquid Mix In Nutrition'!A:A,'Liquid Mix In Nutrition'!C:C,0))+(($V279 / MAX(1, _xlfn.XLOOKUP($H279,'Solid Mix In Nutrition'!A:A,'Solid Mix In Nutrition'!I:I,1)))  * _xlfn.XLOOKUP($H279,'Solid Mix In Nutrition'!A:A,'Solid Mix In Nutrition'!C:C,0))+(($W279 / MAX(1, _xlfn.XLOOKUP($I279,'Solid Mix In Nutrition'!A:A,'Solid Mix In Nutrition'!I:I,1)))  * _xlfn.XLOOKUP($I279,'Solid Mix In Nutrition'!A:A,'Solid Mix In Nutrition'!C:C,0))+(($X279 / 100)  * _xlfn.XLOOKUP($J279,'Sweetener Mix In Nutrition'!A:A,'Sweetener Mix In Nutrition'!C:C,0))+(($Y279 / 100)  * _xlfn.XLOOKUP($K279,'Sweetener Mix In Nutrition'!A:A,'Sweetener Mix In Nutrition'!C:C,0))</f>
        <v>0</v>
      </c>
      <c r="AF279" s="38" t="e">
        <f>$AE279 / (_xlfn.XLOOKUP($L279,Specs!A:A,Specs!B:B,0))</f>
        <v>#DIV/0!</v>
      </c>
      <c r="AG279" s="37" t="e">
        <f>60* ($AB279 / _xlfn.XLOOKUP($L279,Specs!A:A,Specs!B:B,0))</f>
        <v>#DIV/0!</v>
      </c>
      <c r="AH279" s="37" t="e">
        <f>60* (AC279 / _xlfn.XLOOKUP($L279,Specs!$A:$A,Specs!$B:$B,0))</f>
        <v>#DIV/0!</v>
      </c>
      <c r="AI279" s="37" t="e">
        <f>60* (AE279 / _xlfn.XLOOKUP($L279,Specs!$A:$A,Specs!$B:$B,0))</f>
        <v>#DIV/0!</v>
      </c>
      <c r="AJ279" s="39">
        <f>(($R279 / 240) * _xlfn.XLOOKUP($D279,'Milk Types Nutrition Per Cup'!A:A,'Milk Types Nutrition Per Cup'!F:F,0)) +(($S279 / 240)  * _xlfn.XLOOKUP($E279,'Milk Types Nutrition Per Cup'!A:A,'Milk Types Nutrition Per Cup'!F:F,0)) +(($T279 / 15)  * _xlfn.XLOOKUP($F279,'Liquid Mix In Nutrition'!A:A,'Liquid Mix In Nutrition'!F:F,0))+(($U279 / 15)  * _xlfn.XLOOKUP($G279,'Liquid Mix In Nutrition'!A:A,'Liquid Mix In Nutrition'!F:F,0))+(($V279 / MAX(1, _xlfn.XLOOKUP($H279,'Solid Mix In Nutrition'!A:A,'Solid Mix In Nutrition'!I:I,1)))  * _xlfn.XLOOKUP($H279,'Solid Mix In Nutrition'!A:A,'Solid Mix In Nutrition'!F:F,0))+(($W279 / MAX(1, _xlfn.XLOOKUP($I279,'Solid Mix In Nutrition'!A:A,'Solid Mix In Nutrition'!I:I,1)))  * _xlfn.XLOOKUP($I279,'Solid Mix In Nutrition'!A:A,'Solid Mix In Nutrition'!F:F,0))+(($X279 / 100)  * _xlfn.XLOOKUP($J279,'Sweetener Mix In Nutrition'!A:A,'Sweetener Mix In Nutrition'!F:F,0))+(($Y279 / 100)  * _xlfn.XLOOKUP($K279,'Sweetener Mix In Nutrition'!A:A,'Sweetener Mix In Nutrition'!F:F,0))</f>
        <v>0</v>
      </c>
      <c r="AK279" s="46">
        <f>[2]Sheet1!AG279</f>
        <v>0</v>
      </c>
      <c r="AL279" s="47"/>
      <c r="AM279" s="40">
        <f>IF(ISERROR(((AL279/Specs!$L$3)*Specs!$L$2)*2),0,ROUNDUP((((AL279/Specs!$L$3)*Specs!$L$2)*2),0))</f>
        <v>0</v>
      </c>
      <c r="AN279" s="48">
        <f>ROUNDUP(((AJ279+Specs!$R$2+Specs!$S$2+_xlfn.XLOOKUP($L279,Specs!A:A,Specs!V:V,0))*Specs!$N$2)+AM279,0)</f>
        <v>1</v>
      </c>
      <c r="AO279" s="40">
        <f>ROUNDUP(((AJ279+Specs!$R$2+Specs!$S$2+_xlfn.XLOOKUP($L279,Specs!A:A,Specs!V:V,0))*Specs!$N$2),0)</f>
        <v>1</v>
      </c>
      <c r="AP279" s="30"/>
    </row>
    <row r="280" spans="1:42" x14ac:dyDescent="0.25">
      <c r="A280" s="41" t="str">
        <f>_xlfn.CONCAT(_xlfn.XLOOKUP("What's Your Name?",[1]Sheet1!$1:$1,[1]Sheet1!280:280)," | ",TEXT(_xlfn.XLOOKUP("Completion time",[1]Sheet1!$1:$1,[1]Sheet1!280:280),"dddd, mmm dd, yyyy hh:mm AM/PM"))</f>
        <v xml:space="preserve"> | Saturday, Jan 00, 1900 12:00 AM</v>
      </c>
      <c r="B280" s="76">
        <f>_xlfn.XLOOKUP("What's Your Email Address?",[1]Sheet1!$1:$1,[1]Sheet1!280:280)</f>
        <v>0</v>
      </c>
      <c r="C280" s="31">
        <f>IF(ISBLANK(_xlfn.XLOOKUP("Which Flavor? (Pint Price | Quart Price | Half Gallon Price) (NOTE: Prices may fluctuate based on market conditions)",[1]Sheet1!$1:$1,[1]Sheet1!280:280)),_xlfn.XLOOKUP("Name Your Ice Cream!",[1]Sheet1!$1:$1,[1]Sheet1!280:280),IF(ISNUMBER(FIND("(", _xlfn.XLOOKUP("Which Flavor? (Pint Price | Quart Price | Half Gallon Price) (NOTE: Prices may fluctuate based on market conditions)",[1]Sheet1!$1:$1,[1]Sheet1!280:280))), LEFT(_xlfn.XLOOKUP("Which Flavor? (Pint Price | Quart Price | Half Gallon Price) (NOTE: Prices may fluctuate based on market conditions)",[1]Sheet1!$1:$1,[1]Sheet1!280:280), FIND("(", _xlfn.XLOOKUP("Which Flavor? (Pint Price | Quart Price | Half Gallon Price) (NOTE: Prices may fluctuate based on market conditions)",[1]Sheet1!$1:$1,[1]Sheet1!280:280)) - 1), _xlfn.XLOOKUP("Which Flavor? (Pint Price | Quart Price | Half Gallon Price) (NOTE: Prices may fluctuate based on market conditions)",[1]Sheet1!$1:$1,[1]Sheet1!280:280)))</f>
        <v>0</v>
      </c>
      <c r="D280" s="31">
        <f>IF(COUNTIF('Premade Flavors'!$A:$A, $C280) &gt; 0,IF(ISBLANK(_xlfn.XLOOKUP("What Ice Cream Base Do You Want To Change It To?",[1]Sheet1!$1:$1,[1]Sheet1!280:280)),_xlfn.XLOOKUP($C280,'Premade Flavors'!$A:$A,'Premade Flavors'!B:B),_xlfn.XLOOKUP("What Ice Cream Base Do You Want To Change It To?",[1]Sheet1!$1:$1,[1]Sheet1!280:280)),_xlfn.XLOOKUP(_xlfn.XLOOKUP("What Kind Of Ice Cream Base Do You Want? ",[1]Sheet1!$1:$1,[1]Sheet1!280:280),'Milk Types Nutrition Per Cup'!O:O,'Milk Types Nutrition Per Cup'!P:P,""))</f>
        <v>0</v>
      </c>
      <c r="E280" s="31">
        <f>IF(COUNTIF('Premade Flavors'!$A:$A, $C280) &gt; 0,IF(ISBLANK(_xlfn.XLOOKUP("What Ice Cream Base Do You Want To Change It To?",[1]Sheet1!$1:$1,[1]Sheet1!280:280)),_xlfn.XLOOKUP($C280,'Premade Flavors'!$A:$A,'Premade Flavors'!C:C),_xlfn.XLOOKUP("What Ice Cream Base Do You Want To Change It To?",[1]Sheet1!$1:$1,[1]Sheet1!280:280)),_xlfn.XLOOKUP(_xlfn.XLOOKUP("What Kind Of Ice Cream Base Do You Want? ",[1]Sheet1!$1:$1,[1]Sheet1!280:280),'Milk Types Nutrition Per Cup'!$O:$O,'Milk Types Nutrition Per Cup'!$Q:$Q,""))</f>
        <v>0</v>
      </c>
      <c r="F280" s="31">
        <f>IF(COUNTIF('Premade Flavors'!$A:$A, $C280) &gt; 0,_xlfn.XLOOKUP($C280,'Premade Flavors'!$A:$A,'Premade Flavors'!E:E),_xlfn.XLOOKUP("What's The First Flavor You Want? ",[1]Sheet1!$1:$1,[1]Sheet1!280:280))</f>
        <v>0</v>
      </c>
      <c r="G280" s="31">
        <f>IF(COUNTIF('Premade Flavors'!$A:$A, $C280) &gt; 0,_xlfn.XLOOKUP($C280,'Premade Flavors'!$A:$A,'Premade Flavors'!F:F),_xlfn.XLOOKUP("What's the Second Flavor You Want?",[1]Sheet1!$1:$1,[1]Sheet1!280:280))</f>
        <v>0</v>
      </c>
      <c r="H280" s="31">
        <f>IF(COUNTIF('Premade Flavors'!$A:$A, $C280) &gt; 0,_xlfn.XLOOKUP($C280,'Premade Flavors'!$A:$A,'Premade Flavors'!G:G),_xlfn.XLOOKUP("What's The First Mix In That You Want? ",[1]Sheet1!$1:$1,[1]Sheet1!280:280))</f>
        <v>0</v>
      </c>
      <c r="I280" s="31">
        <f>IF(COUNTIF('Premade Flavors'!$A:$A, $C278) &gt; 0,_xlfn.XLOOKUP($C278,'Premade Flavors'!$A:$A,'Premade Flavors'!H:H),IF([2]Sheet1!W278= 0,,[2]Sheet1!W278))</f>
        <v>0</v>
      </c>
      <c r="J280" s="31">
        <f>IF(COUNTIF('Premade Flavors'!$A:$A,$C280)&gt;0,IF(_xlfn.XLOOKUP("Should It Use Sugar or A Non-Sugar Sweetner?",[1]Sheet1!$1:$1,[1]Sheet1!280:280)="Sugar",_xlfn.XLOOKUP($C280,'Premade Flavors'!$A:$A,'Premade Flavors'!I:I),"Stevia"),_xlfn.XLOOKUP("What Sweetner Do You Want?",[1]Sheet1!$1:$1,[1]Sheet1!280:280))</f>
        <v>0</v>
      </c>
      <c r="K280" s="31"/>
      <c r="L280" s="77">
        <f>_xlfn.XLOOKUP("How Much Ice Cream Do You Want?",[1]Sheet1!$1:$1,[1]Sheet1!280:280)</f>
        <v>0</v>
      </c>
      <c r="M280" s="45">
        <f>IF(COUNTIF('Premade Flavors'!$A:$A, $C280) &gt; 0,_xlfn.XLOOKUP($C280,'Premade Flavors'!$A:$A,'Premade Flavors'!M:M),_xlfn.XLOOKUP("How Strong Do You Want The First Flavor?",[1]Sheet1!$1:$1,[1]Sheet1!280:280))</f>
        <v>0</v>
      </c>
      <c r="N280" s="45">
        <f>IF(COUNTIF('Premade Flavors'!$A:$A, $C280) &gt; 0,_xlfn.XLOOKUP($C280,'Premade Flavors'!$A:$A,'Premade Flavors'!N:N),_xlfn.XLOOKUP("How Strong Do You Want The Second Flavor?",[1]Sheet1!$1:$1,[1]Sheet1!280:280))</f>
        <v>0</v>
      </c>
      <c r="O280" s="45">
        <f>IF(COUNTIF('Premade Flavors'!$A:$A, $C280) &gt; 0,_xlfn.XLOOKUP($C280,'Premade Flavors'!$A:$A,'Premade Flavors'!O:O),_xlfn.XLOOKUP("How Dense Should the Mix Ins Be?",[1]Sheet1!$1:$1,[1]Sheet1!280:280))</f>
        <v>0</v>
      </c>
      <c r="P280" s="45">
        <f>IF(COUNTIF('Premade Flavors'!$A:$A, $C280) &gt; 0,_xlfn.XLOOKUP($C280,'Premade Flavors'!$A:$A,'Premade Flavors'!P:P),_xlfn.XLOOKUP("How Much Of The First Sweetner? ",[1]Sheet1!$1:$1,[1]Sheet1!280:280))</f>
        <v>0</v>
      </c>
      <c r="Q280" s="45">
        <f>IF(COUNTIF('Premade Flavors'!$A:$A, $C280) &gt; 0,_xlfn.XLOOKUP($C280,'Premade Flavors'!$A:$A,'Premade Flavors'!Q:Q),[2]Sheet1!S280)</f>
        <v>0</v>
      </c>
      <c r="R280" s="30">
        <f>(_xlfn.XLOOKUP($L280,Specs!A:A,Specs!B:B,0)-(IF(_xlfn.XLOOKUP($F280,'Liquid Mix In Nutrition'!A:A,'Liquid Mix In Nutrition'!J:J,0)="Yes",0,$T280))-(IF(_xlfn.XLOOKUP($G280,'Liquid Mix In Nutrition'!A:A,'Liquid Mix In Nutrition'!J:J,0)="Yes",0,$U280))-(($V280/MAX(1,_xlfn.XLOOKUP($H280,'Solid Mix In Nutrition'!A:A,'Solid Mix In Nutrition'!I:I,1)))*240)-(($W280/MAX(1,_xlfn.XLOOKUP($I280,'Solid Mix In Nutrition'!A:A,'Solid Mix In Nutrition'!I:I,1)))*240))*0.66</f>
        <v>0</v>
      </c>
      <c r="S280" s="30">
        <f>(_xlfn.XLOOKUP($L280,Specs!A:A,Specs!B:B,0)-(IF(_xlfn.XLOOKUP($F280,'Liquid Mix In Nutrition'!A:A,'Liquid Mix In Nutrition'!J:J,0)="Yes",0,$T280))-(IF(_xlfn.XLOOKUP($G280,'Liquid Mix In Nutrition'!A:A,'Liquid Mix In Nutrition'!J:J,0)="Yes",0,$U280))-(($V280/MAX(1,_xlfn.XLOOKUP($H280,'Solid Mix In Nutrition'!A:A,'Solid Mix In Nutrition'!I:I,1)))*240)-(($W280/MAX(1,_xlfn.XLOOKUP($I280,'Solid Mix In Nutrition'!A:A,'Solid Mix In Nutrition'!I:I,1)))*240))*0.33</f>
        <v>0</v>
      </c>
      <c r="T280" s="30">
        <f>_xlfn.XLOOKUP($M280,Specs!$D:$D,Specs!$E:$E,0)*15*_xlfn.XLOOKUP($L280,Specs!$A:$A,Specs!$C:$C,0)</f>
        <v>0</v>
      </c>
      <c r="U280" s="30">
        <f>_xlfn.XLOOKUP($N280,Specs!$D:$D,Specs!$E:$E,0)*15*_xlfn.XLOOKUP($L280,Specs!$A:$A,Specs!$C:$C,0)</f>
        <v>0</v>
      </c>
      <c r="V280" s="30">
        <f>( ((_xlfn.XLOOKUP($O280,Specs!$H:$H,Specs!$I:$I,0)*_xlfn.XLOOKUP($L280,Specs!$A:$A,Specs!$B:$B,0))/240) *_xlfn.XLOOKUP($H280,'Solid Mix In Nutrition'!A:A,'Solid Mix In Nutrition'!I:I,0)) *IF(AND(NOT($I280=0), COUNTA($I280)),0.5,1)</f>
        <v>0</v>
      </c>
      <c r="W280" s="30">
        <f>( ((_xlfn.XLOOKUP($O280,Specs!$H:$H,Specs!$I:$I,0)*_xlfn.XLOOKUP($L280,Specs!$A:$A,Specs!$B:$B,0))/240) *_xlfn.XLOOKUP($I280,'Solid Mix In Nutrition'!A:A,'Solid Mix In Nutrition'!I:I,0)) *IF(AND(NOT($I280=0), COUNTA($I280)),0.5,0)</f>
        <v>0</v>
      </c>
      <c r="X280" s="30">
        <f>_xlfn.XLOOKUP($P280,Specs!F:F,Specs!G:G,0)*_xlfn.XLOOKUP($J280,'Sweetener Mix In Nutrition'!A:A,'Sweetener Mix In Nutrition'!I:I,0)*_xlfn.XLOOKUP($L280,Specs!A:A,Specs!C:C,0)</f>
        <v>0</v>
      </c>
      <c r="Y280" s="30">
        <f>_xlfn.XLOOKUP($Q280,Specs!F:F,Specs!G:G,0)*_xlfn.XLOOKUP($K280,'Sweetener Mix In Nutrition'!A:A,'Sweetener Mix In Nutrition'!I:I,0)*_xlfn.XLOOKUP($L280,Specs!A:A,Specs!C:C,0)</f>
        <v>0</v>
      </c>
      <c r="Z280" s="34">
        <f t="shared" si="8"/>
        <v>0</v>
      </c>
      <c r="AA280" s="35">
        <f t="shared" si="9"/>
        <v>0</v>
      </c>
      <c r="AB280" s="36">
        <f>(($R280 / 240) * _xlfn.XLOOKUP($D280,'Milk Types Nutrition Per Cup'!A:A,'Milk Types Nutrition Per Cup'!B:B,0)) +(($S280 / 240)  * _xlfn.XLOOKUP($E280,'Milk Types Nutrition Per Cup'!A:A,'Milk Types Nutrition Per Cup'!B:B,0)) +(($T280 / 15)  * _xlfn.XLOOKUP($F280,'Liquid Mix In Nutrition'!A:A,'Liquid Mix In Nutrition'!B:B,0))+(($U280 / 15)  * _xlfn.XLOOKUP($G280,'Liquid Mix In Nutrition'!A:A,'Liquid Mix In Nutrition'!B:B,0))+(($V280 /MAX(1, _xlfn.XLOOKUP($H280,'Solid Mix In Nutrition'!A:A,'Solid Mix In Nutrition'!I:I,1)))  * _xlfn.XLOOKUP($H280,'Solid Mix In Nutrition'!A:A,'Solid Mix In Nutrition'!B:B,0))+(($W280 / MAX(1, _xlfn.XLOOKUP($I280,'Solid Mix In Nutrition'!A:A,'Solid Mix In Nutrition'!I:I,1))))+(($X280 / 100)  * _xlfn.XLOOKUP($J280,'Sweetener Mix In Nutrition'!A:A,'Sweetener Mix In Nutrition'!B:B,0))+(($Y280 / 100)  * _xlfn.XLOOKUP($K280,'Sweetener Mix In Nutrition'!A:A,'Sweetener Mix In Nutrition'!B:B,0))</f>
        <v>0</v>
      </c>
      <c r="AC280" s="36">
        <f>(($R280 / 240) * _xlfn.XLOOKUP($D280,'Milk Types Nutrition Per Cup'!A:A,'Milk Types Nutrition Per Cup'!E:E,0)) +(($S280 / 240)  * _xlfn.XLOOKUP($E280,'Milk Types Nutrition Per Cup'!A:A,'Milk Types Nutrition Per Cup'!E:E,0)) +(($T280 / 15)  * _xlfn.XLOOKUP($F280,'Liquid Mix In Nutrition'!A:A,'Liquid Mix In Nutrition'!E:E,0)) +(($U280 / 15)  * _xlfn.XLOOKUP($G280,'Liquid Mix In Nutrition'!A:A,'Liquid Mix In Nutrition'!E:E,0))+(($V280 / MAX(1, _xlfn.XLOOKUP($H280,'Solid Mix In Nutrition'!A:A,'Solid Mix In Nutrition'!I:I,1)))  * _xlfn.XLOOKUP($H280,'Solid Mix In Nutrition'!A:A,'Solid Mix In Nutrition'!E:E,0))+(($W280 / MAX(1, _xlfn.XLOOKUP($I280,'Solid Mix In Nutrition'!A:A,'Solid Mix In Nutrition'!I:I,1)))  * _xlfn.XLOOKUP($I280,'Solid Mix In Nutrition'!A:A,'Solid Mix In Nutrition'!G:G,0))+(($X280 / 100)  * _xlfn.XLOOKUP($J280,'Sweetener Mix In Nutrition'!A:A,'Sweetener Mix In Nutrition'!E:E,0))+(($Y280 / 100)  * _xlfn.XLOOKUP($K280,'Sweetener Mix In Nutrition'!A:A,'Sweetener Mix In Nutrition'!E:E,0))</f>
        <v>0</v>
      </c>
      <c r="AD280" s="36">
        <f>(($R280 / 240) * _xlfn.XLOOKUP($D280,'Milk Types Nutrition Per Cup'!A:A,'Milk Types Nutrition Per Cup'!E:E,0)) +(($S280 / 240)  * _xlfn.XLOOKUP($E280,'Milk Types Nutrition Per Cup'!A:A,'Milk Types Nutrition Per Cup'!E:E,0)) +(($T280 / 15)  * _xlfn.XLOOKUP($F280,'Liquid Mix In Nutrition'!A:A,'Liquid Mix In Nutrition'!E:E,0)) +(($U280 / 15)  * _xlfn.XLOOKUP($G280,'Liquid Mix In Nutrition'!A:A,'Liquid Mix In Nutrition'!E:E,0))+(($X280 / 100)  * _xlfn.XLOOKUP($J280,'Sweetener Mix In Nutrition'!A:A,'Sweetener Mix In Nutrition'!E:E,0))+(($Y280 / 100)  * _xlfn.XLOOKUP($K280,'Sweetener Mix In Nutrition'!A:A,'Sweetener Mix In Nutrition'!E:E,0))</f>
        <v>0</v>
      </c>
      <c r="AE280" s="37">
        <f>(($R280 / 240) * _xlfn.XLOOKUP($D280,'Milk Types Nutrition Per Cup'!A:A,'Milk Types Nutrition Per Cup'!C:C,0)) +(($S280 / 240)  * _xlfn.XLOOKUP($E280,'Milk Types Nutrition Per Cup'!A:A,'Milk Types Nutrition Per Cup'!C:C,0)) +(($T280 / 15)  * _xlfn.XLOOKUP($F280,'Liquid Mix In Nutrition'!A:A,'Liquid Mix In Nutrition'!C:C,0))+(($U280 / 15)  * _xlfn.XLOOKUP($G280,'Liquid Mix In Nutrition'!A:A,'Liquid Mix In Nutrition'!C:C,0))+(($V280 / MAX(1, _xlfn.XLOOKUP($H280,'Solid Mix In Nutrition'!A:A,'Solid Mix In Nutrition'!I:I,1)))  * _xlfn.XLOOKUP($H280,'Solid Mix In Nutrition'!A:A,'Solid Mix In Nutrition'!C:C,0))+(($W280 / MAX(1, _xlfn.XLOOKUP($I280,'Solid Mix In Nutrition'!A:A,'Solid Mix In Nutrition'!I:I,1)))  * _xlfn.XLOOKUP($I280,'Solid Mix In Nutrition'!A:A,'Solid Mix In Nutrition'!C:C,0))+(($X280 / 100)  * _xlfn.XLOOKUP($J280,'Sweetener Mix In Nutrition'!A:A,'Sweetener Mix In Nutrition'!C:C,0))+(($Y280 / 100)  * _xlfn.XLOOKUP($K280,'Sweetener Mix In Nutrition'!A:A,'Sweetener Mix In Nutrition'!C:C,0))</f>
        <v>0</v>
      </c>
      <c r="AF280" s="38" t="e">
        <f>$AE280 / (_xlfn.XLOOKUP($L280,Specs!A:A,Specs!B:B,0))</f>
        <v>#DIV/0!</v>
      </c>
      <c r="AG280" s="37" t="e">
        <f>60* ($AB280 / _xlfn.XLOOKUP($L280,Specs!A:A,Specs!B:B,0))</f>
        <v>#DIV/0!</v>
      </c>
      <c r="AH280" s="37" t="e">
        <f>60* (AC280 / _xlfn.XLOOKUP($L280,Specs!$A:$A,Specs!$B:$B,0))</f>
        <v>#DIV/0!</v>
      </c>
      <c r="AI280" s="37" t="e">
        <f>60* (AE280 / _xlfn.XLOOKUP($L280,Specs!$A:$A,Specs!$B:$B,0))</f>
        <v>#DIV/0!</v>
      </c>
      <c r="AJ280" s="39">
        <f>(($R280 / 240) * _xlfn.XLOOKUP($D280,'Milk Types Nutrition Per Cup'!A:A,'Milk Types Nutrition Per Cup'!F:F,0)) +(($S280 / 240)  * _xlfn.XLOOKUP($E280,'Milk Types Nutrition Per Cup'!A:A,'Milk Types Nutrition Per Cup'!F:F,0)) +(($T280 / 15)  * _xlfn.XLOOKUP($F280,'Liquid Mix In Nutrition'!A:A,'Liquid Mix In Nutrition'!F:F,0))+(($U280 / 15)  * _xlfn.XLOOKUP($G280,'Liquid Mix In Nutrition'!A:A,'Liquid Mix In Nutrition'!F:F,0))+(($V280 / MAX(1, _xlfn.XLOOKUP($H280,'Solid Mix In Nutrition'!A:A,'Solid Mix In Nutrition'!I:I,1)))  * _xlfn.XLOOKUP($H280,'Solid Mix In Nutrition'!A:A,'Solid Mix In Nutrition'!F:F,0))+(($W280 / MAX(1, _xlfn.XLOOKUP($I280,'Solid Mix In Nutrition'!A:A,'Solid Mix In Nutrition'!I:I,1)))  * _xlfn.XLOOKUP($I280,'Solid Mix In Nutrition'!A:A,'Solid Mix In Nutrition'!F:F,0))+(($X280 / 100)  * _xlfn.XLOOKUP($J280,'Sweetener Mix In Nutrition'!A:A,'Sweetener Mix In Nutrition'!F:F,0))+(($Y280 / 100)  * _xlfn.XLOOKUP($K280,'Sweetener Mix In Nutrition'!A:A,'Sweetener Mix In Nutrition'!F:F,0))</f>
        <v>0</v>
      </c>
      <c r="AK280" s="46">
        <f>[2]Sheet1!AG280</f>
        <v>0</v>
      </c>
      <c r="AL280" s="47"/>
      <c r="AM280" s="40">
        <f>IF(ISERROR(((AL280/Specs!$L$3)*Specs!$L$2)*2),0,ROUNDUP((((AL280/Specs!$L$3)*Specs!$L$2)*2),0))</f>
        <v>0</v>
      </c>
      <c r="AN280" s="48">
        <f>ROUNDUP(((AJ280+Specs!$R$2+Specs!$S$2+_xlfn.XLOOKUP($L280,Specs!A:A,Specs!V:V,0))*Specs!$N$2)+AM280,0)</f>
        <v>1</v>
      </c>
      <c r="AO280" s="40">
        <f>ROUNDUP(((AJ280+Specs!$R$2+Specs!$S$2+_xlfn.XLOOKUP($L280,Specs!A:A,Specs!V:V,0))*Specs!$N$2),0)</f>
        <v>1</v>
      </c>
      <c r="AP280" s="30"/>
    </row>
    <row r="281" spans="1:42" x14ac:dyDescent="0.25">
      <c r="A281" s="41" t="str">
        <f>_xlfn.CONCAT(_xlfn.XLOOKUP("What's Your Name?",[1]Sheet1!$1:$1,[1]Sheet1!281:281)," | ",TEXT(_xlfn.XLOOKUP("Completion time",[1]Sheet1!$1:$1,[1]Sheet1!281:281),"dddd, mmm dd, yyyy hh:mm AM/PM"))</f>
        <v xml:space="preserve"> | Saturday, Jan 00, 1900 12:00 AM</v>
      </c>
      <c r="B281" s="76">
        <f>_xlfn.XLOOKUP("What's Your Email Address?",[1]Sheet1!$1:$1,[1]Sheet1!281:281)</f>
        <v>0</v>
      </c>
      <c r="C281" s="31">
        <f>IF(ISBLANK(_xlfn.XLOOKUP("Which Flavor? (Pint Price | Quart Price | Half Gallon Price) (NOTE: Prices may fluctuate based on market conditions)",[1]Sheet1!$1:$1,[1]Sheet1!281:281)),_xlfn.XLOOKUP("Name Your Ice Cream!",[1]Sheet1!$1:$1,[1]Sheet1!281:281),IF(ISNUMBER(FIND("(", _xlfn.XLOOKUP("Which Flavor? (Pint Price | Quart Price | Half Gallon Price) (NOTE: Prices may fluctuate based on market conditions)",[1]Sheet1!$1:$1,[1]Sheet1!281:281))), LEFT(_xlfn.XLOOKUP("Which Flavor? (Pint Price | Quart Price | Half Gallon Price) (NOTE: Prices may fluctuate based on market conditions)",[1]Sheet1!$1:$1,[1]Sheet1!281:281), FIND("(", _xlfn.XLOOKUP("Which Flavor? (Pint Price | Quart Price | Half Gallon Price) (NOTE: Prices may fluctuate based on market conditions)",[1]Sheet1!$1:$1,[1]Sheet1!281:281)) - 1), _xlfn.XLOOKUP("Which Flavor? (Pint Price | Quart Price | Half Gallon Price) (NOTE: Prices may fluctuate based on market conditions)",[1]Sheet1!$1:$1,[1]Sheet1!281:281)))</f>
        <v>0</v>
      </c>
      <c r="D281" s="31">
        <f>IF(COUNTIF('Premade Flavors'!$A:$A, $C281) &gt; 0,IF(ISBLANK(_xlfn.XLOOKUP("What Ice Cream Base Do You Want To Change It To?",[1]Sheet1!$1:$1,[1]Sheet1!281:281)),_xlfn.XLOOKUP($C281,'Premade Flavors'!$A:$A,'Premade Flavors'!B:B),_xlfn.XLOOKUP("What Ice Cream Base Do You Want To Change It To?",[1]Sheet1!$1:$1,[1]Sheet1!281:281)),_xlfn.XLOOKUP(_xlfn.XLOOKUP("What Kind Of Ice Cream Base Do You Want? ",[1]Sheet1!$1:$1,[1]Sheet1!281:281),'Milk Types Nutrition Per Cup'!O:O,'Milk Types Nutrition Per Cup'!P:P,""))</f>
        <v>0</v>
      </c>
      <c r="E281" s="31">
        <f>IF(COUNTIF('Premade Flavors'!$A:$A, $C281) &gt; 0,IF(ISBLANK(_xlfn.XLOOKUP("What Ice Cream Base Do You Want To Change It To?",[1]Sheet1!$1:$1,[1]Sheet1!281:281)),_xlfn.XLOOKUP($C281,'Premade Flavors'!$A:$A,'Premade Flavors'!C:C),_xlfn.XLOOKUP("What Ice Cream Base Do You Want To Change It To?",[1]Sheet1!$1:$1,[1]Sheet1!281:281)),_xlfn.XLOOKUP(_xlfn.XLOOKUP("What Kind Of Ice Cream Base Do You Want? ",[1]Sheet1!$1:$1,[1]Sheet1!281:281),'Milk Types Nutrition Per Cup'!$O:$O,'Milk Types Nutrition Per Cup'!$Q:$Q,""))</f>
        <v>0</v>
      </c>
      <c r="F281" s="31">
        <f>IF(COUNTIF('Premade Flavors'!$A:$A, $C281) &gt; 0,_xlfn.XLOOKUP($C281,'Premade Flavors'!$A:$A,'Premade Flavors'!E:E),_xlfn.XLOOKUP("What's The First Flavor You Want? ",[1]Sheet1!$1:$1,[1]Sheet1!281:281))</f>
        <v>0</v>
      </c>
      <c r="G281" s="31">
        <f>IF(COUNTIF('Premade Flavors'!$A:$A, $C281) &gt; 0,_xlfn.XLOOKUP($C281,'Premade Flavors'!$A:$A,'Premade Flavors'!F:F),_xlfn.XLOOKUP("What's the Second Flavor You Want?",[1]Sheet1!$1:$1,[1]Sheet1!281:281))</f>
        <v>0</v>
      </c>
      <c r="H281" s="31">
        <f>IF(COUNTIF('Premade Flavors'!$A:$A, $C281) &gt; 0,_xlfn.XLOOKUP($C281,'Premade Flavors'!$A:$A,'Premade Flavors'!G:G),_xlfn.XLOOKUP("What's The First Mix In That You Want? ",[1]Sheet1!$1:$1,[1]Sheet1!281:281))</f>
        <v>0</v>
      </c>
      <c r="I281" s="31">
        <f>IF(COUNTIF('Premade Flavors'!$A:$A, $C279) &gt; 0,_xlfn.XLOOKUP($C279,'Premade Flavors'!$A:$A,'Premade Flavors'!H:H),IF([2]Sheet1!W279= 0,,[2]Sheet1!W279))</f>
        <v>0</v>
      </c>
      <c r="J281" s="31">
        <f>IF(COUNTIF('Premade Flavors'!$A:$A,$C281)&gt;0,IF(_xlfn.XLOOKUP("Should It Use Sugar or A Non-Sugar Sweetner?",[1]Sheet1!$1:$1,[1]Sheet1!281:281)="Sugar",_xlfn.XLOOKUP($C281,'Premade Flavors'!$A:$A,'Premade Flavors'!I:I),"Stevia"),_xlfn.XLOOKUP("What Sweetner Do You Want?",[1]Sheet1!$1:$1,[1]Sheet1!281:281))</f>
        <v>0</v>
      </c>
      <c r="K281" s="31"/>
      <c r="L281" s="77">
        <f>_xlfn.XLOOKUP("How Much Ice Cream Do You Want?",[1]Sheet1!$1:$1,[1]Sheet1!281:281)</f>
        <v>0</v>
      </c>
      <c r="M281" s="45">
        <f>IF(COUNTIF('Premade Flavors'!$A:$A, $C281) &gt; 0,_xlfn.XLOOKUP($C281,'Premade Flavors'!$A:$A,'Premade Flavors'!M:M),_xlfn.XLOOKUP("How Strong Do You Want The First Flavor?",[1]Sheet1!$1:$1,[1]Sheet1!281:281))</f>
        <v>0</v>
      </c>
      <c r="N281" s="45">
        <f>IF(COUNTIF('Premade Flavors'!$A:$A, $C281) &gt; 0,_xlfn.XLOOKUP($C281,'Premade Flavors'!$A:$A,'Premade Flavors'!N:N),_xlfn.XLOOKUP("How Strong Do You Want The Second Flavor?",[1]Sheet1!$1:$1,[1]Sheet1!281:281))</f>
        <v>0</v>
      </c>
      <c r="O281" s="45">
        <f>IF(COUNTIF('Premade Flavors'!$A:$A, $C281) &gt; 0,_xlfn.XLOOKUP($C281,'Premade Flavors'!$A:$A,'Premade Flavors'!O:O),_xlfn.XLOOKUP("How Dense Should the Mix Ins Be?",[1]Sheet1!$1:$1,[1]Sheet1!281:281))</f>
        <v>0</v>
      </c>
      <c r="P281" s="45">
        <f>IF(COUNTIF('Premade Flavors'!$A:$A, $C281) &gt; 0,_xlfn.XLOOKUP($C281,'Premade Flavors'!$A:$A,'Premade Flavors'!P:P),_xlfn.XLOOKUP("How Much Of The First Sweetner? ",[1]Sheet1!$1:$1,[1]Sheet1!281:281))</f>
        <v>0</v>
      </c>
      <c r="Q281" s="45">
        <f>IF(COUNTIF('Premade Flavors'!$A:$A, $C281) &gt; 0,_xlfn.XLOOKUP($C281,'Premade Flavors'!$A:$A,'Premade Flavors'!Q:Q),[2]Sheet1!S281)</f>
        <v>0</v>
      </c>
      <c r="R281" s="30">
        <f>(_xlfn.XLOOKUP($L281,Specs!A:A,Specs!B:B,0)-(IF(_xlfn.XLOOKUP($F281,'Liquid Mix In Nutrition'!A:A,'Liquid Mix In Nutrition'!J:J,0)="Yes",0,$T281))-(IF(_xlfn.XLOOKUP($G281,'Liquid Mix In Nutrition'!A:A,'Liquid Mix In Nutrition'!J:J,0)="Yes",0,$U281))-(($V281/MAX(1,_xlfn.XLOOKUP($H281,'Solid Mix In Nutrition'!A:A,'Solid Mix In Nutrition'!I:I,1)))*240)-(($W281/MAX(1,_xlfn.XLOOKUP($I281,'Solid Mix In Nutrition'!A:A,'Solid Mix In Nutrition'!I:I,1)))*240))*0.66</f>
        <v>0</v>
      </c>
      <c r="S281" s="30">
        <f>(_xlfn.XLOOKUP($L281,Specs!A:A,Specs!B:B,0)-(IF(_xlfn.XLOOKUP($F281,'Liquid Mix In Nutrition'!A:A,'Liquid Mix In Nutrition'!J:J,0)="Yes",0,$T281))-(IF(_xlfn.XLOOKUP($G281,'Liquid Mix In Nutrition'!A:A,'Liquid Mix In Nutrition'!J:J,0)="Yes",0,$U281))-(($V281/MAX(1,_xlfn.XLOOKUP($H281,'Solid Mix In Nutrition'!A:A,'Solid Mix In Nutrition'!I:I,1)))*240)-(($W281/MAX(1,_xlfn.XLOOKUP($I281,'Solid Mix In Nutrition'!A:A,'Solid Mix In Nutrition'!I:I,1)))*240))*0.33</f>
        <v>0</v>
      </c>
      <c r="T281" s="30">
        <f>_xlfn.XLOOKUP($M281,Specs!$D:$D,Specs!$E:$E,0)*15*_xlfn.XLOOKUP($L281,Specs!$A:$A,Specs!$C:$C,0)</f>
        <v>0</v>
      </c>
      <c r="U281" s="30">
        <f>_xlfn.XLOOKUP($N281,Specs!$D:$D,Specs!$E:$E,0)*15*_xlfn.XLOOKUP($L281,Specs!$A:$A,Specs!$C:$C,0)</f>
        <v>0</v>
      </c>
      <c r="V281" s="30">
        <f>( ((_xlfn.XLOOKUP($O281,Specs!$H:$H,Specs!$I:$I,0)*_xlfn.XLOOKUP($L281,Specs!$A:$A,Specs!$B:$B,0))/240) *_xlfn.XLOOKUP($H281,'Solid Mix In Nutrition'!A:A,'Solid Mix In Nutrition'!I:I,0)) *IF(AND(NOT($I281=0), COUNTA($I281)),0.5,1)</f>
        <v>0</v>
      </c>
      <c r="W281" s="30">
        <f>( ((_xlfn.XLOOKUP($O281,Specs!$H:$H,Specs!$I:$I,0)*_xlfn.XLOOKUP($L281,Specs!$A:$A,Specs!$B:$B,0))/240) *_xlfn.XLOOKUP($I281,'Solid Mix In Nutrition'!A:A,'Solid Mix In Nutrition'!I:I,0)) *IF(AND(NOT($I281=0), COUNTA($I281)),0.5,0)</f>
        <v>0</v>
      </c>
      <c r="X281" s="30">
        <f>_xlfn.XLOOKUP($P281,Specs!F:F,Specs!G:G,0)*_xlfn.XLOOKUP($J281,'Sweetener Mix In Nutrition'!A:A,'Sweetener Mix In Nutrition'!I:I,0)*_xlfn.XLOOKUP($L281,Specs!A:A,Specs!C:C,0)</f>
        <v>0</v>
      </c>
      <c r="Y281" s="30">
        <f>_xlfn.XLOOKUP($Q281,Specs!F:F,Specs!G:G,0)*_xlfn.XLOOKUP($K281,'Sweetener Mix In Nutrition'!A:A,'Sweetener Mix In Nutrition'!I:I,0)*_xlfn.XLOOKUP($L281,Specs!A:A,Specs!C:C,0)</f>
        <v>0</v>
      </c>
      <c r="Z281" s="34">
        <f t="shared" si="8"/>
        <v>0</v>
      </c>
      <c r="AA281" s="35">
        <f t="shared" si="9"/>
        <v>0</v>
      </c>
      <c r="AB281" s="36">
        <f>(($R281 / 240) * _xlfn.XLOOKUP($D281,'Milk Types Nutrition Per Cup'!A:A,'Milk Types Nutrition Per Cup'!B:B,0)) +(($S281 / 240)  * _xlfn.XLOOKUP($E281,'Milk Types Nutrition Per Cup'!A:A,'Milk Types Nutrition Per Cup'!B:B,0)) +(($T281 / 15)  * _xlfn.XLOOKUP($F281,'Liquid Mix In Nutrition'!A:A,'Liquid Mix In Nutrition'!B:B,0))+(($U281 / 15)  * _xlfn.XLOOKUP($G281,'Liquid Mix In Nutrition'!A:A,'Liquid Mix In Nutrition'!B:B,0))+(($V281 /MAX(1, _xlfn.XLOOKUP($H281,'Solid Mix In Nutrition'!A:A,'Solid Mix In Nutrition'!I:I,1)))  * _xlfn.XLOOKUP($H281,'Solid Mix In Nutrition'!A:A,'Solid Mix In Nutrition'!B:B,0))+(($W281 / MAX(1, _xlfn.XLOOKUP($I281,'Solid Mix In Nutrition'!A:A,'Solid Mix In Nutrition'!I:I,1))))+(($X281 / 100)  * _xlfn.XLOOKUP($J281,'Sweetener Mix In Nutrition'!A:A,'Sweetener Mix In Nutrition'!B:B,0))+(($Y281 / 100)  * _xlfn.XLOOKUP($K281,'Sweetener Mix In Nutrition'!A:A,'Sweetener Mix In Nutrition'!B:B,0))</f>
        <v>0</v>
      </c>
      <c r="AC281" s="36">
        <f>(($R281 / 240) * _xlfn.XLOOKUP($D281,'Milk Types Nutrition Per Cup'!A:A,'Milk Types Nutrition Per Cup'!E:E,0)) +(($S281 / 240)  * _xlfn.XLOOKUP($E281,'Milk Types Nutrition Per Cup'!A:A,'Milk Types Nutrition Per Cup'!E:E,0)) +(($T281 / 15)  * _xlfn.XLOOKUP($F281,'Liquid Mix In Nutrition'!A:A,'Liquid Mix In Nutrition'!E:E,0)) +(($U281 / 15)  * _xlfn.XLOOKUP($G281,'Liquid Mix In Nutrition'!A:A,'Liquid Mix In Nutrition'!E:E,0))+(($V281 / MAX(1, _xlfn.XLOOKUP($H281,'Solid Mix In Nutrition'!A:A,'Solid Mix In Nutrition'!I:I,1)))  * _xlfn.XLOOKUP($H281,'Solid Mix In Nutrition'!A:A,'Solid Mix In Nutrition'!E:E,0))+(($W281 / MAX(1, _xlfn.XLOOKUP($I281,'Solid Mix In Nutrition'!A:A,'Solid Mix In Nutrition'!I:I,1)))  * _xlfn.XLOOKUP($I281,'Solid Mix In Nutrition'!A:A,'Solid Mix In Nutrition'!G:G,0))+(($X281 / 100)  * _xlfn.XLOOKUP($J281,'Sweetener Mix In Nutrition'!A:A,'Sweetener Mix In Nutrition'!E:E,0))+(($Y281 / 100)  * _xlfn.XLOOKUP($K281,'Sweetener Mix In Nutrition'!A:A,'Sweetener Mix In Nutrition'!E:E,0))</f>
        <v>0</v>
      </c>
      <c r="AD281" s="36">
        <f>(($R281 / 240) * _xlfn.XLOOKUP($D281,'Milk Types Nutrition Per Cup'!A:A,'Milk Types Nutrition Per Cup'!E:E,0)) +(($S281 / 240)  * _xlfn.XLOOKUP($E281,'Milk Types Nutrition Per Cup'!A:A,'Milk Types Nutrition Per Cup'!E:E,0)) +(($T281 / 15)  * _xlfn.XLOOKUP($F281,'Liquid Mix In Nutrition'!A:A,'Liquid Mix In Nutrition'!E:E,0)) +(($U281 / 15)  * _xlfn.XLOOKUP($G281,'Liquid Mix In Nutrition'!A:A,'Liquid Mix In Nutrition'!E:E,0))+(($X281 / 100)  * _xlfn.XLOOKUP($J281,'Sweetener Mix In Nutrition'!A:A,'Sweetener Mix In Nutrition'!E:E,0))+(($Y281 / 100)  * _xlfn.XLOOKUP($K281,'Sweetener Mix In Nutrition'!A:A,'Sweetener Mix In Nutrition'!E:E,0))</f>
        <v>0</v>
      </c>
      <c r="AE281" s="37">
        <f>(($R281 / 240) * _xlfn.XLOOKUP($D281,'Milk Types Nutrition Per Cup'!A:A,'Milk Types Nutrition Per Cup'!C:C,0)) +(($S281 / 240)  * _xlfn.XLOOKUP($E281,'Milk Types Nutrition Per Cup'!A:A,'Milk Types Nutrition Per Cup'!C:C,0)) +(($T281 / 15)  * _xlfn.XLOOKUP($F281,'Liquid Mix In Nutrition'!A:A,'Liquid Mix In Nutrition'!C:C,0))+(($U281 / 15)  * _xlfn.XLOOKUP($G281,'Liquid Mix In Nutrition'!A:A,'Liquid Mix In Nutrition'!C:C,0))+(($V281 / MAX(1, _xlfn.XLOOKUP($H281,'Solid Mix In Nutrition'!A:A,'Solid Mix In Nutrition'!I:I,1)))  * _xlfn.XLOOKUP($H281,'Solid Mix In Nutrition'!A:A,'Solid Mix In Nutrition'!C:C,0))+(($W281 / MAX(1, _xlfn.XLOOKUP($I281,'Solid Mix In Nutrition'!A:A,'Solid Mix In Nutrition'!I:I,1)))  * _xlfn.XLOOKUP($I281,'Solid Mix In Nutrition'!A:A,'Solid Mix In Nutrition'!C:C,0))+(($X281 / 100)  * _xlfn.XLOOKUP($J281,'Sweetener Mix In Nutrition'!A:A,'Sweetener Mix In Nutrition'!C:C,0))+(($Y281 / 100)  * _xlfn.XLOOKUP($K281,'Sweetener Mix In Nutrition'!A:A,'Sweetener Mix In Nutrition'!C:C,0))</f>
        <v>0</v>
      </c>
      <c r="AF281" s="38" t="e">
        <f>$AE281 / (_xlfn.XLOOKUP($L281,Specs!A:A,Specs!B:B,0))</f>
        <v>#DIV/0!</v>
      </c>
      <c r="AG281" s="37" t="e">
        <f>60* ($AB281 / _xlfn.XLOOKUP($L281,Specs!A:A,Specs!B:B,0))</f>
        <v>#DIV/0!</v>
      </c>
      <c r="AH281" s="37" t="e">
        <f>60* (AC281 / _xlfn.XLOOKUP($L281,Specs!$A:$A,Specs!$B:$B,0))</f>
        <v>#DIV/0!</v>
      </c>
      <c r="AI281" s="37" t="e">
        <f>60* (AE281 / _xlfn.XLOOKUP($L281,Specs!$A:$A,Specs!$B:$B,0))</f>
        <v>#DIV/0!</v>
      </c>
      <c r="AJ281" s="39">
        <f>(($R281 / 240) * _xlfn.XLOOKUP($D281,'Milk Types Nutrition Per Cup'!A:A,'Milk Types Nutrition Per Cup'!F:F,0)) +(($S281 / 240)  * _xlfn.XLOOKUP($E281,'Milk Types Nutrition Per Cup'!A:A,'Milk Types Nutrition Per Cup'!F:F,0)) +(($T281 / 15)  * _xlfn.XLOOKUP($F281,'Liquid Mix In Nutrition'!A:A,'Liquid Mix In Nutrition'!F:F,0))+(($U281 / 15)  * _xlfn.XLOOKUP($G281,'Liquid Mix In Nutrition'!A:A,'Liquid Mix In Nutrition'!F:F,0))+(($V281 / MAX(1, _xlfn.XLOOKUP($H281,'Solid Mix In Nutrition'!A:A,'Solid Mix In Nutrition'!I:I,1)))  * _xlfn.XLOOKUP($H281,'Solid Mix In Nutrition'!A:A,'Solid Mix In Nutrition'!F:F,0))+(($W281 / MAX(1, _xlfn.XLOOKUP($I281,'Solid Mix In Nutrition'!A:A,'Solid Mix In Nutrition'!I:I,1)))  * _xlfn.XLOOKUP($I281,'Solid Mix In Nutrition'!A:A,'Solid Mix In Nutrition'!F:F,0))+(($X281 / 100)  * _xlfn.XLOOKUP($J281,'Sweetener Mix In Nutrition'!A:A,'Sweetener Mix In Nutrition'!F:F,0))+(($Y281 / 100)  * _xlfn.XLOOKUP($K281,'Sweetener Mix In Nutrition'!A:A,'Sweetener Mix In Nutrition'!F:F,0))</f>
        <v>0</v>
      </c>
      <c r="AK281" s="46">
        <f>[2]Sheet1!AG281</f>
        <v>0</v>
      </c>
      <c r="AL281" s="47"/>
      <c r="AM281" s="40">
        <f>IF(ISERROR(((AL281/Specs!$L$3)*Specs!$L$2)*2),0,ROUNDUP((((AL281/Specs!$L$3)*Specs!$L$2)*2),0))</f>
        <v>0</v>
      </c>
      <c r="AN281" s="48">
        <f>ROUNDUP(((AJ281+Specs!$R$2+Specs!$S$2+_xlfn.XLOOKUP($L281,Specs!A:A,Specs!V:V,0))*Specs!$N$2)+AM281,0)</f>
        <v>1</v>
      </c>
      <c r="AO281" s="40">
        <f>ROUNDUP(((AJ281+Specs!$R$2+Specs!$S$2+_xlfn.XLOOKUP($L281,Specs!A:A,Specs!V:V,0))*Specs!$N$2),0)</f>
        <v>1</v>
      </c>
      <c r="AP281" s="30"/>
    </row>
    <row r="282" spans="1:42" x14ac:dyDescent="0.25">
      <c r="A282" s="41" t="str">
        <f>_xlfn.CONCAT(_xlfn.XLOOKUP("What's Your Name?",[1]Sheet1!$1:$1,[1]Sheet1!282:282)," | ",TEXT(_xlfn.XLOOKUP("Completion time",[1]Sheet1!$1:$1,[1]Sheet1!282:282),"dddd, mmm dd, yyyy hh:mm AM/PM"))</f>
        <v xml:space="preserve"> | Saturday, Jan 00, 1900 12:00 AM</v>
      </c>
      <c r="B282" s="76">
        <f>_xlfn.XLOOKUP("What's Your Email Address?",[1]Sheet1!$1:$1,[1]Sheet1!282:282)</f>
        <v>0</v>
      </c>
      <c r="C282" s="31">
        <f>IF(ISBLANK(_xlfn.XLOOKUP("Which Flavor? (Pint Price | Quart Price | Half Gallon Price) (NOTE: Prices may fluctuate based on market conditions)",[1]Sheet1!$1:$1,[1]Sheet1!282:282)),_xlfn.XLOOKUP("Name Your Ice Cream!",[1]Sheet1!$1:$1,[1]Sheet1!282:282),IF(ISNUMBER(FIND("(", _xlfn.XLOOKUP("Which Flavor? (Pint Price | Quart Price | Half Gallon Price) (NOTE: Prices may fluctuate based on market conditions)",[1]Sheet1!$1:$1,[1]Sheet1!282:282))), LEFT(_xlfn.XLOOKUP("Which Flavor? (Pint Price | Quart Price | Half Gallon Price) (NOTE: Prices may fluctuate based on market conditions)",[1]Sheet1!$1:$1,[1]Sheet1!282:282), FIND("(", _xlfn.XLOOKUP("Which Flavor? (Pint Price | Quart Price | Half Gallon Price) (NOTE: Prices may fluctuate based on market conditions)",[1]Sheet1!$1:$1,[1]Sheet1!282:282)) - 1), _xlfn.XLOOKUP("Which Flavor? (Pint Price | Quart Price | Half Gallon Price) (NOTE: Prices may fluctuate based on market conditions)",[1]Sheet1!$1:$1,[1]Sheet1!282:282)))</f>
        <v>0</v>
      </c>
      <c r="D282" s="31">
        <f>IF(COUNTIF('Premade Flavors'!$A:$A, $C282) &gt; 0,IF(ISBLANK(_xlfn.XLOOKUP("What Ice Cream Base Do You Want To Change It To?",[1]Sheet1!$1:$1,[1]Sheet1!282:282)),_xlfn.XLOOKUP($C282,'Premade Flavors'!$A:$A,'Premade Flavors'!B:B),_xlfn.XLOOKUP("What Ice Cream Base Do You Want To Change It To?",[1]Sheet1!$1:$1,[1]Sheet1!282:282)),_xlfn.XLOOKUP(_xlfn.XLOOKUP("What Kind Of Ice Cream Base Do You Want? ",[1]Sheet1!$1:$1,[1]Sheet1!282:282),'Milk Types Nutrition Per Cup'!O:O,'Milk Types Nutrition Per Cup'!P:P,""))</f>
        <v>0</v>
      </c>
      <c r="E282" s="31">
        <f>IF(COUNTIF('Premade Flavors'!$A:$A, $C282) &gt; 0,IF(ISBLANK(_xlfn.XLOOKUP("What Ice Cream Base Do You Want To Change It To?",[1]Sheet1!$1:$1,[1]Sheet1!282:282)),_xlfn.XLOOKUP($C282,'Premade Flavors'!$A:$A,'Premade Flavors'!C:C),_xlfn.XLOOKUP("What Ice Cream Base Do You Want To Change It To?",[1]Sheet1!$1:$1,[1]Sheet1!282:282)),_xlfn.XLOOKUP(_xlfn.XLOOKUP("What Kind Of Ice Cream Base Do You Want? ",[1]Sheet1!$1:$1,[1]Sheet1!282:282),'Milk Types Nutrition Per Cup'!$O:$O,'Milk Types Nutrition Per Cup'!$Q:$Q,""))</f>
        <v>0</v>
      </c>
      <c r="F282" s="31">
        <f>IF(COUNTIF('Premade Flavors'!$A:$A, $C282) &gt; 0,_xlfn.XLOOKUP($C282,'Premade Flavors'!$A:$A,'Premade Flavors'!E:E),_xlfn.XLOOKUP("What's The First Flavor You Want? ",[1]Sheet1!$1:$1,[1]Sheet1!282:282))</f>
        <v>0</v>
      </c>
      <c r="G282" s="31">
        <f>IF(COUNTIF('Premade Flavors'!$A:$A, $C282) &gt; 0,_xlfn.XLOOKUP($C282,'Premade Flavors'!$A:$A,'Premade Flavors'!F:F),_xlfn.XLOOKUP("What's the Second Flavor You Want?",[1]Sheet1!$1:$1,[1]Sheet1!282:282))</f>
        <v>0</v>
      </c>
      <c r="H282" s="31">
        <f>IF(COUNTIF('Premade Flavors'!$A:$A, $C282) &gt; 0,_xlfn.XLOOKUP($C282,'Premade Flavors'!$A:$A,'Premade Flavors'!G:G),_xlfn.XLOOKUP("What's The First Mix In That You Want? ",[1]Sheet1!$1:$1,[1]Sheet1!282:282))</f>
        <v>0</v>
      </c>
      <c r="I282" s="31">
        <f>IF(COUNTIF('Premade Flavors'!$A:$A, $C280) &gt; 0,_xlfn.XLOOKUP($C280,'Premade Flavors'!$A:$A,'Premade Flavors'!H:H),IF([2]Sheet1!W280= 0,,[2]Sheet1!W280))</f>
        <v>0</v>
      </c>
      <c r="J282" s="31">
        <f>IF(COUNTIF('Premade Flavors'!$A:$A,$C282)&gt;0,IF(_xlfn.XLOOKUP("Should It Use Sugar or A Non-Sugar Sweetner?",[1]Sheet1!$1:$1,[1]Sheet1!282:282)="Sugar",_xlfn.XLOOKUP($C282,'Premade Flavors'!$A:$A,'Premade Flavors'!I:I),"Stevia"),_xlfn.XLOOKUP("What Sweetner Do You Want?",[1]Sheet1!$1:$1,[1]Sheet1!282:282))</f>
        <v>0</v>
      </c>
      <c r="K282" s="31"/>
      <c r="L282" s="77">
        <f>_xlfn.XLOOKUP("How Much Ice Cream Do You Want?",[1]Sheet1!$1:$1,[1]Sheet1!282:282)</f>
        <v>0</v>
      </c>
      <c r="M282" s="45">
        <f>IF(COUNTIF('Premade Flavors'!$A:$A, $C282) &gt; 0,_xlfn.XLOOKUP($C282,'Premade Flavors'!$A:$A,'Premade Flavors'!M:M),_xlfn.XLOOKUP("How Strong Do You Want The First Flavor?",[1]Sheet1!$1:$1,[1]Sheet1!282:282))</f>
        <v>0</v>
      </c>
      <c r="N282" s="45">
        <f>IF(COUNTIF('Premade Flavors'!$A:$A, $C282) &gt; 0,_xlfn.XLOOKUP($C282,'Premade Flavors'!$A:$A,'Premade Flavors'!N:N),_xlfn.XLOOKUP("How Strong Do You Want The Second Flavor?",[1]Sheet1!$1:$1,[1]Sheet1!282:282))</f>
        <v>0</v>
      </c>
      <c r="O282" s="45">
        <f>IF(COUNTIF('Premade Flavors'!$A:$A, $C282) &gt; 0,_xlfn.XLOOKUP($C282,'Premade Flavors'!$A:$A,'Premade Flavors'!O:O),_xlfn.XLOOKUP("How Dense Should the Mix Ins Be?",[1]Sheet1!$1:$1,[1]Sheet1!282:282))</f>
        <v>0</v>
      </c>
      <c r="P282" s="45">
        <f>IF(COUNTIF('Premade Flavors'!$A:$A, $C282) &gt; 0,_xlfn.XLOOKUP($C282,'Premade Flavors'!$A:$A,'Premade Flavors'!P:P),_xlfn.XLOOKUP("How Much Of The First Sweetner? ",[1]Sheet1!$1:$1,[1]Sheet1!282:282))</f>
        <v>0</v>
      </c>
      <c r="Q282" s="45">
        <f>IF(COUNTIF('Premade Flavors'!$A:$A, $C282) &gt; 0,_xlfn.XLOOKUP($C282,'Premade Flavors'!$A:$A,'Premade Flavors'!Q:Q),[2]Sheet1!S282)</f>
        <v>0</v>
      </c>
      <c r="R282" s="30">
        <f>(_xlfn.XLOOKUP($L282,Specs!A:A,Specs!B:B,0)-(IF(_xlfn.XLOOKUP($F282,'Liquid Mix In Nutrition'!A:A,'Liquid Mix In Nutrition'!J:J,0)="Yes",0,$T282))-(IF(_xlfn.XLOOKUP($G282,'Liquid Mix In Nutrition'!A:A,'Liquid Mix In Nutrition'!J:J,0)="Yes",0,$U282))-(($V282/MAX(1,_xlfn.XLOOKUP($H282,'Solid Mix In Nutrition'!A:A,'Solid Mix In Nutrition'!I:I,1)))*240)-(($W282/MAX(1,_xlfn.XLOOKUP($I282,'Solid Mix In Nutrition'!A:A,'Solid Mix In Nutrition'!I:I,1)))*240))*0.66</f>
        <v>0</v>
      </c>
      <c r="S282" s="30">
        <f>(_xlfn.XLOOKUP($L282,Specs!A:A,Specs!B:B,0)-(IF(_xlfn.XLOOKUP($F282,'Liquid Mix In Nutrition'!A:A,'Liquid Mix In Nutrition'!J:J,0)="Yes",0,$T282))-(IF(_xlfn.XLOOKUP($G282,'Liquid Mix In Nutrition'!A:A,'Liquid Mix In Nutrition'!J:J,0)="Yes",0,$U282))-(($V282/MAX(1,_xlfn.XLOOKUP($H282,'Solid Mix In Nutrition'!A:A,'Solid Mix In Nutrition'!I:I,1)))*240)-(($W282/MAX(1,_xlfn.XLOOKUP($I282,'Solid Mix In Nutrition'!A:A,'Solid Mix In Nutrition'!I:I,1)))*240))*0.33</f>
        <v>0</v>
      </c>
      <c r="T282" s="30">
        <f>_xlfn.XLOOKUP($M282,Specs!$D:$D,Specs!$E:$E,0)*15*_xlfn.XLOOKUP($L282,Specs!$A:$A,Specs!$C:$C,0)</f>
        <v>0</v>
      </c>
      <c r="U282" s="30">
        <f>_xlfn.XLOOKUP($N282,Specs!$D:$D,Specs!$E:$E,0)*15*_xlfn.XLOOKUP($L282,Specs!$A:$A,Specs!$C:$C,0)</f>
        <v>0</v>
      </c>
      <c r="V282" s="30">
        <f>( ((_xlfn.XLOOKUP($O282,Specs!$H:$H,Specs!$I:$I,0)*_xlfn.XLOOKUP($L282,Specs!$A:$A,Specs!$B:$B,0))/240) *_xlfn.XLOOKUP($H282,'Solid Mix In Nutrition'!A:A,'Solid Mix In Nutrition'!I:I,0)) *IF(AND(NOT($I282=0), COUNTA($I282)),0.5,1)</f>
        <v>0</v>
      </c>
      <c r="W282" s="30">
        <f>( ((_xlfn.XLOOKUP($O282,Specs!$H:$H,Specs!$I:$I,0)*_xlfn.XLOOKUP($L282,Specs!$A:$A,Specs!$B:$B,0))/240) *_xlfn.XLOOKUP($I282,'Solid Mix In Nutrition'!A:A,'Solid Mix In Nutrition'!I:I,0)) *IF(AND(NOT($I282=0), COUNTA($I282)),0.5,0)</f>
        <v>0</v>
      </c>
      <c r="X282" s="30">
        <f>_xlfn.XLOOKUP($P282,Specs!F:F,Specs!G:G,0)*_xlfn.XLOOKUP($J282,'Sweetener Mix In Nutrition'!A:A,'Sweetener Mix In Nutrition'!I:I,0)*_xlfn.XLOOKUP($L282,Specs!A:A,Specs!C:C,0)</f>
        <v>0</v>
      </c>
      <c r="Y282" s="30">
        <f>_xlfn.XLOOKUP($Q282,Specs!F:F,Specs!G:G,0)*_xlfn.XLOOKUP($K282,'Sweetener Mix In Nutrition'!A:A,'Sweetener Mix In Nutrition'!I:I,0)*_xlfn.XLOOKUP($L282,Specs!A:A,Specs!C:C,0)</f>
        <v>0</v>
      </c>
      <c r="Z282" s="34">
        <f t="shared" si="8"/>
        <v>0</v>
      </c>
      <c r="AA282" s="35">
        <f t="shared" si="9"/>
        <v>0</v>
      </c>
      <c r="AB282" s="36">
        <f>(($R282 / 240) * _xlfn.XLOOKUP($D282,'Milk Types Nutrition Per Cup'!A:A,'Milk Types Nutrition Per Cup'!B:B,0)) +(($S282 / 240)  * _xlfn.XLOOKUP($E282,'Milk Types Nutrition Per Cup'!A:A,'Milk Types Nutrition Per Cup'!B:B,0)) +(($T282 / 15)  * _xlfn.XLOOKUP($F282,'Liquid Mix In Nutrition'!A:A,'Liquid Mix In Nutrition'!B:B,0))+(($U282 / 15)  * _xlfn.XLOOKUP($G282,'Liquid Mix In Nutrition'!A:A,'Liquid Mix In Nutrition'!B:B,0))+(($V282 /MAX(1, _xlfn.XLOOKUP($H282,'Solid Mix In Nutrition'!A:A,'Solid Mix In Nutrition'!I:I,1)))  * _xlfn.XLOOKUP($H282,'Solid Mix In Nutrition'!A:A,'Solid Mix In Nutrition'!B:B,0))+(($W282 / MAX(1, _xlfn.XLOOKUP($I282,'Solid Mix In Nutrition'!A:A,'Solid Mix In Nutrition'!I:I,1))))+(($X282 / 100)  * _xlfn.XLOOKUP($J282,'Sweetener Mix In Nutrition'!A:A,'Sweetener Mix In Nutrition'!B:B,0))+(($Y282 / 100)  * _xlfn.XLOOKUP($K282,'Sweetener Mix In Nutrition'!A:A,'Sweetener Mix In Nutrition'!B:B,0))</f>
        <v>0</v>
      </c>
      <c r="AC282" s="36">
        <f>(($R282 / 240) * _xlfn.XLOOKUP($D282,'Milk Types Nutrition Per Cup'!A:A,'Milk Types Nutrition Per Cup'!E:E,0)) +(($S282 / 240)  * _xlfn.XLOOKUP($E282,'Milk Types Nutrition Per Cup'!A:A,'Milk Types Nutrition Per Cup'!E:E,0)) +(($T282 / 15)  * _xlfn.XLOOKUP($F282,'Liquid Mix In Nutrition'!A:A,'Liquid Mix In Nutrition'!E:E,0)) +(($U282 / 15)  * _xlfn.XLOOKUP($G282,'Liquid Mix In Nutrition'!A:A,'Liquid Mix In Nutrition'!E:E,0))+(($V282 / MAX(1, _xlfn.XLOOKUP($H282,'Solid Mix In Nutrition'!A:A,'Solid Mix In Nutrition'!I:I,1)))  * _xlfn.XLOOKUP($H282,'Solid Mix In Nutrition'!A:A,'Solid Mix In Nutrition'!E:E,0))+(($W282 / MAX(1, _xlfn.XLOOKUP($I282,'Solid Mix In Nutrition'!A:A,'Solid Mix In Nutrition'!I:I,1)))  * _xlfn.XLOOKUP($I282,'Solid Mix In Nutrition'!A:A,'Solid Mix In Nutrition'!G:G,0))+(($X282 / 100)  * _xlfn.XLOOKUP($J282,'Sweetener Mix In Nutrition'!A:A,'Sweetener Mix In Nutrition'!E:E,0))+(($Y282 / 100)  * _xlfn.XLOOKUP($K282,'Sweetener Mix In Nutrition'!A:A,'Sweetener Mix In Nutrition'!E:E,0))</f>
        <v>0</v>
      </c>
      <c r="AD282" s="36">
        <f>(($R282 / 240) * _xlfn.XLOOKUP($D282,'Milk Types Nutrition Per Cup'!A:A,'Milk Types Nutrition Per Cup'!E:E,0)) +(($S282 / 240)  * _xlfn.XLOOKUP($E282,'Milk Types Nutrition Per Cup'!A:A,'Milk Types Nutrition Per Cup'!E:E,0)) +(($T282 / 15)  * _xlfn.XLOOKUP($F282,'Liquid Mix In Nutrition'!A:A,'Liquid Mix In Nutrition'!E:E,0)) +(($U282 / 15)  * _xlfn.XLOOKUP($G282,'Liquid Mix In Nutrition'!A:A,'Liquid Mix In Nutrition'!E:E,0))+(($X282 / 100)  * _xlfn.XLOOKUP($J282,'Sweetener Mix In Nutrition'!A:A,'Sweetener Mix In Nutrition'!E:E,0))+(($Y282 / 100)  * _xlfn.XLOOKUP($K282,'Sweetener Mix In Nutrition'!A:A,'Sweetener Mix In Nutrition'!E:E,0))</f>
        <v>0</v>
      </c>
      <c r="AE282" s="37">
        <f>(($R282 / 240) * _xlfn.XLOOKUP($D282,'Milk Types Nutrition Per Cup'!A:A,'Milk Types Nutrition Per Cup'!C:C,0)) +(($S282 / 240)  * _xlfn.XLOOKUP($E282,'Milk Types Nutrition Per Cup'!A:A,'Milk Types Nutrition Per Cup'!C:C,0)) +(($T282 / 15)  * _xlfn.XLOOKUP($F282,'Liquid Mix In Nutrition'!A:A,'Liquid Mix In Nutrition'!C:C,0))+(($U282 / 15)  * _xlfn.XLOOKUP($G282,'Liquid Mix In Nutrition'!A:A,'Liquid Mix In Nutrition'!C:C,0))+(($V282 / MAX(1, _xlfn.XLOOKUP($H282,'Solid Mix In Nutrition'!A:A,'Solid Mix In Nutrition'!I:I,1)))  * _xlfn.XLOOKUP($H282,'Solid Mix In Nutrition'!A:A,'Solid Mix In Nutrition'!C:C,0))+(($W282 / MAX(1, _xlfn.XLOOKUP($I282,'Solid Mix In Nutrition'!A:A,'Solid Mix In Nutrition'!I:I,1)))  * _xlfn.XLOOKUP($I282,'Solid Mix In Nutrition'!A:A,'Solid Mix In Nutrition'!C:C,0))+(($X282 / 100)  * _xlfn.XLOOKUP($J282,'Sweetener Mix In Nutrition'!A:A,'Sweetener Mix In Nutrition'!C:C,0))+(($Y282 / 100)  * _xlfn.XLOOKUP($K282,'Sweetener Mix In Nutrition'!A:A,'Sweetener Mix In Nutrition'!C:C,0))</f>
        <v>0</v>
      </c>
      <c r="AF282" s="38" t="e">
        <f>$AE282 / (_xlfn.XLOOKUP($L282,Specs!A:A,Specs!B:B,0))</f>
        <v>#DIV/0!</v>
      </c>
      <c r="AG282" s="37" t="e">
        <f>60* ($AB282 / _xlfn.XLOOKUP($L282,Specs!A:A,Specs!B:B,0))</f>
        <v>#DIV/0!</v>
      </c>
      <c r="AH282" s="37" t="e">
        <f>60* (AC282 / _xlfn.XLOOKUP($L282,Specs!$A:$A,Specs!$B:$B,0))</f>
        <v>#DIV/0!</v>
      </c>
      <c r="AI282" s="37" t="e">
        <f>60* (AE282 / _xlfn.XLOOKUP($L282,Specs!$A:$A,Specs!$B:$B,0))</f>
        <v>#DIV/0!</v>
      </c>
      <c r="AJ282" s="39">
        <f>(($R282 / 240) * _xlfn.XLOOKUP($D282,'Milk Types Nutrition Per Cup'!A:A,'Milk Types Nutrition Per Cup'!F:F,0)) +(($S282 / 240)  * _xlfn.XLOOKUP($E282,'Milk Types Nutrition Per Cup'!A:A,'Milk Types Nutrition Per Cup'!F:F,0)) +(($T282 / 15)  * _xlfn.XLOOKUP($F282,'Liquid Mix In Nutrition'!A:A,'Liquid Mix In Nutrition'!F:F,0))+(($U282 / 15)  * _xlfn.XLOOKUP($G282,'Liquid Mix In Nutrition'!A:A,'Liquid Mix In Nutrition'!F:F,0))+(($V282 / MAX(1, _xlfn.XLOOKUP($H282,'Solid Mix In Nutrition'!A:A,'Solid Mix In Nutrition'!I:I,1)))  * _xlfn.XLOOKUP($H282,'Solid Mix In Nutrition'!A:A,'Solid Mix In Nutrition'!F:F,0))+(($W282 / MAX(1, _xlfn.XLOOKUP($I282,'Solid Mix In Nutrition'!A:A,'Solid Mix In Nutrition'!I:I,1)))  * _xlfn.XLOOKUP($I282,'Solid Mix In Nutrition'!A:A,'Solid Mix In Nutrition'!F:F,0))+(($X282 / 100)  * _xlfn.XLOOKUP($J282,'Sweetener Mix In Nutrition'!A:A,'Sweetener Mix In Nutrition'!F:F,0))+(($Y282 / 100)  * _xlfn.XLOOKUP($K282,'Sweetener Mix In Nutrition'!A:A,'Sweetener Mix In Nutrition'!F:F,0))</f>
        <v>0</v>
      </c>
      <c r="AK282" s="46">
        <f>[2]Sheet1!AG282</f>
        <v>0</v>
      </c>
      <c r="AL282" s="47"/>
      <c r="AM282" s="40">
        <f>IF(ISERROR(((AL282/Specs!$L$3)*Specs!$L$2)*2),0,ROUNDUP((((AL282/Specs!$L$3)*Specs!$L$2)*2),0))</f>
        <v>0</v>
      </c>
      <c r="AN282" s="48">
        <f>ROUNDUP(((AJ282+Specs!$R$2+Specs!$S$2+_xlfn.XLOOKUP($L282,Specs!A:A,Specs!V:V,0))*Specs!$N$2)+AM282,0)</f>
        <v>1</v>
      </c>
      <c r="AO282" s="40">
        <f>ROUNDUP(((AJ282+Specs!$R$2+Specs!$S$2+_xlfn.XLOOKUP($L282,Specs!A:A,Specs!V:V,0))*Specs!$N$2),0)</f>
        <v>1</v>
      </c>
      <c r="AP282" s="30"/>
    </row>
    <row r="283" spans="1:42" x14ac:dyDescent="0.25">
      <c r="A283" s="41" t="str">
        <f>_xlfn.CONCAT(_xlfn.XLOOKUP("What's Your Name?",[1]Sheet1!$1:$1,[1]Sheet1!283:283)," | ",TEXT(_xlfn.XLOOKUP("Completion time",[1]Sheet1!$1:$1,[1]Sheet1!283:283),"dddd, mmm dd, yyyy hh:mm AM/PM"))</f>
        <v xml:space="preserve"> | Saturday, Jan 00, 1900 12:00 AM</v>
      </c>
      <c r="B283" s="76">
        <f>_xlfn.XLOOKUP("What's Your Email Address?",[1]Sheet1!$1:$1,[1]Sheet1!283:283)</f>
        <v>0</v>
      </c>
      <c r="C283" s="31">
        <f>IF(ISBLANK(_xlfn.XLOOKUP("Which Flavor? (Pint Price | Quart Price | Half Gallon Price) (NOTE: Prices may fluctuate based on market conditions)",[1]Sheet1!$1:$1,[1]Sheet1!283:283)),_xlfn.XLOOKUP("Name Your Ice Cream!",[1]Sheet1!$1:$1,[1]Sheet1!283:283),IF(ISNUMBER(FIND("(", _xlfn.XLOOKUP("Which Flavor? (Pint Price | Quart Price | Half Gallon Price) (NOTE: Prices may fluctuate based on market conditions)",[1]Sheet1!$1:$1,[1]Sheet1!283:283))), LEFT(_xlfn.XLOOKUP("Which Flavor? (Pint Price | Quart Price | Half Gallon Price) (NOTE: Prices may fluctuate based on market conditions)",[1]Sheet1!$1:$1,[1]Sheet1!283:283), FIND("(", _xlfn.XLOOKUP("Which Flavor? (Pint Price | Quart Price | Half Gallon Price) (NOTE: Prices may fluctuate based on market conditions)",[1]Sheet1!$1:$1,[1]Sheet1!283:283)) - 1), _xlfn.XLOOKUP("Which Flavor? (Pint Price | Quart Price | Half Gallon Price) (NOTE: Prices may fluctuate based on market conditions)",[1]Sheet1!$1:$1,[1]Sheet1!283:283)))</f>
        <v>0</v>
      </c>
      <c r="D283" s="31">
        <f>IF(COUNTIF('Premade Flavors'!$A:$A, $C283) &gt; 0,IF(ISBLANK(_xlfn.XLOOKUP("What Ice Cream Base Do You Want To Change It To?",[1]Sheet1!$1:$1,[1]Sheet1!283:283)),_xlfn.XLOOKUP($C283,'Premade Flavors'!$A:$A,'Premade Flavors'!B:B),_xlfn.XLOOKUP("What Ice Cream Base Do You Want To Change It To?",[1]Sheet1!$1:$1,[1]Sheet1!283:283)),_xlfn.XLOOKUP(_xlfn.XLOOKUP("What Kind Of Ice Cream Base Do You Want? ",[1]Sheet1!$1:$1,[1]Sheet1!283:283),'Milk Types Nutrition Per Cup'!O:O,'Milk Types Nutrition Per Cup'!P:P,""))</f>
        <v>0</v>
      </c>
      <c r="E283" s="31">
        <f>IF(COUNTIF('Premade Flavors'!$A:$A, $C283) &gt; 0,IF(ISBLANK(_xlfn.XLOOKUP("What Ice Cream Base Do You Want To Change It To?",[1]Sheet1!$1:$1,[1]Sheet1!283:283)),_xlfn.XLOOKUP($C283,'Premade Flavors'!$A:$A,'Premade Flavors'!C:C),_xlfn.XLOOKUP("What Ice Cream Base Do You Want To Change It To?",[1]Sheet1!$1:$1,[1]Sheet1!283:283)),_xlfn.XLOOKUP(_xlfn.XLOOKUP("What Kind Of Ice Cream Base Do You Want? ",[1]Sheet1!$1:$1,[1]Sheet1!283:283),'Milk Types Nutrition Per Cup'!$O:$O,'Milk Types Nutrition Per Cup'!$Q:$Q,""))</f>
        <v>0</v>
      </c>
      <c r="F283" s="31">
        <f>IF(COUNTIF('Premade Flavors'!$A:$A, $C283) &gt; 0,_xlfn.XLOOKUP($C283,'Premade Flavors'!$A:$A,'Premade Flavors'!E:E),_xlfn.XLOOKUP("What's The First Flavor You Want? ",[1]Sheet1!$1:$1,[1]Sheet1!283:283))</f>
        <v>0</v>
      </c>
      <c r="G283" s="31">
        <f>IF(COUNTIF('Premade Flavors'!$A:$A, $C283) &gt; 0,_xlfn.XLOOKUP($C283,'Premade Flavors'!$A:$A,'Premade Flavors'!F:F),_xlfn.XLOOKUP("What's the Second Flavor You Want?",[1]Sheet1!$1:$1,[1]Sheet1!283:283))</f>
        <v>0</v>
      </c>
      <c r="H283" s="31">
        <f>IF(COUNTIF('Premade Flavors'!$A:$A, $C283) &gt; 0,_xlfn.XLOOKUP($C283,'Premade Flavors'!$A:$A,'Premade Flavors'!G:G),_xlfn.XLOOKUP("What's The First Mix In That You Want? ",[1]Sheet1!$1:$1,[1]Sheet1!283:283))</f>
        <v>0</v>
      </c>
      <c r="I283" s="31">
        <f>IF(COUNTIF('Premade Flavors'!$A:$A, $C281) &gt; 0,_xlfn.XLOOKUP($C281,'Premade Flavors'!$A:$A,'Premade Flavors'!H:H),IF([2]Sheet1!W281= 0,,[2]Sheet1!W281))</f>
        <v>0</v>
      </c>
      <c r="J283" s="31">
        <f>IF(COUNTIF('Premade Flavors'!$A:$A,$C283)&gt;0,IF(_xlfn.XLOOKUP("Should It Use Sugar or A Non-Sugar Sweetner?",[1]Sheet1!$1:$1,[1]Sheet1!283:283)="Sugar",_xlfn.XLOOKUP($C283,'Premade Flavors'!$A:$A,'Premade Flavors'!I:I),"Stevia"),_xlfn.XLOOKUP("What Sweetner Do You Want?",[1]Sheet1!$1:$1,[1]Sheet1!283:283))</f>
        <v>0</v>
      </c>
      <c r="K283" s="31"/>
      <c r="L283" s="77">
        <f>_xlfn.XLOOKUP("How Much Ice Cream Do You Want?",[1]Sheet1!$1:$1,[1]Sheet1!283:283)</f>
        <v>0</v>
      </c>
      <c r="M283" s="45">
        <f>IF(COUNTIF('Premade Flavors'!$A:$A, $C283) &gt; 0,_xlfn.XLOOKUP($C283,'Premade Flavors'!$A:$A,'Premade Flavors'!M:M),_xlfn.XLOOKUP("How Strong Do You Want The First Flavor?",[1]Sheet1!$1:$1,[1]Sheet1!283:283))</f>
        <v>0</v>
      </c>
      <c r="N283" s="45">
        <f>IF(COUNTIF('Premade Flavors'!$A:$A, $C283) &gt; 0,_xlfn.XLOOKUP($C283,'Premade Flavors'!$A:$A,'Premade Flavors'!N:N),_xlfn.XLOOKUP("How Strong Do You Want The Second Flavor?",[1]Sheet1!$1:$1,[1]Sheet1!283:283))</f>
        <v>0</v>
      </c>
      <c r="O283" s="45">
        <f>IF(COUNTIF('Premade Flavors'!$A:$A, $C283) &gt; 0,_xlfn.XLOOKUP($C283,'Premade Flavors'!$A:$A,'Premade Flavors'!O:O),_xlfn.XLOOKUP("How Dense Should the Mix Ins Be?",[1]Sheet1!$1:$1,[1]Sheet1!283:283))</f>
        <v>0</v>
      </c>
      <c r="P283" s="45">
        <f>IF(COUNTIF('Premade Flavors'!$A:$A, $C283) &gt; 0,_xlfn.XLOOKUP($C283,'Premade Flavors'!$A:$A,'Premade Flavors'!P:P),_xlfn.XLOOKUP("How Much Of The First Sweetner? ",[1]Sheet1!$1:$1,[1]Sheet1!283:283))</f>
        <v>0</v>
      </c>
      <c r="Q283" s="45">
        <f>IF(COUNTIF('Premade Flavors'!$A:$A, $C283) &gt; 0,_xlfn.XLOOKUP($C283,'Premade Flavors'!$A:$A,'Premade Flavors'!Q:Q),[2]Sheet1!S283)</f>
        <v>0</v>
      </c>
      <c r="R283" s="30">
        <f>(_xlfn.XLOOKUP($L283,Specs!A:A,Specs!B:B,0)-(IF(_xlfn.XLOOKUP($F283,'Liquid Mix In Nutrition'!A:A,'Liquid Mix In Nutrition'!J:J,0)="Yes",0,$T283))-(IF(_xlfn.XLOOKUP($G283,'Liquid Mix In Nutrition'!A:A,'Liquid Mix In Nutrition'!J:J,0)="Yes",0,$U283))-(($V283/MAX(1,_xlfn.XLOOKUP($H283,'Solid Mix In Nutrition'!A:A,'Solid Mix In Nutrition'!I:I,1)))*240)-(($W283/MAX(1,_xlfn.XLOOKUP($I283,'Solid Mix In Nutrition'!A:A,'Solid Mix In Nutrition'!I:I,1)))*240))*0.66</f>
        <v>0</v>
      </c>
      <c r="S283" s="30">
        <f>(_xlfn.XLOOKUP($L283,Specs!A:A,Specs!B:B,0)-(IF(_xlfn.XLOOKUP($F283,'Liquid Mix In Nutrition'!A:A,'Liquid Mix In Nutrition'!J:J,0)="Yes",0,$T283))-(IF(_xlfn.XLOOKUP($G283,'Liquid Mix In Nutrition'!A:A,'Liquid Mix In Nutrition'!J:J,0)="Yes",0,$U283))-(($V283/MAX(1,_xlfn.XLOOKUP($H283,'Solid Mix In Nutrition'!A:A,'Solid Mix In Nutrition'!I:I,1)))*240)-(($W283/MAX(1,_xlfn.XLOOKUP($I283,'Solid Mix In Nutrition'!A:A,'Solid Mix In Nutrition'!I:I,1)))*240))*0.33</f>
        <v>0</v>
      </c>
      <c r="T283" s="30">
        <f>_xlfn.XLOOKUP($M283,Specs!$D:$D,Specs!$E:$E,0)*15*_xlfn.XLOOKUP($L283,Specs!$A:$A,Specs!$C:$C,0)</f>
        <v>0</v>
      </c>
      <c r="U283" s="30">
        <f>_xlfn.XLOOKUP($N283,Specs!$D:$D,Specs!$E:$E,0)*15*_xlfn.XLOOKUP($L283,Specs!$A:$A,Specs!$C:$C,0)</f>
        <v>0</v>
      </c>
      <c r="V283" s="30">
        <f>( ((_xlfn.XLOOKUP($O283,Specs!$H:$H,Specs!$I:$I,0)*_xlfn.XLOOKUP($L283,Specs!$A:$A,Specs!$B:$B,0))/240) *_xlfn.XLOOKUP($H283,'Solid Mix In Nutrition'!A:A,'Solid Mix In Nutrition'!I:I,0)) *IF(AND(NOT($I283=0), COUNTA($I283)),0.5,1)</f>
        <v>0</v>
      </c>
      <c r="W283" s="30">
        <f>( ((_xlfn.XLOOKUP($O283,Specs!$H:$H,Specs!$I:$I,0)*_xlfn.XLOOKUP($L283,Specs!$A:$A,Specs!$B:$B,0))/240) *_xlfn.XLOOKUP($I283,'Solid Mix In Nutrition'!A:A,'Solid Mix In Nutrition'!I:I,0)) *IF(AND(NOT($I283=0), COUNTA($I283)),0.5,0)</f>
        <v>0</v>
      </c>
      <c r="X283" s="30">
        <f>_xlfn.XLOOKUP($P283,Specs!F:F,Specs!G:G,0)*_xlfn.XLOOKUP($J283,'Sweetener Mix In Nutrition'!A:A,'Sweetener Mix In Nutrition'!I:I,0)*_xlfn.XLOOKUP($L283,Specs!A:A,Specs!C:C,0)</f>
        <v>0</v>
      </c>
      <c r="Y283" s="30">
        <f>_xlfn.XLOOKUP($Q283,Specs!F:F,Specs!G:G,0)*_xlfn.XLOOKUP($K283,'Sweetener Mix In Nutrition'!A:A,'Sweetener Mix In Nutrition'!I:I,0)*_xlfn.XLOOKUP($L283,Specs!A:A,Specs!C:C,0)</f>
        <v>0</v>
      </c>
      <c r="Z283" s="34">
        <f t="shared" si="8"/>
        <v>0</v>
      </c>
      <c r="AA283" s="35">
        <f t="shared" si="9"/>
        <v>0</v>
      </c>
      <c r="AB283" s="36">
        <f>(($R283 / 240) * _xlfn.XLOOKUP($D283,'Milk Types Nutrition Per Cup'!A:A,'Milk Types Nutrition Per Cup'!B:B,0)) +(($S283 / 240)  * _xlfn.XLOOKUP($E283,'Milk Types Nutrition Per Cup'!A:A,'Milk Types Nutrition Per Cup'!B:B,0)) +(($T283 / 15)  * _xlfn.XLOOKUP($F283,'Liquid Mix In Nutrition'!A:A,'Liquid Mix In Nutrition'!B:B,0))+(($U283 / 15)  * _xlfn.XLOOKUP($G283,'Liquid Mix In Nutrition'!A:A,'Liquid Mix In Nutrition'!B:B,0))+(($V283 /MAX(1, _xlfn.XLOOKUP($H283,'Solid Mix In Nutrition'!A:A,'Solid Mix In Nutrition'!I:I,1)))  * _xlfn.XLOOKUP($H283,'Solid Mix In Nutrition'!A:A,'Solid Mix In Nutrition'!B:B,0))+(($W283 / MAX(1, _xlfn.XLOOKUP($I283,'Solid Mix In Nutrition'!A:A,'Solid Mix In Nutrition'!I:I,1))))+(($X283 / 100)  * _xlfn.XLOOKUP($J283,'Sweetener Mix In Nutrition'!A:A,'Sweetener Mix In Nutrition'!B:B,0))+(($Y283 / 100)  * _xlfn.XLOOKUP($K283,'Sweetener Mix In Nutrition'!A:A,'Sweetener Mix In Nutrition'!B:B,0))</f>
        <v>0</v>
      </c>
      <c r="AC283" s="36">
        <f>(($R283 / 240) * _xlfn.XLOOKUP($D283,'Milk Types Nutrition Per Cup'!A:A,'Milk Types Nutrition Per Cup'!E:E,0)) +(($S283 / 240)  * _xlfn.XLOOKUP($E283,'Milk Types Nutrition Per Cup'!A:A,'Milk Types Nutrition Per Cup'!E:E,0)) +(($T283 / 15)  * _xlfn.XLOOKUP($F283,'Liquid Mix In Nutrition'!A:A,'Liquid Mix In Nutrition'!E:E,0)) +(($U283 / 15)  * _xlfn.XLOOKUP($G283,'Liquid Mix In Nutrition'!A:A,'Liquid Mix In Nutrition'!E:E,0))+(($V283 / MAX(1, _xlfn.XLOOKUP($H283,'Solid Mix In Nutrition'!A:A,'Solid Mix In Nutrition'!I:I,1)))  * _xlfn.XLOOKUP($H283,'Solid Mix In Nutrition'!A:A,'Solid Mix In Nutrition'!E:E,0))+(($W283 / MAX(1, _xlfn.XLOOKUP($I283,'Solid Mix In Nutrition'!A:A,'Solid Mix In Nutrition'!I:I,1)))  * _xlfn.XLOOKUP($I283,'Solid Mix In Nutrition'!A:A,'Solid Mix In Nutrition'!G:G,0))+(($X283 / 100)  * _xlfn.XLOOKUP($J283,'Sweetener Mix In Nutrition'!A:A,'Sweetener Mix In Nutrition'!E:E,0))+(($Y283 / 100)  * _xlfn.XLOOKUP($K283,'Sweetener Mix In Nutrition'!A:A,'Sweetener Mix In Nutrition'!E:E,0))</f>
        <v>0</v>
      </c>
      <c r="AD283" s="36">
        <f>(($R283 / 240) * _xlfn.XLOOKUP($D283,'Milk Types Nutrition Per Cup'!A:A,'Milk Types Nutrition Per Cup'!E:E,0)) +(($S283 / 240)  * _xlfn.XLOOKUP($E283,'Milk Types Nutrition Per Cup'!A:A,'Milk Types Nutrition Per Cup'!E:E,0)) +(($T283 / 15)  * _xlfn.XLOOKUP($F283,'Liquid Mix In Nutrition'!A:A,'Liquid Mix In Nutrition'!E:E,0)) +(($U283 / 15)  * _xlfn.XLOOKUP($G283,'Liquid Mix In Nutrition'!A:A,'Liquid Mix In Nutrition'!E:E,0))+(($X283 / 100)  * _xlfn.XLOOKUP($J283,'Sweetener Mix In Nutrition'!A:A,'Sweetener Mix In Nutrition'!E:E,0))+(($Y283 / 100)  * _xlfn.XLOOKUP($K283,'Sweetener Mix In Nutrition'!A:A,'Sweetener Mix In Nutrition'!E:E,0))</f>
        <v>0</v>
      </c>
      <c r="AE283" s="37">
        <f>(($R283 / 240) * _xlfn.XLOOKUP($D283,'Milk Types Nutrition Per Cup'!A:A,'Milk Types Nutrition Per Cup'!C:C,0)) +(($S283 / 240)  * _xlfn.XLOOKUP($E283,'Milk Types Nutrition Per Cup'!A:A,'Milk Types Nutrition Per Cup'!C:C,0)) +(($T283 / 15)  * _xlfn.XLOOKUP($F283,'Liquid Mix In Nutrition'!A:A,'Liquid Mix In Nutrition'!C:C,0))+(($U283 / 15)  * _xlfn.XLOOKUP($G283,'Liquid Mix In Nutrition'!A:A,'Liquid Mix In Nutrition'!C:C,0))+(($V283 / MAX(1, _xlfn.XLOOKUP($H283,'Solid Mix In Nutrition'!A:A,'Solid Mix In Nutrition'!I:I,1)))  * _xlfn.XLOOKUP($H283,'Solid Mix In Nutrition'!A:A,'Solid Mix In Nutrition'!C:C,0))+(($W283 / MAX(1, _xlfn.XLOOKUP($I283,'Solid Mix In Nutrition'!A:A,'Solid Mix In Nutrition'!I:I,1)))  * _xlfn.XLOOKUP($I283,'Solid Mix In Nutrition'!A:A,'Solid Mix In Nutrition'!C:C,0))+(($X283 / 100)  * _xlfn.XLOOKUP($J283,'Sweetener Mix In Nutrition'!A:A,'Sweetener Mix In Nutrition'!C:C,0))+(($Y283 / 100)  * _xlfn.XLOOKUP($K283,'Sweetener Mix In Nutrition'!A:A,'Sweetener Mix In Nutrition'!C:C,0))</f>
        <v>0</v>
      </c>
      <c r="AF283" s="38" t="e">
        <f>$AE283 / (_xlfn.XLOOKUP($L283,Specs!A:A,Specs!B:B,0))</f>
        <v>#DIV/0!</v>
      </c>
      <c r="AG283" s="37" t="e">
        <f>60* ($AB283 / _xlfn.XLOOKUP($L283,Specs!A:A,Specs!B:B,0))</f>
        <v>#DIV/0!</v>
      </c>
      <c r="AH283" s="37" t="e">
        <f>60* (AC283 / _xlfn.XLOOKUP($L283,Specs!$A:$A,Specs!$B:$B,0))</f>
        <v>#DIV/0!</v>
      </c>
      <c r="AI283" s="37" t="e">
        <f>60* (AE283 / _xlfn.XLOOKUP($L283,Specs!$A:$A,Specs!$B:$B,0))</f>
        <v>#DIV/0!</v>
      </c>
      <c r="AJ283" s="39">
        <f>(($R283 / 240) * _xlfn.XLOOKUP($D283,'Milk Types Nutrition Per Cup'!A:A,'Milk Types Nutrition Per Cup'!F:F,0)) +(($S283 / 240)  * _xlfn.XLOOKUP($E283,'Milk Types Nutrition Per Cup'!A:A,'Milk Types Nutrition Per Cup'!F:F,0)) +(($T283 / 15)  * _xlfn.XLOOKUP($F283,'Liquid Mix In Nutrition'!A:A,'Liquid Mix In Nutrition'!F:F,0))+(($U283 / 15)  * _xlfn.XLOOKUP($G283,'Liquid Mix In Nutrition'!A:A,'Liquid Mix In Nutrition'!F:F,0))+(($V283 / MAX(1, _xlfn.XLOOKUP($H283,'Solid Mix In Nutrition'!A:A,'Solid Mix In Nutrition'!I:I,1)))  * _xlfn.XLOOKUP($H283,'Solid Mix In Nutrition'!A:A,'Solid Mix In Nutrition'!F:F,0))+(($W283 / MAX(1, _xlfn.XLOOKUP($I283,'Solid Mix In Nutrition'!A:A,'Solid Mix In Nutrition'!I:I,1)))  * _xlfn.XLOOKUP($I283,'Solid Mix In Nutrition'!A:A,'Solid Mix In Nutrition'!F:F,0))+(($X283 / 100)  * _xlfn.XLOOKUP($J283,'Sweetener Mix In Nutrition'!A:A,'Sweetener Mix In Nutrition'!F:F,0))+(($Y283 / 100)  * _xlfn.XLOOKUP($K283,'Sweetener Mix In Nutrition'!A:A,'Sweetener Mix In Nutrition'!F:F,0))</f>
        <v>0</v>
      </c>
      <c r="AK283" s="46">
        <f>[2]Sheet1!AG283</f>
        <v>0</v>
      </c>
      <c r="AL283" s="47"/>
      <c r="AM283" s="40">
        <f>IF(ISERROR(((AL283/Specs!$L$3)*Specs!$L$2)*2),0,ROUNDUP((((AL283/Specs!$L$3)*Specs!$L$2)*2),0))</f>
        <v>0</v>
      </c>
      <c r="AN283" s="48">
        <f>ROUNDUP(((AJ283+Specs!$R$2+Specs!$S$2+_xlfn.XLOOKUP($L283,Specs!A:A,Specs!V:V,0))*Specs!$N$2)+AM283,0)</f>
        <v>1</v>
      </c>
      <c r="AO283" s="40">
        <f>ROUNDUP(((AJ283+Specs!$R$2+Specs!$S$2+_xlfn.XLOOKUP($L283,Specs!A:A,Specs!V:V,0))*Specs!$N$2),0)</f>
        <v>1</v>
      </c>
      <c r="AP283" s="30"/>
    </row>
    <row r="284" spans="1:42" x14ac:dyDescent="0.25">
      <c r="A284" s="41" t="str">
        <f>_xlfn.CONCAT(_xlfn.XLOOKUP("What's Your Name?",[1]Sheet1!$1:$1,[1]Sheet1!284:284)," | ",TEXT(_xlfn.XLOOKUP("Completion time",[1]Sheet1!$1:$1,[1]Sheet1!284:284),"dddd, mmm dd, yyyy hh:mm AM/PM"))</f>
        <v xml:space="preserve"> | Saturday, Jan 00, 1900 12:00 AM</v>
      </c>
      <c r="B284" s="76">
        <f>_xlfn.XLOOKUP("What's Your Email Address?",[1]Sheet1!$1:$1,[1]Sheet1!284:284)</f>
        <v>0</v>
      </c>
      <c r="C284" s="31">
        <f>IF(ISBLANK(_xlfn.XLOOKUP("Which Flavor? (Pint Price | Quart Price | Half Gallon Price) (NOTE: Prices may fluctuate based on market conditions)",[1]Sheet1!$1:$1,[1]Sheet1!284:284)),_xlfn.XLOOKUP("Name Your Ice Cream!",[1]Sheet1!$1:$1,[1]Sheet1!284:284),IF(ISNUMBER(FIND("(", _xlfn.XLOOKUP("Which Flavor? (Pint Price | Quart Price | Half Gallon Price) (NOTE: Prices may fluctuate based on market conditions)",[1]Sheet1!$1:$1,[1]Sheet1!284:284))), LEFT(_xlfn.XLOOKUP("Which Flavor? (Pint Price | Quart Price | Half Gallon Price) (NOTE: Prices may fluctuate based on market conditions)",[1]Sheet1!$1:$1,[1]Sheet1!284:284), FIND("(", _xlfn.XLOOKUP("Which Flavor? (Pint Price | Quart Price | Half Gallon Price) (NOTE: Prices may fluctuate based on market conditions)",[1]Sheet1!$1:$1,[1]Sheet1!284:284)) - 1), _xlfn.XLOOKUP("Which Flavor? (Pint Price | Quart Price | Half Gallon Price) (NOTE: Prices may fluctuate based on market conditions)",[1]Sheet1!$1:$1,[1]Sheet1!284:284)))</f>
        <v>0</v>
      </c>
      <c r="D284" s="31">
        <f>IF(COUNTIF('Premade Flavors'!$A:$A, $C284) &gt; 0,IF(ISBLANK(_xlfn.XLOOKUP("What Ice Cream Base Do You Want To Change It To?",[1]Sheet1!$1:$1,[1]Sheet1!284:284)),_xlfn.XLOOKUP($C284,'Premade Flavors'!$A:$A,'Premade Flavors'!B:B),_xlfn.XLOOKUP("What Ice Cream Base Do You Want To Change It To?",[1]Sheet1!$1:$1,[1]Sheet1!284:284)),_xlfn.XLOOKUP(_xlfn.XLOOKUP("What Kind Of Ice Cream Base Do You Want? ",[1]Sheet1!$1:$1,[1]Sheet1!284:284),'Milk Types Nutrition Per Cup'!O:O,'Milk Types Nutrition Per Cup'!P:P,""))</f>
        <v>0</v>
      </c>
      <c r="E284" s="31">
        <f>IF(COUNTIF('Premade Flavors'!$A:$A, $C284) &gt; 0,IF(ISBLANK(_xlfn.XLOOKUP("What Ice Cream Base Do You Want To Change It To?",[1]Sheet1!$1:$1,[1]Sheet1!284:284)),_xlfn.XLOOKUP($C284,'Premade Flavors'!$A:$A,'Premade Flavors'!C:C),_xlfn.XLOOKUP("What Ice Cream Base Do You Want To Change It To?",[1]Sheet1!$1:$1,[1]Sheet1!284:284)),_xlfn.XLOOKUP(_xlfn.XLOOKUP("What Kind Of Ice Cream Base Do You Want? ",[1]Sheet1!$1:$1,[1]Sheet1!284:284),'Milk Types Nutrition Per Cup'!$O:$O,'Milk Types Nutrition Per Cup'!$Q:$Q,""))</f>
        <v>0</v>
      </c>
      <c r="F284" s="31">
        <f>IF(COUNTIF('Premade Flavors'!$A:$A, $C284) &gt; 0,_xlfn.XLOOKUP($C284,'Premade Flavors'!$A:$A,'Premade Flavors'!E:E),_xlfn.XLOOKUP("What's The First Flavor You Want? ",[1]Sheet1!$1:$1,[1]Sheet1!284:284))</f>
        <v>0</v>
      </c>
      <c r="G284" s="31">
        <f>IF(COUNTIF('Premade Flavors'!$A:$A, $C284) &gt; 0,_xlfn.XLOOKUP($C284,'Premade Flavors'!$A:$A,'Premade Flavors'!F:F),_xlfn.XLOOKUP("What's the Second Flavor You Want?",[1]Sheet1!$1:$1,[1]Sheet1!284:284))</f>
        <v>0</v>
      </c>
      <c r="H284" s="31">
        <f>IF(COUNTIF('Premade Flavors'!$A:$A, $C284) &gt; 0,_xlfn.XLOOKUP($C284,'Premade Flavors'!$A:$A,'Premade Flavors'!G:G),_xlfn.XLOOKUP("What's The First Mix In That You Want? ",[1]Sheet1!$1:$1,[1]Sheet1!284:284))</f>
        <v>0</v>
      </c>
      <c r="I284" s="31">
        <f>IF(COUNTIF('Premade Flavors'!$A:$A, $C282) &gt; 0,_xlfn.XLOOKUP($C282,'Premade Flavors'!$A:$A,'Premade Flavors'!H:H),IF([2]Sheet1!W282= 0,,[2]Sheet1!W282))</f>
        <v>0</v>
      </c>
      <c r="J284" s="31">
        <f>IF(COUNTIF('Premade Flavors'!$A:$A,$C284)&gt;0,IF(_xlfn.XLOOKUP("Should It Use Sugar or A Non-Sugar Sweetner?",[1]Sheet1!$1:$1,[1]Sheet1!284:284)="Sugar",_xlfn.XLOOKUP($C284,'Premade Flavors'!$A:$A,'Premade Flavors'!I:I),"Stevia"),_xlfn.XLOOKUP("What Sweetner Do You Want?",[1]Sheet1!$1:$1,[1]Sheet1!284:284))</f>
        <v>0</v>
      </c>
      <c r="K284" s="31"/>
      <c r="L284" s="77">
        <f>_xlfn.XLOOKUP("How Much Ice Cream Do You Want?",[1]Sheet1!$1:$1,[1]Sheet1!284:284)</f>
        <v>0</v>
      </c>
      <c r="M284" s="45">
        <f>IF(COUNTIF('Premade Flavors'!$A:$A, $C284) &gt; 0,_xlfn.XLOOKUP($C284,'Premade Flavors'!$A:$A,'Premade Flavors'!M:M),_xlfn.XLOOKUP("How Strong Do You Want The First Flavor?",[1]Sheet1!$1:$1,[1]Sheet1!284:284))</f>
        <v>0</v>
      </c>
      <c r="N284" s="45">
        <f>IF(COUNTIF('Premade Flavors'!$A:$A, $C284) &gt; 0,_xlfn.XLOOKUP($C284,'Premade Flavors'!$A:$A,'Premade Flavors'!N:N),_xlfn.XLOOKUP("How Strong Do You Want The Second Flavor?",[1]Sheet1!$1:$1,[1]Sheet1!284:284))</f>
        <v>0</v>
      </c>
      <c r="O284" s="45">
        <f>IF(COUNTIF('Premade Flavors'!$A:$A, $C284) &gt; 0,_xlfn.XLOOKUP($C284,'Premade Flavors'!$A:$A,'Premade Flavors'!O:O),_xlfn.XLOOKUP("How Dense Should the Mix Ins Be?",[1]Sheet1!$1:$1,[1]Sheet1!284:284))</f>
        <v>0</v>
      </c>
      <c r="P284" s="45">
        <f>IF(COUNTIF('Premade Flavors'!$A:$A, $C284) &gt; 0,_xlfn.XLOOKUP($C284,'Premade Flavors'!$A:$A,'Premade Flavors'!P:P),_xlfn.XLOOKUP("How Much Of The First Sweetner? ",[1]Sheet1!$1:$1,[1]Sheet1!284:284))</f>
        <v>0</v>
      </c>
      <c r="Q284" s="45">
        <f>IF(COUNTIF('Premade Flavors'!$A:$A, $C284) &gt; 0,_xlfn.XLOOKUP($C284,'Premade Flavors'!$A:$A,'Premade Flavors'!Q:Q),[2]Sheet1!S284)</f>
        <v>0</v>
      </c>
      <c r="R284" s="30">
        <f>(_xlfn.XLOOKUP($L284,Specs!A:A,Specs!B:B,0)-(IF(_xlfn.XLOOKUP($F284,'Liquid Mix In Nutrition'!A:A,'Liquid Mix In Nutrition'!J:J,0)="Yes",0,$T284))-(IF(_xlfn.XLOOKUP($G284,'Liquid Mix In Nutrition'!A:A,'Liquid Mix In Nutrition'!J:J,0)="Yes",0,$U284))-(($V284/MAX(1,_xlfn.XLOOKUP($H284,'Solid Mix In Nutrition'!A:A,'Solid Mix In Nutrition'!I:I,1)))*240)-(($W284/MAX(1,_xlfn.XLOOKUP($I284,'Solid Mix In Nutrition'!A:A,'Solid Mix In Nutrition'!I:I,1)))*240))*0.66</f>
        <v>0</v>
      </c>
      <c r="S284" s="30">
        <f>(_xlfn.XLOOKUP($L284,Specs!A:A,Specs!B:B,0)-(IF(_xlfn.XLOOKUP($F284,'Liquid Mix In Nutrition'!A:A,'Liquid Mix In Nutrition'!J:J,0)="Yes",0,$T284))-(IF(_xlfn.XLOOKUP($G284,'Liquid Mix In Nutrition'!A:A,'Liquid Mix In Nutrition'!J:J,0)="Yes",0,$U284))-(($V284/MAX(1,_xlfn.XLOOKUP($H284,'Solid Mix In Nutrition'!A:A,'Solid Mix In Nutrition'!I:I,1)))*240)-(($W284/MAX(1,_xlfn.XLOOKUP($I284,'Solid Mix In Nutrition'!A:A,'Solid Mix In Nutrition'!I:I,1)))*240))*0.33</f>
        <v>0</v>
      </c>
      <c r="T284" s="30">
        <f>_xlfn.XLOOKUP($M284,Specs!$D:$D,Specs!$E:$E,0)*15*_xlfn.XLOOKUP($L284,Specs!$A:$A,Specs!$C:$C,0)</f>
        <v>0</v>
      </c>
      <c r="U284" s="30">
        <f>_xlfn.XLOOKUP($N284,Specs!$D:$D,Specs!$E:$E,0)*15*_xlfn.XLOOKUP($L284,Specs!$A:$A,Specs!$C:$C,0)</f>
        <v>0</v>
      </c>
      <c r="V284" s="30">
        <f>( ((_xlfn.XLOOKUP($O284,Specs!$H:$H,Specs!$I:$I,0)*_xlfn.XLOOKUP($L284,Specs!$A:$A,Specs!$B:$B,0))/240) *_xlfn.XLOOKUP($H284,'Solid Mix In Nutrition'!A:A,'Solid Mix In Nutrition'!I:I,0)) *IF(AND(NOT($I284=0), COUNTA($I284)),0.5,1)</f>
        <v>0</v>
      </c>
      <c r="W284" s="30">
        <f>( ((_xlfn.XLOOKUP($O284,Specs!$H:$H,Specs!$I:$I,0)*_xlfn.XLOOKUP($L284,Specs!$A:$A,Specs!$B:$B,0))/240) *_xlfn.XLOOKUP($I284,'Solid Mix In Nutrition'!A:A,'Solid Mix In Nutrition'!I:I,0)) *IF(AND(NOT($I284=0), COUNTA($I284)),0.5,0)</f>
        <v>0</v>
      </c>
      <c r="X284" s="30">
        <f>_xlfn.XLOOKUP($P284,Specs!F:F,Specs!G:G,0)*_xlfn.XLOOKUP($J284,'Sweetener Mix In Nutrition'!A:A,'Sweetener Mix In Nutrition'!I:I,0)*_xlfn.XLOOKUP($L284,Specs!A:A,Specs!C:C,0)</f>
        <v>0</v>
      </c>
      <c r="Y284" s="30">
        <f>_xlfn.XLOOKUP($Q284,Specs!F:F,Specs!G:G,0)*_xlfn.XLOOKUP($K284,'Sweetener Mix In Nutrition'!A:A,'Sweetener Mix In Nutrition'!I:I,0)*_xlfn.XLOOKUP($L284,Specs!A:A,Specs!C:C,0)</f>
        <v>0</v>
      </c>
      <c r="Z284" s="34">
        <f t="shared" si="8"/>
        <v>0</v>
      </c>
      <c r="AA284" s="35">
        <f t="shared" si="9"/>
        <v>0</v>
      </c>
      <c r="AB284" s="36">
        <f>(($R284 / 240) * _xlfn.XLOOKUP($D284,'Milk Types Nutrition Per Cup'!A:A,'Milk Types Nutrition Per Cup'!B:B,0)) +(($S284 / 240)  * _xlfn.XLOOKUP($E284,'Milk Types Nutrition Per Cup'!A:A,'Milk Types Nutrition Per Cup'!B:B,0)) +(($T284 / 15)  * _xlfn.XLOOKUP($F284,'Liquid Mix In Nutrition'!A:A,'Liquid Mix In Nutrition'!B:B,0))+(($U284 / 15)  * _xlfn.XLOOKUP($G284,'Liquid Mix In Nutrition'!A:A,'Liquid Mix In Nutrition'!B:B,0))+(($V284 /MAX(1, _xlfn.XLOOKUP($H284,'Solid Mix In Nutrition'!A:A,'Solid Mix In Nutrition'!I:I,1)))  * _xlfn.XLOOKUP($H284,'Solid Mix In Nutrition'!A:A,'Solid Mix In Nutrition'!B:B,0))+(($W284 / MAX(1, _xlfn.XLOOKUP($I284,'Solid Mix In Nutrition'!A:A,'Solid Mix In Nutrition'!I:I,1))))+(($X284 / 100)  * _xlfn.XLOOKUP($J284,'Sweetener Mix In Nutrition'!A:A,'Sweetener Mix In Nutrition'!B:B,0))+(($Y284 / 100)  * _xlfn.XLOOKUP($K284,'Sweetener Mix In Nutrition'!A:A,'Sweetener Mix In Nutrition'!B:B,0))</f>
        <v>0</v>
      </c>
      <c r="AC284" s="36">
        <f>(($R284 / 240) * _xlfn.XLOOKUP($D284,'Milk Types Nutrition Per Cup'!A:A,'Milk Types Nutrition Per Cup'!E:E,0)) +(($S284 / 240)  * _xlfn.XLOOKUP($E284,'Milk Types Nutrition Per Cup'!A:A,'Milk Types Nutrition Per Cup'!E:E,0)) +(($T284 / 15)  * _xlfn.XLOOKUP($F284,'Liquid Mix In Nutrition'!A:A,'Liquid Mix In Nutrition'!E:E,0)) +(($U284 / 15)  * _xlfn.XLOOKUP($G284,'Liquid Mix In Nutrition'!A:A,'Liquid Mix In Nutrition'!E:E,0))+(($V284 / MAX(1, _xlfn.XLOOKUP($H284,'Solid Mix In Nutrition'!A:A,'Solid Mix In Nutrition'!I:I,1)))  * _xlfn.XLOOKUP($H284,'Solid Mix In Nutrition'!A:A,'Solid Mix In Nutrition'!E:E,0))+(($W284 / MAX(1, _xlfn.XLOOKUP($I284,'Solid Mix In Nutrition'!A:A,'Solid Mix In Nutrition'!I:I,1)))  * _xlfn.XLOOKUP($I284,'Solid Mix In Nutrition'!A:A,'Solid Mix In Nutrition'!G:G,0))+(($X284 / 100)  * _xlfn.XLOOKUP($J284,'Sweetener Mix In Nutrition'!A:A,'Sweetener Mix In Nutrition'!E:E,0))+(($Y284 / 100)  * _xlfn.XLOOKUP($K284,'Sweetener Mix In Nutrition'!A:A,'Sweetener Mix In Nutrition'!E:E,0))</f>
        <v>0</v>
      </c>
      <c r="AD284" s="36">
        <f>(($R284 / 240) * _xlfn.XLOOKUP($D284,'Milk Types Nutrition Per Cup'!A:A,'Milk Types Nutrition Per Cup'!E:E,0)) +(($S284 / 240)  * _xlfn.XLOOKUP($E284,'Milk Types Nutrition Per Cup'!A:A,'Milk Types Nutrition Per Cup'!E:E,0)) +(($T284 / 15)  * _xlfn.XLOOKUP($F284,'Liquid Mix In Nutrition'!A:A,'Liquid Mix In Nutrition'!E:E,0)) +(($U284 / 15)  * _xlfn.XLOOKUP($G284,'Liquid Mix In Nutrition'!A:A,'Liquid Mix In Nutrition'!E:E,0))+(($X284 / 100)  * _xlfn.XLOOKUP($J284,'Sweetener Mix In Nutrition'!A:A,'Sweetener Mix In Nutrition'!E:E,0))+(($Y284 / 100)  * _xlfn.XLOOKUP($K284,'Sweetener Mix In Nutrition'!A:A,'Sweetener Mix In Nutrition'!E:E,0))</f>
        <v>0</v>
      </c>
      <c r="AE284" s="37">
        <f>(($R284 / 240) * _xlfn.XLOOKUP($D284,'Milk Types Nutrition Per Cup'!A:A,'Milk Types Nutrition Per Cup'!C:C,0)) +(($S284 / 240)  * _xlfn.XLOOKUP($E284,'Milk Types Nutrition Per Cup'!A:A,'Milk Types Nutrition Per Cup'!C:C,0)) +(($T284 / 15)  * _xlfn.XLOOKUP($F284,'Liquid Mix In Nutrition'!A:A,'Liquid Mix In Nutrition'!C:C,0))+(($U284 / 15)  * _xlfn.XLOOKUP($G284,'Liquid Mix In Nutrition'!A:A,'Liquid Mix In Nutrition'!C:C,0))+(($V284 / MAX(1, _xlfn.XLOOKUP($H284,'Solid Mix In Nutrition'!A:A,'Solid Mix In Nutrition'!I:I,1)))  * _xlfn.XLOOKUP($H284,'Solid Mix In Nutrition'!A:A,'Solid Mix In Nutrition'!C:C,0))+(($W284 / MAX(1, _xlfn.XLOOKUP($I284,'Solid Mix In Nutrition'!A:A,'Solid Mix In Nutrition'!I:I,1)))  * _xlfn.XLOOKUP($I284,'Solid Mix In Nutrition'!A:A,'Solid Mix In Nutrition'!C:C,0))+(($X284 / 100)  * _xlfn.XLOOKUP($J284,'Sweetener Mix In Nutrition'!A:A,'Sweetener Mix In Nutrition'!C:C,0))+(($Y284 / 100)  * _xlfn.XLOOKUP($K284,'Sweetener Mix In Nutrition'!A:A,'Sweetener Mix In Nutrition'!C:C,0))</f>
        <v>0</v>
      </c>
      <c r="AF284" s="38" t="e">
        <f>$AE284 / (_xlfn.XLOOKUP($L284,Specs!A:A,Specs!B:B,0))</f>
        <v>#DIV/0!</v>
      </c>
      <c r="AG284" s="37" t="e">
        <f>60* ($AB284 / _xlfn.XLOOKUP($L284,Specs!A:A,Specs!B:B,0))</f>
        <v>#DIV/0!</v>
      </c>
      <c r="AH284" s="37" t="e">
        <f>60* (AC284 / _xlfn.XLOOKUP($L284,Specs!$A:$A,Specs!$B:$B,0))</f>
        <v>#DIV/0!</v>
      </c>
      <c r="AI284" s="37" t="e">
        <f>60* (AE284 / _xlfn.XLOOKUP($L284,Specs!$A:$A,Specs!$B:$B,0))</f>
        <v>#DIV/0!</v>
      </c>
      <c r="AJ284" s="39">
        <f>(($R284 / 240) * _xlfn.XLOOKUP($D284,'Milk Types Nutrition Per Cup'!A:A,'Milk Types Nutrition Per Cup'!F:F,0)) +(($S284 / 240)  * _xlfn.XLOOKUP($E284,'Milk Types Nutrition Per Cup'!A:A,'Milk Types Nutrition Per Cup'!F:F,0)) +(($T284 / 15)  * _xlfn.XLOOKUP($F284,'Liquid Mix In Nutrition'!A:A,'Liquid Mix In Nutrition'!F:F,0))+(($U284 / 15)  * _xlfn.XLOOKUP($G284,'Liquid Mix In Nutrition'!A:A,'Liquid Mix In Nutrition'!F:F,0))+(($V284 / MAX(1, _xlfn.XLOOKUP($H284,'Solid Mix In Nutrition'!A:A,'Solid Mix In Nutrition'!I:I,1)))  * _xlfn.XLOOKUP($H284,'Solid Mix In Nutrition'!A:A,'Solid Mix In Nutrition'!F:F,0))+(($W284 / MAX(1, _xlfn.XLOOKUP($I284,'Solid Mix In Nutrition'!A:A,'Solid Mix In Nutrition'!I:I,1)))  * _xlfn.XLOOKUP($I284,'Solid Mix In Nutrition'!A:A,'Solid Mix In Nutrition'!F:F,0))+(($X284 / 100)  * _xlfn.XLOOKUP($J284,'Sweetener Mix In Nutrition'!A:A,'Sweetener Mix In Nutrition'!F:F,0))+(($Y284 / 100)  * _xlfn.XLOOKUP($K284,'Sweetener Mix In Nutrition'!A:A,'Sweetener Mix In Nutrition'!F:F,0))</f>
        <v>0</v>
      </c>
      <c r="AK284" s="46">
        <f>[2]Sheet1!AG284</f>
        <v>0</v>
      </c>
      <c r="AL284" s="47"/>
      <c r="AM284" s="40">
        <f>IF(ISERROR(((AL284/Specs!$L$3)*Specs!$L$2)*2),0,ROUNDUP((((AL284/Specs!$L$3)*Specs!$L$2)*2),0))</f>
        <v>0</v>
      </c>
      <c r="AN284" s="48">
        <f>ROUNDUP(((AJ284+Specs!$R$2+Specs!$S$2+_xlfn.XLOOKUP($L284,Specs!A:A,Specs!V:V,0))*Specs!$N$2)+AM284,0)</f>
        <v>1</v>
      </c>
      <c r="AO284" s="40">
        <f>ROUNDUP(((AJ284+Specs!$R$2+Specs!$S$2+_xlfn.XLOOKUP($L284,Specs!A:A,Specs!V:V,0))*Specs!$N$2),0)</f>
        <v>1</v>
      </c>
      <c r="AP284" s="30"/>
    </row>
    <row r="285" spans="1:42" x14ac:dyDescent="0.25">
      <c r="A285" s="41" t="str">
        <f>_xlfn.CONCAT(_xlfn.XLOOKUP("What's Your Name?",[1]Sheet1!$1:$1,[1]Sheet1!285:285)," | ",TEXT(_xlfn.XLOOKUP("Completion time",[1]Sheet1!$1:$1,[1]Sheet1!285:285),"dddd, mmm dd, yyyy hh:mm AM/PM"))</f>
        <v xml:space="preserve"> | Saturday, Jan 00, 1900 12:00 AM</v>
      </c>
      <c r="B285" s="76">
        <f>_xlfn.XLOOKUP("What's Your Email Address?",[1]Sheet1!$1:$1,[1]Sheet1!285:285)</f>
        <v>0</v>
      </c>
      <c r="C285" s="31">
        <f>IF(ISBLANK(_xlfn.XLOOKUP("Which Flavor? (Pint Price | Quart Price | Half Gallon Price) (NOTE: Prices may fluctuate based on market conditions)",[1]Sheet1!$1:$1,[1]Sheet1!285:285)),_xlfn.XLOOKUP("Name Your Ice Cream!",[1]Sheet1!$1:$1,[1]Sheet1!285:285),IF(ISNUMBER(FIND("(", _xlfn.XLOOKUP("Which Flavor? (Pint Price | Quart Price | Half Gallon Price) (NOTE: Prices may fluctuate based on market conditions)",[1]Sheet1!$1:$1,[1]Sheet1!285:285))), LEFT(_xlfn.XLOOKUP("Which Flavor? (Pint Price | Quart Price | Half Gallon Price) (NOTE: Prices may fluctuate based on market conditions)",[1]Sheet1!$1:$1,[1]Sheet1!285:285), FIND("(", _xlfn.XLOOKUP("Which Flavor? (Pint Price | Quart Price | Half Gallon Price) (NOTE: Prices may fluctuate based on market conditions)",[1]Sheet1!$1:$1,[1]Sheet1!285:285)) - 1), _xlfn.XLOOKUP("Which Flavor? (Pint Price | Quart Price | Half Gallon Price) (NOTE: Prices may fluctuate based on market conditions)",[1]Sheet1!$1:$1,[1]Sheet1!285:285)))</f>
        <v>0</v>
      </c>
      <c r="D285" s="31">
        <f>IF(COUNTIF('Premade Flavors'!$A:$A, $C285) &gt; 0,IF(ISBLANK(_xlfn.XLOOKUP("What Ice Cream Base Do You Want To Change It To?",[1]Sheet1!$1:$1,[1]Sheet1!285:285)),_xlfn.XLOOKUP($C285,'Premade Flavors'!$A:$A,'Premade Flavors'!B:B),_xlfn.XLOOKUP("What Ice Cream Base Do You Want To Change It To?",[1]Sheet1!$1:$1,[1]Sheet1!285:285)),_xlfn.XLOOKUP(_xlfn.XLOOKUP("What Kind Of Ice Cream Base Do You Want? ",[1]Sheet1!$1:$1,[1]Sheet1!285:285),'Milk Types Nutrition Per Cup'!O:O,'Milk Types Nutrition Per Cup'!P:P,""))</f>
        <v>0</v>
      </c>
      <c r="E285" s="31">
        <f>IF(COUNTIF('Premade Flavors'!$A:$A, $C285) &gt; 0,IF(ISBLANK(_xlfn.XLOOKUP("What Ice Cream Base Do You Want To Change It To?",[1]Sheet1!$1:$1,[1]Sheet1!285:285)),_xlfn.XLOOKUP($C285,'Premade Flavors'!$A:$A,'Premade Flavors'!C:C),_xlfn.XLOOKUP("What Ice Cream Base Do You Want To Change It To?",[1]Sheet1!$1:$1,[1]Sheet1!285:285)),_xlfn.XLOOKUP(_xlfn.XLOOKUP("What Kind Of Ice Cream Base Do You Want? ",[1]Sheet1!$1:$1,[1]Sheet1!285:285),'Milk Types Nutrition Per Cup'!$O:$O,'Milk Types Nutrition Per Cup'!$Q:$Q,""))</f>
        <v>0</v>
      </c>
      <c r="F285" s="31">
        <f>IF(COUNTIF('Premade Flavors'!$A:$A, $C285) &gt; 0,_xlfn.XLOOKUP($C285,'Premade Flavors'!$A:$A,'Premade Flavors'!E:E),_xlfn.XLOOKUP("What's The First Flavor You Want? ",[1]Sheet1!$1:$1,[1]Sheet1!285:285))</f>
        <v>0</v>
      </c>
      <c r="G285" s="31">
        <f>IF(COUNTIF('Premade Flavors'!$A:$A, $C285) &gt; 0,_xlfn.XLOOKUP($C285,'Premade Flavors'!$A:$A,'Premade Flavors'!F:F),_xlfn.XLOOKUP("What's the Second Flavor You Want?",[1]Sheet1!$1:$1,[1]Sheet1!285:285))</f>
        <v>0</v>
      </c>
      <c r="H285" s="31">
        <f>IF(COUNTIF('Premade Flavors'!$A:$A, $C285) &gt; 0,_xlfn.XLOOKUP($C285,'Premade Flavors'!$A:$A,'Premade Flavors'!G:G),_xlfn.XLOOKUP("What's The First Mix In That You Want? ",[1]Sheet1!$1:$1,[1]Sheet1!285:285))</f>
        <v>0</v>
      </c>
      <c r="I285" s="31">
        <f>IF(COUNTIF('Premade Flavors'!$A:$A, $C283) &gt; 0,_xlfn.XLOOKUP($C283,'Premade Flavors'!$A:$A,'Premade Flavors'!H:H),IF([2]Sheet1!W283= 0,,[2]Sheet1!W283))</f>
        <v>0</v>
      </c>
      <c r="J285" s="31">
        <f>IF(COUNTIF('Premade Flavors'!$A:$A,$C285)&gt;0,IF(_xlfn.XLOOKUP("Should It Use Sugar or A Non-Sugar Sweetner?",[1]Sheet1!$1:$1,[1]Sheet1!285:285)="Sugar",_xlfn.XLOOKUP($C285,'Premade Flavors'!$A:$A,'Premade Flavors'!I:I),"Stevia"),_xlfn.XLOOKUP("What Sweetner Do You Want?",[1]Sheet1!$1:$1,[1]Sheet1!285:285))</f>
        <v>0</v>
      </c>
      <c r="K285" s="31"/>
      <c r="L285" s="77">
        <f>_xlfn.XLOOKUP("How Much Ice Cream Do You Want?",[1]Sheet1!$1:$1,[1]Sheet1!285:285)</f>
        <v>0</v>
      </c>
      <c r="M285" s="45">
        <f>IF(COUNTIF('Premade Flavors'!$A:$A, $C285) &gt; 0,_xlfn.XLOOKUP($C285,'Premade Flavors'!$A:$A,'Premade Flavors'!M:M),_xlfn.XLOOKUP("How Strong Do You Want The First Flavor?",[1]Sheet1!$1:$1,[1]Sheet1!285:285))</f>
        <v>0</v>
      </c>
      <c r="N285" s="45">
        <f>IF(COUNTIF('Premade Flavors'!$A:$A, $C285) &gt; 0,_xlfn.XLOOKUP($C285,'Premade Flavors'!$A:$A,'Premade Flavors'!N:N),_xlfn.XLOOKUP("How Strong Do You Want The Second Flavor?",[1]Sheet1!$1:$1,[1]Sheet1!285:285))</f>
        <v>0</v>
      </c>
      <c r="O285" s="45">
        <f>IF(COUNTIF('Premade Flavors'!$A:$A, $C285) &gt; 0,_xlfn.XLOOKUP($C285,'Premade Flavors'!$A:$A,'Premade Flavors'!O:O),_xlfn.XLOOKUP("How Dense Should the Mix Ins Be?",[1]Sheet1!$1:$1,[1]Sheet1!285:285))</f>
        <v>0</v>
      </c>
      <c r="P285" s="45">
        <f>IF(COUNTIF('Premade Flavors'!$A:$A, $C285) &gt; 0,_xlfn.XLOOKUP($C285,'Premade Flavors'!$A:$A,'Premade Flavors'!P:P),_xlfn.XLOOKUP("How Much Of The First Sweetner? ",[1]Sheet1!$1:$1,[1]Sheet1!285:285))</f>
        <v>0</v>
      </c>
      <c r="Q285" s="45">
        <f>IF(COUNTIF('Premade Flavors'!$A:$A, $C285) &gt; 0,_xlfn.XLOOKUP($C285,'Premade Flavors'!$A:$A,'Premade Flavors'!Q:Q),[2]Sheet1!S285)</f>
        <v>0</v>
      </c>
      <c r="R285" s="30">
        <f>(_xlfn.XLOOKUP($L285,Specs!A:A,Specs!B:B,0)-(IF(_xlfn.XLOOKUP($F285,'Liquid Mix In Nutrition'!A:A,'Liquid Mix In Nutrition'!J:J,0)="Yes",0,$T285))-(IF(_xlfn.XLOOKUP($G285,'Liquid Mix In Nutrition'!A:A,'Liquid Mix In Nutrition'!J:J,0)="Yes",0,$U285))-(($V285/MAX(1,_xlfn.XLOOKUP($H285,'Solid Mix In Nutrition'!A:A,'Solid Mix In Nutrition'!I:I,1)))*240)-(($W285/MAX(1,_xlfn.XLOOKUP($I285,'Solid Mix In Nutrition'!A:A,'Solid Mix In Nutrition'!I:I,1)))*240))*0.66</f>
        <v>0</v>
      </c>
      <c r="S285" s="30">
        <f>(_xlfn.XLOOKUP($L285,Specs!A:A,Specs!B:B,0)-(IF(_xlfn.XLOOKUP($F285,'Liquid Mix In Nutrition'!A:A,'Liquid Mix In Nutrition'!J:J,0)="Yes",0,$T285))-(IF(_xlfn.XLOOKUP($G285,'Liquid Mix In Nutrition'!A:A,'Liquid Mix In Nutrition'!J:J,0)="Yes",0,$U285))-(($V285/MAX(1,_xlfn.XLOOKUP($H285,'Solid Mix In Nutrition'!A:A,'Solid Mix In Nutrition'!I:I,1)))*240)-(($W285/MAX(1,_xlfn.XLOOKUP($I285,'Solid Mix In Nutrition'!A:A,'Solid Mix In Nutrition'!I:I,1)))*240))*0.33</f>
        <v>0</v>
      </c>
      <c r="T285" s="30">
        <f>_xlfn.XLOOKUP($M285,Specs!$D:$D,Specs!$E:$E,0)*15*_xlfn.XLOOKUP($L285,Specs!$A:$A,Specs!$C:$C,0)</f>
        <v>0</v>
      </c>
      <c r="U285" s="30">
        <f>_xlfn.XLOOKUP($N285,Specs!$D:$D,Specs!$E:$E,0)*15*_xlfn.XLOOKUP($L285,Specs!$A:$A,Specs!$C:$C,0)</f>
        <v>0</v>
      </c>
      <c r="V285" s="30">
        <f>( ((_xlfn.XLOOKUP($O285,Specs!$H:$H,Specs!$I:$I,0)*_xlfn.XLOOKUP($L285,Specs!$A:$A,Specs!$B:$B,0))/240) *_xlfn.XLOOKUP($H285,'Solid Mix In Nutrition'!A:A,'Solid Mix In Nutrition'!I:I,0)) *IF(AND(NOT($I285=0), COUNTA($I285)),0.5,1)</f>
        <v>0</v>
      </c>
      <c r="W285" s="30">
        <f>( ((_xlfn.XLOOKUP($O285,Specs!$H:$H,Specs!$I:$I,0)*_xlfn.XLOOKUP($L285,Specs!$A:$A,Specs!$B:$B,0))/240) *_xlfn.XLOOKUP($I285,'Solid Mix In Nutrition'!A:A,'Solid Mix In Nutrition'!I:I,0)) *IF(AND(NOT($I285=0), COUNTA($I285)),0.5,0)</f>
        <v>0</v>
      </c>
      <c r="X285" s="30">
        <f>_xlfn.XLOOKUP($P285,Specs!F:F,Specs!G:G,0)*_xlfn.XLOOKUP($J285,'Sweetener Mix In Nutrition'!A:A,'Sweetener Mix In Nutrition'!I:I,0)*_xlfn.XLOOKUP($L285,Specs!A:A,Specs!C:C,0)</f>
        <v>0</v>
      </c>
      <c r="Y285" s="30">
        <f>_xlfn.XLOOKUP($Q285,Specs!F:F,Specs!G:G,0)*_xlfn.XLOOKUP($K285,'Sweetener Mix In Nutrition'!A:A,'Sweetener Mix In Nutrition'!I:I,0)*_xlfn.XLOOKUP($L285,Specs!A:A,Specs!C:C,0)</f>
        <v>0</v>
      </c>
      <c r="Z285" s="34">
        <f t="shared" si="8"/>
        <v>0</v>
      </c>
      <c r="AA285" s="35">
        <f t="shared" si="9"/>
        <v>0</v>
      </c>
      <c r="AB285" s="36">
        <f>(($R285 / 240) * _xlfn.XLOOKUP($D285,'Milk Types Nutrition Per Cup'!A:A,'Milk Types Nutrition Per Cup'!B:B,0)) +(($S285 / 240)  * _xlfn.XLOOKUP($E285,'Milk Types Nutrition Per Cup'!A:A,'Milk Types Nutrition Per Cup'!B:B,0)) +(($T285 / 15)  * _xlfn.XLOOKUP($F285,'Liquid Mix In Nutrition'!A:A,'Liquid Mix In Nutrition'!B:B,0))+(($U285 / 15)  * _xlfn.XLOOKUP($G285,'Liquid Mix In Nutrition'!A:A,'Liquid Mix In Nutrition'!B:B,0))+(($V285 /MAX(1, _xlfn.XLOOKUP($H285,'Solid Mix In Nutrition'!A:A,'Solid Mix In Nutrition'!I:I,1)))  * _xlfn.XLOOKUP($H285,'Solid Mix In Nutrition'!A:A,'Solid Mix In Nutrition'!B:B,0))+(($W285 / MAX(1, _xlfn.XLOOKUP($I285,'Solid Mix In Nutrition'!A:A,'Solid Mix In Nutrition'!I:I,1))))+(($X285 / 100)  * _xlfn.XLOOKUP($J285,'Sweetener Mix In Nutrition'!A:A,'Sweetener Mix In Nutrition'!B:B,0))+(($Y285 / 100)  * _xlfn.XLOOKUP($K285,'Sweetener Mix In Nutrition'!A:A,'Sweetener Mix In Nutrition'!B:B,0))</f>
        <v>0</v>
      </c>
      <c r="AC285" s="36">
        <f>(($R285 / 240) * _xlfn.XLOOKUP($D285,'Milk Types Nutrition Per Cup'!A:A,'Milk Types Nutrition Per Cup'!E:E,0)) +(($S285 / 240)  * _xlfn.XLOOKUP($E285,'Milk Types Nutrition Per Cup'!A:A,'Milk Types Nutrition Per Cup'!E:E,0)) +(($T285 / 15)  * _xlfn.XLOOKUP($F285,'Liquid Mix In Nutrition'!A:A,'Liquid Mix In Nutrition'!E:E,0)) +(($U285 / 15)  * _xlfn.XLOOKUP($G285,'Liquid Mix In Nutrition'!A:A,'Liquid Mix In Nutrition'!E:E,0))+(($V285 / MAX(1, _xlfn.XLOOKUP($H285,'Solid Mix In Nutrition'!A:A,'Solid Mix In Nutrition'!I:I,1)))  * _xlfn.XLOOKUP($H285,'Solid Mix In Nutrition'!A:A,'Solid Mix In Nutrition'!E:E,0))+(($W285 / MAX(1, _xlfn.XLOOKUP($I285,'Solid Mix In Nutrition'!A:A,'Solid Mix In Nutrition'!I:I,1)))  * _xlfn.XLOOKUP($I285,'Solid Mix In Nutrition'!A:A,'Solid Mix In Nutrition'!G:G,0))+(($X285 / 100)  * _xlfn.XLOOKUP($J285,'Sweetener Mix In Nutrition'!A:A,'Sweetener Mix In Nutrition'!E:E,0))+(($Y285 / 100)  * _xlfn.XLOOKUP($K285,'Sweetener Mix In Nutrition'!A:A,'Sweetener Mix In Nutrition'!E:E,0))</f>
        <v>0</v>
      </c>
      <c r="AD285" s="36">
        <f>(($R285 / 240) * _xlfn.XLOOKUP($D285,'Milk Types Nutrition Per Cup'!A:A,'Milk Types Nutrition Per Cup'!E:E,0)) +(($S285 / 240)  * _xlfn.XLOOKUP($E285,'Milk Types Nutrition Per Cup'!A:A,'Milk Types Nutrition Per Cup'!E:E,0)) +(($T285 / 15)  * _xlfn.XLOOKUP($F285,'Liquid Mix In Nutrition'!A:A,'Liquid Mix In Nutrition'!E:E,0)) +(($U285 / 15)  * _xlfn.XLOOKUP($G285,'Liquid Mix In Nutrition'!A:A,'Liquid Mix In Nutrition'!E:E,0))+(($X285 / 100)  * _xlfn.XLOOKUP($J285,'Sweetener Mix In Nutrition'!A:A,'Sweetener Mix In Nutrition'!E:E,0))+(($Y285 / 100)  * _xlfn.XLOOKUP($K285,'Sweetener Mix In Nutrition'!A:A,'Sweetener Mix In Nutrition'!E:E,0))</f>
        <v>0</v>
      </c>
      <c r="AE285" s="37">
        <f>(($R285 / 240) * _xlfn.XLOOKUP($D285,'Milk Types Nutrition Per Cup'!A:A,'Milk Types Nutrition Per Cup'!C:C,0)) +(($S285 / 240)  * _xlfn.XLOOKUP($E285,'Milk Types Nutrition Per Cup'!A:A,'Milk Types Nutrition Per Cup'!C:C,0)) +(($T285 / 15)  * _xlfn.XLOOKUP($F285,'Liquid Mix In Nutrition'!A:A,'Liquid Mix In Nutrition'!C:C,0))+(($U285 / 15)  * _xlfn.XLOOKUP($G285,'Liquid Mix In Nutrition'!A:A,'Liquid Mix In Nutrition'!C:C,0))+(($V285 / MAX(1, _xlfn.XLOOKUP($H285,'Solid Mix In Nutrition'!A:A,'Solid Mix In Nutrition'!I:I,1)))  * _xlfn.XLOOKUP($H285,'Solid Mix In Nutrition'!A:A,'Solid Mix In Nutrition'!C:C,0))+(($W285 / MAX(1, _xlfn.XLOOKUP($I285,'Solid Mix In Nutrition'!A:A,'Solid Mix In Nutrition'!I:I,1)))  * _xlfn.XLOOKUP($I285,'Solid Mix In Nutrition'!A:A,'Solid Mix In Nutrition'!C:C,0))+(($X285 / 100)  * _xlfn.XLOOKUP($J285,'Sweetener Mix In Nutrition'!A:A,'Sweetener Mix In Nutrition'!C:C,0))+(($Y285 / 100)  * _xlfn.XLOOKUP($K285,'Sweetener Mix In Nutrition'!A:A,'Sweetener Mix In Nutrition'!C:C,0))</f>
        <v>0</v>
      </c>
      <c r="AF285" s="38" t="e">
        <f>$AE285 / (_xlfn.XLOOKUP($L285,Specs!A:A,Specs!B:B,0))</f>
        <v>#DIV/0!</v>
      </c>
      <c r="AG285" s="37" t="e">
        <f>60* ($AB285 / _xlfn.XLOOKUP($L285,Specs!A:A,Specs!B:B,0))</f>
        <v>#DIV/0!</v>
      </c>
      <c r="AH285" s="37" t="e">
        <f>60* (AC285 / _xlfn.XLOOKUP($L285,Specs!$A:$A,Specs!$B:$B,0))</f>
        <v>#DIV/0!</v>
      </c>
      <c r="AI285" s="37" t="e">
        <f>60* (AE285 / _xlfn.XLOOKUP($L285,Specs!$A:$A,Specs!$B:$B,0))</f>
        <v>#DIV/0!</v>
      </c>
      <c r="AJ285" s="39">
        <f>(($R285 / 240) * _xlfn.XLOOKUP($D285,'Milk Types Nutrition Per Cup'!A:A,'Milk Types Nutrition Per Cup'!F:F,0)) +(($S285 / 240)  * _xlfn.XLOOKUP($E285,'Milk Types Nutrition Per Cup'!A:A,'Milk Types Nutrition Per Cup'!F:F,0)) +(($T285 / 15)  * _xlfn.XLOOKUP($F285,'Liquid Mix In Nutrition'!A:A,'Liquid Mix In Nutrition'!F:F,0))+(($U285 / 15)  * _xlfn.XLOOKUP($G285,'Liquid Mix In Nutrition'!A:A,'Liquid Mix In Nutrition'!F:F,0))+(($V285 / MAX(1, _xlfn.XLOOKUP($H285,'Solid Mix In Nutrition'!A:A,'Solid Mix In Nutrition'!I:I,1)))  * _xlfn.XLOOKUP($H285,'Solid Mix In Nutrition'!A:A,'Solid Mix In Nutrition'!F:F,0))+(($W285 / MAX(1, _xlfn.XLOOKUP($I285,'Solid Mix In Nutrition'!A:A,'Solid Mix In Nutrition'!I:I,1)))  * _xlfn.XLOOKUP($I285,'Solid Mix In Nutrition'!A:A,'Solid Mix In Nutrition'!F:F,0))+(($X285 / 100)  * _xlfn.XLOOKUP($J285,'Sweetener Mix In Nutrition'!A:A,'Sweetener Mix In Nutrition'!F:F,0))+(($Y285 / 100)  * _xlfn.XLOOKUP($K285,'Sweetener Mix In Nutrition'!A:A,'Sweetener Mix In Nutrition'!F:F,0))</f>
        <v>0</v>
      </c>
      <c r="AK285" s="46">
        <f>[2]Sheet1!AG285</f>
        <v>0</v>
      </c>
      <c r="AL285" s="47"/>
      <c r="AM285" s="40">
        <f>IF(ISERROR(((AL285/Specs!$L$3)*Specs!$L$2)*2),0,ROUNDUP((((AL285/Specs!$L$3)*Specs!$L$2)*2),0))</f>
        <v>0</v>
      </c>
      <c r="AN285" s="48">
        <f>ROUNDUP(((AJ285+Specs!$R$2+Specs!$S$2+_xlfn.XLOOKUP($L285,Specs!A:A,Specs!V:V,0))*Specs!$N$2)+AM285,0)</f>
        <v>1</v>
      </c>
      <c r="AO285" s="40">
        <f>ROUNDUP(((AJ285+Specs!$R$2+Specs!$S$2+_xlfn.XLOOKUP($L285,Specs!A:A,Specs!V:V,0))*Specs!$N$2),0)</f>
        <v>1</v>
      </c>
      <c r="AP285" s="30"/>
    </row>
    <row r="286" spans="1:42" x14ac:dyDescent="0.25">
      <c r="A286" s="41" t="str">
        <f>_xlfn.CONCAT(_xlfn.XLOOKUP("What's Your Name?",[1]Sheet1!$1:$1,[1]Sheet1!286:286)," | ",TEXT(_xlfn.XLOOKUP("Completion time",[1]Sheet1!$1:$1,[1]Sheet1!286:286),"dddd, mmm dd, yyyy hh:mm AM/PM"))</f>
        <v xml:space="preserve"> | Saturday, Jan 00, 1900 12:00 AM</v>
      </c>
      <c r="B286" s="76">
        <f>_xlfn.XLOOKUP("What's Your Email Address?",[1]Sheet1!$1:$1,[1]Sheet1!286:286)</f>
        <v>0</v>
      </c>
      <c r="C286" s="31">
        <f>IF(ISBLANK(_xlfn.XLOOKUP("Which Flavor? (Pint Price | Quart Price | Half Gallon Price) (NOTE: Prices may fluctuate based on market conditions)",[1]Sheet1!$1:$1,[1]Sheet1!286:286)),_xlfn.XLOOKUP("Name Your Ice Cream!",[1]Sheet1!$1:$1,[1]Sheet1!286:286),IF(ISNUMBER(FIND("(", _xlfn.XLOOKUP("Which Flavor? (Pint Price | Quart Price | Half Gallon Price) (NOTE: Prices may fluctuate based on market conditions)",[1]Sheet1!$1:$1,[1]Sheet1!286:286))), LEFT(_xlfn.XLOOKUP("Which Flavor? (Pint Price | Quart Price | Half Gallon Price) (NOTE: Prices may fluctuate based on market conditions)",[1]Sheet1!$1:$1,[1]Sheet1!286:286), FIND("(", _xlfn.XLOOKUP("Which Flavor? (Pint Price | Quart Price | Half Gallon Price) (NOTE: Prices may fluctuate based on market conditions)",[1]Sheet1!$1:$1,[1]Sheet1!286:286)) - 1), _xlfn.XLOOKUP("Which Flavor? (Pint Price | Quart Price | Half Gallon Price) (NOTE: Prices may fluctuate based on market conditions)",[1]Sheet1!$1:$1,[1]Sheet1!286:286)))</f>
        <v>0</v>
      </c>
      <c r="D286" s="31">
        <f>IF(COUNTIF('Premade Flavors'!$A:$A, $C286) &gt; 0,IF(ISBLANK(_xlfn.XLOOKUP("What Ice Cream Base Do You Want To Change It To?",[1]Sheet1!$1:$1,[1]Sheet1!286:286)),_xlfn.XLOOKUP($C286,'Premade Flavors'!$A:$A,'Premade Flavors'!B:B),_xlfn.XLOOKUP("What Ice Cream Base Do You Want To Change It To?",[1]Sheet1!$1:$1,[1]Sheet1!286:286)),_xlfn.XLOOKUP(_xlfn.XLOOKUP("What Kind Of Ice Cream Base Do You Want? ",[1]Sheet1!$1:$1,[1]Sheet1!286:286),'Milk Types Nutrition Per Cup'!O:O,'Milk Types Nutrition Per Cup'!P:P,""))</f>
        <v>0</v>
      </c>
      <c r="E286" s="31">
        <f>IF(COUNTIF('Premade Flavors'!$A:$A, $C286) &gt; 0,IF(ISBLANK(_xlfn.XLOOKUP("What Ice Cream Base Do You Want To Change It To?",[1]Sheet1!$1:$1,[1]Sheet1!286:286)),_xlfn.XLOOKUP($C286,'Premade Flavors'!$A:$A,'Premade Flavors'!C:C),_xlfn.XLOOKUP("What Ice Cream Base Do You Want To Change It To?",[1]Sheet1!$1:$1,[1]Sheet1!286:286)),_xlfn.XLOOKUP(_xlfn.XLOOKUP("What Kind Of Ice Cream Base Do You Want? ",[1]Sheet1!$1:$1,[1]Sheet1!286:286),'Milk Types Nutrition Per Cup'!$O:$O,'Milk Types Nutrition Per Cup'!$Q:$Q,""))</f>
        <v>0</v>
      </c>
      <c r="F286" s="31">
        <f>IF(COUNTIF('Premade Flavors'!$A:$A, $C286) &gt; 0,_xlfn.XLOOKUP($C286,'Premade Flavors'!$A:$A,'Premade Flavors'!E:E),_xlfn.XLOOKUP("What's The First Flavor You Want? ",[1]Sheet1!$1:$1,[1]Sheet1!286:286))</f>
        <v>0</v>
      </c>
      <c r="G286" s="31">
        <f>IF(COUNTIF('Premade Flavors'!$A:$A, $C286) &gt; 0,_xlfn.XLOOKUP($C286,'Premade Flavors'!$A:$A,'Premade Flavors'!F:F),_xlfn.XLOOKUP("What's the Second Flavor You Want?",[1]Sheet1!$1:$1,[1]Sheet1!286:286))</f>
        <v>0</v>
      </c>
      <c r="H286" s="31">
        <f>IF(COUNTIF('Premade Flavors'!$A:$A, $C286) &gt; 0,_xlfn.XLOOKUP($C286,'Premade Flavors'!$A:$A,'Premade Flavors'!G:G),_xlfn.XLOOKUP("What's The First Mix In That You Want? ",[1]Sheet1!$1:$1,[1]Sheet1!286:286))</f>
        <v>0</v>
      </c>
      <c r="I286" s="31">
        <f>IF(COUNTIF('Premade Flavors'!$A:$A, $C284) &gt; 0,_xlfn.XLOOKUP($C284,'Premade Flavors'!$A:$A,'Premade Flavors'!H:H),IF([2]Sheet1!W284= 0,,[2]Sheet1!W284))</f>
        <v>0</v>
      </c>
      <c r="J286" s="31">
        <f>IF(COUNTIF('Premade Flavors'!$A:$A,$C286)&gt;0,IF(_xlfn.XLOOKUP("Should It Use Sugar or A Non-Sugar Sweetner?",[1]Sheet1!$1:$1,[1]Sheet1!286:286)="Sugar",_xlfn.XLOOKUP($C286,'Premade Flavors'!$A:$A,'Premade Flavors'!I:I),"Stevia"),_xlfn.XLOOKUP("What Sweetner Do You Want?",[1]Sheet1!$1:$1,[1]Sheet1!286:286))</f>
        <v>0</v>
      </c>
      <c r="K286" s="31"/>
      <c r="L286" s="77">
        <f>_xlfn.XLOOKUP("How Much Ice Cream Do You Want?",[1]Sheet1!$1:$1,[1]Sheet1!286:286)</f>
        <v>0</v>
      </c>
      <c r="M286" s="45">
        <f>IF(COUNTIF('Premade Flavors'!$A:$A, $C286) &gt; 0,_xlfn.XLOOKUP($C286,'Premade Flavors'!$A:$A,'Premade Flavors'!M:M),_xlfn.XLOOKUP("How Strong Do You Want The First Flavor?",[1]Sheet1!$1:$1,[1]Sheet1!286:286))</f>
        <v>0</v>
      </c>
      <c r="N286" s="45">
        <f>IF(COUNTIF('Premade Flavors'!$A:$A, $C286) &gt; 0,_xlfn.XLOOKUP($C286,'Premade Flavors'!$A:$A,'Premade Flavors'!N:N),_xlfn.XLOOKUP("How Strong Do You Want The Second Flavor?",[1]Sheet1!$1:$1,[1]Sheet1!286:286))</f>
        <v>0</v>
      </c>
      <c r="O286" s="45">
        <f>IF(COUNTIF('Premade Flavors'!$A:$A, $C286) &gt; 0,_xlfn.XLOOKUP($C286,'Premade Flavors'!$A:$A,'Premade Flavors'!O:O),_xlfn.XLOOKUP("How Dense Should the Mix Ins Be?",[1]Sheet1!$1:$1,[1]Sheet1!286:286))</f>
        <v>0</v>
      </c>
      <c r="P286" s="45">
        <f>IF(COUNTIF('Premade Flavors'!$A:$A, $C286) &gt; 0,_xlfn.XLOOKUP($C286,'Premade Flavors'!$A:$A,'Premade Flavors'!P:P),_xlfn.XLOOKUP("How Much Of The First Sweetner? ",[1]Sheet1!$1:$1,[1]Sheet1!286:286))</f>
        <v>0</v>
      </c>
      <c r="Q286" s="45">
        <f>IF(COUNTIF('Premade Flavors'!$A:$A, $C286) &gt; 0,_xlfn.XLOOKUP($C286,'Premade Flavors'!$A:$A,'Premade Flavors'!Q:Q),[2]Sheet1!S286)</f>
        <v>0</v>
      </c>
      <c r="R286" s="30">
        <f>(_xlfn.XLOOKUP($L286,Specs!A:A,Specs!B:B,0)-(IF(_xlfn.XLOOKUP($F286,'Liquid Mix In Nutrition'!A:A,'Liquid Mix In Nutrition'!J:J,0)="Yes",0,$T286))-(IF(_xlfn.XLOOKUP($G286,'Liquid Mix In Nutrition'!A:A,'Liquid Mix In Nutrition'!J:J,0)="Yes",0,$U286))-(($V286/MAX(1,_xlfn.XLOOKUP($H286,'Solid Mix In Nutrition'!A:A,'Solid Mix In Nutrition'!I:I,1)))*240)-(($W286/MAX(1,_xlfn.XLOOKUP($I286,'Solid Mix In Nutrition'!A:A,'Solid Mix In Nutrition'!I:I,1)))*240))*0.66</f>
        <v>0</v>
      </c>
      <c r="S286" s="30">
        <f>(_xlfn.XLOOKUP($L286,Specs!A:A,Specs!B:B,0)-(IF(_xlfn.XLOOKUP($F286,'Liquid Mix In Nutrition'!A:A,'Liquid Mix In Nutrition'!J:J,0)="Yes",0,$T286))-(IF(_xlfn.XLOOKUP($G286,'Liquid Mix In Nutrition'!A:A,'Liquid Mix In Nutrition'!J:J,0)="Yes",0,$U286))-(($V286/MAX(1,_xlfn.XLOOKUP($H286,'Solid Mix In Nutrition'!A:A,'Solid Mix In Nutrition'!I:I,1)))*240)-(($W286/MAX(1,_xlfn.XLOOKUP($I286,'Solid Mix In Nutrition'!A:A,'Solid Mix In Nutrition'!I:I,1)))*240))*0.33</f>
        <v>0</v>
      </c>
      <c r="T286" s="30">
        <f>_xlfn.XLOOKUP($M286,Specs!$D:$D,Specs!$E:$E,0)*15*_xlfn.XLOOKUP($L286,Specs!$A:$A,Specs!$C:$C,0)</f>
        <v>0</v>
      </c>
      <c r="U286" s="30">
        <f>_xlfn.XLOOKUP($N286,Specs!$D:$D,Specs!$E:$E,0)*15*_xlfn.XLOOKUP($L286,Specs!$A:$A,Specs!$C:$C,0)</f>
        <v>0</v>
      </c>
      <c r="V286" s="30">
        <f>( ((_xlfn.XLOOKUP($O286,Specs!$H:$H,Specs!$I:$I,0)*_xlfn.XLOOKUP($L286,Specs!$A:$A,Specs!$B:$B,0))/240) *_xlfn.XLOOKUP($H286,'Solid Mix In Nutrition'!A:A,'Solid Mix In Nutrition'!I:I,0)) *IF(AND(NOT($I286=0), COUNTA($I286)),0.5,1)</f>
        <v>0</v>
      </c>
      <c r="W286" s="30">
        <f>( ((_xlfn.XLOOKUP($O286,Specs!$H:$H,Specs!$I:$I,0)*_xlfn.XLOOKUP($L286,Specs!$A:$A,Specs!$B:$B,0))/240) *_xlfn.XLOOKUP($I286,'Solid Mix In Nutrition'!A:A,'Solid Mix In Nutrition'!I:I,0)) *IF(AND(NOT($I286=0), COUNTA($I286)),0.5,0)</f>
        <v>0</v>
      </c>
      <c r="X286" s="30">
        <f>_xlfn.XLOOKUP($P286,Specs!F:F,Specs!G:G,0)*_xlfn.XLOOKUP($J286,'Sweetener Mix In Nutrition'!A:A,'Sweetener Mix In Nutrition'!I:I,0)*_xlfn.XLOOKUP($L286,Specs!A:A,Specs!C:C,0)</f>
        <v>0</v>
      </c>
      <c r="Y286" s="30">
        <f>_xlfn.XLOOKUP($Q286,Specs!F:F,Specs!G:G,0)*_xlfn.XLOOKUP($K286,'Sweetener Mix In Nutrition'!A:A,'Sweetener Mix In Nutrition'!I:I,0)*_xlfn.XLOOKUP($L286,Specs!A:A,Specs!C:C,0)</f>
        <v>0</v>
      </c>
      <c r="Z286" s="34">
        <f t="shared" si="8"/>
        <v>0</v>
      </c>
      <c r="AA286" s="35">
        <f t="shared" si="9"/>
        <v>0</v>
      </c>
      <c r="AB286" s="36">
        <f>(($R286 / 240) * _xlfn.XLOOKUP($D286,'Milk Types Nutrition Per Cup'!A:A,'Milk Types Nutrition Per Cup'!B:B,0)) +(($S286 / 240)  * _xlfn.XLOOKUP($E286,'Milk Types Nutrition Per Cup'!A:A,'Milk Types Nutrition Per Cup'!B:B,0)) +(($T286 / 15)  * _xlfn.XLOOKUP($F286,'Liquid Mix In Nutrition'!A:A,'Liquid Mix In Nutrition'!B:B,0))+(($U286 / 15)  * _xlfn.XLOOKUP($G286,'Liquid Mix In Nutrition'!A:A,'Liquid Mix In Nutrition'!B:B,0))+(($V286 /MAX(1, _xlfn.XLOOKUP($H286,'Solid Mix In Nutrition'!A:A,'Solid Mix In Nutrition'!I:I,1)))  * _xlfn.XLOOKUP($H286,'Solid Mix In Nutrition'!A:A,'Solid Mix In Nutrition'!B:B,0))+(($W286 / MAX(1, _xlfn.XLOOKUP($I286,'Solid Mix In Nutrition'!A:A,'Solid Mix In Nutrition'!I:I,1))))+(($X286 / 100)  * _xlfn.XLOOKUP($J286,'Sweetener Mix In Nutrition'!A:A,'Sweetener Mix In Nutrition'!B:B,0))+(($Y286 / 100)  * _xlfn.XLOOKUP($K286,'Sweetener Mix In Nutrition'!A:A,'Sweetener Mix In Nutrition'!B:B,0))</f>
        <v>0</v>
      </c>
      <c r="AC286" s="36">
        <f>(($R286 / 240) * _xlfn.XLOOKUP($D286,'Milk Types Nutrition Per Cup'!A:A,'Milk Types Nutrition Per Cup'!E:E,0)) +(($S286 / 240)  * _xlfn.XLOOKUP($E286,'Milk Types Nutrition Per Cup'!A:A,'Milk Types Nutrition Per Cup'!E:E,0)) +(($T286 / 15)  * _xlfn.XLOOKUP($F286,'Liquid Mix In Nutrition'!A:A,'Liquid Mix In Nutrition'!E:E,0)) +(($U286 / 15)  * _xlfn.XLOOKUP($G286,'Liquid Mix In Nutrition'!A:A,'Liquid Mix In Nutrition'!E:E,0))+(($V286 / MAX(1, _xlfn.XLOOKUP($H286,'Solid Mix In Nutrition'!A:A,'Solid Mix In Nutrition'!I:I,1)))  * _xlfn.XLOOKUP($H286,'Solid Mix In Nutrition'!A:A,'Solid Mix In Nutrition'!E:E,0))+(($W286 / MAX(1, _xlfn.XLOOKUP($I286,'Solid Mix In Nutrition'!A:A,'Solid Mix In Nutrition'!I:I,1)))  * _xlfn.XLOOKUP($I286,'Solid Mix In Nutrition'!A:A,'Solid Mix In Nutrition'!G:G,0))+(($X286 / 100)  * _xlfn.XLOOKUP($J286,'Sweetener Mix In Nutrition'!A:A,'Sweetener Mix In Nutrition'!E:E,0))+(($Y286 / 100)  * _xlfn.XLOOKUP($K286,'Sweetener Mix In Nutrition'!A:A,'Sweetener Mix In Nutrition'!E:E,0))</f>
        <v>0</v>
      </c>
      <c r="AD286" s="36">
        <f>(($R286 / 240) * _xlfn.XLOOKUP($D286,'Milk Types Nutrition Per Cup'!A:A,'Milk Types Nutrition Per Cup'!E:E,0)) +(($S286 / 240)  * _xlfn.XLOOKUP($E286,'Milk Types Nutrition Per Cup'!A:A,'Milk Types Nutrition Per Cup'!E:E,0)) +(($T286 / 15)  * _xlfn.XLOOKUP($F286,'Liquid Mix In Nutrition'!A:A,'Liquid Mix In Nutrition'!E:E,0)) +(($U286 / 15)  * _xlfn.XLOOKUP($G286,'Liquid Mix In Nutrition'!A:A,'Liquid Mix In Nutrition'!E:E,0))+(($X286 / 100)  * _xlfn.XLOOKUP($J286,'Sweetener Mix In Nutrition'!A:A,'Sweetener Mix In Nutrition'!E:E,0))+(($Y286 / 100)  * _xlfn.XLOOKUP($K286,'Sweetener Mix In Nutrition'!A:A,'Sweetener Mix In Nutrition'!E:E,0))</f>
        <v>0</v>
      </c>
      <c r="AE286" s="37">
        <f>(($R286 / 240) * _xlfn.XLOOKUP($D286,'Milk Types Nutrition Per Cup'!A:A,'Milk Types Nutrition Per Cup'!C:C,0)) +(($S286 / 240)  * _xlfn.XLOOKUP($E286,'Milk Types Nutrition Per Cup'!A:A,'Milk Types Nutrition Per Cup'!C:C,0)) +(($T286 / 15)  * _xlfn.XLOOKUP($F286,'Liquid Mix In Nutrition'!A:A,'Liquid Mix In Nutrition'!C:C,0))+(($U286 / 15)  * _xlfn.XLOOKUP($G286,'Liquid Mix In Nutrition'!A:A,'Liquid Mix In Nutrition'!C:C,0))+(($V286 / MAX(1, _xlfn.XLOOKUP($H286,'Solid Mix In Nutrition'!A:A,'Solid Mix In Nutrition'!I:I,1)))  * _xlfn.XLOOKUP($H286,'Solid Mix In Nutrition'!A:A,'Solid Mix In Nutrition'!C:C,0))+(($W286 / MAX(1, _xlfn.XLOOKUP($I286,'Solid Mix In Nutrition'!A:A,'Solid Mix In Nutrition'!I:I,1)))  * _xlfn.XLOOKUP($I286,'Solid Mix In Nutrition'!A:A,'Solid Mix In Nutrition'!C:C,0))+(($X286 / 100)  * _xlfn.XLOOKUP($J286,'Sweetener Mix In Nutrition'!A:A,'Sweetener Mix In Nutrition'!C:C,0))+(($Y286 / 100)  * _xlfn.XLOOKUP($K286,'Sweetener Mix In Nutrition'!A:A,'Sweetener Mix In Nutrition'!C:C,0))</f>
        <v>0</v>
      </c>
      <c r="AF286" s="38" t="e">
        <f>$AE286 / (_xlfn.XLOOKUP($L286,Specs!A:A,Specs!B:B,0))</f>
        <v>#DIV/0!</v>
      </c>
      <c r="AG286" s="37" t="e">
        <f>60* ($AB286 / _xlfn.XLOOKUP($L286,Specs!A:A,Specs!B:B,0))</f>
        <v>#DIV/0!</v>
      </c>
      <c r="AH286" s="37" t="e">
        <f>60* (AC286 / _xlfn.XLOOKUP($L286,Specs!$A:$A,Specs!$B:$B,0))</f>
        <v>#DIV/0!</v>
      </c>
      <c r="AI286" s="37" t="e">
        <f>60* (AE286 / _xlfn.XLOOKUP($L286,Specs!$A:$A,Specs!$B:$B,0))</f>
        <v>#DIV/0!</v>
      </c>
      <c r="AJ286" s="39">
        <f>(($R286 / 240) * _xlfn.XLOOKUP($D286,'Milk Types Nutrition Per Cup'!A:A,'Milk Types Nutrition Per Cup'!F:F,0)) +(($S286 / 240)  * _xlfn.XLOOKUP($E286,'Milk Types Nutrition Per Cup'!A:A,'Milk Types Nutrition Per Cup'!F:F,0)) +(($T286 / 15)  * _xlfn.XLOOKUP($F286,'Liquid Mix In Nutrition'!A:A,'Liquid Mix In Nutrition'!F:F,0))+(($U286 / 15)  * _xlfn.XLOOKUP($G286,'Liquid Mix In Nutrition'!A:A,'Liquid Mix In Nutrition'!F:F,0))+(($V286 / MAX(1, _xlfn.XLOOKUP($H286,'Solid Mix In Nutrition'!A:A,'Solid Mix In Nutrition'!I:I,1)))  * _xlfn.XLOOKUP($H286,'Solid Mix In Nutrition'!A:A,'Solid Mix In Nutrition'!F:F,0))+(($W286 / MAX(1, _xlfn.XLOOKUP($I286,'Solid Mix In Nutrition'!A:A,'Solid Mix In Nutrition'!I:I,1)))  * _xlfn.XLOOKUP($I286,'Solid Mix In Nutrition'!A:A,'Solid Mix In Nutrition'!F:F,0))+(($X286 / 100)  * _xlfn.XLOOKUP($J286,'Sweetener Mix In Nutrition'!A:A,'Sweetener Mix In Nutrition'!F:F,0))+(($Y286 / 100)  * _xlfn.XLOOKUP($K286,'Sweetener Mix In Nutrition'!A:A,'Sweetener Mix In Nutrition'!F:F,0))</f>
        <v>0</v>
      </c>
      <c r="AK286" s="46">
        <f>[2]Sheet1!AG286</f>
        <v>0</v>
      </c>
      <c r="AL286" s="47"/>
      <c r="AM286" s="40">
        <f>IF(ISERROR(((AL286/Specs!$L$3)*Specs!$L$2)*2),0,ROUNDUP((((AL286/Specs!$L$3)*Specs!$L$2)*2),0))</f>
        <v>0</v>
      </c>
      <c r="AN286" s="48">
        <f>ROUNDUP(((AJ286+Specs!$R$2+Specs!$S$2+_xlfn.XLOOKUP($L286,Specs!A:A,Specs!V:V,0))*Specs!$N$2)+AM286,0)</f>
        <v>1</v>
      </c>
      <c r="AO286" s="40">
        <f>ROUNDUP(((AJ286+Specs!$R$2+Specs!$S$2+_xlfn.XLOOKUP($L286,Specs!A:A,Specs!V:V,0))*Specs!$N$2),0)</f>
        <v>1</v>
      </c>
      <c r="AP286" s="30"/>
    </row>
    <row r="287" spans="1:42" x14ac:dyDescent="0.25">
      <c r="A287" s="41" t="str">
        <f>_xlfn.CONCAT(_xlfn.XLOOKUP("What's Your Name?",[1]Sheet1!$1:$1,[1]Sheet1!287:287)," | ",TEXT(_xlfn.XLOOKUP("Completion time",[1]Sheet1!$1:$1,[1]Sheet1!287:287),"dddd, mmm dd, yyyy hh:mm AM/PM"))</f>
        <v xml:space="preserve"> | Saturday, Jan 00, 1900 12:00 AM</v>
      </c>
      <c r="B287" s="76">
        <f>_xlfn.XLOOKUP("What's Your Email Address?",[1]Sheet1!$1:$1,[1]Sheet1!287:287)</f>
        <v>0</v>
      </c>
      <c r="C287" s="31">
        <f>IF(ISBLANK(_xlfn.XLOOKUP("Which Flavor? (Pint Price | Quart Price | Half Gallon Price) (NOTE: Prices may fluctuate based on market conditions)",[1]Sheet1!$1:$1,[1]Sheet1!287:287)),_xlfn.XLOOKUP("Name Your Ice Cream!",[1]Sheet1!$1:$1,[1]Sheet1!287:287),IF(ISNUMBER(FIND("(", _xlfn.XLOOKUP("Which Flavor? (Pint Price | Quart Price | Half Gallon Price) (NOTE: Prices may fluctuate based on market conditions)",[1]Sheet1!$1:$1,[1]Sheet1!287:287))), LEFT(_xlfn.XLOOKUP("Which Flavor? (Pint Price | Quart Price | Half Gallon Price) (NOTE: Prices may fluctuate based on market conditions)",[1]Sheet1!$1:$1,[1]Sheet1!287:287), FIND("(", _xlfn.XLOOKUP("Which Flavor? (Pint Price | Quart Price | Half Gallon Price) (NOTE: Prices may fluctuate based on market conditions)",[1]Sheet1!$1:$1,[1]Sheet1!287:287)) - 1), _xlfn.XLOOKUP("Which Flavor? (Pint Price | Quart Price | Half Gallon Price) (NOTE: Prices may fluctuate based on market conditions)",[1]Sheet1!$1:$1,[1]Sheet1!287:287)))</f>
        <v>0</v>
      </c>
      <c r="D287" s="31">
        <f>IF(COUNTIF('Premade Flavors'!$A:$A, $C287) &gt; 0,IF(ISBLANK(_xlfn.XLOOKUP("What Ice Cream Base Do You Want To Change It To?",[1]Sheet1!$1:$1,[1]Sheet1!287:287)),_xlfn.XLOOKUP($C287,'Premade Flavors'!$A:$A,'Premade Flavors'!B:B),_xlfn.XLOOKUP("What Ice Cream Base Do You Want To Change It To?",[1]Sheet1!$1:$1,[1]Sheet1!287:287)),_xlfn.XLOOKUP(_xlfn.XLOOKUP("What Kind Of Ice Cream Base Do You Want? ",[1]Sheet1!$1:$1,[1]Sheet1!287:287),'Milk Types Nutrition Per Cup'!O:O,'Milk Types Nutrition Per Cup'!P:P,""))</f>
        <v>0</v>
      </c>
      <c r="E287" s="31">
        <f>IF(COUNTIF('Premade Flavors'!$A:$A, $C287) &gt; 0,IF(ISBLANK(_xlfn.XLOOKUP("What Ice Cream Base Do You Want To Change It To?",[1]Sheet1!$1:$1,[1]Sheet1!287:287)),_xlfn.XLOOKUP($C287,'Premade Flavors'!$A:$A,'Premade Flavors'!C:C),_xlfn.XLOOKUP("What Ice Cream Base Do You Want To Change It To?",[1]Sheet1!$1:$1,[1]Sheet1!287:287)),_xlfn.XLOOKUP(_xlfn.XLOOKUP("What Kind Of Ice Cream Base Do You Want? ",[1]Sheet1!$1:$1,[1]Sheet1!287:287),'Milk Types Nutrition Per Cup'!$O:$O,'Milk Types Nutrition Per Cup'!$Q:$Q,""))</f>
        <v>0</v>
      </c>
      <c r="F287" s="31">
        <f>IF(COUNTIF('Premade Flavors'!$A:$A, $C287) &gt; 0,_xlfn.XLOOKUP($C287,'Premade Flavors'!$A:$A,'Premade Flavors'!E:E),_xlfn.XLOOKUP("What's The First Flavor You Want? ",[1]Sheet1!$1:$1,[1]Sheet1!287:287))</f>
        <v>0</v>
      </c>
      <c r="G287" s="31">
        <f>IF(COUNTIF('Premade Flavors'!$A:$A, $C287) &gt; 0,_xlfn.XLOOKUP($C287,'Premade Flavors'!$A:$A,'Premade Flavors'!F:F),_xlfn.XLOOKUP("What's the Second Flavor You Want?",[1]Sheet1!$1:$1,[1]Sheet1!287:287))</f>
        <v>0</v>
      </c>
      <c r="H287" s="31">
        <f>IF(COUNTIF('Premade Flavors'!$A:$A, $C287) &gt; 0,_xlfn.XLOOKUP($C287,'Premade Flavors'!$A:$A,'Premade Flavors'!G:G),_xlfn.XLOOKUP("What's The First Mix In That You Want? ",[1]Sheet1!$1:$1,[1]Sheet1!287:287))</f>
        <v>0</v>
      </c>
      <c r="I287" s="31">
        <f>IF(COUNTIF('Premade Flavors'!$A:$A, $C285) &gt; 0,_xlfn.XLOOKUP($C285,'Premade Flavors'!$A:$A,'Premade Flavors'!H:H),IF([2]Sheet1!W285= 0,,[2]Sheet1!W285))</f>
        <v>0</v>
      </c>
      <c r="J287" s="31">
        <f>IF(COUNTIF('Premade Flavors'!$A:$A,$C287)&gt;0,IF(_xlfn.XLOOKUP("Should It Use Sugar or A Non-Sugar Sweetner?",[1]Sheet1!$1:$1,[1]Sheet1!287:287)="Sugar",_xlfn.XLOOKUP($C287,'Premade Flavors'!$A:$A,'Premade Flavors'!I:I),"Stevia"),_xlfn.XLOOKUP("What Sweetner Do You Want?",[1]Sheet1!$1:$1,[1]Sheet1!287:287))</f>
        <v>0</v>
      </c>
      <c r="K287" s="31"/>
      <c r="L287" s="77">
        <f>_xlfn.XLOOKUP("How Much Ice Cream Do You Want?",[1]Sheet1!$1:$1,[1]Sheet1!287:287)</f>
        <v>0</v>
      </c>
      <c r="M287" s="45">
        <f>IF(COUNTIF('Premade Flavors'!$A:$A, $C287) &gt; 0,_xlfn.XLOOKUP($C287,'Premade Flavors'!$A:$A,'Premade Flavors'!M:M),_xlfn.XLOOKUP("How Strong Do You Want The First Flavor?",[1]Sheet1!$1:$1,[1]Sheet1!287:287))</f>
        <v>0</v>
      </c>
      <c r="N287" s="45">
        <f>IF(COUNTIF('Premade Flavors'!$A:$A, $C287) &gt; 0,_xlfn.XLOOKUP($C287,'Premade Flavors'!$A:$A,'Premade Flavors'!N:N),_xlfn.XLOOKUP("How Strong Do You Want The Second Flavor?",[1]Sheet1!$1:$1,[1]Sheet1!287:287))</f>
        <v>0</v>
      </c>
      <c r="O287" s="45">
        <f>IF(COUNTIF('Premade Flavors'!$A:$A, $C287) &gt; 0,_xlfn.XLOOKUP($C287,'Premade Flavors'!$A:$A,'Premade Flavors'!O:O),_xlfn.XLOOKUP("How Dense Should the Mix Ins Be?",[1]Sheet1!$1:$1,[1]Sheet1!287:287))</f>
        <v>0</v>
      </c>
      <c r="P287" s="45">
        <f>IF(COUNTIF('Premade Flavors'!$A:$A, $C287) &gt; 0,_xlfn.XLOOKUP($C287,'Premade Flavors'!$A:$A,'Premade Flavors'!P:P),_xlfn.XLOOKUP("How Much Of The First Sweetner? ",[1]Sheet1!$1:$1,[1]Sheet1!287:287))</f>
        <v>0</v>
      </c>
      <c r="Q287" s="45">
        <f>IF(COUNTIF('Premade Flavors'!$A:$A, $C287) &gt; 0,_xlfn.XLOOKUP($C287,'Premade Flavors'!$A:$A,'Premade Flavors'!Q:Q),[2]Sheet1!S287)</f>
        <v>0</v>
      </c>
      <c r="R287" s="30">
        <f>(_xlfn.XLOOKUP($L287,Specs!A:A,Specs!B:B,0)-(IF(_xlfn.XLOOKUP($F287,'Liquid Mix In Nutrition'!A:A,'Liquid Mix In Nutrition'!J:J,0)="Yes",0,$T287))-(IF(_xlfn.XLOOKUP($G287,'Liquid Mix In Nutrition'!A:A,'Liquid Mix In Nutrition'!J:J,0)="Yes",0,$U287))-(($V287/MAX(1,_xlfn.XLOOKUP($H287,'Solid Mix In Nutrition'!A:A,'Solid Mix In Nutrition'!I:I,1)))*240)-(($W287/MAX(1,_xlfn.XLOOKUP($I287,'Solid Mix In Nutrition'!A:A,'Solid Mix In Nutrition'!I:I,1)))*240))*0.66</f>
        <v>0</v>
      </c>
      <c r="S287" s="30">
        <f>(_xlfn.XLOOKUP($L287,Specs!A:A,Specs!B:B,0)-(IF(_xlfn.XLOOKUP($F287,'Liquid Mix In Nutrition'!A:A,'Liquid Mix In Nutrition'!J:J,0)="Yes",0,$T287))-(IF(_xlfn.XLOOKUP($G287,'Liquid Mix In Nutrition'!A:A,'Liquid Mix In Nutrition'!J:J,0)="Yes",0,$U287))-(($V287/MAX(1,_xlfn.XLOOKUP($H287,'Solid Mix In Nutrition'!A:A,'Solid Mix In Nutrition'!I:I,1)))*240)-(($W287/MAX(1,_xlfn.XLOOKUP($I287,'Solid Mix In Nutrition'!A:A,'Solid Mix In Nutrition'!I:I,1)))*240))*0.33</f>
        <v>0</v>
      </c>
      <c r="T287" s="30">
        <f>_xlfn.XLOOKUP($M287,Specs!$D:$D,Specs!$E:$E,0)*15*_xlfn.XLOOKUP($L287,Specs!$A:$A,Specs!$C:$C,0)</f>
        <v>0</v>
      </c>
      <c r="U287" s="30">
        <f>_xlfn.XLOOKUP($N287,Specs!$D:$D,Specs!$E:$E,0)*15*_xlfn.XLOOKUP($L287,Specs!$A:$A,Specs!$C:$C,0)</f>
        <v>0</v>
      </c>
      <c r="V287" s="30">
        <f>( ((_xlfn.XLOOKUP($O287,Specs!$H:$H,Specs!$I:$I,0)*_xlfn.XLOOKUP($L287,Specs!$A:$A,Specs!$B:$B,0))/240) *_xlfn.XLOOKUP($H287,'Solid Mix In Nutrition'!A:A,'Solid Mix In Nutrition'!I:I,0)) *IF(AND(NOT($I287=0), COUNTA($I287)),0.5,1)</f>
        <v>0</v>
      </c>
      <c r="W287" s="30">
        <f>( ((_xlfn.XLOOKUP($O287,Specs!$H:$H,Specs!$I:$I,0)*_xlfn.XLOOKUP($L287,Specs!$A:$A,Specs!$B:$B,0))/240) *_xlfn.XLOOKUP($I287,'Solid Mix In Nutrition'!A:A,'Solid Mix In Nutrition'!I:I,0)) *IF(AND(NOT($I287=0), COUNTA($I287)),0.5,0)</f>
        <v>0</v>
      </c>
      <c r="X287" s="30">
        <f>_xlfn.XLOOKUP($P287,Specs!F:F,Specs!G:G,0)*_xlfn.XLOOKUP($J287,'Sweetener Mix In Nutrition'!A:A,'Sweetener Mix In Nutrition'!I:I,0)*_xlfn.XLOOKUP($L287,Specs!A:A,Specs!C:C,0)</f>
        <v>0</v>
      </c>
      <c r="Y287" s="30">
        <f>_xlfn.XLOOKUP($Q287,Specs!F:F,Specs!G:G,0)*_xlfn.XLOOKUP($K287,'Sweetener Mix In Nutrition'!A:A,'Sweetener Mix In Nutrition'!I:I,0)*_xlfn.XLOOKUP($L287,Specs!A:A,Specs!C:C,0)</f>
        <v>0</v>
      </c>
      <c r="Z287" s="34">
        <f t="shared" si="8"/>
        <v>0</v>
      </c>
      <c r="AA287" s="35">
        <f t="shared" si="9"/>
        <v>0</v>
      </c>
      <c r="AB287" s="36">
        <f>(($R287 / 240) * _xlfn.XLOOKUP($D287,'Milk Types Nutrition Per Cup'!A:A,'Milk Types Nutrition Per Cup'!B:B,0)) +(($S287 / 240)  * _xlfn.XLOOKUP($E287,'Milk Types Nutrition Per Cup'!A:A,'Milk Types Nutrition Per Cup'!B:B,0)) +(($T287 / 15)  * _xlfn.XLOOKUP($F287,'Liquid Mix In Nutrition'!A:A,'Liquid Mix In Nutrition'!B:B,0))+(($U287 / 15)  * _xlfn.XLOOKUP($G287,'Liquid Mix In Nutrition'!A:A,'Liquid Mix In Nutrition'!B:B,0))+(($V287 /MAX(1, _xlfn.XLOOKUP($H287,'Solid Mix In Nutrition'!A:A,'Solid Mix In Nutrition'!I:I,1)))  * _xlfn.XLOOKUP($H287,'Solid Mix In Nutrition'!A:A,'Solid Mix In Nutrition'!B:B,0))+(($W287 / MAX(1, _xlfn.XLOOKUP($I287,'Solid Mix In Nutrition'!A:A,'Solid Mix In Nutrition'!I:I,1))))+(($X287 / 100)  * _xlfn.XLOOKUP($J287,'Sweetener Mix In Nutrition'!A:A,'Sweetener Mix In Nutrition'!B:B,0))+(($Y287 / 100)  * _xlfn.XLOOKUP($K287,'Sweetener Mix In Nutrition'!A:A,'Sweetener Mix In Nutrition'!B:B,0))</f>
        <v>0</v>
      </c>
      <c r="AC287" s="36">
        <f>(($R287 / 240) * _xlfn.XLOOKUP($D287,'Milk Types Nutrition Per Cup'!A:A,'Milk Types Nutrition Per Cup'!E:E,0)) +(($S287 / 240)  * _xlfn.XLOOKUP($E287,'Milk Types Nutrition Per Cup'!A:A,'Milk Types Nutrition Per Cup'!E:E,0)) +(($T287 / 15)  * _xlfn.XLOOKUP($F287,'Liquid Mix In Nutrition'!A:A,'Liquid Mix In Nutrition'!E:E,0)) +(($U287 / 15)  * _xlfn.XLOOKUP($G287,'Liquid Mix In Nutrition'!A:A,'Liquid Mix In Nutrition'!E:E,0))+(($V287 / MAX(1, _xlfn.XLOOKUP($H287,'Solid Mix In Nutrition'!A:A,'Solid Mix In Nutrition'!I:I,1)))  * _xlfn.XLOOKUP($H287,'Solid Mix In Nutrition'!A:A,'Solid Mix In Nutrition'!E:E,0))+(($W287 / MAX(1, _xlfn.XLOOKUP($I287,'Solid Mix In Nutrition'!A:A,'Solid Mix In Nutrition'!I:I,1)))  * _xlfn.XLOOKUP($I287,'Solid Mix In Nutrition'!A:A,'Solid Mix In Nutrition'!G:G,0))+(($X287 / 100)  * _xlfn.XLOOKUP($J287,'Sweetener Mix In Nutrition'!A:A,'Sweetener Mix In Nutrition'!E:E,0))+(($Y287 / 100)  * _xlfn.XLOOKUP($K287,'Sweetener Mix In Nutrition'!A:A,'Sweetener Mix In Nutrition'!E:E,0))</f>
        <v>0</v>
      </c>
      <c r="AD287" s="36">
        <f>(($R287 / 240) * _xlfn.XLOOKUP($D287,'Milk Types Nutrition Per Cup'!A:A,'Milk Types Nutrition Per Cup'!E:E,0)) +(($S287 / 240)  * _xlfn.XLOOKUP($E287,'Milk Types Nutrition Per Cup'!A:A,'Milk Types Nutrition Per Cup'!E:E,0)) +(($T287 / 15)  * _xlfn.XLOOKUP($F287,'Liquid Mix In Nutrition'!A:A,'Liquid Mix In Nutrition'!E:E,0)) +(($U287 / 15)  * _xlfn.XLOOKUP($G287,'Liquid Mix In Nutrition'!A:A,'Liquid Mix In Nutrition'!E:E,0))+(($X287 / 100)  * _xlfn.XLOOKUP($J287,'Sweetener Mix In Nutrition'!A:A,'Sweetener Mix In Nutrition'!E:E,0))+(($Y287 / 100)  * _xlfn.XLOOKUP($K287,'Sweetener Mix In Nutrition'!A:A,'Sweetener Mix In Nutrition'!E:E,0))</f>
        <v>0</v>
      </c>
      <c r="AE287" s="37">
        <f>(($R287 / 240) * _xlfn.XLOOKUP($D287,'Milk Types Nutrition Per Cup'!A:A,'Milk Types Nutrition Per Cup'!C:C,0)) +(($S287 / 240)  * _xlfn.XLOOKUP($E287,'Milk Types Nutrition Per Cup'!A:A,'Milk Types Nutrition Per Cup'!C:C,0)) +(($T287 / 15)  * _xlfn.XLOOKUP($F287,'Liquid Mix In Nutrition'!A:A,'Liquid Mix In Nutrition'!C:C,0))+(($U287 / 15)  * _xlfn.XLOOKUP($G287,'Liquid Mix In Nutrition'!A:A,'Liquid Mix In Nutrition'!C:C,0))+(($V287 / MAX(1, _xlfn.XLOOKUP($H287,'Solid Mix In Nutrition'!A:A,'Solid Mix In Nutrition'!I:I,1)))  * _xlfn.XLOOKUP($H287,'Solid Mix In Nutrition'!A:A,'Solid Mix In Nutrition'!C:C,0))+(($W287 / MAX(1, _xlfn.XLOOKUP($I287,'Solid Mix In Nutrition'!A:A,'Solid Mix In Nutrition'!I:I,1)))  * _xlfn.XLOOKUP($I287,'Solid Mix In Nutrition'!A:A,'Solid Mix In Nutrition'!C:C,0))+(($X287 / 100)  * _xlfn.XLOOKUP($J287,'Sweetener Mix In Nutrition'!A:A,'Sweetener Mix In Nutrition'!C:C,0))+(($Y287 / 100)  * _xlfn.XLOOKUP($K287,'Sweetener Mix In Nutrition'!A:A,'Sweetener Mix In Nutrition'!C:C,0))</f>
        <v>0</v>
      </c>
      <c r="AF287" s="38" t="e">
        <f>$AE287 / (_xlfn.XLOOKUP($L287,Specs!A:A,Specs!B:B,0))</f>
        <v>#DIV/0!</v>
      </c>
      <c r="AG287" s="37" t="e">
        <f>60* ($AB287 / _xlfn.XLOOKUP($L287,Specs!A:A,Specs!B:B,0))</f>
        <v>#DIV/0!</v>
      </c>
      <c r="AH287" s="37" t="e">
        <f>60* (AC287 / _xlfn.XLOOKUP($L287,Specs!$A:$A,Specs!$B:$B,0))</f>
        <v>#DIV/0!</v>
      </c>
      <c r="AI287" s="37" t="e">
        <f>60* (AE287 / _xlfn.XLOOKUP($L287,Specs!$A:$A,Specs!$B:$B,0))</f>
        <v>#DIV/0!</v>
      </c>
      <c r="AJ287" s="39">
        <f>(($R287 / 240) * _xlfn.XLOOKUP($D287,'Milk Types Nutrition Per Cup'!A:A,'Milk Types Nutrition Per Cup'!F:F,0)) +(($S287 / 240)  * _xlfn.XLOOKUP($E287,'Milk Types Nutrition Per Cup'!A:A,'Milk Types Nutrition Per Cup'!F:F,0)) +(($T287 / 15)  * _xlfn.XLOOKUP($F287,'Liquid Mix In Nutrition'!A:A,'Liquid Mix In Nutrition'!F:F,0))+(($U287 / 15)  * _xlfn.XLOOKUP($G287,'Liquid Mix In Nutrition'!A:A,'Liquid Mix In Nutrition'!F:F,0))+(($V287 / MAX(1, _xlfn.XLOOKUP($H287,'Solid Mix In Nutrition'!A:A,'Solid Mix In Nutrition'!I:I,1)))  * _xlfn.XLOOKUP($H287,'Solid Mix In Nutrition'!A:A,'Solid Mix In Nutrition'!F:F,0))+(($W287 / MAX(1, _xlfn.XLOOKUP($I287,'Solid Mix In Nutrition'!A:A,'Solid Mix In Nutrition'!I:I,1)))  * _xlfn.XLOOKUP($I287,'Solid Mix In Nutrition'!A:A,'Solid Mix In Nutrition'!F:F,0))+(($X287 / 100)  * _xlfn.XLOOKUP($J287,'Sweetener Mix In Nutrition'!A:A,'Sweetener Mix In Nutrition'!F:F,0))+(($Y287 / 100)  * _xlfn.XLOOKUP($K287,'Sweetener Mix In Nutrition'!A:A,'Sweetener Mix In Nutrition'!F:F,0))</f>
        <v>0</v>
      </c>
      <c r="AK287" s="46">
        <f>[2]Sheet1!AG287</f>
        <v>0</v>
      </c>
      <c r="AL287" s="47"/>
      <c r="AM287" s="40">
        <f>IF(ISERROR(((AL287/Specs!$L$3)*Specs!$L$2)*2),0,ROUNDUP((((AL287/Specs!$L$3)*Specs!$L$2)*2),0))</f>
        <v>0</v>
      </c>
      <c r="AN287" s="48">
        <f>ROUNDUP(((AJ287+Specs!$R$2+Specs!$S$2+_xlfn.XLOOKUP($L287,Specs!A:A,Specs!V:V,0))*Specs!$N$2)+AM287,0)</f>
        <v>1</v>
      </c>
      <c r="AO287" s="40">
        <f>ROUNDUP(((AJ287+Specs!$R$2+Specs!$S$2+_xlfn.XLOOKUP($L287,Specs!A:A,Specs!V:V,0))*Specs!$N$2),0)</f>
        <v>1</v>
      </c>
      <c r="AP287" s="30"/>
    </row>
    <row r="288" spans="1:42" x14ac:dyDescent="0.25">
      <c r="A288" s="41" t="str">
        <f>_xlfn.CONCAT(_xlfn.XLOOKUP("What's Your Name?",[1]Sheet1!$1:$1,[1]Sheet1!288:288)," | ",TEXT(_xlfn.XLOOKUP("Completion time",[1]Sheet1!$1:$1,[1]Sheet1!288:288),"dddd, mmm dd, yyyy hh:mm AM/PM"))</f>
        <v xml:space="preserve"> | Saturday, Jan 00, 1900 12:00 AM</v>
      </c>
      <c r="B288" s="76">
        <f>_xlfn.XLOOKUP("What's Your Email Address?",[1]Sheet1!$1:$1,[1]Sheet1!288:288)</f>
        <v>0</v>
      </c>
      <c r="C288" s="31">
        <f>IF(ISBLANK(_xlfn.XLOOKUP("Which Flavor? (Pint Price | Quart Price | Half Gallon Price) (NOTE: Prices may fluctuate based on market conditions)",[1]Sheet1!$1:$1,[1]Sheet1!288:288)),_xlfn.XLOOKUP("Name Your Ice Cream!",[1]Sheet1!$1:$1,[1]Sheet1!288:288),IF(ISNUMBER(FIND("(", _xlfn.XLOOKUP("Which Flavor? (Pint Price | Quart Price | Half Gallon Price) (NOTE: Prices may fluctuate based on market conditions)",[1]Sheet1!$1:$1,[1]Sheet1!288:288))), LEFT(_xlfn.XLOOKUP("Which Flavor? (Pint Price | Quart Price | Half Gallon Price) (NOTE: Prices may fluctuate based on market conditions)",[1]Sheet1!$1:$1,[1]Sheet1!288:288), FIND("(", _xlfn.XLOOKUP("Which Flavor? (Pint Price | Quart Price | Half Gallon Price) (NOTE: Prices may fluctuate based on market conditions)",[1]Sheet1!$1:$1,[1]Sheet1!288:288)) - 1), _xlfn.XLOOKUP("Which Flavor? (Pint Price | Quart Price | Half Gallon Price) (NOTE: Prices may fluctuate based on market conditions)",[1]Sheet1!$1:$1,[1]Sheet1!288:288)))</f>
        <v>0</v>
      </c>
      <c r="D288" s="31">
        <f>IF(COUNTIF('Premade Flavors'!$A:$A, $C288) &gt; 0,IF(ISBLANK(_xlfn.XLOOKUP("What Ice Cream Base Do You Want To Change It To?",[1]Sheet1!$1:$1,[1]Sheet1!288:288)),_xlfn.XLOOKUP($C288,'Premade Flavors'!$A:$A,'Premade Flavors'!B:B),_xlfn.XLOOKUP("What Ice Cream Base Do You Want To Change It To?",[1]Sheet1!$1:$1,[1]Sheet1!288:288)),_xlfn.XLOOKUP(_xlfn.XLOOKUP("What Kind Of Ice Cream Base Do You Want? ",[1]Sheet1!$1:$1,[1]Sheet1!288:288),'Milk Types Nutrition Per Cup'!O:O,'Milk Types Nutrition Per Cup'!P:P,""))</f>
        <v>0</v>
      </c>
      <c r="E288" s="31">
        <f>IF(COUNTIF('Premade Flavors'!$A:$A, $C288) &gt; 0,IF(ISBLANK(_xlfn.XLOOKUP("What Ice Cream Base Do You Want To Change It To?",[1]Sheet1!$1:$1,[1]Sheet1!288:288)),_xlfn.XLOOKUP($C288,'Premade Flavors'!$A:$A,'Premade Flavors'!C:C),_xlfn.XLOOKUP("What Ice Cream Base Do You Want To Change It To?",[1]Sheet1!$1:$1,[1]Sheet1!288:288)),_xlfn.XLOOKUP(_xlfn.XLOOKUP("What Kind Of Ice Cream Base Do You Want? ",[1]Sheet1!$1:$1,[1]Sheet1!288:288),'Milk Types Nutrition Per Cup'!$O:$O,'Milk Types Nutrition Per Cup'!$Q:$Q,""))</f>
        <v>0</v>
      </c>
      <c r="F288" s="31">
        <f>IF(COUNTIF('Premade Flavors'!$A:$A, $C288) &gt; 0,_xlfn.XLOOKUP($C288,'Premade Flavors'!$A:$A,'Premade Flavors'!E:E),_xlfn.XLOOKUP("What's The First Flavor You Want? ",[1]Sheet1!$1:$1,[1]Sheet1!288:288))</f>
        <v>0</v>
      </c>
      <c r="G288" s="31">
        <f>IF(COUNTIF('Premade Flavors'!$A:$A, $C288) &gt; 0,_xlfn.XLOOKUP($C288,'Premade Flavors'!$A:$A,'Premade Flavors'!F:F),_xlfn.XLOOKUP("What's the Second Flavor You Want?",[1]Sheet1!$1:$1,[1]Sheet1!288:288))</f>
        <v>0</v>
      </c>
      <c r="H288" s="31">
        <f>IF(COUNTIF('Premade Flavors'!$A:$A, $C288) &gt; 0,_xlfn.XLOOKUP($C288,'Premade Flavors'!$A:$A,'Premade Flavors'!G:G),_xlfn.XLOOKUP("What's The First Mix In That You Want? ",[1]Sheet1!$1:$1,[1]Sheet1!288:288))</f>
        <v>0</v>
      </c>
      <c r="I288" s="31">
        <f>IF(COUNTIF('Premade Flavors'!$A:$A, $C286) &gt; 0,_xlfn.XLOOKUP($C286,'Premade Flavors'!$A:$A,'Premade Flavors'!H:H),IF([2]Sheet1!W286= 0,,[2]Sheet1!W286))</f>
        <v>0</v>
      </c>
      <c r="J288" s="31">
        <f>IF(COUNTIF('Premade Flavors'!$A:$A,$C288)&gt;0,IF(_xlfn.XLOOKUP("Should It Use Sugar or A Non-Sugar Sweetner?",[1]Sheet1!$1:$1,[1]Sheet1!288:288)="Sugar",_xlfn.XLOOKUP($C288,'Premade Flavors'!$A:$A,'Premade Flavors'!I:I),"Stevia"),_xlfn.XLOOKUP("What Sweetner Do You Want?",[1]Sheet1!$1:$1,[1]Sheet1!288:288))</f>
        <v>0</v>
      </c>
      <c r="K288" s="31"/>
      <c r="L288" s="77">
        <f>_xlfn.XLOOKUP("How Much Ice Cream Do You Want?",[1]Sheet1!$1:$1,[1]Sheet1!288:288)</f>
        <v>0</v>
      </c>
      <c r="M288" s="45">
        <f>IF(COUNTIF('Premade Flavors'!$A:$A, $C288) &gt; 0,_xlfn.XLOOKUP($C288,'Premade Flavors'!$A:$A,'Premade Flavors'!M:M),_xlfn.XLOOKUP("How Strong Do You Want The First Flavor?",[1]Sheet1!$1:$1,[1]Sheet1!288:288))</f>
        <v>0</v>
      </c>
      <c r="N288" s="45">
        <f>IF(COUNTIF('Premade Flavors'!$A:$A, $C288) &gt; 0,_xlfn.XLOOKUP($C288,'Premade Flavors'!$A:$A,'Premade Flavors'!N:N),_xlfn.XLOOKUP("How Strong Do You Want The Second Flavor?",[1]Sheet1!$1:$1,[1]Sheet1!288:288))</f>
        <v>0</v>
      </c>
      <c r="O288" s="45">
        <f>IF(COUNTIF('Premade Flavors'!$A:$A, $C288) &gt; 0,_xlfn.XLOOKUP($C288,'Premade Flavors'!$A:$A,'Premade Flavors'!O:O),_xlfn.XLOOKUP("How Dense Should the Mix Ins Be?",[1]Sheet1!$1:$1,[1]Sheet1!288:288))</f>
        <v>0</v>
      </c>
      <c r="P288" s="45">
        <f>IF(COUNTIF('Premade Flavors'!$A:$A, $C288) &gt; 0,_xlfn.XLOOKUP($C288,'Premade Flavors'!$A:$A,'Premade Flavors'!P:P),_xlfn.XLOOKUP("How Much Of The First Sweetner? ",[1]Sheet1!$1:$1,[1]Sheet1!288:288))</f>
        <v>0</v>
      </c>
      <c r="Q288" s="45">
        <f>IF(COUNTIF('Premade Flavors'!$A:$A, $C288) &gt; 0,_xlfn.XLOOKUP($C288,'Premade Flavors'!$A:$A,'Premade Flavors'!Q:Q),[2]Sheet1!S288)</f>
        <v>0</v>
      </c>
      <c r="R288" s="30">
        <f>(_xlfn.XLOOKUP($L288,Specs!A:A,Specs!B:B,0)-(IF(_xlfn.XLOOKUP($F288,'Liquid Mix In Nutrition'!A:A,'Liquid Mix In Nutrition'!J:J,0)="Yes",0,$T288))-(IF(_xlfn.XLOOKUP($G288,'Liquid Mix In Nutrition'!A:A,'Liquid Mix In Nutrition'!J:J,0)="Yes",0,$U288))-(($V288/MAX(1,_xlfn.XLOOKUP($H288,'Solid Mix In Nutrition'!A:A,'Solid Mix In Nutrition'!I:I,1)))*240)-(($W288/MAX(1,_xlfn.XLOOKUP($I288,'Solid Mix In Nutrition'!A:A,'Solid Mix In Nutrition'!I:I,1)))*240))*0.66</f>
        <v>0</v>
      </c>
      <c r="S288" s="30">
        <f>(_xlfn.XLOOKUP($L288,Specs!A:A,Specs!B:B,0)-(IF(_xlfn.XLOOKUP($F288,'Liquid Mix In Nutrition'!A:A,'Liquid Mix In Nutrition'!J:J,0)="Yes",0,$T288))-(IF(_xlfn.XLOOKUP($G288,'Liquid Mix In Nutrition'!A:A,'Liquid Mix In Nutrition'!J:J,0)="Yes",0,$U288))-(($V288/MAX(1,_xlfn.XLOOKUP($H288,'Solid Mix In Nutrition'!A:A,'Solid Mix In Nutrition'!I:I,1)))*240)-(($W288/MAX(1,_xlfn.XLOOKUP($I288,'Solid Mix In Nutrition'!A:A,'Solid Mix In Nutrition'!I:I,1)))*240))*0.33</f>
        <v>0</v>
      </c>
      <c r="T288" s="30">
        <f>_xlfn.XLOOKUP($M288,Specs!$D:$D,Specs!$E:$E,0)*15*_xlfn.XLOOKUP($L288,Specs!$A:$A,Specs!$C:$C,0)</f>
        <v>0</v>
      </c>
      <c r="U288" s="30">
        <f>_xlfn.XLOOKUP($N288,Specs!$D:$D,Specs!$E:$E,0)*15*_xlfn.XLOOKUP($L288,Specs!$A:$A,Specs!$C:$C,0)</f>
        <v>0</v>
      </c>
      <c r="V288" s="30">
        <f>( ((_xlfn.XLOOKUP($O288,Specs!$H:$H,Specs!$I:$I,0)*_xlfn.XLOOKUP($L288,Specs!$A:$A,Specs!$B:$B,0))/240) *_xlfn.XLOOKUP($H288,'Solid Mix In Nutrition'!A:A,'Solid Mix In Nutrition'!I:I,0)) *IF(AND(NOT($I288=0), COUNTA($I288)),0.5,1)</f>
        <v>0</v>
      </c>
      <c r="W288" s="30">
        <f>( ((_xlfn.XLOOKUP($O288,Specs!$H:$H,Specs!$I:$I,0)*_xlfn.XLOOKUP($L288,Specs!$A:$A,Specs!$B:$B,0))/240) *_xlfn.XLOOKUP($I288,'Solid Mix In Nutrition'!A:A,'Solid Mix In Nutrition'!I:I,0)) *IF(AND(NOT($I288=0), COUNTA($I288)),0.5,0)</f>
        <v>0</v>
      </c>
      <c r="X288" s="30">
        <f>_xlfn.XLOOKUP($P288,Specs!F:F,Specs!G:G,0)*_xlfn.XLOOKUP($J288,'Sweetener Mix In Nutrition'!A:A,'Sweetener Mix In Nutrition'!I:I,0)*_xlfn.XLOOKUP($L288,Specs!A:A,Specs!C:C,0)</f>
        <v>0</v>
      </c>
      <c r="Y288" s="30">
        <f>_xlfn.XLOOKUP($Q288,Specs!F:F,Specs!G:G,0)*_xlfn.XLOOKUP($K288,'Sweetener Mix In Nutrition'!A:A,'Sweetener Mix In Nutrition'!I:I,0)*_xlfn.XLOOKUP($L288,Specs!A:A,Specs!C:C,0)</f>
        <v>0</v>
      </c>
      <c r="Z288" s="34">
        <f t="shared" si="8"/>
        <v>0</v>
      </c>
      <c r="AA288" s="35">
        <f t="shared" si="9"/>
        <v>0</v>
      </c>
      <c r="AB288" s="36">
        <f>(($R288 / 240) * _xlfn.XLOOKUP($D288,'Milk Types Nutrition Per Cup'!A:A,'Milk Types Nutrition Per Cup'!B:B,0)) +(($S288 / 240)  * _xlfn.XLOOKUP($E288,'Milk Types Nutrition Per Cup'!A:A,'Milk Types Nutrition Per Cup'!B:B,0)) +(($T288 / 15)  * _xlfn.XLOOKUP($F288,'Liquid Mix In Nutrition'!A:A,'Liquid Mix In Nutrition'!B:B,0))+(($U288 / 15)  * _xlfn.XLOOKUP($G288,'Liquid Mix In Nutrition'!A:A,'Liquid Mix In Nutrition'!B:B,0))+(($V288 /MAX(1, _xlfn.XLOOKUP($H288,'Solid Mix In Nutrition'!A:A,'Solid Mix In Nutrition'!I:I,1)))  * _xlfn.XLOOKUP($H288,'Solid Mix In Nutrition'!A:A,'Solid Mix In Nutrition'!B:B,0))+(($W288 / MAX(1, _xlfn.XLOOKUP($I288,'Solid Mix In Nutrition'!A:A,'Solid Mix In Nutrition'!I:I,1))))+(($X288 / 100)  * _xlfn.XLOOKUP($J288,'Sweetener Mix In Nutrition'!A:A,'Sweetener Mix In Nutrition'!B:B,0))+(($Y288 / 100)  * _xlfn.XLOOKUP($K288,'Sweetener Mix In Nutrition'!A:A,'Sweetener Mix In Nutrition'!B:B,0))</f>
        <v>0</v>
      </c>
      <c r="AC288" s="36">
        <f>(($R288 / 240) * _xlfn.XLOOKUP($D288,'Milk Types Nutrition Per Cup'!A:A,'Milk Types Nutrition Per Cup'!E:E,0)) +(($S288 / 240)  * _xlfn.XLOOKUP($E288,'Milk Types Nutrition Per Cup'!A:A,'Milk Types Nutrition Per Cup'!E:E,0)) +(($T288 / 15)  * _xlfn.XLOOKUP($F288,'Liquid Mix In Nutrition'!A:A,'Liquid Mix In Nutrition'!E:E,0)) +(($U288 / 15)  * _xlfn.XLOOKUP($G288,'Liquid Mix In Nutrition'!A:A,'Liquid Mix In Nutrition'!E:E,0))+(($V288 / MAX(1, _xlfn.XLOOKUP($H288,'Solid Mix In Nutrition'!A:A,'Solid Mix In Nutrition'!I:I,1)))  * _xlfn.XLOOKUP($H288,'Solid Mix In Nutrition'!A:A,'Solid Mix In Nutrition'!E:E,0))+(($W288 / MAX(1, _xlfn.XLOOKUP($I288,'Solid Mix In Nutrition'!A:A,'Solid Mix In Nutrition'!I:I,1)))  * _xlfn.XLOOKUP($I288,'Solid Mix In Nutrition'!A:A,'Solid Mix In Nutrition'!G:G,0))+(($X288 / 100)  * _xlfn.XLOOKUP($J288,'Sweetener Mix In Nutrition'!A:A,'Sweetener Mix In Nutrition'!E:E,0))+(($Y288 / 100)  * _xlfn.XLOOKUP($K288,'Sweetener Mix In Nutrition'!A:A,'Sweetener Mix In Nutrition'!E:E,0))</f>
        <v>0</v>
      </c>
      <c r="AD288" s="36">
        <f>(($R288 / 240) * _xlfn.XLOOKUP($D288,'Milk Types Nutrition Per Cup'!A:A,'Milk Types Nutrition Per Cup'!E:E,0)) +(($S288 / 240)  * _xlfn.XLOOKUP($E288,'Milk Types Nutrition Per Cup'!A:A,'Milk Types Nutrition Per Cup'!E:E,0)) +(($T288 / 15)  * _xlfn.XLOOKUP($F288,'Liquid Mix In Nutrition'!A:A,'Liquid Mix In Nutrition'!E:E,0)) +(($U288 / 15)  * _xlfn.XLOOKUP($G288,'Liquid Mix In Nutrition'!A:A,'Liquid Mix In Nutrition'!E:E,0))+(($X288 / 100)  * _xlfn.XLOOKUP($J288,'Sweetener Mix In Nutrition'!A:A,'Sweetener Mix In Nutrition'!E:E,0))+(($Y288 / 100)  * _xlfn.XLOOKUP($K288,'Sweetener Mix In Nutrition'!A:A,'Sweetener Mix In Nutrition'!E:E,0))</f>
        <v>0</v>
      </c>
      <c r="AE288" s="37">
        <f>(($R288 / 240) * _xlfn.XLOOKUP($D288,'Milk Types Nutrition Per Cup'!A:A,'Milk Types Nutrition Per Cup'!C:C,0)) +(($S288 / 240)  * _xlfn.XLOOKUP($E288,'Milk Types Nutrition Per Cup'!A:A,'Milk Types Nutrition Per Cup'!C:C,0)) +(($T288 / 15)  * _xlfn.XLOOKUP($F288,'Liquid Mix In Nutrition'!A:A,'Liquid Mix In Nutrition'!C:C,0))+(($U288 / 15)  * _xlfn.XLOOKUP($G288,'Liquid Mix In Nutrition'!A:A,'Liquid Mix In Nutrition'!C:C,0))+(($V288 / MAX(1, _xlfn.XLOOKUP($H288,'Solid Mix In Nutrition'!A:A,'Solid Mix In Nutrition'!I:I,1)))  * _xlfn.XLOOKUP($H288,'Solid Mix In Nutrition'!A:A,'Solid Mix In Nutrition'!C:C,0))+(($W288 / MAX(1, _xlfn.XLOOKUP($I288,'Solid Mix In Nutrition'!A:A,'Solid Mix In Nutrition'!I:I,1)))  * _xlfn.XLOOKUP($I288,'Solid Mix In Nutrition'!A:A,'Solid Mix In Nutrition'!C:C,0))+(($X288 / 100)  * _xlfn.XLOOKUP($J288,'Sweetener Mix In Nutrition'!A:A,'Sweetener Mix In Nutrition'!C:C,0))+(($Y288 / 100)  * _xlfn.XLOOKUP($K288,'Sweetener Mix In Nutrition'!A:A,'Sweetener Mix In Nutrition'!C:C,0))</f>
        <v>0</v>
      </c>
      <c r="AF288" s="38" t="e">
        <f>$AE288 / (_xlfn.XLOOKUP($L288,Specs!A:A,Specs!B:B,0))</f>
        <v>#DIV/0!</v>
      </c>
      <c r="AG288" s="37" t="e">
        <f>60* ($AB288 / _xlfn.XLOOKUP($L288,Specs!A:A,Specs!B:B,0))</f>
        <v>#DIV/0!</v>
      </c>
      <c r="AH288" s="37" t="e">
        <f>60* (AC288 / _xlfn.XLOOKUP($L288,Specs!$A:$A,Specs!$B:$B,0))</f>
        <v>#DIV/0!</v>
      </c>
      <c r="AI288" s="37" t="e">
        <f>60* (AE288 / _xlfn.XLOOKUP($L288,Specs!$A:$A,Specs!$B:$B,0))</f>
        <v>#DIV/0!</v>
      </c>
      <c r="AJ288" s="39">
        <f>(($R288 / 240) * _xlfn.XLOOKUP($D288,'Milk Types Nutrition Per Cup'!A:A,'Milk Types Nutrition Per Cup'!F:F,0)) +(($S288 / 240)  * _xlfn.XLOOKUP($E288,'Milk Types Nutrition Per Cup'!A:A,'Milk Types Nutrition Per Cup'!F:F,0)) +(($T288 / 15)  * _xlfn.XLOOKUP($F288,'Liquid Mix In Nutrition'!A:A,'Liquid Mix In Nutrition'!F:F,0))+(($U288 / 15)  * _xlfn.XLOOKUP($G288,'Liquid Mix In Nutrition'!A:A,'Liquid Mix In Nutrition'!F:F,0))+(($V288 / MAX(1, _xlfn.XLOOKUP($H288,'Solid Mix In Nutrition'!A:A,'Solid Mix In Nutrition'!I:I,1)))  * _xlfn.XLOOKUP($H288,'Solid Mix In Nutrition'!A:A,'Solid Mix In Nutrition'!F:F,0))+(($W288 / MAX(1, _xlfn.XLOOKUP($I288,'Solid Mix In Nutrition'!A:A,'Solid Mix In Nutrition'!I:I,1)))  * _xlfn.XLOOKUP($I288,'Solid Mix In Nutrition'!A:A,'Solid Mix In Nutrition'!F:F,0))+(($X288 / 100)  * _xlfn.XLOOKUP($J288,'Sweetener Mix In Nutrition'!A:A,'Sweetener Mix In Nutrition'!F:F,0))+(($Y288 / 100)  * _xlfn.XLOOKUP($K288,'Sweetener Mix In Nutrition'!A:A,'Sweetener Mix In Nutrition'!F:F,0))</f>
        <v>0</v>
      </c>
      <c r="AK288" s="46">
        <f>[2]Sheet1!AG288</f>
        <v>0</v>
      </c>
      <c r="AL288" s="47"/>
      <c r="AM288" s="40">
        <f>IF(ISERROR(((AL288/Specs!$L$3)*Specs!$L$2)*2),0,ROUNDUP((((AL288/Specs!$L$3)*Specs!$L$2)*2),0))</f>
        <v>0</v>
      </c>
      <c r="AN288" s="48">
        <f>ROUNDUP(((AJ288+Specs!$R$2+Specs!$S$2+_xlfn.XLOOKUP($L288,Specs!A:A,Specs!V:V,0))*Specs!$N$2)+AM288,0)</f>
        <v>1</v>
      </c>
      <c r="AO288" s="40">
        <f>ROUNDUP(((AJ288+Specs!$R$2+Specs!$S$2+_xlfn.XLOOKUP($L288,Specs!A:A,Specs!V:V,0))*Specs!$N$2),0)</f>
        <v>1</v>
      </c>
      <c r="AP288" s="30"/>
    </row>
    <row r="289" spans="1:42" x14ac:dyDescent="0.25">
      <c r="A289" s="41" t="str">
        <f>_xlfn.CONCAT(_xlfn.XLOOKUP("What's Your Name?",[1]Sheet1!$1:$1,[1]Sheet1!289:289)," | ",TEXT(_xlfn.XLOOKUP("Completion time",[1]Sheet1!$1:$1,[1]Sheet1!289:289),"dddd, mmm dd, yyyy hh:mm AM/PM"))</f>
        <v xml:space="preserve"> | Saturday, Jan 00, 1900 12:00 AM</v>
      </c>
      <c r="B289" s="76">
        <f>_xlfn.XLOOKUP("What's Your Email Address?",[1]Sheet1!$1:$1,[1]Sheet1!289:289)</f>
        <v>0</v>
      </c>
      <c r="C289" s="31">
        <f>IF(ISBLANK(_xlfn.XLOOKUP("Which Flavor? (Pint Price | Quart Price | Half Gallon Price) (NOTE: Prices may fluctuate based on market conditions)",[1]Sheet1!$1:$1,[1]Sheet1!289:289)),_xlfn.XLOOKUP("Name Your Ice Cream!",[1]Sheet1!$1:$1,[1]Sheet1!289:289),IF(ISNUMBER(FIND("(", _xlfn.XLOOKUP("Which Flavor? (Pint Price | Quart Price | Half Gallon Price) (NOTE: Prices may fluctuate based on market conditions)",[1]Sheet1!$1:$1,[1]Sheet1!289:289))), LEFT(_xlfn.XLOOKUP("Which Flavor? (Pint Price | Quart Price | Half Gallon Price) (NOTE: Prices may fluctuate based on market conditions)",[1]Sheet1!$1:$1,[1]Sheet1!289:289), FIND("(", _xlfn.XLOOKUP("Which Flavor? (Pint Price | Quart Price | Half Gallon Price) (NOTE: Prices may fluctuate based on market conditions)",[1]Sheet1!$1:$1,[1]Sheet1!289:289)) - 1), _xlfn.XLOOKUP("Which Flavor? (Pint Price | Quart Price | Half Gallon Price) (NOTE: Prices may fluctuate based on market conditions)",[1]Sheet1!$1:$1,[1]Sheet1!289:289)))</f>
        <v>0</v>
      </c>
      <c r="D289" s="31">
        <f>IF(COUNTIF('Premade Flavors'!$A:$A, $C289) &gt; 0,IF(ISBLANK(_xlfn.XLOOKUP("What Ice Cream Base Do You Want To Change It To?",[1]Sheet1!$1:$1,[1]Sheet1!289:289)),_xlfn.XLOOKUP($C289,'Premade Flavors'!$A:$A,'Premade Flavors'!B:B),_xlfn.XLOOKUP("What Ice Cream Base Do You Want To Change It To?",[1]Sheet1!$1:$1,[1]Sheet1!289:289)),_xlfn.XLOOKUP(_xlfn.XLOOKUP("What Kind Of Ice Cream Base Do You Want? ",[1]Sheet1!$1:$1,[1]Sheet1!289:289),'Milk Types Nutrition Per Cup'!O:O,'Milk Types Nutrition Per Cup'!P:P,""))</f>
        <v>0</v>
      </c>
      <c r="E289" s="31">
        <f>IF(COUNTIF('Premade Flavors'!$A:$A, $C289) &gt; 0,IF(ISBLANK(_xlfn.XLOOKUP("What Ice Cream Base Do You Want To Change It To?",[1]Sheet1!$1:$1,[1]Sheet1!289:289)),_xlfn.XLOOKUP($C289,'Premade Flavors'!$A:$A,'Premade Flavors'!C:C),_xlfn.XLOOKUP("What Ice Cream Base Do You Want To Change It To?",[1]Sheet1!$1:$1,[1]Sheet1!289:289)),_xlfn.XLOOKUP(_xlfn.XLOOKUP("What Kind Of Ice Cream Base Do You Want? ",[1]Sheet1!$1:$1,[1]Sheet1!289:289),'Milk Types Nutrition Per Cup'!$O:$O,'Milk Types Nutrition Per Cup'!$Q:$Q,""))</f>
        <v>0</v>
      </c>
      <c r="F289" s="31">
        <f>IF(COUNTIF('Premade Flavors'!$A:$A, $C289) &gt; 0,_xlfn.XLOOKUP($C289,'Premade Flavors'!$A:$A,'Premade Flavors'!E:E),_xlfn.XLOOKUP("What's The First Flavor You Want? ",[1]Sheet1!$1:$1,[1]Sheet1!289:289))</f>
        <v>0</v>
      </c>
      <c r="G289" s="31">
        <f>IF(COUNTIF('Premade Flavors'!$A:$A, $C289) &gt; 0,_xlfn.XLOOKUP($C289,'Premade Flavors'!$A:$A,'Premade Flavors'!F:F),_xlfn.XLOOKUP("What's the Second Flavor You Want?",[1]Sheet1!$1:$1,[1]Sheet1!289:289))</f>
        <v>0</v>
      </c>
      <c r="H289" s="31">
        <f>IF(COUNTIF('Premade Flavors'!$A:$A, $C289) &gt; 0,_xlfn.XLOOKUP($C289,'Premade Flavors'!$A:$A,'Premade Flavors'!G:G),_xlfn.XLOOKUP("What's The First Mix In That You Want? ",[1]Sheet1!$1:$1,[1]Sheet1!289:289))</f>
        <v>0</v>
      </c>
      <c r="I289" s="31">
        <f>IF(COUNTIF('Premade Flavors'!$A:$A, $C287) &gt; 0,_xlfn.XLOOKUP($C287,'Premade Flavors'!$A:$A,'Premade Flavors'!H:H),IF([2]Sheet1!W287= 0,,[2]Sheet1!W287))</f>
        <v>0</v>
      </c>
      <c r="J289" s="31">
        <f>IF(COUNTIF('Premade Flavors'!$A:$A,$C289)&gt;0,IF(_xlfn.XLOOKUP("Should It Use Sugar or A Non-Sugar Sweetner?",[1]Sheet1!$1:$1,[1]Sheet1!289:289)="Sugar",_xlfn.XLOOKUP($C289,'Premade Flavors'!$A:$A,'Premade Flavors'!I:I),"Stevia"),_xlfn.XLOOKUP("What Sweetner Do You Want?",[1]Sheet1!$1:$1,[1]Sheet1!289:289))</f>
        <v>0</v>
      </c>
      <c r="K289" s="31"/>
      <c r="L289" s="77">
        <f>_xlfn.XLOOKUP("How Much Ice Cream Do You Want?",[1]Sheet1!$1:$1,[1]Sheet1!289:289)</f>
        <v>0</v>
      </c>
      <c r="M289" s="45">
        <f>IF(COUNTIF('Premade Flavors'!$A:$A, $C289) &gt; 0,_xlfn.XLOOKUP($C289,'Premade Flavors'!$A:$A,'Premade Flavors'!M:M),_xlfn.XLOOKUP("How Strong Do You Want The First Flavor?",[1]Sheet1!$1:$1,[1]Sheet1!289:289))</f>
        <v>0</v>
      </c>
      <c r="N289" s="45">
        <f>IF(COUNTIF('Premade Flavors'!$A:$A, $C289) &gt; 0,_xlfn.XLOOKUP($C289,'Premade Flavors'!$A:$A,'Premade Flavors'!N:N),_xlfn.XLOOKUP("How Strong Do You Want The Second Flavor?",[1]Sheet1!$1:$1,[1]Sheet1!289:289))</f>
        <v>0</v>
      </c>
      <c r="O289" s="45">
        <f>IF(COUNTIF('Premade Flavors'!$A:$A, $C289) &gt; 0,_xlfn.XLOOKUP($C289,'Premade Flavors'!$A:$A,'Premade Flavors'!O:O),_xlfn.XLOOKUP("How Dense Should the Mix Ins Be?",[1]Sheet1!$1:$1,[1]Sheet1!289:289))</f>
        <v>0</v>
      </c>
      <c r="P289" s="45">
        <f>IF(COUNTIF('Premade Flavors'!$A:$A, $C289) &gt; 0,_xlfn.XLOOKUP($C289,'Premade Flavors'!$A:$A,'Premade Flavors'!P:P),_xlfn.XLOOKUP("How Much Of The First Sweetner? ",[1]Sheet1!$1:$1,[1]Sheet1!289:289))</f>
        <v>0</v>
      </c>
      <c r="Q289" s="45">
        <f>IF(COUNTIF('Premade Flavors'!$A:$A, $C289) &gt; 0,_xlfn.XLOOKUP($C289,'Premade Flavors'!$A:$A,'Premade Flavors'!Q:Q),[2]Sheet1!S289)</f>
        <v>0</v>
      </c>
      <c r="R289" s="30">
        <f>(_xlfn.XLOOKUP($L289,Specs!A:A,Specs!B:B,0)-(IF(_xlfn.XLOOKUP($F289,'Liquid Mix In Nutrition'!A:A,'Liquid Mix In Nutrition'!J:J,0)="Yes",0,$T289))-(IF(_xlfn.XLOOKUP($G289,'Liquid Mix In Nutrition'!A:A,'Liquid Mix In Nutrition'!J:J,0)="Yes",0,$U289))-(($V289/MAX(1,_xlfn.XLOOKUP($H289,'Solid Mix In Nutrition'!A:A,'Solid Mix In Nutrition'!I:I,1)))*240)-(($W289/MAX(1,_xlfn.XLOOKUP($I289,'Solid Mix In Nutrition'!A:A,'Solid Mix In Nutrition'!I:I,1)))*240))*0.66</f>
        <v>0</v>
      </c>
      <c r="S289" s="30">
        <f>(_xlfn.XLOOKUP($L289,Specs!A:A,Specs!B:B,0)-(IF(_xlfn.XLOOKUP($F289,'Liquid Mix In Nutrition'!A:A,'Liquid Mix In Nutrition'!J:J,0)="Yes",0,$T289))-(IF(_xlfn.XLOOKUP($G289,'Liquid Mix In Nutrition'!A:A,'Liquid Mix In Nutrition'!J:J,0)="Yes",0,$U289))-(($V289/MAX(1,_xlfn.XLOOKUP($H289,'Solid Mix In Nutrition'!A:A,'Solid Mix In Nutrition'!I:I,1)))*240)-(($W289/MAX(1,_xlfn.XLOOKUP($I289,'Solid Mix In Nutrition'!A:A,'Solid Mix In Nutrition'!I:I,1)))*240))*0.33</f>
        <v>0</v>
      </c>
      <c r="T289" s="30">
        <f>_xlfn.XLOOKUP($M289,Specs!$D:$D,Specs!$E:$E,0)*15*_xlfn.XLOOKUP($L289,Specs!$A:$A,Specs!$C:$C,0)</f>
        <v>0</v>
      </c>
      <c r="U289" s="30">
        <f>_xlfn.XLOOKUP($N289,Specs!$D:$D,Specs!$E:$E,0)*15*_xlfn.XLOOKUP($L289,Specs!$A:$A,Specs!$C:$C,0)</f>
        <v>0</v>
      </c>
      <c r="V289" s="30">
        <f>( ((_xlfn.XLOOKUP($O289,Specs!$H:$H,Specs!$I:$I,0)*_xlfn.XLOOKUP($L289,Specs!$A:$A,Specs!$B:$B,0))/240) *_xlfn.XLOOKUP($H289,'Solid Mix In Nutrition'!A:A,'Solid Mix In Nutrition'!I:I,0)) *IF(AND(NOT($I289=0), COUNTA($I289)),0.5,1)</f>
        <v>0</v>
      </c>
      <c r="W289" s="30">
        <f>( ((_xlfn.XLOOKUP($O289,Specs!$H:$H,Specs!$I:$I,0)*_xlfn.XLOOKUP($L289,Specs!$A:$A,Specs!$B:$B,0))/240) *_xlfn.XLOOKUP($I289,'Solid Mix In Nutrition'!A:A,'Solid Mix In Nutrition'!I:I,0)) *IF(AND(NOT($I289=0), COUNTA($I289)),0.5,0)</f>
        <v>0</v>
      </c>
      <c r="X289" s="30">
        <f>_xlfn.XLOOKUP($P289,Specs!F:F,Specs!G:G,0)*_xlfn.XLOOKUP($J289,'Sweetener Mix In Nutrition'!A:A,'Sweetener Mix In Nutrition'!I:I,0)*_xlfn.XLOOKUP($L289,Specs!A:A,Specs!C:C,0)</f>
        <v>0</v>
      </c>
      <c r="Y289" s="30">
        <f>_xlfn.XLOOKUP($Q289,Specs!F:F,Specs!G:G,0)*_xlfn.XLOOKUP($K289,'Sweetener Mix In Nutrition'!A:A,'Sweetener Mix In Nutrition'!I:I,0)*_xlfn.XLOOKUP($L289,Specs!A:A,Specs!C:C,0)</f>
        <v>0</v>
      </c>
      <c r="Z289" s="34">
        <f t="shared" si="8"/>
        <v>0</v>
      </c>
      <c r="AA289" s="35">
        <f t="shared" si="9"/>
        <v>0</v>
      </c>
      <c r="AB289" s="36">
        <f>(($R289 / 240) * _xlfn.XLOOKUP($D289,'Milk Types Nutrition Per Cup'!A:A,'Milk Types Nutrition Per Cup'!B:B,0)) +(($S289 / 240)  * _xlfn.XLOOKUP($E289,'Milk Types Nutrition Per Cup'!A:A,'Milk Types Nutrition Per Cup'!B:B,0)) +(($T289 / 15)  * _xlfn.XLOOKUP($F289,'Liquid Mix In Nutrition'!A:A,'Liquid Mix In Nutrition'!B:B,0))+(($U289 / 15)  * _xlfn.XLOOKUP($G289,'Liquid Mix In Nutrition'!A:A,'Liquid Mix In Nutrition'!B:B,0))+(($V289 /MAX(1, _xlfn.XLOOKUP($H289,'Solid Mix In Nutrition'!A:A,'Solid Mix In Nutrition'!I:I,1)))  * _xlfn.XLOOKUP($H289,'Solid Mix In Nutrition'!A:A,'Solid Mix In Nutrition'!B:B,0))+(($W289 / MAX(1, _xlfn.XLOOKUP($I289,'Solid Mix In Nutrition'!A:A,'Solid Mix In Nutrition'!I:I,1))))+(($X289 / 100)  * _xlfn.XLOOKUP($J289,'Sweetener Mix In Nutrition'!A:A,'Sweetener Mix In Nutrition'!B:B,0))+(($Y289 / 100)  * _xlfn.XLOOKUP($K289,'Sweetener Mix In Nutrition'!A:A,'Sweetener Mix In Nutrition'!B:B,0))</f>
        <v>0</v>
      </c>
      <c r="AC289" s="36">
        <f>(($R289 / 240) * _xlfn.XLOOKUP($D289,'Milk Types Nutrition Per Cup'!A:A,'Milk Types Nutrition Per Cup'!E:E,0)) +(($S289 / 240)  * _xlfn.XLOOKUP($E289,'Milk Types Nutrition Per Cup'!A:A,'Milk Types Nutrition Per Cup'!E:E,0)) +(($T289 / 15)  * _xlfn.XLOOKUP($F289,'Liquid Mix In Nutrition'!A:A,'Liquid Mix In Nutrition'!E:E,0)) +(($U289 / 15)  * _xlfn.XLOOKUP($G289,'Liquid Mix In Nutrition'!A:A,'Liquid Mix In Nutrition'!E:E,0))+(($V289 / MAX(1, _xlfn.XLOOKUP($H289,'Solid Mix In Nutrition'!A:A,'Solid Mix In Nutrition'!I:I,1)))  * _xlfn.XLOOKUP($H289,'Solid Mix In Nutrition'!A:A,'Solid Mix In Nutrition'!E:E,0))+(($W289 / MAX(1, _xlfn.XLOOKUP($I289,'Solid Mix In Nutrition'!A:A,'Solid Mix In Nutrition'!I:I,1)))  * _xlfn.XLOOKUP($I289,'Solid Mix In Nutrition'!A:A,'Solid Mix In Nutrition'!G:G,0))+(($X289 / 100)  * _xlfn.XLOOKUP($J289,'Sweetener Mix In Nutrition'!A:A,'Sweetener Mix In Nutrition'!E:E,0))+(($Y289 / 100)  * _xlfn.XLOOKUP($K289,'Sweetener Mix In Nutrition'!A:A,'Sweetener Mix In Nutrition'!E:E,0))</f>
        <v>0</v>
      </c>
      <c r="AD289" s="36">
        <f>(($R289 / 240) * _xlfn.XLOOKUP($D289,'Milk Types Nutrition Per Cup'!A:A,'Milk Types Nutrition Per Cup'!E:E,0)) +(($S289 / 240)  * _xlfn.XLOOKUP($E289,'Milk Types Nutrition Per Cup'!A:A,'Milk Types Nutrition Per Cup'!E:E,0)) +(($T289 / 15)  * _xlfn.XLOOKUP($F289,'Liquid Mix In Nutrition'!A:A,'Liquid Mix In Nutrition'!E:E,0)) +(($U289 / 15)  * _xlfn.XLOOKUP($G289,'Liquid Mix In Nutrition'!A:A,'Liquid Mix In Nutrition'!E:E,0))+(($X289 / 100)  * _xlfn.XLOOKUP($J289,'Sweetener Mix In Nutrition'!A:A,'Sweetener Mix In Nutrition'!E:E,0))+(($Y289 / 100)  * _xlfn.XLOOKUP($K289,'Sweetener Mix In Nutrition'!A:A,'Sweetener Mix In Nutrition'!E:E,0))</f>
        <v>0</v>
      </c>
      <c r="AE289" s="37">
        <f>(($R289 / 240) * _xlfn.XLOOKUP($D289,'Milk Types Nutrition Per Cup'!A:A,'Milk Types Nutrition Per Cup'!C:C,0)) +(($S289 / 240)  * _xlfn.XLOOKUP($E289,'Milk Types Nutrition Per Cup'!A:A,'Milk Types Nutrition Per Cup'!C:C,0)) +(($T289 / 15)  * _xlfn.XLOOKUP($F289,'Liquid Mix In Nutrition'!A:A,'Liquid Mix In Nutrition'!C:C,0))+(($U289 / 15)  * _xlfn.XLOOKUP($G289,'Liquid Mix In Nutrition'!A:A,'Liquid Mix In Nutrition'!C:C,0))+(($V289 / MAX(1, _xlfn.XLOOKUP($H289,'Solid Mix In Nutrition'!A:A,'Solid Mix In Nutrition'!I:I,1)))  * _xlfn.XLOOKUP($H289,'Solid Mix In Nutrition'!A:A,'Solid Mix In Nutrition'!C:C,0))+(($W289 / MAX(1, _xlfn.XLOOKUP($I289,'Solid Mix In Nutrition'!A:A,'Solid Mix In Nutrition'!I:I,1)))  * _xlfn.XLOOKUP($I289,'Solid Mix In Nutrition'!A:A,'Solid Mix In Nutrition'!C:C,0))+(($X289 / 100)  * _xlfn.XLOOKUP($J289,'Sweetener Mix In Nutrition'!A:A,'Sweetener Mix In Nutrition'!C:C,0))+(($Y289 / 100)  * _xlfn.XLOOKUP($K289,'Sweetener Mix In Nutrition'!A:A,'Sweetener Mix In Nutrition'!C:C,0))</f>
        <v>0</v>
      </c>
      <c r="AF289" s="38" t="e">
        <f>$AE289 / (_xlfn.XLOOKUP($L289,Specs!A:A,Specs!B:B,0))</f>
        <v>#DIV/0!</v>
      </c>
      <c r="AG289" s="37" t="e">
        <f>60* ($AB289 / _xlfn.XLOOKUP($L289,Specs!A:A,Specs!B:B,0))</f>
        <v>#DIV/0!</v>
      </c>
      <c r="AH289" s="37" t="e">
        <f>60* (AC289 / _xlfn.XLOOKUP($L289,Specs!$A:$A,Specs!$B:$B,0))</f>
        <v>#DIV/0!</v>
      </c>
      <c r="AI289" s="37" t="e">
        <f>60* (AE289 / _xlfn.XLOOKUP($L289,Specs!$A:$A,Specs!$B:$B,0))</f>
        <v>#DIV/0!</v>
      </c>
      <c r="AJ289" s="39">
        <f>(($R289 / 240) * _xlfn.XLOOKUP($D289,'Milk Types Nutrition Per Cup'!A:A,'Milk Types Nutrition Per Cup'!F:F,0)) +(($S289 / 240)  * _xlfn.XLOOKUP($E289,'Milk Types Nutrition Per Cup'!A:A,'Milk Types Nutrition Per Cup'!F:F,0)) +(($T289 / 15)  * _xlfn.XLOOKUP($F289,'Liquid Mix In Nutrition'!A:A,'Liquid Mix In Nutrition'!F:F,0))+(($U289 / 15)  * _xlfn.XLOOKUP($G289,'Liquid Mix In Nutrition'!A:A,'Liquid Mix In Nutrition'!F:F,0))+(($V289 / MAX(1, _xlfn.XLOOKUP($H289,'Solid Mix In Nutrition'!A:A,'Solid Mix In Nutrition'!I:I,1)))  * _xlfn.XLOOKUP($H289,'Solid Mix In Nutrition'!A:A,'Solid Mix In Nutrition'!F:F,0))+(($W289 / MAX(1, _xlfn.XLOOKUP($I289,'Solid Mix In Nutrition'!A:A,'Solid Mix In Nutrition'!I:I,1)))  * _xlfn.XLOOKUP($I289,'Solid Mix In Nutrition'!A:A,'Solid Mix In Nutrition'!F:F,0))+(($X289 / 100)  * _xlfn.XLOOKUP($J289,'Sweetener Mix In Nutrition'!A:A,'Sweetener Mix In Nutrition'!F:F,0))+(($Y289 / 100)  * _xlfn.XLOOKUP($K289,'Sweetener Mix In Nutrition'!A:A,'Sweetener Mix In Nutrition'!F:F,0))</f>
        <v>0</v>
      </c>
      <c r="AK289" s="46">
        <f>[2]Sheet1!AG289</f>
        <v>0</v>
      </c>
      <c r="AL289" s="47"/>
      <c r="AM289" s="40">
        <f>IF(ISERROR(((AL289/Specs!$L$3)*Specs!$L$2)*2),0,ROUNDUP((((AL289/Specs!$L$3)*Specs!$L$2)*2),0))</f>
        <v>0</v>
      </c>
      <c r="AN289" s="48">
        <f>ROUNDUP(((AJ289+Specs!$R$2+Specs!$S$2+_xlfn.XLOOKUP($L289,Specs!A:A,Specs!V:V,0))*Specs!$N$2)+AM289,0)</f>
        <v>1</v>
      </c>
      <c r="AO289" s="40">
        <f>ROUNDUP(((AJ289+Specs!$R$2+Specs!$S$2+_xlfn.XLOOKUP($L289,Specs!A:A,Specs!V:V,0))*Specs!$N$2),0)</f>
        <v>1</v>
      </c>
      <c r="AP289" s="30"/>
    </row>
    <row r="290" spans="1:42" x14ac:dyDescent="0.25">
      <c r="A290" s="41" t="str">
        <f>_xlfn.CONCAT(_xlfn.XLOOKUP("What's Your Name?",[1]Sheet1!$1:$1,[1]Sheet1!290:290)," | ",TEXT(_xlfn.XLOOKUP("Completion time",[1]Sheet1!$1:$1,[1]Sheet1!290:290),"dddd, mmm dd, yyyy hh:mm AM/PM"))</f>
        <v xml:space="preserve"> | Saturday, Jan 00, 1900 12:00 AM</v>
      </c>
      <c r="B290" s="76">
        <f>_xlfn.XLOOKUP("What's Your Email Address?",[1]Sheet1!$1:$1,[1]Sheet1!290:290)</f>
        <v>0</v>
      </c>
      <c r="C290" s="31">
        <f>IF(ISBLANK(_xlfn.XLOOKUP("Which Flavor? (Pint Price | Quart Price | Half Gallon Price) (NOTE: Prices may fluctuate based on market conditions)",[1]Sheet1!$1:$1,[1]Sheet1!290:290)),_xlfn.XLOOKUP("Name Your Ice Cream!",[1]Sheet1!$1:$1,[1]Sheet1!290:290),IF(ISNUMBER(FIND("(", _xlfn.XLOOKUP("Which Flavor? (Pint Price | Quart Price | Half Gallon Price) (NOTE: Prices may fluctuate based on market conditions)",[1]Sheet1!$1:$1,[1]Sheet1!290:290))), LEFT(_xlfn.XLOOKUP("Which Flavor? (Pint Price | Quart Price | Half Gallon Price) (NOTE: Prices may fluctuate based on market conditions)",[1]Sheet1!$1:$1,[1]Sheet1!290:290), FIND("(", _xlfn.XLOOKUP("Which Flavor? (Pint Price | Quart Price | Half Gallon Price) (NOTE: Prices may fluctuate based on market conditions)",[1]Sheet1!$1:$1,[1]Sheet1!290:290)) - 1), _xlfn.XLOOKUP("Which Flavor? (Pint Price | Quart Price | Half Gallon Price) (NOTE: Prices may fluctuate based on market conditions)",[1]Sheet1!$1:$1,[1]Sheet1!290:290)))</f>
        <v>0</v>
      </c>
      <c r="D290" s="31">
        <f>IF(COUNTIF('Premade Flavors'!$A:$A, $C290) &gt; 0,IF(ISBLANK(_xlfn.XLOOKUP("What Ice Cream Base Do You Want To Change It To?",[1]Sheet1!$1:$1,[1]Sheet1!290:290)),_xlfn.XLOOKUP($C290,'Premade Flavors'!$A:$A,'Premade Flavors'!B:B),_xlfn.XLOOKUP("What Ice Cream Base Do You Want To Change It To?",[1]Sheet1!$1:$1,[1]Sheet1!290:290)),_xlfn.XLOOKUP(_xlfn.XLOOKUP("What Kind Of Ice Cream Base Do You Want? ",[1]Sheet1!$1:$1,[1]Sheet1!290:290),'Milk Types Nutrition Per Cup'!O:O,'Milk Types Nutrition Per Cup'!P:P,""))</f>
        <v>0</v>
      </c>
      <c r="E290" s="31">
        <f>IF(COUNTIF('Premade Flavors'!$A:$A, $C290) &gt; 0,IF(ISBLANK(_xlfn.XLOOKUP("What Ice Cream Base Do You Want To Change It To?",[1]Sheet1!$1:$1,[1]Sheet1!290:290)),_xlfn.XLOOKUP($C290,'Premade Flavors'!$A:$A,'Premade Flavors'!C:C),_xlfn.XLOOKUP("What Ice Cream Base Do You Want To Change It To?",[1]Sheet1!$1:$1,[1]Sheet1!290:290)),_xlfn.XLOOKUP(_xlfn.XLOOKUP("What Kind Of Ice Cream Base Do You Want? ",[1]Sheet1!$1:$1,[1]Sheet1!290:290),'Milk Types Nutrition Per Cup'!$O:$O,'Milk Types Nutrition Per Cup'!$Q:$Q,""))</f>
        <v>0</v>
      </c>
      <c r="F290" s="31">
        <f>IF(COUNTIF('Premade Flavors'!$A:$A, $C290) &gt; 0,_xlfn.XLOOKUP($C290,'Premade Flavors'!$A:$A,'Premade Flavors'!E:E),_xlfn.XLOOKUP("What's The First Flavor You Want? ",[1]Sheet1!$1:$1,[1]Sheet1!290:290))</f>
        <v>0</v>
      </c>
      <c r="G290" s="31">
        <f>IF(COUNTIF('Premade Flavors'!$A:$A, $C290) &gt; 0,_xlfn.XLOOKUP($C290,'Premade Flavors'!$A:$A,'Premade Flavors'!F:F),_xlfn.XLOOKUP("What's the Second Flavor You Want?",[1]Sheet1!$1:$1,[1]Sheet1!290:290))</f>
        <v>0</v>
      </c>
      <c r="H290" s="31">
        <f>IF(COUNTIF('Premade Flavors'!$A:$A, $C290) &gt; 0,_xlfn.XLOOKUP($C290,'Premade Flavors'!$A:$A,'Premade Flavors'!G:G),_xlfn.XLOOKUP("What's The First Mix In That You Want? ",[1]Sheet1!$1:$1,[1]Sheet1!290:290))</f>
        <v>0</v>
      </c>
      <c r="I290" s="31">
        <f>IF(COUNTIF('Premade Flavors'!$A:$A, $C288) &gt; 0,_xlfn.XLOOKUP($C288,'Premade Flavors'!$A:$A,'Premade Flavors'!H:H),IF([2]Sheet1!W288= 0,,[2]Sheet1!W288))</f>
        <v>0</v>
      </c>
      <c r="J290" s="31">
        <f>IF(COUNTIF('Premade Flavors'!$A:$A,$C290)&gt;0,IF(_xlfn.XLOOKUP("Should It Use Sugar or A Non-Sugar Sweetner?",[1]Sheet1!$1:$1,[1]Sheet1!290:290)="Sugar",_xlfn.XLOOKUP($C290,'Premade Flavors'!$A:$A,'Premade Flavors'!I:I),"Stevia"),_xlfn.XLOOKUP("What Sweetner Do You Want?",[1]Sheet1!$1:$1,[1]Sheet1!290:290))</f>
        <v>0</v>
      </c>
      <c r="K290" s="31"/>
      <c r="L290" s="77">
        <f>_xlfn.XLOOKUP("How Much Ice Cream Do You Want?",[1]Sheet1!$1:$1,[1]Sheet1!290:290)</f>
        <v>0</v>
      </c>
      <c r="M290" s="45">
        <f>IF(COUNTIF('Premade Flavors'!$A:$A, $C290) &gt; 0,_xlfn.XLOOKUP($C290,'Premade Flavors'!$A:$A,'Premade Flavors'!M:M),_xlfn.XLOOKUP("How Strong Do You Want The First Flavor?",[1]Sheet1!$1:$1,[1]Sheet1!290:290))</f>
        <v>0</v>
      </c>
      <c r="N290" s="45">
        <f>IF(COUNTIF('Premade Flavors'!$A:$A, $C290) &gt; 0,_xlfn.XLOOKUP($C290,'Premade Flavors'!$A:$A,'Premade Flavors'!N:N),_xlfn.XLOOKUP("How Strong Do You Want The Second Flavor?",[1]Sheet1!$1:$1,[1]Sheet1!290:290))</f>
        <v>0</v>
      </c>
      <c r="O290" s="45">
        <f>IF(COUNTIF('Premade Flavors'!$A:$A, $C290) &gt; 0,_xlfn.XLOOKUP($C290,'Premade Flavors'!$A:$A,'Premade Flavors'!O:O),_xlfn.XLOOKUP("How Dense Should the Mix Ins Be?",[1]Sheet1!$1:$1,[1]Sheet1!290:290))</f>
        <v>0</v>
      </c>
      <c r="P290" s="45">
        <f>IF(COUNTIF('Premade Flavors'!$A:$A, $C290) &gt; 0,_xlfn.XLOOKUP($C290,'Premade Flavors'!$A:$A,'Premade Flavors'!P:P),_xlfn.XLOOKUP("How Much Of The First Sweetner? ",[1]Sheet1!$1:$1,[1]Sheet1!290:290))</f>
        <v>0</v>
      </c>
      <c r="Q290" s="45">
        <f>IF(COUNTIF('Premade Flavors'!$A:$A, $C290) &gt; 0,_xlfn.XLOOKUP($C290,'Premade Flavors'!$A:$A,'Premade Flavors'!Q:Q),[2]Sheet1!S290)</f>
        <v>0</v>
      </c>
      <c r="R290" s="30">
        <f>(_xlfn.XLOOKUP($L290,Specs!A:A,Specs!B:B,0)-(IF(_xlfn.XLOOKUP($F290,'Liquid Mix In Nutrition'!A:A,'Liquid Mix In Nutrition'!J:J,0)="Yes",0,$T290))-(IF(_xlfn.XLOOKUP($G290,'Liquid Mix In Nutrition'!A:A,'Liquid Mix In Nutrition'!J:J,0)="Yes",0,$U290))-(($V290/MAX(1,_xlfn.XLOOKUP($H290,'Solid Mix In Nutrition'!A:A,'Solid Mix In Nutrition'!I:I,1)))*240)-(($W290/MAX(1,_xlfn.XLOOKUP($I290,'Solid Mix In Nutrition'!A:A,'Solid Mix In Nutrition'!I:I,1)))*240))*0.66</f>
        <v>0</v>
      </c>
      <c r="S290" s="30">
        <f>(_xlfn.XLOOKUP($L290,Specs!A:A,Specs!B:B,0)-(IF(_xlfn.XLOOKUP($F290,'Liquid Mix In Nutrition'!A:A,'Liquid Mix In Nutrition'!J:J,0)="Yes",0,$T290))-(IF(_xlfn.XLOOKUP($G290,'Liquid Mix In Nutrition'!A:A,'Liquid Mix In Nutrition'!J:J,0)="Yes",0,$U290))-(($V290/MAX(1,_xlfn.XLOOKUP($H290,'Solid Mix In Nutrition'!A:A,'Solid Mix In Nutrition'!I:I,1)))*240)-(($W290/MAX(1,_xlfn.XLOOKUP($I290,'Solid Mix In Nutrition'!A:A,'Solid Mix In Nutrition'!I:I,1)))*240))*0.33</f>
        <v>0</v>
      </c>
      <c r="T290" s="30">
        <f>_xlfn.XLOOKUP($M290,Specs!$D:$D,Specs!$E:$E,0)*15*_xlfn.XLOOKUP($L290,Specs!$A:$A,Specs!$C:$C,0)</f>
        <v>0</v>
      </c>
      <c r="U290" s="30">
        <f>_xlfn.XLOOKUP($N290,Specs!$D:$D,Specs!$E:$E,0)*15*_xlfn.XLOOKUP($L290,Specs!$A:$A,Specs!$C:$C,0)</f>
        <v>0</v>
      </c>
      <c r="V290" s="30">
        <f>( ((_xlfn.XLOOKUP($O290,Specs!$H:$H,Specs!$I:$I,0)*_xlfn.XLOOKUP($L290,Specs!$A:$A,Specs!$B:$B,0))/240) *_xlfn.XLOOKUP($H290,'Solid Mix In Nutrition'!A:A,'Solid Mix In Nutrition'!I:I,0)) *IF(AND(NOT($I290=0), COUNTA($I290)),0.5,1)</f>
        <v>0</v>
      </c>
      <c r="W290" s="30">
        <f>( ((_xlfn.XLOOKUP($O290,Specs!$H:$H,Specs!$I:$I,0)*_xlfn.XLOOKUP($L290,Specs!$A:$A,Specs!$B:$B,0))/240) *_xlfn.XLOOKUP($I290,'Solid Mix In Nutrition'!A:A,'Solid Mix In Nutrition'!I:I,0)) *IF(AND(NOT($I290=0), COUNTA($I290)),0.5,0)</f>
        <v>0</v>
      </c>
      <c r="X290" s="30">
        <f>_xlfn.XLOOKUP($P290,Specs!F:F,Specs!G:G,0)*_xlfn.XLOOKUP($J290,'Sweetener Mix In Nutrition'!A:A,'Sweetener Mix In Nutrition'!I:I,0)*_xlfn.XLOOKUP($L290,Specs!A:A,Specs!C:C,0)</f>
        <v>0</v>
      </c>
      <c r="Y290" s="30">
        <f>_xlfn.XLOOKUP($Q290,Specs!F:F,Specs!G:G,0)*_xlfn.XLOOKUP($K290,'Sweetener Mix In Nutrition'!A:A,'Sweetener Mix In Nutrition'!I:I,0)*_xlfn.XLOOKUP($L290,Specs!A:A,Specs!C:C,0)</f>
        <v>0</v>
      </c>
      <c r="Z290" s="34">
        <f t="shared" si="8"/>
        <v>0</v>
      </c>
      <c r="AA290" s="35">
        <f t="shared" si="9"/>
        <v>0</v>
      </c>
      <c r="AB290" s="36">
        <f>(($R290 / 240) * _xlfn.XLOOKUP($D290,'Milk Types Nutrition Per Cup'!A:A,'Milk Types Nutrition Per Cup'!B:B,0)) +(($S290 / 240)  * _xlfn.XLOOKUP($E290,'Milk Types Nutrition Per Cup'!A:A,'Milk Types Nutrition Per Cup'!B:B,0)) +(($T290 / 15)  * _xlfn.XLOOKUP($F290,'Liquid Mix In Nutrition'!A:A,'Liquid Mix In Nutrition'!B:B,0))+(($U290 / 15)  * _xlfn.XLOOKUP($G290,'Liquid Mix In Nutrition'!A:A,'Liquid Mix In Nutrition'!B:B,0))+(($V290 /MAX(1, _xlfn.XLOOKUP($H290,'Solid Mix In Nutrition'!A:A,'Solid Mix In Nutrition'!I:I,1)))  * _xlfn.XLOOKUP($H290,'Solid Mix In Nutrition'!A:A,'Solid Mix In Nutrition'!B:B,0))+(($W290 / MAX(1, _xlfn.XLOOKUP($I290,'Solid Mix In Nutrition'!A:A,'Solid Mix In Nutrition'!I:I,1))))+(($X290 / 100)  * _xlfn.XLOOKUP($J290,'Sweetener Mix In Nutrition'!A:A,'Sweetener Mix In Nutrition'!B:B,0))+(($Y290 / 100)  * _xlfn.XLOOKUP($K290,'Sweetener Mix In Nutrition'!A:A,'Sweetener Mix In Nutrition'!B:B,0))</f>
        <v>0</v>
      </c>
      <c r="AC290" s="36">
        <f>(($R290 / 240) * _xlfn.XLOOKUP($D290,'Milk Types Nutrition Per Cup'!A:A,'Milk Types Nutrition Per Cup'!E:E,0)) +(($S290 / 240)  * _xlfn.XLOOKUP($E290,'Milk Types Nutrition Per Cup'!A:A,'Milk Types Nutrition Per Cup'!E:E,0)) +(($T290 / 15)  * _xlfn.XLOOKUP($F290,'Liquid Mix In Nutrition'!A:A,'Liquid Mix In Nutrition'!E:E,0)) +(($U290 / 15)  * _xlfn.XLOOKUP($G290,'Liquid Mix In Nutrition'!A:A,'Liquid Mix In Nutrition'!E:E,0))+(($V290 / MAX(1, _xlfn.XLOOKUP($H290,'Solid Mix In Nutrition'!A:A,'Solid Mix In Nutrition'!I:I,1)))  * _xlfn.XLOOKUP($H290,'Solid Mix In Nutrition'!A:A,'Solid Mix In Nutrition'!E:E,0))+(($W290 / MAX(1, _xlfn.XLOOKUP($I290,'Solid Mix In Nutrition'!A:A,'Solid Mix In Nutrition'!I:I,1)))  * _xlfn.XLOOKUP($I290,'Solid Mix In Nutrition'!A:A,'Solid Mix In Nutrition'!G:G,0))+(($X290 / 100)  * _xlfn.XLOOKUP($J290,'Sweetener Mix In Nutrition'!A:A,'Sweetener Mix In Nutrition'!E:E,0))+(($Y290 / 100)  * _xlfn.XLOOKUP($K290,'Sweetener Mix In Nutrition'!A:A,'Sweetener Mix In Nutrition'!E:E,0))</f>
        <v>0</v>
      </c>
      <c r="AD290" s="36">
        <f>(($R290 / 240) * _xlfn.XLOOKUP($D290,'Milk Types Nutrition Per Cup'!A:A,'Milk Types Nutrition Per Cup'!E:E,0)) +(($S290 / 240)  * _xlfn.XLOOKUP($E290,'Milk Types Nutrition Per Cup'!A:A,'Milk Types Nutrition Per Cup'!E:E,0)) +(($T290 / 15)  * _xlfn.XLOOKUP($F290,'Liquid Mix In Nutrition'!A:A,'Liquid Mix In Nutrition'!E:E,0)) +(($U290 / 15)  * _xlfn.XLOOKUP($G290,'Liquid Mix In Nutrition'!A:A,'Liquid Mix In Nutrition'!E:E,0))+(($X290 / 100)  * _xlfn.XLOOKUP($J290,'Sweetener Mix In Nutrition'!A:A,'Sweetener Mix In Nutrition'!E:E,0))+(($Y290 / 100)  * _xlfn.XLOOKUP($K290,'Sweetener Mix In Nutrition'!A:A,'Sweetener Mix In Nutrition'!E:E,0))</f>
        <v>0</v>
      </c>
      <c r="AE290" s="37">
        <f>(($R290 / 240) * _xlfn.XLOOKUP($D290,'Milk Types Nutrition Per Cup'!A:A,'Milk Types Nutrition Per Cup'!C:C,0)) +(($S290 / 240)  * _xlfn.XLOOKUP($E290,'Milk Types Nutrition Per Cup'!A:A,'Milk Types Nutrition Per Cup'!C:C,0)) +(($T290 / 15)  * _xlfn.XLOOKUP($F290,'Liquid Mix In Nutrition'!A:A,'Liquid Mix In Nutrition'!C:C,0))+(($U290 / 15)  * _xlfn.XLOOKUP($G290,'Liquid Mix In Nutrition'!A:A,'Liquid Mix In Nutrition'!C:C,0))+(($V290 / MAX(1, _xlfn.XLOOKUP($H290,'Solid Mix In Nutrition'!A:A,'Solid Mix In Nutrition'!I:I,1)))  * _xlfn.XLOOKUP($H290,'Solid Mix In Nutrition'!A:A,'Solid Mix In Nutrition'!C:C,0))+(($W290 / MAX(1, _xlfn.XLOOKUP($I290,'Solid Mix In Nutrition'!A:A,'Solid Mix In Nutrition'!I:I,1)))  * _xlfn.XLOOKUP($I290,'Solid Mix In Nutrition'!A:A,'Solid Mix In Nutrition'!C:C,0))+(($X290 / 100)  * _xlfn.XLOOKUP($J290,'Sweetener Mix In Nutrition'!A:A,'Sweetener Mix In Nutrition'!C:C,0))+(($Y290 / 100)  * _xlfn.XLOOKUP($K290,'Sweetener Mix In Nutrition'!A:A,'Sweetener Mix In Nutrition'!C:C,0))</f>
        <v>0</v>
      </c>
      <c r="AF290" s="38" t="e">
        <f>$AE290 / (_xlfn.XLOOKUP($L290,Specs!A:A,Specs!B:B,0))</f>
        <v>#DIV/0!</v>
      </c>
      <c r="AG290" s="37" t="e">
        <f>60* ($AB290 / _xlfn.XLOOKUP($L290,Specs!A:A,Specs!B:B,0))</f>
        <v>#DIV/0!</v>
      </c>
      <c r="AH290" s="37" t="e">
        <f>60* (AC290 / _xlfn.XLOOKUP($L290,Specs!$A:$A,Specs!$B:$B,0))</f>
        <v>#DIV/0!</v>
      </c>
      <c r="AI290" s="37" t="e">
        <f>60* (AE290 / _xlfn.XLOOKUP($L290,Specs!$A:$A,Specs!$B:$B,0))</f>
        <v>#DIV/0!</v>
      </c>
      <c r="AJ290" s="39">
        <f>(($R290 / 240) * _xlfn.XLOOKUP($D290,'Milk Types Nutrition Per Cup'!A:A,'Milk Types Nutrition Per Cup'!F:F,0)) +(($S290 / 240)  * _xlfn.XLOOKUP($E290,'Milk Types Nutrition Per Cup'!A:A,'Milk Types Nutrition Per Cup'!F:F,0)) +(($T290 / 15)  * _xlfn.XLOOKUP($F290,'Liquid Mix In Nutrition'!A:A,'Liquid Mix In Nutrition'!F:F,0))+(($U290 / 15)  * _xlfn.XLOOKUP($G290,'Liquid Mix In Nutrition'!A:A,'Liquid Mix In Nutrition'!F:F,0))+(($V290 / MAX(1, _xlfn.XLOOKUP($H290,'Solid Mix In Nutrition'!A:A,'Solid Mix In Nutrition'!I:I,1)))  * _xlfn.XLOOKUP($H290,'Solid Mix In Nutrition'!A:A,'Solid Mix In Nutrition'!F:F,0))+(($W290 / MAX(1, _xlfn.XLOOKUP($I290,'Solid Mix In Nutrition'!A:A,'Solid Mix In Nutrition'!I:I,1)))  * _xlfn.XLOOKUP($I290,'Solid Mix In Nutrition'!A:A,'Solid Mix In Nutrition'!F:F,0))+(($X290 / 100)  * _xlfn.XLOOKUP($J290,'Sweetener Mix In Nutrition'!A:A,'Sweetener Mix In Nutrition'!F:F,0))+(($Y290 / 100)  * _xlfn.XLOOKUP($K290,'Sweetener Mix In Nutrition'!A:A,'Sweetener Mix In Nutrition'!F:F,0))</f>
        <v>0</v>
      </c>
      <c r="AK290" s="46">
        <f>[2]Sheet1!AG290</f>
        <v>0</v>
      </c>
      <c r="AL290" s="47"/>
      <c r="AM290" s="40">
        <f>IF(ISERROR(((AL290/Specs!$L$3)*Specs!$L$2)*2),0,ROUNDUP((((AL290/Specs!$L$3)*Specs!$L$2)*2),0))</f>
        <v>0</v>
      </c>
      <c r="AN290" s="48">
        <f>ROUNDUP(((AJ290+Specs!$R$2+Specs!$S$2+_xlfn.XLOOKUP($L290,Specs!A:A,Specs!V:V,0))*Specs!$N$2)+AM290,0)</f>
        <v>1</v>
      </c>
      <c r="AO290" s="40">
        <f>ROUNDUP(((AJ290+Specs!$R$2+Specs!$S$2+_xlfn.XLOOKUP($L290,Specs!A:A,Specs!V:V,0))*Specs!$N$2),0)</f>
        <v>1</v>
      </c>
      <c r="AP290" s="30"/>
    </row>
    <row r="291" spans="1:42" x14ac:dyDescent="0.25">
      <c r="A291" s="41" t="str">
        <f>_xlfn.CONCAT(_xlfn.XLOOKUP("What's Your Name?",[1]Sheet1!$1:$1,[1]Sheet1!291:291)," | ",TEXT(_xlfn.XLOOKUP("Completion time",[1]Sheet1!$1:$1,[1]Sheet1!291:291),"dddd, mmm dd, yyyy hh:mm AM/PM"))</f>
        <v xml:space="preserve"> | Saturday, Jan 00, 1900 12:00 AM</v>
      </c>
      <c r="B291" s="76">
        <f>_xlfn.XLOOKUP("What's Your Email Address?",[1]Sheet1!$1:$1,[1]Sheet1!291:291)</f>
        <v>0</v>
      </c>
      <c r="C291" s="31">
        <f>IF(ISBLANK(_xlfn.XLOOKUP("Which Flavor? (Pint Price | Quart Price | Half Gallon Price) (NOTE: Prices may fluctuate based on market conditions)",[1]Sheet1!$1:$1,[1]Sheet1!291:291)),_xlfn.XLOOKUP("Name Your Ice Cream!",[1]Sheet1!$1:$1,[1]Sheet1!291:291),IF(ISNUMBER(FIND("(", _xlfn.XLOOKUP("Which Flavor? (Pint Price | Quart Price | Half Gallon Price) (NOTE: Prices may fluctuate based on market conditions)",[1]Sheet1!$1:$1,[1]Sheet1!291:291))), LEFT(_xlfn.XLOOKUP("Which Flavor? (Pint Price | Quart Price | Half Gallon Price) (NOTE: Prices may fluctuate based on market conditions)",[1]Sheet1!$1:$1,[1]Sheet1!291:291), FIND("(", _xlfn.XLOOKUP("Which Flavor? (Pint Price | Quart Price | Half Gallon Price) (NOTE: Prices may fluctuate based on market conditions)",[1]Sheet1!$1:$1,[1]Sheet1!291:291)) - 1), _xlfn.XLOOKUP("Which Flavor? (Pint Price | Quart Price | Half Gallon Price) (NOTE: Prices may fluctuate based on market conditions)",[1]Sheet1!$1:$1,[1]Sheet1!291:291)))</f>
        <v>0</v>
      </c>
      <c r="D291" s="31">
        <f>IF(COUNTIF('Premade Flavors'!$A:$A, $C291) &gt; 0,IF(ISBLANK(_xlfn.XLOOKUP("What Ice Cream Base Do You Want To Change It To?",[1]Sheet1!$1:$1,[1]Sheet1!291:291)),_xlfn.XLOOKUP($C291,'Premade Flavors'!$A:$A,'Premade Flavors'!B:B),_xlfn.XLOOKUP("What Ice Cream Base Do You Want To Change It To?",[1]Sheet1!$1:$1,[1]Sheet1!291:291)),_xlfn.XLOOKUP(_xlfn.XLOOKUP("What Kind Of Ice Cream Base Do You Want? ",[1]Sheet1!$1:$1,[1]Sheet1!291:291),'Milk Types Nutrition Per Cup'!O:O,'Milk Types Nutrition Per Cup'!P:P,""))</f>
        <v>0</v>
      </c>
      <c r="E291" s="31">
        <f>IF(COUNTIF('Premade Flavors'!$A:$A, $C291) &gt; 0,IF(ISBLANK(_xlfn.XLOOKUP("What Ice Cream Base Do You Want To Change It To?",[1]Sheet1!$1:$1,[1]Sheet1!291:291)),_xlfn.XLOOKUP($C291,'Premade Flavors'!$A:$A,'Premade Flavors'!C:C),_xlfn.XLOOKUP("What Ice Cream Base Do You Want To Change It To?",[1]Sheet1!$1:$1,[1]Sheet1!291:291)),_xlfn.XLOOKUP(_xlfn.XLOOKUP("What Kind Of Ice Cream Base Do You Want? ",[1]Sheet1!$1:$1,[1]Sheet1!291:291),'Milk Types Nutrition Per Cup'!$O:$O,'Milk Types Nutrition Per Cup'!$Q:$Q,""))</f>
        <v>0</v>
      </c>
      <c r="F291" s="31">
        <f>IF(COUNTIF('Premade Flavors'!$A:$A, $C291) &gt; 0,_xlfn.XLOOKUP($C291,'Premade Flavors'!$A:$A,'Premade Flavors'!E:E),_xlfn.XLOOKUP("What's The First Flavor You Want? ",[1]Sheet1!$1:$1,[1]Sheet1!291:291))</f>
        <v>0</v>
      </c>
      <c r="G291" s="31">
        <f>IF(COUNTIF('Premade Flavors'!$A:$A, $C291) &gt; 0,_xlfn.XLOOKUP($C291,'Premade Flavors'!$A:$A,'Premade Flavors'!F:F),_xlfn.XLOOKUP("What's the Second Flavor You Want?",[1]Sheet1!$1:$1,[1]Sheet1!291:291))</f>
        <v>0</v>
      </c>
      <c r="H291" s="31">
        <f>IF(COUNTIF('Premade Flavors'!$A:$A, $C291) &gt; 0,_xlfn.XLOOKUP($C291,'Premade Flavors'!$A:$A,'Premade Flavors'!G:G),_xlfn.XLOOKUP("What's The First Mix In That You Want? ",[1]Sheet1!$1:$1,[1]Sheet1!291:291))</f>
        <v>0</v>
      </c>
      <c r="I291" s="31">
        <f>IF(COUNTIF('Premade Flavors'!$A:$A, $C289) &gt; 0,_xlfn.XLOOKUP($C289,'Premade Flavors'!$A:$A,'Premade Flavors'!H:H),IF([2]Sheet1!W289= 0,,[2]Sheet1!W289))</f>
        <v>0</v>
      </c>
      <c r="J291" s="31">
        <f>IF(COUNTIF('Premade Flavors'!$A:$A,$C291)&gt;0,IF(_xlfn.XLOOKUP("Should It Use Sugar or A Non-Sugar Sweetner?",[1]Sheet1!$1:$1,[1]Sheet1!291:291)="Sugar",_xlfn.XLOOKUP($C291,'Premade Flavors'!$A:$A,'Premade Flavors'!I:I),"Stevia"),_xlfn.XLOOKUP("What Sweetner Do You Want?",[1]Sheet1!$1:$1,[1]Sheet1!291:291))</f>
        <v>0</v>
      </c>
      <c r="K291" s="31"/>
      <c r="L291" s="77">
        <f>_xlfn.XLOOKUP("How Much Ice Cream Do You Want?",[1]Sheet1!$1:$1,[1]Sheet1!291:291)</f>
        <v>0</v>
      </c>
      <c r="M291" s="45">
        <f>IF(COUNTIF('Premade Flavors'!$A:$A, $C291) &gt; 0,_xlfn.XLOOKUP($C291,'Premade Flavors'!$A:$A,'Premade Flavors'!M:M),_xlfn.XLOOKUP("How Strong Do You Want The First Flavor?",[1]Sheet1!$1:$1,[1]Sheet1!291:291))</f>
        <v>0</v>
      </c>
      <c r="N291" s="45">
        <f>IF(COUNTIF('Premade Flavors'!$A:$A, $C291) &gt; 0,_xlfn.XLOOKUP($C291,'Premade Flavors'!$A:$A,'Premade Flavors'!N:N),_xlfn.XLOOKUP("How Strong Do You Want The Second Flavor?",[1]Sheet1!$1:$1,[1]Sheet1!291:291))</f>
        <v>0</v>
      </c>
      <c r="O291" s="45">
        <f>IF(COUNTIF('Premade Flavors'!$A:$A, $C291) &gt; 0,_xlfn.XLOOKUP($C291,'Premade Flavors'!$A:$A,'Premade Flavors'!O:O),_xlfn.XLOOKUP("How Dense Should the Mix Ins Be?",[1]Sheet1!$1:$1,[1]Sheet1!291:291))</f>
        <v>0</v>
      </c>
      <c r="P291" s="45">
        <f>IF(COUNTIF('Premade Flavors'!$A:$A, $C291) &gt; 0,_xlfn.XLOOKUP($C291,'Premade Flavors'!$A:$A,'Premade Flavors'!P:P),_xlfn.XLOOKUP("How Much Of The First Sweetner? ",[1]Sheet1!$1:$1,[1]Sheet1!291:291))</f>
        <v>0</v>
      </c>
      <c r="Q291" s="45">
        <f>IF(COUNTIF('Premade Flavors'!$A:$A, $C291) &gt; 0,_xlfn.XLOOKUP($C291,'Premade Flavors'!$A:$A,'Premade Flavors'!Q:Q),[2]Sheet1!S291)</f>
        <v>0</v>
      </c>
      <c r="R291" s="30">
        <f>(_xlfn.XLOOKUP($L291,Specs!A:A,Specs!B:B,0)-(IF(_xlfn.XLOOKUP($F291,'Liquid Mix In Nutrition'!A:A,'Liquid Mix In Nutrition'!J:J,0)="Yes",0,$T291))-(IF(_xlfn.XLOOKUP($G291,'Liquid Mix In Nutrition'!A:A,'Liquid Mix In Nutrition'!J:J,0)="Yes",0,$U291))-(($V291/MAX(1,_xlfn.XLOOKUP($H291,'Solid Mix In Nutrition'!A:A,'Solid Mix In Nutrition'!I:I,1)))*240)-(($W291/MAX(1,_xlfn.XLOOKUP($I291,'Solid Mix In Nutrition'!A:A,'Solid Mix In Nutrition'!I:I,1)))*240))*0.66</f>
        <v>0</v>
      </c>
      <c r="S291" s="30">
        <f>(_xlfn.XLOOKUP($L291,Specs!A:A,Specs!B:B,0)-(IF(_xlfn.XLOOKUP($F291,'Liquid Mix In Nutrition'!A:A,'Liquid Mix In Nutrition'!J:J,0)="Yes",0,$T291))-(IF(_xlfn.XLOOKUP($G291,'Liquid Mix In Nutrition'!A:A,'Liquid Mix In Nutrition'!J:J,0)="Yes",0,$U291))-(($V291/MAX(1,_xlfn.XLOOKUP($H291,'Solid Mix In Nutrition'!A:A,'Solid Mix In Nutrition'!I:I,1)))*240)-(($W291/MAX(1,_xlfn.XLOOKUP($I291,'Solid Mix In Nutrition'!A:A,'Solid Mix In Nutrition'!I:I,1)))*240))*0.33</f>
        <v>0</v>
      </c>
      <c r="T291" s="30">
        <f>_xlfn.XLOOKUP($M291,Specs!$D:$D,Specs!$E:$E,0)*15*_xlfn.XLOOKUP($L291,Specs!$A:$A,Specs!$C:$C,0)</f>
        <v>0</v>
      </c>
      <c r="U291" s="30">
        <f>_xlfn.XLOOKUP($N291,Specs!$D:$D,Specs!$E:$E,0)*15*_xlfn.XLOOKUP($L291,Specs!$A:$A,Specs!$C:$C,0)</f>
        <v>0</v>
      </c>
      <c r="V291" s="30">
        <f>( ((_xlfn.XLOOKUP($O291,Specs!$H:$H,Specs!$I:$I,0)*_xlfn.XLOOKUP($L291,Specs!$A:$A,Specs!$B:$B,0))/240) *_xlfn.XLOOKUP($H291,'Solid Mix In Nutrition'!A:A,'Solid Mix In Nutrition'!I:I,0)) *IF(AND(NOT($I291=0), COUNTA($I291)),0.5,1)</f>
        <v>0</v>
      </c>
      <c r="W291" s="30">
        <f>( ((_xlfn.XLOOKUP($O291,Specs!$H:$H,Specs!$I:$I,0)*_xlfn.XLOOKUP($L291,Specs!$A:$A,Specs!$B:$B,0))/240) *_xlfn.XLOOKUP($I291,'Solid Mix In Nutrition'!A:A,'Solid Mix In Nutrition'!I:I,0)) *IF(AND(NOT($I291=0), COUNTA($I291)),0.5,0)</f>
        <v>0</v>
      </c>
      <c r="X291" s="30">
        <f>_xlfn.XLOOKUP($P291,Specs!F:F,Specs!G:G,0)*_xlfn.XLOOKUP($J291,'Sweetener Mix In Nutrition'!A:A,'Sweetener Mix In Nutrition'!I:I,0)*_xlfn.XLOOKUP($L291,Specs!A:A,Specs!C:C,0)</f>
        <v>0</v>
      </c>
      <c r="Y291" s="30">
        <f>_xlfn.XLOOKUP($Q291,Specs!F:F,Specs!G:G,0)*_xlfn.XLOOKUP($K291,'Sweetener Mix In Nutrition'!A:A,'Sweetener Mix In Nutrition'!I:I,0)*_xlfn.XLOOKUP($L291,Specs!A:A,Specs!C:C,0)</f>
        <v>0</v>
      </c>
      <c r="Z291" s="34">
        <f t="shared" si="8"/>
        <v>0</v>
      </c>
      <c r="AA291" s="35">
        <f t="shared" si="9"/>
        <v>0</v>
      </c>
      <c r="AB291" s="36">
        <f>(($R291 / 240) * _xlfn.XLOOKUP($D291,'Milk Types Nutrition Per Cup'!A:A,'Milk Types Nutrition Per Cup'!B:B,0)) +(($S291 / 240)  * _xlfn.XLOOKUP($E291,'Milk Types Nutrition Per Cup'!A:A,'Milk Types Nutrition Per Cup'!B:B,0)) +(($T291 / 15)  * _xlfn.XLOOKUP($F291,'Liquid Mix In Nutrition'!A:A,'Liquid Mix In Nutrition'!B:B,0))+(($U291 / 15)  * _xlfn.XLOOKUP($G291,'Liquid Mix In Nutrition'!A:A,'Liquid Mix In Nutrition'!B:B,0))+(($V291 /MAX(1, _xlfn.XLOOKUP($H291,'Solid Mix In Nutrition'!A:A,'Solid Mix In Nutrition'!I:I,1)))  * _xlfn.XLOOKUP($H291,'Solid Mix In Nutrition'!A:A,'Solid Mix In Nutrition'!B:B,0))+(($W291 / MAX(1, _xlfn.XLOOKUP($I291,'Solid Mix In Nutrition'!A:A,'Solid Mix In Nutrition'!I:I,1))))+(($X291 / 100)  * _xlfn.XLOOKUP($J291,'Sweetener Mix In Nutrition'!A:A,'Sweetener Mix In Nutrition'!B:B,0))+(($Y291 / 100)  * _xlfn.XLOOKUP($K291,'Sweetener Mix In Nutrition'!A:A,'Sweetener Mix In Nutrition'!B:B,0))</f>
        <v>0</v>
      </c>
      <c r="AC291" s="36">
        <f>(($R291 / 240) * _xlfn.XLOOKUP($D291,'Milk Types Nutrition Per Cup'!A:A,'Milk Types Nutrition Per Cup'!E:E,0)) +(($S291 / 240)  * _xlfn.XLOOKUP($E291,'Milk Types Nutrition Per Cup'!A:A,'Milk Types Nutrition Per Cup'!E:E,0)) +(($T291 / 15)  * _xlfn.XLOOKUP($F291,'Liquid Mix In Nutrition'!A:A,'Liquid Mix In Nutrition'!E:E,0)) +(($U291 / 15)  * _xlfn.XLOOKUP($G291,'Liquid Mix In Nutrition'!A:A,'Liquid Mix In Nutrition'!E:E,0))+(($V291 / MAX(1, _xlfn.XLOOKUP($H291,'Solid Mix In Nutrition'!A:A,'Solid Mix In Nutrition'!I:I,1)))  * _xlfn.XLOOKUP($H291,'Solid Mix In Nutrition'!A:A,'Solid Mix In Nutrition'!E:E,0))+(($W291 / MAX(1, _xlfn.XLOOKUP($I291,'Solid Mix In Nutrition'!A:A,'Solid Mix In Nutrition'!I:I,1)))  * _xlfn.XLOOKUP($I291,'Solid Mix In Nutrition'!A:A,'Solid Mix In Nutrition'!G:G,0))+(($X291 / 100)  * _xlfn.XLOOKUP($J291,'Sweetener Mix In Nutrition'!A:A,'Sweetener Mix In Nutrition'!E:E,0))+(($Y291 / 100)  * _xlfn.XLOOKUP($K291,'Sweetener Mix In Nutrition'!A:A,'Sweetener Mix In Nutrition'!E:E,0))</f>
        <v>0</v>
      </c>
      <c r="AD291" s="36">
        <f>(($R291 / 240) * _xlfn.XLOOKUP($D291,'Milk Types Nutrition Per Cup'!A:A,'Milk Types Nutrition Per Cup'!E:E,0)) +(($S291 / 240)  * _xlfn.XLOOKUP($E291,'Milk Types Nutrition Per Cup'!A:A,'Milk Types Nutrition Per Cup'!E:E,0)) +(($T291 / 15)  * _xlfn.XLOOKUP($F291,'Liquid Mix In Nutrition'!A:A,'Liquid Mix In Nutrition'!E:E,0)) +(($U291 / 15)  * _xlfn.XLOOKUP($G291,'Liquid Mix In Nutrition'!A:A,'Liquid Mix In Nutrition'!E:E,0))+(($X291 / 100)  * _xlfn.XLOOKUP($J291,'Sweetener Mix In Nutrition'!A:A,'Sweetener Mix In Nutrition'!E:E,0))+(($Y291 / 100)  * _xlfn.XLOOKUP($K291,'Sweetener Mix In Nutrition'!A:A,'Sweetener Mix In Nutrition'!E:E,0))</f>
        <v>0</v>
      </c>
      <c r="AE291" s="37">
        <f>(($R291 / 240) * _xlfn.XLOOKUP($D291,'Milk Types Nutrition Per Cup'!A:A,'Milk Types Nutrition Per Cup'!C:C,0)) +(($S291 / 240)  * _xlfn.XLOOKUP($E291,'Milk Types Nutrition Per Cup'!A:A,'Milk Types Nutrition Per Cup'!C:C,0)) +(($T291 / 15)  * _xlfn.XLOOKUP($F291,'Liquid Mix In Nutrition'!A:A,'Liquid Mix In Nutrition'!C:C,0))+(($U291 / 15)  * _xlfn.XLOOKUP($G291,'Liquid Mix In Nutrition'!A:A,'Liquid Mix In Nutrition'!C:C,0))+(($V291 / MAX(1, _xlfn.XLOOKUP($H291,'Solid Mix In Nutrition'!A:A,'Solid Mix In Nutrition'!I:I,1)))  * _xlfn.XLOOKUP($H291,'Solid Mix In Nutrition'!A:A,'Solid Mix In Nutrition'!C:C,0))+(($W291 / MAX(1, _xlfn.XLOOKUP($I291,'Solid Mix In Nutrition'!A:A,'Solid Mix In Nutrition'!I:I,1)))  * _xlfn.XLOOKUP($I291,'Solid Mix In Nutrition'!A:A,'Solid Mix In Nutrition'!C:C,0))+(($X291 / 100)  * _xlfn.XLOOKUP($J291,'Sweetener Mix In Nutrition'!A:A,'Sweetener Mix In Nutrition'!C:C,0))+(($Y291 / 100)  * _xlfn.XLOOKUP($K291,'Sweetener Mix In Nutrition'!A:A,'Sweetener Mix In Nutrition'!C:C,0))</f>
        <v>0</v>
      </c>
      <c r="AF291" s="38" t="e">
        <f>$AE291 / (_xlfn.XLOOKUP($L291,Specs!A:A,Specs!B:B,0))</f>
        <v>#DIV/0!</v>
      </c>
      <c r="AG291" s="37" t="e">
        <f>60* ($AB291 / _xlfn.XLOOKUP($L291,Specs!A:A,Specs!B:B,0))</f>
        <v>#DIV/0!</v>
      </c>
      <c r="AH291" s="37" t="e">
        <f>60* (AC291 / _xlfn.XLOOKUP($L291,Specs!$A:$A,Specs!$B:$B,0))</f>
        <v>#DIV/0!</v>
      </c>
      <c r="AI291" s="37" t="e">
        <f>60* (AE291 / _xlfn.XLOOKUP($L291,Specs!$A:$A,Specs!$B:$B,0))</f>
        <v>#DIV/0!</v>
      </c>
      <c r="AJ291" s="39">
        <f>(($R291 / 240) * _xlfn.XLOOKUP($D291,'Milk Types Nutrition Per Cup'!A:A,'Milk Types Nutrition Per Cup'!F:F,0)) +(($S291 / 240)  * _xlfn.XLOOKUP($E291,'Milk Types Nutrition Per Cup'!A:A,'Milk Types Nutrition Per Cup'!F:F,0)) +(($T291 / 15)  * _xlfn.XLOOKUP($F291,'Liquid Mix In Nutrition'!A:A,'Liquid Mix In Nutrition'!F:F,0))+(($U291 / 15)  * _xlfn.XLOOKUP($G291,'Liquid Mix In Nutrition'!A:A,'Liquid Mix In Nutrition'!F:F,0))+(($V291 / MAX(1, _xlfn.XLOOKUP($H291,'Solid Mix In Nutrition'!A:A,'Solid Mix In Nutrition'!I:I,1)))  * _xlfn.XLOOKUP($H291,'Solid Mix In Nutrition'!A:A,'Solid Mix In Nutrition'!F:F,0))+(($W291 / MAX(1, _xlfn.XLOOKUP($I291,'Solid Mix In Nutrition'!A:A,'Solid Mix In Nutrition'!I:I,1)))  * _xlfn.XLOOKUP($I291,'Solid Mix In Nutrition'!A:A,'Solid Mix In Nutrition'!F:F,0))+(($X291 / 100)  * _xlfn.XLOOKUP($J291,'Sweetener Mix In Nutrition'!A:A,'Sweetener Mix In Nutrition'!F:F,0))+(($Y291 / 100)  * _xlfn.XLOOKUP($K291,'Sweetener Mix In Nutrition'!A:A,'Sweetener Mix In Nutrition'!F:F,0))</f>
        <v>0</v>
      </c>
      <c r="AK291" s="46">
        <f>[2]Sheet1!AG291</f>
        <v>0</v>
      </c>
      <c r="AL291" s="47"/>
      <c r="AM291" s="40">
        <f>IF(ISERROR(((AL291/Specs!$L$3)*Specs!$L$2)*2),0,ROUNDUP((((AL291/Specs!$L$3)*Specs!$L$2)*2),0))</f>
        <v>0</v>
      </c>
      <c r="AN291" s="48">
        <f>ROUNDUP(((AJ291+Specs!$R$2+Specs!$S$2+_xlfn.XLOOKUP($L291,Specs!A:A,Specs!V:V,0))*Specs!$N$2)+AM291,0)</f>
        <v>1</v>
      </c>
      <c r="AO291" s="40">
        <f>ROUNDUP(((AJ291+Specs!$R$2+Specs!$S$2+_xlfn.XLOOKUP($L291,Specs!A:A,Specs!V:V,0))*Specs!$N$2),0)</f>
        <v>1</v>
      </c>
      <c r="AP291" s="30"/>
    </row>
    <row r="292" spans="1:42" x14ac:dyDescent="0.25">
      <c r="A292" s="41" t="str">
        <f>_xlfn.CONCAT(_xlfn.XLOOKUP("What's Your Name?",[1]Sheet1!$1:$1,[1]Sheet1!292:292)," | ",TEXT(_xlfn.XLOOKUP("Completion time",[1]Sheet1!$1:$1,[1]Sheet1!292:292),"dddd, mmm dd, yyyy hh:mm AM/PM"))</f>
        <v xml:space="preserve"> | Saturday, Jan 00, 1900 12:00 AM</v>
      </c>
      <c r="B292" s="76">
        <f>_xlfn.XLOOKUP("What's Your Email Address?",[1]Sheet1!$1:$1,[1]Sheet1!292:292)</f>
        <v>0</v>
      </c>
      <c r="C292" s="31">
        <f>IF(ISBLANK(_xlfn.XLOOKUP("Which Flavor? (Pint Price | Quart Price | Half Gallon Price) (NOTE: Prices may fluctuate based on market conditions)",[1]Sheet1!$1:$1,[1]Sheet1!292:292)),_xlfn.XLOOKUP("Name Your Ice Cream!",[1]Sheet1!$1:$1,[1]Sheet1!292:292),IF(ISNUMBER(FIND("(", _xlfn.XLOOKUP("Which Flavor? (Pint Price | Quart Price | Half Gallon Price) (NOTE: Prices may fluctuate based on market conditions)",[1]Sheet1!$1:$1,[1]Sheet1!292:292))), LEFT(_xlfn.XLOOKUP("Which Flavor? (Pint Price | Quart Price | Half Gallon Price) (NOTE: Prices may fluctuate based on market conditions)",[1]Sheet1!$1:$1,[1]Sheet1!292:292), FIND("(", _xlfn.XLOOKUP("Which Flavor? (Pint Price | Quart Price | Half Gallon Price) (NOTE: Prices may fluctuate based on market conditions)",[1]Sheet1!$1:$1,[1]Sheet1!292:292)) - 1), _xlfn.XLOOKUP("Which Flavor? (Pint Price | Quart Price | Half Gallon Price) (NOTE: Prices may fluctuate based on market conditions)",[1]Sheet1!$1:$1,[1]Sheet1!292:292)))</f>
        <v>0</v>
      </c>
      <c r="D292" s="31">
        <f>IF(COUNTIF('Premade Flavors'!$A:$A, $C292) &gt; 0,IF(ISBLANK(_xlfn.XLOOKUP("What Ice Cream Base Do You Want To Change It To?",[1]Sheet1!$1:$1,[1]Sheet1!292:292)),_xlfn.XLOOKUP($C292,'Premade Flavors'!$A:$A,'Premade Flavors'!B:B),_xlfn.XLOOKUP("What Ice Cream Base Do You Want To Change It To?",[1]Sheet1!$1:$1,[1]Sheet1!292:292)),_xlfn.XLOOKUP(_xlfn.XLOOKUP("What Kind Of Ice Cream Base Do You Want? ",[1]Sheet1!$1:$1,[1]Sheet1!292:292),'Milk Types Nutrition Per Cup'!O:O,'Milk Types Nutrition Per Cup'!P:P,""))</f>
        <v>0</v>
      </c>
      <c r="E292" s="31">
        <f>IF(COUNTIF('Premade Flavors'!$A:$A, $C292) &gt; 0,IF(ISBLANK(_xlfn.XLOOKUP("What Ice Cream Base Do You Want To Change It To?",[1]Sheet1!$1:$1,[1]Sheet1!292:292)),_xlfn.XLOOKUP($C292,'Premade Flavors'!$A:$A,'Premade Flavors'!C:C),_xlfn.XLOOKUP("What Ice Cream Base Do You Want To Change It To?",[1]Sheet1!$1:$1,[1]Sheet1!292:292)),_xlfn.XLOOKUP(_xlfn.XLOOKUP("What Kind Of Ice Cream Base Do You Want? ",[1]Sheet1!$1:$1,[1]Sheet1!292:292),'Milk Types Nutrition Per Cup'!$O:$O,'Milk Types Nutrition Per Cup'!$Q:$Q,""))</f>
        <v>0</v>
      </c>
      <c r="F292" s="31">
        <f>IF(COUNTIF('Premade Flavors'!$A:$A, $C292) &gt; 0,_xlfn.XLOOKUP($C292,'Premade Flavors'!$A:$A,'Premade Flavors'!E:E),_xlfn.XLOOKUP("What's The First Flavor You Want? ",[1]Sheet1!$1:$1,[1]Sheet1!292:292))</f>
        <v>0</v>
      </c>
      <c r="G292" s="31">
        <f>IF(COUNTIF('Premade Flavors'!$A:$A, $C292) &gt; 0,_xlfn.XLOOKUP($C292,'Premade Flavors'!$A:$A,'Premade Flavors'!F:F),_xlfn.XLOOKUP("What's the Second Flavor You Want?",[1]Sheet1!$1:$1,[1]Sheet1!292:292))</f>
        <v>0</v>
      </c>
      <c r="H292" s="31">
        <f>IF(COUNTIF('Premade Flavors'!$A:$A, $C292) &gt; 0,_xlfn.XLOOKUP($C292,'Premade Flavors'!$A:$A,'Premade Flavors'!G:G),_xlfn.XLOOKUP("What's The First Mix In That You Want? ",[1]Sheet1!$1:$1,[1]Sheet1!292:292))</f>
        <v>0</v>
      </c>
      <c r="I292" s="31">
        <f>IF(COUNTIF('Premade Flavors'!$A:$A, $C290) &gt; 0,_xlfn.XLOOKUP($C290,'Premade Flavors'!$A:$A,'Premade Flavors'!H:H),IF([2]Sheet1!W290= 0,,[2]Sheet1!W290))</f>
        <v>0</v>
      </c>
      <c r="J292" s="31">
        <f>IF(COUNTIF('Premade Flavors'!$A:$A,$C292)&gt;0,IF(_xlfn.XLOOKUP("Should It Use Sugar or A Non-Sugar Sweetner?",[1]Sheet1!$1:$1,[1]Sheet1!292:292)="Sugar",_xlfn.XLOOKUP($C292,'Premade Flavors'!$A:$A,'Premade Flavors'!I:I),"Stevia"),_xlfn.XLOOKUP("What Sweetner Do You Want?",[1]Sheet1!$1:$1,[1]Sheet1!292:292))</f>
        <v>0</v>
      </c>
      <c r="K292" s="31"/>
      <c r="L292" s="77">
        <f>_xlfn.XLOOKUP("How Much Ice Cream Do You Want?",[1]Sheet1!$1:$1,[1]Sheet1!292:292)</f>
        <v>0</v>
      </c>
      <c r="M292" s="45">
        <f>IF(COUNTIF('Premade Flavors'!$A:$A, $C292) &gt; 0,_xlfn.XLOOKUP($C292,'Premade Flavors'!$A:$A,'Premade Flavors'!M:M),_xlfn.XLOOKUP("How Strong Do You Want The First Flavor?",[1]Sheet1!$1:$1,[1]Sheet1!292:292))</f>
        <v>0</v>
      </c>
      <c r="N292" s="45">
        <f>IF(COUNTIF('Premade Flavors'!$A:$A, $C292) &gt; 0,_xlfn.XLOOKUP($C292,'Premade Flavors'!$A:$A,'Premade Flavors'!N:N),_xlfn.XLOOKUP("How Strong Do You Want The Second Flavor?",[1]Sheet1!$1:$1,[1]Sheet1!292:292))</f>
        <v>0</v>
      </c>
      <c r="O292" s="45">
        <f>IF(COUNTIF('Premade Flavors'!$A:$A, $C292) &gt; 0,_xlfn.XLOOKUP($C292,'Premade Flavors'!$A:$A,'Premade Flavors'!O:O),_xlfn.XLOOKUP("How Dense Should the Mix Ins Be?",[1]Sheet1!$1:$1,[1]Sheet1!292:292))</f>
        <v>0</v>
      </c>
      <c r="P292" s="45">
        <f>IF(COUNTIF('Premade Flavors'!$A:$A, $C292) &gt; 0,_xlfn.XLOOKUP($C292,'Premade Flavors'!$A:$A,'Premade Flavors'!P:P),_xlfn.XLOOKUP("How Much Of The First Sweetner? ",[1]Sheet1!$1:$1,[1]Sheet1!292:292))</f>
        <v>0</v>
      </c>
      <c r="Q292" s="45">
        <f>IF(COUNTIF('Premade Flavors'!$A:$A, $C292) &gt; 0,_xlfn.XLOOKUP($C292,'Premade Flavors'!$A:$A,'Premade Flavors'!Q:Q),[2]Sheet1!S292)</f>
        <v>0</v>
      </c>
      <c r="R292" s="30">
        <f>(_xlfn.XLOOKUP($L292,Specs!A:A,Specs!B:B,0)-(IF(_xlfn.XLOOKUP($F292,'Liquid Mix In Nutrition'!A:A,'Liquid Mix In Nutrition'!J:J,0)="Yes",0,$T292))-(IF(_xlfn.XLOOKUP($G292,'Liquid Mix In Nutrition'!A:A,'Liquid Mix In Nutrition'!J:J,0)="Yes",0,$U292))-(($V292/MAX(1,_xlfn.XLOOKUP($H292,'Solid Mix In Nutrition'!A:A,'Solid Mix In Nutrition'!I:I,1)))*240)-(($W292/MAX(1,_xlfn.XLOOKUP($I292,'Solid Mix In Nutrition'!A:A,'Solid Mix In Nutrition'!I:I,1)))*240))*0.66</f>
        <v>0</v>
      </c>
      <c r="S292" s="30">
        <f>(_xlfn.XLOOKUP($L292,Specs!A:A,Specs!B:B,0)-(IF(_xlfn.XLOOKUP($F292,'Liquid Mix In Nutrition'!A:A,'Liquid Mix In Nutrition'!J:J,0)="Yes",0,$T292))-(IF(_xlfn.XLOOKUP($G292,'Liquid Mix In Nutrition'!A:A,'Liquid Mix In Nutrition'!J:J,0)="Yes",0,$U292))-(($V292/MAX(1,_xlfn.XLOOKUP($H292,'Solid Mix In Nutrition'!A:A,'Solid Mix In Nutrition'!I:I,1)))*240)-(($W292/MAX(1,_xlfn.XLOOKUP($I292,'Solid Mix In Nutrition'!A:A,'Solid Mix In Nutrition'!I:I,1)))*240))*0.33</f>
        <v>0</v>
      </c>
      <c r="T292" s="30">
        <f>_xlfn.XLOOKUP($M292,Specs!$D:$D,Specs!$E:$E,0)*15*_xlfn.XLOOKUP($L292,Specs!$A:$A,Specs!$C:$C,0)</f>
        <v>0</v>
      </c>
      <c r="U292" s="30">
        <f>_xlfn.XLOOKUP($N292,Specs!$D:$D,Specs!$E:$E,0)*15*_xlfn.XLOOKUP($L292,Specs!$A:$A,Specs!$C:$C,0)</f>
        <v>0</v>
      </c>
      <c r="V292" s="30">
        <f>( ((_xlfn.XLOOKUP($O292,Specs!$H:$H,Specs!$I:$I,0)*_xlfn.XLOOKUP($L292,Specs!$A:$A,Specs!$B:$B,0))/240) *_xlfn.XLOOKUP($H292,'Solid Mix In Nutrition'!A:A,'Solid Mix In Nutrition'!I:I,0)) *IF(AND(NOT($I292=0), COUNTA($I292)),0.5,1)</f>
        <v>0</v>
      </c>
      <c r="W292" s="30">
        <f>( ((_xlfn.XLOOKUP($O292,Specs!$H:$H,Specs!$I:$I,0)*_xlfn.XLOOKUP($L292,Specs!$A:$A,Specs!$B:$B,0))/240) *_xlfn.XLOOKUP($I292,'Solid Mix In Nutrition'!A:A,'Solid Mix In Nutrition'!I:I,0)) *IF(AND(NOT($I292=0), COUNTA($I292)),0.5,0)</f>
        <v>0</v>
      </c>
      <c r="X292" s="30">
        <f>_xlfn.XLOOKUP($P292,Specs!F:F,Specs!G:G,0)*_xlfn.XLOOKUP($J292,'Sweetener Mix In Nutrition'!A:A,'Sweetener Mix In Nutrition'!I:I,0)*_xlfn.XLOOKUP($L292,Specs!A:A,Specs!C:C,0)</f>
        <v>0</v>
      </c>
      <c r="Y292" s="30">
        <f>_xlfn.XLOOKUP($Q292,Specs!F:F,Specs!G:G,0)*_xlfn.XLOOKUP($K292,'Sweetener Mix In Nutrition'!A:A,'Sweetener Mix In Nutrition'!I:I,0)*_xlfn.XLOOKUP($L292,Specs!A:A,Specs!C:C,0)</f>
        <v>0</v>
      </c>
      <c r="Z292" s="34">
        <f t="shared" si="8"/>
        <v>0</v>
      </c>
      <c r="AA292" s="35">
        <f t="shared" si="9"/>
        <v>0</v>
      </c>
      <c r="AB292" s="36">
        <f>(($R292 / 240) * _xlfn.XLOOKUP($D292,'Milk Types Nutrition Per Cup'!A:A,'Milk Types Nutrition Per Cup'!B:B,0)) +(($S292 / 240)  * _xlfn.XLOOKUP($E292,'Milk Types Nutrition Per Cup'!A:A,'Milk Types Nutrition Per Cup'!B:B,0)) +(($T292 / 15)  * _xlfn.XLOOKUP($F292,'Liquid Mix In Nutrition'!A:A,'Liquid Mix In Nutrition'!B:B,0))+(($U292 / 15)  * _xlfn.XLOOKUP($G292,'Liquid Mix In Nutrition'!A:A,'Liquid Mix In Nutrition'!B:B,0))+(($V292 /MAX(1, _xlfn.XLOOKUP($H292,'Solid Mix In Nutrition'!A:A,'Solid Mix In Nutrition'!I:I,1)))  * _xlfn.XLOOKUP($H292,'Solid Mix In Nutrition'!A:A,'Solid Mix In Nutrition'!B:B,0))+(($W292 / MAX(1, _xlfn.XLOOKUP($I292,'Solid Mix In Nutrition'!A:A,'Solid Mix In Nutrition'!I:I,1))))+(($X292 / 100)  * _xlfn.XLOOKUP($J292,'Sweetener Mix In Nutrition'!A:A,'Sweetener Mix In Nutrition'!B:B,0))+(($Y292 / 100)  * _xlfn.XLOOKUP($K292,'Sweetener Mix In Nutrition'!A:A,'Sweetener Mix In Nutrition'!B:B,0))</f>
        <v>0</v>
      </c>
      <c r="AC292" s="36">
        <f>(($R292 / 240) * _xlfn.XLOOKUP($D292,'Milk Types Nutrition Per Cup'!A:A,'Milk Types Nutrition Per Cup'!E:E,0)) +(($S292 / 240)  * _xlfn.XLOOKUP($E292,'Milk Types Nutrition Per Cup'!A:A,'Milk Types Nutrition Per Cup'!E:E,0)) +(($T292 / 15)  * _xlfn.XLOOKUP($F292,'Liquid Mix In Nutrition'!A:A,'Liquid Mix In Nutrition'!E:E,0)) +(($U292 / 15)  * _xlfn.XLOOKUP($G292,'Liquid Mix In Nutrition'!A:A,'Liquid Mix In Nutrition'!E:E,0))+(($V292 / MAX(1, _xlfn.XLOOKUP($H292,'Solid Mix In Nutrition'!A:A,'Solid Mix In Nutrition'!I:I,1)))  * _xlfn.XLOOKUP($H292,'Solid Mix In Nutrition'!A:A,'Solid Mix In Nutrition'!E:E,0))+(($W292 / MAX(1, _xlfn.XLOOKUP($I292,'Solid Mix In Nutrition'!A:A,'Solid Mix In Nutrition'!I:I,1)))  * _xlfn.XLOOKUP($I292,'Solid Mix In Nutrition'!A:A,'Solid Mix In Nutrition'!G:G,0))+(($X292 / 100)  * _xlfn.XLOOKUP($J292,'Sweetener Mix In Nutrition'!A:A,'Sweetener Mix In Nutrition'!E:E,0))+(($Y292 / 100)  * _xlfn.XLOOKUP($K292,'Sweetener Mix In Nutrition'!A:A,'Sweetener Mix In Nutrition'!E:E,0))</f>
        <v>0</v>
      </c>
      <c r="AD292" s="36">
        <f>(($R292 / 240) * _xlfn.XLOOKUP($D292,'Milk Types Nutrition Per Cup'!A:A,'Milk Types Nutrition Per Cup'!E:E,0)) +(($S292 / 240)  * _xlfn.XLOOKUP($E292,'Milk Types Nutrition Per Cup'!A:A,'Milk Types Nutrition Per Cup'!E:E,0)) +(($T292 / 15)  * _xlfn.XLOOKUP($F292,'Liquid Mix In Nutrition'!A:A,'Liquid Mix In Nutrition'!E:E,0)) +(($U292 / 15)  * _xlfn.XLOOKUP($G292,'Liquid Mix In Nutrition'!A:A,'Liquid Mix In Nutrition'!E:E,0))+(($X292 / 100)  * _xlfn.XLOOKUP($J292,'Sweetener Mix In Nutrition'!A:A,'Sweetener Mix In Nutrition'!E:E,0))+(($Y292 / 100)  * _xlfn.XLOOKUP($K292,'Sweetener Mix In Nutrition'!A:A,'Sweetener Mix In Nutrition'!E:E,0))</f>
        <v>0</v>
      </c>
      <c r="AE292" s="37">
        <f>(($R292 / 240) * _xlfn.XLOOKUP($D292,'Milk Types Nutrition Per Cup'!A:A,'Milk Types Nutrition Per Cup'!C:C,0)) +(($S292 / 240)  * _xlfn.XLOOKUP($E292,'Milk Types Nutrition Per Cup'!A:A,'Milk Types Nutrition Per Cup'!C:C,0)) +(($T292 / 15)  * _xlfn.XLOOKUP($F292,'Liquid Mix In Nutrition'!A:A,'Liquid Mix In Nutrition'!C:C,0))+(($U292 / 15)  * _xlfn.XLOOKUP($G292,'Liquid Mix In Nutrition'!A:A,'Liquid Mix In Nutrition'!C:C,0))+(($V292 / MAX(1, _xlfn.XLOOKUP($H292,'Solid Mix In Nutrition'!A:A,'Solid Mix In Nutrition'!I:I,1)))  * _xlfn.XLOOKUP($H292,'Solid Mix In Nutrition'!A:A,'Solid Mix In Nutrition'!C:C,0))+(($W292 / MAX(1, _xlfn.XLOOKUP($I292,'Solid Mix In Nutrition'!A:A,'Solid Mix In Nutrition'!I:I,1)))  * _xlfn.XLOOKUP($I292,'Solid Mix In Nutrition'!A:A,'Solid Mix In Nutrition'!C:C,0))+(($X292 / 100)  * _xlfn.XLOOKUP($J292,'Sweetener Mix In Nutrition'!A:A,'Sweetener Mix In Nutrition'!C:C,0))+(($Y292 / 100)  * _xlfn.XLOOKUP($K292,'Sweetener Mix In Nutrition'!A:A,'Sweetener Mix In Nutrition'!C:C,0))</f>
        <v>0</v>
      </c>
      <c r="AF292" s="38" t="e">
        <f>$AE292 / (_xlfn.XLOOKUP($L292,Specs!A:A,Specs!B:B,0))</f>
        <v>#DIV/0!</v>
      </c>
      <c r="AG292" s="37" t="e">
        <f>60* ($AB292 / _xlfn.XLOOKUP($L292,Specs!A:A,Specs!B:B,0))</f>
        <v>#DIV/0!</v>
      </c>
      <c r="AH292" s="37" t="e">
        <f>60* (AC292 / _xlfn.XLOOKUP($L292,Specs!$A:$A,Specs!$B:$B,0))</f>
        <v>#DIV/0!</v>
      </c>
      <c r="AI292" s="37" t="e">
        <f>60* (AE292 / _xlfn.XLOOKUP($L292,Specs!$A:$A,Specs!$B:$B,0))</f>
        <v>#DIV/0!</v>
      </c>
      <c r="AJ292" s="39">
        <f>(($R292 / 240) * _xlfn.XLOOKUP($D292,'Milk Types Nutrition Per Cup'!A:A,'Milk Types Nutrition Per Cup'!F:F,0)) +(($S292 / 240)  * _xlfn.XLOOKUP($E292,'Milk Types Nutrition Per Cup'!A:A,'Milk Types Nutrition Per Cup'!F:F,0)) +(($T292 / 15)  * _xlfn.XLOOKUP($F292,'Liquid Mix In Nutrition'!A:A,'Liquid Mix In Nutrition'!F:F,0))+(($U292 / 15)  * _xlfn.XLOOKUP($G292,'Liquid Mix In Nutrition'!A:A,'Liquid Mix In Nutrition'!F:F,0))+(($V292 / MAX(1, _xlfn.XLOOKUP($H292,'Solid Mix In Nutrition'!A:A,'Solid Mix In Nutrition'!I:I,1)))  * _xlfn.XLOOKUP($H292,'Solid Mix In Nutrition'!A:A,'Solid Mix In Nutrition'!F:F,0))+(($W292 / MAX(1, _xlfn.XLOOKUP($I292,'Solid Mix In Nutrition'!A:A,'Solid Mix In Nutrition'!I:I,1)))  * _xlfn.XLOOKUP($I292,'Solid Mix In Nutrition'!A:A,'Solid Mix In Nutrition'!F:F,0))+(($X292 / 100)  * _xlfn.XLOOKUP($J292,'Sweetener Mix In Nutrition'!A:A,'Sweetener Mix In Nutrition'!F:F,0))+(($Y292 / 100)  * _xlfn.XLOOKUP($K292,'Sweetener Mix In Nutrition'!A:A,'Sweetener Mix In Nutrition'!F:F,0))</f>
        <v>0</v>
      </c>
      <c r="AK292" s="46">
        <f>[2]Sheet1!AG292</f>
        <v>0</v>
      </c>
      <c r="AL292" s="47"/>
      <c r="AM292" s="40">
        <f>IF(ISERROR(((AL292/Specs!$L$3)*Specs!$L$2)*2),0,ROUNDUP((((AL292/Specs!$L$3)*Specs!$L$2)*2),0))</f>
        <v>0</v>
      </c>
      <c r="AN292" s="48">
        <f>ROUNDUP(((AJ292+Specs!$R$2+Specs!$S$2+_xlfn.XLOOKUP($L292,Specs!A:A,Specs!V:V,0))*Specs!$N$2)+AM292,0)</f>
        <v>1</v>
      </c>
      <c r="AO292" s="40">
        <f>ROUNDUP(((AJ292+Specs!$R$2+Specs!$S$2+_xlfn.XLOOKUP($L292,Specs!A:A,Specs!V:V,0))*Specs!$N$2),0)</f>
        <v>1</v>
      </c>
      <c r="AP292" s="30"/>
    </row>
    <row r="293" spans="1:42" x14ac:dyDescent="0.25">
      <c r="A293" s="41" t="str">
        <f>_xlfn.CONCAT(_xlfn.XLOOKUP("What's Your Name?",[1]Sheet1!$1:$1,[1]Sheet1!293:293)," | ",TEXT(_xlfn.XLOOKUP("Completion time",[1]Sheet1!$1:$1,[1]Sheet1!293:293),"dddd, mmm dd, yyyy hh:mm AM/PM"))</f>
        <v xml:space="preserve"> | Saturday, Jan 00, 1900 12:00 AM</v>
      </c>
      <c r="B293" s="76">
        <f>_xlfn.XLOOKUP("What's Your Email Address?",[1]Sheet1!$1:$1,[1]Sheet1!293:293)</f>
        <v>0</v>
      </c>
      <c r="C293" s="31">
        <f>IF(ISBLANK(_xlfn.XLOOKUP("Which Flavor? (Pint Price | Quart Price | Half Gallon Price) (NOTE: Prices may fluctuate based on market conditions)",[1]Sheet1!$1:$1,[1]Sheet1!293:293)),_xlfn.XLOOKUP("Name Your Ice Cream!",[1]Sheet1!$1:$1,[1]Sheet1!293:293),IF(ISNUMBER(FIND("(", _xlfn.XLOOKUP("Which Flavor? (Pint Price | Quart Price | Half Gallon Price) (NOTE: Prices may fluctuate based on market conditions)",[1]Sheet1!$1:$1,[1]Sheet1!293:293))), LEFT(_xlfn.XLOOKUP("Which Flavor? (Pint Price | Quart Price | Half Gallon Price) (NOTE: Prices may fluctuate based on market conditions)",[1]Sheet1!$1:$1,[1]Sheet1!293:293), FIND("(", _xlfn.XLOOKUP("Which Flavor? (Pint Price | Quart Price | Half Gallon Price) (NOTE: Prices may fluctuate based on market conditions)",[1]Sheet1!$1:$1,[1]Sheet1!293:293)) - 1), _xlfn.XLOOKUP("Which Flavor? (Pint Price | Quart Price | Half Gallon Price) (NOTE: Prices may fluctuate based on market conditions)",[1]Sheet1!$1:$1,[1]Sheet1!293:293)))</f>
        <v>0</v>
      </c>
      <c r="D293" s="31">
        <f>IF(COUNTIF('Premade Flavors'!$A:$A, $C293) &gt; 0,IF(ISBLANK(_xlfn.XLOOKUP("What Ice Cream Base Do You Want To Change It To?",[1]Sheet1!$1:$1,[1]Sheet1!293:293)),_xlfn.XLOOKUP($C293,'Premade Flavors'!$A:$A,'Premade Flavors'!B:B),_xlfn.XLOOKUP("What Ice Cream Base Do You Want To Change It To?",[1]Sheet1!$1:$1,[1]Sheet1!293:293)),_xlfn.XLOOKUP(_xlfn.XLOOKUP("What Kind Of Ice Cream Base Do You Want? ",[1]Sheet1!$1:$1,[1]Sheet1!293:293),'Milk Types Nutrition Per Cup'!O:O,'Milk Types Nutrition Per Cup'!P:P,""))</f>
        <v>0</v>
      </c>
      <c r="E293" s="31">
        <f>IF(COUNTIF('Premade Flavors'!$A:$A, $C293) &gt; 0,IF(ISBLANK(_xlfn.XLOOKUP("What Ice Cream Base Do You Want To Change It To?",[1]Sheet1!$1:$1,[1]Sheet1!293:293)),_xlfn.XLOOKUP($C293,'Premade Flavors'!$A:$A,'Premade Flavors'!C:C),_xlfn.XLOOKUP("What Ice Cream Base Do You Want To Change It To?",[1]Sheet1!$1:$1,[1]Sheet1!293:293)),_xlfn.XLOOKUP(_xlfn.XLOOKUP("What Kind Of Ice Cream Base Do You Want? ",[1]Sheet1!$1:$1,[1]Sheet1!293:293),'Milk Types Nutrition Per Cup'!$O:$O,'Milk Types Nutrition Per Cup'!$Q:$Q,""))</f>
        <v>0</v>
      </c>
      <c r="F293" s="31">
        <f>IF(COUNTIF('Premade Flavors'!$A:$A, $C293) &gt; 0,_xlfn.XLOOKUP($C293,'Premade Flavors'!$A:$A,'Premade Flavors'!E:E),_xlfn.XLOOKUP("What's The First Flavor You Want? ",[1]Sheet1!$1:$1,[1]Sheet1!293:293))</f>
        <v>0</v>
      </c>
      <c r="G293" s="31">
        <f>IF(COUNTIF('Premade Flavors'!$A:$A, $C293) &gt; 0,_xlfn.XLOOKUP($C293,'Premade Flavors'!$A:$A,'Premade Flavors'!F:F),_xlfn.XLOOKUP("What's the Second Flavor You Want?",[1]Sheet1!$1:$1,[1]Sheet1!293:293))</f>
        <v>0</v>
      </c>
      <c r="H293" s="31">
        <f>IF(COUNTIF('Premade Flavors'!$A:$A, $C293) &gt; 0,_xlfn.XLOOKUP($C293,'Premade Flavors'!$A:$A,'Premade Flavors'!G:G),_xlfn.XLOOKUP("What's The First Mix In That You Want? ",[1]Sheet1!$1:$1,[1]Sheet1!293:293))</f>
        <v>0</v>
      </c>
      <c r="I293" s="31">
        <f>IF(COUNTIF('Premade Flavors'!$A:$A, $C291) &gt; 0,_xlfn.XLOOKUP($C291,'Premade Flavors'!$A:$A,'Premade Flavors'!H:H),IF([2]Sheet1!W291= 0,,[2]Sheet1!W291))</f>
        <v>0</v>
      </c>
      <c r="J293" s="31">
        <f>IF(COUNTIF('Premade Flavors'!$A:$A,$C293)&gt;0,IF(_xlfn.XLOOKUP("Should It Use Sugar or A Non-Sugar Sweetner?",[1]Sheet1!$1:$1,[1]Sheet1!293:293)="Sugar",_xlfn.XLOOKUP($C293,'Premade Flavors'!$A:$A,'Premade Flavors'!I:I),"Stevia"),_xlfn.XLOOKUP("What Sweetner Do You Want?",[1]Sheet1!$1:$1,[1]Sheet1!293:293))</f>
        <v>0</v>
      </c>
      <c r="K293" s="31"/>
      <c r="L293" s="77">
        <f>_xlfn.XLOOKUP("How Much Ice Cream Do You Want?",[1]Sheet1!$1:$1,[1]Sheet1!293:293)</f>
        <v>0</v>
      </c>
      <c r="M293" s="45">
        <f>IF(COUNTIF('Premade Flavors'!$A:$A, $C293) &gt; 0,_xlfn.XLOOKUP($C293,'Premade Flavors'!$A:$A,'Premade Flavors'!M:M),_xlfn.XLOOKUP("How Strong Do You Want The First Flavor?",[1]Sheet1!$1:$1,[1]Sheet1!293:293))</f>
        <v>0</v>
      </c>
      <c r="N293" s="45">
        <f>IF(COUNTIF('Premade Flavors'!$A:$A, $C293) &gt; 0,_xlfn.XLOOKUP($C293,'Premade Flavors'!$A:$A,'Premade Flavors'!N:N),_xlfn.XLOOKUP("How Strong Do You Want The Second Flavor?",[1]Sheet1!$1:$1,[1]Sheet1!293:293))</f>
        <v>0</v>
      </c>
      <c r="O293" s="45">
        <f>IF(COUNTIF('Premade Flavors'!$A:$A, $C293) &gt; 0,_xlfn.XLOOKUP($C293,'Premade Flavors'!$A:$A,'Premade Flavors'!O:O),_xlfn.XLOOKUP("How Dense Should the Mix Ins Be?",[1]Sheet1!$1:$1,[1]Sheet1!293:293))</f>
        <v>0</v>
      </c>
      <c r="P293" s="45">
        <f>IF(COUNTIF('Premade Flavors'!$A:$A, $C293) &gt; 0,_xlfn.XLOOKUP($C293,'Premade Flavors'!$A:$A,'Premade Flavors'!P:P),_xlfn.XLOOKUP("How Much Of The First Sweetner? ",[1]Sheet1!$1:$1,[1]Sheet1!293:293))</f>
        <v>0</v>
      </c>
      <c r="Q293" s="45">
        <f>IF(COUNTIF('Premade Flavors'!$A:$A, $C293) &gt; 0,_xlfn.XLOOKUP($C293,'Premade Flavors'!$A:$A,'Premade Flavors'!Q:Q),[2]Sheet1!S293)</f>
        <v>0</v>
      </c>
      <c r="R293" s="30">
        <f>(_xlfn.XLOOKUP($L293,Specs!A:A,Specs!B:B,0)-(IF(_xlfn.XLOOKUP($F293,'Liquid Mix In Nutrition'!A:A,'Liquid Mix In Nutrition'!J:J,0)="Yes",0,$T293))-(IF(_xlfn.XLOOKUP($G293,'Liquid Mix In Nutrition'!A:A,'Liquid Mix In Nutrition'!J:J,0)="Yes",0,$U293))-(($V293/MAX(1,_xlfn.XLOOKUP($H293,'Solid Mix In Nutrition'!A:A,'Solid Mix In Nutrition'!I:I,1)))*240)-(($W293/MAX(1,_xlfn.XLOOKUP($I293,'Solid Mix In Nutrition'!A:A,'Solid Mix In Nutrition'!I:I,1)))*240))*0.66</f>
        <v>0</v>
      </c>
      <c r="S293" s="30">
        <f>(_xlfn.XLOOKUP($L293,Specs!A:A,Specs!B:B,0)-(IF(_xlfn.XLOOKUP($F293,'Liquid Mix In Nutrition'!A:A,'Liquid Mix In Nutrition'!J:J,0)="Yes",0,$T293))-(IF(_xlfn.XLOOKUP($G293,'Liquid Mix In Nutrition'!A:A,'Liquid Mix In Nutrition'!J:J,0)="Yes",0,$U293))-(($V293/MAX(1,_xlfn.XLOOKUP($H293,'Solid Mix In Nutrition'!A:A,'Solid Mix In Nutrition'!I:I,1)))*240)-(($W293/MAX(1,_xlfn.XLOOKUP($I293,'Solid Mix In Nutrition'!A:A,'Solid Mix In Nutrition'!I:I,1)))*240))*0.33</f>
        <v>0</v>
      </c>
      <c r="T293" s="30">
        <f>_xlfn.XLOOKUP($M293,Specs!$D:$D,Specs!$E:$E,0)*15*_xlfn.XLOOKUP($L293,Specs!$A:$A,Specs!$C:$C,0)</f>
        <v>0</v>
      </c>
      <c r="U293" s="30">
        <f>_xlfn.XLOOKUP($N293,Specs!$D:$D,Specs!$E:$E,0)*15*_xlfn.XLOOKUP($L293,Specs!$A:$A,Specs!$C:$C,0)</f>
        <v>0</v>
      </c>
      <c r="V293" s="30">
        <f>( ((_xlfn.XLOOKUP($O293,Specs!$H:$H,Specs!$I:$I,0)*_xlfn.XLOOKUP($L293,Specs!$A:$A,Specs!$B:$B,0))/240) *_xlfn.XLOOKUP($H293,'Solid Mix In Nutrition'!A:A,'Solid Mix In Nutrition'!I:I,0)) *IF(AND(NOT($I293=0), COUNTA($I293)),0.5,1)</f>
        <v>0</v>
      </c>
      <c r="W293" s="30">
        <f>( ((_xlfn.XLOOKUP($O293,Specs!$H:$H,Specs!$I:$I,0)*_xlfn.XLOOKUP($L293,Specs!$A:$A,Specs!$B:$B,0))/240) *_xlfn.XLOOKUP($I293,'Solid Mix In Nutrition'!A:A,'Solid Mix In Nutrition'!I:I,0)) *IF(AND(NOT($I293=0), COUNTA($I293)),0.5,0)</f>
        <v>0</v>
      </c>
      <c r="X293" s="30">
        <f>_xlfn.XLOOKUP($P293,Specs!F:F,Specs!G:G,0)*_xlfn.XLOOKUP($J293,'Sweetener Mix In Nutrition'!A:A,'Sweetener Mix In Nutrition'!I:I,0)*_xlfn.XLOOKUP($L293,Specs!A:A,Specs!C:C,0)</f>
        <v>0</v>
      </c>
      <c r="Y293" s="30">
        <f>_xlfn.XLOOKUP($Q293,Specs!F:F,Specs!G:G,0)*_xlfn.XLOOKUP($K293,'Sweetener Mix In Nutrition'!A:A,'Sweetener Mix In Nutrition'!I:I,0)*_xlfn.XLOOKUP($L293,Specs!A:A,Specs!C:C,0)</f>
        <v>0</v>
      </c>
      <c r="Z293" s="34">
        <f t="shared" si="8"/>
        <v>0</v>
      </c>
      <c r="AA293" s="35">
        <f t="shared" si="9"/>
        <v>0</v>
      </c>
      <c r="AB293" s="36">
        <f>(($R293 / 240) * _xlfn.XLOOKUP($D293,'Milk Types Nutrition Per Cup'!A:A,'Milk Types Nutrition Per Cup'!B:B,0)) +(($S293 / 240)  * _xlfn.XLOOKUP($E293,'Milk Types Nutrition Per Cup'!A:A,'Milk Types Nutrition Per Cup'!B:B,0)) +(($T293 / 15)  * _xlfn.XLOOKUP($F293,'Liquid Mix In Nutrition'!A:A,'Liquid Mix In Nutrition'!B:B,0))+(($U293 / 15)  * _xlfn.XLOOKUP($G293,'Liquid Mix In Nutrition'!A:A,'Liquid Mix In Nutrition'!B:B,0))+(($V293 /MAX(1, _xlfn.XLOOKUP($H293,'Solid Mix In Nutrition'!A:A,'Solid Mix In Nutrition'!I:I,1)))  * _xlfn.XLOOKUP($H293,'Solid Mix In Nutrition'!A:A,'Solid Mix In Nutrition'!B:B,0))+(($W293 / MAX(1, _xlfn.XLOOKUP($I293,'Solid Mix In Nutrition'!A:A,'Solid Mix In Nutrition'!I:I,1))))+(($X293 / 100)  * _xlfn.XLOOKUP($J293,'Sweetener Mix In Nutrition'!A:A,'Sweetener Mix In Nutrition'!B:B,0))+(($Y293 / 100)  * _xlfn.XLOOKUP($K293,'Sweetener Mix In Nutrition'!A:A,'Sweetener Mix In Nutrition'!B:B,0))</f>
        <v>0</v>
      </c>
      <c r="AC293" s="36">
        <f>(($R293 / 240) * _xlfn.XLOOKUP($D293,'Milk Types Nutrition Per Cup'!A:A,'Milk Types Nutrition Per Cup'!E:E,0)) +(($S293 / 240)  * _xlfn.XLOOKUP($E293,'Milk Types Nutrition Per Cup'!A:A,'Milk Types Nutrition Per Cup'!E:E,0)) +(($T293 / 15)  * _xlfn.XLOOKUP($F293,'Liquid Mix In Nutrition'!A:A,'Liquid Mix In Nutrition'!E:E,0)) +(($U293 / 15)  * _xlfn.XLOOKUP($G293,'Liquid Mix In Nutrition'!A:A,'Liquid Mix In Nutrition'!E:E,0))+(($V293 / MAX(1, _xlfn.XLOOKUP($H293,'Solid Mix In Nutrition'!A:A,'Solid Mix In Nutrition'!I:I,1)))  * _xlfn.XLOOKUP($H293,'Solid Mix In Nutrition'!A:A,'Solid Mix In Nutrition'!E:E,0))+(($W293 / MAX(1, _xlfn.XLOOKUP($I293,'Solid Mix In Nutrition'!A:A,'Solid Mix In Nutrition'!I:I,1)))  * _xlfn.XLOOKUP($I293,'Solid Mix In Nutrition'!A:A,'Solid Mix In Nutrition'!G:G,0))+(($X293 / 100)  * _xlfn.XLOOKUP($J293,'Sweetener Mix In Nutrition'!A:A,'Sweetener Mix In Nutrition'!E:E,0))+(($Y293 / 100)  * _xlfn.XLOOKUP($K293,'Sweetener Mix In Nutrition'!A:A,'Sweetener Mix In Nutrition'!E:E,0))</f>
        <v>0</v>
      </c>
      <c r="AD293" s="36">
        <f>(($R293 / 240) * _xlfn.XLOOKUP($D293,'Milk Types Nutrition Per Cup'!A:A,'Milk Types Nutrition Per Cup'!E:E,0)) +(($S293 / 240)  * _xlfn.XLOOKUP($E293,'Milk Types Nutrition Per Cup'!A:A,'Milk Types Nutrition Per Cup'!E:E,0)) +(($T293 / 15)  * _xlfn.XLOOKUP($F293,'Liquid Mix In Nutrition'!A:A,'Liquid Mix In Nutrition'!E:E,0)) +(($U293 / 15)  * _xlfn.XLOOKUP($G293,'Liquid Mix In Nutrition'!A:A,'Liquid Mix In Nutrition'!E:E,0))+(($X293 / 100)  * _xlfn.XLOOKUP($J293,'Sweetener Mix In Nutrition'!A:A,'Sweetener Mix In Nutrition'!E:E,0))+(($Y293 / 100)  * _xlfn.XLOOKUP($K293,'Sweetener Mix In Nutrition'!A:A,'Sweetener Mix In Nutrition'!E:E,0))</f>
        <v>0</v>
      </c>
      <c r="AE293" s="37">
        <f>(($R293 / 240) * _xlfn.XLOOKUP($D293,'Milk Types Nutrition Per Cup'!A:A,'Milk Types Nutrition Per Cup'!C:C,0)) +(($S293 / 240)  * _xlfn.XLOOKUP($E293,'Milk Types Nutrition Per Cup'!A:A,'Milk Types Nutrition Per Cup'!C:C,0)) +(($T293 / 15)  * _xlfn.XLOOKUP($F293,'Liquid Mix In Nutrition'!A:A,'Liquid Mix In Nutrition'!C:C,0))+(($U293 / 15)  * _xlfn.XLOOKUP($G293,'Liquid Mix In Nutrition'!A:A,'Liquid Mix In Nutrition'!C:C,0))+(($V293 / MAX(1, _xlfn.XLOOKUP($H293,'Solid Mix In Nutrition'!A:A,'Solid Mix In Nutrition'!I:I,1)))  * _xlfn.XLOOKUP($H293,'Solid Mix In Nutrition'!A:A,'Solid Mix In Nutrition'!C:C,0))+(($W293 / MAX(1, _xlfn.XLOOKUP($I293,'Solid Mix In Nutrition'!A:A,'Solid Mix In Nutrition'!I:I,1)))  * _xlfn.XLOOKUP($I293,'Solid Mix In Nutrition'!A:A,'Solid Mix In Nutrition'!C:C,0))+(($X293 / 100)  * _xlfn.XLOOKUP($J293,'Sweetener Mix In Nutrition'!A:A,'Sweetener Mix In Nutrition'!C:C,0))+(($Y293 / 100)  * _xlfn.XLOOKUP($K293,'Sweetener Mix In Nutrition'!A:A,'Sweetener Mix In Nutrition'!C:C,0))</f>
        <v>0</v>
      </c>
      <c r="AF293" s="38" t="e">
        <f>$AE293 / (_xlfn.XLOOKUP($L293,Specs!A:A,Specs!B:B,0))</f>
        <v>#DIV/0!</v>
      </c>
      <c r="AG293" s="37" t="e">
        <f>60* ($AB293 / _xlfn.XLOOKUP($L293,Specs!A:A,Specs!B:B,0))</f>
        <v>#DIV/0!</v>
      </c>
      <c r="AH293" s="37" t="e">
        <f>60* (AC293 / _xlfn.XLOOKUP($L293,Specs!$A:$A,Specs!$B:$B,0))</f>
        <v>#DIV/0!</v>
      </c>
      <c r="AI293" s="37" t="e">
        <f>60* (AE293 / _xlfn.XLOOKUP($L293,Specs!$A:$A,Specs!$B:$B,0))</f>
        <v>#DIV/0!</v>
      </c>
      <c r="AJ293" s="39">
        <f>(($R293 / 240) * _xlfn.XLOOKUP($D293,'Milk Types Nutrition Per Cup'!A:A,'Milk Types Nutrition Per Cup'!F:F,0)) +(($S293 / 240)  * _xlfn.XLOOKUP($E293,'Milk Types Nutrition Per Cup'!A:A,'Milk Types Nutrition Per Cup'!F:F,0)) +(($T293 / 15)  * _xlfn.XLOOKUP($F293,'Liquid Mix In Nutrition'!A:A,'Liquid Mix In Nutrition'!F:F,0))+(($U293 / 15)  * _xlfn.XLOOKUP($G293,'Liquid Mix In Nutrition'!A:A,'Liquid Mix In Nutrition'!F:F,0))+(($V293 / MAX(1, _xlfn.XLOOKUP($H293,'Solid Mix In Nutrition'!A:A,'Solid Mix In Nutrition'!I:I,1)))  * _xlfn.XLOOKUP($H293,'Solid Mix In Nutrition'!A:A,'Solid Mix In Nutrition'!F:F,0))+(($W293 / MAX(1, _xlfn.XLOOKUP($I293,'Solid Mix In Nutrition'!A:A,'Solid Mix In Nutrition'!I:I,1)))  * _xlfn.XLOOKUP($I293,'Solid Mix In Nutrition'!A:A,'Solid Mix In Nutrition'!F:F,0))+(($X293 / 100)  * _xlfn.XLOOKUP($J293,'Sweetener Mix In Nutrition'!A:A,'Sweetener Mix In Nutrition'!F:F,0))+(($Y293 / 100)  * _xlfn.XLOOKUP($K293,'Sweetener Mix In Nutrition'!A:A,'Sweetener Mix In Nutrition'!F:F,0))</f>
        <v>0</v>
      </c>
      <c r="AK293" s="46">
        <f>[2]Sheet1!AG293</f>
        <v>0</v>
      </c>
      <c r="AL293" s="47"/>
      <c r="AM293" s="40">
        <f>IF(ISERROR(((AL293/Specs!$L$3)*Specs!$L$2)*2),0,ROUNDUP((((AL293/Specs!$L$3)*Specs!$L$2)*2),0))</f>
        <v>0</v>
      </c>
      <c r="AN293" s="48">
        <f>ROUNDUP(((AJ293+Specs!$R$2+Specs!$S$2+_xlfn.XLOOKUP($L293,Specs!A:A,Specs!V:V,0))*Specs!$N$2)+AM293,0)</f>
        <v>1</v>
      </c>
      <c r="AO293" s="40">
        <f>ROUNDUP(((AJ293+Specs!$R$2+Specs!$S$2+_xlfn.XLOOKUP($L293,Specs!A:A,Specs!V:V,0))*Specs!$N$2),0)</f>
        <v>1</v>
      </c>
      <c r="AP293" s="30"/>
    </row>
    <row r="294" spans="1:42" x14ac:dyDescent="0.25">
      <c r="A294" s="41" t="str">
        <f>_xlfn.CONCAT(_xlfn.XLOOKUP("What's Your Name?",[1]Sheet1!$1:$1,[1]Sheet1!294:294)," | ",TEXT(_xlfn.XLOOKUP("Completion time",[1]Sheet1!$1:$1,[1]Sheet1!294:294),"dddd, mmm dd, yyyy hh:mm AM/PM"))</f>
        <v xml:space="preserve"> | Saturday, Jan 00, 1900 12:00 AM</v>
      </c>
      <c r="B294" s="76">
        <f>_xlfn.XLOOKUP("What's Your Email Address?",[1]Sheet1!$1:$1,[1]Sheet1!294:294)</f>
        <v>0</v>
      </c>
      <c r="C294" s="31">
        <f>IF(ISBLANK(_xlfn.XLOOKUP("Which Flavor? (Pint Price | Quart Price | Half Gallon Price) (NOTE: Prices may fluctuate based on market conditions)",[1]Sheet1!$1:$1,[1]Sheet1!294:294)),_xlfn.XLOOKUP("Name Your Ice Cream!",[1]Sheet1!$1:$1,[1]Sheet1!294:294),IF(ISNUMBER(FIND("(", _xlfn.XLOOKUP("Which Flavor? (Pint Price | Quart Price | Half Gallon Price) (NOTE: Prices may fluctuate based on market conditions)",[1]Sheet1!$1:$1,[1]Sheet1!294:294))), LEFT(_xlfn.XLOOKUP("Which Flavor? (Pint Price | Quart Price | Half Gallon Price) (NOTE: Prices may fluctuate based on market conditions)",[1]Sheet1!$1:$1,[1]Sheet1!294:294), FIND("(", _xlfn.XLOOKUP("Which Flavor? (Pint Price | Quart Price | Half Gallon Price) (NOTE: Prices may fluctuate based on market conditions)",[1]Sheet1!$1:$1,[1]Sheet1!294:294)) - 1), _xlfn.XLOOKUP("Which Flavor? (Pint Price | Quart Price | Half Gallon Price) (NOTE: Prices may fluctuate based on market conditions)",[1]Sheet1!$1:$1,[1]Sheet1!294:294)))</f>
        <v>0</v>
      </c>
      <c r="D294" s="31">
        <f>IF(COUNTIF('Premade Flavors'!$A:$A, $C294) &gt; 0,IF(ISBLANK(_xlfn.XLOOKUP("What Ice Cream Base Do You Want To Change It To?",[1]Sheet1!$1:$1,[1]Sheet1!294:294)),_xlfn.XLOOKUP($C294,'Premade Flavors'!$A:$A,'Premade Flavors'!B:B),_xlfn.XLOOKUP("What Ice Cream Base Do You Want To Change It To?",[1]Sheet1!$1:$1,[1]Sheet1!294:294)),_xlfn.XLOOKUP(_xlfn.XLOOKUP("What Kind Of Ice Cream Base Do You Want? ",[1]Sheet1!$1:$1,[1]Sheet1!294:294),'Milk Types Nutrition Per Cup'!O:O,'Milk Types Nutrition Per Cup'!P:P,""))</f>
        <v>0</v>
      </c>
      <c r="E294" s="31">
        <f>IF(COUNTIF('Premade Flavors'!$A:$A, $C294) &gt; 0,IF(ISBLANK(_xlfn.XLOOKUP("What Ice Cream Base Do You Want To Change It To?",[1]Sheet1!$1:$1,[1]Sheet1!294:294)),_xlfn.XLOOKUP($C294,'Premade Flavors'!$A:$A,'Premade Flavors'!C:C),_xlfn.XLOOKUP("What Ice Cream Base Do You Want To Change It To?",[1]Sheet1!$1:$1,[1]Sheet1!294:294)),_xlfn.XLOOKUP(_xlfn.XLOOKUP("What Kind Of Ice Cream Base Do You Want? ",[1]Sheet1!$1:$1,[1]Sheet1!294:294),'Milk Types Nutrition Per Cup'!$O:$O,'Milk Types Nutrition Per Cup'!$Q:$Q,""))</f>
        <v>0</v>
      </c>
      <c r="F294" s="31">
        <f>IF(COUNTIF('Premade Flavors'!$A:$A, $C294) &gt; 0,_xlfn.XLOOKUP($C294,'Premade Flavors'!$A:$A,'Premade Flavors'!E:E),_xlfn.XLOOKUP("What's The First Flavor You Want? ",[1]Sheet1!$1:$1,[1]Sheet1!294:294))</f>
        <v>0</v>
      </c>
      <c r="G294" s="31">
        <f>IF(COUNTIF('Premade Flavors'!$A:$A, $C294) &gt; 0,_xlfn.XLOOKUP($C294,'Premade Flavors'!$A:$A,'Premade Flavors'!F:F),_xlfn.XLOOKUP("What's the Second Flavor You Want?",[1]Sheet1!$1:$1,[1]Sheet1!294:294))</f>
        <v>0</v>
      </c>
      <c r="H294" s="31">
        <f>IF(COUNTIF('Premade Flavors'!$A:$A, $C294) &gt; 0,_xlfn.XLOOKUP($C294,'Premade Flavors'!$A:$A,'Premade Flavors'!G:G),_xlfn.XLOOKUP("What's The First Mix In That You Want? ",[1]Sheet1!$1:$1,[1]Sheet1!294:294))</f>
        <v>0</v>
      </c>
      <c r="I294" s="31">
        <f>IF(COUNTIF('Premade Flavors'!$A:$A, $C292) &gt; 0,_xlfn.XLOOKUP($C292,'Premade Flavors'!$A:$A,'Premade Flavors'!H:H),IF([2]Sheet1!W292= 0,,[2]Sheet1!W292))</f>
        <v>0</v>
      </c>
      <c r="J294" s="31">
        <f>IF(COUNTIF('Premade Flavors'!$A:$A,$C294)&gt;0,IF(_xlfn.XLOOKUP("Should It Use Sugar or A Non-Sugar Sweetner?",[1]Sheet1!$1:$1,[1]Sheet1!294:294)="Sugar",_xlfn.XLOOKUP($C294,'Premade Flavors'!$A:$A,'Premade Flavors'!I:I),"Stevia"),_xlfn.XLOOKUP("What Sweetner Do You Want?",[1]Sheet1!$1:$1,[1]Sheet1!294:294))</f>
        <v>0</v>
      </c>
      <c r="K294" s="31"/>
      <c r="L294" s="77">
        <f>_xlfn.XLOOKUP("How Much Ice Cream Do You Want?",[1]Sheet1!$1:$1,[1]Sheet1!294:294)</f>
        <v>0</v>
      </c>
      <c r="M294" s="45">
        <f>IF(COUNTIF('Premade Flavors'!$A:$A, $C294) &gt; 0,_xlfn.XLOOKUP($C294,'Premade Flavors'!$A:$A,'Premade Flavors'!M:M),_xlfn.XLOOKUP("How Strong Do You Want The First Flavor?",[1]Sheet1!$1:$1,[1]Sheet1!294:294))</f>
        <v>0</v>
      </c>
      <c r="N294" s="45">
        <f>IF(COUNTIF('Premade Flavors'!$A:$A, $C294) &gt; 0,_xlfn.XLOOKUP($C294,'Premade Flavors'!$A:$A,'Premade Flavors'!N:N),_xlfn.XLOOKUP("How Strong Do You Want The Second Flavor?",[1]Sheet1!$1:$1,[1]Sheet1!294:294))</f>
        <v>0</v>
      </c>
      <c r="O294" s="45">
        <f>IF(COUNTIF('Premade Flavors'!$A:$A, $C294) &gt; 0,_xlfn.XLOOKUP($C294,'Premade Flavors'!$A:$A,'Premade Flavors'!O:O),_xlfn.XLOOKUP("How Dense Should the Mix Ins Be?",[1]Sheet1!$1:$1,[1]Sheet1!294:294))</f>
        <v>0</v>
      </c>
      <c r="P294" s="45">
        <f>IF(COUNTIF('Premade Flavors'!$A:$A, $C294) &gt; 0,_xlfn.XLOOKUP($C294,'Premade Flavors'!$A:$A,'Premade Flavors'!P:P),_xlfn.XLOOKUP("How Much Of The First Sweetner? ",[1]Sheet1!$1:$1,[1]Sheet1!294:294))</f>
        <v>0</v>
      </c>
      <c r="Q294" s="45">
        <f>IF(COUNTIF('Premade Flavors'!$A:$A, $C294) &gt; 0,_xlfn.XLOOKUP($C294,'Premade Flavors'!$A:$A,'Premade Flavors'!Q:Q),[2]Sheet1!S294)</f>
        <v>0</v>
      </c>
      <c r="R294" s="30">
        <f>(_xlfn.XLOOKUP($L294,Specs!A:A,Specs!B:B,0)-(IF(_xlfn.XLOOKUP($F294,'Liquid Mix In Nutrition'!A:A,'Liquid Mix In Nutrition'!J:J,0)="Yes",0,$T294))-(IF(_xlfn.XLOOKUP($G294,'Liquid Mix In Nutrition'!A:A,'Liquid Mix In Nutrition'!J:J,0)="Yes",0,$U294))-(($V294/MAX(1,_xlfn.XLOOKUP($H294,'Solid Mix In Nutrition'!A:A,'Solid Mix In Nutrition'!I:I,1)))*240)-(($W294/MAX(1,_xlfn.XLOOKUP($I294,'Solid Mix In Nutrition'!A:A,'Solid Mix In Nutrition'!I:I,1)))*240))*0.66</f>
        <v>0</v>
      </c>
      <c r="S294" s="30">
        <f>(_xlfn.XLOOKUP($L294,Specs!A:A,Specs!B:B,0)-(IF(_xlfn.XLOOKUP($F294,'Liquid Mix In Nutrition'!A:A,'Liquid Mix In Nutrition'!J:J,0)="Yes",0,$T294))-(IF(_xlfn.XLOOKUP($G294,'Liquid Mix In Nutrition'!A:A,'Liquid Mix In Nutrition'!J:J,0)="Yes",0,$U294))-(($V294/MAX(1,_xlfn.XLOOKUP($H294,'Solid Mix In Nutrition'!A:A,'Solid Mix In Nutrition'!I:I,1)))*240)-(($W294/MAX(1,_xlfn.XLOOKUP($I294,'Solid Mix In Nutrition'!A:A,'Solid Mix In Nutrition'!I:I,1)))*240))*0.33</f>
        <v>0</v>
      </c>
      <c r="T294" s="30">
        <f>_xlfn.XLOOKUP($M294,Specs!$D:$D,Specs!$E:$E,0)*15*_xlfn.XLOOKUP($L294,Specs!$A:$A,Specs!$C:$C,0)</f>
        <v>0</v>
      </c>
      <c r="U294" s="30">
        <f>_xlfn.XLOOKUP($N294,Specs!$D:$D,Specs!$E:$E,0)*15*_xlfn.XLOOKUP($L294,Specs!$A:$A,Specs!$C:$C,0)</f>
        <v>0</v>
      </c>
      <c r="V294" s="30">
        <f>( ((_xlfn.XLOOKUP($O294,Specs!$H:$H,Specs!$I:$I,0)*_xlfn.XLOOKUP($L294,Specs!$A:$A,Specs!$B:$B,0))/240) *_xlfn.XLOOKUP($H294,'Solid Mix In Nutrition'!A:A,'Solid Mix In Nutrition'!I:I,0)) *IF(AND(NOT($I294=0), COUNTA($I294)),0.5,1)</f>
        <v>0</v>
      </c>
      <c r="W294" s="30">
        <f>( ((_xlfn.XLOOKUP($O294,Specs!$H:$H,Specs!$I:$I,0)*_xlfn.XLOOKUP($L294,Specs!$A:$A,Specs!$B:$B,0))/240) *_xlfn.XLOOKUP($I294,'Solid Mix In Nutrition'!A:A,'Solid Mix In Nutrition'!I:I,0)) *IF(AND(NOT($I294=0), COUNTA($I294)),0.5,0)</f>
        <v>0</v>
      </c>
      <c r="X294" s="30">
        <f>_xlfn.XLOOKUP($P294,Specs!F:F,Specs!G:G,0)*_xlfn.XLOOKUP($J294,'Sweetener Mix In Nutrition'!A:A,'Sweetener Mix In Nutrition'!I:I,0)*_xlfn.XLOOKUP($L294,Specs!A:A,Specs!C:C,0)</f>
        <v>0</v>
      </c>
      <c r="Y294" s="30">
        <f>_xlfn.XLOOKUP($Q294,Specs!F:F,Specs!G:G,0)*_xlfn.XLOOKUP($K294,'Sweetener Mix In Nutrition'!A:A,'Sweetener Mix In Nutrition'!I:I,0)*_xlfn.XLOOKUP($L294,Specs!A:A,Specs!C:C,0)</f>
        <v>0</v>
      </c>
      <c r="Z294" s="34">
        <f t="shared" ref="Z294:Z305" si="10">($R294+$S294+$T294+$X294+$Y294)*IF(ISNUMBER(SEARCH("Fat Free",$D294)),0.0036,0.0012)</f>
        <v>0</v>
      </c>
      <c r="AA294" s="35">
        <f t="shared" ref="AA294:AA305" si="11">CEILING(CONVERT(($R294+$S294+$T294+$X294+$Y294)*IF(ISNUMBER(SEARCH("Fat Free",$D294)),0.0036,0.0012),"ml","tsp"),0.25)</f>
        <v>0</v>
      </c>
      <c r="AB294" s="36">
        <f>(($R294 / 240) * _xlfn.XLOOKUP($D294,'Milk Types Nutrition Per Cup'!A:A,'Milk Types Nutrition Per Cup'!B:B,0)) +(($S294 / 240)  * _xlfn.XLOOKUP($E294,'Milk Types Nutrition Per Cup'!A:A,'Milk Types Nutrition Per Cup'!B:B,0)) +(($T294 / 15)  * _xlfn.XLOOKUP($F294,'Liquid Mix In Nutrition'!A:A,'Liquid Mix In Nutrition'!B:B,0))+(($U294 / 15)  * _xlfn.XLOOKUP($G294,'Liquid Mix In Nutrition'!A:A,'Liquid Mix In Nutrition'!B:B,0))+(($V294 /MAX(1, _xlfn.XLOOKUP($H294,'Solid Mix In Nutrition'!A:A,'Solid Mix In Nutrition'!I:I,1)))  * _xlfn.XLOOKUP($H294,'Solid Mix In Nutrition'!A:A,'Solid Mix In Nutrition'!B:B,0))+(($W294 / MAX(1, _xlfn.XLOOKUP($I294,'Solid Mix In Nutrition'!A:A,'Solid Mix In Nutrition'!I:I,1))))+(($X294 / 100)  * _xlfn.XLOOKUP($J294,'Sweetener Mix In Nutrition'!A:A,'Sweetener Mix In Nutrition'!B:B,0))+(($Y294 / 100)  * _xlfn.XLOOKUP($K294,'Sweetener Mix In Nutrition'!A:A,'Sweetener Mix In Nutrition'!B:B,0))</f>
        <v>0</v>
      </c>
      <c r="AC294" s="36">
        <f>(($R294 / 240) * _xlfn.XLOOKUP($D294,'Milk Types Nutrition Per Cup'!A:A,'Milk Types Nutrition Per Cup'!E:E,0)) +(($S294 / 240)  * _xlfn.XLOOKUP($E294,'Milk Types Nutrition Per Cup'!A:A,'Milk Types Nutrition Per Cup'!E:E,0)) +(($T294 / 15)  * _xlfn.XLOOKUP($F294,'Liquid Mix In Nutrition'!A:A,'Liquid Mix In Nutrition'!E:E,0)) +(($U294 / 15)  * _xlfn.XLOOKUP($G294,'Liquid Mix In Nutrition'!A:A,'Liquid Mix In Nutrition'!E:E,0))+(($V294 / MAX(1, _xlfn.XLOOKUP($H294,'Solid Mix In Nutrition'!A:A,'Solid Mix In Nutrition'!I:I,1)))  * _xlfn.XLOOKUP($H294,'Solid Mix In Nutrition'!A:A,'Solid Mix In Nutrition'!E:E,0))+(($W294 / MAX(1, _xlfn.XLOOKUP($I294,'Solid Mix In Nutrition'!A:A,'Solid Mix In Nutrition'!I:I,1)))  * _xlfn.XLOOKUP($I294,'Solid Mix In Nutrition'!A:A,'Solid Mix In Nutrition'!G:G,0))+(($X294 / 100)  * _xlfn.XLOOKUP($J294,'Sweetener Mix In Nutrition'!A:A,'Sweetener Mix In Nutrition'!E:E,0))+(($Y294 / 100)  * _xlfn.XLOOKUP($K294,'Sweetener Mix In Nutrition'!A:A,'Sweetener Mix In Nutrition'!E:E,0))</f>
        <v>0</v>
      </c>
      <c r="AD294" s="36">
        <f>(($R294 / 240) * _xlfn.XLOOKUP($D294,'Milk Types Nutrition Per Cup'!A:A,'Milk Types Nutrition Per Cup'!E:E,0)) +(($S294 / 240)  * _xlfn.XLOOKUP($E294,'Milk Types Nutrition Per Cup'!A:A,'Milk Types Nutrition Per Cup'!E:E,0)) +(($T294 / 15)  * _xlfn.XLOOKUP($F294,'Liquid Mix In Nutrition'!A:A,'Liquid Mix In Nutrition'!E:E,0)) +(($U294 / 15)  * _xlfn.XLOOKUP($G294,'Liquid Mix In Nutrition'!A:A,'Liquid Mix In Nutrition'!E:E,0))+(($X294 / 100)  * _xlfn.XLOOKUP($J294,'Sweetener Mix In Nutrition'!A:A,'Sweetener Mix In Nutrition'!E:E,0))+(($Y294 / 100)  * _xlfn.XLOOKUP($K294,'Sweetener Mix In Nutrition'!A:A,'Sweetener Mix In Nutrition'!E:E,0))</f>
        <v>0</v>
      </c>
      <c r="AE294" s="37">
        <f>(($R294 / 240) * _xlfn.XLOOKUP($D294,'Milk Types Nutrition Per Cup'!A:A,'Milk Types Nutrition Per Cup'!C:C,0)) +(($S294 / 240)  * _xlfn.XLOOKUP($E294,'Milk Types Nutrition Per Cup'!A:A,'Milk Types Nutrition Per Cup'!C:C,0)) +(($T294 / 15)  * _xlfn.XLOOKUP($F294,'Liquid Mix In Nutrition'!A:A,'Liquid Mix In Nutrition'!C:C,0))+(($U294 / 15)  * _xlfn.XLOOKUP($G294,'Liquid Mix In Nutrition'!A:A,'Liquid Mix In Nutrition'!C:C,0))+(($V294 / MAX(1, _xlfn.XLOOKUP($H294,'Solid Mix In Nutrition'!A:A,'Solid Mix In Nutrition'!I:I,1)))  * _xlfn.XLOOKUP($H294,'Solid Mix In Nutrition'!A:A,'Solid Mix In Nutrition'!C:C,0))+(($W294 / MAX(1, _xlfn.XLOOKUP($I294,'Solid Mix In Nutrition'!A:A,'Solid Mix In Nutrition'!I:I,1)))  * _xlfn.XLOOKUP($I294,'Solid Mix In Nutrition'!A:A,'Solid Mix In Nutrition'!C:C,0))+(($X294 / 100)  * _xlfn.XLOOKUP($J294,'Sweetener Mix In Nutrition'!A:A,'Sweetener Mix In Nutrition'!C:C,0))+(($Y294 / 100)  * _xlfn.XLOOKUP($K294,'Sweetener Mix In Nutrition'!A:A,'Sweetener Mix In Nutrition'!C:C,0))</f>
        <v>0</v>
      </c>
      <c r="AF294" s="38" t="e">
        <f>$AE294 / (_xlfn.XLOOKUP($L294,Specs!A:A,Specs!B:B,0))</f>
        <v>#DIV/0!</v>
      </c>
      <c r="AG294" s="37" t="e">
        <f>60* ($AB294 / _xlfn.XLOOKUP($L294,Specs!A:A,Specs!B:B,0))</f>
        <v>#DIV/0!</v>
      </c>
      <c r="AH294" s="37" t="e">
        <f>60* (AC294 / _xlfn.XLOOKUP($L294,Specs!$A:$A,Specs!$B:$B,0))</f>
        <v>#DIV/0!</v>
      </c>
      <c r="AI294" s="37" t="e">
        <f>60* (AE294 / _xlfn.XLOOKUP($L294,Specs!$A:$A,Specs!$B:$B,0))</f>
        <v>#DIV/0!</v>
      </c>
      <c r="AJ294" s="39">
        <f>(($R294 / 240) * _xlfn.XLOOKUP($D294,'Milk Types Nutrition Per Cup'!A:A,'Milk Types Nutrition Per Cup'!F:F,0)) +(($S294 / 240)  * _xlfn.XLOOKUP($E294,'Milk Types Nutrition Per Cup'!A:A,'Milk Types Nutrition Per Cup'!F:F,0)) +(($T294 / 15)  * _xlfn.XLOOKUP($F294,'Liquid Mix In Nutrition'!A:A,'Liquid Mix In Nutrition'!F:F,0))+(($U294 / 15)  * _xlfn.XLOOKUP($G294,'Liquid Mix In Nutrition'!A:A,'Liquid Mix In Nutrition'!F:F,0))+(($V294 / MAX(1, _xlfn.XLOOKUP($H294,'Solid Mix In Nutrition'!A:A,'Solid Mix In Nutrition'!I:I,1)))  * _xlfn.XLOOKUP($H294,'Solid Mix In Nutrition'!A:A,'Solid Mix In Nutrition'!F:F,0))+(($W294 / MAX(1, _xlfn.XLOOKUP($I294,'Solid Mix In Nutrition'!A:A,'Solid Mix In Nutrition'!I:I,1)))  * _xlfn.XLOOKUP($I294,'Solid Mix In Nutrition'!A:A,'Solid Mix In Nutrition'!F:F,0))+(($X294 / 100)  * _xlfn.XLOOKUP($J294,'Sweetener Mix In Nutrition'!A:A,'Sweetener Mix In Nutrition'!F:F,0))+(($Y294 / 100)  * _xlfn.XLOOKUP($K294,'Sweetener Mix In Nutrition'!A:A,'Sweetener Mix In Nutrition'!F:F,0))</f>
        <v>0</v>
      </c>
      <c r="AK294" s="46">
        <f>[2]Sheet1!AG294</f>
        <v>0</v>
      </c>
      <c r="AL294" s="47"/>
      <c r="AM294" s="40">
        <f>IF(ISERROR(((AL294/Specs!$L$3)*Specs!$L$2)*2),0,ROUNDUP((((AL294/Specs!$L$3)*Specs!$L$2)*2),0))</f>
        <v>0</v>
      </c>
      <c r="AN294" s="48">
        <f>ROUNDUP(((AJ294+Specs!$R$2+Specs!$S$2+_xlfn.XLOOKUP($L294,Specs!A:A,Specs!V:V,0))*Specs!$N$2)+AM294,0)</f>
        <v>1</v>
      </c>
      <c r="AO294" s="40">
        <f>ROUNDUP(((AJ294+Specs!$R$2+Specs!$S$2+_xlfn.XLOOKUP($L294,Specs!A:A,Specs!V:V,0))*Specs!$N$2),0)</f>
        <v>1</v>
      </c>
      <c r="AP294" s="30"/>
    </row>
    <row r="295" spans="1:42" x14ac:dyDescent="0.25">
      <c r="A295" s="41" t="str">
        <f>_xlfn.CONCAT(_xlfn.XLOOKUP("What's Your Name?",[1]Sheet1!$1:$1,[1]Sheet1!295:295)," | ",TEXT(_xlfn.XLOOKUP("Completion time",[1]Sheet1!$1:$1,[1]Sheet1!295:295),"dddd, mmm dd, yyyy hh:mm AM/PM"))</f>
        <v xml:space="preserve"> | Saturday, Jan 00, 1900 12:00 AM</v>
      </c>
      <c r="B295" s="76">
        <f>_xlfn.XLOOKUP("What's Your Email Address?",[1]Sheet1!$1:$1,[1]Sheet1!295:295)</f>
        <v>0</v>
      </c>
      <c r="C295" s="31">
        <f>IF(ISBLANK(_xlfn.XLOOKUP("Which Flavor? (Pint Price | Quart Price | Half Gallon Price) (NOTE: Prices may fluctuate based on market conditions)",[1]Sheet1!$1:$1,[1]Sheet1!295:295)),_xlfn.XLOOKUP("Name Your Ice Cream!",[1]Sheet1!$1:$1,[1]Sheet1!295:295),IF(ISNUMBER(FIND("(", _xlfn.XLOOKUP("Which Flavor? (Pint Price | Quart Price | Half Gallon Price) (NOTE: Prices may fluctuate based on market conditions)",[1]Sheet1!$1:$1,[1]Sheet1!295:295))), LEFT(_xlfn.XLOOKUP("Which Flavor? (Pint Price | Quart Price | Half Gallon Price) (NOTE: Prices may fluctuate based on market conditions)",[1]Sheet1!$1:$1,[1]Sheet1!295:295), FIND("(", _xlfn.XLOOKUP("Which Flavor? (Pint Price | Quart Price | Half Gallon Price) (NOTE: Prices may fluctuate based on market conditions)",[1]Sheet1!$1:$1,[1]Sheet1!295:295)) - 1), _xlfn.XLOOKUP("Which Flavor? (Pint Price | Quart Price | Half Gallon Price) (NOTE: Prices may fluctuate based on market conditions)",[1]Sheet1!$1:$1,[1]Sheet1!295:295)))</f>
        <v>0</v>
      </c>
      <c r="D295" s="31">
        <f>IF(COUNTIF('Premade Flavors'!$A:$A, $C295) &gt; 0,IF(ISBLANK(_xlfn.XLOOKUP("What Ice Cream Base Do You Want To Change It To?",[1]Sheet1!$1:$1,[1]Sheet1!295:295)),_xlfn.XLOOKUP($C295,'Premade Flavors'!$A:$A,'Premade Flavors'!B:B),_xlfn.XLOOKUP("What Ice Cream Base Do You Want To Change It To?",[1]Sheet1!$1:$1,[1]Sheet1!295:295)),_xlfn.XLOOKUP(_xlfn.XLOOKUP("What Kind Of Ice Cream Base Do You Want? ",[1]Sheet1!$1:$1,[1]Sheet1!295:295),'Milk Types Nutrition Per Cup'!O:O,'Milk Types Nutrition Per Cup'!P:P,""))</f>
        <v>0</v>
      </c>
      <c r="E295" s="31">
        <f>IF(COUNTIF('Premade Flavors'!$A:$A, $C295) &gt; 0,IF(ISBLANK(_xlfn.XLOOKUP("What Ice Cream Base Do You Want To Change It To?",[1]Sheet1!$1:$1,[1]Sheet1!295:295)),_xlfn.XLOOKUP($C295,'Premade Flavors'!$A:$A,'Premade Flavors'!C:C),_xlfn.XLOOKUP("What Ice Cream Base Do You Want To Change It To?",[1]Sheet1!$1:$1,[1]Sheet1!295:295)),_xlfn.XLOOKUP(_xlfn.XLOOKUP("What Kind Of Ice Cream Base Do You Want? ",[1]Sheet1!$1:$1,[1]Sheet1!295:295),'Milk Types Nutrition Per Cup'!$O:$O,'Milk Types Nutrition Per Cup'!$Q:$Q,""))</f>
        <v>0</v>
      </c>
      <c r="F295" s="31">
        <f>IF(COUNTIF('Premade Flavors'!$A:$A, $C295) &gt; 0,_xlfn.XLOOKUP($C295,'Premade Flavors'!$A:$A,'Premade Flavors'!E:E),_xlfn.XLOOKUP("What's The First Flavor You Want? ",[1]Sheet1!$1:$1,[1]Sheet1!295:295))</f>
        <v>0</v>
      </c>
      <c r="G295" s="31">
        <f>IF(COUNTIF('Premade Flavors'!$A:$A, $C295) &gt; 0,_xlfn.XLOOKUP($C295,'Premade Flavors'!$A:$A,'Premade Flavors'!F:F),_xlfn.XLOOKUP("What's the Second Flavor You Want?",[1]Sheet1!$1:$1,[1]Sheet1!295:295))</f>
        <v>0</v>
      </c>
      <c r="H295" s="31">
        <f>IF(COUNTIF('Premade Flavors'!$A:$A, $C295) &gt; 0,_xlfn.XLOOKUP($C295,'Premade Flavors'!$A:$A,'Premade Flavors'!G:G),_xlfn.XLOOKUP("What's The First Mix In That You Want? ",[1]Sheet1!$1:$1,[1]Sheet1!295:295))</f>
        <v>0</v>
      </c>
      <c r="I295" s="31">
        <f>IF(COUNTIF('Premade Flavors'!$A:$A, $C293) &gt; 0,_xlfn.XLOOKUP($C293,'Premade Flavors'!$A:$A,'Premade Flavors'!H:H),IF([2]Sheet1!W293= 0,,[2]Sheet1!W293))</f>
        <v>0</v>
      </c>
      <c r="J295" s="31">
        <f>IF(COUNTIF('Premade Flavors'!$A:$A,$C295)&gt;0,IF(_xlfn.XLOOKUP("Should It Use Sugar or A Non-Sugar Sweetner?",[1]Sheet1!$1:$1,[1]Sheet1!295:295)="Sugar",_xlfn.XLOOKUP($C295,'Premade Flavors'!$A:$A,'Premade Flavors'!I:I),"Stevia"),_xlfn.XLOOKUP("What Sweetner Do You Want?",[1]Sheet1!$1:$1,[1]Sheet1!295:295))</f>
        <v>0</v>
      </c>
      <c r="K295" s="31"/>
      <c r="L295" s="77">
        <f>_xlfn.XLOOKUP("How Much Ice Cream Do You Want?",[1]Sheet1!$1:$1,[1]Sheet1!295:295)</f>
        <v>0</v>
      </c>
      <c r="M295" s="45">
        <f>IF(COUNTIF('Premade Flavors'!$A:$A, $C295) &gt; 0,_xlfn.XLOOKUP($C295,'Premade Flavors'!$A:$A,'Premade Flavors'!M:M),_xlfn.XLOOKUP("How Strong Do You Want The First Flavor?",[1]Sheet1!$1:$1,[1]Sheet1!295:295))</f>
        <v>0</v>
      </c>
      <c r="N295" s="45">
        <f>IF(COUNTIF('Premade Flavors'!$A:$A, $C295) &gt; 0,_xlfn.XLOOKUP($C295,'Premade Flavors'!$A:$A,'Premade Flavors'!N:N),_xlfn.XLOOKUP("How Strong Do You Want The Second Flavor?",[1]Sheet1!$1:$1,[1]Sheet1!295:295))</f>
        <v>0</v>
      </c>
      <c r="O295" s="45">
        <f>IF(COUNTIF('Premade Flavors'!$A:$A, $C295) &gt; 0,_xlfn.XLOOKUP($C295,'Premade Flavors'!$A:$A,'Premade Flavors'!O:O),_xlfn.XLOOKUP("How Dense Should the Mix Ins Be?",[1]Sheet1!$1:$1,[1]Sheet1!295:295))</f>
        <v>0</v>
      </c>
      <c r="P295" s="45">
        <f>IF(COUNTIF('Premade Flavors'!$A:$A, $C295) &gt; 0,_xlfn.XLOOKUP($C295,'Premade Flavors'!$A:$A,'Premade Flavors'!P:P),_xlfn.XLOOKUP("How Much Of The First Sweetner? ",[1]Sheet1!$1:$1,[1]Sheet1!295:295))</f>
        <v>0</v>
      </c>
      <c r="Q295" s="45">
        <f>IF(COUNTIF('Premade Flavors'!$A:$A, $C295) &gt; 0,_xlfn.XLOOKUP($C295,'Premade Flavors'!$A:$A,'Premade Flavors'!Q:Q),[2]Sheet1!S295)</f>
        <v>0</v>
      </c>
      <c r="R295" s="30">
        <f>(_xlfn.XLOOKUP($L295,Specs!A:A,Specs!B:B,0)-(IF(_xlfn.XLOOKUP($F295,'Liquid Mix In Nutrition'!A:A,'Liquid Mix In Nutrition'!J:J,0)="Yes",0,$T295))-(IF(_xlfn.XLOOKUP($G295,'Liquid Mix In Nutrition'!A:A,'Liquid Mix In Nutrition'!J:J,0)="Yes",0,$U295))-(($V295/MAX(1,_xlfn.XLOOKUP($H295,'Solid Mix In Nutrition'!A:A,'Solid Mix In Nutrition'!I:I,1)))*240)-(($W295/MAX(1,_xlfn.XLOOKUP($I295,'Solid Mix In Nutrition'!A:A,'Solid Mix In Nutrition'!I:I,1)))*240))*0.66</f>
        <v>0</v>
      </c>
      <c r="S295" s="30">
        <f>(_xlfn.XLOOKUP($L295,Specs!A:A,Specs!B:B,0)-(IF(_xlfn.XLOOKUP($F295,'Liquid Mix In Nutrition'!A:A,'Liquid Mix In Nutrition'!J:J,0)="Yes",0,$T295))-(IF(_xlfn.XLOOKUP($G295,'Liquid Mix In Nutrition'!A:A,'Liquid Mix In Nutrition'!J:J,0)="Yes",0,$U295))-(($V295/MAX(1,_xlfn.XLOOKUP($H295,'Solid Mix In Nutrition'!A:A,'Solid Mix In Nutrition'!I:I,1)))*240)-(($W295/MAX(1,_xlfn.XLOOKUP($I295,'Solid Mix In Nutrition'!A:A,'Solid Mix In Nutrition'!I:I,1)))*240))*0.33</f>
        <v>0</v>
      </c>
      <c r="T295" s="30">
        <f>_xlfn.XLOOKUP($M295,Specs!$D:$D,Specs!$E:$E,0)*15*_xlfn.XLOOKUP($L295,Specs!$A:$A,Specs!$C:$C,0)</f>
        <v>0</v>
      </c>
      <c r="U295" s="30">
        <f>_xlfn.XLOOKUP($N295,Specs!$D:$D,Specs!$E:$E,0)*15*_xlfn.XLOOKUP($L295,Specs!$A:$A,Specs!$C:$C,0)</f>
        <v>0</v>
      </c>
      <c r="V295" s="30">
        <f>( ((_xlfn.XLOOKUP($O295,Specs!$H:$H,Specs!$I:$I,0)*_xlfn.XLOOKUP($L295,Specs!$A:$A,Specs!$B:$B,0))/240) *_xlfn.XLOOKUP($H295,'Solid Mix In Nutrition'!A:A,'Solid Mix In Nutrition'!I:I,0)) *IF(AND(NOT($I295=0), COUNTA($I295)),0.5,1)</f>
        <v>0</v>
      </c>
      <c r="W295" s="30">
        <f>( ((_xlfn.XLOOKUP($O295,Specs!$H:$H,Specs!$I:$I,0)*_xlfn.XLOOKUP($L295,Specs!$A:$A,Specs!$B:$B,0))/240) *_xlfn.XLOOKUP($I295,'Solid Mix In Nutrition'!A:A,'Solid Mix In Nutrition'!I:I,0)) *IF(AND(NOT($I295=0), COUNTA($I295)),0.5,0)</f>
        <v>0</v>
      </c>
      <c r="X295" s="30">
        <f>_xlfn.XLOOKUP($P295,Specs!F:F,Specs!G:G,0)*_xlfn.XLOOKUP($J295,'Sweetener Mix In Nutrition'!A:A,'Sweetener Mix In Nutrition'!I:I,0)*_xlfn.XLOOKUP($L295,Specs!A:A,Specs!C:C,0)</f>
        <v>0</v>
      </c>
      <c r="Y295" s="30">
        <f>_xlfn.XLOOKUP($Q295,Specs!F:F,Specs!G:G,0)*_xlfn.XLOOKUP($K295,'Sweetener Mix In Nutrition'!A:A,'Sweetener Mix In Nutrition'!I:I,0)*_xlfn.XLOOKUP($L295,Specs!A:A,Specs!C:C,0)</f>
        <v>0</v>
      </c>
      <c r="Z295" s="34">
        <f t="shared" si="10"/>
        <v>0</v>
      </c>
      <c r="AA295" s="35">
        <f t="shared" si="11"/>
        <v>0</v>
      </c>
      <c r="AB295" s="36">
        <f>(($R295 / 240) * _xlfn.XLOOKUP($D295,'Milk Types Nutrition Per Cup'!A:A,'Milk Types Nutrition Per Cup'!B:B,0)) +(($S295 / 240)  * _xlfn.XLOOKUP($E295,'Milk Types Nutrition Per Cup'!A:A,'Milk Types Nutrition Per Cup'!B:B,0)) +(($T295 / 15)  * _xlfn.XLOOKUP($F295,'Liquid Mix In Nutrition'!A:A,'Liquid Mix In Nutrition'!B:B,0))+(($U295 / 15)  * _xlfn.XLOOKUP($G295,'Liquid Mix In Nutrition'!A:A,'Liquid Mix In Nutrition'!B:B,0))+(($V295 /MAX(1, _xlfn.XLOOKUP($H295,'Solid Mix In Nutrition'!A:A,'Solid Mix In Nutrition'!I:I,1)))  * _xlfn.XLOOKUP($H295,'Solid Mix In Nutrition'!A:A,'Solid Mix In Nutrition'!B:B,0))+(($W295 / MAX(1, _xlfn.XLOOKUP($I295,'Solid Mix In Nutrition'!A:A,'Solid Mix In Nutrition'!I:I,1))))+(($X295 / 100)  * _xlfn.XLOOKUP($J295,'Sweetener Mix In Nutrition'!A:A,'Sweetener Mix In Nutrition'!B:B,0))+(($Y295 / 100)  * _xlfn.XLOOKUP($K295,'Sweetener Mix In Nutrition'!A:A,'Sweetener Mix In Nutrition'!B:B,0))</f>
        <v>0</v>
      </c>
      <c r="AC295" s="36">
        <f>(($R295 / 240) * _xlfn.XLOOKUP($D295,'Milk Types Nutrition Per Cup'!A:A,'Milk Types Nutrition Per Cup'!E:E,0)) +(($S295 / 240)  * _xlfn.XLOOKUP($E295,'Milk Types Nutrition Per Cup'!A:A,'Milk Types Nutrition Per Cup'!E:E,0)) +(($T295 / 15)  * _xlfn.XLOOKUP($F295,'Liquid Mix In Nutrition'!A:A,'Liquid Mix In Nutrition'!E:E,0)) +(($U295 / 15)  * _xlfn.XLOOKUP($G295,'Liquid Mix In Nutrition'!A:A,'Liquid Mix In Nutrition'!E:E,0))+(($V295 / MAX(1, _xlfn.XLOOKUP($H295,'Solid Mix In Nutrition'!A:A,'Solid Mix In Nutrition'!I:I,1)))  * _xlfn.XLOOKUP($H295,'Solid Mix In Nutrition'!A:A,'Solid Mix In Nutrition'!E:E,0))+(($W295 / MAX(1, _xlfn.XLOOKUP($I295,'Solid Mix In Nutrition'!A:A,'Solid Mix In Nutrition'!I:I,1)))  * _xlfn.XLOOKUP($I295,'Solid Mix In Nutrition'!A:A,'Solid Mix In Nutrition'!G:G,0))+(($X295 / 100)  * _xlfn.XLOOKUP($J295,'Sweetener Mix In Nutrition'!A:A,'Sweetener Mix In Nutrition'!E:E,0))+(($Y295 / 100)  * _xlfn.XLOOKUP($K295,'Sweetener Mix In Nutrition'!A:A,'Sweetener Mix In Nutrition'!E:E,0))</f>
        <v>0</v>
      </c>
      <c r="AD295" s="36">
        <f>(($R295 / 240) * _xlfn.XLOOKUP($D295,'Milk Types Nutrition Per Cup'!A:A,'Milk Types Nutrition Per Cup'!E:E,0)) +(($S295 / 240)  * _xlfn.XLOOKUP($E295,'Milk Types Nutrition Per Cup'!A:A,'Milk Types Nutrition Per Cup'!E:E,0)) +(($T295 / 15)  * _xlfn.XLOOKUP($F295,'Liquid Mix In Nutrition'!A:A,'Liquid Mix In Nutrition'!E:E,0)) +(($U295 / 15)  * _xlfn.XLOOKUP($G295,'Liquid Mix In Nutrition'!A:A,'Liquid Mix In Nutrition'!E:E,0))+(($X295 / 100)  * _xlfn.XLOOKUP($J295,'Sweetener Mix In Nutrition'!A:A,'Sweetener Mix In Nutrition'!E:E,0))+(($Y295 / 100)  * _xlfn.XLOOKUP($K295,'Sweetener Mix In Nutrition'!A:A,'Sweetener Mix In Nutrition'!E:E,0))</f>
        <v>0</v>
      </c>
      <c r="AE295" s="37">
        <f>(($R295 / 240) * _xlfn.XLOOKUP($D295,'Milk Types Nutrition Per Cup'!A:A,'Milk Types Nutrition Per Cup'!C:C,0)) +(($S295 / 240)  * _xlfn.XLOOKUP($E295,'Milk Types Nutrition Per Cup'!A:A,'Milk Types Nutrition Per Cup'!C:C,0)) +(($T295 / 15)  * _xlfn.XLOOKUP($F295,'Liquid Mix In Nutrition'!A:A,'Liquid Mix In Nutrition'!C:C,0))+(($U295 / 15)  * _xlfn.XLOOKUP($G295,'Liquid Mix In Nutrition'!A:A,'Liquid Mix In Nutrition'!C:C,0))+(($V295 / MAX(1, _xlfn.XLOOKUP($H295,'Solid Mix In Nutrition'!A:A,'Solid Mix In Nutrition'!I:I,1)))  * _xlfn.XLOOKUP($H295,'Solid Mix In Nutrition'!A:A,'Solid Mix In Nutrition'!C:C,0))+(($W295 / MAX(1, _xlfn.XLOOKUP($I295,'Solid Mix In Nutrition'!A:A,'Solid Mix In Nutrition'!I:I,1)))  * _xlfn.XLOOKUP($I295,'Solid Mix In Nutrition'!A:A,'Solid Mix In Nutrition'!C:C,0))+(($X295 / 100)  * _xlfn.XLOOKUP($J295,'Sweetener Mix In Nutrition'!A:A,'Sweetener Mix In Nutrition'!C:C,0))+(($Y295 / 100)  * _xlfn.XLOOKUP($K295,'Sweetener Mix In Nutrition'!A:A,'Sweetener Mix In Nutrition'!C:C,0))</f>
        <v>0</v>
      </c>
      <c r="AF295" s="38" t="e">
        <f>$AE295 / (_xlfn.XLOOKUP($L295,Specs!A:A,Specs!B:B,0))</f>
        <v>#DIV/0!</v>
      </c>
      <c r="AG295" s="37" t="e">
        <f>60* ($AB295 / _xlfn.XLOOKUP($L295,Specs!A:A,Specs!B:B,0))</f>
        <v>#DIV/0!</v>
      </c>
      <c r="AH295" s="37" t="e">
        <f>60* (AC295 / _xlfn.XLOOKUP($L295,Specs!$A:$A,Specs!$B:$B,0))</f>
        <v>#DIV/0!</v>
      </c>
      <c r="AI295" s="37" t="e">
        <f>60* (AE295 / _xlfn.XLOOKUP($L295,Specs!$A:$A,Specs!$B:$B,0))</f>
        <v>#DIV/0!</v>
      </c>
      <c r="AJ295" s="39">
        <f>(($R295 / 240) * _xlfn.XLOOKUP($D295,'Milk Types Nutrition Per Cup'!A:A,'Milk Types Nutrition Per Cup'!F:F,0)) +(($S295 / 240)  * _xlfn.XLOOKUP($E295,'Milk Types Nutrition Per Cup'!A:A,'Milk Types Nutrition Per Cup'!F:F,0)) +(($T295 / 15)  * _xlfn.XLOOKUP($F295,'Liquid Mix In Nutrition'!A:A,'Liquid Mix In Nutrition'!F:F,0))+(($U295 / 15)  * _xlfn.XLOOKUP($G295,'Liquid Mix In Nutrition'!A:A,'Liquid Mix In Nutrition'!F:F,0))+(($V295 / MAX(1, _xlfn.XLOOKUP($H295,'Solid Mix In Nutrition'!A:A,'Solid Mix In Nutrition'!I:I,1)))  * _xlfn.XLOOKUP($H295,'Solid Mix In Nutrition'!A:A,'Solid Mix In Nutrition'!F:F,0))+(($W295 / MAX(1, _xlfn.XLOOKUP($I295,'Solid Mix In Nutrition'!A:A,'Solid Mix In Nutrition'!I:I,1)))  * _xlfn.XLOOKUP($I295,'Solid Mix In Nutrition'!A:A,'Solid Mix In Nutrition'!F:F,0))+(($X295 / 100)  * _xlfn.XLOOKUP($J295,'Sweetener Mix In Nutrition'!A:A,'Sweetener Mix In Nutrition'!F:F,0))+(($Y295 / 100)  * _xlfn.XLOOKUP($K295,'Sweetener Mix In Nutrition'!A:A,'Sweetener Mix In Nutrition'!F:F,0))</f>
        <v>0</v>
      </c>
      <c r="AK295" s="46">
        <f>[2]Sheet1!AG295</f>
        <v>0</v>
      </c>
      <c r="AL295" s="47"/>
      <c r="AM295" s="40">
        <f>IF(ISERROR(((AL295/Specs!$L$3)*Specs!$L$2)*2),0,ROUNDUP((((AL295/Specs!$L$3)*Specs!$L$2)*2),0))</f>
        <v>0</v>
      </c>
      <c r="AN295" s="48">
        <f>ROUNDUP(((AJ295+Specs!$R$2+Specs!$S$2+_xlfn.XLOOKUP($L295,Specs!A:A,Specs!V:V,0))*Specs!$N$2)+AM295,0)</f>
        <v>1</v>
      </c>
      <c r="AO295" s="40">
        <f>ROUNDUP(((AJ295+Specs!$R$2+Specs!$S$2+_xlfn.XLOOKUP($L295,Specs!A:A,Specs!V:V,0))*Specs!$N$2),0)</f>
        <v>1</v>
      </c>
      <c r="AP295" s="30"/>
    </row>
    <row r="296" spans="1:42" x14ac:dyDescent="0.25">
      <c r="A296" s="41" t="str">
        <f>_xlfn.CONCAT(_xlfn.XLOOKUP("What's Your Name?",[1]Sheet1!$1:$1,[1]Sheet1!296:296)," | ",TEXT(_xlfn.XLOOKUP("Completion time",[1]Sheet1!$1:$1,[1]Sheet1!296:296),"dddd, mmm dd, yyyy hh:mm AM/PM"))</f>
        <v xml:space="preserve"> | Saturday, Jan 00, 1900 12:00 AM</v>
      </c>
      <c r="B296" s="76">
        <f>_xlfn.XLOOKUP("What's Your Email Address?",[1]Sheet1!$1:$1,[1]Sheet1!296:296)</f>
        <v>0</v>
      </c>
      <c r="C296" s="31">
        <f>IF(ISBLANK(_xlfn.XLOOKUP("Which Flavor? (Pint Price | Quart Price | Half Gallon Price) (NOTE: Prices may fluctuate based on market conditions)",[1]Sheet1!$1:$1,[1]Sheet1!296:296)),_xlfn.XLOOKUP("Name Your Ice Cream!",[1]Sheet1!$1:$1,[1]Sheet1!296:296),IF(ISNUMBER(FIND("(", _xlfn.XLOOKUP("Which Flavor? (Pint Price | Quart Price | Half Gallon Price) (NOTE: Prices may fluctuate based on market conditions)",[1]Sheet1!$1:$1,[1]Sheet1!296:296))), LEFT(_xlfn.XLOOKUP("Which Flavor? (Pint Price | Quart Price | Half Gallon Price) (NOTE: Prices may fluctuate based on market conditions)",[1]Sheet1!$1:$1,[1]Sheet1!296:296), FIND("(", _xlfn.XLOOKUP("Which Flavor? (Pint Price | Quart Price | Half Gallon Price) (NOTE: Prices may fluctuate based on market conditions)",[1]Sheet1!$1:$1,[1]Sheet1!296:296)) - 1), _xlfn.XLOOKUP("Which Flavor? (Pint Price | Quart Price | Half Gallon Price) (NOTE: Prices may fluctuate based on market conditions)",[1]Sheet1!$1:$1,[1]Sheet1!296:296)))</f>
        <v>0</v>
      </c>
      <c r="D296" s="31">
        <f>IF(COUNTIF('Premade Flavors'!$A:$A, $C296) &gt; 0,IF(ISBLANK(_xlfn.XLOOKUP("What Ice Cream Base Do You Want To Change It To?",[1]Sheet1!$1:$1,[1]Sheet1!296:296)),_xlfn.XLOOKUP($C296,'Premade Flavors'!$A:$A,'Premade Flavors'!B:B),_xlfn.XLOOKUP("What Ice Cream Base Do You Want To Change It To?",[1]Sheet1!$1:$1,[1]Sheet1!296:296)),_xlfn.XLOOKUP(_xlfn.XLOOKUP("What Kind Of Ice Cream Base Do You Want? ",[1]Sheet1!$1:$1,[1]Sheet1!296:296),'Milk Types Nutrition Per Cup'!O:O,'Milk Types Nutrition Per Cup'!P:P,""))</f>
        <v>0</v>
      </c>
      <c r="E296" s="31">
        <f>IF(COUNTIF('Premade Flavors'!$A:$A, $C296) &gt; 0,IF(ISBLANK(_xlfn.XLOOKUP("What Ice Cream Base Do You Want To Change It To?",[1]Sheet1!$1:$1,[1]Sheet1!296:296)),_xlfn.XLOOKUP($C296,'Premade Flavors'!$A:$A,'Premade Flavors'!C:C),_xlfn.XLOOKUP("What Ice Cream Base Do You Want To Change It To?",[1]Sheet1!$1:$1,[1]Sheet1!296:296)),_xlfn.XLOOKUP(_xlfn.XLOOKUP("What Kind Of Ice Cream Base Do You Want? ",[1]Sheet1!$1:$1,[1]Sheet1!296:296),'Milk Types Nutrition Per Cup'!$O:$O,'Milk Types Nutrition Per Cup'!$Q:$Q,""))</f>
        <v>0</v>
      </c>
      <c r="F296" s="31">
        <f>IF(COUNTIF('Premade Flavors'!$A:$A, $C296) &gt; 0,_xlfn.XLOOKUP($C296,'Premade Flavors'!$A:$A,'Premade Flavors'!E:E),_xlfn.XLOOKUP("What's The First Flavor You Want? ",[1]Sheet1!$1:$1,[1]Sheet1!296:296))</f>
        <v>0</v>
      </c>
      <c r="G296" s="31">
        <f>IF(COUNTIF('Premade Flavors'!$A:$A, $C296) &gt; 0,_xlfn.XLOOKUP($C296,'Premade Flavors'!$A:$A,'Premade Flavors'!F:F),_xlfn.XLOOKUP("What's the Second Flavor You Want?",[1]Sheet1!$1:$1,[1]Sheet1!296:296))</f>
        <v>0</v>
      </c>
      <c r="H296" s="31">
        <f>IF(COUNTIF('Premade Flavors'!$A:$A, $C296) &gt; 0,_xlfn.XLOOKUP($C296,'Premade Flavors'!$A:$A,'Premade Flavors'!G:G),_xlfn.XLOOKUP("What's The First Mix In That You Want? ",[1]Sheet1!$1:$1,[1]Sheet1!296:296))</f>
        <v>0</v>
      </c>
      <c r="I296" s="31">
        <f>IF(COUNTIF('Premade Flavors'!$A:$A, $C294) &gt; 0,_xlfn.XLOOKUP($C294,'Premade Flavors'!$A:$A,'Premade Flavors'!H:H),IF([2]Sheet1!W294= 0,,[2]Sheet1!W294))</f>
        <v>0</v>
      </c>
      <c r="J296" s="31">
        <f>IF(COUNTIF('Premade Flavors'!$A:$A,$C296)&gt;0,IF(_xlfn.XLOOKUP("Should It Use Sugar or A Non-Sugar Sweetner?",[1]Sheet1!$1:$1,[1]Sheet1!296:296)="Sugar",_xlfn.XLOOKUP($C296,'Premade Flavors'!$A:$A,'Premade Flavors'!I:I),"Stevia"),_xlfn.XLOOKUP("What Sweetner Do You Want?",[1]Sheet1!$1:$1,[1]Sheet1!296:296))</f>
        <v>0</v>
      </c>
      <c r="K296" s="31"/>
      <c r="L296" s="77">
        <f>_xlfn.XLOOKUP("How Much Ice Cream Do You Want?",[1]Sheet1!$1:$1,[1]Sheet1!296:296)</f>
        <v>0</v>
      </c>
      <c r="M296" s="45">
        <f>IF(COUNTIF('Premade Flavors'!$A:$A, $C296) &gt; 0,_xlfn.XLOOKUP($C296,'Premade Flavors'!$A:$A,'Premade Flavors'!M:M),_xlfn.XLOOKUP("How Strong Do You Want The First Flavor?",[1]Sheet1!$1:$1,[1]Sheet1!296:296))</f>
        <v>0</v>
      </c>
      <c r="N296" s="45">
        <f>IF(COUNTIF('Premade Flavors'!$A:$A, $C296) &gt; 0,_xlfn.XLOOKUP($C296,'Premade Flavors'!$A:$A,'Premade Flavors'!N:N),_xlfn.XLOOKUP("How Strong Do You Want The Second Flavor?",[1]Sheet1!$1:$1,[1]Sheet1!296:296))</f>
        <v>0</v>
      </c>
      <c r="O296" s="45">
        <f>IF(COUNTIF('Premade Flavors'!$A:$A, $C296) &gt; 0,_xlfn.XLOOKUP($C296,'Premade Flavors'!$A:$A,'Premade Flavors'!O:O),_xlfn.XLOOKUP("How Dense Should the Mix Ins Be?",[1]Sheet1!$1:$1,[1]Sheet1!296:296))</f>
        <v>0</v>
      </c>
      <c r="P296" s="45">
        <f>IF(COUNTIF('Premade Flavors'!$A:$A, $C296) &gt; 0,_xlfn.XLOOKUP($C296,'Premade Flavors'!$A:$A,'Premade Flavors'!P:P),_xlfn.XLOOKUP("How Much Of The First Sweetner? ",[1]Sheet1!$1:$1,[1]Sheet1!296:296))</f>
        <v>0</v>
      </c>
      <c r="Q296" s="45">
        <f>IF(COUNTIF('Premade Flavors'!$A:$A, $C296) &gt; 0,_xlfn.XLOOKUP($C296,'Premade Flavors'!$A:$A,'Premade Flavors'!Q:Q),[2]Sheet1!S296)</f>
        <v>0</v>
      </c>
      <c r="R296" s="30">
        <f>(_xlfn.XLOOKUP($L296,Specs!A:A,Specs!B:B,0)-(IF(_xlfn.XLOOKUP($F296,'Liquid Mix In Nutrition'!A:A,'Liquid Mix In Nutrition'!J:J,0)="Yes",0,$T296))-(IF(_xlfn.XLOOKUP($G296,'Liquid Mix In Nutrition'!A:A,'Liquid Mix In Nutrition'!J:J,0)="Yes",0,$U296))-(($V296/MAX(1,_xlfn.XLOOKUP($H296,'Solid Mix In Nutrition'!A:A,'Solid Mix In Nutrition'!I:I,1)))*240)-(($W296/MAX(1,_xlfn.XLOOKUP($I296,'Solid Mix In Nutrition'!A:A,'Solid Mix In Nutrition'!I:I,1)))*240))*0.66</f>
        <v>0</v>
      </c>
      <c r="S296" s="30">
        <f>(_xlfn.XLOOKUP($L296,Specs!A:A,Specs!B:B,0)-(IF(_xlfn.XLOOKUP($F296,'Liquid Mix In Nutrition'!A:A,'Liquid Mix In Nutrition'!J:J,0)="Yes",0,$T296))-(IF(_xlfn.XLOOKUP($G296,'Liquid Mix In Nutrition'!A:A,'Liquid Mix In Nutrition'!J:J,0)="Yes",0,$U296))-(($V296/MAX(1,_xlfn.XLOOKUP($H296,'Solid Mix In Nutrition'!A:A,'Solid Mix In Nutrition'!I:I,1)))*240)-(($W296/MAX(1,_xlfn.XLOOKUP($I296,'Solid Mix In Nutrition'!A:A,'Solid Mix In Nutrition'!I:I,1)))*240))*0.33</f>
        <v>0</v>
      </c>
      <c r="T296" s="30">
        <f>_xlfn.XLOOKUP($M296,Specs!$D:$D,Specs!$E:$E,0)*15*_xlfn.XLOOKUP($L296,Specs!$A:$A,Specs!$C:$C,0)</f>
        <v>0</v>
      </c>
      <c r="U296" s="30">
        <f>_xlfn.XLOOKUP($N296,Specs!$D:$D,Specs!$E:$E,0)*15*_xlfn.XLOOKUP($L296,Specs!$A:$A,Specs!$C:$C,0)</f>
        <v>0</v>
      </c>
      <c r="V296" s="30">
        <f>( ((_xlfn.XLOOKUP($O296,Specs!$H:$H,Specs!$I:$I,0)*_xlfn.XLOOKUP($L296,Specs!$A:$A,Specs!$B:$B,0))/240) *_xlfn.XLOOKUP($H296,'Solid Mix In Nutrition'!A:A,'Solid Mix In Nutrition'!I:I,0)) *IF(AND(NOT($I296=0), COUNTA($I296)),0.5,1)</f>
        <v>0</v>
      </c>
      <c r="W296" s="30">
        <f>( ((_xlfn.XLOOKUP($O296,Specs!$H:$H,Specs!$I:$I,0)*_xlfn.XLOOKUP($L296,Specs!$A:$A,Specs!$B:$B,0))/240) *_xlfn.XLOOKUP($I296,'Solid Mix In Nutrition'!A:A,'Solid Mix In Nutrition'!I:I,0)) *IF(AND(NOT($I296=0), COUNTA($I296)),0.5,0)</f>
        <v>0</v>
      </c>
      <c r="X296" s="30">
        <f>_xlfn.XLOOKUP($P296,Specs!F:F,Specs!G:G,0)*_xlfn.XLOOKUP($J296,'Sweetener Mix In Nutrition'!A:A,'Sweetener Mix In Nutrition'!I:I,0)*_xlfn.XLOOKUP($L296,Specs!A:A,Specs!C:C,0)</f>
        <v>0</v>
      </c>
      <c r="Y296" s="30">
        <f>_xlfn.XLOOKUP($Q296,Specs!F:F,Specs!G:G,0)*_xlfn.XLOOKUP($K296,'Sweetener Mix In Nutrition'!A:A,'Sweetener Mix In Nutrition'!I:I,0)*_xlfn.XLOOKUP($L296,Specs!A:A,Specs!C:C,0)</f>
        <v>0</v>
      </c>
      <c r="Z296" s="34">
        <f t="shared" si="10"/>
        <v>0</v>
      </c>
      <c r="AA296" s="35">
        <f t="shared" si="11"/>
        <v>0</v>
      </c>
      <c r="AB296" s="36">
        <f>(($R296 / 240) * _xlfn.XLOOKUP($D296,'Milk Types Nutrition Per Cup'!A:A,'Milk Types Nutrition Per Cup'!B:B,0)) +(($S296 / 240)  * _xlfn.XLOOKUP($E296,'Milk Types Nutrition Per Cup'!A:A,'Milk Types Nutrition Per Cup'!B:B,0)) +(($T296 / 15)  * _xlfn.XLOOKUP($F296,'Liquid Mix In Nutrition'!A:A,'Liquid Mix In Nutrition'!B:B,0))+(($U296 / 15)  * _xlfn.XLOOKUP($G296,'Liquid Mix In Nutrition'!A:A,'Liquid Mix In Nutrition'!B:B,0))+(($V296 /MAX(1, _xlfn.XLOOKUP($H296,'Solid Mix In Nutrition'!A:A,'Solid Mix In Nutrition'!I:I,1)))  * _xlfn.XLOOKUP($H296,'Solid Mix In Nutrition'!A:A,'Solid Mix In Nutrition'!B:B,0))+(($W296 / MAX(1, _xlfn.XLOOKUP($I296,'Solid Mix In Nutrition'!A:A,'Solid Mix In Nutrition'!I:I,1))))+(($X296 / 100)  * _xlfn.XLOOKUP($J296,'Sweetener Mix In Nutrition'!A:A,'Sweetener Mix In Nutrition'!B:B,0))+(($Y296 / 100)  * _xlfn.XLOOKUP($K296,'Sweetener Mix In Nutrition'!A:A,'Sweetener Mix In Nutrition'!B:B,0))</f>
        <v>0</v>
      </c>
      <c r="AC296" s="36">
        <f>(($R296 / 240) * _xlfn.XLOOKUP($D296,'Milk Types Nutrition Per Cup'!A:A,'Milk Types Nutrition Per Cup'!E:E,0)) +(($S296 / 240)  * _xlfn.XLOOKUP($E296,'Milk Types Nutrition Per Cup'!A:A,'Milk Types Nutrition Per Cup'!E:E,0)) +(($T296 / 15)  * _xlfn.XLOOKUP($F296,'Liquid Mix In Nutrition'!A:A,'Liquid Mix In Nutrition'!E:E,0)) +(($U296 / 15)  * _xlfn.XLOOKUP($G296,'Liquid Mix In Nutrition'!A:A,'Liquid Mix In Nutrition'!E:E,0))+(($V296 / MAX(1, _xlfn.XLOOKUP($H296,'Solid Mix In Nutrition'!A:A,'Solid Mix In Nutrition'!I:I,1)))  * _xlfn.XLOOKUP($H296,'Solid Mix In Nutrition'!A:A,'Solid Mix In Nutrition'!E:E,0))+(($W296 / MAX(1, _xlfn.XLOOKUP($I296,'Solid Mix In Nutrition'!A:A,'Solid Mix In Nutrition'!I:I,1)))  * _xlfn.XLOOKUP($I296,'Solid Mix In Nutrition'!A:A,'Solid Mix In Nutrition'!G:G,0))+(($X296 / 100)  * _xlfn.XLOOKUP($J296,'Sweetener Mix In Nutrition'!A:A,'Sweetener Mix In Nutrition'!E:E,0))+(($Y296 / 100)  * _xlfn.XLOOKUP($K296,'Sweetener Mix In Nutrition'!A:A,'Sweetener Mix In Nutrition'!E:E,0))</f>
        <v>0</v>
      </c>
      <c r="AD296" s="36">
        <f>(($R296 / 240) * _xlfn.XLOOKUP($D296,'Milk Types Nutrition Per Cup'!A:A,'Milk Types Nutrition Per Cup'!E:E,0)) +(($S296 / 240)  * _xlfn.XLOOKUP($E296,'Milk Types Nutrition Per Cup'!A:A,'Milk Types Nutrition Per Cup'!E:E,0)) +(($T296 / 15)  * _xlfn.XLOOKUP($F296,'Liquid Mix In Nutrition'!A:A,'Liquid Mix In Nutrition'!E:E,0)) +(($U296 / 15)  * _xlfn.XLOOKUP($G296,'Liquid Mix In Nutrition'!A:A,'Liquid Mix In Nutrition'!E:E,0))+(($X296 / 100)  * _xlfn.XLOOKUP($J296,'Sweetener Mix In Nutrition'!A:A,'Sweetener Mix In Nutrition'!E:E,0))+(($Y296 / 100)  * _xlfn.XLOOKUP($K296,'Sweetener Mix In Nutrition'!A:A,'Sweetener Mix In Nutrition'!E:E,0))</f>
        <v>0</v>
      </c>
      <c r="AE296" s="37">
        <f>(($R296 / 240) * _xlfn.XLOOKUP($D296,'Milk Types Nutrition Per Cup'!A:A,'Milk Types Nutrition Per Cup'!C:C,0)) +(($S296 / 240)  * _xlfn.XLOOKUP($E296,'Milk Types Nutrition Per Cup'!A:A,'Milk Types Nutrition Per Cup'!C:C,0)) +(($T296 / 15)  * _xlfn.XLOOKUP($F296,'Liquid Mix In Nutrition'!A:A,'Liquid Mix In Nutrition'!C:C,0))+(($U296 / 15)  * _xlfn.XLOOKUP($G296,'Liquid Mix In Nutrition'!A:A,'Liquid Mix In Nutrition'!C:C,0))+(($V296 / MAX(1, _xlfn.XLOOKUP($H296,'Solid Mix In Nutrition'!A:A,'Solid Mix In Nutrition'!I:I,1)))  * _xlfn.XLOOKUP($H296,'Solid Mix In Nutrition'!A:A,'Solid Mix In Nutrition'!C:C,0))+(($W296 / MAX(1, _xlfn.XLOOKUP($I296,'Solid Mix In Nutrition'!A:A,'Solid Mix In Nutrition'!I:I,1)))  * _xlfn.XLOOKUP($I296,'Solid Mix In Nutrition'!A:A,'Solid Mix In Nutrition'!C:C,0))+(($X296 / 100)  * _xlfn.XLOOKUP($J296,'Sweetener Mix In Nutrition'!A:A,'Sweetener Mix In Nutrition'!C:C,0))+(($Y296 / 100)  * _xlfn.XLOOKUP($K296,'Sweetener Mix In Nutrition'!A:A,'Sweetener Mix In Nutrition'!C:C,0))</f>
        <v>0</v>
      </c>
      <c r="AF296" s="38" t="e">
        <f>$AE296 / (_xlfn.XLOOKUP($L296,Specs!A:A,Specs!B:B,0))</f>
        <v>#DIV/0!</v>
      </c>
      <c r="AG296" s="37" t="e">
        <f>60* ($AB296 / _xlfn.XLOOKUP($L296,Specs!A:A,Specs!B:B,0))</f>
        <v>#DIV/0!</v>
      </c>
      <c r="AH296" s="37" t="e">
        <f>60* (AC296 / _xlfn.XLOOKUP($L296,Specs!$A:$A,Specs!$B:$B,0))</f>
        <v>#DIV/0!</v>
      </c>
      <c r="AI296" s="37" t="e">
        <f>60* (AE296 / _xlfn.XLOOKUP($L296,Specs!$A:$A,Specs!$B:$B,0))</f>
        <v>#DIV/0!</v>
      </c>
      <c r="AJ296" s="39">
        <f>(($R296 / 240) * _xlfn.XLOOKUP($D296,'Milk Types Nutrition Per Cup'!A:A,'Milk Types Nutrition Per Cup'!F:F,0)) +(($S296 / 240)  * _xlfn.XLOOKUP($E296,'Milk Types Nutrition Per Cup'!A:A,'Milk Types Nutrition Per Cup'!F:F,0)) +(($T296 / 15)  * _xlfn.XLOOKUP($F296,'Liquid Mix In Nutrition'!A:A,'Liquid Mix In Nutrition'!F:F,0))+(($U296 / 15)  * _xlfn.XLOOKUP($G296,'Liquid Mix In Nutrition'!A:A,'Liquid Mix In Nutrition'!F:F,0))+(($V296 / MAX(1, _xlfn.XLOOKUP($H296,'Solid Mix In Nutrition'!A:A,'Solid Mix In Nutrition'!I:I,1)))  * _xlfn.XLOOKUP($H296,'Solid Mix In Nutrition'!A:A,'Solid Mix In Nutrition'!F:F,0))+(($W296 / MAX(1, _xlfn.XLOOKUP($I296,'Solid Mix In Nutrition'!A:A,'Solid Mix In Nutrition'!I:I,1)))  * _xlfn.XLOOKUP($I296,'Solid Mix In Nutrition'!A:A,'Solid Mix In Nutrition'!F:F,0))+(($X296 / 100)  * _xlfn.XLOOKUP($J296,'Sweetener Mix In Nutrition'!A:A,'Sweetener Mix In Nutrition'!F:F,0))+(($Y296 / 100)  * _xlfn.XLOOKUP($K296,'Sweetener Mix In Nutrition'!A:A,'Sweetener Mix In Nutrition'!F:F,0))</f>
        <v>0</v>
      </c>
      <c r="AK296" s="46">
        <f>[2]Sheet1!AG296</f>
        <v>0</v>
      </c>
      <c r="AL296" s="47"/>
      <c r="AM296" s="40">
        <f>IF(ISERROR(((AL296/Specs!$L$3)*Specs!$L$2)*2),0,ROUNDUP((((AL296/Specs!$L$3)*Specs!$L$2)*2),0))</f>
        <v>0</v>
      </c>
      <c r="AN296" s="48">
        <f>ROUNDUP(((AJ296+Specs!$R$2+Specs!$S$2+_xlfn.XLOOKUP($L296,Specs!A:A,Specs!V:V,0))*Specs!$N$2)+AM296,0)</f>
        <v>1</v>
      </c>
      <c r="AO296" s="40">
        <f>ROUNDUP(((AJ296+Specs!$R$2+Specs!$S$2+_xlfn.XLOOKUP($L296,Specs!A:A,Specs!V:V,0))*Specs!$N$2),0)</f>
        <v>1</v>
      </c>
      <c r="AP296" s="30"/>
    </row>
    <row r="297" spans="1:42" x14ac:dyDescent="0.25">
      <c r="A297" s="41" t="str">
        <f>_xlfn.CONCAT(_xlfn.XLOOKUP("What's Your Name?",[1]Sheet1!$1:$1,[1]Sheet1!297:297)," | ",TEXT(_xlfn.XLOOKUP("Completion time",[1]Sheet1!$1:$1,[1]Sheet1!297:297),"dddd, mmm dd, yyyy hh:mm AM/PM"))</f>
        <v xml:space="preserve"> | Saturday, Jan 00, 1900 12:00 AM</v>
      </c>
      <c r="B297" s="76">
        <f>_xlfn.XLOOKUP("What's Your Email Address?",[1]Sheet1!$1:$1,[1]Sheet1!297:297)</f>
        <v>0</v>
      </c>
      <c r="C297" s="31">
        <f>IF(ISBLANK(_xlfn.XLOOKUP("Which Flavor? (Pint Price | Quart Price | Half Gallon Price) (NOTE: Prices may fluctuate based on market conditions)",[1]Sheet1!$1:$1,[1]Sheet1!297:297)),_xlfn.XLOOKUP("Name Your Ice Cream!",[1]Sheet1!$1:$1,[1]Sheet1!297:297),IF(ISNUMBER(FIND("(", _xlfn.XLOOKUP("Which Flavor? (Pint Price | Quart Price | Half Gallon Price) (NOTE: Prices may fluctuate based on market conditions)",[1]Sheet1!$1:$1,[1]Sheet1!297:297))), LEFT(_xlfn.XLOOKUP("Which Flavor? (Pint Price | Quart Price | Half Gallon Price) (NOTE: Prices may fluctuate based on market conditions)",[1]Sheet1!$1:$1,[1]Sheet1!297:297), FIND("(", _xlfn.XLOOKUP("Which Flavor? (Pint Price | Quart Price | Half Gallon Price) (NOTE: Prices may fluctuate based on market conditions)",[1]Sheet1!$1:$1,[1]Sheet1!297:297)) - 1), _xlfn.XLOOKUP("Which Flavor? (Pint Price | Quart Price | Half Gallon Price) (NOTE: Prices may fluctuate based on market conditions)",[1]Sheet1!$1:$1,[1]Sheet1!297:297)))</f>
        <v>0</v>
      </c>
      <c r="D297" s="31">
        <f>IF(COUNTIF('Premade Flavors'!$A:$A, $C297) &gt; 0,IF(ISBLANK(_xlfn.XLOOKUP("What Ice Cream Base Do You Want To Change It To?",[1]Sheet1!$1:$1,[1]Sheet1!297:297)),_xlfn.XLOOKUP($C297,'Premade Flavors'!$A:$A,'Premade Flavors'!B:B),_xlfn.XLOOKUP("What Ice Cream Base Do You Want To Change It To?",[1]Sheet1!$1:$1,[1]Sheet1!297:297)),_xlfn.XLOOKUP(_xlfn.XLOOKUP("What Kind Of Ice Cream Base Do You Want? ",[1]Sheet1!$1:$1,[1]Sheet1!297:297),'Milk Types Nutrition Per Cup'!O:O,'Milk Types Nutrition Per Cup'!P:P,""))</f>
        <v>0</v>
      </c>
      <c r="E297" s="31">
        <f>IF(COUNTIF('Premade Flavors'!$A:$A, $C297) &gt; 0,IF(ISBLANK(_xlfn.XLOOKUP("What Ice Cream Base Do You Want To Change It To?",[1]Sheet1!$1:$1,[1]Sheet1!297:297)),_xlfn.XLOOKUP($C297,'Premade Flavors'!$A:$A,'Premade Flavors'!C:C),_xlfn.XLOOKUP("What Ice Cream Base Do You Want To Change It To?",[1]Sheet1!$1:$1,[1]Sheet1!297:297)),_xlfn.XLOOKUP(_xlfn.XLOOKUP("What Kind Of Ice Cream Base Do You Want? ",[1]Sheet1!$1:$1,[1]Sheet1!297:297),'Milk Types Nutrition Per Cup'!$O:$O,'Milk Types Nutrition Per Cup'!$Q:$Q,""))</f>
        <v>0</v>
      </c>
      <c r="F297" s="31">
        <f>IF(COUNTIF('Premade Flavors'!$A:$A, $C297) &gt; 0,_xlfn.XLOOKUP($C297,'Premade Flavors'!$A:$A,'Premade Flavors'!E:E),_xlfn.XLOOKUP("What's The First Flavor You Want? ",[1]Sheet1!$1:$1,[1]Sheet1!297:297))</f>
        <v>0</v>
      </c>
      <c r="G297" s="31">
        <f>IF(COUNTIF('Premade Flavors'!$A:$A, $C297) &gt; 0,_xlfn.XLOOKUP($C297,'Premade Flavors'!$A:$A,'Premade Flavors'!F:F),_xlfn.XLOOKUP("What's the Second Flavor You Want?",[1]Sheet1!$1:$1,[1]Sheet1!297:297))</f>
        <v>0</v>
      </c>
      <c r="H297" s="31">
        <f>IF(COUNTIF('Premade Flavors'!$A:$A, $C297) &gt; 0,_xlfn.XLOOKUP($C297,'Premade Flavors'!$A:$A,'Premade Flavors'!G:G),_xlfn.XLOOKUP("What's The First Mix In That You Want? ",[1]Sheet1!$1:$1,[1]Sheet1!297:297))</f>
        <v>0</v>
      </c>
      <c r="I297" s="31">
        <f>IF(COUNTIF('Premade Flavors'!$A:$A, $C295) &gt; 0,_xlfn.XLOOKUP($C295,'Premade Flavors'!$A:$A,'Premade Flavors'!H:H),IF([2]Sheet1!W295= 0,,[2]Sheet1!W295))</f>
        <v>0</v>
      </c>
      <c r="J297" s="31">
        <f>IF(COUNTIF('Premade Flavors'!$A:$A,$C297)&gt;0,IF(_xlfn.XLOOKUP("Should It Use Sugar or A Non-Sugar Sweetner?",[1]Sheet1!$1:$1,[1]Sheet1!297:297)="Sugar",_xlfn.XLOOKUP($C297,'Premade Flavors'!$A:$A,'Premade Flavors'!I:I),"Stevia"),_xlfn.XLOOKUP("What Sweetner Do You Want?",[1]Sheet1!$1:$1,[1]Sheet1!297:297))</f>
        <v>0</v>
      </c>
      <c r="K297" s="31"/>
      <c r="L297" s="77">
        <f>_xlfn.XLOOKUP("How Much Ice Cream Do You Want?",[1]Sheet1!$1:$1,[1]Sheet1!297:297)</f>
        <v>0</v>
      </c>
      <c r="M297" s="45">
        <f>IF(COUNTIF('Premade Flavors'!$A:$A, $C297) &gt; 0,_xlfn.XLOOKUP($C297,'Premade Flavors'!$A:$A,'Premade Flavors'!M:M),_xlfn.XLOOKUP("How Strong Do You Want The First Flavor?",[1]Sheet1!$1:$1,[1]Sheet1!297:297))</f>
        <v>0</v>
      </c>
      <c r="N297" s="45">
        <f>IF(COUNTIF('Premade Flavors'!$A:$A, $C297) &gt; 0,_xlfn.XLOOKUP($C297,'Premade Flavors'!$A:$A,'Premade Flavors'!N:N),_xlfn.XLOOKUP("How Strong Do You Want The Second Flavor?",[1]Sheet1!$1:$1,[1]Sheet1!297:297))</f>
        <v>0</v>
      </c>
      <c r="O297" s="45">
        <f>IF(COUNTIF('Premade Flavors'!$A:$A, $C297) &gt; 0,_xlfn.XLOOKUP($C297,'Premade Flavors'!$A:$A,'Premade Flavors'!O:O),_xlfn.XLOOKUP("How Dense Should the Mix Ins Be?",[1]Sheet1!$1:$1,[1]Sheet1!297:297))</f>
        <v>0</v>
      </c>
      <c r="P297" s="45">
        <f>IF(COUNTIF('Premade Flavors'!$A:$A, $C297) &gt; 0,_xlfn.XLOOKUP($C297,'Premade Flavors'!$A:$A,'Premade Flavors'!P:P),_xlfn.XLOOKUP("How Much Of The First Sweetner? ",[1]Sheet1!$1:$1,[1]Sheet1!297:297))</f>
        <v>0</v>
      </c>
      <c r="Q297" s="45">
        <f>IF(COUNTIF('Premade Flavors'!$A:$A, $C297) &gt; 0,_xlfn.XLOOKUP($C297,'Premade Flavors'!$A:$A,'Premade Flavors'!Q:Q),[2]Sheet1!S297)</f>
        <v>0</v>
      </c>
      <c r="R297" s="30">
        <f>(_xlfn.XLOOKUP($L297,Specs!A:A,Specs!B:B,0)-(IF(_xlfn.XLOOKUP($F297,'Liquid Mix In Nutrition'!A:A,'Liquid Mix In Nutrition'!J:J,0)="Yes",0,$T297))-(IF(_xlfn.XLOOKUP($G297,'Liquid Mix In Nutrition'!A:A,'Liquid Mix In Nutrition'!J:J,0)="Yes",0,$U297))-(($V297/MAX(1,_xlfn.XLOOKUP($H297,'Solid Mix In Nutrition'!A:A,'Solid Mix In Nutrition'!I:I,1)))*240)-(($W297/MAX(1,_xlfn.XLOOKUP($I297,'Solid Mix In Nutrition'!A:A,'Solid Mix In Nutrition'!I:I,1)))*240))*0.66</f>
        <v>0</v>
      </c>
      <c r="S297" s="30">
        <f>(_xlfn.XLOOKUP($L297,Specs!A:A,Specs!B:B,0)-(IF(_xlfn.XLOOKUP($F297,'Liquid Mix In Nutrition'!A:A,'Liquid Mix In Nutrition'!J:J,0)="Yes",0,$T297))-(IF(_xlfn.XLOOKUP($G297,'Liquid Mix In Nutrition'!A:A,'Liquid Mix In Nutrition'!J:J,0)="Yes",0,$U297))-(($V297/MAX(1,_xlfn.XLOOKUP($H297,'Solid Mix In Nutrition'!A:A,'Solid Mix In Nutrition'!I:I,1)))*240)-(($W297/MAX(1,_xlfn.XLOOKUP($I297,'Solid Mix In Nutrition'!A:A,'Solid Mix In Nutrition'!I:I,1)))*240))*0.33</f>
        <v>0</v>
      </c>
      <c r="T297" s="30">
        <f>_xlfn.XLOOKUP($M297,Specs!$D:$D,Specs!$E:$E,0)*15*_xlfn.XLOOKUP($L297,Specs!$A:$A,Specs!$C:$C,0)</f>
        <v>0</v>
      </c>
      <c r="U297" s="30">
        <f>_xlfn.XLOOKUP($N297,Specs!$D:$D,Specs!$E:$E,0)*15*_xlfn.XLOOKUP($L297,Specs!$A:$A,Specs!$C:$C,0)</f>
        <v>0</v>
      </c>
      <c r="V297" s="30">
        <f>( ((_xlfn.XLOOKUP($O297,Specs!$H:$H,Specs!$I:$I,0)*_xlfn.XLOOKUP($L297,Specs!$A:$A,Specs!$B:$B,0))/240) *_xlfn.XLOOKUP($H297,'Solid Mix In Nutrition'!A:A,'Solid Mix In Nutrition'!I:I,0)) *IF(AND(NOT($I297=0), COUNTA($I297)),0.5,1)</f>
        <v>0</v>
      </c>
      <c r="W297" s="30">
        <f>( ((_xlfn.XLOOKUP($O297,Specs!$H:$H,Specs!$I:$I,0)*_xlfn.XLOOKUP($L297,Specs!$A:$A,Specs!$B:$B,0))/240) *_xlfn.XLOOKUP($I297,'Solid Mix In Nutrition'!A:A,'Solid Mix In Nutrition'!I:I,0)) *IF(AND(NOT($I297=0), COUNTA($I297)),0.5,0)</f>
        <v>0</v>
      </c>
      <c r="X297" s="30">
        <f>_xlfn.XLOOKUP($P297,Specs!F:F,Specs!G:G,0)*_xlfn.XLOOKUP($J297,'Sweetener Mix In Nutrition'!A:A,'Sweetener Mix In Nutrition'!I:I,0)*_xlfn.XLOOKUP($L297,Specs!A:A,Specs!C:C,0)</f>
        <v>0</v>
      </c>
      <c r="Y297" s="30">
        <f>_xlfn.XLOOKUP($Q297,Specs!F:F,Specs!G:G,0)*_xlfn.XLOOKUP($K297,'Sweetener Mix In Nutrition'!A:A,'Sweetener Mix In Nutrition'!I:I,0)*_xlfn.XLOOKUP($L297,Specs!A:A,Specs!C:C,0)</f>
        <v>0</v>
      </c>
      <c r="Z297" s="34">
        <f t="shared" si="10"/>
        <v>0</v>
      </c>
      <c r="AA297" s="35">
        <f t="shared" si="11"/>
        <v>0</v>
      </c>
      <c r="AB297" s="36">
        <f>(($R297 / 240) * _xlfn.XLOOKUP($D297,'Milk Types Nutrition Per Cup'!A:A,'Milk Types Nutrition Per Cup'!B:B,0)) +(($S297 / 240)  * _xlfn.XLOOKUP($E297,'Milk Types Nutrition Per Cup'!A:A,'Milk Types Nutrition Per Cup'!B:B,0)) +(($T297 / 15)  * _xlfn.XLOOKUP($F297,'Liquid Mix In Nutrition'!A:A,'Liquid Mix In Nutrition'!B:B,0))+(($U297 / 15)  * _xlfn.XLOOKUP($G297,'Liquid Mix In Nutrition'!A:A,'Liquid Mix In Nutrition'!B:B,0))+(($V297 /MAX(1, _xlfn.XLOOKUP($H297,'Solid Mix In Nutrition'!A:A,'Solid Mix In Nutrition'!I:I,1)))  * _xlfn.XLOOKUP($H297,'Solid Mix In Nutrition'!A:A,'Solid Mix In Nutrition'!B:B,0))+(($W297 / MAX(1, _xlfn.XLOOKUP($I297,'Solid Mix In Nutrition'!A:A,'Solid Mix In Nutrition'!I:I,1))))+(($X297 / 100)  * _xlfn.XLOOKUP($J297,'Sweetener Mix In Nutrition'!A:A,'Sweetener Mix In Nutrition'!B:B,0))+(($Y297 / 100)  * _xlfn.XLOOKUP($K297,'Sweetener Mix In Nutrition'!A:A,'Sweetener Mix In Nutrition'!B:B,0))</f>
        <v>0</v>
      </c>
      <c r="AC297" s="36">
        <f>(($R297 / 240) * _xlfn.XLOOKUP($D297,'Milk Types Nutrition Per Cup'!A:A,'Milk Types Nutrition Per Cup'!E:E,0)) +(($S297 / 240)  * _xlfn.XLOOKUP($E297,'Milk Types Nutrition Per Cup'!A:A,'Milk Types Nutrition Per Cup'!E:E,0)) +(($T297 / 15)  * _xlfn.XLOOKUP($F297,'Liquid Mix In Nutrition'!A:A,'Liquid Mix In Nutrition'!E:E,0)) +(($U297 / 15)  * _xlfn.XLOOKUP($G297,'Liquid Mix In Nutrition'!A:A,'Liquid Mix In Nutrition'!E:E,0))+(($V297 / MAX(1, _xlfn.XLOOKUP($H297,'Solid Mix In Nutrition'!A:A,'Solid Mix In Nutrition'!I:I,1)))  * _xlfn.XLOOKUP($H297,'Solid Mix In Nutrition'!A:A,'Solid Mix In Nutrition'!E:E,0))+(($W297 / MAX(1, _xlfn.XLOOKUP($I297,'Solid Mix In Nutrition'!A:A,'Solid Mix In Nutrition'!I:I,1)))  * _xlfn.XLOOKUP($I297,'Solid Mix In Nutrition'!A:A,'Solid Mix In Nutrition'!G:G,0))+(($X297 / 100)  * _xlfn.XLOOKUP($J297,'Sweetener Mix In Nutrition'!A:A,'Sweetener Mix In Nutrition'!E:E,0))+(($Y297 / 100)  * _xlfn.XLOOKUP($K297,'Sweetener Mix In Nutrition'!A:A,'Sweetener Mix In Nutrition'!E:E,0))</f>
        <v>0</v>
      </c>
      <c r="AD297" s="36">
        <f>(($R297 / 240) * _xlfn.XLOOKUP($D297,'Milk Types Nutrition Per Cup'!A:A,'Milk Types Nutrition Per Cup'!E:E,0)) +(($S297 / 240)  * _xlfn.XLOOKUP($E297,'Milk Types Nutrition Per Cup'!A:A,'Milk Types Nutrition Per Cup'!E:E,0)) +(($T297 / 15)  * _xlfn.XLOOKUP($F297,'Liquid Mix In Nutrition'!A:A,'Liquid Mix In Nutrition'!E:E,0)) +(($U297 / 15)  * _xlfn.XLOOKUP($G297,'Liquid Mix In Nutrition'!A:A,'Liquid Mix In Nutrition'!E:E,0))+(($X297 / 100)  * _xlfn.XLOOKUP($J297,'Sweetener Mix In Nutrition'!A:A,'Sweetener Mix In Nutrition'!E:E,0))+(($Y297 / 100)  * _xlfn.XLOOKUP($K297,'Sweetener Mix In Nutrition'!A:A,'Sweetener Mix In Nutrition'!E:E,0))</f>
        <v>0</v>
      </c>
      <c r="AE297" s="37">
        <f>(($R297 / 240) * _xlfn.XLOOKUP($D297,'Milk Types Nutrition Per Cup'!A:A,'Milk Types Nutrition Per Cup'!C:C,0)) +(($S297 / 240)  * _xlfn.XLOOKUP($E297,'Milk Types Nutrition Per Cup'!A:A,'Milk Types Nutrition Per Cup'!C:C,0)) +(($T297 / 15)  * _xlfn.XLOOKUP($F297,'Liquid Mix In Nutrition'!A:A,'Liquid Mix In Nutrition'!C:C,0))+(($U297 / 15)  * _xlfn.XLOOKUP($G297,'Liquid Mix In Nutrition'!A:A,'Liquid Mix In Nutrition'!C:C,0))+(($V297 / MAX(1, _xlfn.XLOOKUP($H297,'Solid Mix In Nutrition'!A:A,'Solid Mix In Nutrition'!I:I,1)))  * _xlfn.XLOOKUP($H297,'Solid Mix In Nutrition'!A:A,'Solid Mix In Nutrition'!C:C,0))+(($W297 / MAX(1, _xlfn.XLOOKUP($I297,'Solid Mix In Nutrition'!A:A,'Solid Mix In Nutrition'!I:I,1)))  * _xlfn.XLOOKUP($I297,'Solid Mix In Nutrition'!A:A,'Solid Mix In Nutrition'!C:C,0))+(($X297 / 100)  * _xlfn.XLOOKUP($J297,'Sweetener Mix In Nutrition'!A:A,'Sweetener Mix In Nutrition'!C:C,0))+(($Y297 / 100)  * _xlfn.XLOOKUP($K297,'Sweetener Mix In Nutrition'!A:A,'Sweetener Mix In Nutrition'!C:C,0))</f>
        <v>0</v>
      </c>
      <c r="AF297" s="38" t="e">
        <f>$AE297 / (_xlfn.XLOOKUP($L297,Specs!A:A,Specs!B:B,0))</f>
        <v>#DIV/0!</v>
      </c>
      <c r="AG297" s="37" t="e">
        <f>60* ($AB297 / _xlfn.XLOOKUP($L297,Specs!A:A,Specs!B:B,0))</f>
        <v>#DIV/0!</v>
      </c>
      <c r="AH297" s="37" t="e">
        <f>60* (AC297 / _xlfn.XLOOKUP($L297,Specs!$A:$A,Specs!$B:$B,0))</f>
        <v>#DIV/0!</v>
      </c>
      <c r="AI297" s="37" t="e">
        <f>60* (AE297 / _xlfn.XLOOKUP($L297,Specs!$A:$A,Specs!$B:$B,0))</f>
        <v>#DIV/0!</v>
      </c>
      <c r="AJ297" s="39">
        <f>(($R297 / 240) * _xlfn.XLOOKUP($D297,'Milk Types Nutrition Per Cup'!A:A,'Milk Types Nutrition Per Cup'!F:F,0)) +(($S297 / 240)  * _xlfn.XLOOKUP($E297,'Milk Types Nutrition Per Cup'!A:A,'Milk Types Nutrition Per Cup'!F:F,0)) +(($T297 / 15)  * _xlfn.XLOOKUP($F297,'Liquid Mix In Nutrition'!A:A,'Liquid Mix In Nutrition'!F:F,0))+(($U297 / 15)  * _xlfn.XLOOKUP($G297,'Liquid Mix In Nutrition'!A:A,'Liquid Mix In Nutrition'!F:F,0))+(($V297 / MAX(1, _xlfn.XLOOKUP($H297,'Solid Mix In Nutrition'!A:A,'Solid Mix In Nutrition'!I:I,1)))  * _xlfn.XLOOKUP($H297,'Solid Mix In Nutrition'!A:A,'Solid Mix In Nutrition'!F:F,0))+(($W297 / MAX(1, _xlfn.XLOOKUP($I297,'Solid Mix In Nutrition'!A:A,'Solid Mix In Nutrition'!I:I,1)))  * _xlfn.XLOOKUP($I297,'Solid Mix In Nutrition'!A:A,'Solid Mix In Nutrition'!F:F,0))+(($X297 / 100)  * _xlfn.XLOOKUP($J297,'Sweetener Mix In Nutrition'!A:A,'Sweetener Mix In Nutrition'!F:F,0))+(($Y297 / 100)  * _xlfn.XLOOKUP($K297,'Sweetener Mix In Nutrition'!A:A,'Sweetener Mix In Nutrition'!F:F,0))</f>
        <v>0</v>
      </c>
      <c r="AK297" s="46">
        <f>[2]Sheet1!AG297</f>
        <v>0</v>
      </c>
      <c r="AL297" s="47"/>
      <c r="AM297" s="40">
        <f>IF(ISERROR(((AL297/Specs!$L$3)*Specs!$L$2)*2),0,ROUNDUP((((AL297/Specs!$L$3)*Specs!$L$2)*2),0))</f>
        <v>0</v>
      </c>
      <c r="AN297" s="48">
        <f>ROUNDUP(((AJ297+Specs!$R$2+Specs!$S$2+_xlfn.XLOOKUP($L297,Specs!A:A,Specs!V:V,0))*Specs!$N$2)+AM297,0)</f>
        <v>1</v>
      </c>
      <c r="AO297" s="40">
        <f>ROUNDUP(((AJ297+Specs!$R$2+Specs!$S$2+_xlfn.XLOOKUP($L297,Specs!A:A,Specs!V:V,0))*Specs!$N$2),0)</f>
        <v>1</v>
      </c>
      <c r="AP297" s="30"/>
    </row>
    <row r="298" spans="1:42" x14ac:dyDescent="0.25">
      <c r="A298" s="41" t="str">
        <f>_xlfn.CONCAT(_xlfn.XLOOKUP("What's Your Name?",[1]Sheet1!$1:$1,[1]Sheet1!298:298)," | ",TEXT(_xlfn.XLOOKUP("Completion time",[1]Sheet1!$1:$1,[1]Sheet1!298:298),"dddd, mmm dd, yyyy hh:mm AM/PM"))</f>
        <v xml:space="preserve"> | Saturday, Jan 00, 1900 12:00 AM</v>
      </c>
      <c r="B298" s="76">
        <f>_xlfn.XLOOKUP("What's Your Email Address?",[1]Sheet1!$1:$1,[1]Sheet1!298:298)</f>
        <v>0</v>
      </c>
      <c r="C298" s="31">
        <f>IF(ISBLANK(_xlfn.XLOOKUP("Which Flavor? (Pint Price | Quart Price | Half Gallon Price) (NOTE: Prices may fluctuate based on market conditions)",[1]Sheet1!$1:$1,[1]Sheet1!298:298)),_xlfn.XLOOKUP("Name Your Ice Cream!",[1]Sheet1!$1:$1,[1]Sheet1!298:298),IF(ISNUMBER(FIND("(", _xlfn.XLOOKUP("Which Flavor? (Pint Price | Quart Price | Half Gallon Price) (NOTE: Prices may fluctuate based on market conditions)",[1]Sheet1!$1:$1,[1]Sheet1!298:298))), LEFT(_xlfn.XLOOKUP("Which Flavor? (Pint Price | Quart Price | Half Gallon Price) (NOTE: Prices may fluctuate based on market conditions)",[1]Sheet1!$1:$1,[1]Sheet1!298:298), FIND("(", _xlfn.XLOOKUP("Which Flavor? (Pint Price | Quart Price | Half Gallon Price) (NOTE: Prices may fluctuate based on market conditions)",[1]Sheet1!$1:$1,[1]Sheet1!298:298)) - 1), _xlfn.XLOOKUP("Which Flavor? (Pint Price | Quart Price | Half Gallon Price) (NOTE: Prices may fluctuate based on market conditions)",[1]Sheet1!$1:$1,[1]Sheet1!298:298)))</f>
        <v>0</v>
      </c>
      <c r="D298" s="31">
        <f>IF(COUNTIF('Premade Flavors'!$A:$A, $C298) &gt; 0,IF(ISBLANK(_xlfn.XLOOKUP("What Ice Cream Base Do You Want To Change It To?",[1]Sheet1!$1:$1,[1]Sheet1!298:298)),_xlfn.XLOOKUP($C298,'Premade Flavors'!$A:$A,'Premade Flavors'!B:B),_xlfn.XLOOKUP("What Ice Cream Base Do You Want To Change It To?",[1]Sheet1!$1:$1,[1]Sheet1!298:298)),_xlfn.XLOOKUP(_xlfn.XLOOKUP("What Kind Of Ice Cream Base Do You Want? ",[1]Sheet1!$1:$1,[1]Sheet1!298:298),'Milk Types Nutrition Per Cup'!O:O,'Milk Types Nutrition Per Cup'!P:P,""))</f>
        <v>0</v>
      </c>
      <c r="E298" s="31">
        <f>IF(COUNTIF('Premade Flavors'!$A:$A, $C298) &gt; 0,IF(ISBLANK(_xlfn.XLOOKUP("What Ice Cream Base Do You Want To Change It To?",[1]Sheet1!$1:$1,[1]Sheet1!298:298)),_xlfn.XLOOKUP($C298,'Premade Flavors'!$A:$A,'Premade Flavors'!C:C),_xlfn.XLOOKUP("What Ice Cream Base Do You Want To Change It To?",[1]Sheet1!$1:$1,[1]Sheet1!298:298)),_xlfn.XLOOKUP(_xlfn.XLOOKUP("What Kind Of Ice Cream Base Do You Want? ",[1]Sheet1!$1:$1,[1]Sheet1!298:298),'Milk Types Nutrition Per Cup'!$O:$O,'Milk Types Nutrition Per Cup'!$Q:$Q,""))</f>
        <v>0</v>
      </c>
      <c r="F298" s="31">
        <f>IF(COUNTIF('Premade Flavors'!$A:$A, $C298) &gt; 0,_xlfn.XLOOKUP($C298,'Premade Flavors'!$A:$A,'Premade Flavors'!E:E),_xlfn.XLOOKUP("What's The First Flavor You Want? ",[1]Sheet1!$1:$1,[1]Sheet1!298:298))</f>
        <v>0</v>
      </c>
      <c r="G298" s="31">
        <f>IF(COUNTIF('Premade Flavors'!$A:$A, $C298) &gt; 0,_xlfn.XLOOKUP($C298,'Premade Flavors'!$A:$A,'Premade Flavors'!F:F),_xlfn.XLOOKUP("What's the Second Flavor You Want?",[1]Sheet1!$1:$1,[1]Sheet1!298:298))</f>
        <v>0</v>
      </c>
      <c r="H298" s="31">
        <f>IF(COUNTIF('Premade Flavors'!$A:$A, $C298) &gt; 0,_xlfn.XLOOKUP($C298,'Premade Flavors'!$A:$A,'Premade Flavors'!G:G),_xlfn.XLOOKUP("What's The First Mix In That You Want? ",[1]Sheet1!$1:$1,[1]Sheet1!298:298))</f>
        <v>0</v>
      </c>
      <c r="I298" s="31">
        <f>IF(COUNTIF('Premade Flavors'!$A:$A, $C296) &gt; 0,_xlfn.XLOOKUP($C296,'Premade Flavors'!$A:$A,'Premade Flavors'!H:H),IF([2]Sheet1!W296= 0,,[2]Sheet1!W296))</f>
        <v>0</v>
      </c>
      <c r="J298" s="31">
        <f>IF(COUNTIF('Premade Flavors'!$A:$A,$C298)&gt;0,IF(_xlfn.XLOOKUP("Should It Use Sugar or A Non-Sugar Sweetner?",[1]Sheet1!$1:$1,[1]Sheet1!298:298)="Sugar",_xlfn.XLOOKUP($C298,'Premade Flavors'!$A:$A,'Premade Flavors'!I:I),"Stevia"),_xlfn.XLOOKUP("What Sweetner Do You Want?",[1]Sheet1!$1:$1,[1]Sheet1!298:298))</f>
        <v>0</v>
      </c>
      <c r="K298" s="31"/>
      <c r="L298" s="77">
        <f>_xlfn.XLOOKUP("How Much Ice Cream Do You Want?",[1]Sheet1!$1:$1,[1]Sheet1!298:298)</f>
        <v>0</v>
      </c>
      <c r="M298" s="45">
        <f>IF(COUNTIF('Premade Flavors'!$A:$A, $C298) &gt; 0,_xlfn.XLOOKUP($C298,'Premade Flavors'!$A:$A,'Premade Flavors'!M:M),_xlfn.XLOOKUP("How Strong Do You Want The First Flavor?",[1]Sheet1!$1:$1,[1]Sheet1!298:298))</f>
        <v>0</v>
      </c>
      <c r="N298" s="45">
        <f>IF(COUNTIF('Premade Flavors'!$A:$A, $C298) &gt; 0,_xlfn.XLOOKUP($C298,'Premade Flavors'!$A:$A,'Premade Flavors'!N:N),_xlfn.XLOOKUP("How Strong Do You Want The Second Flavor?",[1]Sheet1!$1:$1,[1]Sheet1!298:298))</f>
        <v>0</v>
      </c>
      <c r="O298" s="45">
        <f>IF(COUNTIF('Premade Flavors'!$A:$A, $C298) &gt; 0,_xlfn.XLOOKUP($C298,'Premade Flavors'!$A:$A,'Premade Flavors'!O:O),_xlfn.XLOOKUP("How Dense Should the Mix Ins Be?",[1]Sheet1!$1:$1,[1]Sheet1!298:298))</f>
        <v>0</v>
      </c>
      <c r="P298" s="45">
        <f>IF(COUNTIF('Premade Flavors'!$A:$A, $C298) &gt; 0,_xlfn.XLOOKUP($C298,'Premade Flavors'!$A:$A,'Premade Flavors'!P:P),_xlfn.XLOOKUP("How Much Of The First Sweetner? ",[1]Sheet1!$1:$1,[1]Sheet1!298:298))</f>
        <v>0</v>
      </c>
      <c r="Q298" s="45">
        <f>IF(COUNTIF('Premade Flavors'!$A:$A, $C298) &gt; 0,_xlfn.XLOOKUP($C298,'Premade Flavors'!$A:$A,'Premade Flavors'!Q:Q),[2]Sheet1!S298)</f>
        <v>0</v>
      </c>
      <c r="R298" s="30">
        <f>(_xlfn.XLOOKUP($L298,Specs!A:A,Specs!B:B,0)-(IF(_xlfn.XLOOKUP($F298,'Liquid Mix In Nutrition'!A:A,'Liquid Mix In Nutrition'!J:J,0)="Yes",0,$T298))-(IF(_xlfn.XLOOKUP($G298,'Liquid Mix In Nutrition'!A:A,'Liquid Mix In Nutrition'!J:J,0)="Yes",0,$U298))-(($V298/MAX(1,_xlfn.XLOOKUP($H298,'Solid Mix In Nutrition'!A:A,'Solid Mix In Nutrition'!I:I,1)))*240)-(($W298/MAX(1,_xlfn.XLOOKUP($I298,'Solid Mix In Nutrition'!A:A,'Solid Mix In Nutrition'!I:I,1)))*240))*0.66</f>
        <v>0</v>
      </c>
      <c r="S298" s="30">
        <f>(_xlfn.XLOOKUP($L298,Specs!A:A,Specs!B:B,0)-(IF(_xlfn.XLOOKUP($F298,'Liquid Mix In Nutrition'!A:A,'Liquid Mix In Nutrition'!J:J,0)="Yes",0,$T298))-(IF(_xlfn.XLOOKUP($G298,'Liquid Mix In Nutrition'!A:A,'Liquid Mix In Nutrition'!J:J,0)="Yes",0,$U298))-(($V298/MAX(1,_xlfn.XLOOKUP($H298,'Solid Mix In Nutrition'!A:A,'Solid Mix In Nutrition'!I:I,1)))*240)-(($W298/MAX(1,_xlfn.XLOOKUP($I298,'Solid Mix In Nutrition'!A:A,'Solid Mix In Nutrition'!I:I,1)))*240))*0.33</f>
        <v>0</v>
      </c>
      <c r="T298" s="30">
        <f>_xlfn.XLOOKUP($M298,Specs!$D:$D,Specs!$E:$E,0)*15*_xlfn.XLOOKUP($L298,Specs!$A:$A,Specs!$C:$C,0)</f>
        <v>0</v>
      </c>
      <c r="U298" s="30">
        <f>_xlfn.XLOOKUP($N298,Specs!$D:$D,Specs!$E:$E,0)*15*_xlfn.XLOOKUP($L298,Specs!$A:$A,Specs!$C:$C,0)</f>
        <v>0</v>
      </c>
      <c r="V298" s="30">
        <f>( ((_xlfn.XLOOKUP($O298,Specs!$H:$H,Specs!$I:$I,0)*_xlfn.XLOOKUP($L298,Specs!$A:$A,Specs!$B:$B,0))/240) *_xlfn.XLOOKUP($H298,'Solid Mix In Nutrition'!A:A,'Solid Mix In Nutrition'!I:I,0)) *IF(AND(NOT($I298=0), COUNTA($I298)),0.5,1)</f>
        <v>0</v>
      </c>
      <c r="W298" s="30">
        <f>( ((_xlfn.XLOOKUP($O298,Specs!$H:$H,Specs!$I:$I,0)*_xlfn.XLOOKUP($L298,Specs!$A:$A,Specs!$B:$B,0))/240) *_xlfn.XLOOKUP($I298,'Solid Mix In Nutrition'!A:A,'Solid Mix In Nutrition'!I:I,0)) *IF(AND(NOT($I298=0), COUNTA($I298)),0.5,0)</f>
        <v>0</v>
      </c>
      <c r="X298" s="30">
        <f>_xlfn.XLOOKUP($P298,Specs!F:F,Specs!G:G,0)*_xlfn.XLOOKUP($J298,'Sweetener Mix In Nutrition'!A:A,'Sweetener Mix In Nutrition'!I:I,0)*_xlfn.XLOOKUP($L298,Specs!A:A,Specs!C:C,0)</f>
        <v>0</v>
      </c>
      <c r="Y298" s="30">
        <f>_xlfn.XLOOKUP($Q298,Specs!F:F,Specs!G:G,0)*_xlfn.XLOOKUP($K298,'Sweetener Mix In Nutrition'!A:A,'Sweetener Mix In Nutrition'!I:I,0)*_xlfn.XLOOKUP($L298,Specs!A:A,Specs!C:C,0)</f>
        <v>0</v>
      </c>
      <c r="Z298" s="34">
        <f t="shared" si="10"/>
        <v>0</v>
      </c>
      <c r="AA298" s="35">
        <f t="shared" si="11"/>
        <v>0</v>
      </c>
      <c r="AB298" s="36">
        <f>(($R298 / 240) * _xlfn.XLOOKUP($D298,'Milk Types Nutrition Per Cup'!A:A,'Milk Types Nutrition Per Cup'!B:B,0)) +(($S298 / 240)  * _xlfn.XLOOKUP($E298,'Milk Types Nutrition Per Cup'!A:A,'Milk Types Nutrition Per Cup'!B:B,0)) +(($T298 / 15)  * _xlfn.XLOOKUP($F298,'Liquid Mix In Nutrition'!A:A,'Liquid Mix In Nutrition'!B:B,0))+(($U298 / 15)  * _xlfn.XLOOKUP($G298,'Liquid Mix In Nutrition'!A:A,'Liquid Mix In Nutrition'!B:B,0))+(($V298 /MAX(1, _xlfn.XLOOKUP($H298,'Solid Mix In Nutrition'!A:A,'Solid Mix In Nutrition'!I:I,1)))  * _xlfn.XLOOKUP($H298,'Solid Mix In Nutrition'!A:A,'Solid Mix In Nutrition'!B:B,0))+(($W298 / MAX(1, _xlfn.XLOOKUP($I298,'Solid Mix In Nutrition'!A:A,'Solid Mix In Nutrition'!I:I,1))))+(($X298 / 100)  * _xlfn.XLOOKUP($J298,'Sweetener Mix In Nutrition'!A:A,'Sweetener Mix In Nutrition'!B:B,0))+(($Y298 / 100)  * _xlfn.XLOOKUP($K298,'Sweetener Mix In Nutrition'!A:A,'Sweetener Mix In Nutrition'!B:B,0))</f>
        <v>0</v>
      </c>
      <c r="AC298" s="36">
        <f>(($R298 / 240) * _xlfn.XLOOKUP($D298,'Milk Types Nutrition Per Cup'!A:A,'Milk Types Nutrition Per Cup'!E:E,0)) +(($S298 / 240)  * _xlfn.XLOOKUP($E298,'Milk Types Nutrition Per Cup'!A:A,'Milk Types Nutrition Per Cup'!E:E,0)) +(($T298 / 15)  * _xlfn.XLOOKUP($F298,'Liquid Mix In Nutrition'!A:A,'Liquid Mix In Nutrition'!E:E,0)) +(($U298 / 15)  * _xlfn.XLOOKUP($G298,'Liquid Mix In Nutrition'!A:A,'Liquid Mix In Nutrition'!E:E,0))+(($V298 / MAX(1, _xlfn.XLOOKUP($H298,'Solid Mix In Nutrition'!A:A,'Solid Mix In Nutrition'!I:I,1)))  * _xlfn.XLOOKUP($H298,'Solid Mix In Nutrition'!A:A,'Solid Mix In Nutrition'!E:E,0))+(($W298 / MAX(1, _xlfn.XLOOKUP($I298,'Solid Mix In Nutrition'!A:A,'Solid Mix In Nutrition'!I:I,1)))  * _xlfn.XLOOKUP($I298,'Solid Mix In Nutrition'!A:A,'Solid Mix In Nutrition'!G:G,0))+(($X298 / 100)  * _xlfn.XLOOKUP($J298,'Sweetener Mix In Nutrition'!A:A,'Sweetener Mix In Nutrition'!E:E,0))+(($Y298 / 100)  * _xlfn.XLOOKUP($K298,'Sweetener Mix In Nutrition'!A:A,'Sweetener Mix In Nutrition'!E:E,0))</f>
        <v>0</v>
      </c>
      <c r="AD298" s="36">
        <f>(($R298 / 240) * _xlfn.XLOOKUP($D298,'Milk Types Nutrition Per Cup'!A:A,'Milk Types Nutrition Per Cup'!E:E,0)) +(($S298 / 240)  * _xlfn.XLOOKUP($E298,'Milk Types Nutrition Per Cup'!A:A,'Milk Types Nutrition Per Cup'!E:E,0)) +(($T298 / 15)  * _xlfn.XLOOKUP($F298,'Liquid Mix In Nutrition'!A:A,'Liquid Mix In Nutrition'!E:E,0)) +(($U298 / 15)  * _xlfn.XLOOKUP($G298,'Liquid Mix In Nutrition'!A:A,'Liquid Mix In Nutrition'!E:E,0))+(($X298 / 100)  * _xlfn.XLOOKUP($J298,'Sweetener Mix In Nutrition'!A:A,'Sweetener Mix In Nutrition'!E:E,0))+(($Y298 / 100)  * _xlfn.XLOOKUP($K298,'Sweetener Mix In Nutrition'!A:A,'Sweetener Mix In Nutrition'!E:E,0))</f>
        <v>0</v>
      </c>
      <c r="AE298" s="37">
        <f>(($R298 / 240) * _xlfn.XLOOKUP($D298,'Milk Types Nutrition Per Cup'!A:A,'Milk Types Nutrition Per Cup'!C:C,0)) +(($S298 / 240)  * _xlfn.XLOOKUP($E298,'Milk Types Nutrition Per Cup'!A:A,'Milk Types Nutrition Per Cup'!C:C,0)) +(($T298 / 15)  * _xlfn.XLOOKUP($F298,'Liquid Mix In Nutrition'!A:A,'Liquid Mix In Nutrition'!C:C,0))+(($U298 / 15)  * _xlfn.XLOOKUP($G298,'Liquid Mix In Nutrition'!A:A,'Liquid Mix In Nutrition'!C:C,0))+(($V298 / MAX(1, _xlfn.XLOOKUP($H298,'Solid Mix In Nutrition'!A:A,'Solid Mix In Nutrition'!I:I,1)))  * _xlfn.XLOOKUP($H298,'Solid Mix In Nutrition'!A:A,'Solid Mix In Nutrition'!C:C,0))+(($W298 / MAX(1, _xlfn.XLOOKUP($I298,'Solid Mix In Nutrition'!A:A,'Solid Mix In Nutrition'!I:I,1)))  * _xlfn.XLOOKUP($I298,'Solid Mix In Nutrition'!A:A,'Solid Mix In Nutrition'!C:C,0))+(($X298 / 100)  * _xlfn.XLOOKUP($J298,'Sweetener Mix In Nutrition'!A:A,'Sweetener Mix In Nutrition'!C:C,0))+(($Y298 / 100)  * _xlfn.XLOOKUP($K298,'Sweetener Mix In Nutrition'!A:A,'Sweetener Mix In Nutrition'!C:C,0))</f>
        <v>0</v>
      </c>
      <c r="AF298" s="38" t="e">
        <f>$AE298 / (_xlfn.XLOOKUP($L298,Specs!A:A,Specs!B:B,0))</f>
        <v>#DIV/0!</v>
      </c>
      <c r="AG298" s="37" t="e">
        <f>60* ($AB298 / _xlfn.XLOOKUP($L298,Specs!A:A,Specs!B:B,0))</f>
        <v>#DIV/0!</v>
      </c>
      <c r="AH298" s="37" t="e">
        <f>60* (AC298 / _xlfn.XLOOKUP($L298,Specs!$A:$A,Specs!$B:$B,0))</f>
        <v>#DIV/0!</v>
      </c>
      <c r="AI298" s="37" t="e">
        <f>60* (AE298 / _xlfn.XLOOKUP($L298,Specs!$A:$A,Specs!$B:$B,0))</f>
        <v>#DIV/0!</v>
      </c>
      <c r="AJ298" s="39">
        <f>(($R298 / 240) * _xlfn.XLOOKUP($D298,'Milk Types Nutrition Per Cup'!A:A,'Milk Types Nutrition Per Cup'!F:F,0)) +(($S298 / 240)  * _xlfn.XLOOKUP($E298,'Milk Types Nutrition Per Cup'!A:A,'Milk Types Nutrition Per Cup'!F:F,0)) +(($T298 / 15)  * _xlfn.XLOOKUP($F298,'Liquid Mix In Nutrition'!A:A,'Liquid Mix In Nutrition'!F:F,0))+(($U298 / 15)  * _xlfn.XLOOKUP($G298,'Liquid Mix In Nutrition'!A:A,'Liquid Mix In Nutrition'!F:F,0))+(($V298 / MAX(1, _xlfn.XLOOKUP($H298,'Solid Mix In Nutrition'!A:A,'Solid Mix In Nutrition'!I:I,1)))  * _xlfn.XLOOKUP($H298,'Solid Mix In Nutrition'!A:A,'Solid Mix In Nutrition'!F:F,0))+(($W298 / MAX(1, _xlfn.XLOOKUP($I298,'Solid Mix In Nutrition'!A:A,'Solid Mix In Nutrition'!I:I,1)))  * _xlfn.XLOOKUP($I298,'Solid Mix In Nutrition'!A:A,'Solid Mix In Nutrition'!F:F,0))+(($X298 / 100)  * _xlfn.XLOOKUP($J298,'Sweetener Mix In Nutrition'!A:A,'Sweetener Mix In Nutrition'!F:F,0))+(($Y298 / 100)  * _xlfn.XLOOKUP($K298,'Sweetener Mix In Nutrition'!A:A,'Sweetener Mix In Nutrition'!F:F,0))</f>
        <v>0</v>
      </c>
      <c r="AK298" s="46">
        <f>[2]Sheet1!AG298</f>
        <v>0</v>
      </c>
      <c r="AL298" s="47"/>
      <c r="AM298" s="40">
        <f>IF(ISERROR(((AL298/Specs!$L$3)*Specs!$L$2)*2),0,ROUNDUP((((AL298/Specs!$L$3)*Specs!$L$2)*2),0))</f>
        <v>0</v>
      </c>
      <c r="AN298" s="48">
        <f>ROUNDUP(((AJ298+Specs!$R$2+Specs!$S$2+_xlfn.XLOOKUP($L298,Specs!A:A,Specs!V:V,0))*Specs!$N$2)+AM298,0)</f>
        <v>1</v>
      </c>
      <c r="AO298" s="40">
        <f>ROUNDUP(((AJ298+Specs!$R$2+Specs!$S$2+_xlfn.XLOOKUP($L298,Specs!A:A,Specs!V:V,0))*Specs!$N$2),0)</f>
        <v>1</v>
      </c>
      <c r="AP298" s="30"/>
    </row>
    <row r="299" spans="1:42" x14ac:dyDescent="0.25">
      <c r="A299" s="41" t="str">
        <f>_xlfn.CONCAT(_xlfn.XLOOKUP("What's Your Name?",[1]Sheet1!$1:$1,[1]Sheet1!299:299)," | ",TEXT(_xlfn.XLOOKUP("Completion time",[1]Sheet1!$1:$1,[1]Sheet1!299:299),"dddd, mmm dd, yyyy hh:mm AM/PM"))</f>
        <v xml:space="preserve"> | Saturday, Jan 00, 1900 12:00 AM</v>
      </c>
      <c r="B299" s="76">
        <f>_xlfn.XLOOKUP("What's Your Email Address?",[1]Sheet1!$1:$1,[1]Sheet1!299:299)</f>
        <v>0</v>
      </c>
      <c r="C299" s="31">
        <f>IF(ISBLANK(_xlfn.XLOOKUP("Which Flavor? (Pint Price | Quart Price | Half Gallon Price) (NOTE: Prices may fluctuate based on market conditions)",[1]Sheet1!$1:$1,[1]Sheet1!299:299)),_xlfn.XLOOKUP("Name Your Ice Cream!",[1]Sheet1!$1:$1,[1]Sheet1!299:299),IF(ISNUMBER(FIND("(", _xlfn.XLOOKUP("Which Flavor? (Pint Price | Quart Price | Half Gallon Price) (NOTE: Prices may fluctuate based on market conditions)",[1]Sheet1!$1:$1,[1]Sheet1!299:299))), LEFT(_xlfn.XLOOKUP("Which Flavor? (Pint Price | Quart Price | Half Gallon Price) (NOTE: Prices may fluctuate based on market conditions)",[1]Sheet1!$1:$1,[1]Sheet1!299:299), FIND("(", _xlfn.XLOOKUP("Which Flavor? (Pint Price | Quart Price | Half Gallon Price) (NOTE: Prices may fluctuate based on market conditions)",[1]Sheet1!$1:$1,[1]Sheet1!299:299)) - 1), _xlfn.XLOOKUP("Which Flavor? (Pint Price | Quart Price | Half Gallon Price) (NOTE: Prices may fluctuate based on market conditions)",[1]Sheet1!$1:$1,[1]Sheet1!299:299)))</f>
        <v>0</v>
      </c>
      <c r="D299" s="31">
        <f>IF(COUNTIF('Premade Flavors'!$A:$A, $C299) &gt; 0,IF(ISBLANK(_xlfn.XLOOKUP("What Ice Cream Base Do You Want To Change It To?",[1]Sheet1!$1:$1,[1]Sheet1!299:299)),_xlfn.XLOOKUP($C299,'Premade Flavors'!$A:$A,'Premade Flavors'!B:B),_xlfn.XLOOKUP("What Ice Cream Base Do You Want To Change It To?",[1]Sheet1!$1:$1,[1]Sheet1!299:299)),_xlfn.XLOOKUP(_xlfn.XLOOKUP("What Kind Of Ice Cream Base Do You Want? ",[1]Sheet1!$1:$1,[1]Sheet1!299:299),'Milk Types Nutrition Per Cup'!O:O,'Milk Types Nutrition Per Cup'!P:P,""))</f>
        <v>0</v>
      </c>
      <c r="E299" s="31">
        <f>IF(COUNTIF('Premade Flavors'!$A:$A, $C299) &gt; 0,IF(ISBLANK(_xlfn.XLOOKUP("What Ice Cream Base Do You Want To Change It To?",[1]Sheet1!$1:$1,[1]Sheet1!299:299)),_xlfn.XLOOKUP($C299,'Premade Flavors'!$A:$A,'Premade Flavors'!C:C),_xlfn.XLOOKUP("What Ice Cream Base Do You Want To Change It To?",[1]Sheet1!$1:$1,[1]Sheet1!299:299)),_xlfn.XLOOKUP(_xlfn.XLOOKUP("What Kind Of Ice Cream Base Do You Want? ",[1]Sheet1!$1:$1,[1]Sheet1!299:299),'Milk Types Nutrition Per Cup'!$O:$O,'Milk Types Nutrition Per Cup'!$Q:$Q,""))</f>
        <v>0</v>
      </c>
      <c r="F299" s="31">
        <f>IF(COUNTIF('Premade Flavors'!$A:$A, $C299) &gt; 0,_xlfn.XLOOKUP($C299,'Premade Flavors'!$A:$A,'Premade Flavors'!E:E),_xlfn.XLOOKUP("What's The First Flavor You Want? ",[1]Sheet1!$1:$1,[1]Sheet1!299:299))</f>
        <v>0</v>
      </c>
      <c r="G299" s="31">
        <f>IF(COUNTIF('Premade Flavors'!$A:$A, $C299) &gt; 0,_xlfn.XLOOKUP($C299,'Premade Flavors'!$A:$A,'Premade Flavors'!F:F),_xlfn.XLOOKUP("What's the Second Flavor You Want?",[1]Sheet1!$1:$1,[1]Sheet1!299:299))</f>
        <v>0</v>
      </c>
      <c r="H299" s="31">
        <f>IF(COUNTIF('Premade Flavors'!$A:$A, $C299) &gt; 0,_xlfn.XLOOKUP($C299,'Premade Flavors'!$A:$A,'Premade Flavors'!G:G),_xlfn.XLOOKUP("What's The First Mix In That You Want? ",[1]Sheet1!$1:$1,[1]Sheet1!299:299))</f>
        <v>0</v>
      </c>
      <c r="I299" s="31">
        <f>IF(COUNTIF('Premade Flavors'!$A:$A, $C297) &gt; 0,_xlfn.XLOOKUP($C297,'Premade Flavors'!$A:$A,'Premade Flavors'!H:H),IF([2]Sheet1!W297= 0,,[2]Sheet1!W297))</f>
        <v>0</v>
      </c>
      <c r="J299" s="31">
        <f>IF(COUNTIF('Premade Flavors'!$A:$A,$C299)&gt;0,IF(_xlfn.XLOOKUP("Should It Use Sugar or A Non-Sugar Sweetner?",[1]Sheet1!$1:$1,[1]Sheet1!299:299)="Sugar",_xlfn.XLOOKUP($C299,'Premade Flavors'!$A:$A,'Premade Flavors'!I:I),"Stevia"),_xlfn.XLOOKUP("What Sweetner Do You Want?",[1]Sheet1!$1:$1,[1]Sheet1!299:299))</f>
        <v>0</v>
      </c>
      <c r="K299" s="31"/>
      <c r="L299" s="77">
        <f>_xlfn.XLOOKUP("How Much Ice Cream Do You Want?",[1]Sheet1!$1:$1,[1]Sheet1!299:299)</f>
        <v>0</v>
      </c>
      <c r="M299" s="45">
        <f>IF(COUNTIF('Premade Flavors'!$A:$A, $C299) &gt; 0,_xlfn.XLOOKUP($C299,'Premade Flavors'!$A:$A,'Premade Flavors'!M:M),_xlfn.XLOOKUP("How Strong Do You Want The First Flavor?",[1]Sheet1!$1:$1,[1]Sheet1!299:299))</f>
        <v>0</v>
      </c>
      <c r="N299" s="45">
        <f>IF(COUNTIF('Premade Flavors'!$A:$A, $C299) &gt; 0,_xlfn.XLOOKUP($C299,'Premade Flavors'!$A:$A,'Premade Flavors'!N:N),_xlfn.XLOOKUP("How Strong Do You Want The Second Flavor?",[1]Sheet1!$1:$1,[1]Sheet1!299:299))</f>
        <v>0</v>
      </c>
      <c r="O299" s="45">
        <f>IF(COUNTIF('Premade Flavors'!$A:$A, $C299) &gt; 0,_xlfn.XLOOKUP($C299,'Premade Flavors'!$A:$A,'Premade Flavors'!O:O),_xlfn.XLOOKUP("How Dense Should the Mix Ins Be?",[1]Sheet1!$1:$1,[1]Sheet1!299:299))</f>
        <v>0</v>
      </c>
      <c r="P299" s="45">
        <f>IF(COUNTIF('Premade Flavors'!$A:$A, $C299) &gt; 0,_xlfn.XLOOKUP($C299,'Premade Flavors'!$A:$A,'Premade Flavors'!P:P),_xlfn.XLOOKUP("How Much Of The First Sweetner? ",[1]Sheet1!$1:$1,[1]Sheet1!299:299))</f>
        <v>0</v>
      </c>
      <c r="Q299" s="45">
        <f>IF(COUNTIF('Premade Flavors'!$A:$A, $C299) &gt; 0,_xlfn.XLOOKUP($C299,'Premade Flavors'!$A:$A,'Premade Flavors'!Q:Q),[2]Sheet1!S299)</f>
        <v>0</v>
      </c>
      <c r="R299" s="30">
        <f>(_xlfn.XLOOKUP($L299,Specs!A:A,Specs!B:B,0)-(IF(_xlfn.XLOOKUP($F299,'Liquid Mix In Nutrition'!A:A,'Liquid Mix In Nutrition'!J:J,0)="Yes",0,$T299))-(IF(_xlfn.XLOOKUP($G299,'Liquid Mix In Nutrition'!A:A,'Liquid Mix In Nutrition'!J:J,0)="Yes",0,$U299))-(($V299/MAX(1,_xlfn.XLOOKUP($H299,'Solid Mix In Nutrition'!A:A,'Solid Mix In Nutrition'!I:I,1)))*240)-(($W299/MAX(1,_xlfn.XLOOKUP($I299,'Solid Mix In Nutrition'!A:A,'Solid Mix In Nutrition'!I:I,1)))*240))*0.66</f>
        <v>0</v>
      </c>
      <c r="S299" s="30">
        <f>(_xlfn.XLOOKUP($L299,Specs!A:A,Specs!B:B,0)-(IF(_xlfn.XLOOKUP($F299,'Liquid Mix In Nutrition'!A:A,'Liquid Mix In Nutrition'!J:J,0)="Yes",0,$T299))-(IF(_xlfn.XLOOKUP($G299,'Liquid Mix In Nutrition'!A:A,'Liquid Mix In Nutrition'!J:J,0)="Yes",0,$U299))-(($V299/MAX(1,_xlfn.XLOOKUP($H299,'Solid Mix In Nutrition'!A:A,'Solid Mix In Nutrition'!I:I,1)))*240)-(($W299/MAX(1,_xlfn.XLOOKUP($I299,'Solid Mix In Nutrition'!A:A,'Solid Mix In Nutrition'!I:I,1)))*240))*0.33</f>
        <v>0</v>
      </c>
      <c r="T299" s="30">
        <f>_xlfn.XLOOKUP($M299,Specs!$D:$D,Specs!$E:$E,0)*15*_xlfn.XLOOKUP($L299,Specs!$A:$A,Specs!$C:$C,0)</f>
        <v>0</v>
      </c>
      <c r="U299" s="30">
        <f>_xlfn.XLOOKUP($N299,Specs!$D:$D,Specs!$E:$E,0)*15*_xlfn.XLOOKUP($L299,Specs!$A:$A,Specs!$C:$C,0)</f>
        <v>0</v>
      </c>
      <c r="V299" s="30">
        <f>( ((_xlfn.XLOOKUP($O299,Specs!$H:$H,Specs!$I:$I,0)*_xlfn.XLOOKUP($L299,Specs!$A:$A,Specs!$B:$B,0))/240) *_xlfn.XLOOKUP($H299,'Solid Mix In Nutrition'!A:A,'Solid Mix In Nutrition'!I:I,0)) *IF(AND(NOT($I299=0), COUNTA($I299)),0.5,1)</f>
        <v>0</v>
      </c>
      <c r="W299" s="30">
        <f>( ((_xlfn.XLOOKUP($O299,Specs!$H:$H,Specs!$I:$I,0)*_xlfn.XLOOKUP($L299,Specs!$A:$A,Specs!$B:$B,0))/240) *_xlfn.XLOOKUP($I299,'Solid Mix In Nutrition'!A:A,'Solid Mix In Nutrition'!I:I,0)) *IF(AND(NOT($I299=0), COUNTA($I299)),0.5,0)</f>
        <v>0</v>
      </c>
      <c r="X299" s="30">
        <f>_xlfn.XLOOKUP($P299,Specs!F:F,Specs!G:G,0)*_xlfn.XLOOKUP($J299,'Sweetener Mix In Nutrition'!A:A,'Sweetener Mix In Nutrition'!I:I,0)*_xlfn.XLOOKUP($L299,Specs!A:A,Specs!C:C,0)</f>
        <v>0</v>
      </c>
      <c r="Y299" s="30">
        <f>_xlfn.XLOOKUP($Q299,Specs!F:F,Specs!G:G,0)*_xlfn.XLOOKUP($K299,'Sweetener Mix In Nutrition'!A:A,'Sweetener Mix In Nutrition'!I:I,0)*_xlfn.XLOOKUP($L299,Specs!A:A,Specs!C:C,0)</f>
        <v>0</v>
      </c>
      <c r="Z299" s="34">
        <f t="shared" si="10"/>
        <v>0</v>
      </c>
      <c r="AA299" s="35">
        <f t="shared" si="11"/>
        <v>0</v>
      </c>
      <c r="AB299" s="36">
        <f>(($R299 / 240) * _xlfn.XLOOKUP($D299,'Milk Types Nutrition Per Cup'!A:A,'Milk Types Nutrition Per Cup'!B:B,0)) +(($S299 / 240)  * _xlfn.XLOOKUP($E299,'Milk Types Nutrition Per Cup'!A:A,'Milk Types Nutrition Per Cup'!B:B,0)) +(($T299 / 15)  * _xlfn.XLOOKUP($F299,'Liquid Mix In Nutrition'!A:A,'Liquid Mix In Nutrition'!B:B,0))+(($U299 / 15)  * _xlfn.XLOOKUP($G299,'Liquid Mix In Nutrition'!A:A,'Liquid Mix In Nutrition'!B:B,0))+(($V299 /MAX(1, _xlfn.XLOOKUP($H299,'Solid Mix In Nutrition'!A:A,'Solid Mix In Nutrition'!I:I,1)))  * _xlfn.XLOOKUP($H299,'Solid Mix In Nutrition'!A:A,'Solid Mix In Nutrition'!B:B,0))+(($W299 / MAX(1, _xlfn.XLOOKUP($I299,'Solid Mix In Nutrition'!A:A,'Solid Mix In Nutrition'!I:I,1))))+(($X299 / 100)  * _xlfn.XLOOKUP($J299,'Sweetener Mix In Nutrition'!A:A,'Sweetener Mix In Nutrition'!B:B,0))+(($Y299 / 100)  * _xlfn.XLOOKUP($K299,'Sweetener Mix In Nutrition'!A:A,'Sweetener Mix In Nutrition'!B:B,0))</f>
        <v>0</v>
      </c>
      <c r="AC299" s="36">
        <f>(($R299 / 240) * _xlfn.XLOOKUP($D299,'Milk Types Nutrition Per Cup'!A:A,'Milk Types Nutrition Per Cup'!E:E,0)) +(($S299 / 240)  * _xlfn.XLOOKUP($E299,'Milk Types Nutrition Per Cup'!A:A,'Milk Types Nutrition Per Cup'!E:E,0)) +(($T299 / 15)  * _xlfn.XLOOKUP($F299,'Liquid Mix In Nutrition'!A:A,'Liquid Mix In Nutrition'!E:E,0)) +(($U299 / 15)  * _xlfn.XLOOKUP($G299,'Liquid Mix In Nutrition'!A:A,'Liquid Mix In Nutrition'!E:E,0))+(($V299 / MAX(1, _xlfn.XLOOKUP($H299,'Solid Mix In Nutrition'!A:A,'Solid Mix In Nutrition'!I:I,1)))  * _xlfn.XLOOKUP($H299,'Solid Mix In Nutrition'!A:A,'Solid Mix In Nutrition'!E:E,0))+(($W299 / MAX(1, _xlfn.XLOOKUP($I299,'Solid Mix In Nutrition'!A:A,'Solid Mix In Nutrition'!I:I,1)))  * _xlfn.XLOOKUP($I299,'Solid Mix In Nutrition'!A:A,'Solid Mix In Nutrition'!G:G,0))+(($X299 / 100)  * _xlfn.XLOOKUP($J299,'Sweetener Mix In Nutrition'!A:A,'Sweetener Mix In Nutrition'!E:E,0))+(($Y299 / 100)  * _xlfn.XLOOKUP($K299,'Sweetener Mix In Nutrition'!A:A,'Sweetener Mix In Nutrition'!E:E,0))</f>
        <v>0</v>
      </c>
      <c r="AD299" s="36">
        <f>(($R299 / 240) * _xlfn.XLOOKUP($D299,'Milk Types Nutrition Per Cup'!A:A,'Milk Types Nutrition Per Cup'!E:E,0)) +(($S299 / 240)  * _xlfn.XLOOKUP($E299,'Milk Types Nutrition Per Cup'!A:A,'Milk Types Nutrition Per Cup'!E:E,0)) +(($T299 / 15)  * _xlfn.XLOOKUP($F299,'Liquid Mix In Nutrition'!A:A,'Liquid Mix In Nutrition'!E:E,0)) +(($U299 / 15)  * _xlfn.XLOOKUP($G299,'Liquid Mix In Nutrition'!A:A,'Liquid Mix In Nutrition'!E:E,0))+(($X299 / 100)  * _xlfn.XLOOKUP($J299,'Sweetener Mix In Nutrition'!A:A,'Sweetener Mix In Nutrition'!E:E,0))+(($Y299 / 100)  * _xlfn.XLOOKUP($K299,'Sweetener Mix In Nutrition'!A:A,'Sweetener Mix In Nutrition'!E:E,0))</f>
        <v>0</v>
      </c>
      <c r="AE299" s="37">
        <f>(($R299 / 240) * _xlfn.XLOOKUP($D299,'Milk Types Nutrition Per Cup'!A:A,'Milk Types Nutrition Per Cup'!C:C,0)) +(($S299 / 240)  * _xlfn.XLOOKUP($E299,'Milk Types Nutrition Per Cup'!A:A,'Milk Types Nutrition Per Cup'!C:C,0)) +(($T299 / 15)  * _xlfn.XLOOKUP($F299,'Liquid Mix In Nutrition'!A:A,'Liquid Mix In Nutrition'!C:C,0))+(($U299 / 15)  * _xlfn.XLOOKUP($G299,'Liquid Mix In Nutrition'!A:A,'Liquid Mix In Nutrition'!C:C,0))+(($V299 / MAX(1, _xlfn.XLOOKUP($H299,'Solid Mix In Nutrition'!A:A,'Solid Mix In Nutrition'!I:I,1)))  * _xlfn.XLOOKUP($H299,'Solid Mix In Nutrition'!A:A,'Solid Mix In Nutrition'!C:C,0))+(($W299 / MAX(1, _xlfn.XLOOKUP($I299,'Solid Mix In Nutrition'!A:A,'Solid Mix In Nutrition'!I:I,1)))  * _xlfn.XLOOKUP($I299,'Solid Mix In Nutrition'!A:A,'Solid Mix In Nutrition'!C:C,0))+(($X299 / 100)  * _xlfn.XLOOKUP($J299,'Sweetener Mix In Nutrition'!A:A,'Sweetener Mix In Nutrition'!C:C,0))+(($Y299 / 100)  * _xlfn.XLOOKUP($K299,'Sweetener Mix In Nutrition'!A:A,'Sweetener Mix In Nutrition'!C:C,0))</f>
        <v>0</v>
      </c>
      <c r="AF299" s="38" t="e">
        <f>$AE299 / (_xlfn.XLOOKUP($L299,Specs!A:A,Specs!B:B,0))</f>
        <v>#DIV/0!</v>
      </c>
      <c r="AG299" s="37" t="e">
        <f>60* ($AB299 / _xlfn.XLOOKUP($L299,Specs!A:A,Specs!B:B,0))</f>
        <v>#DIV/0!</v>
      </c>
      <c r="AH299" s="37" t="e">
        <f>60* (AC299 / _xlfn.XLOOKUP($L299,Specs!$A:$A,Specs!$B:$B,0))</f>
        <v>#DIV/0!</v>
      </c>
      <c r="AI299" s="37" t="e">
        <f>60* (AE299 / _xlfn.XLOOKUP($L299,Specs!$A:$A,Specs!$B:$B,0))</f>
        <v>#DIV/0!</v>
      </c>
      <c r="AJ299" s="39">
        <f>(($R299 / 240) * _xlfn.XLOOKUP($D299,'Milk Types Nutrition Per Cup'!A:A,'Milk Types Nutrition Per Cup'!F:F,0)) +(($S299 / 240)  * _xlfn.XLOOKUP($E299,'Milk Types Nutrition Per Cup'!A:A,'Milk Types Nutrition Per Cup'!F:F,0)) +(($T299 / 15)  * _xlfn.XLOOKUP($F299,'Liquid Mix In Nutrition'!A:A,'Liquid Mix In Nutrition'!F:F,0))+(($U299 / 15)  * _xlfn.XLOOKUP($G299,'Liquid Mix In Nutrition'!A:A,'Liquid Mix In Nutrition'!F:F,0))+(($V299 / MAX(1, _xlfn.XLOOKUP($H299,'Solid Mix In Nutrition'!A:A,'Solid Mix In Nutrition'!I:I,1)))  * _xlfn.XLOOKUP($H299,'Solid Mix In Nutrition'!A:A,'Solid Mix In Nutrition'!F:F,0))+(($W299 / MAX(1, _xlfn.XLOOKUP($I299,'Solid Mix In Nutrition'!A:A,'Solid Mix In Nutrition'!I:I,1)))  * _xlfn.XLOOKUP($I299,'Solid Mix In Nutrition'!A:A,'Solid Mix In Nutrition'!F:F,0))+(($X299 / 100)  * _xlfn.XLOOKUP($J299,'Sweetener Mix In Nutrition'!A:A,'Sweetener Mix In Nutrition'!F:F,0))+(($Y299 / 100)  * _xlfn.XLOOKUP($K299,'Sweetener Mix In Nutrition'!A:A,'Sweetener Mix In Nutrition'!F:F,0))</f>
        <v>0</v>
      </c>
      <c r="AK299" s="46">
        <f>[2]Sheet1!AG299</f>
        <v>0</v>
      </c>
      <c r="AL299" s="47"/>
      <c r="AM299" s="40">
        <f>IF(ISERROR(((AL299/Specs!$L$3)*Specs!$L$2)*2),0,ROUNDUP((((AL299/Specs!$L$3)*Specs!$L$2)*2),0))</f>
        <v>0</v>
      </c>
      <c r="AN299" s="48">
        <f>ROUNDUP(((AJ299+Specs!$R$2+Specs!$S$2+_xlfn.XLOOKUP($L299,Specs!A:A,Specs!V:V,0))*Specs!$N$2)+AM299,0)</f>
        <v>1</v>
      </c>
      <c r="AO299" s="40">
        <f>ROUNDUP(((AJ299+Specs!$R$2+Specs!$S$2+_xlfn.XLOOKUP($L299,Specs!A:A,Specs!V:V,0))*Specs!$N$2),0)</f>
        <v>1</v>
      </c>
      <c r="AP299" s="30"/>
    </row>
    <row r="300" spans="1:42" x14ac:dyDescent="0.25">
      <c r="A300" s="41" t="str">
        <f>_xlfn.CONCAT(_xlfn.XLOOKUP("What's Your Name?",[1]Sheet1!$1:$1,[1]Sheet1!300:300)," | ",TEXT(_xlfn.XLOOKUP("Completion time",[1]Sheet1!$1:$1,[1]Sheet1!300:300),"dddd, mmm dd, yyyy hh:mm AM/PM"))</f>
        <v xml:space="preserve"> | Saturday, Jan 00, 1900 12:00 AM</v>
      </c>
      <c r="B300" s="76">
        <f>_xlfn.XLOOKUP("What's Your Email Address?",[1]Sheet1!$1:$1,[1]Sheet1!300:300)</f>
        <v>0</v>
      </c>
      <c r="C300" s="31">
        <f>IF(ISBLANK(_xlfn.XLOOKUP("Which Flavor? (Pint Price | Quart Price | Half Gallon Price) (NOTE: Prices may fluctuate based on market conditions)",[1]Sheet1!$1:$1,[1]Sheet1!300:300)),_xlfn.XLOOKUP("Name Your Ice Cream!",[1]Sheet1!$1:$1,[1]Sheet1!300:300),IF(ISNUMBER(FIND("(", _xlfn.XLOOKUP("Which Flavor? (Pint Price | Quart Price | Half Gallon Price) (NOTE: Prices may fluctuate based on market conditions)",[1]Sheet1!$1:$1,[1]Sheet1!300:300))), LEFT(_xlfn.XLOOKUP("Which Flavor? (Pint Price | Quart Price | Half Gallon Price) (NOTE: Prices may fluctuate based on market conditions)",[1]Sheet1!$1:$1,[1]Sheet1!300:300), FIND("(", _xlfn.XLOOKUP("Which Flavor? (Pint Price | Quart Price | Half Gallon Price) (NOTE: Prices may fluctuate based on market conditions)",[1]Sheet1!$1:$1,[1]Sheet1!300:300)) - 1), _xlfn.XLOOKUP("Which Flavor? (Pint Price | Quart Price | Half Gallon Price) (NOTE: Prices may fluctuate based on market conditions)",[1]Sheet1!$1:$1,[1]Sheet1!300:300)))</f>
        <v>0</v>
      </c>
      <c r="D300" s="31">
        <f>IF(COUNTIF('Premade Flavors'!$A:$A, $C300) &gt; 0,IF(ISBLANK(_xlfn.XLOOKUP("What Ice Cream Base Do You Want To Change It To?",[1]Sheet1!$1:$1,[1]Sheet1!300:300)),_xlfn.XLOOKUP($C300,'Premade Flavors'!$A:$A,'Premade Flavors'!B:B),_xlfn.XLOOKUP("What Ice Cream Base Do You Want To Change It To?",[1]Sheet1!$1:$1,[1]Sheet1!300:300)),_xlfn.XLOOKUP(_xlfn.XLOOKUP("What Kind Of Ice Cream Base Do You Want? ",[1]Sheet1!$1:$1,[1]Sheet1!300:300),'Milk Types Nutrition Per Cup'!O:O,'Milk Types Nutrition Per Cup'!P:P,""))</f>
        <v>0</v>
      </c>
      <c r="E300" s="31">
        <f>IF(COUNTIF('Premade Flavors'!$A:$A, $C300) &gt; 0,IF(ISBLANK(_xlfn.XLOOKUP("What Ice Cream Base Do You Want To Change It To?",[1]Sheet1!$1:$1,[1]Sheet1!300:300)),_xlfn.XLOOKUP($C300,'Premade Flavors'!$A:$A,'Premade Flavors'!C:C),_xlfn.XLOOKUP("What Ice Cream Base Do You Want To Change It To?",[1]Sheet1!$1:$1,[1]Sheet1!300:300)),_xlfn.XLOOKUP(_xlfn.XLOOKUP("What Kind Of Ice Cream Base Do You Want? ",[1]Sheet1!$1:$1,[1]Sheet1!300:300),'Milk Types Nutrition Per Cup'!$O:$O,'Milk Types Nutrition Per Cup'!$Q:$Q,""))</f>
        <v>0</v>
      </c>
      <c r="F300" s="31">
        <f>IF(COUNTIF('Premade Flavors'!$A:$A, $C300) &gt; 0,_xlfn.XLOOKUP($C300,'Premade Flavors'!$A:$A,'Premade Flavors'!E:E),_xlfn.XLOOKUP("What's The First Flavor You Want? ",[1]Sheet1!$1:$1,[1]Sheet1!300:300))</f>
        <v>0</v>
      </c>
      <c r="G300" s="31">
        <f>IF(COUNTIF('Premade Flavors'!$A:$A, $C300) &gt; 0,_xlfn.XLOOKUP($C300,'Premade Flavors'!$A:$A,'Premade Flavors'!F:F),_xlfn.XLOOKUP("What's the Second Flavor You Want?",[1]Sheet1!$1:$1,[1]Sheet1!300:300))</f>
        <v>0</v>
      </c>
      <c r="H300" s="31">
        <f>IF(COUNTIF('Premade Flavors'!$A:$A, $C300) &gt; 0,_xlfn.XLOOKUP($C300,'Premade Flavors'!$A:$A,'Premade Flavors'!G:G),_xlfn.XLOOKUP("What's The First Mix In That You Want? ",[1]Sheet1!$1:$1,[1]Sheet1!300:300))</f>
        <v>0</v>
      </c>
      <c r="I300" s="31">
        <f>IF(COUNTIF('Premade Flavors'!$A:$A, $C298) &gt; 0,_xlfn.XLOOKUP($C298,'Premade Flavors'!$A:$A,'Premade Flavors'!H:H),IF([2]Sheet1!W298= 0,,[2]Sheet1!W298))</f>
        <v>0</v>
      </c>
      <c r="J300" s="31">
        <f>IF(COUNTIF('Premade Flavors'!$A:$A,$C300)&gt;0,IF(_xlfn.XLOOKUP("Should It Use Sugar or A Non-Sugar Sweetner?",[1]Sheet1!$1:$1,[1]Sheet1!300:300)="Sugar",_xlfn.XLOOKUP($C300,'Premade Flavors'!$A:$A,'Premade Flavors'!I:I),"Stevia"),_xlfn.XLOOKUP("What Sweetner Do You Want?",[1]Sheet1!$1:$1,[1]Sheet1!300:300))</f>
        <v>0</v>
      </c>
      <c r="K300" s="31"/>
      <c r="L300" s="77">
        <f>_xlfn.XLOOKUP("How Much Ice Cream Do You Want?",[1]Sheet1!$1:$1,[1]Sheet1!300:300)</f>
        <v>0</v>
      </c>
      <c r="M300" s="45">
        <f>IF(COUNTIF('Premade Flavors'!$A:$A, $C300) &gt; 0,_xlfn.XLOOKUP($C300,'Premade Flavors'!$A:$A,'Premade Flavors'!M:M),_xlfn.XLOOKUP("How Strong Do You Want The First Flavor?",[1]Sheet1!$1:$1,[1]Sheet1!300:300))</f>
        <v>0</v>
      </c>
      <c r="N300" s="45">
        <f>IF(COUNTIF('Premade Flavors'!$A:$A, $C300) &gt; 0,_xlfn.XLOOKUP($C300,'Premade Flavors'!$A:$A,'Premade Flavors'!N:N),_xlfn.XLOOKUP("How Strong Do You Want The Second Flavor?",[1]Sheet1!$1:$1,[1]Sheet1!300:300))</f>
        <v>0</v>
      </c>
      <c r="O300" s="45">
        <f>IF(COUNTIF('Premade Flavors'!$A:$A, $C300) &gt; 0,_xlfn.XLOOKUP($C300,'Premade Flavors'!$A:$A,'Premade Flavors'!O:O),_xlfn.XLOOKUP("How Dense Should the Mix Ins Be?",[1]Sheet1!$1:$1,[1]Sheet1!300:300))</f>
        <v>0</v>
      </c>
      <c r="P300" s="45">
        <f>IF(COUNTIF('Premade Flavors'!$A:$A, $C300) &gt; 0,_xlfn.XLOOKUP($C300,'Premade Flavors'!$A:$A,'Premade Flavors'!P:P),_xlfn.XLOOKUP("How Much Of The First Sweetner? ",[1]Sheet1!$1:$1,[1]Sheet1!300:300))</f>
        <v>0</v>
      </c>
      <c r="Q300" s="45">
        <f>IF(COUNTIF('Premade Flavors'!$A:$A, $C300) &gt; 0,_xlfn.XLOOKUP($C300,'Premade Flavors'!$A:$A,'Premade Flavors'!Q:Q),[2]Sheet1!S300)</f>
        <v>0</v>
      </c>
      <c r="R300" s="30">
        <f>(_xlfn.XLOOKUP($L300,Specs!A:A,Specs!B:B,0)-(IF(_xlfn.XLOOKUP($F300,'Liquid Mix In Nutrition'!A:A,'Liquid Mix In Nutrition'!J:J,0)="Yes",0,$T300))-(IF(_xlfn.XLOOKUP($G300,'Liquid Mix In Nutrition'!A:A,'Liquid Mix In Nutrition'!J:J,0)="Yes",0,$U300))-(($V300/MAX(1,_xlfn.XLOOKUP($H300,'Solid Mix In Nutrition'!A:A,'Solid Mix In Nutrition'!I:I,1)))*240)-(($W300/MAX(1,_xlfn.XLOOKUP($I300,'Solid Mix In Nutrition'!A:A,'Solid Mix In Nutrition'!I:I,1)))*240))*0.66</f>
        <v>0</v>
      </c>
      <c r="S300" s="30">
        <f>(_xlfn.XLOOKUP($L300,Specs!A:A,Specs!B:B,0)-(IF(_xlfn.XLOOKUP($F300,'Liquid Mix In Nutrition'!A:A,'Liquid Mix In Nutrition'!J:J,0)="Yes",0,$T300))-(IF(_xlfn.XLOOKUP($G300,'Liquid Mix In Nutrition'!A:A,'Liquid Mix In Nutrition'!J:J,0)="Yes",0,$U300))-(($V300/MAX(1,_xlfn.XLOOKUP($H300,'Solid Mix In Nutrition'!A:A,'Solid Mix In Nutrition'!I:I,1)))*240)-(($W300/MAX(1,_xlfn.XLOOKUP($I300,'Solid Mix In Nutrition'!A:A,'Solid Mix In Nutrition'!I:I,1)))*240))*0.33</f>
        <v>0</v>
      </c>
      <c r="T300" s="30">
        <f>_xlfn.XLOOKUP($M300,Specs!$D:$D,Specs!$E:$E,0)*15*_xlfn.XLOOKUP($L300,Specs!$A:$A,Specs!$C:$C,0)</f>
        <v>0</v>
      </c>
      <c r="U300" s="30">
        <f>_xlfn.XLOOKUP($N300,Specs!$D:$D,Specs!$E:$E,0)*15*_xlfn.XLOOKUP($L300,Specs!$A:$A,Specs!$C:$C,0)</f>
        <v>0</v>
      </c>
      <c r="V300" s="30">
        <f>( ((_xlfn.XLOOKUP($O300,Specs!$H:$H,Specs!$I:$I,0)*_xlfn.XLOOKUP($L300,Specs!$A:$A,Specs!$B:$B,0))/240) *_xlfn.XLOOKUP($H300,'Solid Mix In Nutrition'!A:A,'Solid Mix In Nutrition'!I:I,0)) *IF(AND(NOT($I300=0), COUNTA($I300)),0.5,1)</f>
        <v>0</v>
      </c>
      <c r="W300" s="30">
        <f>( ((_xlfn.XLOOKUP($O300,Specs!$H:$H,Specs!$I:$I,0)*_xlfn.XLOOKUP($L300,Specs!$A:$A,Specs!$B:$B,0))/240) *_xlfn.XLOOKUP($I300,'Solid Mix In Nutrition'!A:A,'Solid Mix In Nutrition'!I:I,0)) *IF(AND(NOT($I300=0), COUNTA($I300)),0.5,0)</f>
        <v>0</v>
      </c>
      <c r="X300" s="30">
        <f>_xlfn.XLOOKUP($P300,Specs!F:F,Specs!G:G,0)*_xlfn.XLOOKUP($J300,'Sweetener Mix In Nutrition'!A:A,'Sweetener Mix In Nutrition'!I:I,0)*_xlfn.XLOOKUP($L300,Specs!A:A,Specs!C:C,0)</f>
        <v>0</v>
      </c>
      <c r="Y300" s="30">
        <f>_xlfn.XLOOKUP($Q300,Specs!F:F,Specs!G:G,0)*_xlfn.XLOOKUP($K300,'Sweetener Mix In Nutrition'!A:A,'Sweetener Mix In Nutrition'!I:I,0)*_xlfn.XLOOKUP($L300,Specs!A:A,Specs!C:C,0)</f>
        <v>0</v>
      </c>
      <c r="Z300" s="34">
        <f t="shared" si="10"/>
        <v>0</v>
      </c>
      <c r="AA300" s="35">
        <f t="shared" si="11"/>
        <v>0</v>
      </c>
      <c r="AB300" s="36">
        <f>(($R300 / 240) * _xlfn.XLOOKUP($D300,'Milk Types Nutrition Per Cup'!A:A,'Milk Types Nutrition Per Cup'!B:B,0)) +(($S300 / 240)  * _xlfn.XLOOKUP($E300,'Milk Types Nutrition Per Cup'!A:A,'Milk Types Nutrition Per Cup'!B:B,0)) +(($T300 / 15)  * _xlfn.XLOOKUP($F300,'Liquid Mix In Nutrition'!A:A,'Liquid Mix In Nutrition'!B:B,0))+(($U300 / 15)  * _xlfn.XLOOKUP($G300,'Liquid Mix In Nutrition'!A:A,'Liquid Mix In Nutrition'!B:B,0))+(($V300 /MAX(1, _xlfn.XLOOKUP($H300,'Solid Mix In Nutrition'!A:A,'Solid Mix In Nutrition'!I:I,1)))  * _xlfn.XLOOKUP($H300,'Solid Mix In Nutrition'!A:A,'Solid Mix In Nutrition'!B:B,0))+(($W300 / MAX(1, _xlfn.XLOOKUP($I300,'Solid Mix In Nutrition'!A:A,'Solid Mix In Nutrition'!I:I,1))))+(($X300 / 100)  * _xlfn.XLOOKUP($J300,'Sweetener Mix In Nutrition'!A:A,'Sweetener Mix In Nutrition'!B:B,0))+(($Y300 / 100)  * _xlfn.XLOOKUP($K300,'Sweetener Mix In Nutrition'!A:A,'Sweetener Mix In Nutrition'!B:B,0))</f>
        <v>0</v>
      </c>
      <c r="AC300" s="36">
        <f>(($R300 / 240) * _xlfn.XLOOKUP($D300,'Milk Types Nutrition Per Cup'!A:A,'Milk Types Nutrition Per Cup'!E:E,0)) +(($S300 / 240)  * _xlfn.XLOOKUP($E300,'Milk Types Nutrition Per Cup'!A:A,'Milk Types Nutrition Per Cup'!E:E,0)) +(($T300 / 15)  * _xlfn.XLOOKUP($F300,'Liquid Mix In Nutrition'!A:A,'Liquid Mix In Nutrition'!E:E,0)) +(($U300 / 15)  * _xlfn.XLOOKUP($G300,'Liquid Mix In Nutrition'!A:A,'Liquid Mix In Nutrition'!E:E,0))+(($V300 / MAX(1, _xlfn.XLOOKUP($H300,'Solid Mix In Nutrition'!A:A,'Solid Mix In Nutrition'!I:I,1)))  * _xlfn.XLOOKUP($H300,'Solid Mix In Nutrition'!A:A,'Solid Mix In Nutrition'!E:E,0))+(($W300 / MAX(1, _xlfn.XLOOKUP($I300,'Solid Mix In Nutrition'!A:A,'Solid Mix In Nutrition'!I:I,1)))  * _xlfn.XLOOKUP($I300,'Solid Mix In Nutrition'!A:A,'Solid Mix In Nutrition'!G:G,0))+(($X300 / 100)  * _xlfn.XLOOKUP($J300,'Sweetener Mix In Nutrition'!A:A,'Sweetener Mix In Nutrition'!E:E,0))+(($Y300 / 100)  * _xlfn.XLOOKUP($K300,'Sweetener Mix In Nutrition'!A:A,'Sweetener Mix In Nutrition'!E:E,0))</f>
        <v>0</v>
      </c>
      <c r="AD300" s="36">
        <f>(($R300 / 240) * _xlfn.XLOOKUP($D300,'Milk Types Nutrition Per Cup'!A:A,'Milk Types Nutrition Per Cup'!E:E,0)) +(($S300 / 240)  * _xlfn.XLOOKUP($E300,'Milk Types Nutrition Per Cup'!A:A,'Milk Types Nutrition Per Cup'!E:E,0)) +(($T300 / 15)  * _xlfn.XLOOKUP($F300,'Liquid Mix In Nutrition'!A:A,'Liquid Mix In Nutrition'!E:E,0)) +(($U300 / 15)  * _xlfn.XLOOKUP($G300,'Liquid Mix In Nutrition'!A:A,'Liquid Mix In Nutrition'!E:E,0))+(($X300 / 100)  * _xlfn.XLOOKUP($J300,'Sweetener Mix In Nutrition'!A:A,'Sweetener Mix In Nutrition'!E:E,0))+(($Y300 / 100)  * _xlfn.XLOOKUP($K300,'Sweetener Mix In Nutrition'!A:A,'Sweetener Mix In Nutrition'!E:E,0))</f>
        <v>0</v>
      </c>
      <c r="AE300" s="37">
        <f>(($R300 / 240) * _xlfn.XLOOKUP($D300,'Milk Types Nutrition Per Cup'!A:A,'Milk Types Nutrition Per Cup'!C:C,0)) +(($S300 / 240)  * _xlfn.XLOOKUP($E300,'Milk Types Nutrition Per Cup'!A:A,'Milk Types Nutrition Per Cup'!C:C,0)) +(($T300 / 15)  * _xlfn.XLOOKUP($F300,'Liquid Mix In Nutrition'!A:A,'Liquid Mix In Nutrition'!C:C,0))+(($U300 / 15)  * _xlfn.XLOOKUP($G300,'Liquid Mix In Nutrition'!A:A,'Liquid Mix In Nutrition'!C:C,0))+(($V300 / MAX(1, _xlfn.XLOOKUP($H300,'Solid Mix In Nutrition'!A:A,'Solid Mix In Nutrition'!I:I,1)))  * _xlfn.XLOOKUP($H300,'Solid Mix In Nutrition'!A:A,'Solid Mix In Nutrition'!C:C,0))+(($W300 / MAX(1, _xlfn.XLOOKUP($I300,'Solid Mix In Nutrition'!A:A,'Solid Mix In Nutrition'!I:I,1)))  * _xlfn.XLOOKUP($I300,'Solid Mix In Nutrition'!A:A,'Solid Mix In Nutrition'!C:C,0))+(($X300 / 100)  * _xlfn.XLOOKUP($J300,'Sweetener Mix In Nutrition'!A:A,'Sweetener Mix In Nutrition'!C:C,0))+(($Y300 / 100)  * _xlfn.XLOOKUP($K300,'Sweetener Mix In Nutrition'!A:A,'Sweetener Mix In Nutrition'!C:C,0))</f>
        <v>0</v>
      </c>
      <c r="AF300" s="38" t="e">
        <f>$AE300 / (_xlfn.XLOOKUP($L300,Specs!A:A,Specs!B:B,0))</f>
        <v>#DIV/0!</v>
      </c>
      <c r="AG300" s="37" t="e">
        <f>60* ($AB300 / _xlfn.XLOOKUP($L300,Specs!A:A,Specs!B:B,0))</f>
        <v>#DIV/0!</v>
      </c>
      <c r="AH300" s="37" t="e">
        <f>60* (AC300 / _xlfn.XLOOKUP($L300,Specs!$A:$A,Specs!$B:$B,0))</f>
        <v>#DIV/0!</v>
      </c>
      <c r="AI300" s="37" t="e">
        <f>60* (AE300 / _xlfn.XLOOKUP($L300,Specs!$A:$A,Specs!$B:$B,0))</f>
        <v>#DIV/0!</v>
      </c>
      <c r="AJ300" s="39">
        <f>(($R300 / 240) * _xlfn.XLOOKUP($D300,'Milk Types Nutrition Per Cup'!A:A,'Milk Types Nutrition Per Cup'!F:F,0)) +(($S300 / 240)  * _xlfn.XLOOKUP($E300,'Milk Types Nutrition Per Cup'!A:A,'Milk Types Nutrition Per Cup'!F:F,0)) +(($T300 / 15)  * _xlfn.XLOOKUP($F300,'Liquid Mix In Nutrition'!A:A,'Liquid Mix In Nutrition'!F:F,0))+(($U300 / 15)  * _xlfn.XLOOKUP($G300,'Liquid Mix In Nutrition'!A:A,'Liquid Mix In Nutrition'!F:F,0))+(($V300 / MAX(1, _xlfn.XLOOKUP($H300,'Solid Mix In Nutrition'!A:A,'Solid Mix In Nutrition'!I:I,1)))  * _xlfn.XLOOKUP($H300,'Solid Mix In Nutrition'!A:A,'Solid Mix In Nutrition'!F:F,0))+(($W300 / MAX(1, _xlfn.XLOOKUP($I300,'Solid Mix In Nutrition'!A:A,'Solid Mix In Nutrition'!I:I,1)))  * _xlfn.XLOOKUP($I300,'Solid Mix In Nutrition'!A:A,'Solid Mix In Nutrition'!F:F,0))+(($X300 / 100)  * _xlfn.XLOOKUP($J300,'Sweetener Mix In Nutrition'!A:A,'Sweetener Mix In Nutrition'!F:F,0))+(($Y300 / 100)  * _xlfn.XLOOKUP($K300,'Sweetener Mix In Nutrition'!A:A,'Sweetener Mix In Nutrition'!F:F,0))</f>
        <v>0</v>
      </c>
      <c r="AK300" s="46">
        <f>[2]Sheet1!AG300</f>
        <v>0</v>
      </c>
      <c r="AL300" s="47"/>
      <c r="AM300" s="40">
        <f>IF(ISERROR(((AL300/Specs!$L$3)*Specs!$L$2)*2),0,ROUNDUP((((AL300/Specs!$L$3)*Specs!$L$2)*2),0))</f>
        <v>0</v>
      </c>
      <c r="AN300" s="48">
        <f>ROUNDUP(((AJ300+Specs!$R$2+Specs!$S$2+_xlfn.XLOOKUP($L300,Specs!A:A,Specs!V:V,0))*Specs!$N$2)+AM300,0)</f>
        <v>1</v>
      </c>
      <c r="AO300" s="40">
        <f>ROUNDUP(((AJ300+Specs!$R$2+Specs!$S$2+_xlfn.XLOOKUP($L300,Specs!A:A,Specs!V:V,0))*Specs!$N$2),0)</f>
        <v>1</v>
      </c>
      <c r="AP300" s="30"/>
    </row>
    <row r="301" spans="1:42" x14ac:dyDescent="0.25">
      <c r="A301" s="41" t="str">
        <f>_xlfn.CONCAT(_xlfn.XLOOKUP("What's Your Name?",[1]Sheet1!$1:$1,[1]Sheet1!301:301)," | ",TEXT(_xlfn.XLOOKUP("Completion time",[1]Sheet1!$1:$1,[1]Sheet1!301:301),"dddd, mmm dd, yyyy hh:mm AM/PM"))</f>
        <v xml:space="preserve"> | Saturday, Jan 00, 1900 12:00 AM</v>
      </c>
      <c r="B301" s="76">
        <f>_xlfn.XLOOKUP("What's Your Email Address?",[1]Sheet1!$1:$1,[1]Sheet1!301:301)</f>
        <v>0</v>
      </c>
      <c r="C301" s="31">
        <f>IF(ISBLANK(_xlfn.XLOOKUP("Which Flavor? (Pint Price | Quart Price | Half Gallon Price) (NOTE: Prices may fluctuate based on market conditions)",[1]Sheet1!$1:$1,[1]Sheet1!301:301)),_xlfn.XLOOKUP("Name Your Ice Cream!",[1]Sheet1!$1:$1,[1]Sheet1!301:301),IF(ISNUMBER(FIND("(", _xlfn.XLOOKUP("Which Flavor? (Pint Price | Quart Price | Half Gallon Price) (NOTE: Prices may fluctuate based on market conditions)",[1]Sheet1!$1:$1,[1]Sheet1!301:301))), LEFT(_xlfn.XLOOKUP("Which Flavor? (Pint Price | Quart Price | Half Gallon Price) (NOTE: Prices may fluctuate based on market conditions)",[1]Sheet1!$1:$1,[1]Sheet1!301:301), FIND("(", _xlfn.XLOOKUP("Which Flavor? (Pint Price | Quart Price | Half Gallon Price) (NOTE: Prices may fluctuate based on market conditions)",[1]Sheet1!$1:$1,[1]Sheet1!301:301)) - 1), _xlfn.XLOOKUP("Which Flavor? (Pint Price | Quart Price | Half Gallon Price) (NOTE: Prices may fluctuate based on market conditions)",[1]Sheet1!$1:$1,[1]Sheet1!301:301)))</f>
        <v>0</v>
      </c>
      <c r="D301" s="31">
        <f>IF(COUNTIF('Premade Flavors'!$A:$A, $C301) &gt; 0,IF(ISBLANK(_xlfn.XLOOKUP("What Ice Cream Base Do You Want To Change It To?",[1]Sheet1!$1:$1,[1]Sheet1!301:301)),_xlfn.XLOOKUP($C301,'Premade Flavors'!$A:$A,'Premade Flavors'!B:B),_xlfn.XLOOKUP("What Ice Cream Base Do You Want To Change It To?",[1]Sheet1!$1:$1,[1]Sheet1!301:301)),_xlfn.XLOOKUP(_xlfn.XLOOKUP("What Kind Of Ice Cream Base Do You Want? ",[1]Sheet1!$1:$1,[1]Sheet1!301:301),'Milk Types Nutrition Per Cup'!O:O,'Milk Types Nutrition Per Cup'!P:P,""))</f>
        <v>0</v>
      </c>
      <c r="E301" s="31">
        <f>IF(COUNTIF('Premade Flavors'!$A:$A, $C301) &gt; 0,IF(ISBLANK(_xlfn.XLOOKUP("What Ice Cream Base Do You Want To Change It To?",[1]Sheet1!$1:$1,[1]Sheet1!301:301)),_xlfn.XLOOKUP($C301,'Premade Flavors'!$A:$A,'Premade Flavors'!C:C),_xlfn.XLOOKUP("What Ice Cream Base Do You Want To Change It To?",[1]Sheet1!$1:$1,[1]Sheet1!301:301)),_xlfn.XLOOKUP(_xlfn.XLOOKUP("What Kind Of Ice Cream Base Do You Want? ",[1]Sheet1!$1:$1,[1]Sheet1!301:301),'Milk Types Nutrition Per Cup'!$O:$O,'Milk Types Nutrition Per Cup'!$Q:$Q,""))</f>
        <v>0</v>
      </c>
      <c r="F301" s="31">
        <f>IF(COUNTIF('Premade Flavors'!$A:$A, $C301) &gt; 0,_xlfn.XLOOKUP($C301,'Premade Flavors'!$A:$A,'Premade Flavors'!E:E),_xlfn.XLOOKUP("What's The First Flavor You Want? ",[1]Sheet1!$1:$1,[1]Sheet1!301:301))</f>
        <v>0</v>
      </c>
      <c r="G301" s="31">
        <f>IF(COUNTIF('Premade Flavors'!$A:$A, $C301) &gt; 0,_xlfn.XLOOKUP($C301,'Premade Flavors'!$A:$A,'Premade Flavors'!F:F),_xlfn.XLOOKUP("What's the Second Flavor You Want?",[1]Sheet1!$1:$1,[1]Sheet1!301:301))</f>
        <v>0</v>
      </c>
      <c r="H301" s="31">
        <f>IF(COUNTIF('Premade Flavors'!$A:$A, $C301) &gt; 0,_xlfn.XLOOKUP($C301,'Premade Flavors'!$A:$A,'Premade Flavors'!G:G),_xlfn.XLOOKUP("What's The First Mix In That You Want? ",[1]Sheet1!$1:$1,[1]Sheet1!301:301))</f>
        <v>0</v>
      </c>
      <c r="I301" s="31">
        <f>IF(COUNTIF('Premade Flavors'!$A:$A, $C299) &gt; 0,_xlfn.XLOOKUP($C299,'Premade Flavors'!$A:$A,'Premade Flavors'!H:H),IF([2]Sheet1!W299= 0,,[2]Sheet1!W299))</f>
        <v>0</v>
      </c>
      <c r="J301" s="31">
        <f>IF(COUNTIF('Premade Flavors'!$A:$A,$C301)&gt;0,IF(_xlfn.XLOOKUP("Should It Use Sugar or A Non-Sugar Sweetner?",[1]Sheet1!$1:$1,[1]Sheet1!301:301)="Sugar",_xlfn.XLOOKUP($C301,'Premade Flavors'!$A:$A,'Premade Flavors'!I:I),"Stevia"),_xlfn.XLOOKUP("What Sweetner Do You Want?",[1]Sheet1!$1:$1,[1]Sheet1!301:301))</f>
        <v>0</v>
      </c>
      <c r="K301" s="31"/>
      <c r="L301" s="77">
        <f>_xlfn.XLOOKUP("How Much Ice Cream Do You Want?",[1]Sheet1!$1:$1,[1]Sheet1!301:301)</f>
        <v>0</v>
      </c>
      <c r="M301" s="45">
        <f>IF(COUNTIF('Premade Flavors'!$A:$A, $C301) &gt; 0,_xlfn.XLOOKUP($C301,'Premade Flavors'!$A:$A,'Premade Flavors'!M:M),_xlfn.XLOOKUP("How Strong Do You Want The First Flavor?",[1]Sheet1!$1:$1,[1]Sheet1!301:301))</f>
        <v>0</v>
      </c>
      <c r="N301" s="45">
        <f>IF(COUNTIF('Premade Flavors'!$A:$A, $C301) &gt; 0,_xlfn.XLOOKUP($C301,'Premade Flavors'!$A:$A,'Premade Flavors'!N:N),_xlfn.XLOOKUP("How Strong Do You Want The Second Flavor?",[1]Sheet1!$1:$1,[1]Sheet1!301:301))</f>
        <v>0</v>
      </c>
      <c r="O301" s="45">
        <f>IF(COUNTIF('Premade Flavors'!$A:$A, $C301) &gt; 0,_xlfn.XLOOKUP($C301,'Premade Flavors'!$A:$A,'Premade Flavors'!O:O),_xlfn.XLOOKUP("How Dense Should the Mix Ins Be?",[1]Sheet1!$1:$1,[1]Sheet1!301:301))</f>
        <v>0</v>
      </c>
      <c r="P301" s="45">
        <f>IF(COUNTIF('Premade Flavors'!$A:$A, $C301) &gt; 0,_xlfn.XLOOKUP($C301,'Premade Flavors'!$A:$A,'Premade Flavors'!P:P),_xlfn.XLOOKUP("How Much Of The First Sweetner? ",[1]Sheet1!$1:$1,[1]Sheet1!301:301))</f>
        <v>0</v>
      </c>
      <c r="Q301" s="45">
        <f>IF(COUNTIF('Premade Flavors'!$A:$A, $C301) &gt; 0,_xlfn.XLOOKUP($C301,'Premade Flavors'!$A:$A,'Premade Flavors'!Q:Q),[2]Sheet1!S301)</f>
        <v>0</v>
      </c>
      <c r="R301" s="30">
        <f>(_xlfn.XLOOKUP($L301,Specs!A:A,Specs!B:B,0)-(IF(_xlfn.XLOOKUP($F301,'Liquid Mix In Nutrition'!A:A,'Liquid Mix In Nutrition'!J:J,0)="Yes",0,$T301))-(IF(_xlfn.XLOOKUP($G301,'Liquid Mix In Nutrition'!A:A,'Liquid Mix In Nutrition'!J:J,0)="Yes",0,$U301))-(($V301/MAX(1,_xlfn.XLOOKUP($H301,'Solid Mix In Nutrition'!A:A,'Solid Mix In Nutrition'!I:I,1)))*240)-(($W301/MAX(1,_xlfn.XLOOKUP($I301,'Solid Mix In Nutrition'!A:A,'Solid Mix In Nutrition'!I:I,1)))*240))*0.66</f>
        <v>0</v>
      </c>
      <c r="S301" s="30">
        <f>(_xlfn.XLOOKUP($L301,Specs!A:A,Specs!B:B,0)-(IF(_xlfn.XLOOKUP($F301,'Liquid Mix In Nutrition'!A:A,'Liquid Mix In Nutrition'!J:J,0)="Yes",0,$T301))-(IF(_xlfn.XLOOKUP($G301,'Liquid Mix In Nutrition'!A:A,'Liquid Mix In Nutrition'!J:J,0)="Yes",0,$U301))-(($V301/MAX(1,_xlfn.XLOOKUP($H301,'Solid Mix In Nutrition'!A:A,'Solid Mix In Nutrition'!I:I,1)))*240)-(($W301/MAX(1,_xlfn.XLOOKUP($I301,'Solid Mix In Nutrition'!A:A,'Solid Mix In Nutrition'!I:I,1)))*240))*0.33</f>
        <v>0</v>
      </c>
      <c r="T301" s="30">
        <f>_xlfn.XLOOKUP($M301,Specs!$D:$D,Specs!$E:$E,0)*15*_xlfn.XLOOKUP($L301,Specs!$A:$A,Specs!$C:$C,0)</f>
        <v>0</v>
      </c>
      <c r="U301" s="30">
        <f>_xlfn.XLOOKUP($N301,Specs!$D:$D,Specs!$E:$E,0)*15*_xlfn.XLOOKUP($L301,Specs!$A:$A,Specs!$C:$C,0)</f>
        <v>0</v>
      </c>
      <c r="V301" s="30">
        <f>( ((_xlfn.XLOOKUP($O301,Specs!$H:$H,Specs!$I:$I,0)*_xlfn.XLOOKUP($L301,Specs!$A:$A,Specs!$B:$B,0))/240) *_xlfn.XLOOKUP($H301,'Solid Mix In Nutrition'!A:A,'Solid Mix In Nutrition'!I:I,0)) *IF(AND(NOT($I301=0), COUNTA($I301)),0.5,1)</f>
        <v>0</v>
      </c>
      <c r="W301" s="30">
        <f>( ((_xlfn.XLOOKUP($O301,Specs!$H:$H,Specs!$I:$I,0)*_xlfn.XLOOKUP($L301,Specs!$A:$A,Specs!$B:$B,0))/240) *_xlfn.XLOOKUP($I301,'Solid Mix In Nutrition'!A:A,'Solid Mix In Nutrition'!I:I,0)) *IF(AND(NOT($I301=0), COUNTA($I301)),0.5,0)</f>
        <v>0</v>
      </c>
      <c r="X301" s="30">
        <f>_xlfn.XLOOKUP($P301,Specs!F:F,Specs!G:G,0)*_xlfn.XLOOKUP($J301,'Sweetener Mix In Nutrition'!A:A,'Sweetener Mix In Nutrition'!I:I,0)*_xlfn.XLOOKUP($L301,Specs!A:A,Specs!C:C,0)</f>
        <v>0</v>
      </c>
      <c r="Y301" s="30">
        <f>_xlfn.XLOOKUP($Q301,Specs!F:F,Specs!G:G,0)*_xlfn.XLOOKUP($K301,'Sweetener Mix In Nutrition'!A:A,'Sweetener Mix In Nutrition'!I:I,0)*_xlfn.XLOOKUP($L301,Specs!A:A,Specs!C:C,0)</f>
        <v>0</v>
      </c>
      <c r="Z301" s="34">
        <f t="shared" si="10"/>
        <v>0</v>
      </c>
      <c r="AA301" s="35">
        <f t="shared" si="11"/>
        <v>0</v>
      </c>
      <c r="AB301" s="36">
        <f>(($R301 / 240) * _xlfn.XLOOKUP($D301,'Milk Types Nutrition Per Cup'!A:A,'Milk Types Nutrition Per Cup'!B:B,0)) +(($S301 / 240)  * _xlfn.XLOOKUP($E301,'Milk Types Nutrition Per Cup'!A:A,'Milk Types Nutrition Per Cup'!B:B,0)) +(($T301 / 15)  * _xlfn.XLOOKUP($F301,'Liquid Mix In Nutrition'!A:A,'Liquid Mix In Nutrition'!B:B,0))+(($U301 / 15)  * _xlfn.XLOOKUP($G301,'Liquid Mix In Nutrition'!A:A,'Liquid Mix In Nutrition'!B:B,0))+(($V301 /MAX(1, _xlfn.XLOOKUP($H301,'Solid Mix In Nutrition'!A:A,'Solid Mix In Nutrition'!I:I,1)))  * _xlfn.XLOOKUP($H301,'Solid Mix In Nutrition'!A:A,'Solid Mix In Nutrition'!B:B,0))+(($W301 / MAX(1, _xlfn.XLOOKUP($I301,'Solid Mix In Nutrition'!A:A,'Solid Mix In Nutrition'!I:I,1))))+(($X301 / 100)  * _xlfn.XLOOKUP($J301,'Sweetener Mix In Nutrition'!A:A,'Sweetener Mix In Nutrition'!B:B,0))+(($Y301 / 100)  * _xlfn.XLOOKUP($K301,'Sweetener Mix In Nutrition'!A:A,'Sweetener Mix In Nutrition'!B:B,0))</f>
        <v>0</v>
      </c>
      <c r="AC301" s="36">
        <f>(($R301 / 240) * _xlfn.XLOOKUP($D301,'Milk Types Nutrition Per Cup'!A:A,'Milk Types Nutrition Per Cup'!E:E,0)) +(($S301 / 240)  * _xlfn.XLOOKUP($E301,'Milk Types Nutrition Per Cup'!A:A,'Milk Types Nutrition Per Cup'!E:E,0)) +(($T301 / 15)  * _xlfn.XLOOKUP($F301,'Liquid Mix In Nutrition'!A:A,'Liquid Mix In Nutrition'!E:E,0)) +(($U301 / 15)  * _xlfn.XLOOKUP($G301,'Liquid Mix In Nutrition'!A:A,'Liquid Mix In Nutrition'!E:E,0))+(($V301 / MAX(1, _xlfn.XLOOKUP($H301,'Solid Mix In Nutrition'!A:A,'Solid Mix In Nutrition'!I:I,1)))  * _xlfn.XLOOKUP($H301,'Solid Mix In Nutrition'!A:A,'Solid Mix In Nutrition'!E:E,0))+(($W301 / MAX(1, _xlfn.XLOOKUP($I301,'Solid Mix In Nutrition'!A:A,'Solid Mix In Nutrition'!I:I,1)))  * _xlfn.XLOOKUP($I301,'Solid Mix In Nutrition'!A:A,'Solid Mix In Nutrition'!G:G,0))+(($X301 / 100)  * _xlfn.XLOOKUP($J301,'Sweetener Mix In Nutrition'!A:A,'Sweetener Mix In Nutrition'!E:E,0))+(($Y301 / 100)  * _xlfn.XLOOKUP($K301,'Sweetener Mix In Nutrition'!A:A,'Sweetener Mix In Nutrition'!E:E,0))</f>
        <v>0</v>
      </c>
      <c r="AD301" s="36">
        <f>(($R301 / 240) * _xlfn.XLOOKUP($D301,'Milk Types Nutrition Per Cup'!A:A,'Milk Types Nutrition Per Cup'!E:E,0)) +(($S301 / 240)  * _xlfn.XLOOKUP($E301,'Milk Types Nutrition Per Cup'!A:A,'Milk Types Nutrition Per Cup'!E:E,0)) +(($T301 / 15)  * _xlfn.XLOOKUP($F301,'Liquid Mix In Nutrition'!A:A,'Liquid Mix In Nutrition'!E:E,0)) +(($U301 / 15)  * _xlfn.XLOOKUP($G301,'Liquid Mix In Nutrition'!A:A,'Liquid Mix In Nutrition'!E:E,0))+(($X301 / 100)  * _xlfn.XLOOKUP($J301,'Sweetener Mix In Nutrition'!A:A,'Sweetener Mix In Nutrition'!E:E,0))+(($Y301 / 100)  * _xlfn.XLOOKUP($K301,'Sweetener Mix In Nutrition'!A:A,'Sweetener Mix In Nutrition'!E:E,0))</f>
        <v>0</v>
      </c>
      <c r="AE301" s="37">
        <f>(($R301 / 240) * _xlfn.XLOOKUP($D301,'Milk Types Nutrition Per Cup'!A:A,'Milk Types Nutrition Per Cup'!C:C,0)) +(($S301 / 240)  * _xlfn.XLOOKUP($E301,'Milk Types Nutrition Per Cup'!A:A,'Milk Types Nutrition Per Cup'!C:C,0)) +(($T301 / 15)  * _xlfn.XLOOKUP($F301,'Liquid Mix In Nutrition'!A:A,'Liquid Mix In Nutrition'!C:C,0))+(($U301 / 15)  * _xlfn.XLOOKUP($G301,'Liquid Mix In Nutrition'!A:A,'Liquid Mix In Nutrition'!C:C,0))+(($V301 / MAX(1, _xlfn.XLOOKUP($H301,'Solid Mix In Nutrition'!A:A,'Solid Mix In Nutrition'!I:I,1)))  * _xlfn.XLOOKUP($H301,'Solid Mix In Nutrition'!A:A,'Solid Mix In Nutrition'!C:C,0))+(($W301 / MAX(1, _xlfn.XLOOKUP($I301,'Solid Mix In Nutrition'!A:A,'Solid Mix In Nutrition'!I:I,1)))  * _xlfn.XLOOKUP($I301,'Solid Mix In Nutrition'!A:A,'Solid Mix In Nutrition'!C:C,0))+(($X301 / 100)  * _xlfn.XLOOKUP($J301,'Sweetener Mix In Nutrition'!A:A,'Sweetener Mix In Nutrition'!C:C,0))+(($Y301 / 100)  * _xlfn.XLOOKUP($K301,'Sweetener Mix In Nutrition'!A:A,'Sweetener Mix In Nutrition'!C:C,0))</f>
        <v>0</v>
      </c>
      <c r="AF301" s="38" t="e">
        <f>$AE301 / (_xlfn.XLOOKUP($L301,Specs!A:A,Specs!B:B,0))</f>
        <v>#DIV/0!</v>
      </c>
      <c r="AG301" s="37" t="e">
        <f>60* ($AB301 / _xlfn.XLOOKUP($L301,Specs!A:A,Specs!B:B,0))</f>
        <v>#DIV/0!</v>
      </c>
      <c r="AH301" s="37" t="e">
        <f>60* (AC301 / _xlfn.XLOOKUP($L301,Specs!$A:$A,Specs!$B:$B,0))</f>
        <v>#DIV/0!</v>
      </c>
      <c r="AI301" s="37" t="e">
        <f>60* (AE301 / _xlfn.XLOOKUP($L301,Specs!$A:$A,Specs!$B:$B,0))</f>
        <v>#DIV/0!</v>
      </c>
      <c r="AJ301" s="39">
        <f>(($R301 / 240) * _xlfn.XLOOKUP($D301,'Milk Types Nutrition Per Cup'!A:A,'Milk Types Nutrition Per Cup'!F:F,0)) +(($S301 / 240)  * _xlfn.XLOOKUP($E301,'Milk Types Nutrition Per Cup'!A:A,'Milk Types Nutrition Per Cup'!F:F,0)) +(($T301 / 15)  * _xlfn.XLOOKUP($F301,'Liquid Mix In Nutrition'!A:A,'Liquid Mix In Nutrition'!F:F,0))+(($U301 / 15)  * _xlfn.XLOOKUP($G301,'Liquid Mix In Nutrition'!A:A,'Liquid Mix In Nutrition'!F:F,0))+(($V301 / MAX(1, _xlfn.XLOOKUP($H301,'Solid Mix In Nutrition'!A:A,'Solid Mix In Nutrition'!I:I,1)))  * _xlfn.XLOOKUP($H301,'Solid Mix In Nutrition'!A:A,'Solid Mix In Nutrition'!F:F,0))+(($W301 / MAX(1, _xlfn.XLOOKUP($I301,'Solid Mix In Nutrition'!A:A,'Solid Mix In Nutrition'!I:I,1)))  * _xlfn.XLOOKUP($I301,'Solid Mix In Nutrition'!A:A,'Solid Mix In Nutrition'!F:F,0))+(($X301 / 100)  * _xlfn.XLOOKUP($J301,'Sweetener Mix In Nutrition'!A:A,'Sweetener Mix In Nutrition'!F:F,0))+(($Y301 / 100)  * _xlfn.XLOOKUP($K301,'Sweetener Mix In Nutrition'!A:A,'Sweetener Mix In Nutrition'!F:F,0))</f>
        <v>0</v>
      </c>
      <c r="AK301" s="46">
        <f>[2]Sheet1!AG301</f>
        <v>0</v>
      </c>
      <c r="AL301" s="47"/>
      <c r="AM301" s="40">
        <f>IF(ISERROR(((AL301/Specs!$L$3)*Specs!$L$2)*2),0,ROUNDUP((((AL301/Specs!$L$3)*Specs!$L$2)*2),0))</f>
        <v>0</v>
      </c>
      <c r="AN301" s="48">
        <f>ROUNDUP(((AJ301+Specs!$R$2+Specs!$S$2+_xlfn.XLOOKUP($L301,Specs!A:A,Specs!V:V,0))*Specs!$N$2)+AM301,0)</f>
        <v>1</v>
      </c>
      <c r="AO301" s="40">
        <f>ROUNDUP(((AJ301+Specs!$R$2+Specs!$S$2+_xlfn.XLOOKUP($L301,Specs!A:A,Specs!V:V,0))*Specs!$N$2),0)</f>
        <v>1</v>
      </c>
      <c r="AP301" s="30"/>
    </row>
    <row r="302" spans="1:42" x14ac:dyDescent="0.25">
      <c r="A302" s="41" t="str">
        <f>_xlfn.CONCAT(_xlfn.XLOOKUP("What's Your Name?",[1]Sheet1!$1:$1,[1]Sheet1!302:302)," | ",TEXT(_xlfn.XLOOKUP("Completion time",[1]Sheet1!$1:$1,[1]Sheet1!302:302),"dddd, mmm dd, yyyy hh:mm AM/PM"))</f>
        <v xml:space="preserve"> | Saturday, Jan 00, 1900 12:00 AM</v>
      </c>
      <c r="B302" s="76">
        <f>_xlfn.XLOOKUP("What's Your Email Address?",[1]Sheet1!$1:$1,[1]Sheet1!302:302)</f>
        <v>0</v>
      </c>
      <c r="C302" s="31">
        <f>IF(ISBLANK(_xlfn.XLOOKUP("Which Flavor? (Pint Price | Quart Price | Half Gallon Price) (NOTE: Prices may fluctuate based on market conditions)",[1]Sheet1!$1:$1,[1]Sheet1!302:302)),_xlfn.XLOOKUP("Name Your Ice Cream!",[1]Sheet1!$1:$1,[1]Sheet1!302:302),IF(ISNUMBER(FIND("(", _xlfn.XLOOKUP("Which Flavor? (Pint Price | Quart Price | Half Gallon Price) (NOTE: Prices may fluctuate based on market conditions)",[1]Sheet1!$1:$1,[1]Sheet1!302:302))), LEFT(_xlfn.XLOOKUP("Which Flavor? (Pint Price | Quart Price | Half Gallon Price) (NOTE: Prices may fluctuate based on market conditions)",[1]Sheet1!$1:$1,[1]Sheet1!302:302), FIND("(", _xlfn.XLOOKUP("Which Flavor? (Pint Price | Quart Price | Half Gallon Price) (NOTE: Prices may fluctuate based on market conditions)",[1]Sheet1!$1:$1,[1]Sheet1!302:302)) - 1), _xlfn.XLOOKUP("Which Flavor? (Pint Price | Quart Price | Half Gallon Price) (NOTE: Prices may fluctuate based on market conditions)",[1]Sheet1!$1:$1,[1]Sheet1!302:302)))</f>
        <v>0</v>
      </c>
      <c r="D302" s="31">
        <f>IF(COUNTIF('Premade Flavors'!$A:$A, $C302) &gt; 0,IF(ISBLANK(_xlfn.XLOOKUP("What Ice Cream Base Do You Want To Change It To?",[1]Sheet1!$1:$1,[1]Sheet1!302:302)),_xlfn.XLOOKUP($C302,'Premade Flavors'!$A:$A,'Premade Flavors'!B:B),_xlfn.XLOOKUP("What Ice Cream Base Do You Want To Change It To?",[1]Sheet1!$1:$1,[1]Sheet1!302:302)),_xlfn.XLOOKUP(_xlfn.XLOOKUP("What Kind Of Ice Cream Base Do You Want? ",[1]Sheet1!$1:$1,[1]Sheet1!302:302),'Milk Types Nutrition Per Cup'!O:O,'Milk Types Nutrition Per Cup'!P:P,""))</f>
        <v>0</v>
      </c>
      <c r="E302" s="31">
        <f>IF(COUNTIF('Premade Flavors'!$A:$A, $C302) &gt; 0,IF(ISBLANK(_xlfn.XLOOKUP("What Ice Cream Base Do You Want To Change It To?",[1]Sheet1!$1:$1,[1]Sheet1!302:302)),_xlfn.XLOOKUP($C302,'Premade Flavors'!$A:$A,'Premade Flavors'!C:C),_xlfn.XLOOKUP("What Ice Cream Base Do You Want To Change It To?",[1]Sheet1!$1:$1,[1]Sheet1!302:302)),_xlfn.XLOOKUP(_xlfn.XLOOKUP("What Kind Of Ice Cream Base Do You Want? ",[1]Sheet1!$1:$1,[1]Sheet1!302:302),'Milk Types Nutrition Per Cup'!$O:$O,'Milk Types Nutrition Per Cup'!$Q:$Q,""))</f>
        <v>0</v>
      </c>
      <c r="F302" s="31">
        <f>IF(COUNTIF('Premade Flavors'!$A:$A, $C302) &gt; 0,_xlfn.XLOOKUP($C302,'Premade Flavors'!$A:$A,'Premade Flavors'!E:E),_xlfn.XLOOKUP("What's The First Flavor You Want? ",[1]Sheet1!$1:$1,[1]Sheet1!302:302))</f>
        <v>0</v>
      </c>
      <c r="G302" s="31">
        <f>IF(COUNTIF('Premade Flavors'!$A:$A, $C302) &gt; 0,_xlfn.XLOOKUP($C302,'Premade Flavors'!$A:$A,'Premade Flavors'!F:F),_xlfn.XLOOKUP("What's the Second Flavor You Want?",[1]Sheet1!$1:$1,[1]Sheet1!302:302))</f>
        <v>0</v>
      </c>
      <c r="H302" s="31">
        <f>IF(COUNTIF('Premade Flavors'!$A:$A, $C302) &gt; 0,_xlfn.XLOOKUP($C302,'Premade Flavors'!$A:$A,'Premade Flavors'!G:G),_xlfn.XLOOKUP("What's The First Mix In That You Want? ",[1]Sheet1!$1:$1,[1]Sheet1!302:302))</f>
        <v>0</v>
      </c>
      <c r="I302" s="31">
        <f>IF(COUNTIF('Premade Flavors'!$A:$A, $C300) &gt; 0,_xlfn.XLOOKUP($C300,'Premade Flavors'!$A:$A,'Premade Flavors'!H:H),IF([2]Sheet1!W300= 0,,[2]Sheet1!W300))</f>
        <v>0</v>
      </c>
      <c r="J302" s="31">
        <f>IF(COUNTIF('Premade Flavors'!$A:$A,$C302)&gt;0,IF(_xlfn.XLOOKUP("Should It Use Sugar or A Non-Sugar Sweetner?",[1]Sheet1!$1:$1,[1]Sheet1!302:302)="Sugar",_xlfn.XLOOKUP($C302,'Premade Flavors'!$A:$A,'Premade Flavors'!I:I),"Stevia"),_xlfn.XLOOKUP("What Sweetner Do You Want?",[1]Sheet1!$1:$1,[1]Sheet1!302:302))</f>
        <v>0</v>
      </c>
      <c r="K302" s="31"/>
      <c r="L302" s="77">
        <f>_xlfn.XLOOKUP("How Much Ice Cream Do You Want?",[1]Sheet1!$1:$1,[1]Sheet1!302:302)</f>
        <v>0</v>
      </c>
      <c r="M302" s="45">
        <f>IF(COUNTIF('Premade Flavors'!$A:$A, $C302) &gt; 0,_xlfn.XLOOKUP($C302,'Premade Flavors'!$A:$A,'Premade Flavors'!M:M),_xlfn.XLOOKUP("How Strong Do You Want The First Flavor?",[1]Sheet1!$1:$1,[1]Sheet1!302:302))</f>
        <v>0</v>
      </c>
      <c r="N302" s="45">
        <f>IF(COUNTIF('Premade Flavors'!$A:$A, $C302) &gt; 0,_xlfn.XLOOKUP($C302,'Premade Flavors'!$A:$A,'Premade Flavors'!N:N),_xlfn.XLOOKUP("How Strong Do You Want The Second Flavor?",[1]Sheet1!$1:$1,[1]Sheet1!302:302))</f>
        <v>0</v>
      </c>
      <c r="O302" s="45">
        <f>IF(COUNTIF('Premade Flavors'!$A:$A, $C302) &gt; 0,_xlfn.XLOOKUP($C302,'Premade Flavors'!$A:$A,'Premade Flavors'!O:O),_xlfn.XLOOKUP("How Dense Should the Mix Ins Be?",[1]Sheet1!$1:$1,[1]Sheet1!302:302))</f>
        <v>0</v>
      </c>
      <c r="P302" s="45">
        <f>IF(COUNTIF('Premade Flavors'!$A:$A, $C302) &gt; 0,_xlfn.XLOOKUP($C302,'Premade Flavors'!$A:$A,'Premade Flavors'!P:P),_xlfn.XLOOKUP("How Much Of The First Sweetner? ",[1]Sheet1!$1:$1,[1]Sheet1!302:302))</f>
        <v>0</v>
      </c>
      <c r="Q302" s="45">
        <f>IF(COUNTIF('Premade Flavors'!$A:$A, $C302) &gt; 0,_xlfn.XLOOKUP($C302,'Premade Flavors'!$A:$A,'Premade Flavors'!Q:Q),[2]Sheet1!S302)</f>
        <v>0</v>
      </c>
      <c r="R302" s="30">
        <f>(_xlfn.XLOOKUP($L302,Specs!A:A,Specs!B:B,0)-(IF(_xlfn.XLOOKUP($F302,'Liquid Mix In Nutrition'!A:A,'Liquid Mix In Nutrition'!J:J,0)="Yes",0,$T302))-(IF(_xlfn.XLOOKUP($G302,'Liquid Mix In Nutrition'!A:A,'Liquid Mix In Nutrition'!J:J,0)="Yes",0,$U302))-(($V302/MAX(1,_xlfn.XLOOKUP($H302,'Solid Mix In Nutrition'!A:A,'Solid Mix In Nutrition'!I:I,1)))*240)-(($W302/MAX(1,_xlfn.XLOOKUP($I302,'Solid Mix In Nutrition'!A:A,'Solid Mix In Nutrition'!I:I,1)))*240))*0.66</f>
        <v>0</v>
      </c>
      <c r="S302" s="30">
        <f>(_xlfn.XLOOKUP($L302,Specs!A:A,Specs!B:B,0)-(IF(_xlfn.XLOOKUP($F302,'Liquid Mix In Nutrition'!A:A,'Liquid Mix In Nutrition'!J:J,0)="Yes",0,$T302))-(IF(_xlfn.XLOOKUP($G302,'Liquid Mix In Nutrition'!A:A,'Liquid Mix In Nutrition'!J:J,0)="Yes",0,$U302))-(($V302/MAX(1,_xlfn.XLOOKUP($H302,'Solid Mix In Nutrition'!A:A,'Solid Mix In Nutrition'!I:I,1)))*240)-(($W302/MAX(1,_xlfn.XLOOKUP($I302,'Solid Mix In Nutrition'!A:A,'Solid Mix In Nutrition'!I:I,1)))*240))*0.33</f>
        <v>0</v>
      </c>
      <c r="T302" s="30">
        <f>_xlfn.XLOOKUP($M302,Specs!$D:$D,Specs!$E:$E,0)*15*_xlfn.XLOOKUP($L302,Specs!$A:$A,Specs!$C:$C,0)</f>
        <v>0</v>
      </c>
      <c r="U302" s="30">
        <f>_xlfn.XLOOKUP($N302,Specs!$D:$D,Specs!$E:$E,0)*15*_xlfn.XLOOKUP($L302,Specs!$A:$A,Specs!$C:$C,0)</f>
        <v>0</v>
      </c>
      <c r="V302" s="30">
        <f>( ((_xlfn.XLOOKUP($O302,Specs!$H:$H,Specs!$I:$I,0)*_xlfn.XLOOKUP($L302,Specs!$A:$A,Specs!$B:$B,0))/240) *_xlfn.XLOOKUP($H302,'Solid Mix In Nutrition'!A:A,'Solid Mix In Nutrition'!I:I,0)) *IF(AND(NOT($I302=0), COUNTA($I302)),0.5,1)</f>
        <v>0</v>
      </c>
      <c r="W302" s="30">
        <f>( ((_xlfn.XLOOKUP($O302,Specs!$H:$H,Specs!$I:$I,0)*_xlfn.XLOOKUP($L302,Specs!$A:$A,Specs!$B:$B,0))/240) *_xlfn.XLOOKUP($I302,'Solid Mix In Nutrition'!A:A,'Solid Mix In Nutrition'!I:I,0)) *IF(AND(NOT($I302=0), COUNTA($I302)),0.5,0)</f>
        <v>0</v>
      </c>
      <c r="X302" s="30">
        <f>_xlfn.XLOOKUP($P302,Specs!F:F,Specs!G:G,0)*_xlfn.XLOOKUP($J302,'Sweetener Mix In Nutrition'!A:A,'Sweetener Mix In Nutrition'!I:I,0)*_xlfn.XLOOKUP($L302,Specs!A:A,Specs!C:C,0)</f>
        <v>0</v>
      </c>
      <c r="Y302" s="30">
        <f>_xlfn.XLOOKUP($Q302,Specs!F:F,Specs!G:G,0)*_xlfn.XLOOKUP($K302,'Sweetener Mix In Nutrition'!A:A,'Sweetener Mix In Nutrition'!I:I,0)*_xlfn.XLOOKUP($L302,Specs!A:A,Specs!C:C,0)</f>
        <v>0</v>
      </c>
      <c r="Z302" s="34">
        <f t="shared" si="10"/>
        <v>0</v>
      </c>
      <c r="AA302" s="35">
        <f t="shared" si="11"/>
        <v>0</v>
      </c>
      <c r="AB302" s="36">
        <f>(($R302 / 240) * _xlfn.XLOOKUP($D302,'Milk Types Nutrition Per Cup'!A:A,'Milk Types Nutrition Per Cup'!B:B,0)) +(($S302 / 240)  * _xlfn.XLOOKUP($E302,'Milk Types Nutrition Per Cup'!A:A,'Milk Types Nutrition Per Cup'!B:B,0)) +(($T302 / 15)  * _xlfn.XLOOKUP($F302,'Liquid Mix In Nutrition'!A:A,'Liquid Mix In Nutrition'!B:B,0))+(($U302 / 15)  * _xlfn.XLOOKUP($G302,'Liquid Mix In Nutrition'!A:A,'Liquid Mix In Nutrition'!B:B,0))+(($V302 /MAX(1, _xlfn.XLOOKUP($H302,'Solid Mix In Nutrition'!A:A,'Solid Mix In Nutrition'!I:I,1)))  * _xlfn.XLOOKUP($H302,'Solid Mix In Nutrition'!A:A,'Solid Mix In Nutrition'!B:B,0))+(($W302 / MAX(1, _xlfn.XLOOKUP($I302,'Solid Mix In Nutrition'!A:A,'Solid Mix In Nutrition'!I:I,1))))+(($X302 / 100)  * _xlfn.XLOOKUP($J302,'Sweetener Mix In Nutrition'!A:A,'Sweetener Mix In Nutrition'!B:B,0))+(($Y302 / 100)  * _xlfn.XLOOKUP($K302,'Sweetener Mix In Nutrition'!A:A,'Sweetener Mix In Nutrition'!B:B,0))</f>
        <v>0</v>
      </c>
      <c r="AC302" s="36">
        <f>(($R302 / 240) * _xlfn.XLOOKUP($D302,'Milk Types Nutrition Per Cup'!A:A,'Milk Types Nutrition Per Cup'!E:E,0)) +(($S302 / 240)  * _xlfn.XLOOKUP($E302,'Milk Types Nutrition Per Cup'!A:A,'Milk Types Nutrition Per Cup'!E:E,0)) +(($T302 / 15)  * _xlfn.XLOOKUP($F302,'Liquid Mix In Nutrition'!A:A,'Liquid Mix In Nutrition'!E:E,0)) +(($U302 / 15)  * _xlfn.XLOOKUP($G302,'Liquid Mix In Nutrition'!A:A,'Liquid Mix In Nutrition'!E:E,0))+(($V302 / MAX(1, _xlfn.XLOOKUP($H302,'Solid Mix In Nutrition'!A:A,'Solid Mix In Nutrition'!I:I,1)))  * _xlfn.XLOOKUP($H302,'Solid Mix In Nutrition'!A:A,'Solid Mix In Nutrition'!E:E,0))+(($W302 / MAX(1, _xlfn.XLOOKUP($I302,'Solid Mix In Nutrition'!A:A,'Solid Mix In Nutrition'!I:I,1)))  * _xlfn.XLOOKUP($I302,'Solid Mix In Nutrition'!A:A,'Solid Mix In Nutrition'!G:G,0))+(($X302 / 100)  * _xlfn.XLOOKUP($J302,'Sweetener Mix In Nutrition'!A:A,'Sweetener Mix In Nutrition'!E:E,0))+(($Y302 / 100)  * _xlfn.XLOOKUP($K302,'Sweetener Mix In Nutrition'!A:A,'Sweetener Mix In Nutrition'!E:E,0))</f>
        <v>0</v>
      </c>
      <c r="AD302" s="36">
        <f>(($R302 / 240) * _xlfn.XLOOKUP($D302,'Milk Types Nutrition Per Cup'!A:A,'Milk Types Nutrition Per Cup'!E:E,0)) +(($S302 / 240)  * _xlfn.XLOOKUP($E302,'Milk Types Nutrition Per Cup'!A:A,'Milk Types Nutrition Per Cup'!E:E,0)) +(($T302 / 15)  * _xlfn.XLOOKUP($F302,'Liquid Mix In Nutrition'!A:A,'Liquid Mix In Nutrition'!E:E,0)) +(($U302 / 15)  * _xlfn.XLOOKUP($G302,'Liquid Mix In Nutrition'!A:A,'Liquid Mix In Nutrition'!E:E,0))+(($X302 / 100)  * _xlfn.XLOOKUP($J302,'Sweetener Mix In Nutrition'!A:A,'Sweetener Mix In Nutrition'!E:E,0))+(($Y302 / 100)  * _xlfn.XLOOKUP($K302,'Sweetener Mix In Nutrition'!A:A,'Sweetener Mix In Nutrition'!E:E,0))</f>
        <v>0</v>
      </c>
      <c r="AE302" s="37">
        <f>(($R302 / 240) * _xlfn.XLOOKUP($D302,'Milk Types Nutrition Per Cup'!A:A,'Milk Types Nutrition Per Cup'!C:C,0)) +(($S302 / 240)  * _xlfn.XLOOKUP($E302,'Milk Types Nutrition Per Cup'!A:A,'Milk Types Nutrition Per Cup'!C:C,0)) +(($T302 / 15)  * _xlfn.XLOOKUP($F302,'Liquid Mix In Nutrition'!A:A,'Liquid Mix In Nutrition'!C:C,0))+(($U302 / 15)  * _xlfn.XLOOKUP($G302,'Liquid Mix In Nutrition'!A:A,'Liquid Mix In Nutrition'!C:C,0))+(($V302 / MAX(1, _xlfn.XLOOKUP($H302,'Solid Mix In Nutrition'!A:A,'Solid Mix In Nutrition'!I:I,1)))  * _xlfn.XLOOKUP($H302,'Solid Mix In Nutrition'!A:A,'Solid Mix In Nutrition'!C:C,0))+(($W302 / MAX(1, _xlfn.XLOOKUP($I302,'Solid Mix In Nutrition'!A:A,'Solid Mix In Nutrition'!I:I,1)))  * _xlfn.XLOOKUP($I302,'Solid Mix In Nutrition'!A:A,'Solid Mix In Nutrition'!C:C,0))+(($X302 / 100)  * _xlfn.XLOOKUP($J302,'Sweetener Mix In Nutrition'!A:A,'Sweetener Mix In Nutrition'!C:C,0))+(($Y302 / 100)  * _xlfn.XLOOKUP($K302,'Sweetener Mix In Nutrition'!A:A,'Sweetener Mix In Nutrition'!C:C,0))</f>
        <v>0</v>
      </c>
      <c r="AF302" s="38" t="e">
        <f>$AE302 / (_xlfn.XLOOKUP($L302,Specs!A:A,Specs!B:B,0))</f>
        <v>#DIV/0!</v>
      </c>
      <c r="AG302" s="37" t="e">
        <f>60* ($AB302 / _xlfn.XLOOKUP($L302,Specs!A:A,Specs!B:B,0))</f>
        <v>#DIV/0!</v>
      </c>
      <c r="AH302" s="37" t="e">
        <f>60* (AC302 / _xlfn.XLOOKUP($L302,Specs!$A:$A,Specs!$B:$B,0))</f>
        <v>#DIV/0!</v>
      </c>
      <c r="AI302" s="37" t="e">
        <f>60* (AE302 / _xlfn.XLOOKUP($L302,Specs!$A:$A,Specs!$B:$B,0))</f>
        <v>#DIV/0!</v>
      </c>
      <c r="AJ302" s="39">
        <f>(($R302 / 240) * _xlfn.XLOOKUP($D302,'Milk Types Nutrition Per Cup'!A:A,'Milk Types Nutrition Per Cup'!F:F,0)) +(($S302 / 240)  * _xlfn.XLOOKUP($E302,'Milk Types Nutrition Per Cup'!A:A,'Milk Types Nutrition Per Cup'!F:F,0)) +(($T302 / 15)  * _xlfn.XLOOKUP($F302,'Liquid Mix In Nutrition'!A:A,'Liquid Mix In Nutrition'!F:F,0))+(($U302 / 15)  * _xlfn.XLOOKUP($G302,'Liquid Mix In Nutrition'!A:A,'Liquid Mix In Nutrition'!F:F,0))+(($V302 / MAX(1, _xlfn.XLOOKUP($H302,'Solid Mix In Nutrition'!A:A,'Solid Mix In Nutrition'!I:I,1)))  * _xlfn.XLOOKUP($H302,'Solid Mix In Nutrition'!A:A,'Solid Mix In Nutrition'!F:F,0))+(($W302 / MAX(1, _xlfn.XLOOKUP($I302,'Solid Mix In Nutrition'!A:A,'Solid Mix In Nutrition'!I:I,1)))  * _xlfn.XLOOKUP($I302,'Solid Mix In Nutrition'!A:A,'Solid Mix In Nutrition'!F:F,0))+(($X302 / 100)  * _xlfn.XLOOKUP($J302,'Sweetener Mix In Nutrition'!A:A,'Sweetener Mix In Nutrition'!F:F,0))+(($Y302 / 100)  * _xlfn.XLOOKUP($K302,'Sweetener Mix In Nutrition'!A:A,'Sweetener Mix In Nutrition'!F:F,0))</f>
        <v>0</v>
      </c>
      <c r="AK302" s="46">
        <f>[2]Sheet1!AG302</f>
        <v>0</v>
      </c>
      <c r="AL302" s="47"/>
      <c r="AM302" s="40">
        <f>IF(ISERROR(((AL302/Specs!$L$3)*Specs!$L$2)*2),0,ROUNDUP((((AL302/Specs!$L$3)*Specs!$L$2)*2),0))</f>
        <v>0</v>
      </c>
      <c r="AN302" s="48">
        <f>ROUNDUP(((AJ302+Specs!$R$2+Specs!$S$2+_xlfn.XLOOKUP($L302,Specs!A:A,Specs!V:V,0))*Specs!$N$2)+AM302,0)</f>
        <v>1</v>
      </c>
      <c r="AO302" s="40">
        <f>ROUNDUP(((AJ302+Specs!$R$2+Specs!$S$2+_xlfn.XLOOKUP($L302,Specs!A:A,Specs!V:V,0))*Specs!$N$2),0)</f>
        <v>1</v>
      </c>
      <c r="AP302" s="30"/>
    </row>
    <row r="303" spans="1:42" x14ac:dyDescent="0.25">
      <c r="A303" s="41" t="str">
        <f>_xlfn.CONCAT(_xlfn.XLOOKUP("What's Your Name?",[1]Sheet1!$1:$1,[1]Sheet1!303:303)," | ",TEXT(_xlfn.XLOOKUP("Completion time",[1]Sheet1!$1:$1,[1]Sheet1!303:303),"dddd, mmm dd, yyyy hh:mm AM/PM"))</f>
        <v xml:space="preserve"> | Saturday, Jan 00, 1900 12:00 AM</v>
      </c>
      <c r="B303" s="76">
        <f>_xlfn.XLOOKUP("What's Your Email Address?",[1]Sheet1!$1:$1,[1]Sheet1!303:303)</f>
        <v>0</v>
      </c>
      <c r="C303" s="31">
        <f>IF(ISBLANK(_xlfn.XLOOKUP("Which Flavor? (Pint Price | Quart Price | Half Gallon Price) (NOTE: Prices may fluctuate based on market conditions)",[1]Sheet1!$1:$1,[1]Sheet1!303:303)),_xlfn.XLOOKUP("Name Your Ice Cream!",[1]Sheet1!$1:$1,[1]Sheet1!303:303),IF(ISNUMBER(FIND("(", _xlfn.XLOOKUP("Which Flavor? (Pint Price | Quart Price | Half Gallon Price) (NOTE: Prices may fluctuate based on market conditions)",[1]Sheet1!$1:$1,[1]Sheet1!303:303))), LEFT(_xlfn.XLOOKUP("Which Flavor? (Pint Price | Quart Price | Half Gallon Price) (NOTE: Prices may fluctuate based on market conditions)",[1]Sheet1!$1:$1,[1]Sheet1!303:303), FIND("(", _xlfn.XLOOKUP("Which Flavor? (Pint Price | Quart Price | Half Gallon Price) (NOTE: Prices may fluctuate based on market conditions)",[1]Sheet1!$1:$1,[1]Sheet1!303:303)) - 1), _xlfn.XLOOKUP("Which Flavor? (Pint Price | Quart Price | Half Gallon Price) (NOTE: Prices may fluctuate based on market conditions)",[1]Sheet1!$1:$1,[1]Sheet1!303:303)))</f>
        <v>0</v>
      </c>
      <c r="D303" s="31">
        <f>IF(COUNTIF('Premade Flavors'!$A:$A, $C303) &gt; 0,IF(ISBLANK(_xlfn.XLOOKUP("What Ice Cream Base Do You Want To Change It To?",[1]Sheet1!$1:$1,[1]Sheet1!303:303)),_xlfn.XLOOKUP($C303,'Premade Flavors'!$A:$A,'Premade Flavors'!B:B),_xlfn.XLOOKUP("What Ice Cream Base Do You Want To Change It To?",[1]Sheet1!$1:$1,[1]Sheet1!303:303)),_xlfn.XLOOKUP(_xlfn.XLOOKUP("What Kind Of Ice Cream Base Do You Want? ",[1]Sheet1!$1:$1,[1]Sheet1!303:303),'Milk Types Nutrition Per Cup'!O:O,'Milk Types Nutrition Per Cup'!P:P,""))</f>
        <v>0</v>
      </c>
      <c r="E303" s="31">
        <f>IF(COUNTIF('Premade Flavors'!$A:$A, $C303) &gt; 0,IF(ISBLANK(_xlfn.XLOOKUP("What Ice Cream Base Do You Want To Change It To?",[1]Sheet1!$1:$1,[1]Sheet1!303:303)),_xlfn.XLOOKUP($C303,'Premade Flavors'!$A:$A,'Premade Flavors'!C:C),_xlfn.XLOOKUP("What Ice Cream Base Do You Want To Change It To?",[1]Sheet1!$1:$1,[1]Sheet1!303:303)),_xlfn.XLOOKUP(_xlfn.XLOOKUP("What Kind Of Ice Cream Base Do You Want? ",[1]Sheet1!$1:$1,[1]Sheet1!303:303),'Milk Types Nutrition Per Cup'!$O:$O,'Milk Types Nutrition Per Cup'!$Q:$Q,""))</f>
        <v>0</v>
      </c>
      <c r="F303" s="31">
        <f>IF(COUNTIF('Premade Flavors'!$A:$A, $C303) &gt; 0,_xlfn.XLOOKUP($C303,'Premade Flavors'!$A:$A,'Premade Flavors'!E:E),_xlfn.XLOOKUP("What's The First Flavor You Want? ",[1]Sheet1!$1:$1,[1]Sheet1!303:303))</f>
        <v>0</v>
      </c>
      <c r="G303" s="31">
        <f>IF(COUNTIF('Premade Flavors'!$A:$A, $C303) &gt; 0,_xlfn.XLOOKUP($C303,'Premade Flavors'!$A:$A,'Premade Flavors'!F:F),_xlfn.XLOOKUP("What's the Second Flavor You Want?",[1]Sheet1!$1:$1,[1]Sheet1!303:303))</f>
        <v>0</v>
      </c>
      <c r="H303" s="31">
        <f>IF(COUNTIF('Premade Flavors'!$A:$A, $C303) &gt; 0,_xlfn.XLOOKUP($C303,'Premade Flavors'!$A:$A,'Premade Flavors'!G:G),_xlfn.XLOOKUP("What's The First Mix In That You Want? ",[1]Sheet1!$1:$1,[1]Sheet1!303:303))</f>
        <v>0</v>
      </c>
      <c r="I303" s="31">
        <f>IF(COUNTIF('Premade Flavors'!$A:$A, $C301) &gt; 0,_xlfn.XLOOKUP($C301,'Premade Flavors'!$A:$A,'Premade Flavors'!H:H),IF([2]Sheet1!W301= 0,,[2]Sheet1!W301))</f>
        <v>0</v>
      </c>
      <c r="J303" s="31">
        <f>IF(COUNTIF('Premade Flavors'!$A:$A,$C303)&gt;0,IF(_xlfn.XLOOKUP("Should It Use Sugar or A Non-Sugar Sweetner?",[1]Sheet1!$1:$1,[1]Sheet1!303:303)="Sugar",_xlfn.XLOOKUP($C303,'Premade Flavors'!$A:$A,'Premade Flavors'!I:I),"Stevia"),_xlfn.XLOOKUP("What Sweetner Do You Want?",[1]Sheet1!$1:$1,[1]Sheet1!303:303))</f>
        <v>0</v>
      </c>
      <c r="K303" s="31"/>
      <c r="L303" s="77">
        <f>_xlfn.XLOOKUP("How Much Ice Cream Do You Want?",[1]Sheet1!$1:$1,[1]Sheet1!303:303)</f>
        <v>0</v>
      </c>
      <c r="M303" s="45">
        <f>IF(COUNTIF('Premade Flavors'!$A:$A, $C303) &gt; 0,_xlfn.XLOOKUP($C303,'Premade Flavors'!$A:$A,'Premade Flavors'!M:M),_xlfn.XLOOKUP("How Strong Do You Want The First Flavor?",[1]Sheet1!$1:$1,[1]Sheet1!303:303))</f>
        <v>0</v>
      </c>
      <c r="N303" s="45">
        <f>IF(COUNTIF('Premade Flavors'!$A:$A, $C303) &gt; 0,_xlfn.XLOOKUP($C303,'Premade Flavors'!$A:$A,'Premade Flavors'!N:N),_xlfn.XLOOKUP("How Strong Do You Want The Second Flavor?",[1]Sheet1!$1:$1,[1]Sheet1!303:303))</f>
        <v>0</v>
      </c>
      <c r="O303" s="45">
        <f>IF(COUNTIF('Premade Flavors'!$A:$A, $C303) &gt; 0,_xlfn.XLOOKUP($C303,'Premade Flavors'!$A:$A,'Premade Flavors'!O:O),_xlfn.XLOOKUP("How Dense Should the Mix Ins Be?",[1]Sheet1!$1:$1,[1]Sheet1!303:303))</f>
        <v>0</v>
      </c>
      <c r="P303" s="45">
        <f>IF(COUNTIF('Premade Flavors'!$A:$A, $C303) &gt; 0,_xlfn.XLOOKUP($C303,'Premade Flavors'!$A:$A,'Premade Flavors'!P:P),_xlfn.XLOOKUP("How Much Of The First Sweetner? ",[1]Sheet1!$1:$1,[1]Sheet1!303:303))</f>
        <v>0</v>
      </c>
      <c r="Q303" s="45">
        <f>IF(COUNTIF('Premade Flavors'!$A:$A, $C303) &gt; 0,_xlfn.XLOOKUP($C303,'Premade Flavors'!$A:$A,'Premade Flavors'!Q:Q),[2]Sheet1!S303)</f>
        <v>0</v>
      </c>
      <c r="R303" s="30">
        <f>(_xlfn.XLOOKUP($L303,Specs!A:A,Specs!B:B,0)-(IF(_xlfn.XLOOKUP($F303,'Liquid Mix In Nutrition'!A:A,'Liquid Mix In Nutrition'!J:J,0)="Yes",0,$T303))-(IF(_xlfn.XLOOKUP($G303,'Liquid Mix In Nutrition'!A:A,'Liquid Mix In Nutrition'!J:J,0)="Yes",0,$U303))-(($V303/MAX(1,_xlfn.XLOOKUP($H303,'Solid Mix In Nutrition'!A:A,'Solid Mix In Nutrition'!I:I,1)))*240)-(($W303/MAX(1,_xlfn.XLOOKUP($I303,'Solid Mix In Nutrition'!A:A,'Solid Mix In Nutrition'!I:I,1)))*240))*0.66</f>
        <v>0</v>
      </c>
      <c r="S303" s="30">
        <f>(_xlfn.XLOOKUP($L303,Specs!A:A,Specs!B:B,0)-(IF(_xlfn.XLOOKUP($F303,'Liquid Mix In Nutrition'!A:A,'Liquid Mix In Nutrition'!J:J,0)="Yes",0,$T303))-(IF(_xlfn.XLOOKUP($G303,'Liquid Mix In Nutrition'!A:A,'Liquid Mix In Nutrition'!J:J,0)="Yes",0,$U303))-(($V303/MAX(1,_xlfn.XLOOKUP($H303,'Solid Mix In Nutrition'!A:A,'Solid Mix In Nutrition'!I:I,1)))*240)-(($W303/MAX(1,_xlfn.XLOOKUP($I303,'Solid Mix In Nutrition'!A:A,'Solid Mix In Nutrition'!I:I,1)))*240))*0.33</f>
        <v>0</v>
      </c>
      <c r="T303" s="30">
        <f>_xlfn.XLOOKUP($M303,Specs!$D:$D,Specs!$E:$E,0)*15*_xlfn.XLOOKUP($L303,Specs!$A:$A,Specs!$C:$C,0)</f>
        <v>0</v>
      </c>
      <c r="U303" s="30">
        <f>_xlfn.XLOOKUP($N303,Specs!$D:$D,Specs!$E:$E,0)*15*_xlfn.XLOOKUP($L303,Specs!$A:$A,Specs!$C:$C,0)</f>
        <v>0</v>
      </c>
      <c r="V303" s="30">
        <f>( ((_xlfn.XLOOKUP($O303,Specs!$H:$H,Specs!$I:$I,0)*_xlfn.XLOOKUP($L303,Specs!$A:$A,Specs!$B:$B,0))/240) *_xlfn.XLOOKUP($H303,'Solid Mix In Nutrition'!A:A,'Solid Mix In Nutrition'!I:I,0)) *IF(AND(NOT($I303=0), COUNTA($I303)),0.5,1)</f>
        <v>0</v>
      </c>
      <c r="W303" s="30">
        <f>( ((_xlfn.XLOOKUP($O303,Specs!$H:$H,Specs!$I:$I,0)*_xlfn.XLOOKUP($L303,Specs!$A:$A,Specs!$B:$B,0))/240) *_xlfn.XLOOKUP($I303,'Solid Mix In Nutrition'!A:A,'Solid Mix In Nutrition'!I:I,0)) *IF(AND(NOT($I303=0), COUNTA($I303)),0.5,0)</f>
        <v>0</v>
      </c>
      <c r="X303" s="30">
        <f>_xlfn.XLOOKUP($P303,Specs!F:F,Specs!G:G,0)*_xlfn.XLOOKUP($J303,'Sweetener Mix In Nutrition'!A:A,'Sweetener Mix In Nutrition'!I:I,0)*_xlfn.XLOOKUP($L303,Specs!A:A,Specs!C:C,0)</f>
        <v>0</v>
      </c>
      <c r="Y303" s="30">
        <f>_xlfn.XLOOKUP($Q303,Specs!F:F,Specs!G:G,0)*_xlfn.XLOOKUP($K303,'Sweetener Mix In Nutrition'!A:A,'Sweetener Mix In Nutrition'!I:I,0)*_xlfn.XLOOKUP($L303,Specs!A:A,Specs!C:C,0)</f>
        <v>0</v>
      </c>
      <c r="Z303" s="34">
        <f t="shared" si="10"/>
        <v>0</v>
      </c>
      <c r="AA303" s="35">
        <f t="shared" si="11"/>
        <v>0</v>
      </c>
      <c r="AB303" s="36">
        <f>(($R303 / 240) * _xlfn.XLOOKUP($D303,'Milk Types Nutrition Per Cup'!A:A,'Milk Types Nutrition Per Cup'!B:B,0)) +(($S303 / 240)  * _xlfn.XLOOKUP($E303,'Milk Types Nutrition Per Cup'!A:A,'Milk Types Nutrition Per Cup'!B:B,0)) +(($T303 / 15)  * _xlfn.XLOOKUP($F303,'Liquid Mix In Nutrition'!A:A,'Liquid Mix In Nutrition'!B:B,0))+(($U303 / 15)  * _xlfn.XLOOKUP($G303,'Liquid Mix In Nutrition'!A:A,'Liquid Mix In Nutrition'!B:B,0))+(($V303 /MAX(1, _xlfn.XLOOKUP($H303,'Solid Mix In Nutrition'!A:A,'Solid Mix In Nutrition'!I:I,1)))  * _xlfn.XLOOKUP($H303,'Solid Mix In Nutrition'!A:A,'Solid Mix In Nutrition'!B:B,0))+(($W303 / MAX(1, _xlfn.XLOOKUP($I303,'Solid Mix In Nutrition'!A:A,'Solid Mix In Nutrition'!I:I,1))))+(($X303 / 100)  * _xlfn.XLOOKUP($J303,'Sweetener Mix In Nutrition'!A:A,'Sweetener Mix In Nutrition'!B:B,0))+(($Y303 / 100)  * _xlfn.XLOOKUP($K303,'Sweetener Mix In Nutrition'!A:A,'Sweetener Mix In Nutrition'!B:B,0))</f>
        <v>0</v>
      </c>
      <c r="AC303" s="36">
        <f>(($R303 / 240) * _xlfn.XLOOKUP($D303,'Milk Types Nutrition Per Cup'!A:A,'Milk Types Nutrition Per Cup'!E:E,0)) +(($S303 / 240)  * _xlfn.XLOOKUP($E303,'Milk Types Nutrition Per Cup'!A:A,'Milk Types Nutrition Per Cup'!E:E,0)) +(($T303 / 15)  * _xlfn.XLOOKUP($F303,'Liquid Mix In Nutrition'!A:A,'Liquid Mix In Nutrition'!E:E,0)) +(($U303 / 15)  * _xlfn.XLOOKUP($G303,'Liquid Mix In Nutrition'!A:A,'Liquid Mix In Nutrition'!E:E,0))+(($V303 / MAX(1, _xlfn.XLOOKUP($H303,'Solid Mix In Nutrition'!A:A,'Solid Mix In Nutrition'!I:I,1)))  * _xlfn.XLOOKUP($H303,'Solid Mix In Nutrition'!A:A,'Solid Mix In Nutrition'!E:E,0))+(($W303 / MAX(1, _xlfn.XLOOKUP($I303,'Solid Mix In Nutrition'!A:A,'Solid Mix In Nutrition'!I:I,1)))  * _xlfn.XLOOKUP($I303,'Solid Mix In Nutrition'!A:A,'Solid Mix In Nutrition'!G:G,0))+(($X303 / 100)  * _xlfn.XLOOKUP($J303,'Sweetener Mix In Nutrition'!A:A,'Sweetener Mix In Nutrition'!E:E,0))+(($Y303 / 100)  * _xlfn.XLOOKUP($K303,'Sweetener Mix In Nutrition'!A:A,'Sweetener Mix In Nutrition'!E:E,0))</f>
        <v>0</v>
      </c>
      <c r="AD303" s="36">
        <f>(($R303 / 240) * _xlfn.XLOOKUP($D303,'Milk Types Nutrition Per Cup'!A:A,'Milk Types Nutrition Per Cup'!E:E,0)) +(($S303 / 240)  * _xlfn.XLOOKUP($E303,'Milk Types Nutrition Per Cup'!A:A,'Milk Types Nutrition Per Cup'!E:E,0)) +(($T303 / 15)  * _xlfn.XLOOKUP($F303,'Liquid Mix In Nutrition'!A:A,'Liquid Mix In Nutrition'!E:E,0)) +(($U303 / 15)  * _xlfn.XLOOKUP($G303,'Liquid Mix In Nutrition'!A:A,'Liquid Mix In Nutrition'!E:E,0))+(($X303 / 100)  * _xlfn.XLOOKUP($J303,'Sweetener Mix In Nutrition'!A:A,'Sweetener Mix In Nutrition'!E:E,0))+(($Y303 / 100)  * _xlfn.XLOOKUP($K303,'Sweetener Mix In Nutrition'!A:A,'Sweetener Mix In Nutrition'!E:E,0))</f>
        <v>0</v>
      </c>
      <c r="AE303" s="37">
        <f>(($R303 / 240) * _xlfn.XLOOKUP($D303,'Milk Types Nutrition Per Cup'!A:A,'Milk Types Nutrition Per Cup'!C:C,0)) +(($S303 / 240)  * _xlfn.XLOOKUP($E303,'Milk Types Nutrition Per Cup'!A:A,'Milk Types Nutrition Per Cup'!C:C,0)) +(($T303 / 15)  * _xlfn.XLOOKUP($F303,'Liquid Mix In Nutrition'!A:A,'Liquid Mix In Nutrition'!C:C,0))+(($U303 / 15)  * _xlfn.XLOOKUP($G303,'Liquid Mix In Nutrition'!A:A,'Liquid Mix In Nutrition'!C:C,0))+(($V303 / MAX(1, _xlfn.XLOOKUP($H303,'Solid Mix In Nutrition'!A:A,'Solid Mix In Nutrition'!I:I,1)))  * _xlfn.XLOOKUP($H303,'Solid Mix In Nutrition'!A:A,'Solid Mix In Nutrition'!C:C,0))+(($W303 / MAX(1, _xlfn.XLOOKUP($I303,'Solid Mix In Nutrition'!A:A,'Solid Mix In Nutrition'!I:I,1)))  * _xlfn.XLOOKUP($I303,'Solid Mix In Nutrition'!A:A,'Solid Mix In Nutrition'!C:C,0))+(($X303 / 100)  * _xlfn.XLOOKUP($J303,'Sweetener Mix In Nutrition'!A:A,'Sweetener Mix In Nutrition'!C:C,0))+(($Y303 / 100)  * _xlfn.XLOOKUP($K303,'Sweetener Mix In Nutrition'!A:A,'Sweetener Mix In Nutrition'!C:C,0))</f>
        <v>0</v>
      </c>
      <c r="AF303" s="38" t="e">
        <f>$AE303 / (_xlfn.XLOOKUP($L303,Specs!A:A,Specs!B:B,0))</f>
        <v>#DIV/0!</v>
      </c>
      <c r="AG303" s="37" t="e">
        <f>60* ($AB303 / _xlfn.XLOOKUP($L303,Specs!A:A,Specs!B:B,0))</f>
        <v>#DIV/0!</v>
      </c>
      <c r="AH303" s="37" t="e">
        <f>60* (AC303 / _xlfn.XLOOKUP($L303,Specs!$A:$A,Specs!$B:$B,0))</f>
        <v>#DIV/0!</v>
      </c>
      <c r="AI303" s="37" t="e">
        <f>60* (AE303 / _xlfn.XLOOKUP($L303,Specs!$A:$A,Specs!$B:$B,0))</f>
        <v>#DIV/0!</v>
      </c>
      <c r="AJ303" s="39">
        <f>(($R303 / 240) * _xlfn.XLOOKUP($D303,'Milk Types Nutrition Per Cup'!A:A,'Milk Types Nutrition Per Cup'!F:F,0)) +(($S303 / 240)  * _xlfn.XLOOKUP($E303,'Milk Types Nutrition Per Cup'!A:A,'Milk Types Nutrition Per Cup'!F:F,0)) +(($T303 / 15)  * _xlfn.XLOOKUP($F303,'Liquid Mix In Nutrition'!A:A,'Liquid Mix In Nutrition'!F:F,0))+(($U303 / 15)  * _xlfn.XLOOKUP($G303,'Liquid Mix In Nutrition'!A:A,'Liquid Mix In Nutrition'!F:F,0))+(($V303 / MAX(1, _xlfn.XLOOKUP($H303,'Solid Mix In Nutrition'!A:A,'Solid Mix In Nutrition'!I:I,1)))  * _xlfn.XLOOKUP($H303,'Solid Mix In Nutrition'!A:A,'Solid Mix In Nutrition'!F:F,0))+(($W303 / MAX(1, _xlfn.XLOOKUP($I303,'Solid Mix In Nutrition'!A:A,'Solid Mix In Nutrition'!I:I,1)))  * _xlfn.XLOOKUP($I303,'Solid Mix In Nutrition'!A:A,'Solid Mix In Nutrition'!F:F,0))+(($X303 / 100)  * _xlfn.XLOOKUP($J303,'Sweetener Mix In Nutrition'!A:A,'Sweetener Mix In Nutrition'!F:F,0))+(($Y303 / 100)  * _xlfn.XLOOKUP($K303,'Sweetener Mix In Nutrition'!A:A,'Sweetener Mix In Nutrition'!F:F,0))</f>
        <v>0</v>
      </c>
      <c r="AK303" s="46">
        <f>[2]Sheet1!AG303</f>
        <v>0</v>
      </c>
      <c r="AL303" s="47"/>
      <c r="AM303" s="40">
        <f>IF(ISERROR(((AL303/Specs!$L$3)*Specs!$L$2)*2),0,ROUNDUP((((AL303/Specs!$L$3)*Specs!$L$2)*2),0))</f>
        <v>0</v>
      </c>
      <c r="AN303" s="48">
        <f>ROUNDUP(((AJ303+Specs!$R$2+Specs!$S$2+_xlfn.XLOOKUP($L303,Specs!A:A,Specs!V:V,0))*Specs!$N$2)+AM303,0)</f>
        <v>1</v>
      </c>
      <c r="AO303" s="40">
        <f>ROUNDUP(((AJ303+Specs!$R$2+Specs!$S$2+_xlfn.XLOOKUP($L303,Specs!A:A,Specs!V:V,0))*Specs!$N$2),0)</f>
        <v>1</v>
      </c>
      <c r="AP303" s="30"/>
    </row>
    <row r="304" spans="1:42" x14ac:dyDescent="0.25">
      <c r="A304" s="41" t="str">
        <f>_xlfn.CONCAT(_xlfn.XLOOKUP("What's Your Name?",[1]Sheet1!$1:$1,[1]Sheet1!304:304)," | ",TEXT(_xlfn.XLOOKUP("Completion time",[1]Sheet1!$1:$1,[1]Sheet1!304:304),"dddd, mmm dd, yyyy hh:mm AM/PM"))</f>
        <v xml:space="preserve"> | Saturday, Jan 00, 1900 12:00 AM</v>
      </c>
      <c r="B304" s="76">
        <f>_xlfn.XLOOKUP("What's Your Email Address?",[1]Sheet1!$1:$1,[1]Sheet1!304:304)</f>
        <v>0</v>
      </c>
      <c r="C304" s="31">
        <f>IF(ISBLANK(_xlfn.XLOOKUP("Which Flavor? (Pint Price | Quart Price | Half Gallon Price) (NOTE: Prices may fluctuate based on market conditions)",[1]Sheet1!$1:$1,[1]Sheet1!304:304)),_xlfn.XLOOKUP("Name Your Ice Cream!",[1]Sheet1!$1:$1,[1]Sheet1!304:304),IF(ISNUMBER(FIND("(", _xlfn.XLOOKUP("Which Flavor? (Pint Price | Quart Price | Half Gallon Price) (NOTE: Prices may fluctuate based on market conditions)",[1]Sheet1!$1:$1,[1]Sheet1!304:304))), LEFT(_xlfn.XLOOKUP("Which Flavor? (Pint Price | Quart Price | Half Gallon Price) (NOTE: Prices may fluctuate based on market conditions)",[1]Sheet1!$1:$1,[1]Sheet1!304:304), FIND("(", _xlfn.XLOOKUP("Which Flavor? (Pint Price | Quart Price | Half Gallon Price) (NOTE: Prices may fluctuate based on market conditions)",[1]Sheet1!$1:$1,[1]Sheet1!304:304)) - 1), _xlfn.XLOOKUP("Which Flavor? (Pint Price | Quart Price | Half Gallon Price) (NOTE: Prices may fluctuate based on market conditions)",[1]Sheet1!$1:$1,[1]Sheet1!304:304)))</f>
        <v>0</v>
      </c>
      <c r="D304" s="31">
        <f>IF(COUNTIF('Premade Flavors'!$A:$A, $C304) &gt; 0,IF(ISBLANK(_xlfn.XLOOKUP("What Ice Cream Base Do You Want To Change It To?",[1]Sheet1!$1:$1,[1]Sheet1!304:304)),_xlfn.XLOOKUP($C304,'Premade Flavors'!$A:$A,'Premade Flavors'!B:B),_xlfn.XLOOKUP("What Ice Cream Base Do You Want To Change It To?",[1]Sheet1!$1:$1,[1]Sheet1!304:304)),_xlfn.XLOOKUP(_xlfn.XLOOKUP("What Kind Of Ice Cream Base Do You Want? ",[1]Sheet1!$1:$1,[1]Sheet1!304:304),'Milk Types Nutrition Per Cup'!O:O,'Milk Types Nutrition Per Cup'!P:P,""))</f>
        <v>0</v>
      </c>
      <c r="E304" s="31">
        <f>IF(COUNTIF('Premade Flavors'!$A:$A, $C304) &gt; 0,IF(ISBLANK(_xlfn.XLOOKUP("What Ice Cream Base Do You Want To Change It To?",[1]Sheet1!$1:$1,[1]Sheet1!304:304)),_xlfn.XLOOKUP($C304,'Premade Flavors'!$A:$A,'Premade Flavors'!C:C),_xlfn.XLOOKUP("What Ice Cream Base Do You Want To Change It To?",[1]Sheet1!$1:$1,[1]Sheet1!304:304)),_xlfn.XLOOKUP(_xlfn.XLOOKUP("What Kind Of Ice Cream Base Do You Want? ",[1]Sheet1!$1:$1,[1]Sheet1!304:304),'Milk Types Nutrition Per Cup'!$O:$O,'Milk Types Nutrition Per Cup'!$Q:$Q,""))</f>
        <v>0</v>
      </c>
      <c r="F304" s="31">
        <f>IF(COUNTIF('Premade Flavors'!$A:$A, $C304) &gt; 0,_xlfn.XLOOKUP($C304,'Premade Flavors'!$A:$A,'Premade Flavors'!E:E),_xlfn.XLOOKUP("What's The First Flavor You Want? ",[1]Sheet1!$1:$1,[1]Sheet1!304:304))</f>
        <v>0</v>
      </c>
      <c r="G304" s="31">
        <f>IF(COUNTIF('Premade Flavors'!$A:$A, $C304) &gt; 0,_xlfn.XLOOKUP($C304,'Premade Flavors'!$A:$A,'Premade Flavors'!F:F),_xlfn.XLOOKUP("What's the Second Flavor You Want?",[1]Sheet1!$1:$1,[1]Sheet1!304:304))</f>
        <v>0</v>
      </c>
      <c r="H304" s="31">
        <f>IF(COUNTIF('Premade Flavors'!$A:$A, $C304) &gt; 0,_xlfn.XLOOKUP($C304,'Premade Flavors'!$A:$A,'Premade Flavors'!G:G),_xlfn.XLOOKUP("What's The First Mix In That You Want? ",[1]Sheet1!$1:$1,[1]Sheet1!304:304))</f>
        <v>0</v>
      </c>
      <c r="I304" s="31">
        <f>IF(COUNTIF('Premade Flavors'!$A:$A, $C302) &gt; 0,_xlfn.XLOOKUP($C302,'Premade Flavors'!$A:$A,'Premade Flavors'!H:H),IF([2]Sheet1!W302= 0,,[2]Sheet1!W302))</f>
        <v>0</v>
      </c>
      <c r="J304" s="31">
        <f>IF(COUNTIF('Premade Flavors'!$A:$A,$C304)&gt;0,IF(_xlfn.XLOOKUP("Should It Use Sugar or A Non-Sugar Sweetner?",[1]Sheet1!$1:$1,[1]Sheet1!304:304)="Sugar",_xlfn.XLOOKUP($C304,'Premade Flavors'!$A:$A,'Premade Flavors'!I:I),"Stevia"),_xlfn.XLOOKUP("What Sweetner Do You Want?",[1]Sheet1!$1:$1,[1]Sheet1!304:304))</f>
        <v>0</v>
      </c>
      <c r="K304" s="31"/>
      <c r="L304" s="77">
        <f>_xlfn.XLOOKUP("How Much Ice Cream Do You Want?",[1]Sheet1!$1:$1,[1]Sheet1!304:304)</f>
        <v>0</v>
      </c>
      <c r="M304" s="45">
        <f>IF(COUNTIF('Premade Flavors'!$A:$A, $C304) &gt; 0,_xlfn.XLOOKUP($C304,'Premade Flavors'!$A:$A,'Premade Flavors'!M:M),_xlfn.XLOOKUP("How Strong Do You Want The First Flavor?",[1]Sheet1!$1:$1,[1]Sheet1!304:304))</f>
        <v>0</v>
      </c>
      <c r="N304" s="45">
        <f>IF(COUNTIF('Premade Flavors'!$A:$A, $C304) &gt; 0,_xlfn.XLOOKUP($C304,'Premade Flavors'!$A:$A,'Premade Flavors'!N:N),_xlfn.XLOOKUP("How Strong Do You Want The Second Flavor?",[1]Sheet1!$1:$1,[1]Sheet1!304:304))</f>
        <v>0</v>
      </c>
      <c r="O304" s="45">
        <f>IF(COUNTIF('Premade Flavors'!$A:$A, $C304) &gt; 0,_xlfn.XLOOKUP($C304,'Premade Flavors'!$A:$A,'Premade Flavors'!O:O),_xlfn.XLOOKUP("How Dense Should the Mix Ins Be?",[1]Sheet1!$1:$1,[1]Sheet1!304:304))</f>
        <v>0</v>
      </c>
      <c r="P304" s="45">
        <f>IF(COUNTIF('Premade Flavors'!$A:$A, $C304) &gt; 0,_xlfn.XLOOKUP($C304,'Premade Flavors'!$A:$A,'Premade Flavors'!P:P),_xlfn.XLOOKUP("How Much Of The First Sweetner? ",[1]Sheet1!$1:$1,[1]Sheet1!304:304))</f>
        <v>0</v>
      </c>
      <c r="Q304" s="45">
        <f>IF(COUNTIF('Premade Flavors'!$A:$A, $C304) &gt; 0,_xlfn.XLOOKUP($C304,'Premade Flavors'!$A:$A,'Premade Flavors'!Q:Q),[2]Sheet1!S304)</f>
        <v>0</v>
      </c>
      <c r="R304" s="30">
        <f>(_xlfn.XLOOKUP($L304,Specs!A:A,Specs!B:B,0)-(IF(_xlfn.XLOOKUP($F304,'Liquid Mix In Nutrition'!A:A,'Liquid Mix In Nutrition'!J:J,0)="Yes",0,$T304))-(IF(_xlfn.XLOOKUP($G304,'Liquid Mix In Nutrition'!A:A,'Liquid Mix In Nutrition'!J:J,0)="Yes",0,$U304))-(($V304/MAX(1,_xlfn.XLOOKUP($H304,'Solid Mix In Nutrition'!A:A,'Solid Mix In Nutrition'!I:I,1)))*240)-(($W304/MAX(1,_xlfn.XLOOKUP($I304,'Solid Mix In Nutrition'!A:A,'Solid Mix In Nutrition'!I:I,1)))*240))*0.66</f>
        <v>0</v>
      </c>
      <c r="S304" s="30">
        <f>(_xlfn.XLOOKUP($L304,Specs!A:A,Specs!B:B,0)-(IF(_xlfn.XLOOKUP($F304,'Liquid Mix In Nutrition'!A:A,'Liquid Mix In Nutrition'!J:J,0)="Yes",0,$T304))-(IF(_xlfn.XLOOKUP($G304,'Liquid Mix In Nutrition'!A:A,'Liquid Mix In Nutrition'!J:J,0)="Yes",0,$U304))-(($V304/MAX(1,_xlfn.XLOOKUP($H304,'Solid Mix In Nutrition'!A:A,'Solid Mix In Nutrition'!I:I,1)))*240)-(($W304/MAX(1,_xlfn.XLOOKUP($I304,'Solid Mix In Nutrition'!A:A,'Solid Mix In Nutrition'!I:I,1)))*240))*0.33</f>
        <v>0</v>
      </c>
      <c r="T304" s="30">
        <f>_xlfn.XLOOKUP($M304,Specs!$D:$D,Specs!$E:$E,0)*15*_xlfn.XLOOKUP($L304,Specs!$A:$A,Specs!$C:$C,0)</f>
        <v>0</v>
      </c>
      <c r="U304" s="30">
        <f>_xlfn.XLOOKUP($N304,Specs!$D:$D,Specs!$E:$E,0)*15*_xlfn.XLOOKUP($L304,Specs!$A:$A,Specs!$C:$C,0)</f>
        <v>0</v>
      </c>
      <c r="V304" s="30">
        <f>( ((_xlfn.XLOOKUP($O304,Specs!$H:$H,Specs!$I:$I,0)*_xlfn.XLOOKUP($L304,Specs!$A:$A,Specs!$B:$B,0))/240) *_xlfn.XLOOKUP($H304,'Solid Mix In Nutrition'!A:A,'Solid Mix In Nutrition'!I:I,0)) *IF(AND(NOT($I304=0), COUNTA($I304)),0.5,1)</f>
        <v>0</v>
      </c>
      <c r="W304" s="30">
        <f>( ((_xlfn.XLOOKUP($O304,Specs!$H:$H,Specs!$I:$I,0)*_xlfn.XLOOKUP($L304,Specs!$A:$A,Specs!$B:$B,0))/240) *_xlfn.XLOOKUP($I304,'Solid Mix In Nutrition'!A:A,'Solid Mix In Nutrition'!I:I,0)) *IF(AND(NOT($I304=0), COUNTA($I304)),0.5,0)</f>
        <v>0</v>
      </c>
      <c r="X304" s="30">
        <f>_xlfn.XLOOKUP($P304,Specs!F:F,Specs!G:G,0)*_xlfn.XLOOKUP($J304,'Sweetener Mix In Nutrition'!A:A,'Sweetener Mix In Nutrition'!I:I,0)*_xlfn.XLOOKUP($L304,Specs!A:A,Specs!C:C,0)</f>
        <v>0</v>
      </c>
      <c r="Y304" s="30">
        <f>_xlfn.XLOOKUP($Q304,Specs!F:F,Specs!G:G,0)*_xlfn.XLOOKUP($K304,'Sweetener Mix In Nutrition'!A:A,'Sweetener Mix In Nutrition'!I:I,0)*_xlfn.XLOOKUP($L304,Specs!A:A,Specs!C:C,0)</f>
        <v>0</v>
      </c>
      <c r="Z304" s="34">
        <f t="shared" si="10"/>
        <v>0</v>
      </c>
      <c r="AA304" s="35">
        <f t="shared" si="11"/>
        <v>0</v>
      </c>
      <c r="AB304" s="36">
        <f>(($R304 / 240) * _xlfn.XLOOKUP($D304,'Milk Types Nutrition Per Cup'!A:A,'Milk Types Nutrition Per Cup'!B:B,0)) +(($S304 / 240)  * _xlfn.XLOOKUP($E304,'Milk Types Nutrition Per Cup'!A:A,'Milk Types Nutrition Per Cup'!B:B,0)) +(($T304 / 15)  * _xlfn.XLOOKUP($F304,'Liquid Mix In Nutrition'!A:A,'Liquid Mix In Nutrition'!B:B,0))+(($U304 / 15)  * _xlfn.XLOOKUP($G304,'Liquid Mix In Nutrition'!A:A,'Liquid Mix In Nutrition'!B:B,0))+(($V304 /MAX(1, _xlfn.XLOOKUP($H304,'Solid Mix In Nutrition'!A:A,'Solid Mix In Nutrition'!I:I,1)))  * _xlfn.XLOOKUP($H304,'Solid Mix In Nutrition'!A:A,'Solid Mix In Nutrition'!B:B,0))+(($W304 / MAX(1, _xlfn.XLOOKUP($I304,'Solid Mix In Nutrition'!A:A,'Solid Mix In Nutrition'!I:I,1))))+(($X304 / 100)  * _xlfn.XLOOKUP($J304,'Sweetener Mix In Nutrition'!A:A,'Sweetener Mix In Nutrition'!B:B,0))+(($Y304 / 100)  * _xlfn.XLOOKUP($K304,'Sweetener Mix In Nutrition'!A:A,'Sweetener Mix In Nutrition'!B:B,0))</f>
        <v>0</v>
      </c>
      <c r="AC304" s="36">
        <f>(($R304 / 240) * _xlfn.XLOOKUP($D304,'Milk Types Nutrition Per Cup'!A:A,'Milk Types Nutrition Per Cup'!E:E,0)) +(($S304 / 240)  * _xlfn.XLOOKUP($E304,'Milk Types Nutrition Per Cup'!A:A,'Milk Types Nutrition Per Cup'!E:E,0)) +(($T304 / 15)  * _xlfn.XLOOKUP($F304,'Liquid Mix In Nutrition'!A:A,'Liquid Mix In Nutrition'!E:E,0)) +(($U304 / 15)  * _xlfn.XLOOKUP($G304,'Liquid Mix In Nutrition'!A:A,'Liquid Mix In Nutrition'!E:E,0))+(($V304 / MAX(1, _xlfn.XLOOKUP($H304,'Solid Mix In Nutrition'!A:A,'Solid Mix In Nutrition'!I:I,1)))  * _xlfn.XLOOKUP($H304,'Solid Mix In Nutrition'!A:A,'Solid Mix In Nutrition'!E:E,0))+(($W304 / MAX(1, _xlfn.XLOOKUP($I304,'Solid Mix In Nutrition'!A:A,'Solid Mix In Nutrition'!I:I,1)))  * _xlfn.XLOOKUP($I304,'Solid Mix In Nutrition'!A:A,'Solid Mix In Nutrition'!G:G,0))+(($X304 / 100)  * _xlfn.XLOOKUP($J304,'Sweetener Mix In Nutrition'!A:A,'Sweetener Mix In Nutrition'!E:E,0))+(($Y304 / 100)  * _xlfn.XLOOKUP($K304,'Sweetener Mix In Nutrition'!A:A,'Sweetener Mix In Nutrition'!E:E,0))</f>
        <v>0</v>
      </c>
      <c r="AD304" s="36">
        <f>(($R304 / 240) * _xlfn.XLOOKUP($D304,'Milk Types Nutrition Per Cup'!A:A,'Milk Types Nutrition Per Cup'!E:E,0)) +(($S304 / 240)  * _xlfn.XLOOKUP($E304,'Milk Types Nutrition Per Cup'!A:A,'Milk Types Nutrition Per Cup'!E:E,0)) +(($T304 / 15)  * _xlfn.XLOOKUP($F304,'Liquid Mix In Nutrition'!A:A,'Liquid Mix In Nutrition'!E:E,0)) +(($U304 / 15)  * _xlfn.XLOOKUP($G304,'Liquid Mix In Nutrition'!A:A,'Liquid Mix In Nutrition'!E:E,0))+(($X304 / 100)  * _xlfn.XLOOKUP($J304,'Sweetener Mix In Nutrition'!A:A,'Sweetener Mix In Nutrition'!E:E,0))+(($Y304 / 100)  * _xlfn.XLOOKUP($K304,'Sweetener Mix In Nutrition'!A:A,'Sweetener Mix In Nutrition'!E:E,0))</f>
        <v>0</v>
      </c>
      <c r="AE304" s="37">
        <f>(($R304 / 240) * _xlfn.XLOOKUP($D304,'Milk Types Nutrition Per Cup'!A:A,'Milk Types Nutrition Per Cup'!C:C,0)) +(($S304 / 240)  * _xlfn.XLOOKUP($E304,'Milk Types Nutrition Per Cup'!A:A,'Milk Types Nutrition Per Cup'!C:C,0)) +(($T304 / 15)  * _xlfn.XLOOKUP($F304,'Liquid Mix In Nutrition'!A:A,'Liquid Mix In Nutrition'!C:C,0))+(($U304 / 15)  * _xlfn.XLOOKUP($G304,'Liquid Mix In Nutrition'!A:A,'Liquid Mix In Nutrition'!C:C,0))+(($V304 / MAX(1, _xlfn.XLOOKUP($H304,'Solid Mix In Nutrition'!A:A,'Solid Mix In Nutrition'!I:I,1)))  * _xlfn.XLOOKUP($H304,'Solid Mix In Nutrition'!A:A,'Solid Mix In Nutrition'!C:C,0))+(($W304 / MAX(1, _xlfn.XLOOKUP($I304,'Solid Mix In Nutrition'!A:A,'Solid Mix In Nutrition'!I:I,1)))  * _xlfn.XLOOKUP($I304,'Solid Mix In Nutrition'!A:A,'Solid Mix In Nutrition'!C:C,0))+(($X304 / 100)  * _xlfn.XLOOKUP($J304,'Sweetener Mix In Nutrition'!A:A,'Sweetener Mix In Nutrition'!C:C,0))+(($Y304 / 100)  * _xlfn.XLOOKUP($K304,'Sweetener Mix In Nutrition'!A:A,'Sweetener Mix In Nutrition'!C:C,0))</f>
        <v>0</v>
      </c>
      <c r="AF304" s="38" t="e">
        <f>$AE304 / (_xlfn.XLOOKUP($L304,Specs!A:A,Specs!B:B,0))</f>
        <v>#DIV/0!</v>
      </c>
      <c r="AG304" s="37" t="e">
        <f>60* ($AB304 / _xlfn.XLOOKUP($L304,Specs!A:A,Specs!B:B,0))</f>
        <v>#DIV/0!</v>
      </c>
      <c r="AH304" s="37" t="e">
        <f>60* (AC304 / _xlfn.XLOOKUP($L304,Specs!$A:$A,Specs!$B:$B,0))</f>
        <v>#DIV/0!</v>
      </c>
      <c r="AI304" s="37" t="e">
        <f>60* (AE304 / _xlfn.XLOOKUP($L304,Specs!$A:$A,Specs!$B:$B,0))</f>
        <v>#DIV/0!</v>
      </c>
      <c r="AJ304" s="39">
        <f>(($R304 / 240) * _xlfn.XLOOKUP($D304,'Milk Types Nutrition Per Cup'!A:A,'Milk Types Nutrition Per Cup'!F:F,0)) +(($S304 / 240)  * _xlfn.XLOOKUP($E304,'Milk Types Nutrition Per Cup'!A:A,'Milk Types Nutrition Per Cup'!F:F,0)) +(($T304 / 15)  * _xlfn.XLOOKUP($F304,'Liquid Mix In Nutrition'!A:A,'Liquid Mix In Nutrition'!F:F,0))+(($U304 / 15)  * _xlfn.XLOOKUP($G304,'Liquid Mix In Nutrition'!A:A,'Liquid Mix In Nutrition'!F:F,0))+(($V304 / MAX(1, _xlfn.XLOOKUP($H304,'Solid Mix In Nutrition'!A:A,'Solid Mix In Nutrition'!I:I,1)))  * _xlfn.XLOOKUP($H304,'Solid Mix In Nutrition'!A:A,'Solid Mix In Nutrition'!F:F,0))+(($W304 / MAX(1, _xlfn.XLOOKUP($I304,'Solid Mix In Nutrition'!A:A,'Solid Mix In Nutrition'!I:I,1)))  * _xlfn.XLOOKUP($I304,'Solid Mix In Nutrition'!A:A,'Solid Mix In Nutrition'!F:F,0))+(($X304 / 100)  * _xlfn.XLOOKUP($J304,'Sweetener Mix In Nutrition'!A:A,'Sweetener Mix In Nutrition'!F:F,0))+(($Y304 / 100)  * _xlfn.XLOOKUP($K304,'Sweetener Mix In Nutrition'!A:A,'Sweetener Mix In Nutrition'!F:F,0))</f>
        <v>0</v>
      </c>
      <c r="AK304" s="46">
        <f>[2]Sheet1!AG304</f>
        <v>0</v>
      </c>
      <c r="AL304" s="47"/>
      <c r="AM304" s="40">
        <f>IF(ISERROR(((AL304/Specs!$L$3)*Specs!$L$2)*2),0,ROUNDUP((((AL304/Specs!$L$3)*Specs!$L$2)*2),0))</f>
        <v>0</v>
      </c>
      <c r="AN304" s="48">
        <f>ROUNDUP(((AJ304+Specs!$R$2+Specs!$S$2+_xlfn.XLOOKUP($L304,Specs!A:A,Specs!V:V,0))*Specs!$N$2)+AM304,0)</f>
        <v>1</v>
      </c>
      <c r="AO304" s="40">
        <f>ROUNDUP(((AJ304+Specs!$R$2+Specs!$S$2+_xlfn.XLOOKUP($L304,Specs!A:A,Specs!V:V,0))*Specs!$N$2),0)</f>
        <v>1</v>
      </c>
      <c r="AP304" s="30"/>
    </row>
    <row r="305" spans="1:42" x14ac:dyDescent="0.25">
      <c r="A305" s="41" t="str">
        <f>_xlfn.CONCAT(_xlfn.XLOOKUP("What's Your Name?",[1]Sheet1!$1:$1,[1]Sheet1!305:305)," | ",TEXT(_xlfn.XLOOKUP("Completion time",[1]Sheet1!$1:$1,[1]Sheet1!305:305),"dddd, mmm dd, yyyy hh:mm AM/PM"))</f>
        <v xml:space="preserve"> | Saturday, Jan 00, 1900 12:00 AM</v>
      </c>
      <c r="B305" s="76">
        <f>_xlfn.XLOOKUP("What's Your Email Address?",[1]Sheet1!$1:$1,[1]Sheet1!305:305)</f>
        <v>0</v>
      </c>
      <c r="C305" s="31">
        <f>IF(ISBLANK(_xlfn.XLOOKUP("Which Flavor? (Pint Price | Quart Price | Half Gallon Price) (NOTE: Prices may fluctuate based on market conditions)",[1]Sheet1!$1:$1,[1]Sheet1!305:305)),_xlfn.XLOOKUP("Name Your Ice Cream!",[1]Sheet1!$1:$1,[1]Sheet1!305:305),IF(ISNUMBER(FIND("(", _xlfn.XLOOKUP("Which Flavor? (Pint Price | Quart Price | Half Gallon Price) (NOTE: Prices may fluctuate based on market conditions)",[1]Sheet1!$1:$1,[1]Sheet1!305:305))), LEFT(_xlfn.XLOOKUP("Which Flavor? (Pint Price | Quart Price | Half Gallon Price) (NOTE: Prices may fluctuate based on market conditions)",[1]Sheet1!$1:$1,[1]Sheet1!305:305), FIND("(", _xlfn.XLOOKUP("Which Flavor? (Pint Price | Quart Price | Half Gallon Price) (NOTE: Prices may fluctuate based on market conditions)",[1]Sheet1!$1:$1,[1]Sheet1!305:305)) - 1), _xlfn.XLOOKUP("Which Flavor? (Pint Price | Quart Price | Half Gallon Price) (NOTE: Prices may fluctuate based on market conditions)",[1]Sheet1!$1:$1,[1]Sheet1!305:305)))</f>
        <v>0</v>
      </c>
      <c r="D305" s="31">
        <f>IF(COUNTIF('Premade Flavors'!$A:$A, $C305) &gt; 0,IF(ISBLANK(_xlfn.XLOOKUP("What Ice Cream Base Do You Want To Change It To?",[1]Sheet1!$1:$1,[1]Sheet1!305:305)),_xlfn.XLOOKUP($C305,'Premade Flavors'!$A:$A,'Premade Flavors'!B:B),_xlfn.XLOOKUP("What Ice Cream Base Do You Want To Change It To?",[1]Sheet1!$1:$1,[1]Sheet1!305:305)),_xlfn.XLOOKUP(_xlfn.XLOOKUP("What Kind Of Ice Cream Base Do You Want? ",[1]Sheet1!$1:$1,[1]Sheet1!305:305),'Milk Types Nutrition Per Cup'!O:O,'Milk Types Nutrition Per Cup'!P:P,""))</f>
        <v>0</v>
      </c>
      <c r="E305" s="31">
        <f>IF(COUNTIF('Premade Flavors'!$A:$A, $C305) &gt; 0,IF(ISBLANK(_xlfn.XLOOKUP("What Ice Cream Base Do You Want To Change It To?",[1]Sheet1!$1:$1,[1]Sheet1!305:305)),_xlfn.XLOOKUP($C305,'Premade Flavors'!$A:$A,'Premade Flavors'!C:C),_xlfn.XLOOKUP("What Ice Cream Base Do You Want To Change It To?",[1]Sheet1!$1:$1,[1]Sheet1!305:305)),_xlfn.XLOOKUP(_xlfn.XLOOKUP("What Kind Of Ice Cream Base Do You Want? ",[1]Sheet1!$1:$1,[1]Sheet1!305:305),'Milk Types Nutrition Per Cup'!$O:$O,'Milk Types Nutrition Per Cup'!$Q:$Q,""))</f>
        <v>0</v>
      </c>
      <c r="F305" s="31">
        <f>IF(COUNTIF('Premade Flavors'!$A:$A, $C305) &gt; 0,_xlfn.XLOOKUP($C305,'Premade Flavors'!$A:$A,'Premade Flavors'!E:E),_xlfn.XLOOKUP("What's The First Flavor You Want? ",[1]Sheet1!$1:$1,[1]Sheet1!305:305))</f>
        <v>0</v>
      </c>
      <c r="G305" s="31">
        <f>IF(COUNTIF('Premade Flavors'!$A:$A, $C305) &gt; 0,_xlfn.XLOOKUP($C305,'Premade Flavors'!$A:$A,'Premade Flavors'!F:F),_xlfn.XLOOKUP("What's the Second Flavor You Want?",[1]Sheet1!$1:$1,[1]Sheet1!305:305))</f>
        <v>0</v>
      </c>
      <c r="H305" s="31">
        <f>IF(COUNTIF('Premade Flavors'!$A:$A, $C305) &gt; 0,_xlfn.XLOOKUP($C305,'Premade Flavors'!$A:$A,'Premade Flavors'!G:G),_xlfn.XLOOKUP("What's The First Mix In That You Want? ",[1]Sheet1!$1:$1,[1]Sheet1!305:305))</f>
        <v>0</v>
      </c>
      <c r="I305" s="31">
        <f>IF(COUNTIF('Premade Flavors'!$A:$A, $C303) &gt; 0,_xlfn.XLOOKUP($C303,'Premade Flavors'!$A:$A,'Premade Flavors'!H:H),IF([2]Sheet1!W303= 0,,[2]Sheet1!W303))</f>
        <v>0</v>
      </c>
      <c r="J305" s="31">
        <f>IF(COUNTIF('Premade Flavors'!$A:$A,$C305)&gt;0,IF(_xlfn.XLOOKUP("Should It Use Sugar or A Non-Sugar Sweetner?",[1]Sheet1!$1:$1,[1]Sheet1!305:305)="Sugar",_xlfn.XLOOKUP($C305,'Premade Flavors'!$A:$A,'Premade Flavors'!I:I),"Stevia"),_xlfn.XLOOKUP("What Sweetner Do You Want?",[1]Sheet1!$1:$1,[1]Sheet1!305:305))</f>
        <v>0</v>
      </c>
      <c r="K305" s="31"/>
      <c r="L305" s="77">
        <f>_xlfn.XLOOKUP("How Much Ice Cream Do You Want?",[1]Sheet1!$1:$1,[1]Sheet1!305:305)</f>
        <v>0</v>
      </c>
      <c r="M305" s="45">
        <f>IF(COUNTIF('Premade Flavors'!$A:$A, $C305) &gt; 0,_xlfn.XLOOKUP($C305,'Premade Flavors'!$A:$A,'Premade Flavors'!M:M),_xlfn.XLOOKUP("How Strong Do You Want The First Flavor?",[1]Sheet1!$1:$1,[1]Sheet1!305:305))</f>
        <v>0</v>
      </c>
      <c r="N305" s="45">
        <f>IF(COUNTIF('Premade Flavors'!$A:$A, $C305) &gt; 0,_xlfn.XLOOKUP($C305,'Premade Flavors'!$A:$A,'Premade Flavors'!N:N),_xlfn.XLOOKUP("How Strong Do You Want The Second Flavor?",[1]Sheet1!$1:$1,[1]Sheet1!305:305))</f>
        <v>0</v>
      </c>
      <c r="O305" s="45">
        <f>IF(COUNTIF('Premade Flavors'!$A:$A, $C305) &gt; 0,_xlfn.XLOOKUP($C305,'Premade Flavors'!$A:$A,'Premade Flavors'!O:O),_xlfn.XLOOKUP("How Dense Should the Mix Ins Be?",[1]Sheet1!$1:$1,[1]Sheet1!305:305))</f>
        <v>0</v>
      </c>
      <c r="P305" s="45">
        <f>IF(COUNTIF('Premade Flavors'!$A:$A, $C305) &gt; 0,_xlfn.XLOOKUP($C305,'Premade Flavors'!$A:$A,'Premade Flavors'!P:P),_xlfn.XLOOKUP("How Much Of The First Sweetner? ",[1]Sheet1!$1:$1,[1]Sheet1!305:305))</f>
        <v>0</v>
      </c>
      <c r="Q305" s="45">
        <f>IF(COUNTIF('Premade Flavors'!$A:$A, $C305) &gt; 0,_xlfn.XLOOKUP($C305,'Premade Flavors'!$A:$A,'Premade Flavors'!Q:Q),[2]Sheet1!S305)</f>
        <v>0</v>
      </c>
      <c r="R305" s="30">
        <f>(_xlfn.XLOOKUP($L305,Specs!A:A,Specs!B:B,0)-(IF(_xlfn.XLOOKUP($F305,'Liquid Mix In Nutrition'!A:A,'Liquid Mix In Nutrition'!J:J,0)="Yes",0,$T305))-(IF(_xlfn.XLOOKUP($G305,'Liquid Mix In Nutrition'!A:A,'Liquid Mix In Nutrition'!J:J,0)="Yes",0,$U305))-(($V305/MAX(1,_xlfn.XLOOKUP($H305,'Solid Mix In Nutrition'!A:A,'Solid Mix In Nutrition'!I:I,1)))*240)-(($W305/MAX(1,_xlfn.XLOOKUP($I305,'Solid Mix In Nutrition'!A:A,'Solid Mix In Nutrition'!I:I,1)))*240))*0.66</f>
        <v>0</v>
      </c>
      <c r="S305" s="30">
        <f>(_xlfn.XLOOKUP($L305,Specs!A:A,Specs!B:B,0)-(IF(_xlfn.XLOOKUP($F305,'Liquid Mix In Nutrition'!A:A,'Liquid Mix In Nutrition'!J:J,0)="Yes",0,$T305))-(IF(_xlfn.XLOOKUP($G305,'Liquid Mix In Nutrition'!A:A,'Liquid Mix In Nutrition'!J:J,0)="Yes",0,$U305))-(($V305/MAX(1,_xlfn.XLOOKUP($H305,'Solid Mix In Nutrition'!A:A,'Solid Mix In Nutrition'!I:I,1)))*240)-(($W305/MAX(1,_xlfn.XLOOKUP($I305,'Solid Mix In Nutrition'!A:A,'Solid Mix In Nutrition'!I:I,1)))*240))*0.33</f>
        <v>0</v>
      </c>
      <c r="T305" s="30">
        <f>_xlfn.XLOOKUP($M305,Specs!$D:$D,Specs!$E:$E,0)*15*_xlfn.XLOOKUP($L305,Specs!$A:$A,Specs!$C:$C,0)</f>
        <v>0</v>
      </c>
      <c r="U305" s="30">
        <f>_xlfn.XLOOKUP($N305,Specs!$D:$D,Specs!$E:$E,0)*15*_xlfn.XLOOKUP($L305,Specs!$A:$A,Specs!$C:$C,0)</f>
        <v>0</v>
      </c>
      <c r="V305" s="30">
        <f>( ((_xlfn.XLOOKUP($O305,Specs!$H:$H,Specs!$I:$I,0)*_xlfn.XLOOKUP($L305,Specs!$A:$A,Specs!$B:$B,0))/240) *_xlfn.XLOOKUP($H305,'Solid Mix In Nutrition'!A:A,'Solid Mix In Nutrition'!I:I,0)) *IF(AND(NOT($I305=0), COUNTA($I305)),0.5,1)</f>
        <v>0</v>
      </c>
      <c r="W305" s="30">
        <f>( ((_xlfn.XLOOKUP($O305,Specs!$H:$H,Specs!$I:$I,0)*_xlfn.XLOOKUP($L305,Specs!$A:$A,Specs!$B:$B,0))/240) *_xlfn.XLOOKUP($I305,'Solid Mix In Nutrition'!A:A,'Solid Mix In Nutrition'!I:I,0)) *IF(AND(NOT($I305=0), COUNTA($I305)),0.5,0)</f>
        <v>0</v>
      </c>
      <c r="X305" s="30">
        <f>_xlfn.XLOOKUP($P305,Specs!F:F,Specs!G:G,0)*_xlfn.XLOOKUP($J305,'Sweetener Mix In Nutrition'!A:A,'Sweetener Mix In Nutrition'!I:I,0)*_xlfn.XLOOKUP($L305,Specs!A:A,Specs!C:C,0)</f>
        <v>0</v>
      </c>
      <c r="Y305" s="30">
        <f>_xlfn.XLOOKUP($Q305,Specs!F:F,Specs!G:G,0)*_xlfn.XLOOKUP($K305,'Sweetener Mix In Nutrition'!A:A,'Sweetener Mix In Nutrition'!I:I,0)*_xlfn.XLOOKUP($L305,Specs!A:A,Specs!C:C,0)</f>
        <v>0</v>
      </c>
      <c r="Z305" s="34">
        <f t="shared" si="10"/>
        <v>0</v>
      </c>
      <c r="AA305" s="35">
        <f t="shared" si="11"/>
        <v>0</v>
      </c>
      <c r="AB305" s="36">
        <f>(($R305 / 240) * _xlfn.XLOOKUP($D305,'Milk Types Nutrition Per Cup'!A:A,'Milk Types Nutrition Per Cup'!B:B,0)) +(($S305 / 240)  * _xlfn.XLOOKUP($E305,'Milk Types Nutrition Per Cup'!A:A,'Milk Types Nutrition Per Cup'!B:B,0)) +(($T305 / 15)  * _xlfn.XLOOKUP($F305,'Liquid Mix In Nutrition'!A:A,'Liquid Mix In Nutrition'!B:B,0))+(($U305 / 15)  * _xlfn.XLOOKUP($G305,'Liquid Mix In Nutrition'!A:A,'Liquid Mix In Nutrition'!B:B,0))+(($V305 /MAX(1, _xlfn.XLOOKUP($H305,'Solid Mix In Nutrition'!A:A,'Solid Mix In Nutrition'!I:I,1)))  * _xlfn.XLOOKUP($H305,'Solid Mix In Nutrition'!A:A,'Solid Mix In Nutrition'!B:B,0))+(($W305 / MAX(1, _xlfn.XLOOKUP($I305,'Solid Mix In Nutrition'!A:A,'Solid Mix In Nutrition'!I:I,1))))+(($X305 / 100)  * _xlfn.XLOOKUP($J305,'Sweetener Mix In Nutrition'!A:A,'Sweetener Mix In Nutrition'!B:B,0))+(($Y305 / 100)  * _xlfn.XLOOKUP($K305,'Sweetener Mix In Nutrition'!A:A,'Sweetener Mix In Nutrition'!B:B,0))</f>
        <v>0</v>
      </c>
      <c r="AC305" s="36">
        <f>(($R305 / 240) * _xlfn.XLOOKUP($D305,'Milk Types Nutrition Per Cup'!A:A,'Milk Types Nutrition Per Cup'!E:E,0)) +(($S305 / 240)  * _xlfn.XLOOKUP($E305,'Milk Types Nutrition Per Cup'!A:A,'Milk Types Nutrition Per Cup'!E:E,0)) +(($T305 / 15)  * _xlfn.XLOOKUP($F305,'Liquid Mix In Nutrition'!A:A,'Liquid Mix In Nutrition'!E:E,0)) +(($U305 / 15)  * _xlfn.XLOOKUP($G305,'Liquid Mix In Nutrition'!A:A,'Liquid Mix In Nutrition'!E:E,0))+(($V305 / MAX(1, _xlfn.XLOOKUP($H305,'Solid Mix In Nutrition'!A:A,'Solid Mix In Nutrition'!I:I,1)))  * _xlfn.XLOOKUP($H305,'Solid Mix In Nutrition'!A:A,'Solid Mix In Nutrition'!E:E,0))+(($W305 / MAX(1, _xlfn.XLOOKUP($I305,'Solid Mix In Nutrition'!A:A,'Solid Mix In Nutrition'!I:I,1)))  * _xlfn.XLOOKUP($I305,'Solid Mix In Nutrition'!A:A,'Solid Mix In Nutrition'!G:G,0))+(($X305 / 100)  * _xlfn.XLOOKUP($J305,'Sweetener Mix In Nutrition'!A:A,'Sweetener Mix In Nutrition'!E:E,0))+(($Y305 / 100)  * _xlfn.XLOOKUP($K305,'Sweetener Mix In Nutrition'!A:A,'Sweetener Mix In Nutrition'!E:E,0))</f>
        <v>0</v>
      </c>
      <c r="AD305" s="36">
        <f>(($R305 / 240) * _xlfn.XLOOKUP($D305,'Milk Types Nutrition Per Cup'!A:A,'Milk Types Nutrition Per Cup'!E:E,0)) +(($S305 / 240)  * _xlfn.XLOOKUP($E305,'Milk Types Nutrition Per Cup'!A:A,'Milk Types Nutrition Per Cup'!E:E,0)) +(($T305 / 15)  * _xlfn.XLOOKUP($F305,'Liquid Mix In Nutrition'!A:A,'Liquid Mix In Nutrition'!E:E,0)) +(($U305 / 15)  * _xlfn.XLOOKUP($G305,'Liquid Mix In Nutrition'!A:A,'Liquid Mix In Nutrition'!E:E,0))+(($X305 / 100)  * _xlfn.XLOOKUP($J305,'Sweetener Mix In Nutrition'!A:A,'Sweetener Mix In Nutrition'!E:E,0))+(($Y305 / 100)  * _xlfn.XLOOKUP($K305,'Sweetener Mix In Nutrition'!A:A,'Sweetener Mix In Nutrition'!E:E,0))</f>
        <v>0</v>
      </c>
      <c r="AE305" s="37">
        <f>(($R305 / 240) * _xlfn.XLOOKUP($D305,'Milk Types Nutrition Per Cup'!A:A,'Milk Types Nutrition Per Cup'!C:C,0)) +(($S305 / 240)  * _xlfn.XLOOKUP($E305,'Milk Types Nutrition Per Cup'!A:A,'Milk Types Nutrition Per Cup'!C:C,0)) +(($T305 / 15)  * _xlfn.XLOOKUP($F305,'Liquid Mix In Nutrition'!A:A,'Liquid Mix In Nutrition'!C:C,0))+(($U305 / 15)  * _xlfn.XLOOKUP($G305,'Liquid Mix In Nutrition'!A:A,'Liquid Mix In Nutrition'!C:C,0))+(($V305 / MAX(1, _xlfn.XLOOKUP($H305,'Solid Mix In Nutrition'!A:A,'Solid Mix In Nutrition'!I:I,1)))  * _xlfn.XLOOKUP($H305,'Solid Mix In Nutrition'!A:A,'Solid Mix In Nutrition'!C:C,0))+(($W305 / MAX(1, _xlfn.XLOOKUP($I305,'Solid Mix In Nutrition'!A:A,'Solid Mix In Nutrition'!I:I,1)))  * _xlfn.XLOOKUP($I305,'Solid Mix In Nutrition'!A:A,'Solid Mix In Nutrition'!C:C,0))+(($X305 / 100)  * _xlfn.XLOOKUP($J305,'Sweetener Mix In Nutrition'!A:A,'Sweetener Mix In Nutrition'!C:C,0))+(($Y305 / 100)  * _xlfn.XLOOKUP($K305,'Sweetener Mix In Nutrition'!A:A,'Sweetener Mix In Nutrition'!C:C,0))</f>
        <v>0</v>
      </c>
      <c r="AF305" s="38" t="e">
        <f>$AE305 / (_xlfn.XLOOKUP($L305,Specs!A:A,Specs!B:B,0))</f>
        <v>#DIV/0!</v>
      </c>
      <c r="AG305" s="37" t="e">
        <f>60* ($AB305 / _xlfn.XLOOKUP($L305,Specs!A:A,Specs!B:B,0))</f>
        <v>#DIV/0!</v>
      </c>
      <c r="AH305" s="37" t="e">
        <f>60* (AC305 / _xlfn.XLOOKUP($L305,Specs!$A:$A,Specs!$B:$B,0))</f>
        <v>#DIV/0!</v>
      </c>
      <c r="AI305" s="37" t="e">
        <f>60* (AE305 / _xlfn.XLOOKUP($L305,Specs!$A:$A,Specs!$B:$B,0))</f>
        <v>#DIV/0!</v>
      </c>
      <c r="AJ305" s="39">
        <f>(($R305 / 240) * _xlfn.XLOOKUP($D305,'Milk Types Nutrition Per Cup'!A:A,'Milk Types Nutrition Per Cup'!F:F,0)) +(($S305 / 240)  * _xlfn.XLOOKUP($E305,'Milk Types Nutrition Per Cup'!A:A,'Milk Types Nutrition Per Cup'!F:F,0)) +(($T305 / 15)  * _xlfn.XLOOKUP($F305,'Liquid Mix In Nutrition'!A:A,'Liquid Mix In Nutrition'!F:F,0))+(($U305 / 15)  * _xlfn.XLOOKUP($G305,'Liquid Mix In Nutrition'!A:A,'Liquid Mix In Nutrition'!F:F,0))+(($V305 / MAX(1, _xlfn.XLOOKUP($H305,'Solid Mix In Nutrition'!A:A,'Solid Mix In Nutrition'!I:I,1)))  * _xlfn.XLOOKUP($H305,'Solid Mix In Nutrition'!A:A,'Solid Mix In Nutrition'!F:F,0))+(($W305 / MAX(1, _xlfn.XLOOKUP($I305,'Solid Mix In Nutrition'!A:A,'Solid Mix In Nutrition'!I:I,1)))  * _xlfn.XLOOKUP($I305,'Solid Mix In Nutrition'!A:A,'Solid Mix In Nutrition'!F:F,0))+(($X305 / 100)  * _xlfn.XLOOKUP($J305,'Sweetener Mix In Nutrition'!A:A,'Sweetener Mix In Nutrition'!F:F,0))+(($Y305 / 100)  * _xlfn.XLOOKUP($K305,'Sweetener Mix In Nutrition'!A:A,'Sweetener Mix In Nutrition'!F:F,0))</f>
        <v>0</v>
      </c>
      <c r="AK305" s="46">
        <f>[2]Sheet1!AG305</f>
        <v>0</v>
      </c>
      <c r="AL305" s="47"/>
      <c r="AM305" s="40">
        <f>IF(ISERROR(((AL305/Specs!$L$3)*Specs!$L$2)*2),0,ROUNDUP((((AL305/Specs!$L$3)*Specs!$L$2)*2),0))</f>
        <v>0</v>
      </c>
      <c r="AN305" s="48">
        <f>ROUNDUP(((AJ305+Specs!$R$2+Specs!$S$2+_xlfn.XLOOKUP($L305,Specs!A:A,Specs!V:V,0))*Specs!$N$2)+AM305,0)</f>
        <v>1</v>
      </c>
      <c r="AO305" s="40">
        <f>ROUNDUP(((AJ305+Specs!$R$2+Specs!$S$2+_xlfn.XLOOKUP($L305,Specs!A:A,Specs!V:V,0))*Specs!$N$2),0)</f>
        <v>1</v>
      </c>
      <c r="AP305" s="30"/>
    </row>
  </sheetData>
  <phoneticPr fontId="9" type="noConversion"/>
  <conditionalFormatting sqref="AP13">
    <cfRule type="cellIs" dxfId="2" priority="3" operator="equal">
      <formula>"DONE"</formula>
    </cfRule>
  </conditionalFormatting>
  <conditionalFormatting sqref="AP2:AP305">
    <cfRule type="cellIs" dxfId="1" priority="1" operator="equal">
      <formula>"DONE"</formula>
    </cfRule>
    <cfRule type="cellIs" dxfId="0" priority="2" operator="equal">
      <formula>"DONE"</formula>
    </cfRule>
  </conditionalFormatting>
  <dataValidations count="1">
    <dataValidation allowBlank="1" showInputMessage="1" sqref="B2:C305" xr:uid="{306BC63B-92C8-4B24-944C-C2A55369B957}"/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622209A6-F4F9-4F25-B1CD-A144325F25B4}">
          <x14:formula1>
            <xm:f>'Sweetener Mix In Nutrition'!$A:$A</xm:f>
          </x14:formula1>
          <xm:sqref>K306:K457</xm:sqref>
        </x14:dataValidation>
        <x14:dataValidation type="list" allowBlank="1" showInputMessage="1" xr:uid="{038C631C-FC34-4544-8D53-C454C2FB5D0A}">
          <x14:formula1>
            <xm:f>'Milk Types Nutrition Per Cup'!$A:$A</xm:f>
          </x14:formula1>
          <xm:sqref>F49:F305 J2:L305 D2:E305 F2:F45</xm:sqref>
        </x14:dataValidation>
        <x14:dataValidation type="list" allowBlank="1" showInputMessage="1" xr:uid="{9FD9C447-8D93-4A12-9453-B283B7F11C33}">
          <x14:formula1>
            <xm:f>Specs!$D:$D</xm:f>
          </x14:formula1>
          <xm:sqref>N2:N305 M1:M1048576 O49:P305 O2:Q45</xm:sqref>
        </x14:dataValidation>
        <x14:dataValidation type="list" allowBlank="1" showInputMessage="1" xr:uid="{BF122E81-65F9-461C-A67D-E81AADF97C62}">
          <x14:formula1>
            <xm:f>Specs!$H:$H</xm:f>
          </x14:formula1>
          <xm:sqref>O306:O1048576 O1 O46:O48</xm:sqref>
        </x14:dataValidation>
        <x14:dataValidation type="list" allowBlank="1" showInputMessage="1" showErrorMessage="1" xr:uid="{B396AF61-1F98-4CC5-8AD5-2E1FCC2B86A1}">
          <x14:formula1>
            <xm:f>'Solid Mix In Nutrition'!$A:$A</xm:f>
          </x14:formula1>
          <xm:sqref>H1:H1048576</xm:sqref>
        </x14:dataValidation>
        <x14:dataValidation type="list" allowBlank="1" showInputMessage="1" xr:uid="{5DCC5746-3251-4232-8F71-097950DDBC8E}">
          <x14:formula1>
            <xm:f>'Liquid Mix In Nutrition'!$A:$A</xm:f>
          </x14:formula1>
          <xm:sqref>F306:F1048576 F1 F46:F48</xm:sqref>
        </x14:dataValidation>
        <x14:dataValidation type="list" allowBlank="1" showInputMessage="1" showErrorMessage="1" xr:uid="{A45A3F07-5BD1-4256-BDCF-213DB9BDB8D2}">
          <x14:formula1>
            <xm:f>Specs!F:F</xm:f>
          </x14:formula1>
          <xm:sqref>P306:P1048576 P1 P46:P48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9FD22-08FA-4F11-89C0-80B9E14C4C84}">
  <sheetPr codeName="Sheet3"/>
  <dimension ref="A1:AO52"/>
  <sheetViews>
    <sheetView tabSelected="1" zoomScale="92" zoomScaleNormal="80" workbookViewId="0">
      <selection activeCell="AN5" sqref="AN5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6" width="31.28515625" style="1" bestFit="1" customWidth="1"/>
    <col min="7" max="7" width="41.140625" style="1" bestFit="1" customWidth="1"/>
    <col min="8" max="8" width="25" style="1" bestFit="1" customWidth="1"/>
    <col min="9" max="9" width="25.7109375" style="1" bestFit="1" customWidth="1"/>
    <col min="10" max="10" width="14.5703125" style="1" bestFit="1" customWidth="1"/>
    <col min="11" max="11" width="16.28515625" bestFit="1" customWidth="1"/>
    <col min="12" max="13" width="29.7109375" bestFit="1" customWidth="1"/>
    <col min="14" max="14" width="26.85546875" bestFit="1" customWidth="1"/>
    <col min="15" max="15" width="25.7109375" bestFit="1" customWidth="1"/>
    <col min="16" max="16" width="28.5703125" bestFit="1" customWidth="1"/>
    <col min="17" max="17" width="29" bestFit="1" customWidth="1"/>
    <col min="18" max="19" width="23.140625" bestFit="1" customWidth="1"/>
    <col min="20" max="20" width="23.140625" customWidth="1"/>
    <col min="21" max="23" width="23.7109375" bestFit="1" customWidth="1"/>
    <col min="24" max="25" width="21.28515625" bestFit="1" customWidth="1"/>
    <col min="26" max="27" width="24.140625" bestFit="1" customWidth="1"/>
    <col min="28" max="29" width="24.140625" customWidth="1"/>
    <col min="30" max="31" width="18.7109375" bestFit="1" customWidth="1"/>
    <col min="32" max="32" width="20.28515625" bestFit="1" customWidth="1"/>
    <col min="33" max="34" width="22.28515625" customWidth="1"/>
    <col min="35" max="35" width="18.7109375" bestFit="1" customWidth="1"/>
    <col min="36" max="38" width="22.28515625" bestFit="1" customWidth="1"/>
    <col min="39" max="39" width="11" bestFit="1" customWidth="1"/>
    <col min="40" max="40" width="20.28515625" bestFit="1" customWidth="1"/>
  </cols>
  <sheetData>
    <row r="1" spans="1:40" x14ac:dyDescent="0.25">
      <c r="A1" t="s">
        <v>11</v>
      </c>
      <c r="B1" s="1" t="s">
        <v>12</v>
      </c>
      <c r="C1" s="1" t="s">
        <v>13</v>
      </c>
      <c r="D1" s="1" t="s">
        <v>883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  <c r="K1" s="2" t="s">
        <v>20</v>
      </c>
      <c r="L1" s="2" t="s">
        <v>881</v>
      </c>
      <c r="M1" s="2" t="s">
        <v>21</v>
      </c>
      <c r="N1" s="2" t="s">
        <v>22</v>
      </c>
      <c r="O1" s="2" t="s">
        <v>23</v>
      </c>
      <c r="P1" s="2" t="s">
        <v>24</v>
      </c>
      <c r="Q1" s="2" t="s">
        <v>868</v>
      </c>
      <c r="R1" s="3" t="s">
        <v>26</v>
      </c>
      <c r="S1" s="3" t="s">
        <v>27</v>
      </c>
      <c r="T1" s="3" t="s">
        <v>313</v>
      </c>
      <c r="U1" s="3" t="s">
        <v>882</v>
      </c>
      <c r="V1" s="3" t="s">
        <v>28</v>
      </c>
      <c r="W1" s="3" t="s">
        <v>29</v>
      </c>
      <c r="X1" s="3" t="s">
        <v>30</v>
      </c>
      <c r="Y1" s="3" t="s">
        <v>31</v>
      </c>
      <c r="Z1" s="3" t="s">
        <v>32</v>
      </c>
      <c r="AA1" s="3" t="s">
        <v>33</v>
      </c>
      <c r="AB1" s="3" t="s">
        <v>34</v>
      </c>
      <c r="AC1" s="3" t="s">
        <v>35</v>
      </c>
      <c r="AD1" s="1" t="s">
        <v>36</v>
      </c>
      <c r="AE1" s="1" t="s">
        <v>37</v>
      </c>
      <c r="AF1" s="1" t="s">
        <v>38</v>
      </c>
      <c r="AG1" s="1" t="s">
        <v>39</v>
      </c>
      <c r="AH1" s="1" t="s">
        <v>40</v>
      </c>
      <c r="AI1" s="1" t="s">
        <v>787</v>
      </c>
      <c r="AJ1" s="1" t="s">
        <v>41</v>
      </c>
      <c r="AK1" s="1" t="s">
        <v>187</v>
      </c>
      <c r="AL1" s="1" t="s">
        <v>188</v>
      </c>
      <c r="AM1" s="1" t="s">
        <v>42</v>
      </c>
      <c r="AN1" s="1" t="s">
        <v>172</v>
      </c>
    </row>
    <row r="2" spans="1:40" x14ac:dyDescent="0.25">
      <c r="A2" s="26" t="s">
        <v>846</v>
      </c>
      <c r="K2" s="2"/>
      <c r="L2" s="2"/>
      <c r="M2" s="2"/>
      <c r="N2" s="2"/>
      <c r="O2" s="2"/>
      <c r="P2" s="2"/>
      <c r="Q2" s="2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spans="1:40" x14ac:dyDescent="0.25">
      <c r="A3" t="s">
        <v>252</v>
      </c>
      <c r="B3" s="1" t="s">
        <v>62</v>
      </c>
      <c r="C3" s="1" t="s">
        <v>65</v>
      </c>
      <c r="E3" s="1" t="s">
        <v>0</v>
      </c>
      <c r="F3" s="1" t="s">
        <v>5</v>
      </c>
      <c r="G3" s="1" t="s">
        <v>249</v>
      </c>
      <c r="H3" s="1" t="s">
        <v>234</v>
      </c>
      <c r="I3" s="1" t="s">
        <v>1</v>
      </c>
      <c r="K3" t="s">
        <v>4</v>
      </c>
      <c r="M3" t="s">
        <v>450</v>
      </c>
      <c r="N3" t="s">
        <v>451</v>
      </c>
      <c r="O3" t="s">
        <v>156</v>
      </c>
      <c r="P3" t="s">
        <v>448</v>
      </c>
      <c r="R3" cm="1">
        <f t="array" aca="1" ref="R3" ca="1">_xlfn.LET(
_xlpm.IceCreamAmount,_xlfn.XLOOKUP(ValueFromColumnName("Ice Cream Amount",ROW()),Specs!A:A,Specs!B:B,0),
_xlpm.ThickenerAmount,ValueFromColumnName("Thickener Amount (ml)",ROW()),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_xlpm.Result,(_xlpm.IceCreamAmount-_xlpm.ThickenerAmount-_xlpm.LiquidMix1Amount-_xlpm.LiquidMix2Amount-((_xlpm.SolidMix1Amount/_xlpm.SolidMix1Factor)*240)-((_xlpm.SolidMix2Amount/_xlpm.SolidMix2Factor)*240))*0.66,
_xlpm.Result
)</f>
        <v>189.58500000000001</v>
      </c>
      <c r="S3" cm="1">
        <f t="array" aca="1" ref="S3" ca="1">_xlfn.LET(
_xlpm.IceCreamAmount,_xlfn.XLOOKUP(ValueFromColumnName("Ice Cream Amount",ROW()),Specs!A:A,Specs!B:B,0),
_xlpm.ThickenerAmount,ValueFromColumnName("Thickener Amount (ml)",ROW()),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_xlpm.Result,(_xlpm.IceCreamAmount-_xlpm.ThickenerAmount-_xlpm.LiquidMix1Amount-_xlpm.LiquidMix2Amount-((_xlpm.SolidMix1Amount/_xlpm.SolidMix1Factor)*240)-((_xlpm.SolidMix2Amount/_xlpm.SolidMix2Factor)*240))*0.33,
_xlpm.Result)</f>
        <v>94.792500000000004</v>
      </c>
      <c r="T3">
        <f ca="1">R3+S3</f>
        <v>284.3775</v>
      </c>
      <c r="U3" cm="1">
        <f t="array" aca="1" ref="U3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3" cm="1">
        <f t="array" aca="1" ref="V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3" cm="1">
        <f t="array" aca="1" ref="W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X3" cm="1">
        <f t="array" aca="1" ref="X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59.125</v>
      </c>
      <c r="Y3" cm="1">
        <f t="array" aca="1" ref="Y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25.8671875</v>
      </c>
      <c r="Z3" cm="1">
        <f t="array" aca="1" ref="Z3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12.5</v>
      </c>
      <c r="AA3" cm="1">
        <f t="array" aca="1" ref="AA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3" s="4" cm="1">
        <f t="array" aca="1" ref="AB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1.0237589999999999</v>
      </c>
      <c r="AC3" s="5" cm="1">
        <f t="array" aca="1" ref="AC3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D3" s="6" cm="1">
        <f t="array" aca="1" ref="AD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1451.3453982359497</v>
      </c>
      <c r="AE3" s="6" cm="1">
        <f t="array" aca="1" ref="AE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59.600447512424175</v>
      </c>
      <c r="AF3" s="6" cm="1">
        <f t="array" aca="1" ref="AF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42.159750000000003</v>
      </c>
      <c r="AG3" s="7" cm="1">
        <f t="array" aca="1" ref="AG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121.13040769111305</v>
      </c>
      <c r="AH3" s="8" cm="1">
        <f t="array" aca="1" ref="AH3" ca="1">$AG3 / (_xlfn.XLOOKUP(ValueFromColumnName("Ice Cream Amount",ROW()),Specs!A:A,Specs!B:B,0))</f>
        <v>0.25608965685224744</v>
      </c>
      <c r="AI3" s="6" cm="1">
        <f t="array" aca="1" ref="AI3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17.440697512424173</v>
      </c>
      <c r="AJ3" s="7" cm="1">
        <f t="array" aca="1" ref="AJ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184.10301034705495</v>
      </c>
      <c r="AK3" s="7" cm="1">
        <f t="array" aca="1" ref="AK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7.5603104666922851</v>
      </c>
      <c r="AL3" s="7" cm="1">
        <f t="array" aca="1" ref="AL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15.365379411134846</v>
      </c>
      <c r="AM3" s="9" cm="1">
        <f t="array" aca="1" ref="AM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2.8261235118971726</v>
      </c>
      <c r="AN3" s="10" cm="1">
        <f t="array" aca="1" ref="AN3" ca="1">ROUNDUP((ValueFromColumnName("Cost",ROW())+Specs!$Q$2+_xlfn.XLOOKUP(ValueFromColumnName("Ice Cream Amount",ROW()),Specs!A:A,Specs!V:V,0))*Specs!$N$2,0)</f>
        <v>9</v>
      </c>
    </row>
    <row r="4" spans="1:40" x14ac:dyDescent="0.25">
      <c r="A4" t="s">
        <v>847</v>
      </c>
      <c r="B4" s="1" t="s">
        <v>62</v>
      </c>
      <c r="C4" s="1" t="s">
        <v>65</v>
      </c>
      <c r="E4" s="1" t="s">
        <v>0</v>
      </c>
      <c r="I4" s="1" t="s">
        <v>1</v>
      </c>
      <c r="J4" s="1" t="s">
        <v>2</v>
      </c>
      <c r="K4" t="s">
        <v>4</v>
      </c>
      <c r="M4" t="s">
        <v>450</v>
      </c>
      <c r="N4" t="s">
        <v>44</v>
      </c>
      <c r="P4" t="s">
        <v>158</v>
      </c>
      <c r="Q4" t="s">
        <v>448</v>
      </c>
      <c r="R4" cm="1">
        <f t="array" aca="1" ref="R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S4" cm="1">
        <f t="array" aca="1" ref="S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T4">
        <f t="shared" ref="T4:T47" ca="1" si="0">R4+S4</f>
        <v>460.84500000000003</v>
      </c>
      <c r="U4" cm="1">
        <f t="array" aca="1" ref="U4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4" cm="1">
        <f t="array" aca="1" ref="V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4" cm="1">
        <f t="array" aca="1" ref="W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4" cm="1">
        <f t="array" aca="1" ref="X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4" cm="1">
        <f t="array" aca="1" ref="Y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4" cm="1">
        <f t="array" aca="1" ref="Z4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25</v>
      </c>
      <c r="AA4" cm="1">
        <f t="array" aca="1" ref="AA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12.5</v>
      </c>
      <c r="AB4" s="4" cm="1">
        <f t="array" aca="1" ref="AB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1.6590420000000001</v>
      </c>
      <c r="AC4" s="5" cm="1">
        <f t="array" aca="1" ref="AC4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4" s="6" cm="1">
        <f t="array" aca="1" ref="AD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1389.7950000000001</v>
      </c>
      <c r="AE4" s="6" cm="1">
        <f t="array" aca="1" ref="AE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47.1205</v>
      </c>
      <c r="AF4" s="6" cm="1">
        <f t="array" aca="1" ref="AF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47.1205</v>
      </c>
      <c r="AG4" s="7" cm="1">
        <f t="array" aca="1" ref="AG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140.81375000000003</v>
      </c>
      <c r="AH4" s="8" cm="1">
        <f t="array" aca="1" ref="AH4" ca="1">$AG4 / (_xlfn.XLOOKUP(ValueFromColumnName("Ice Cream Amount",ROW()),Specs!A:A,Specs!B:B,0))</f>
        <v>0.29770348837209309</v>
      </c>
      <c r="AI4" s="6" cm="1">
        <f t="array" aca="1" ref="AI4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4" s="7" cm="1">
        <f t="array" aca="1" ref="AJ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176.2953488372093</v>
      </c>
      <c r="AK4" s="7" cm="1">
        <f t="array" aca="1" ref="AK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5.97723044397463</v>
      </c>
      <c r="AL4" s="7" cm="1">
        <f t="array" aca="1" ref="AL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17.862209302325585</v>
      </c>
      <c r="AM4" s="9" cm="1">
        <f t="array" aca="1" ref="AM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2.3936642426102686</v>
      </c>
      <c r="AN4" s="10">
        <f ca="1">ROUNDUP((AM4+Specs!$Q$2+_xlfn.XLOOKUP($K4,Specs!A:A,Specs!V:V,0))*Specs!$N$2,0)</f>
        <v>8</v>
      </c>
    </row>
    <row r="5" spans="1:40" x14ac:dyDescent="0.25">
      <c r="A5" s="49" t="s">
        <v>854</v>
      </c>
      <c r="B5" s="1" t="s">
        <v>62</v>
      </c>
      <c r="C5" s="1" t="s">
        <v>65</v>
      </c>
      <c r="E5" s="1" t="s">
        <v>864</v>
      </c>
      <c r="F5" s="1" t="s">
        <v>0</v>
      </c>
      <c r="G5" s="1" t="s">
        <v>3</v>
      </c>
      <c r="I5" s="1" t="s">
        <v>1</v>
      </c>
      <c r="K5" t="s">
        <v>340</v>
      </c>
      <c r="M5" t="s">
        <v>451</v>
      </c>
      <c r="N5" t="s">
        <v>450</v>
      </c>
      <c r="O5" t="s">
        <v>156</v>
      </c>
      <c r="P5" t="s">
        <v>448</v>
      </c>
      <c r="Q5" t="s">
        <v>44</v>
      </c>
      <c r="R5" cm="1">
        <f t="array" aca="1" ref="R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709.33500000000004</v>
      </c>
      <c r="S5" cm="1">
        <f t="array" aca="1" ref="S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354.66750000000002</v>
      </c>
      <c r="T5">
        <f t="shared" ca="1" si="0"/>
        <v>1064.0025000000001</v>
      </c>
      <c r="U5" cm="1">
        <f t="array" aca="1" ref="U5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5" cm="1">
        <f t="array" aca="1" ref="V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240</v>
      </c>
      <c r="W5" cm="1">
        <f t="array" aca="1" ref="W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30</v>
      </c>
      <c r="X5" cm="1">
        <f t="array" aca="1" ref="X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179.3</v>
      </c>
      <c r="Y5" cm="1">
        <f t="array" aca="1" ref="Y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5" cm="1">
        <f t="array" aca="1" ref="Z5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5" cm="1">
        <f t="array" aca="1" ref="AA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5" s="4" cm="1">
        <f t="array" aca="1" ref="AB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3.830409</v>
      </c>
      <c r="AC5" s="5" cm="1">
        <f t="array" aca="1" ref="AC5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D5" s="6" cm="1">
        <f t="array" aca="1" ref="AD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4564.6047058823533</v>
      </c>
      <c r="AE5" s="6" cm="1">
        <f t="array" aca="1" ref="AE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309.65166176470586</v>
      </c>
      <c r="AF5" s="6" cm="1">
        <f t="array" aca="1" ref="AF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235.82225</v>
      </c>
      <c r="AG5" s="7" cm="1">
        <f t="array" aca="1" ref="AG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362.02658088235302</v>
      </c>
      <c r="AH5" s="8" cm="1">
        <f t="array" aca="1" ref="AH5" ca="1">$AG5 / (_xlfn.XLOOKUP(ValueFromColumnName("Ice Cream Amount",ROW()),Specs!A:A,Specs!B:B,0))</f>
        <v>0.20191108805485389</v>
      </c>
      <c r="AI5" s="6" cm="1">
        <f t="array" aca="1" ref="AI5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73.829411764705895</v>
      </c>
      <c r="AJ5" s="7" cm="1">
        <f t="array" aca="1" ref="AJ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152.74750828384896</v>
      </c>
      <c r="AK5" s="7" cm="1">
        <f t="array" aca="1" ref="AK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10.362018798595846</v>
      </c>
      <c r="AL5" s="7" cm="1">
        <f t="array" aca="1" ref="AL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12.114665283291233</v>
      </c>
      <c r="AM5" s="9" cm="1">
        <f t="array" aca="1" ref="AM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15.478883552305813</v>
      </c>
      <c r="AN5" s="10">
        <f ca="1">ROUNDUP((AM5+Specs!$Q$2+_xlfn.XLOOKUP($K5,Specs!A:A,Specs!V:V,0))*Specs!$N$2,0)</f>
        <v>36</v>
      </c>
    </row>
    <row r="6" spans="1:40" x14ac:dyDescent="0.25">
      <c r="A6" s="75" t="s">
        <v>723</v>
      </c>
      <c r="B6" s="1" t="s">
        <v>65</v>
      </c>
      <c r="C6" s="1" t="s">
        <v>273</v>
      </c>
      <c r="E6" s="1" t="s">
        <v>0</v>
      </c>
      <c r="F6" s="1" t="s">
        <v>775</v>
      </c>
      <c r="G6" s="1" t="s">
        <v>406</v>
      </c>
      <c r="K6" t="s">
        <v>4</v>
      </c>
      <c r="M6" t="s">
        <v>450</v>
      </c>
      <c r="N6" t="s">
        <v>451</v>
      </c>
      <c r="O6" t="s">
        <v>154</v>
      </c>
      <c r="P6" t="s">
        <v>44</v>
      </c>
      <c r="R6" cm="1">
        <f t="array" aca="1" ref="R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220.80300000000003</v>
      </c>
      <c r="S6" cm="1">
        <f t="array" aca="1" ref="S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110.40150000000001</v>
      </c>
      <c r="T6">
        <f t="shared" ca="1" si="0"/>
        <v>331.20450000000005</v>
      </c>
      <c r="U6" cm="1">
        <f t="array" aca="1" ref="U6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6" cm="1">
        <f t="array" aca="1" ref="V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6" cm="1">
        <f t="array" aca="1" ref="W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X6" cm="1">
        <f t="array" aca="1" ref="X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23.650000000000002</v>
      </c>
      <c r="Y6" cm="1">
        <f t="array" aca="1" ref="Y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6" cm="1">
        <f t="array" aca="1" ref="Z6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0</v>
      </c>
      <c r="AA6" cm="1">
        <f t="array" aca="1" ref="AA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6" s="4" cm="1">
        <f t="array" aca="1" ref="AB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1.1923362000000002</v>
      </c>
      <c r="AC6" s="5" cm="1">
        <f t="array" aca="1" ref="AC6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D6" s="6" cm="1">
        <f t="array" aca="1" ref="AD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1098.6794511278197</v>
      </c>
      <c r="AE6" s="6" cm="1">
        <f t="array" aca="1" ref="AE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65.025477819548868</v>
      </c>
      <c r="AF6" s="6" cm="1">
        <f t="array" aca="1" ref="AF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50.539852819548869</v>
      </c>
      <c r="AG6" s="7" cm="1">
        <f t="array" aca="1" ref="AG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68.489358928571434</v>
      </c>
      <c r="AH6" s="8" cm="1">
        <f t="array" aca="1" ref="AH6" ca="1">$AG6 / (_xlfn.XLOOKUP(ValueFromColumnName("Ice Cream Amount",ROW()),Specs!A:A,Specs!B:B,0))</f>
        <v>0.14479779900332226</v>
      </c>
      <c r="AI6" s="6" cm="1">
        <f t="array" aca="1" ref="AI6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14.485625000000001</v>
      </c>
      <c r="AJ6" s="7" cm="1">
        <f t="array" aca="1" ref="AJ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139.36737223608708</v>
      </c>
      <c r="AK6" s="7" cm="1">
        <f t="array" aca="1" ref="AK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8.2484749876806163</v>
      </c>
      <c r="AL6" s="7" cm="1">
        <f t="array" aca="1" ref="AL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8.6878679401993359</v>
      </c>
      <c r="AM6" s="9" cm="1">
        <f t="array" aca="1" ref="AM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4.6110365493144059</v>
      </c>
      <c r="AN6" s="10">
        <f ca="1">ROUNDUP((AM6+Specs!$Q$2+_xlfn.XLOOKUP($K6,Specs!A:A,Specs!V:V,0))*Specs!$N$2,0)</f>
        <v>12</v>
      </c>
    </row>
    <row r="7" spans="1:40" x14ac:dyDescent="0.25">
      <c r="A7" s="52" t="s">
        <v>869</v>
      </c>
      <c r="B7" s="1" t="s">
        <v>62</v>
      </c>
      <c r="C7" s="1" t="s">
        <v>65</v>
      </c>
      <c r="E7" s="1" t="s">
        <v>0</v>
      </c>
      <c r="F7" s="1" t="s">
        <v>486</v>
      </c>
      <c r="G7" s="1" t="s">
        <v>406</v>
      </c>
      <c r="I7" s="1" t="s">
        <v>2</v>
      </c>
      <c r="K7" t="s">
        <v>4</v>
      </c>
      <c r="M7" t="s">
        <v>450</v>
      </c>
      <c r="N7" t="s">
        <v>451</v>
      </c>
      <c r="O7" t="s">
        <v>156</v>
      </c>
      <c r="P7" t="s">
        <v>448</v>
      </c>
      <c r="R7" cm="1">
        <f t="array" aca="1" ref="R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189.58500000000001</v>
      </c>
      <c r="S7" cm="1">
        <f t="array" aca="1" ref="S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94.792500000000004</v>
      </c>
      <c r="T7">
        <f t="shared" ca="1" si="0"/>
        <v>284.3775</v>
      </c>
      <c r="U7" cm="1">
        <f t="array" aca="1" ref="U7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7" cm="1">
        <f t="array" aca="1" ref="V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7" cm="1">
        <f t="array" aca="1" ref="W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X7" cm="1">
        <f t="array" aca="1" ref="X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39.416666666666671</v>
      </c>
      <c r="Y7" cm="1">
        <f t="array" aca="1" ref="Y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7" cm="1">
        <f t="array" aca="1" ref="Z7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12.5</v>
      </c>
      <c r="AA7" cm="1">
        <f t="array" aca="1" ref="AA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7" s="4" cm="1">
        <f t="array" aca="1" ref="AB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1.0237589999999999</v>
      </c>
      <c r="AC7" s="5" cm="1">
        <f t="array" aca="1" ref="AC7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D7" s="6" cm="1">
        <f t="array" aca="1" ref="AD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1465.8295833333334</v>
      </c>
      <c r="AE7" s="6" cm="1">
        <f t="array" aca="1" ref="AE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93.802458333333334</v>
      </c>
      <c r="AF7" s="6" cm="1">
        <f t="array" aca="1" ref="AF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69.659750000000003</v>
      </c>
      <c r="AG7" s="7" cm="1">
        <f t="array" aca="1" ref="AG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98.964479166666663</v>
      </c>
      <c r="AH7" s="8" cm="1">
        <f t="array" aca="1" ref="AH7" ca="1">$AG7 / (_xlfn.XLOOKUP(ValueFromColumnName("Ice Cream Amount",ROW()),Specs!A:A,Specs!B:B,0))</f>
        <v>0.20922722868217053</v>
      </c>
      <c r="AI7" s="6" cm="1">
        <f t="array" aca="1" ref="AI7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24.142708333333339</v>
      </c>
      <c r="AJ7" s="7" cm="1">
        <f t="array" aca="1" ref="AJ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185.94032769556028</v>
      </c>
      <c r="AK7" s="7" cm="1">
        <f t="array" aca="1" ref="AK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11.898831923890064</v>
      </c>
      <c r="AL7" s="7" cm="1">
        <f t="array" aca="1" ref="AL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12.553633720930232</v>
      </c>
      <c r="AM7" s="9" cm="1">
        <f t="array" aca="1" ref="AM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3.7620324074746581</v>
      </c>
      <c r="AN7" s="10">
        <f ca="1">ROUNDUP((AM7+Specs!$Q$2+_xlfn.XLOOKUP($K7,Specs!A:A,Specs!V:V,0))*Specs!$N$2,0)</f>
        <v>11</v>
      </c>
    </row>
    <row r="8" spans="1:40" x14ac:dyDescent="0.25">
      <c r="A8" s="26"/>
      <c r="U8" t="e" cm="1">
        <f t="array" aca="1" ref="U8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B8" s="4"/>
      <c r="AC8" s="5"/>
      <c r="AD8" s="6" t="e" cm="1">
        <f t="array" aca="1" ref="AD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8" s="6" cm="1">
        <f t="array" aca="1" ref="AE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8" s="6" t="e" cm="1">
        <f t="array" aca="1" ref="AF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8" s="7" t="e" cm="1">
        <f t="array" aca="1" ref="AG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8" s="8"/>
      <c r="AI8" s="6" cm="1">
        <f t="array" aca="1" ref="AI8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8" s="7"/>
      <c r="AK8" s="7"/>
      <c r="AL8" s="7"/>
      <c r="AM8" s="9"/>
      <c r="AN8" s="10"/>
    </row>
    <row r="9" spans="1:40" x14ac:dyDescent="0.25">
      <c r="A9" s="26" t="s">
        <v>843</v>
      </c>
      <c r="U9" t="e" cm="1">
        <f t="array" aca="1" ref="U9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9" s="6" t="e" cm="1">
        <f t="array" aca="1" ref="AD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9" s="6" cm="1">
        <f t="array" aca="1" ref="AE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9" s="6" t="e" cm="1">
        <f t="array" aca="1" ref="AF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9" s="7" t="e" cm="1">
        <f t="array" aca="1" ref="AG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9" s="6" cm="1">
        <f t="array" aca="1" ref="AI9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10" spans="1:40" x14ac:dyDescent="0.25">
      <c r="A10" t="s">
        <v>358</v>
      </c>
      <c r="B10" s="1" t="s">
        <v>62</v>
      </c>
      <c r="C10" s="1" t="s">
        <v>65</v>
      </c>
      <c r="E10" s="1" t="s">
        <v>0</v>
      </c>
      <c r="I10" s="1" t="s">
        <v>1</v>
      </c>
      <c r="K10" t="s">
        <v>4</v>
      </c>
      <c r="M10" t="s">
        <v>450</v>
      </c>
      <c r="N10" t="s">
        <v>44</v>
      </c>
      <c r="P10" t="s">
        <v>173</v>
      </c>
      <c r="R10" cm="1">
        <f t="array" aca="1" ref="R1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S10" cm="1">
        <f t="array" aca="1" ref="S1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T10">
        <f t="shared" ca="1" si="0"/>
        <v>460.84500000000003</v>
      </c>
      <c r="U10" cm="1">
        <f t="array" aca="1" ref="U10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0" cm="1">
        <f t="array" aca="1" ref="V1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10" cm="1">
        <f t="array" aca="1" ref="W1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0" cm="1">
        <f t="array" aca="1" ref="X1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10" cm="1">
        <f t="array" aca="1" ref="Y1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0" cm="1">
        <f t="array" aca="1" ref="Z10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10" cm="1">
        <f t="array" aca="1" ref="AA1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0" s="4" cm="1">
        <f t="array" aca="1" ref="AB1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1.6590420000000001</v>
      </c>
      <c r="AC10" s="5" cm="1">
        <f t="array" aca="1" ref="AC10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10" s="6" cm="1">
        <f t="array" aca="1" ref="AD1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1444.92</v>
      </c>
      <c r="AE10" s="6" cm="1">
        <f t="array" aca="1" ref="AE1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59.6205</v>
      </c>
      <c r="AF10" s="6" cm="1">
        <f t="array" aca="1" ref="AF1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59.6205</v>
      </c>
      <c r="AG10" s="7" cm="1">
        <f t="array" aca="1" ref="AG1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140.81375000000003</v>
      </c>
      <c r="AH10" s="8" cm="1">
        <f t="array" aca="1" ref="AH10" ca="1">$AG10 / (_xlfn.XLOOKUP(ValueFromColumnName("Ice Cream Amount",ROW()),Specs!A:A,Specs!B:B,0))</f>
        <v>0.29770348837209309</v>
      </c>
      <c r="AI10" s="6" cm="1">
        <f t="array" aca="1" ref="AI10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10" s="7" cm="1">
        <f t="array" aca="1" ref="AJ1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183.2879492600423</v>
      </c>
      <c r="AK10" s="7" cm="1">
        <f t="array" aca="1" ref="AK1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7.5628541226215642</v>
      </c>
      <c r="AL10" s="7" cm="1">
        <f t="array" aca="1" ref="AL1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17.862209302325585</v>
      </c>
      <c r="AM10" s="9" cm="1">
        <f t="array" aca="1" ref="AM1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2.2451208268259872</v>
      </c>
      <c r="AN10" s="10">
        <f ca="1">ROUNDUP((AM10+Specs!$Q$2+_xlfn.XLOOKUP($K10,Specs!A:A,Specs!V:V,0))*Specs!$N$2,0)</f>
        <v>7</v>
      </c>
    </row>
    <row r="11" spans="1:40" x14ac:dyDescent="0.25">
      <c r="A11" t="s">
        <v>148</v>
      </c>
      <c r="B11" s="1" t="s">
        <v>62</v>
      </c>
      <c r="C11" s="1" t="s">
        <v>65</v>
      </c>
      <c r="D11" s="1" t="s">
        <v>96</v>
      </c>
      <c r="E11" s="1" t="s">
        <v>0</v>
      </c>
      <c r="I11" s="1" t="s">
        <v>1</v>
      </c>
      <c r="K11" t="s">
        <v>340</v>
      </c>
      <c r="L11" t="s">
        <v>452</v>
      </c>
      <c r="M11" t="s">
        <v>46</v>
      </c>
      <c r="P11" t="s">
        <v>173</v>
      </c>
      <c r="R11" cm="1">
        <f t="array" aca="1" ref="R1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1143.78</v>
      </c>
      <c r="S11" cm="1">
        <f t="array" aca="1" ref="S1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571.89</v>
      </c>
      <c r="T11">
        <f t="shared" ca="1" si="0"/>
        <v>1715.67</v>
      </c>
      <c r="U11" cm="1">
        <f t="array" aca="1" ref="U11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180</v>
      </c>
      <c r="V11" cm="1">
        <f t="array" aca="1" ref="V1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W11" cm="1">
        <f t="array" aca="1" ref="W1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1" cm="1">
        <f t="array" aca="1" ref="X1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11" cm="1">
        <f t="array" aca="1" ref="Y1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1" cm="1">
        <f t="array" aca="1" ref="Z11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200</v>
      </c>
      <c r="AA11" cm="1">
        <f t="array" aca="1" ref="AA1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1" s="4" cm="1">
        <f t="array" aca="1" ref="AB1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6.176412</v>
      </c>
      <c r="AC11" s="5" cm="1">
        <f t="array" aca="1" ref="AC11" ca="1">_xlfn.LET(
    _xlpm.XanthanGum, CONVERT(ValueFromColumnName("Xanthan Gum To Use (g)", ROW()), "ml", "tsp"),
    _xlpm.Dummy, SUM(INDIRECT("B" &amp; ROW() &amp; ":O" &amp; ROW())),
    _xlpm.Result, CEILING(_xlpm.XanthanGum, 0.25),
    _xlpm.Result
)</f>
        <v>1.5</v>
      </c>
      <c r="AD11" s="6" cm="1">
        <f t="array" aca="1" ref="AD1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6189.12</v>
      </c>
      <c r="AE11" s="6" cm="1">
        <f t="array" aca="1" ref="AE1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255.06299999999999</v>
      </c>
      <c r="AF11" s="6" cm="1">
        <f t="array" aca="1" ref="AF1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256.26299999999998</v>
      </c>
      <c r="AG11" s="7" cm="1">
        <f t="array" aca="1" ref="AG1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578.35249999999996</v>
      </c>
      <c r="AH11" s="8" cm="1">
        <f t="array" aca="1" ref="AH11" ca="1">$AG11 / (_xlfn.XLOOKUP(ValueFromColumnName("Ice Cream Amount",ROW()),Specs!A:A,Specs!B:B,0))</f>
        <v>0.32256134969325151</v>
      </c>
      <c r="AI11" s="6" cm="1">
        <f t="array" aca="1" ref="AI11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11" s="7" cm="1">
        <f t="array" aca="1" ref="AJ1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207.10942554378136</v>
      </c>
      <c r="AK11" s="7" cm="1">
        <f t="array" aca="1" ref="AK1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8.535292805354155</v>
      </c>
      <c r="AL11" s="7" cm="1">
        <f t="array" aca="1" ref="AL1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19.35368098159509</v>
      </c>
      <c r="AM11" s="9" cm="1">
        <f t="array" aca="1" ref="AM1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9.8999077657953087</v>
      </c>
      <c r="AN11" s="10">
        <f ca="1">ROUNDUP((AM11+Specs!$Q$2+_xlfn.XLOOKUP($K11,Specs!A:A,Specs!V:V,0))*Specs!$N$2,0)</f>
        <v>25</v>
      </c>
    </row>
    <row r="12" spans="1:40" x14ac:dyDescent="0.25">
      <c r="A12" t="s">
        <v>426</v>
      </c>
      <c r="B12" s="1" t="s">
        <v>62</v>
      </c>
      <c r="C12" s="1" t="s">
        <v>65</v>
      </c>
      <c r="E12" s="1" t="s">
        <v>248</v>
      </c>
      <c r="I12" s="1" t="s">
        <v>1</v>
      </c>
      <c r="K12" t="s">
        <v>340</v>
      </c>
      <c r="M12" t="s">
        <v>46</v>
      </c>
      <c r="N12" t="s">
        <v>44</v>
      </c>
      <c r="P12" t="s">
        <v>173</v>
      </c>
      <c r="R12" cm="1">
        <f t="array" aca="1" ref="R1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1143.78</v>
      </c>
      <c r="S12" cm="1">
        <f t="array" aca="1" ref="S1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571.89</v>
      </c>
      <c r="T12">
        <f t="shared" ca="1" si="0"/>
        <v>1715.67</v>
      </c>
      <c r="U12" cm="1">
        <f t="array" aca="1" ref="U12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2" cm="1">
        <f t="array" aca="1" ref="V1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W12" cm="1">
        <f t="array" aca="1" ref="W1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2" cm="1">
        <f t="array" aca="1" ref="X1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12" cm="1">
        <f t="array" aca="1" ref="Y1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2" cm="1">
        <f t="array" aca="1" ref="Z12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200</v>
      </c>
      <c r="AA12" cm="1">
        <f t="array" aca="1" ref="AA1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2" s="4" cm="1">
        <f t="array" aca="1" ref="AB1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6.176412</v>
      </c>
      <c r="AC12" s="5" cm="1">
        <f t="array" aca="1" ref="AC12" ca="1">_xlfn.LET(
    _xlpm.XanthanGum, CONVERT(ValueFromColumnName("Xanthan Gum To Use (g)", ROW()), "ml", "tsp"),
    _xlpm.Dummy, SUM(INDIRECT("B" &amp; ROW() &amp; ":O" &amp; ROW())),
    _xlpm.Result, CEILING(_xlpm.XanthanGum, 0.25),
    _xlpm.Result
)</f>
        <v>1.5</v>
      </c>
      <c r="AD12" s="6" cm="1">
        <f t="array" aca="1" ref="AD1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5477.6914285714283</v>
      </c>
      <c r="AE12" s="6" cm="1">
        <f t="array" aca="1" ref="AE1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219.06299999999999</v>
      </c>
      <c r="AF12" s="6" cm="1">
        <f t="array" aca="1" ref="AF1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219.06299999999999</v>
      </c>
      <c r="AG12" s="7" cm="1">
        <f t="array" aca="1" ref="AG1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532.80392857142851</v>
      </c>
      <c r="AH12" s="8" cm="1">
        <f t="array" aca="1" ref="AH12" ca="1">$AG12 / (_xlfn.XLOOKUP(ValueFromColumnName("Ice Cream Amount",ROW()),Specs!A:A,Specs!B:B,0))</f>
        <v>0.29715779619153848</v>
      </c>
      <c r="AI12" s="6" cm="1">
        <f t="array" aca="1" ref="AI12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12" s="7" cm="1">
        <f t="array" aca="1" ref="AJ1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183.30255756513424</v>
      </c>
      <c r="AK12" s="7" cm="1">
        <f t="array" aca="1" ref="AK1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7.3306079196876741</v>
      </c>
      <c r="AL12" s="7" cm="1">
        <f t="array" aca="1" ref="AL1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17.829467771492308</v>
      </c>
      <c r="AM12" s="9" cm="1">
        <f t="array" aca="1" ref="AM1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9.1789310787265794</v>
      </c>
      <c r="AN12" s="10">
        <f ca="1">ROUNDUP((AM12+Specs!$Q$2+_xlfn.XLOOKUP($K12,Specs!A:A,Specs!V:V,0))*Specs!$N$2,0)</f>
        <v>24</v>
      </c>
    </row>
    <row r="13" spans="1:40" x14ac:dyDescent="0.25">
      <c r="A13" t="s">
        <v>237</v>
      </c>
      <c r="B13" s="1" t="s">
        <v>62</v>
      </c>
      <c r="C13" s="1" t="s">
        <v>65</v>
      </c>
      <c r="E13" s="1" t="s">
        <v>0</v>
      </c>
      <c r="F13" s="1" t="s">
        <v>102</v>
      </c>
      <c r="G13" s="1" t="s">
        <v>102</v>
      </c>
      <c r="I13" s="1" t="s">
        <v>1</v>
      </c>
      <c r="K13" t="s">
        <v>43</v>
      </c>
      <c r="M13" t="s">
        <v>450</v>
      </c>
      <c r="N13" t="s">
        <v>48</v>
      </c>
      <c r="O13" t="s">
        <v>154</v>
      </c>
      <c r="P13" t="s">
        <v>173</v>
      </c>
      <c r="R13" cm="1">
        <f t="array" aca="1" ref="R1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402.00600000000003</v>
      </c>
      <c r="S13" cm="1">
        <f t="array" aca="1" ref="S1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201.00300000000001</v>
      </c>
      <c r="T13">
        <f t="shared" ca="1" si="0"/>
        <v>603.00900000000001</v>
      </c>
      <c r="U13" cm="1">
        <f t="array" aca="1" ref="U13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3" cm="1">
        <f t="array" aca="1" ref="V1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15</v>
      </c>
      <c r="W13" cm="1">
        <f t="array" aca="1" ref="W1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180</v>
      </c>
      <c r="X13" cm="1">
        <f t="array" aca="1" ref="X1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98.147500000000008</v>
      </c>
      <c r="Y13" cm="1">
        <f t="array" aca="1" ref="Y1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3" cm="1">
        <f t="array" aca="1" ref="Z13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100</v>
      </c>
      <c r="AA13" cm="1">
        <f t="array" aca="1" ref="AA1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3" s="4" cm="1">
        <f t="array" aca="1" ref="AB1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2.1708324000000001</v>
      </c>
      <c r="AC13" s="5" cm="1">
        <f t="array" aca="1" ref="AC13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13" s="6" cm="1">
        <f t="array" aca="1" ref="AD1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2129.6493055555557</v>
      </c>
      <c r="AE13" s="6" cm="1">
        <f t="array" aca="1" ref="AE1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129.22115902777779</v>
      </c>
      <c r="AF13" s="6" cm="1">
        <f t="array" aca="1" ref="AF1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124.45009999999999</v>
      </c>
      <c r="AG13" s="7" cm="1">
        <f t="array" aca="1" ref="AG1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185.02538194444449</v>
      </c>
      <c r="AH13" s="8" cm="1">
        <f t="array" aca="1" ref="AH13" ca="1">$AG13 / (_xlfn.XLOOKUP(ValueFromColumnName("Ice Cream Amount",ROW()),Specs!A:A,Specs!B:B,0))</f>
        <v>0.19558708450786944</v>
      </c>
      <c r="AI13" s="6" cm="1">
        <f t="array" aca="1" ref="AI13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4.7710590277777776</v>
      </c>
      <c r="AJ13" s="7" cm="1">
        <f t="array" aca="1" ref="AJ1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135.07289464411559</v>
      </c>
      <c r="AK13" s="7" cm="1">
        <f t="array" aca="1" ref="AK1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8.1958451814658222</v>
      </c>
      <c r="AL13" s="7" cm="1">
        <f t="array" aca="1" ref="AL1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11.735225070472167</v>
      </c>
      <c r="AM13" s="9" cm="1">
        <f t="array" aca="1" ref="AM1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4.0807554708256077</v>
      </c>
      <c r="AN13" s="10">
        <f ca="1">ROUNDUP((AM13+Specs!$Q$2+_xlfn.XLOOKUP($K13,Specs!A:A,Specs!V:V,0))*Specs!$N$2,0)</f>
        <v>12</v>
      </c>
    </row>
    <row r="14" spans="1:40" x14ac:dyDescent="0.25">
      <c r="A14" t="s">
        <v>508</v>
      </c>
      <c r="B14" s="1" t="s">
        <v>62</v>
      </c>
      <c r="C14" s="1" t="s">
        <v>65</v>
      </c>
      <c r="E14" s="1" t="s">
        <v>0</v>
      </c>
      <c r="G14" s="1" t="s">
        <v>3</v>
      </c>
      <c r="I14" s="1" t="s">
        <v>1</v>
      </c>
      <c r="K14" t="s">
        <v>4</v>
      </c>
      <c r="M14" t="s">
        <v>450</v>
      </c>
      <c r="O14" t="s">
        <v>156</v>
      </c>
      <c r="P14" t="s">
        <v>173</v>
      </c>
      <c r="R14" cm="1">
        <f t="array" aca="1" ref="R1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229.185</v>
      </c>
      <c r="S14" cm="1">
        <f t="array" aca="1" ref="S1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114.5925</v>
      </c>
      <c r="T14">
        <f t="shared" ca="1" si="0"/>
        <v>343.77750000000003</v>
      </c>
      <c r="U14" cm="1">
        <f t="array" aca="1" ref="U14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4" cm="1">
        <f t="array" aca="1" ref="V1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14" cm="1">
        <f t="array" aca="1" ref="W1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4" cm="1">
        <f t="array" aca="1" ref="X1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47.300000000000004</v>
      </c>
      <c r="Y14" cm="1">
        <f t="array" aca="1" ref="Y1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4" cm="1">
        <f t="array" aca="1" ref="Z14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14" cm="1">
        <f t="array" aca="1" ref="AA1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4" s="4" cm="1">
        <f t="array" aca="1" ref="AB1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1.2375990000000001</v>
      </c>
      <c r="AC14" s="5" cm="1">
        <f t="array" aca="1" ref="AC14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14" s="6" cm="1">
        <f t="array" aca="1" ref="AD1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1355.3282352941178</v>
      </c>
      <c r="AE14" s="6" cm="1">
        <f t="array" aca="1" ref="AE1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77.796220588235286</v>
      </c>
      <c r="AF14" s="6" cm="1">
        <f t="array" aca="1" ref="AF1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58.319749999999999</v>
      </c>
      <c r="AG14" s="7" cm="1">
        <f t="array" aca="1" ref="AG1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114.78136029411765</v>
      </c>
      <c r="AH14" s="8" cm="1">
        <f t="array" aca="1" ref="AH14" ca="1">$AG14 / (_xlfn.XLOOKUP(ValueFromColumnName("Ice Cream Amount",ROW()),Specs!A:A,Specs!B:B,0))</f>
        <v>0.24266672366621067</v>
      </c>
      <c r="AI14" s="6" cm="1">
        <f t="array" aca="1" ref="AI14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19.476470588235294</v>
      </c>
      <c r="AJ14" s="7" cm="1">
        <f t="array" aca="1" ref="AJ1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171.92324337768937</v>
      </c>
      <c r="AK14" s="7" cm="1">
        <f t="array" aca="1" ref="AK1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9.868442357915681</v>
      </c>
      <c r="AL14" s="7" cm="1">
        <f t="array" aca="1" ref="AL1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14.56000341997264</v>
      </c>
      <c r="AM14" s="9" cm="1">
        <f t="array" aca="1" ref="AM1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2.1558988802929879</v>
      </c>
      <c r="AN14" s="10">
        <f ca="1">ROUNDUP((AM14+Specs!$Q$2+_xlfn.XLOOKUP($K14,Specs!A:A,Specs!V:V,0))*Specs!$N$2,0)</f>
        <v>7</v>
      </c>
    </row>
    <row r="15" spans="1:40" x14ac:dyDescent="0.25">
      <c r="A15" t="s">
        <v>844</v>
      </c>
      <c r="B15" s="1" t="s">
        <v>62</v>
      </c>
      <c r="C15" s="1" t="s">
        <v>65</v>
      </c>
      <c r="E15" s="1" t="s">
        <v>98</v>
      </c>
      <c r="G15" s="1" t="s">
        <v>422</v>
      </c>
      <c r="I15" s="1" t="s">
        <v>1</v>
      </c>
      <c r="K15" t="s">
        <v>340</v>
      </c>
      <c r="M15" t="s">
        <v>46</v>
      </c>
      <c r="O15" t="s">
        <v>156</v>
      </c>
      <c r="P15" t="s">
        <v>173</v>
      </c>
      <c r="R15" cm="1">
        <f t="array" aca="1" ref="R1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847.93500000000006</v>
      </c>
      <c r="S15" cm="1">
        <f t="array" aca="1" ref="S1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423.96750000000003</v>
      </c>
      <c r="T15">
        <f t="shared" ca="1" si="0"/>
        <v>1271.9025000000001</v>
      </c>
      <c r="U15" cm="1">
        <f t="array" aca="1" ref="U15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5" cm="1">
        <f t="array" aca="1" ref="V1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W15" cm="1">
        <f t="array" aca="1" ref="W1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5" cm="1">
        <f t="array" aca="1" ref="X1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282.02395833333333</v>
      </c>
      <c r="Y15" cm="1">
        <f t="array" aca="1" ref="Y1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5" cm="1">
        <f t="array" aca="1" ref="Z15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200</v>
      </c>
      <c r="AA15" cm="1">
        <f t="array" aca="1" ref="AA1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5" s="4" cm="1">
        <f t="array" aca="1" ref="AB1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4.5788490000000008</v>
      </c>
      <c r="AC15" s="5" cm="1">
        <f t="array" aca="1" ref="AC15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D15" s="6" cm="1">
        <f t="array" aca="1" ref="AD1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5921.3858333333337</v>
      </c>
      <c r="AE15" s="6" cm="1">
        <f t="array" aca="1" ref="AE1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400.90308333333337</v>
      </c>
      <c r="AF15" s="6" cm="1">
        <f t="array" aca="1" ref="AF1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214.13225</v>
      </c>
      <c r="AG15" s="7" cm="1">
        <f t="array" aca="1" ref="AG1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468.94833333333338</v>
      </c>
      <c r="AH15" s="8" cm="1">
        <f t="array" aca="1" ref="AH15" ca="1">$AG15 / (_xlfn.XLOOKUP(ValueFromColumnName("Ice Cream Amount",ROW()),Specs!A:A,Specs!B:B,0))</f>
        <v>0.2615439672801636</v>
      </c>
      <c r="AI15" s="6" cm="1">
        <f t="array" aca="1" ref="AI15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186.77083333333334</v>
      </c>
      <c r="AJ15" s="7" cm="1">
        <f t="array" aca="1" ref="AJ1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198.15011154489682</v>
      </c>
      <c r="AK15" s="7" cm="1">
        <f t="array" aca="1" ref="AK1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13.415607919687677</v>
      </c>
      <c r="AL15" s="7" cm="1">
        <f t="array" aca="1" ref="AL1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15.692638036809816</v>
      </c>
      <c r="AM15" s="9" cm="1">
        <f t="array" aca="1" ref="AM1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10.106363395490016</v>
      </c>
      <c r="AN15" s="10">
        <f ca="1">ROUNDUP((AM15+Specs!$Q$2+_xlfn.XLOOKUP($K15,Specs!A:A,Specs!V:V,0))*Specs!$N$2,0)</f>
        <v>25</v>
      </c>
    </row>
    <row r="16" spans="1:40" x14ac:dyDescent="0.25">
      <c r="A16" s="75" t="s">
        <v>772</v>
      </c>
      <c r="B16" s="1" t="s">
        <v>62</v>
      </c>
      <c r="C16" s="1" t="s">
        <v>65</v>
      </c>
      <c r="E16" s="1" t="s">
        <v>99</v>
      </c>
      <c r="F16" s="1" t="s">
        <v>0</v>
      </c>
      <c r="G16" s="1" t="s">
        <v>126</v>
      </c>
      <c r="I16" s="1" t="s">
        <v>1</v>
      </c>
      <c r="K16" t="s">
        <v>4</v>
      </c>
      <c r="M16" t="s">
        <v>175</v>
      </c>
      <c r="N16" t="s">
        <v>175</v>
      </c>
      <c r="O16" t="s">
        <v>154</v>
      </c>
      <c r="P16" t="s">
        <v>173</v>
      </c>
      <c r="R16" cm="1">
        <f t="array" aca="1" ref="R1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262.87800000000004</v>
      </c>
      <c r="S16" cm="1">
        <f t="array" aca="1" ref="S1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131.43900000000002</v>
      </c>
      <c r="T16">
        <f t="shared" ca="1" si="0"/>
        <v>394.31700000000006</v>
      </c>
      <c r="U16" cm="1">
        <f t="array" aca="1" ref="U16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6" cm="1">
        <f t="array" aca="1" ref="V1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1.875</v>
      </c>
      <c r="W16" cm="1">
        <f t="array" aca="1" ref="W1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1.875</v>
      </c>
      <c r="X16" cm="1">
        <f t="array" aca="1" ref="X1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44.343750000000007</v>
      </c>
      <c r="Y16" cm="1">
        <f t="array" aca="1" ref="Y1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6" cm="1">
        <f t="array" aca="1" ref="Z16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16" cm="1">
        <f t="array" aca="1" ref="AA1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6" s="4" cm="1">
        <f t="array" aca="1" ref="AB1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1.4195412000000003</v>
      </c>
      <c r="AC16" s="5" cm="1">
        <f t="array" aca="1" ref="AC16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16" s="6" cm="1">
        <f t="array" aca="1" ref="AD1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1492.5370000000003</v>
      </c>
      <c r="AE16" s="6" cm="1">
        <f t="array" aca="1" ref="AE1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58.700050000000005</v>
      </c>
      <c r="AF16" s="6" cm="1">
        <f t="array" aca="1" ref="AF1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55.7438</v>
      </c>
      <c r="AG16" s="7" cm="1">
        <f t="array" aca="1" ref="AG1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139.70137500000004</v>
      </c>
      <c r="AH16" s="8" cm="1">
        <f t="array" aca="1" ref="AH16" ca="1">$AG16 / (_xlfn.XLOOKUP(ValueFromColumnName("Ice Cream Amount",ROW()),Specs!A:A,Specs!B:B,0))</f>
        <v>0.29535174418604659</v>
      </c>
      <c r="AI16" s="6" cm="1">
        <f t="array" aca="1" ref="AI16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2.9562500000000003</v>
      </c>
      <c r="AJ16" s="7" cm="1">
        <f t="array" aca="1" ref="AJ1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189.3281606765328</v>
      </c>
      <c r="AK16" s="7" cm="1">
        <f t="array" aca="1" ref="AK1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7.4460951374207189</v>
      </c>
      <c r="AL16" s="7" cm="1">
        <f t="array" aca="1" ref="AL1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17.721104651162797</v>
      </c>
      <c r="AM16" s="9" cm="1">
        <f t="array" aca="1" ref="AM1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2.7855904875076267</v>
      </c>
      <c r="AN16" s="10">
        <f ca="1">ROUNDUP((AM16+Specs!$Q$2+_xlfn.XLOOKUP($K16,Specs!A:A,Specs!V:V,0))*Specs!$N$2,0)</f>
        <v>9</v>
      </c>
    </row>
    <row r="17" spans="1:40" x14ac:dyDescent="0.25">
      <c r="A17" t="s">
        <v>251</v>
      </c>
      <c r="B17" s="1" t="s">
        <v>62</v>
      </c>
      <c r="C17" s="1" t="s">
        <v>65</v>
      </c>
      <c r="E17" s="1" t="s">
        <v>0</v>
      </c>
      <c r="G17" s="1" t="s">
        <v>249</v>
      </c>
      <c r="I17" s="1" t="s">
        <v>1</v>
      </c>
      <c r="K17" t="s">
        <v>43</v>
      </c>
      <c r="M17" t="s">
        <v>450</v>
      </c>
      <c r="O17" t="s">
        <v>156</v>
      </c>
      <c r="P17" t="s">
        <v>173</v>
      </c>
      <c r="R17" cm="1">
        <f t="array" aca="1" ref="R1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458.37</v>
      </c>
      <c r="S17" cm="1">
        <f t="array" aca="1" ref="S1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229.185</v>
      </c>
      <c r="T17">
        <f t="shared" ca="1" si="0"/>
        <v>687.55500000000006</v>
      </c>
      <c r="U17" cm="1">
        <f t="array" aca="1" ref="U17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7" cm="1">
        <f t="array" aca="1" ref="V1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15</v>
      </c>
      <c r="W17" cm="1">
        <f t="array" aca="1" ref="W1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7" cm="1">
        <f t="array" aca="1" ref="X1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236.5</v>
      </c>
      <c r="Y17" cm="1">
        <f t="array" aca="1" ref="Y1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7" cm="1">
        <f t="array" aca="1" ref="Z17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100</v>
      </c>
      <c r="AA17" cm="1">
        <f t="array" aca="1" ref="AA1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7" s="4" cm="1">
        <f t="array" aca="1" ref="AB1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2.4751980000000002</v>
      </c>
      <c r="AC17" s="5" cm="1">
        <f t="array" aca="1" ref="AC17" ca="1">_xlfn.LET(
    _xlpm.XanthanGum, CONVERT(ValueFromColumnName("Xanthan Gum To Use (g)", ROW()), "ml", "tsp"),
    _xlpm.Dummy, SUM(INDIRECT("B" &amp; ROW() &amp; ":O" &amp; ROW())),
    _xlpm.Result, CEILING(_xlpm.XanthanGum, 0.25),
    _xlpm.Result
)</f>
        <v>0.75</v>
      </c>
      <c r="AD17" s="6" cm="1">
        <f t="array" aca="1" ref="AD1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3393.0161762771322</v>
      </c>
      <c r="AE17" s="6" cm="1">
        <f t="array" aca="1" ref="AE1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185.41687338303001</v>
      </c>
      <c r="AF17" s="6" cm="1">
        <f t="array" aca="1" ref="AF1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116.6395</v>
      </c>
      <c r="AG17" s="7" cm="1">
        <f t="array" aca="1" ref="AG1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258.04996409778556</v>
      </c>
      <c r="AH17" s="8" cm="1">
        <f t="array" aca="1" ref="AH17" ca="1">$AG17 / (_xlfn.XLOOKUP(ValueFromColumnName("Ice Cream Amount",ROW()),Specs!A:A,Specs!B:B,0))</f>
        <v>0.27278008889829342</v>
      </c>
      <c r="AI17" s="6" cm="1">
        <f t="array" aca="1" ref="AI17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68.777373383030024</v>
      </c>
      <c r="AJ17" s="7" cm="1">
        <f t="array" aca="1" ref="AJ1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215.20187164548409</v>
      </c>
      <c r="AK17" s="7" cm="1">
        <f t="array" aca="1" ref="AK1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11.760055394272516</v>
      </c>
      <c r="AL17" s="7" cm="1">
        <f t="array" aca="1" ref="AL1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16.366805333897606</v>
      </c>
      <c r="AM17" s="9" cm="1">
        <f t="array" aca="1" ref="AM1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4.7164120861017098</v>
      </c>
      <c r="AN17" s="10">
        <f ca="1">ROUNDUP((AM17+Specs!$Q$2+_xlfn.XLOOKUP($K17,Specs!A:A,Specs!V:V,0))*Specs!$N$2,0)</f>
        <v>13</v>
      </c>
    </row>
    <row r="18" spans="1:40" x14ac:dyDescent="0.25">
      <c r="A18" t="s">
        <v>443</v>
      </c>
      <c r="B18" s="1" t="s">
        <v>62</v>
      </c>
      <c r="C18" s="1" t="s">
        <v>65</v>
      </c>
      <c r="E18" s="1" t="s">
        <v>0</v>
      </c>
      <c r="F18" s="1" t="s">
        <v>8</v>
      </c>
      <c r="G18" s="1" t="s">
        <v>415</v>
      </c>
      <c r="I18" s="1" t="s">
        <v>1</v>
      </c>
      <c r="K18" t="s">
        <v>4</v>
      </c>
      <c r="M18" t="s">
        <v>450</v>
      </c>
      <c r="O18" t="s">
        <v>154</v>
      </c>
      <c r="P18" t="s">
        <v>173</v>
      </c>
      <c r="R18" cm="1">
        <f t="array" aca="1" ref="R1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260.40300000000002</v>
      </c>
      <c r="S18" cm="1">
        <f t="array" aca="1" ref="S1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130.20150000000001</v>
      </c>
      <c r="T18">
        <f t="shared" ca="1" si="0"/>
        <v>390.60450000000003</v>
      </c>
      <c r="U18" cm="1">
        <f t="array" aca="1" ref="U18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8" cm="1">
        <f t="array" aca="1" ref="V1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18" cm="1">
        <f t="array" aca="1" ref="W1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8" cm="1">
        <f t="array" aca="1" ref="X1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59.125000000000007</v>
      </c>
      <c r="Y18" cm="1">
        <f t="array" aca="1" ref="Y1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8" cm="1">
        <f t="array" aca="1" ref="Z18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18" cm="1">
        <f t="array" aca="1" ref="AA1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8" s="4" cm="1">
        <f t="array" aca="1" ref="AB1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1.4061762</v>
      </c>
      <c r="AC18" s="5" cm="1">
        <f t="array" aca="1" ref="AC18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18" s="6" cm="1">
        <f t="array" aca="1" ref="AD1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1427.1036666666669</v>
      </c>
      <c r="AE18" s="6" cm="1">
        <f t="array" aca="1" ref="AE1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89.58505000000001</v>
      </c>
      <c r="AF18" s="6" cm="1">
        <f t="array" aca="1" ref="AF1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58.840050000000005</v>
      </c>
      <c r="AG18" s="7" cm="1">
        <f t="array" aca="1" ref="AG1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119.351375</v>
      </c>
      <c r="AH18" s="8" cm="1">
        <f t="array" aca="1" ref="AH18" ca="1">$AG18 / (_xlfn.XLOOKUP(ValueFromColumnName("Ice Cream Amount",ROW()),Specs!A:A,Specs!B:B,0))</f>
        <v>0.25232848837209304</v>
      </c>
      <c r="AI18" s="6" cm="1">
        <f t="array" aca="1" ref="AI18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30.745000000000005</v>
      </c>
      <c r="AJ18" s="7" cm="1">
        <f t="array" aca="1" ref="AJ1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181.02794926004231</v>
      </c>
      <c r="AK18" s="7" cm="1">
        <f t="array" aca="1" ref="AK1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11.363854122621566</v>
      </c>
      <c r="AL18" s="7" cm="1">
        <f t="array" aca="1" ref="AL1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15.139709302325583</v>
      </c>
      <c r="AM18" s="9" cm="1">
        <f t="array" aca="1" ref="AM1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2.4438087730341005</v>
      </c>
      <c r="AN18" s="10">
        <f ca="1">ROUNDUP((AM18+Specs!$Q$2+_xlfn.XLOOKUP($K18,Specs!A:A,Specs!V:V,0))*Specs!$N$2,0)</f>
        <v>8</v>
      </c>
    </row>
    <row r="19" spans="1:40" ht="16.5" x14ac:dyDescent="0.3">
      <c r="A19" s="22" t="s">
        <v>757</v>
      </c>
      <c r="B19" s="1" t="s">
        <v>62</v>
      </c>
      <c r="C19" s="1" t="s">
        <v>65</v>
      </c>
      <c r="E19" s="1" t="s">
        <v>248</v>
      </c>
      <c r="G19" s="1" t="s">
        <v>269</v>
      </c>
      <c r="H19" s="1" t="s">
        <v>267</v>
      </c>
      <c r="I19" s="1" t="s">
        <v>1</v>
      </c>
      <c r="K19" t="s">
        <v>4</v>
      </c>
      <c r="M19" t="s">
        <v>450</v>
      </c>
      <c r="O19" t="s">
        <v>156</v>
      </c>
      <c r="P19" t="s">
        <v>173</v>
      </c>
      <c r="R19" cm="1">
        <f t="array" aca="1" ref="R1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229.185</v>
      </c>
      <c r="S19" cm="1">
        <f t="array" aca="1" ref="S1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114.5925</v>
      </c>
      <c r="T19">
        <f t="shared" ca="1" si="0"/>
        <v>343.77750000000003</v>
      </c>
      <c r="U19" cm="1">
        <f t="array" aca="1" ref="U19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9" cm="1">
        <f t="array" aca="1" ref="V1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19" cm="1">
        <f t="array" aca="1" ref="W1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9" cm="1">
        <f t="array" aca="1" ref="X1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33.996875000000003</v>
      </c>
      <c r="Y19" cm="1">
        <f t="array" aca="1" ref="Y1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9.8541666666666679</v>
      </c>
      <c r="Z19" cm="1">
        <f t="array" aca="1" ref="Z19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19" cm="1">
        <f t="array" aca="1" ref="AA1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9" s="4" cm="1">
        <f t="array" aca="1" ref="AB1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1.2375990000000001</v>
      </c>
      <c r="AC19" s="5" cm="1">
        <f t="array" aca="1" ref="AC19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19" s="6" cm="1">
        <f t="array" aca="1" ref="AD1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1320.8256398809524</v>
      </c>
      <c r="AE19" s="6" cm="1">
        <f t="array" aca="1" ref="AE1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56.494452380952382</v>
      </c>
      <c r="AF19" s="6" cm="1">
        <f t="array" aca="1" ref="AF1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53.819749999999999</v>
      </c>
      <c r="AG19" s="7" cm="1">
        <f t="array" aca="1" ref="AG1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123.35934523809524</v>
      </c>
      <c r="AH19" s="8" cm="1">
        <f t="array" aca="1" ref="AH19" ca="1">$AG19 / (_xlfn.XLOOKUP(ValueFromColumnName("Ice Cream Amount",ROW()),Specs!A:A,Specs!B:B,0))</f>
        <v>0.2608019983892077</v>
      </c>
      <c r="AI19" s="6" cm="1">
        <f t="array" aca="1" ref="AI19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2.6747023809523816</v>
      </c>
      <c r="AJ19" s="7" cm="1">
        <f t="array" aca="1" ref="AJ1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167.54659279673814</v>
      </c>
      <c r="AK19" s="7" cm="1">
        <f t="array" aca="1" ref="AK1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7.1663153125943824</v>
      </c>
      <c r="AL19" s="7" cm="1">
        <f t="array" aca="1" ref="AL1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15.648119903352463</v>
      </c>
      <c r="AM19" s="9" cm="1">
        <f t="array" aca="1" ref="AM1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2.7135590156595524</v>
      </c>
      <c r="AN19" s="10">
        <f ca="1">ROUNDUP((AM19+Specs!$Q$2+_xlfn.XLOOKUP($K19,Specs!A:A,Specs!V:V,0))*Specs!$N$2,0)</f>
        <v>8</v>
      </c>
    </row>
    <row r="20" spans="1:40" x14ac:dyDescent="0.25">
      <c r="U20" t="e" cm="1">
        <f t="array" aca="1" ref="U20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B20" s="4"/>
      <c r="AC20" s="5"/>
      <c r="AD20" s="6" t="e" cm="1">
        <f t="array" aca="1" ref="AD2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20" s="6" cm="1">
        <f t="array" aca="1" ref="AE2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20" s="6" t="e" cm="1">
        <f t="array" aca="1" ref="AF2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20" s="7" t="e" cm="1">
        <f t="array" aca="1" ref="AG2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20" s="8"/>
      <c r="AI20" s="6" cm="1">
        <f t="array" aca="1" ref="AI20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20" s="7"/>
      <c r="AK20" s="7"/>
      <c r="AL20" s="7"/>
      <c r="AM20" s="9"/>
      <c r="AN20" s="10"/>
    </row>
    <row r="21" spans="1:40" x14ac:dyDescent="0.25">
      <c r="A21" s="26" t="s">
        <v>850</v>
      </c>
      <c r="U21" t="e" cm="1">
        <f t="array" aca="1" ref="U21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21" s="6" t="e" cm="1">
        <f t="array" aca="1" ref="AD2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21" s="6" cm="1">
        <f t="array" aca="1" ref="AE2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21" s="6" t="e" cm="1">
        <f t="array" aca="1" ref="AF2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21" s="7" t="e" cm="1">
        <f t="array" aca="1" ref="AG2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21" s="6" cm="1">
        <f t="array" aca="1" ref="AI21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22" spans="1:40" x14ac:dyDescent="0.25">
      <c r="A22" t="s">
        <v>298</v>
      </c>
      <c r="B22" s="1" t="s">
        <v>66</v>
      </c>
      <c r="C22" s="1" t="s">
        <v>283</v>
      </c>
      <c r="D22" s="1" t="s">
        <v>96</v>
      </c>
      <c r="E22" s="1" t="s">
        <v>0</v>
      </c>
      <c r="I22" s="1" t="s">
        <v>133</v>
      </c>
      <c r="K22" t="s">
        <v>4</v>
      </c>
      <c r="L22" t="s">
        <v>46</v>
      </c>
      <c r="M22" t="s">
        <v>450</v>
      </c>
      <c r="P22" t="s">
        <v>158</v>
      </c>
      <c r="Q22" t="s">
        <v>44</v>
      </c>
      <c r="R22" cm="1">
        <f t="array" aca="1" ref="R2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S22" cm="1">
        <f t="array" aca="1" ref="S2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T22">
        <f t="shared" ca="1" si="0"/>
        <v>460.84500000000003</v>
      </c>
      <c r="U22" cm="1">
        <f t="array" aca="1" ref="U22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15</v>
      </c>
      <c r="V22" cm="1">
        <f t="array" aca="1" ref="V2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22" cm="1">
        <f t="array" aca="1" ref="W2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22" cm="1">
        <f t="array" aca="1" ref="X2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22" cm="1">
        <f t="array" aca="1" ref="Y2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22" cm="1">
        <f t="array" aca="1" ref="Z22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25</v>
      </c>
      <c r="AA22" cm="1">
        <f t="array" aca="1" ref="AA2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22" s="4" cm="1">
        <f t="array" aca="1" ref="AB2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3.3180840000000003</v>
      </c>
      <c r="AC22" s="5" cm="1">
        <f t="array" aca="1" ref="AC22" ca="1">_xlfn.LET(
    _xlpm.XanthanGum, CONVERT(ValueFromColumnName("Xanthan Gum To Use (g)", ROW()), "ml", "tsp"),
    _xlpm.Dummy, SUM(INDIRECT("B" &amp; ROW() &amp; ":O" &amp; ROW())),
    _xlpm.Result, CEILING(_xlpm.XanthanGum, 0.25),
    _xlpm.Result
)</f>
        <v>0.75</v>
      </c>
      <c r="AD22" s="6" cm="1">
        <f t="array" aca="1" ref="AD2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410.33250000000004</v>
      </c>
      <c r="AE22" s="6" cm="1">
        <f t="array" aca="1" ref="AE2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40.343500000000006</v>
      </c>
      <c r="AF22" s="6" cm="1">
        <f t="array" aca="1" ref="AF2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40.443500000000007</v>
      </c>
      <c r="AG22" s="7" cm="1">
        <f t="array" aca="1" ref="AG2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4.51</v>
      </c>
      <c r="AH22" s="8" cm="1">
        <f t="array" aca="1" ref="AH22" ca="1">$AG22 / (_xlfn.XLOOKUP(ValueFromColumnName("Ice Cream Amount",ROW()),Specs!A:A,Specs!B:B,0))</f>
        <v>9.5348837209302314E-3</v>
      </c>
      <c r="AI22" s="6" cm="1">
        <f t="array" aca="1" ref="AI22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22" s="7" cm="1">
        <f t="array" aca="1" ref="AJ2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52.050634249471464</v>
      </c>
      <c r="AK22" s="7" cm="1">
        <f t="array" aca="1" ref="AK2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5.117568710359409</v>
      </c>
      <c r="AL22" s="7" cm="1">
        <f t="array" aca="1" ref="AL2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0.5720930232558139</v>
      </c>
      <c r="AM22" s="9" cm="1">
        <f t="array" aca="1" ref="AM2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_xlfn.XLOOKUP($G22,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2.7450861409182621</v>
      </c>
      <c r="AN22" s="10">
        <f ca="1">ROUNDUP((AM22+Specs!$Q$2+_xlfn.XLOOKUP($K22,Specs!A:A,Specs!V:V,0))*Specs!$N$2,0)</f>
        <v>8</v>
      </c>
    </row>
    <row r="23" spans="1:40" x14ac:dyDescent="0.25">
      <c r="U23" t="e" cm="1">
        <f t="array" aca="1" ref="U23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B23" s="4"/>
      <c r="AC23" s="5"/>
      <c r="AD23" s="6" t="e" cm="1">
        <f t="array" aca="1" ref="AD2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23" s="6" cm="1">
        <f t="array" aca="1" ref="AE2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23" s="6" t="e" cm="1">
        <f t="array" aca="1" ref="AF2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23" s="7" t="e" cm="1">
        <f t="array" aca="1" ref="AG2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23" s="8"/>
      <c r="AI23" s="6" cm="1">
        <f t="array" aca="1" ref="AI23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23" s="7"/>
      <c r="AK23" s="7"/>
      <c r="AL23" s="7"/>
      <c r="AM23" s="9"/>
      <c r="AN23" s="10"/>
    </row>
    <row r="24" spans="1:40" x14ac:dyDescent="0.25">
      <c r="A24" t="s">
        <v>851</v>
      </c>
      <c r="U24" t="e" cm="1">
        <f t="array" aca="1" ref="U24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24" s="6" t="e" cm="1">
        <f t="array" aca="1" ref="AD2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24" s="6" cm="1">
        <f t="array" aca="1" ref="AE2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24" s="6" t="e" cm="1">
        <f t="array" aca="1" ref="AF2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24" s="7" t="e" cm="1">
        <f t="array" aca="1" ref="AG2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24" s="6" cm="1">
        <f t="array" aca="1" ref="AI24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25" spans="1:40" x14ac:dyDescent="0.25">
      <c r="A25" t="s">
        <v>400</v>
      </c>
      <c r="B25" s="1" t="s">
        <v>62</v>
      </c>
      <c r="C25" s="1" t="s">
        <v>65</v>
      </c>
      <c r="E25" s="1" t="s">
        <v>0</v>
      </c>
      <c r="G25" s="1" t="s">
        <v>415</v>
      </c>
      <c r="I25" s="1" t="s">
        <v>816</v>
      </c>
      <c r="K25" t="s">
        <v>340</v>
      </c>
      <c r="M25" t="s">
        <v>450</v>
      </c>
      <c r="O25" t="s">
        <v>154</v>
      </c>
      <c r="P25" t="s">
        <v>173</v>
      </c>
      <c r="R25" cm="1">
        <f t="array" aca="1" ref="R2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986.07299999999998</v>
      </c>
      <c r="S25" cm="1">
        <f t="array" aca="1" ref="S2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493.03649999999999</v>
      </c>
      <c r="T25">
        <f t="shared" ca="1" si="0"/>
        <v>1479.1095</v>
      </c>
      <c r="U25" cm="1">
        <f t="array" aca="1" ref="U25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25" cm="1">
        <f t="array" aca="1" ref="V2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30</v>
      </c>
      <c r="W25" cm="1">
        <f t="array" aca="1" ref="W2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25" cm="1">
        <f t="array" aca="1" ref="X2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224.125</v>
      </c>
      <c r="Y25" cm="1">
        <f t="array" aca="1" ref="Y2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25" cm="1">
        <f t="array" aca="1" ref="Z25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200</v>
      </c>
      <c r="AA25" cm="1">
        <f t="array" aca="1" ref="AA2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25" s="4" cm="1">
        <f t="array" aca="1" ref="AB2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5.3247942000000004</v>
      </c>
      <c r="AC25" s="5" cm="1">
        <f t="array" aca="1" ref="AC25" ca="1">_xlfn.LET(
    _xlpm.XanthanGum, CONVERT(ValueFromColumnName("Xanthan Gum To Use (g)", ROW()), "ml", "tsp"),
    _xlpm.Dummy, SUM(INDIRECT("B" &amp; ROW() &amp; ":O" &amp; ROW())),
    _xlpm.Result, CEILING(_xlpm.XanthanGum, 0.25),
    _xlpm.Result
)</f>
        <v>1.25</v>
      </c>
      <c r="AD25" s="6" cm="1">
        <f t="array" aca="1" ref="AD2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4676.7836666666662</v>
      </c>
      <c r="AE25" s="6" cm="1">
        <f t="array" aca="1" ref="AE2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150.97955000000002</v>
      </c>
      <c r="AF25" s="6" cm="1">
        <f t="array" aca="1" ref="AF2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34.434550000000002</v>
      </c>
      <c r="AG25" s="7" cm="1">
        <f t="array" aca="1" ref="AG2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451.9501249999999</v>
      </c>
      <c r="AH25" s="8" cm="1">
        <f t="array" aca="1" ref="AH25" ca="1">$AG25 / (_xlfn.XLOOKUP(ValueFromColumnName("Ice Cream Amount",ROW()),Specs!A:A,Specs!B:B,0))</f>
        <v>0.25206365030674843</v>
      </c>
      <c r="AI25" s="6" cm="1">
        <f t="array" aca="1" ref="AI25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116.545</v>
      </c>
      <c r="AJ25" s="7" cm="1">
        <f t="array" aca="1" ref="AJ2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156.50140546569992</v>
      </c>
      <c r="AK25" s="7" cm="1">
        <f t="array" aca="1" ref="AK2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5.0522994980479652</v>
      </c>
      <c r="AL25" s="7" cm="1">
        <f t="array" aca="1" ref="AL2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15.123819018404905</v>
      </c>
      <c r="AM25" s="9" cm="1">
        <f t="array" aca="1" ref="AM2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_xlfn.XLOOKUP($G25,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11.376384937156413</v>
      </c>
      <c r="AN25" s="10">
        <f ca="1">ROUNDUP((AM25+Specs!$Q$2+_xlfn.XLOOKUP($K25,Specs!A:A,Specs!V:V,0))*Specs!$N$2,0)</f>
        <v>28</v>
      </c>
    </row>
    <row r="26" spans="1:40" x14ac:dyDescent="0.25">
      <c r="U26" t="e" cm="1">
        <f t="array" aca="1" ref="U26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B26" s="4"/>
      <c r="AC26" s="5"/>
      <c r="AD26" s="6" t="e" cm="1">
        <f t="array" aca="1" ref="AD2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26" s="6" cm="1">
        <f t="array" aca="1" ref="AE2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26" s="6" t="e" cm="1">
        <f t="array" aca="1" ref="AF2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26" s="7" t="e" cm="1">
        <f t="array" aca="1" ref="AG2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26" s="8"/>
      <c r="AI26" s="6" cm="1">
        <f t="array" aca="1" ref="AI26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26" s="7"/>
      <c r="AK26" s="7"/>
      <c r="AL26" s="7"/>
      <c r="AM26" s="9"/>
      <c r="AN26" s="10"/>
    </row>
    <row r="27" spans="1:40" x14ac:dyDescent="0.25">
      <c r="A27" s="122" t="s">
        <v>849</v>
      </c>
      <c r="U27" t="e" cm="1">
        <f t="array" aca="1" ref="U27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27" s="6" t="e" cm="1">
        <f t="array" aca="1" ref="AD2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27" s="6" cm="1">
        <f t="array" aca="1" ref="AE2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27" s="6" t="e" cm="1">
        <f t="array" aca="1" ref="AF2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27" s="7" t="e" cm="1">
        <f t="array" aca="1" ref="AG2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27" s="6" cm="1">
        <f t="array" aca="1" ref="AI27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28" spans="1:40" x14ac:dyDescent="0.25">
      <c r="A28" t="s">
        <v>810</v>
      </c>
      <c r="B28" s="1" t="s">
        <v>71</v>
      </c>
      <c r="C28" s="1" t="s">
        <v>177</v>
      </c>
      <c r="E28" s="1" t="s">
        <v>0</v>
      </c>
      <c r="I28" s="1" t="s">
        <v>1</v>
      </c>
      <c r="K28" t="s">
        <v>4</v>
      </c>
      <c r="M28" t="s">
        <v>46</v>
      </c>
      <c r="N28" t="s">
        <v>44</v>
      </c>
      <c r="P28" t="s">
        <v>173</v>
      </c>
      <c r="R28" cm="1">
        <f t="array" aca="1" ref="R2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302.28000000000003</v>
      </c>
      <c r="S28" cm="1">
        <f t="array" aca="1" ref="S2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151.14000000000001</v>
      </c>
      <c r="T28">
        <f t="shared" ca="1" si="0"/>
        <v>453.42000000000007</v>
      </c>
      <c r="U28" cm="1">
        <f t="array" aca="1" ref="U28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28" cm="1">
        <f t="array" aca="1" ref="V2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15</v>
      </c>
      <c r="W28" cm="1">
        <f t="array" aca="1" ref="W2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28" cm="1">
        <f t="array" aca="1" ref="X2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28" cm="1">
        <f t="array" aca="1" ref="Y2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28" cm="1">
        <f t="array" aca="1" ref="Z28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28" cm="1">
        <f t="array" aca="1" ref="AA2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28" s="4" cm="1">
        <f t="array" aca="1" ref="AB2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1.6323120000000002</v>
      </c>
      <c r="AC28" s="5" cm="1">
        <f t="array" aca="1" ref="AC28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28" s="6" cm="1">
        <f t="array" aca="1" ref="AD2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1296.48</v>
      </c>
      <c r="AE28" s="6" cm="1">
        <f t="array" aca="1" ref="AE2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59</v>
      </c>
      <c r="AF28" s="6" cm="1">
        <f t="array" aca="1" ref="AF2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59</v>
      </c>
      <c r="AG28" s="7" cm="1">
        <f t="array" aca="1" ref="AG2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105.798</v>
      </c>
      <c r="AH28" s="8" cm="1">
        <f t="array" aca="1" ref="AH28" ca="1">$AG28 / (_xlfn.XLOOKUP(ValueFromColumnName("Ice Cream Amount",ROW()),Specs!A:A,Specs!B:B,0))</f>
        <v>0.22367441860465118</v>
      </c>
      <c r="AI28" s="6" cm="1">
        <f t="array" aca="1" ref="AI28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28" s="7" cm="1">
        <f t="array" aca="1" ref="AJ2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164.45835095137423</v>
      </c>
      <c r="AK28" s="7" cm="1">
        <f t="array" aca="1" ref="AK2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7.4841437632135301</v>
      </c>
      <c r="AL28" s="7" cm="1">
        <f t="array" aca="1" ref="AL2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13.42046511627907</v>
      </c>
      <c r="AM28" s="9" cm="1">
        <f t="array" aca="1" ref="AM2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_xlfn.XLOOKUP($G28,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4.2986930409955235</v>
      </c>
      <c r="AN28" s="10">
        <f ca="1">ROUNDUP((AM28+Specs!$Q$2+_xlfn.XLOOKUP($K28,Specs!A:A,Specs!V:V,0))*Specs!$N$2,0)</f>
        <v>12</v>
      </c>
    </row>
    <row r="29" spans="1:40" x14ac:dyDescent="0.25">
      <c r="A29" t="s">
        <v>848</v>
      </c>
      <c r="B29" s="1" t="s">
        <v>71</v>
      </c>
      <c r="C29" s="1" t="s">
        <v>177</v>
      </c>
      <c r="E29" s="1" t="s">
        <v>0</v>
      </c>
      <c r="G29" s="1" t="s">
        <v>3</v>
      </c>
      <c r="I29" s="1" t="s">
        <v>1</v>
      </c>
      <c r="K29" t="s">
        <v>340</v>
      </c>
      <c r="M29" t="s">
        <v>46</v>
      </c>
      <c r="N29" t="s">
        <v>451</v>
      </c>
      <c r="O29" t="s">
        <v>156</v>
      </c>
      <c r="P29" t="s">
        <v>448</v>
      </c>
      <c r="R29" cm="1">
        <f t="array" aca="1" ref="R2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689.53500000000008</v>
      </c>
      <c r="S29" cm="1">
        <f t="array" aca="1" ref="S2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344.76750000000004</v>
      </c>
      <c r="T29">
        <f t="shared" ca="1" si="0"/>
        <v>1034.3025000000002</v>
      </c>
      <c r="U29" cm="1">
        <f t="array" aca="1" ref="U29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29" cm="1">
        <f t="array" aca="1" ref="V2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W29" cm="1">
        <f t="array" aca="1" ref="W2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240</v>
      </c>
      <c r="X29" cm="1">
        <f t="array" aca="1" ref="X2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179.3</v>
      </c>
      <c r="Y29" cm="1">
        <f t="array" aca="1" ref="Y2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29" cm="1">
        <f t="array" aca="1" ref="Z29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29" cm="1">
        <f t="array" aca="1" ref="AA2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29" s="4" cm="1">
        <f t="array" aca="1" ref="AB2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3.7234890000000007</v>
      </c>
      <c r="AC29" s="5" cm="1">
        <f t="array" aca="1" ref="AC29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D29" s="6" cm="1">
        <f t="array" aca="1" ref="AD2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3630.6372058823536</v>
      </c>
      <c r="AE29" s="6" cm="1">
        <f t="array" aca="1" ref="AE2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159.8294117647059</v>
      </c>
      <c r="AF29" s="6" cm="1">
        <f t="array" aca="1" ref="AF2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86</v>
      </c>
      <c r="AG29" s="7" cm="1">
        <f t="array" aca="1" ref="AG2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278.251955882353</v>
      </c>
      <c r="AH29" s="8" cm="1">
        <f t="array" aca="1" ref="AH29" ca="1">$AG29 / (_xlfn.XLOOKUP(ValueFromColumnName("Ice Cream Amount",ROW()),Specs!A:A,Specs!B:B,0))</f>
        <v>0.15518792854565142</v>
      </c>
      <c r="AI29" s="6" cm="1">
        <f t="array" aca="1" ref="AI29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73.829411764705895</v>
      </c>
      <c r="AJ29" s="7" cm="1">
        <f t="array" aca="1" ref="AJ2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121.49371575735707</v>
      </c>
      <c r="AK29" s="7" cm="1">
        <f t="array" aca="1" ref="AK2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5.3484465732751554</v>
      </c>
      <c r="AL29" s="7" cm="1">
        <f t="array" aca="1" ref="AL2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9.3112757127390857</v>
      </c>
      <c r="AM29" s="9" cm="1">
        <f t="array" aca="1" ref="AM2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_xlfn.XLOOKUP($G29,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12.323357694601755</v>
      </c>
      <c r="AN29" s="10">
        <f ca="1">ROUNDUP((AM29+Specs!$Q$2+_xlfn.XLOOKUP($K29,Specs!A:A,Specs!V:V,0))*Specs!$N$2,0)</f>
        <v>30</v>
      </c>
    </row>
    <row r="30" spans="1:40" x14ac:dyDescent="0.25">
      <c r="A30" t="s">
        <v>421</v>
      </c>
      <c r="B30" s="1" t="s">
        <v>71</v>
      </c>
      <c r="C30" s="1" t="s">
        <v>65</v>
      </c>
      <c r="E30" s="1" t="s">
        <v>0</v>
      </c>
      <c r="F30" s="1" t="s">
        <v>236</v>
      </c>
      <c r="G30" s="1" t="s">
        <v>102</v>
      </c>
      <c r="I30" s="1" t="s">
        <v>1</v>
      </c>
      <c r="K30" t="s">
        <v>4</v>
      </c>
      <c r="M30" t="s">
        <v>450</v>
      </c>
      <c r="N30" t="s">
        <v>451</v>
      </c>
      <c r="O30" t="s">
        <v>156</v>
      </c>
      <c r="P30" t="s">
        <v>448</v>
      </c>
      <c r="R30" cm="1">
        <f t="array" aca="1" ref="R3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189.58500000000001</v>
      </c>
      <c r="S30" cm="1">
        <f t="array" aca="1" ref="S3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94.792500000000004</v>
      </c>
      <c r="T30">
        <f t="shared" ca="1" si="0"/>
        <v>284.3775</v>
      </c>
      <c r="U30" cm="1">
        <f t="array" aca="1" ref="U30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30" cm="1">
        <f t="array" aca="1" ref="V3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30" cm="1">
        <f t="array" aca="1" ref="W3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X30" cm="1">
        <f t="array" aca="1" ref="X3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81.78958333333334</v>
      </c>
      <c r="Y30" cm="1">
        <f t="array" aca="1" ref="Y3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30" cm="1">
        <f t="array" aca="1" ref="Z30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12.5</v>
      </c>
      <c r="AA30" cm="1">
        <f t="array" aca="1" ref="AA3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30" s="4" cm="1">
        <f t="array" aca="1" ref="AB3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1.0237589999999999</v>
      </c>
      <c r="AC30" s="5" cm="1">
        <f t="array" aca="1" ref="AC30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D30" s="6" cm="1">
        <f t="array" aca="1" ref="AD3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792.3744212962963</v>
      </c>
      <c r="AE30" s="6" cm="1">
        <f t="array" aca="1" ref="AE3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24.135632523148146</v>
      </c>
      <c r="AF30" s="6" cm="1">
        <f t="array" aca="1" ref="AF3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20.159750000000003</v>
      </c>
      <c r="AG30" s="7" cm="1">
        <f t="array" aca="1" ref="AG3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68.16181828703705</v>
      </c>
      <c r="AH30" s="8" cm="1">
        <f t="array" aca="1" ref="AH30" ca="1">$AG30 / (_xlfn.XLOOKUP(ValueFromColumnName("Ice Cream Amount",ROW()),Specs!A:A,Specs!B:B,0))</f>
        <v>0.14410532407407411</v>
      </c>
      <c r="AI30" s="6" cm="1">
        <f t="array" aca="1" ref="AI30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3.9758825231481474</v>
      </c>
      <c r="AJ30" s="7" cm="1">
        <f t="array" aca="1" ref="AJ3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100.51261158092554</v>
      </c>
      <c r="AK30" s="7" cm="1">
        <f t="array" aca="1" ref="AK3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3.0616024342259807</v>
      </c>
      <c r="AL30" s="7" cm="1">
        <f t="array" aca="1" ref="AL3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8.6463194444444476</v>
      </c>
      <c r="AM30" s="9" cm="1">
        <f t="array" aca="1" ref="AM3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_xlfn.XLOOKUP($G30,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2.5142496799012046</v>
      </c>
      <c r="AN30" s="10">
        <f ca="1">ROUNDUP((AM30+Specs!$Q$2+_xlfn.XLOOKUP($K30,Specs!A:A,Specs!V:V,0))*Specs!$N$2,0)</f>
        <v>8</v>
      </c>
    </row>
    <row r="31" spans="1:40" x14ac:dyDescent="0.25">
      <c r="U31" t="e" cm="1">
        <f t="array" aca="1" ref="U31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31" s="6" t="e" cm="1">
        <f t="array" aca="1" ref="AD3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1" s="6" cm="1">
        <f t="array" aca="1" ref="AE3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31" s="6" t="e" cm="1">
        <f t="array" aca="1" ref="AF3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1" s="7" t="e" cm="1">
        <f t="array" aca="1" ref="AG3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31" s="6" cm="1">
        <f t="array" aca="1" ref="AI31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32" spans="1:40" x14ac:dyDescent="0.25">
      <c r="A32" s="26" t="s">
        <v>877</v>
      </c>
      <c r="U32" t="e" cm="1">
        <f t="array" aca="1" ref="U32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32" s="6" t="e" cm="1">
        <f t="array" aca="1" ref="AD3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2" s="6" cm="1">
        <f t="array" aca="1" ref="AE3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32" s="6" t="e" cm="1">
        <f t="array" aca="1" ref="AF3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2" s="7" t="e" cm="1">
        <f t="array" aca="1" ref="AG3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32" s="6" cm="1">
        <f t="array" aca="1" ref="AI32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33" spans="1:40" x14ac:dyDescent="0.25">
      <c r="A33" s="26" t="s">
        <v>878</v>
      </c>
      <c r="B33" s="1" t="s">
        <v>873</v>
      </c>
      <c r="C33" s="1" t="s">
        <v>782</v>
      </c>
      <c r="D33" s="1" t="s">
        <v>786</v>
      </c>
      <c r="E33" s="1" t="s">
        <v>98</v>
      </c>
      <c r="G33" s="1" t="s">
        <v>3</v>
      </c>
      <c r="I33" s="1" t="s">
        <v>816</v>
      </c>
      <c r="J33"/>
      <c r="K33" t="s">
        <v>4</v>
      </c>
      <c r="L33" t="s">
        <v>46</v>
      </c>
      <c r="M33" t="s">
        <v>450</v>
      </c>
      <c r="O33" t="s">
        <v>156</v>
      </c>
      <c r="P33" t="s">
        <v>448</v>
      </c>
      <c r="R33" cm="1">
        <f t="array" aca="1" ref="R3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229.185</v>
      </c>
      <c r="S33" cm="1">
        <f t="array" aca="1" ref="S3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114.5925</v>
      </c>
      <c r="T33">
        <f t="shared" ref="T33" ca="1" si="1">R33+S33</f>
        <v>343.77750000000003</v>
      </c>
      <c r="U33" cm="1">
        <f t="array" aca="1" ref="U33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15</v>
      </c>
      <c r="V33" cm="1">
        <f t="array" aca="1" ref="V3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33" cm="1">
        <f t="array" aca="1" ref="W3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33" cm="1">
        <f t="array" aca="1" ref="X3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47.300000000000004</v>
      </c>
      <c r="Y33" cm="1">
        <f t="array" aca="1" ref="Y3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33" cm="1">
        <f t="array" aca="1" ref="Z33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12.5</v>
      </c>
      <c r="AA33" cm="1">
        <f t="array" aca="1" ref="AA3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33" s="4" cm="1">
        <f t="array" aca="1" ref="AB3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1.2375990000000001</v>
      </c>
      <c r="AC33" s="5" cm="1">
        <f t="array" aca="1" ref="AC33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33" s="6" cm="1">
        <f t="array" aca="1" ref="AD3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643.32640378553776</v>
      </c>
      <c r="AE33" s="6" cm="1">
        <f t="array" aca="1" ref="AE3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36.286145225039164</v>
      </c>
      <c r="AF33" s="6" cm="1">
        <f t="array" aca="1" ref="AF3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24.635761593325611</v>
      </c>
      <c r="AG33" s="7" cm="1">
        <f t="array" aca="1" ref="AG3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24.281956541091013</v>
      </c>
      <c r="AH33" s="8" cm="1">
        <f t="array" aca="1" ref="AH33" ca="1">$AG33 / (_xlfn.XLOOKUP(ValueFromColumnName("Ice Cream Amount",ROW()),Specs!A:A,Specs!B:B,0))</f>
        <v>5.1336060340572968E-2</v>
      </c>
      <c r="AI33" s="6" cm="1">
        <f t="array" aca="1" ref="AI33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19.476470588235294</v>
      </c>
      <c r="AJ33" s="7" cm="1">
        <f t="array" aca="1" ref="AJ3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81.605886315290206</v>
      </c>
      <c r="AK33" s="7" cm="1">
        <f t="array" aca="1" ref="AK3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4.6028936860514795</v>
      </c>
      <c r="AL33" s="7" cm="1">
        <f t="array" aca="1" ref="AL3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3.0801636204343783</v>
      </c>
      <c r="AM33" s="9" cm="1">
        <f t="array" aca="1" ref="AM3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_xlfn.XLOOKUP($G33,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3.8396392074571835</v>
      </c>
      <c r="AN33" s="10">
        <f ca="1">ROUNDUP((AM33+Specs!$Q$2+_xlfn.XLOOKUP($K33,Specs!A:A,Specs!V:V,0))*Specs!$N$2,0)</f>
        <v>11</v>
      </c>
    </row>
    <row r="34" spans="1:40" x14ac:dyDescent="0.25">
      <c r="U34" t="e" cm="1">
        <f t="array" aca="1" ref="U34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B34" s="4"/>
      <c r="AC34" s="5"/>
      <c r="AD34" s="6" t="e" cm="1">
        <f t="array" aca="1" ref="AD3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4" s="6" cm="1">
        <f t="array" aca="1" ref="AE3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34" s="6" t="e" cm="1">
        <f t="array" aca="1" ref="AF3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4" s="7" t="e" cm="1">
        <f t="array" aca="1" ref="AG3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34" s="8"/>
      <c r="AI34" s="6" cm="1">
        <f t="array" aca="1" ref="AI34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34" s="7"/>
      <c r="AK34" s="7"/>
      <c r="AL34" s="7"/>
      <c r="AM34" s="9"/>
      <c r="AN34" s="10"/>
    </row>
    <row r="35" spans="1:40" x14ac:dyDescent="0.25">
      <c r="A35" s="120" t="s">
        <v>853</v>
      </c>
      <c r="U35" t="e" cm="1">
        <f t="array" aca="1" ref="U35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35" s="6" t="e" cm="1">
        <f t="array" aca="1" ref="AD3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5" s="6" cm="1">
        <f t="array" aca="1" ref="AE3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35" s="6" t="e" cm="1">
        <f t="array" aca="1" ref="AF3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5" s="7" t="e" cm="1">
        <f t="array" aca="1" ref="AG3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35" s="6" cm="1">
        <f t="array" aca="1" ref="AI35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36" spans="1:40" x14ac:dyDescent="0.25">
      <c r="A36" s="121" t="s">
        <v>636</v>
      </c>
      <c r="B36" s="1" t="s">
        <v>62</v>
      </c>
      <c r="C36" s="1" t="s">
        <v>636</v>
      </c>
      <c r="E36" s="1" t="s">
        <v>176</v>
      </c>
      <c r="I36" s="1" t="s">
        <v>1</v>
      </c>
      <c r="K36" t="s">
        <v>4</v>
      </c>
      <c r="M36" t="s">
        <v>450</v>
      </c>
      <c r="N36" t="s">
        <v>44</v>
      </c>
      <c r="O36" t="s">
        <v>44</v>
      </c>
      <c r="P36" t="s">
        <v>158</v>
      </c>
      <c r="R36" cm="1">
        <f t="array" aca="1" ref="R3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S36" cm="1">
        <f t="array" aca="1" ref="S3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T36">
        <f t="shared" ca="1" si="0"/>
        <v>460.84500000000003</v>
      </c>
      <c r="U36" cm="1">
        <f t="array" aca="1" ref="U36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36" cm="1">
        <f t="array" aca="1" ref="V3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36" cm="1">
        <f t="array" aca="1" ref="W3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36" cm="1">
        <f t="array" aca="1" ref="X3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36" cm="1">
        <f t="array" aca="1" ref="Y3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36" cm="1">
        <f t="array" aca="1" ref="Z36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25</v>
      </c>
      <c r="AA36" cm="1">
        <f t="array" aca="1" ref="AA3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36" s="4" cm="1">
        <f t="array" aca="1" ref="AB3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1.6590420000000001</v>
      </c>
      <c r="AC36" s="5" cm="1">
        <f t="array" aca="1" ref="AC36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36" s="6" cm="1">
        <f t="array" aca="1" ref="AD3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1387.5225000000003</v>
      </c>
      <c r="AE36" s="6" cm="1">
        <f t="array" aca="1" ref="AE3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48.412125000000003</v>
      </c>
      <c r="AF36" s="6" cm="1">
        <f t="array" aca="1" ref="AF3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48.412125000000003</v>
      </c>
      <c r="AG36" s="7" cm="1">
        <f t="array" aca="1" ref="AG3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134.41312500000004</v>
      </c>
      <c r="AH36" s="8" cm="1">
        <f t="array" aca="1" ref="AH36" ca="1">$AG36 / (_xlfn.XLOOKUP(ValueFromColumnName("Ice Cream Amount",ROW()),Specs!A:A,Specs!B:B,0))</f>
        <v>0.28417151162790705</v>
      </c>
      <c r="AI36" s="6" cm="1">
        <f t="array" aca="1" ref="AI36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36" s="7" cm="1">
        <f t="array" aca="1" ref="AJ3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176.00708245243132</v>
      </c>
      <c r="AK36" s="7" cm="1">
        <f t="array" aca="1" ref="AK3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6.1410729386892182</v>
      </c>
      <c r="AL36" s="7" cm="1">
        <f t="array" aca="1" ref="AL3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17.050290697674424</v>
      </c>
      <c r="AM36" s="9" cm="1">
        <f t="array" aca="1" ref="AM3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_xlfn.XLOOKUP($G36,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3.010270326664231</v>
      </c>
      <c r="AN36" s="10">
        <f ca="1">ROUNDUP((AM36+Specs!$Q$2+_xlfn.XLOOKUP($K36,Specs!A:A,Specs!V:V,0))*Specs!$N$2,0)</f>
        <v>9</v>
      </c>
    </row>
    <row r="37" spans="1:40" x14ac:dyDescent="0.25">
      <c r="U37" t="e" cm="1">
        <f t="array" aca="1" ref="U37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B37" s="4"/>
      <c r="AC37" s="5"/>
      <c r="AD37" s="6" t="e" cm="1">
        <f t="array" aca="1" ref="AD3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7" s="6" cm="1">
        <f t="array" aca="1" ref="AE3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37" s="6" t="e" cm="1">
        <f t="array" aca="1" ref="AF3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7" s="7" t="e" cm="1">
        <f t="array" aca="1" ref="AG3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37" s="8"/>
      <c r="AI37" s="6" cm="1">
        <f t="array" aca="1" ref="AI37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37" s="7"/>
      <c r="AK37" s="7"/>
      <c r="AL37" s="7"/>
      <c r="AM37" s="9"/>
      <c r="AN37" s="10"/>
    </row>
    <row r="38" spans="1:40" x14ac:dyDescent="0.25">
      <c r="A38" s="123" t="s">
        <v>852</v>
      </c>
      <c r="U38" t="e" cm="1">
        <f t="array" aca="1" ref="U38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38" s="6" t="e" cm="1">
        <f t="array" aca="1" ref="AD3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8" s="6" cm="1">
        <f t="array" aca="1" ref="AE3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38" s="6" t="e" cm="1">
        <f t="array" aca="1" ref="AF3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8" s="7" t="e" cm="1">
        <f t="array" aca="1" ref="AG3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38" s="6" cm="1">
        <f t="array" aca="1" ref="AI38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39" spans="1:40" x14ac:dyDescent="0.25">
      <c r="A39" s="52" t="s">
        <v>842</v>
      </c>
      <c r="U39" t="e" cm="1">
        <f t="array" aca="1" ref="U39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39" s="6" t="e" cm="1">
        <f t="array" aca="1" ref="AD3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9" s="6" cm="1">
        <f t="array" aca="1" ref="AE3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39" s="6" t="e" cm="1">
        <f t="array" aca="1" ref="AF3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9" s="7" t="e" cm="1">
        <f t="array" aca="1" ref="AG3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39" s="6" cm="1">
        <f t="array" aca="1" ref="AI39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40" spans="1:40" x14ac:dyDescent="0.25">
      <c r="A40" s="52" t="s">
        <v>515</v>
      </c>
      <c r="B40" s="1" t="s">
        <v>62</v>
      </c>
      <c r="C40" s="1" t="s">
        <v>65</v>
      </c>
      <c r="E40" s="1" t="s">
        <v>512</v>
      </c>
      <c r="F40" s="1" t="s">
        <v>0</v>
      </c>
      <c r="G40" s="1" t="s">
        <v>491</v>
      </c>
      <c r="I40" s="1" t="s">
        <v>1</v>
      </c>
      <c r="K40" t="s">
        <v>340</v>
      </c>
      <c r="M40" t="s">
        <v>450</v>
      </c>
      <c r="N40" t="s">
        <v>175</v>
      </c>
      <c r="O40" t="s">
        <v>156</v>
      </c>
      <c r="P40" t="s">
        <v>173</v>
      </c>
      <c r="R40" cm="1">
        <f t="array" aca="1" ref="R4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862.78500000000008</v>
      </c>
      <c r="S40" cm="1">
        <f t="array" aca="1" ref="S4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431.39250000000004</v>
      </c>
      <c r="T40">
        <f t="shared" ca="1" si="0"/>
        <v>1294.1775000000002</v>
      </c>
      <c r="U40" cm="1">
        <f t="array" aca="1" ref="U40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40" cm="1">
        <f t="array" aca="1" ref="V4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30</v>
      </c>
      <c r="W40" cm="1">
        <f t="array" aca="1" ref="W4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7.5</v>
      </c>
      <c r="X40" cm="1">
        <f t="array" aca="1" ref="X4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158.75520833333334</v>
      </c>
      <c r="Y40" cm="1">
        <f t="array" aca="1" ref="Y4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40" cm="1">
        <f t="array" aca="1" ref="Z40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200</v>
      </c>
      <c r="AA40" cm="1">
        <f t="array" aca="1" ref="AA4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40" s="4" cm="1">
        <f t="array" aca="1" ref="AB4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4.6590390000000008</v>
      </c>
      <c r="AC40" s="5" cm="1">
        <f t="array" aca="1" ref="AC40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D40" s="6" cm="1">
        <f t="array" aca="1" ref="AD4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4850.9097916666669</v>
      </c>
      <c r="AE40" s="6" cm="1">
        <f t="array" aca="1" ref="AE4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265.57245833333332</v>
      </c>
      <c r="AF40" s="6" cm="1">
        <f t="array" aca="1" ref="AF4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218.87975</v>
      </c>
      <c r="AG40" s="7" cm="1">
        <f t="array" aca="1" ref="AG4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415.98791666666671</v>
      </c>
      <c r="AH40" s="8" cm="1">
        <f t="array" aca="1" ref="AH40" ca="1">$AG40 / (_xlfn.XLOOKUP(ValueFromColumnName("Ice Cream Amount",ROW()),Specs!A:A,Specs!B:B,0))</f>
        <v>0.23200664621676895</v>
      </c>
      <c r="AI40" s="6" cm="1">
        <f t="array" aca="1" ref="AI40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46.692708333333336</v>
      </c>
      <c r="AJ40" s="7" cm="1">
        <f t="array" aca="1" ref="AJ4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162.32826965978808</v>
      </c>
      <c r="AK40" s="7" cm="1">
        <f t="array" aca="1" ref="AK4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8.8869757389849404</v>
      </c>
      <c r="AL40" s="7" cm="1">
        <f t="array" aca="1" ref="AL4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13.920398773006136</v>
      </c>
      <c r="AM40" s="9" cm="1">
        <f t="array" aca="1" ref="AM4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_xlfn.XLOOKUP($G40,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8.1900347987372619</v>
      </c>
      <c r="AN40" s="10">
        <f ca="1">ROUNDUP((AM40+Specs!$Q$2+_xlfn.XLOOKUP($K40,Specs!A:A,Specs!V:V,0))*Specs!$N$2,0)</f>
        <v>22</v>
      </c>
    </row>
    <row r="41" spans="1:40" x14ac:dyDescent="0.25">
      <c r="A41" s="52" t="s">
        <v>499</v>
      </c>
      <c r="B41" s="1" t="s">
        <v>62</v>
      </c>
      <c r="C41" s="1" t="s">
        <v>65</v>
      </c>
      <c r="E41" s="1" t="s">
        <v>485</v>
      </c>
      <c r="G41" s="1" t="s">
        <v>462</v>
      </c>
      <c r="J41" s="1" t="s">
        <v>1</v>
      </c>
      <c r="K41" t="s">
        <v>340</v>
      </c>
      <c r="M41" t="s">
        <v>451</v>
      </c>
      <c r="N41" t="s">
        <v>44</v>
      </c>
      <c r="O41" t="s">
        <v>156</v>
      </c>
      <c r="P41" t="s">
        <v>448</v>
      </c>
      <c r="Q41" t="s">
        <v>44</v>
      </c>
      <c r="R41" cm="1">
        <f t="array" aca="1" ref="R4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729.13499999999999</v>
      </c>
      <c r="S41" cm="1">
        <f t="array" aca="1" ref="S4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364.5675</v>
      </c>
      <c r="T41">
        <f t="shared" ca="1" si="0"/>
        <v>1093.7024999999999</v>
      </c>
      <c r="U41" cm="1">
        <f t="array" aca="1" ref="U41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41" cm="1">
        <f t="array" aca="1" ref="V4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240</v>
      </c>
      <c r="W41" cm="1">
        <f t="array" aca="1" ref="W4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41" cm="1">
        <f t="array" aca="1" ref="X4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179.3</v>
      </c>
      <c r="Y41" cm="1">
        <f t="array" aca="1" ref="Y4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41" cm="1">
        <f t="array" aca="1" ref="Z41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41" cm="1">
        <f t="array" aca="1" ref="AA4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41" s="4" cm="1">
        <f t="array" aca="1" ref="AB4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3.9373289999999996</v>
      </c>
      <c r="AC41" s="5" cm="1">
        <f t="array" aca="1" ref="AC41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D41" s="6" cm="1">
        <f t="array" aca="1" ref="AD4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4377.2871264367823</v>
      </c>
      <c r="AE41" s="6" cm="1">
        <f t="array" aca="1" ref="AE4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200.16259482758625</v>
      </c>
      <c r="AF41" s="6" cm="1">
        <f t="array" aca="1" ref="AF4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132.15225000000001</v>
      </c>
      <c r="AG41" s="7" cm="1">
        <f t="array" aca="1" ref="AG4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377.46618534482758</v>
      </c>
      <c r="AH41" s="8" cm="1">
        <f t="array" aca="1" ref="AH41" ca="1">$AG41 / (_xlfn.XLOOKUP(ValueFromColumnName("Ice Cream Amount",ROW()),Specs!A:A,Specs!B:B,0))</f>
        <v>0.21052213348847049</v>
      </c>
      <c r="AI41" s="6" cm="1">
        <f t="array" aca="1" ref="AI41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68.010344827586223</v>
      </c>
      <c r="AJ41" s="7" cm="1">
        <f t="array" aca="1" ref="AJ4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146.47921226224591</v>
      </c>
      <c r="AK41" s="7" cm="1">
        <f t="array" aca="1" ref="AK4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6.6981347962382456</v>
      </c>
      <c r="AL41" s="7" cm="1">
        <f t="array" aca="1" ref="AL4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12.631328009308229</v>
      </c>
      <c r="AM41" s="9" cm="1">
        <f t="array" aca="1" ref="AM4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_xlfn.XLOOKUP($G41,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10.691293189898468</v>
      </c>
      <c r="AN41" s="10">
        <f ca="1">ROUNDUP((AM41+Specs!$Q$2+_xlfn.XLOOKUP($K41,Specs!A:A,Specs!V:V,0))*Specs!$N$2,0)</f>
        <v>27</v>
      </c>
    </row>
    <row r="42" spans="1:40" x14ac:dyDescent="0.25">
      <c r="A42" s="52" t="s">
        <v>489</v>
      </c>
      <c r="B42" s="1" t="s">
        <v>62</v>
      </c>
      <c r="C42" s="1" t="s">
        <v>65</v>
      </c>
      <c r="E42" s="1" t="s">
        <v>83</v>
      </c>
      <c r="F42" s="1" t="s">
        <v>473</v>
      </c>
      <c r="G42" s="1" t="s">
        <v>490</v>
      </c>
      <c r="J42" s="1" t="s">
        <v>1</v>
      </c>
      <c r="K42" t="s">
        <v>340</v>
      </c>
      <c r="M42" t="s">
        <v>10</v>
      </c>
      <c r="N42" t="s">
        <v>10</v>
      </c>
      <c r="O42" t="s">
        <v>156</v>
      </c>
      <c r="P42" t="s">
        <v>158</v>
      </c>
      <c r="R42" cm="1">
        <f t="array" aca="1" ref="R4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729.13499999999999</v>
      </c>
      <c r="S42" cm="1">
        <f t="array" aca="1" ref="S4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364.5675</v>
      </c>
      <c r="T42">
        <f t="shared" ca="1" si="0"/>
        <v>1093.7024999999999</v>
      </c>
      <c r="U42" cm="1">
        <f t="array" aca="1" ref="U42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42" cm="1">
        <f t="array" aca="1" ref="V4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120</v>
      </c>
      <c r="W42" cm="1">
        <f t="array" aca="1" ref="W4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120</v>
      </c>
      <c r="X42" cm="1">
        <f t="array" aca="1" ref="X4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455.7208333333333</v>
      </c>
      <c r="Y42" cm="1">
        <f t="array" aca="1" ref="Y4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42" cm="1">
        <f t="array" aca="1" ref="Z42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100</v>
      </c>
      <c r="AA42" cm="1">
        <f t="array" aca="1" ref="AA4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42" s="4" cm="1">
        <f t="array" aca="1" ref="AB4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3.9373289999999996</v>
      </c>
      <c r="AC42" s="5" cm="1">
        <f t="array" aca="1" ref="AC42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D42" s="6" cm="1">
        <f t="array" aca="1" ref="AD4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3379.5036270491805</v>
      </c>
      <c r="AE42" s="6" cm="1">
        <f t="array" aca="1" ref="AE4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65.433884221311473</v>
      </c>
      <c r="AF42" s="6" cm="1">
        <f t="array" aca="1" ref="AF4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60.152250000000002</v>
      </c>
      <c r="AG42" s="7" cm="1">
        <f t="array" aca="1" ref="AG4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340.18687499999999</v>
      </c>
      <c r="AH42" s="8" cm="1">
        <f t="array" aca="1" ref="AH42" ca="1">$AG42 / (_xlfn.XLOOKUP(ValueFromColumnName("Ice Cream Amount",ROW()),Specs!A:A,Specs!B:B,0))</f>
        <v>0.18973054935861683</v>
      </c>
      <c r="AI42" s="6" cm="1">
        <f t="array" aca="1" ref="AI42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5.2816342213114753</v>
      </c>
      <c r="AJ42" s="7" cm="1">
        <f t="array" aca="1" ref="AJ4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113.08991501558887</v>
      </c>
      <c r="AK42" s="7" cm="1">
        <f t="array" aca="1" ref="AK4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2.1896447592184543</v>
      </c>
      <c r="AL42" s="7" cm="1">
        <f t="array" aca="1" ref="AL4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11.38383296151701</v>
      </c>
      <c r="AM42" s="9" cm="1">
        <f t="array" aca="1" ref="AM4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_xlfn.XLOOKUP($G42,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7.8013835185667944</v>
      </c>
      <c r="AN42" s="10">
        <f ca="1">ROUNDUP((AM42+Specs!$Q$2+_xlfn.XLOOKUP($K42,Specs!A:A,Specs!V:V,0))*Specs!$N$2,0)</f>
        <v>21</v>
      </c>
    </row>
    <row r="43" spans="1:40" x14ac:dyDescent="0.25">
      <c r="A43" s="75"/>
      <c r="U43" t="e" cm="1">
        <f t="array" aca="1" ref="U43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B43" s="4"/>
      <c r="AC43" s="5"/>
      <c r="AD43" s="6" t="e" cm="1">
        <f t="array" aca="1" ref="AD4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43" s="6" cm="1">
        <f t="array" aca="1" ref="AE4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43" s="6" t="e" cm="1">
        <f t="array" aca="1" ref="AF4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43" s="7" t="e" cm="1">
        <f t="array" aca="1" ref="AG4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43" s="8"/>
      <c r="AI43" s="6" cm="1">
        <f t="array" aca="1" ref="AI43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43" s="7"/>
      <c r="AK43" s="7"/>
      <c r="AL43" s="7"/>
      <c r="AM43" s="9"/>
      <c r="AN43" s="10"/>
    </row>
    <row r="44" spans="1:40" x14ac:dyDescent="0.25">
      <c r="A44" s="118" t="s">
        <v>845</v>
      </c>
      <c r="B44"/>
      <c r="C44"/>
      <c r="D44"/>
      <c r="E44"/>
      <c r="F44"/>
      <c r="G44"/>
      <c r="H44"/>
      <c r="I44"/>
      <c r="J44"/>
      <c r="U44" t="e" cm="1">
        <f t="array" aca="1" ref="U44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44" s="6" t="e" cm="1">
        <f t="array" aca="1" ref="AD4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44" s="6" cm="1">
        <f t="array" aca="1" ref="AE4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44" s="6" t="e" cm="1">
        <f t="array" aca="1" ref="AF4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44" s="7" t="e" cm="1">
        <f t="array" aca="1" ref="AG4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44" s="6" cm="1">
        <f t="array" aca="1" ref="AI44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45" spans="1:40" x14ac:dyDescent="0.25">
      <c r="A45" s="119" t="s">
        <v>170</v>
      </c>
      <c r="B45" s="1" t="s">
        <v>62</v>
      </c>
      <c r="C45" s="1" t="s">
        <v>65</v>
      </c>
      <c r="E45" s="1" t="s">
        <v>89</v>
      </c>
      <c r="F45" s="1" t="s">
        <v>0</v>
      </c>
      <c r="I45" s="1" t="s">
        <v>1</v>
      </c>
      <c r="K45" t="s">
        <v>340</v>
      </c>
      <c r="M45" t="s">
        <v>451</v>
      </c>
      <c r="N45" t="s">
        <v>450</v>
      </c>
      <c r="P45" t="s">
        <v>158</v>
      </c>
      <c r="R45" cm="1">
        <f t="array" aca="1" ref="R4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1005.1800000000001</v>
      </c>
      <c r="S45" cm="1">
        <f t="array" aca="1" ref="S4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502.59000000000003</v>
      </c>
      <c r="T45">
        <f t="shared" ca="1" si="0"/>
        <v>1507.77</v>
      </c>
      <c r="U45" cm="1">
        <f t="array" aca="1" ref="U45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45" cm="1">
        <f t="array" aca="1" ref="V4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240</v>
      </c>
      <c r="W45" cm="1">
        <f t="array" aca="1" ref="W4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30</v>
      </c>
      <c r="X45" cm="1">
        <f t="array" aca="1" ref="X4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45" cm="1">
        <f t="array" aca="1" ref="Y4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45" cm="1">
        <f t="array" aca="1" ref="Z45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100</v>
      </c>
      <c r="AA45" cm="1">
        <f t="array" aca="1" ref="AA4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45" s="4" cm="1">
        <f t="array" aca="1" ref="AB4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5.4279719999999996</v>
      </c>
      <c r="AC45" s="5" cm="1">
        <f t="array" aca="1" ref="AC45" ca="1">_xlfn.LET(
    _xlpm.XanthanGum, CONVERT(ValueFromColumnName("Xanthan Gum To Use (g)", ROW()), "ml", "tsp"),
    _xlpm.Dummy, SUM(INDIRECT("B" &amp; ROW() &amp; ":O" &amp; ROW())),
    _xlpm.Result, CEILING(_xlpm.XanthanGum, 0.25),
    _xlpm.Result
)</f>
        <v>1.25</v>
      </c>
      <c r="AD45" s="6" cm="1">
        <f t="array" aca="1" ref="AD4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5637.7199999999993</v>
      </c>
      <c r="AE45" s="6" cm="1">
        <f t="array" aca="1" ref="AE4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260.75299999999999</v>
      </c>
      <c r="AF45" s="6" cm="1">
        <f t="array" aca="1" ref="AF4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260.75299999999999</v>
      </c>
      <c r="AG45" s="7" cm="1">
        <f t="array" aca="1" ref="AG4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511.70749999999998</v>
      </c>
      <c r="AH45" s="8" cm="1">
        <f t="array" aca="1" ref="AH45" ca="1">$AG45 / (_xlfn.XLOOKUP(ValueFromColumnName("Ice Cream Amount",ROW()),Specs!A:A,Specs!B:B,0))</f>
        <v>0.28539180145008364</v>
      </c>
      <c r="AI45" s="6" cm="1">
        <f t="array" aca="1" ref="AI45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45" s="7" cm="1">
        <f t="array" aca="1" ref="AJ4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188.65766871165641</v>
      </c>
      <c r="AK45" s="7" cm="1">
        <f t="array" aca="1" ref="AK4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8.7256999442275518</v>
      </c>
      <c r="AL45" s="7" cm="1">
        <f t="array" aca="1" ref="AL4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17.123508087005018</v>
      </c>
      <c r="AM45" s="9" cm="1">
        <f t="array" aca="1" ref="AM4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_xlfn.XLOOKUP($G45,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8.6892580098817831</v>
      </c>
      <c r="AN45" s="10">
        <f ca="1">ROUNDUP((AM45+Specs!$Q$2+_xlfn.XLOOKUP($K45,Specs!A:A,Specs!V:V,0))*Specs!$N$2,0)</f>
        <v>23</v>
      </c>
    </row>
    <row r="46" spans="1:40" x14ac:dyDescent="0.25">
      <c r="A46" s="75"/>
      <c r="U46" t="e" cm="1">
        <f t="array" aca="1" ref="U46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B46" s="4"/>
      <c r="AC46" s="5"/>
      <c r="AD46" s="6" t="e" cm="1">
        <f t="array" aca="1" ref="AD4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46" s="6" cm="1">
        <f t="array" aca="1" ref="AE4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46" s="6" t="e" cm="1">
        <f t="array" aca="1" ref="AF4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46" s="7" t="e" cm="1">
        <f t="array" aca="1" ref="AG4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46" s="8"/>
      <c r="AI46" s="6" cm="1">
        <f t="array" aca="1" ref="AI46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46" s="7"/>
      <c r="AK46" s="7"/>
      <c r="AL46" s="7"/>
      <c r="AM46" s="9"/>
      <c r="AN46" s="10"/>
    </row>
    <row r="47" spans="1:40" x14ac:dyDescent="0.25">
      <c r="A47" s="52" t="s">
        <v>869</v>
      </c>
      <c r="B47" s="1" t="s">
        <v>62</v>
      </c>
      <c r="C47" s="1" t="s">
        <v>65</v>
      </c>
      <c r="E47" s="1" t="s">
        <v>486</v>
      </c>
      <c r="G47" s="1" t="s">
        <v>406</v>
      </c>
      <c r="I47" s="1" t="s">
        <v>2</v>
      </c>
      <c r="K47" t="s">
        <v>4</v>
      </c>
      <c r="M47" t="s">
        <v>10</v>
      </c>
      <c r="N47" t="s">
        <v>10</v>
      </c>
      <c r="O47" t="s">
        <v>156</v>
      </c>
      <c r="P47" t="s">
        <v>448</v>
      </c>
      <c r="R47" cm="1">
        <f t="array" aca="1" ref="R4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194.535</v>
      </c>
      <c r="S47" cm="1">
        <f t="array" aca="1" ref="S4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97.267499999999998</v>
      </c>
      <c r="T47">
        <f t="shared" ca="1" si="0"/>
        <v>291.80250000000001</v>
      </c>
      <c r="U47" cm="1">
        <f t="array" aca="1" ref="U47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47" cm="1">
        <f t="array" aca="1" ref="V4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30</v>
      </c>
      <c r="W47" cm="1">
        <f t="array" aca="1" ref="W4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30</v>
      </c>
      <c r="X47" cm="1">
        <f t="array" aca="1" ref="X4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39.416666666666671</v>
      </c>
      <c r="Y47" cm="1">
        <f t="array" aca="1" ref="Y4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47" cm="1">
        <f t="array" aca="1" ref="Z47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12.5</v>
      </c>
      <c r="AA47" cm="1">
        <f t="array" aca="1" ref="AA4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47" s="4" cm="1">
        <f t="array" aca="1" ref="AB4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1.050489</v>
      </c>
      <c r="AC47" s="5" cm="1">
        <f t="array" aca="1" ref="AC47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D47" s="6" cm="1">
        <f t="array" aca="1" ref="AD4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1365.6295833333334</v>
      </c>
      <c r="AE47" s="6" cm="1">
        <f t="array" aca="1" ref="AE4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64.634958333333344</v>
      </c>
      <c r="AF47" s="6" cm="1">
        <f t="array" aca="1" ref="AF4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40.492249999999999</v>
      </c>
      <c r="AG47" s="7" cm="1">
        <f t="array" aca="1" ref="AG4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101.23322916666666</v>
      </c>
      <c r="AH47" s="8" cm="1">
        <f t="array" aca="1" ref="AH47" ca="1">$AG47 / (_xlfn.XLOOKUP(ValueFromColumnName("Ice Cream Amount",ROW()),Specs!A:A,Specs!B:B,0))</f>
        <v>0.21402374031007751</v>
      </c>
      <c r="AI47" s="6" cm="1">
        <f t="array" aca="1" ref="AI47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24.142708333333339</v>
      </c>
      <c r="AJ47" s="7" cm="1">
        <f t="array" aca="1" ref="AJ4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173.22996828752645</v>
      </c>
      <c r="AK47" s="7" cm="1">
        <f t="array" aca="1" ref="AK4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8.1989376321353085</v>
      </c>
      <c r="AL47" s="7" cm="1">
        <f t="array" aca="1" ref="AL4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12.841424418604651</v>
      </c>
      <c r="AM47" s="9" cm="1">
        <f t="array" aca="1" ref="AM4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_xlfn.XLOOKUP($G47,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2.6270828729383973</v>
      </c>
      <c r="AN47" s="10">
        <f ca="1">ROUNDUP((AM47+Specs!$Q$2+_xlfn.XLOOKUP($K47,Specs!A:A,Specs!V:V,0))*Specs!$N$2,0)</f>
        <v>8</v>
      </c>
    </row>
    <row r="48" spans="1:40" x14ac:dyDescent="0.25">
      <c r="AB48" s="4"/>
      <c r="AC48" s="5"/>
      <c r="AD48" s="6"/>
      <c r="AE48" s="6"/>
      <c r="AF48" s="6"/>
      <c r="AG48" s="7"/>
      <c r="AH48" s="8"/>
      <c r="AI48" s="6"/>
      <c r="AJ48" s="7"/>
      <c r="AK48" s="7"/>
      <c r="AL48" s="7"/>
      <c r="AM48" s="9"/>
      <c r="AN48" s="10"/>
    </row>
    <row r="49" spans="28:41" x14ac:dyDescent="0.25">
      <c r="AB49" s="4"/>
      <c r="AC49" s="5"/>
      <c r="AD49" s="6"/>
      <c r="AE49" s="6"/>
      <c r="AF49" s="6"/>
      <c r="AG49" s="7"/>
      <c r="AH49" s="8"/>
      <c r="AI49" s="6"/>
      <c r="AJ49" s="7"/>
      <c r="AK49" s="7"/>
      <c r="AL49" s="7"/>
      <c r="AM49" s="9"/>
      <c r="AN49" s="10"/>
      <c r="AO49" s="10"/>
    </row>
    <row r="50" spans="28:41" x14ac:dyDescent="0.25">
      <c r="AB50" s="4"/>
      <c r="AC50" s="5"/>
      <c r="AD50" s="6"/>
      <c r="AE50" s="6"/>
      <c r="AF50" s="6"/>
      <c r="AG50" s="7"/>
      <c r="AH50" s="8"/>
      <c r="AI50" s="6"/>
      <c r="AJ50" s="7"/>
      <c r="AK50" s="7"/>
      <c r="AL50" s="7"/>
      <c r="AM50" s="9"/>
      <c r="AN50" s="10"/>
    </row>
    <row r="52" spans="28:41" x14ac:dyDescent="0.25">
      <c r="AO52" s="10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2207B46E-FAD9-4F2F-8244-C8D6E00E3495}">
          <x14:formula1>
            <xm:f>'Sweetener Mix In Nutrition'!$A:$A</xm:f>
          </x14:formula1>
          <xm:sqref>J51:J481 I47:I267 I45 I3:I7 I17 I18:J18 I10:J16 J6:J7 J38:J47 I19:I37 I25:J32 I34:J36</xm:sqref>
        </x14:dataValidation>
        <x14:dataValidation type="list" allowBlank="1" showInputMessage="1" xr:uid="{0553E8A8-2108-4406-9D3A-8FF520D56F40}">
          <x14:formula1>
            <xm:f>'Sweetener Mix In Nutrition'!$A:$A</xm:f>
          </x14:formula1>
          <xm:sqref>J45 J3:J7 J13 J47:J50 I33 J17:J32 J34:J37</xm:sqref>
        </x14:dataValidation>
        <x14:dataValidation type="list" allowBlank="1" showInputMessage="1" showErrorMessage="1" xr:uid="{9BEFDDA1-4FA1-4F6A-A886-A6EF00618D44}">
          <x14:formula1>
            <xm:f>'Milk Types Nutrition Per Cup'!$A:$A</xm:f>
          </x14:formula1>
          <xm:sqref>B3:C7 B48:B56 B10:C47 C48:C57</xm:sqref>
        </x14:dataValidation>
        <x14:dataValidation type="list" allowBlank="1" showInputMessage="1" showErrorMessage="1" xr:uid="{26395D44-1ADB-46E5-81F4-80D1355206AA}">
          <x14:formula1>
            <xm:f>Specs!$A:$A</xm:f>
          </x14:formula1>
          <xm:sqref>L57:N70 K10:K32 J33 K34:K70 K3:K7</xm:sqref>
        </x14:dataValidation>
        <x14:dataValidation type="list" allowBlank="1" showInputMessage="1" xr:uid="{300B8858-522C-4C65-AB57-7E8EB46CEA0D}">
          <x14:formula1>
            <xm:f>Specs!$F:$F</xm:f>
          </x14:formula1>
          <xm:sqref>I268:I277 P40 P45:Q45 P41:Q41 Q48:Q112 P3:Q7 P42:P46 P48:P237 P47:Q47 O33:P33 P10:Q32 P34:Q39</xm:sqref>
        </x14:dataValidation>
        <x14:dataValidation type="list" allowBlank="1" showInputMessage="1" xr:uid="{4B47FA7D-6001-431C-9804-6004245A2850}">
          <x14:formula1>
            <xm:f>Specs!$D:$D</xm:f>
          </x14:formula1>
          <xm:sqref>L3:N7 L34:N56 L10:N32 K33:M33</xm:sqref>
        </x14:dataValidation>
        <x14:dataValidation type="list" allowBlank="1" showInputMessage="1" showErrorMessage="1" xr:uid="{3B832CC2-A8DB-4EDA-8AC4-DC9330E27FEB}">
          <x14:formula1>
            <xm:f>Specs!$H:$H</xm:f>
          </x14:formula1>
          <xm:sqref>O3:O7 N33 O10:O32 O34:O57</xm:sqref>
        </x14:dataValidation>
        <x14:dataValidation type="list" showInputMessage="1" xr:uid="{9E5373E7-8D12-49CE-8266-263C654DEB83}">
          <x14:formula1>
            <xm:f>'Solid Mix In Nutrition'!$A:$A</xm:f>
          </x14:formula1>
          <xm:sqref>G35:I36 G27:I27 G47:H55 G10:H39 G3:H7 G16:I16 G5:I7 G40:I47</xm:sqref>
        </x14:dataValidation>
        <x14:dataValidation type="list" allowBlank="1" xr:uid="{7DFA5BDD-2A1B-41D3-AB24-623AFC67DD51}">
          <x14:formula1>
            <xm:f>'Liquid Mix In Nutrition'!$A:$A</xm:f>
          </x14:formula1>
          <xm:sqref>D51:E56 F17 D18:F18 F3:F7 F35:F56 D10:F10 D12:F16 D11:E11 D22 F19:F21 F23:F27 D25:F32 D34:F36 D33:E33</xm:sqref>
        </x14:dataValidation>
        <x14:dataValidation type="list" allowBlank="1" showInputMessage="1" xr:uid="{14D0D8D4-89CC-405C-932D-5A99A7B889EF}">
          <x14:formula1>
            <xm:f>'Liquid Mix In Nutrition'!$A:$A</xm:f>
          </x14:formula1>
          <xm:sqref>D45:E45 D3:E7 D13:E13 D17:E37 D47:E50</xm:sqref>
        </x14:dataValidation>
        <x14:dataValidation type="list" allowBlank="1" showInputMessage="1" showErrorMessage="1" xr:uid="{4CA6D572-D013-4ED3-829C-6BE2B5B93FA8}">
          <x14:formula1>
            <xm:f>'Liquid Mix In Nutrition'!$A:$A</xm:f>
          </x14:formula1>
          <xm:sqref>D16:E16 D27:E27 D35:E36 D5:E7 D38:E47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64739-8ABC-4177-8F9E-1E3850CEA7F1}">
  <sheetPr codeName="Sheet12"/>
  <dimension ref="A1:AM100"/>
  <sheetViews>
    <sheetView topLeftCell="A16" zoomScale="70" zoomScaleNormal="70" workbookViewId="0">
      <selection activeCell="Q77" sqref="Q77"/>
    </sheetView>
  </sheetViews>
  <sheetFormatPr defaultRowHeight="15" x14ac:dyDescent="0.25"/>
  <cols>
    <col min="1" max="1" width="83.85546875" bestFit="1" customWidth="1"/>
    <col min="2" max="2" width="31.85546875" style="1" bestFit="1" customWidth="1"/>
    <col min="3" max="3" width="27.28515625" style="1" bestFit="1" customWidth="1"/>
    <col min="4" max="5" width="31.28515625" style="1" bestFit="1" customWidth="1"/>
    <col min="6" max="6" width="41.140625" style="1" bestFit="1" customWidth="1"/>
    <col min="7" max="7" width="45.140625" style="1" bestFit="1" customWidth="1"/>
    <col min="8" max="8" width="25" style="1" bestFit="1" customWidth="1"/>
    <col min="9" max="9" width="25.7109375" style="1" bestFit="1" customWidth="1"/>
    <col min="10" max="10" width="17.28515625" style="1" bestFit="1" customWidth="1"/>
    <col min="11" max="11" width="18.7109375" bestFit="1" customWidth="1"/>
    <col min="12" max="12" width="29.7109375" bestFit="1" customWidth="1"/>
    <col min="13" max="13" width="26.85546875" bestFit="1" customWidth="1"/>
    <col min="14" max="14" width="35.85546875" bestFit="1" customWidth="1"/>
    <col min="15" max="15" width="32.85546875" bestFit="1" customWidth="1"/>
    <col min="16" max="16" width="33.5703125" bestFit="1" customWidth="1"/>
    <col min="17" max="18" width="23.140625" bestFit="1" customWidth="1"/>
    <col min="19" max="19" width="23.140625" customWidth="1"/>
    <col min="20" max="21" width="23.7109375" bestFit="1" customWidth="1"/>
    <col min="22" max="23" width="21.28515625" bestFit="1" customWidth="1"/>
    <col min="24" max="25" width="24.140625" bestFit="1" customWidth="1"/>
    <col min="26" max="27" width="24.140625" customWidth="1"/>
    <col min="28" max="28" width="18.7109375" style="58" bestFit="1" customWidth="1"/>
    <col min="29" max="29" width="18.7109375" bestFit="1" customWidth="1"/>
    <col min="30" max="30" width="20.28515625" bestFit="1" customWidth="1"/>
    <col min="31" max="33" width="22.28515625" customWidth="1"/>
    <col min="34" max="34" width="22.28515625" style="55" bestFit="1" customWidth="1"/>
    <col min="35" max="37" width="22.28515625" bestFit="1" customWidth="1"/>
    <col min="38" max="38" width="11" bestFit="1" customWidth="1"/>
    <col min="39" max="39" width="20.28515625" bestFit="1" customWidth="1"/>
  </cols>
  <sheetData>
    <row r="1" spans="1:39" x14ac:dyDescent="0.25">
      <c r="A1" s="30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31" t="s">
        <v>337</v>
      </c>
      <c r="I1" s="1" t="s">
        <v>18</v>
      </c>
      <c r="J1" s="1" t="s">
        <v>19</v>
      </c>
      <c r="K1" s="2" t="s">
        <v>20</v>
      </c>
      <c r="L1" s="2" t="s">
        <v>21</v>
      </c>
      <c r="M1" s="2" t="s">
        <v>22</v>
      </c>
      <c r="N1" s="2" t="s">
        <v>23</v>
      </c>
      <c r="O1" s="2" t="s">
        <v>24</v>
      </c>
      <c r="P1" s="2" t="s">
        <v>868</v>
      </c>
      <c r="Q1" s="33" t="s">
        <v>26</v>
      </c>
      <c r="R1" s="33" t="s">
        <v>27</v>
      </c>
      <c r="S1" s="33" t="s">
        <v>313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32</v>
      </c>
      <c r="Y1" s="33" t="s">
        <v>33</v>
      </c>
      <c r="Z1" s="33" t="s">
        <v>34</v>
      </c>
      <c r="AA1" s="33" t="s">
        <v>35</v>
      </c>
      <c r="AB1" s="56" t="s">
        <v>36</v>
      </c>
      <c r="AC1" s="31" t="s">
        <v>37</v>
      </c>
      <c r="AD1" s="31" t="s">
        <v>38</v>
      </c>
      <c r="AE1" s="31" t="s">
        <v>39</v>
      </c>
      <c r="AF1" s="31" t="s">
        <v>40</v>
      </c>
      <c r="AG1" s="31" t="s">
        <v>787</v>
      </c>
      <c r="AH1" s="53" t="s">
        <v>41</v>
      </c>
      <c r="AI1" s="31" t="s">
        <v>187</v>
      </c>
      <c r="AJ1" s="31" t="s">
        <v>188</v>
      </c>
      <c r="AK1" s="31" t="s">
        <v>788</v>
      </c>
      <c r="AL1" s="31" t="s">
        <v>42</v>
      </c>
      <c r="AM1" s="31" t="s">
        <v>172</v>
      </c>
    </row>
    <row r="2" spans="1:39" x14ac:dyDescent="0.25">
      <c r="A2" s="30" t="s">
        <v>238</v>
      </c>
      <c r="B2" s="31" t="s">
        <v>62</v>
      </c>
      <c r="C2" s="31" t="s">
        <v>65</v>
      </c>
      <c r="D2" s="31" t="s">
        <v>0</v>
      </c>
      <c r="E2" s="31"/>
      <c r="F2" s="31" t="s">
        <v>3</v>
      </c>
      <c r="G2" s="31" t="s">
        <v>104</v>
      </c>
      <c r="H2" s="31"/>
      <c r="I2" s="31" t="s">
        <v>1</v>
      </c>
      <c r="J2" s="31"/>
      <c r="K2" s="30" t="s">
        <v>4</v>
      </c>
      <c r="L2" s="30" t="s">
        <v>157</v>
      </c>
      <c r="M2" s="30"/>
      <c r="N2" s="30" t="s">
        <v>156</v>
      </c>
      <c r="O2" s="30" t="s">
        <v>173</v>
      </c>
      <c r="P2" s="30"/>
      <c r="Q2" s="30" t="e" cm="1">
        <f t="array" aca="1" ref="Q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" s="30" t="e" cm="1">
        <f t="array" aca="1" ref="R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" s="30" t="e">
        <f ca="1">Q2+R2</f>
        <v>#VALUE!</v>
      </c>
      <c r="T2" s="30" t="e" cm="1">
        <f t="array" aca="1" ref="T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" s="30" t="e" cm="1">
        <f t="array" aca="1" ref="U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" s="30" t="e" cm="1">
        <f t="array" aca="1" ref="V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" s="30" t="e" cm="1">
        <f t="array" aca="1" ref="W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" s="30" cm="1">
        <f t="array" aca="1" ref="X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" s="30" t="e" cm="1">
        <f t="array" aca="1" ref="Y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" s="34" cm="1">
        <f t="array" aca="1" ref="Z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" s="35" cm="1">
        <f t="array" aca="1" ref="AA2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" s="57" cm="1">
        <f t="array" aca="1" ref="AB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2" s="36" cm="1">
        <f t="array" aca="1" ref="AC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" s="36" cm="1">
        <f t="array" aca="1" ref="AD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2" s="37" cm="1">
        <f t="array" aca="1" ref="AE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" s="38" t="e" cm="1">
        <f t="array" aca="1" ref="AF2" ca="1">$AE3 / (_xlfn.XLOOKUP(ValueFromColumnName("Ice Cream Amount",ROW()),Specs!A:A,Specs!B:B,0))</f>
        <v>#VALUE!</v>
      </c>
      <c r="AG2" s="37" cm="1">
        <f t="array" aca="1" ref="AG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" s="54" t="e" cm="1">
        <f t="array" aca="1" ref="AH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" s="37" t="e" cm="1">
        <f t="array" aca="1" ref="AI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2" s="37" t="e" cm="1">
        <f t="array" aca="1" ref="AJ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" s="37" t="e" cm="1">
        <f t="array" aca="1" ref="AK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2" s="39" cm="1">
        <f t="array" aca="1" ref="AL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2" s="40" t="e" cm="1">
        <f t="array" ref="AM2">ROUNDUP((ValueFromColumnName("Cost",ROW())+Specs!$Q$2+_xlfn.XLOOKUP(ValueFromColumnName("Ice Cream Amount",ROW()),Specs!A:A,Specs!V:V,0))*Specs!$N$2,0)</f>
        <v>#VALUE!</v>
      </c>
    </row>
    <row r="3" spans="1:39" x14ac:dyDescent="0.25">
      <c r="A3" s="42" t="s">
        <v>253</v>
      </c>
      <c r="B3" s="31" t="s">
        <v>66</v>
      </c>
      <c r="C3" s="31" t="s">
        <v>283</v>
      </c>
      <c r="D3" s="31" t="s">
        <v>0</v>
      </c>
      <c r="E3" s="31" t="s">
        <v>96</v>
      </c>
      <c r="F3" s="31" t="s">
        <v>234</v>
      </c>
      <c r="G3" s="31"/>
      <c r="H3" s="31"/>
      <c r="I3" s="31" t="s">
        <v>132</v>
      </c>
      <c r="J3" s="31"/>
      <c r="K3" s="30" t="s">
        <v>4</v>
      </c>
      <c r="L3" s="30" t="s">
        <v>157</v>
      </c>
      <c r="M3" s="30" t="s">
        <v>46</v>
      </c>
      <c r="N3" s="30" t="s">
        <v>156</v>
      </c>
      <c r="O3" s="30" t="s">
        <v>158</v>
      </c>
      <c r="P3" s="30" t="s">
        <v>44</v>
      </c>
      <c r="Q3" s="30" cm="1">
        <f t="array" aca="1" ref="Q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189.58500000000001</v>
      </c>
      <c r="R3" s="30" cm="1">
        <f t="array" aca="1" ref="R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94.792500000000004</v>
      </c>
      <c r="S3" s="30">
        <f t="shared" ref="S3:S66" ca="1" si="0">Q3+R3</f>
        <v>284.3775</v>
      </c>
      <c r="T3" s="30" cm="1">
        <f t="array" aca="1" ref="T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3" s="30" cm="1">
        <f t="array" aca="1" ref="U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V3" s="30" cm="1">
        <f t="array" aca="1" ref="V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59.125</v>
      </c>
      <c r="W3" s="30" cm="1">
        <f t="array" aca="1" ref="W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25.8671875</v>
      </c>
      <c r="X3" s="30" cm="1">
        <f t="array" aca="1" ref="X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" s="30" cm="1">
        <f t="array" aca="1" ref="Y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3" s="34" cm="1">
        <f t="array" aca="1" ref="Z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1.0237589999999999</v>
      </c>
      <c r="AA3" s="35" cm="1">
        <f t="array" aca="1" ref="AA3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B3" s="57" cm="1">
        <f t="array" aca="1" ref="AB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1169.4613541666668</v>
      </c>
      <c r="AC3" s="36" cm="1">
        <f t="array" aca="1" ref="AC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25.8671875</v>
      </c>
      <c r="AD3" s="36" cm="1">
        <f t="array" aca="1" ref="AD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42.406104166666665</v>
      </c>
      <c r="AE3" s="37" cm="1">
        <f t="array" aca="1" ref="AE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123.92072916666666</v>
      </c>
      <c r="AF3" s="38" cm="1">
        <f t="array" aca="1" ref="AF3" ca="1">$AE4 / (_xlfn.XLOOKUP(ValueFromColumnName("Ice Cream Amount",ROW()),Specs!A:A,Specs!B:B,0))</f>
        <v>0.29770348837209309</v>
      </c>
      <c r="AG3" s="37" cm="1">
        <f t="array" aca="1" ref="AG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7.8696458333333341</v>
      </c>
      <c r="AH3" s="54" cm="1">
        <f t="array" aca="1" ref="AH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184.10301034705495</v>
      </c>
      <c r="AI3" s="37" cm="1">
        <f t="array" aca="1" ref="AI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7.5603104666922851</v>
      </c>
      <c r="AJ3" s="37" cm="1">
        <f t="array" aca="1" ref="AJ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15.365379411134846</v>
      </c>
      <c r="AK3" s="37" cm="1">
        <f t="array" aca="1" ref="AK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2.2123506358254765</v>
      </c>
      <c r="AL3" s="39" cm="1">
        <f t="array" aca="1" ref="AL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2.7247538303720402</v>
      </c>
      <c r="AM3" s="40" t="e" cm="1">
        <f t="array" ref="AM3">ROUNDUP((ValueFromColumnName("Cost",ROW())+Specs!$Q$2+_xlfn.XLOOKUP(ValueFromColumnName("Ice Cream Amount",ROW()),Specs!A:A,Specs!V:V,0))*Specs!$N$2,0)</f>
        <v>#VALUE!</v>
      </c>
    </row>
    <row r="4" spans="1:39" x14ac:dyDescent="0.25">
      <c r="A4" s="30" t="s">
        <v>235</v>
      </c>
      <c r="B4" s="31" t="s">
        <v>62</v>
      </c>
      <c r="C4" s="31" t="s">
        <v>65</v>
      </c>
      <c r="D4" s="31" t="s">
        <v>160</v>
      </c>
      <c r="E4" s="31"/>
      <c r="F4" s="31" t="s">
        <v>167</v>
      </c>
      <c r="G4" s="31" t="s">
        <v>165</v>
      </c>
      <c r="H4" s="31"/>
      <c r="I4" s="31" t="s">
        <v>134</v>
      </c>
      <c r="J4" s="31" t="s">
        <v>1</v>
      </c>
      <c r="K4" s="30" t="s">
        <v>4</v>
      </c>
      <c r="L4" s="30" t="s">
        <v>175</v>
      </c>
      <c r="M4" s="30"/>
      <c r="N4" s="30" t="s">
        <v>156</v>
      </c>
      <c r="O4" s="30" t="s">
        <v>158</v>
      </c>
      <c r="P4" s="30" t="s">
        <v>158</v>
      </c>
      <c r="Q4" s="30" cm="1">
        <f t="array" aca="1" ref="Q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R4" s="30" cm="1">
        <f t="array" aca="1" ref="R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S4" s="30">
        <f t="shared" ca="1" si="0"/>
        <v>460.84500000000003</v>
      </c>
      <c r="T4" s="30" cm="1">
        <f t="array" aca="1" ref="T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4" s="30" cm="1">
        <f t="array" aca="1" ref="U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4" s="30" cm="1">
        <f t="array" aca="1" ref="V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4" s="30" cm="1">
        <f t="array" aca="1" ref="W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4" s="30" cm="1">
        <f t="array" aca="1" ref="X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" s="30" cm="1">
        <f t="array" aca="1" ref="Y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12.5</v>
      </c>
      <c r="Z4" s="34" cm="1">
        <f t="array" aca="1" ref="Z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1.6590420000000001</v>
      </c>
      <c r="AA4" s="35" cm="1">
        <f t="array" aca="1" ref="AA4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4" s="57" cm="1">
        <f t="array" aca="1" ref="AB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1389.7950000000001</v>
      </c>
      <c r="AC4" s="36" cm="1">
        <f t="array" aca="1" ref="AC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" s="36" cm="1">
        <f t="array" aca="1" ref="AD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47.1205</v>
      </c>
      <c r="AE4" s="37" cm="1">
        <f t="array" aca="1" ref="AE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140.81375000000003</v>
      </c>
      <c r="AF4" s="38" cm="1">
        <f t="array" aca="1" ref="AF4" ca="1">$AE5 / (_xlfn.XLOOKUP(ValueFromColumnName("Ice Cream Amount",ROW()),Specs!A:A,Specs!B:B,0))</f>
        <v>0.78741780272654383</v>
      </c>
      <c r="AG4" s="37" cm="1">
        <f t="array" aca="1" ref="AG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5.1205000000000007</v>
      </c>
      <c r="AH4" s="54" cm="1">
        <f t="array" aca="1" ref="AH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176.2953488372093</v>
      </c>
      <c r="AI4" s="37" cm="1">
        <f t="array" aca="1" ref="AI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5.97723044397463</v>
      </c>
      <c r="AJ4" s="37" cm="1">
        <f t="array" aca="1" ref="AJ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17.862209302325585</v>
      </c>
      <c r="AK4" s="37" cm="1">
        <f t="array" aca="1" ref="AK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4" s="39" cm="1">
        <f t="array" aca="1" ref="AL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2.3936642426102686</v>
      </c>
      <c r="AM4" s="40" t="e" cm="1">
        <f t="array" ref="AM4">ROUNDUP((ValueFromColumnName("Cost",ROW())+Specs!$Q$2+_xlfn.XLOOKUP(ValueFromColumnName("Ice Cream Amount",ROW()),Specs!A:A,Specs!V:V,0))*Specs!$N$2,0)</f>
        <v>#VALUE!</v>
      </c>
    </row>
    <row r="5" spans="1:39" x14ac:dyDescent="0.25">
      <c r="A5" s="30" t="s">
        <v>168</v>
      </c>
      <c r="B5" s="31" t="s">
        <v>65</v>
      </c>
      <c r="C5" s="31" t="s">
        <v>62</v>
      </c>
      <c r="D5" s="31" t="s">
        <v>0</v>
      </c>
      <c r="E5" s="31" t="s">
        <v>83</v>
      </c>
      <c r="F5" s="31"/>
      <c r="G5" s="31"/>
      <c r="H5" s="31"/>
      <c r="I5" s="31"/>
      <c r="J5" s="31"/>
      <c r="K5" s="30" t="s">
        <v>4</v>
      </c>
      <c r="L5" s="30" t="s">
        <v>157</v>
      </c>
      <c r="M5" s="30" t="s">
        <v>48</v>
      </c>
      <c r="N5" s="30"/>
      <c r="O5" s="30"/>
      <c r="P5" s="30"/>
      <c r="Q5" s="30" cm="1">
        <f t="array" aca="1" ref="Q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709.33500000000004</v>
      </c>
      <c r="R5" s="30" cm="1">
        <f t="array" aca="1" ref="R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354.66750000000002</v>
      </c>
      <c r="S5" s="30">
        <f t="shared" ca="1" si="0"/>
        <v>1064.0025000000001</v>
      </c>
      <c r="T5" s="30" cm="1">
        <f t="array" aca="1" ref="T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240</v>
      </c>
      <c r="U5" s="30" cm="1">
        <f t="array" aca="1" ref="U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30</v>
      </c>
      <c r="V5" s="30" cm="1">
        <f t="array" aca="1" ref="V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179.3</v>
      </c>
      <c r="W5" s="30" cm="1">
        <f t="array" aca="1" ref="W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5" s="30" cm="1">
        <f t="array" aca="1" ref="X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" s="30" cm="1">
        <f t="array" aca="1" ref="Y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5" s="34" cm="1">
        <f t="array" aca="1" ref="Z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3.830409</v>
      </c>
      <c r="AA5" s="35" cm="1">
        <f t="array" aca="1" ref="AA5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B5" s="57" cm="1">
        <f t="array" aca="1" ref="AB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4201.107857142857</v>
      </c>
      <c r="AC5" s="36" cm="1">
        <f t="array" aca="1" ref="AC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" s="36" cm="1">
        <f t="array" aca="1" ref="AD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275.84457142857144</v>
      </c>
      <c r="AE5" s="37" cm="1">
        <f t="array" aca="1" ref="AE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372.44862068965523</v>
      </c>
      <c r="AF5" s="38" cm="1">
        <f t="array" aca="1" ref="AF5" ca="1">$AE6 / (_xlfn.XLOOKUP(ValueFromColumnName("Ice Cream Amount",ROW()),Specs!A:A,Specs!B:B,0))</f>
        <v>3.5395278264680106E-2</v>
      </c>
      <c r="AG5" s="37" cm="1">
        <f t="array" aca="1" ref="AG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18.58464224137931</v>
      </c>
      <c r="AH5" s="54" cm="1">
        <f t="array" aca="1" ref="AH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152.74750828384896</v>
      </c>
      <c r="AI5" s="37" cm="1">
        <f t="array" aca="1" ref="AI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10.362018798595846</v>
      </c>
      <c r="AJ5" s="37" cm="1">
        <f t="array" aca="1" ref="AJ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12.114665283291233</v>
      </c>
      <c r="AK5" s="37" cm="1">
        <f t="array" aca="1" ref="AK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2.4705882352941182</v>
      </c>
      <c r="AL5" s="39" cm="1">
        <f t="array" aca="1" ref="AL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15.55653471637952</v>
      </c>
      <c r="AM5" s="40" t="e" cm="1">
        <f t="array" ref="AM5">ROUNDUP((ValueFromColumnName("Cost",ROW())+Specs!$Q$2+_xlfn.XLOOKUP(ValueFromColumnName("Ice Cream Amount",ROW()),Specs!A:A,Specs!V:V,0))*Specs!$N$2,0)</f>
        <v>#VALUE!</v>
      </c>
    </row>
    <row r="6" spans="1:39" x14ac:dyDescent="0.25">
      <c r="A6" s="30" t="s">
        <v>428</v>
      </c>
      <c r="B6" s="31" t="s">
        <v>65</v>
      </c>
      <c r="C6" s="31" t="s">
        <v>62</v>
      </c>
      <c r="D6" s="31" t="s">
        <v>0</v>
      </c>
      <c r="E6" s="31" t="s">
        <v>83</v>
      </c>
      <c r="F6" s="31" t="s">
        <v>234</v>
      </c>
      <c r="G6" s="31"/>
      <c r="H6" s="31"/>
      <c r="I6" s="31"/>
      <c r="J6" s="31"/>
      <c r="K6" s="30" t="s">
        <v>4</v>
      </c>
      <c r="L6" s="30" t="s">
        <v>157</v>
      </c>
      <c r="M6" s="30" t="s">
        <v>48</v>
      </c>
      <c r="N6" s="30" t="s">
        <v>156</v>
      </c>
      <c r="O6" s="30"/>
      <c r="P6" s="30"/>
      <c r="Q6" s="30" cm="1">
        <f t="array" aca="1" ref="Q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220.80300000000003</v>
      </c>
      <c r="R6" s="30" cm="1">
        <f t="array" aca="1" ref="R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110.40150000000001</v>
      </c>
      <c r="S6" s="30">
        <f t="shared" ca="1" si="0"/>
        <v>331.20450000000005</v>
      </c>
      <c r="T6" s="30" cm="1">
        <f t="array" aca="1" ref="T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6" s="30" cm="1">
        <f t="array" aca="1" ref="U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V6" s="30" cm="1">
        <f t="array" aca="1" ref="V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23.650000000000002</v>
      </c>
      <c r="W6" s="30" cm="1">
        <f t="array" aca="1" ref="W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6" s="30" cm="1">
        <f t="array" aca="1" ref="X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" s="30" cm="1">
        <f t="array" aca="1" ref="Y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6" s="34" cm="1">
        <f t="array" aca="1" ref="Z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1.1923362000000002</v>
      </c>
      <c r="AA6" s="35" cm="1">
        <f t="array" aca="1" ref="AA6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B6" s="57" cm="1">
        <f t="array" aca="1" ref="AB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1102.8182011278197</v>
      </c>
      <c r="AC6" s="36" cm="1">
        <f t="array" aca="1" ref="AC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" s="36" cm="1">
        <f t="array" aca="1" ref="AD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67.449602819548872</v>
      </c>
      <c r="AE6" s="37" cm="1">
        <f t="array" aca="1" ref="AE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63.463733928571436</v>
      </c>
      <c r="AF6" s="38" cm="1">
        <f t="array" aca="1" ref="AF6" ca="1">$AE7 / (_xlfn.XLOOKUP(ValueFromColumnName("Ice Cream Amount",ROW()),Specs!A:A,Specs!B:B,0))</f>
        <v>0.19745639534883719</v>
      </c>
      <c r="AG6" s="37" cm="1">
        <f t="array" aca="1" ref="AG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16.512885714285716</v>
      </c>
      <c r="AH6" s="54" cm="1">
        <f t="array" aca="1" ref="AH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139.36737223608708</v>
      </c>
      <c r="AI6" s="37" cm="1">
        <f t="array" aca="1" ref="AI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8.2484749876806163</v>
      </c>
      <c r="AJ6" s="37" cm="1">
        <f t="array" aca="1" ref="AJ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8.6878679401993359</v>
      </c>
      <c r="AK6" s="37" cm="1">
        <f t="array" aca="1" ref="AK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1.8375000000000001</v>
      </c>
      <c r="AL6" s="39" cm="1">
        <f t="array" aca="1" ref="AL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4.4799627581972041</v>
      </c>
      <c r="AM6" s="40" t="e" cm="1">
        <f t="array" ref="AM6">ROUNDUP((ValueFromColumnName("Cost",ROW())+Specs!$Q$2+_xlfn.XLOOKUP(ValueFromColumnName("Ice Cream Amount",ROW()),Specs!A:A,Specs!V:V,0))*Specs!$N$2,0)</f>
        <v>#VALUE!</v>
      </c>
    </row>
    <row r="7" spans="1:39" x14ac:dyDescent="0.25">
      <c r="A7" s="42" t="s">
        <v>254</v>
      </c>
      <c r="B7" s="31" t="s">
        <v>66</v>
      </c>
      <c r="C7" s="31" t="s">
        <v>68</v>
      </c>
      <c r="D7" s="31" t="s">
        <v>0</v>
      </c>
      <c r="E7" s="31"/>
      <c r="F7" s="31" t="s">
        <v>166</v>
      </c>
      <c r="G7" s="31"/>
      <c r="H7" s="31"/>
      <c r="I7" s="31" t="s">
        <v>132</v>
      </c>
      <c r="J7" s="31"/>
      <c r="K7" s="30" t="s">
        <v>4</v>
      </c>
      <c r="L7" s="30" t="s">
        <v>157</v>
      </c>
      <c r="M7" s="30"/>
      <c r="N7" s="30" t="s">
        <v>156</v>
      </c>
      <c r="O7" s="30" t="s">
        <v>448</v>
      </c>
      <c r="P7" s="30"/>
      <c r="Q7" s="30" cm="1">
        <f t="array" aca="1" ref="Q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189.58500000000001</v>
      </c>
      <c r="R7" s="30" cm="1">
        <f t="array" aca="1" ref="R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94.792500000000004</v>
      </c>
      <c r="S7" s="30">
        <f t="shared" ca="1" si="0"/>
        <v>284.3775</v>
      </c>
      <c r="T7" s="30" cm="1">
        <f t="array" aca="1" ref="T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7" s="30" cm="1">
        <f t="array" aca="1" ref="U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V7" s="30" cm="1">
        <f t="array" aca="1" ref="V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39.416666666666671</v>
      </c>
      <c r="W7" s="30" cm="1">
        <f t="array" aca="1" ref="W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7" s="30" cm="1">
        <f t="array" aca="1" ref="X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" s="30" cm="1">
        <f t="array" aca="1" ref="Y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7" s="34" cm="1">
        <f t="array" aca="1" ref="Z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1.0237589999999999</v>
      </c>
      <c r="AA7" s="35" cm="1">
        <f t="array" aca="1" ref="AA7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B7" s="57" cm="1">
        <f t="array" aca="1" ref="AB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1214.5483333333334</v>
      </c>
      <c r="AC7" s="36" cm="1">
        <f t="array" aca="1" ref="AC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" s="36" cm="1">
        <f t="array" aca="1" ref="AD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74.586833333333345</v>
      </c>
      <c r="AE7" s="37" cm="1">
        <f t="array" aca="1" ref="AE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93.396874999999994</v>
      </c>
      <c r="AF7" s="38" cm="1">
        <f t="array" aca="1" ref="AF7" ca="1">$AE8 / (_xlfn.XLOOKUP(ValueFromColumnName("Ice Cream Amount",ROW()),Specs!A:A,Specs!B:B,0))</f>
        <v>0</v>
      </c>
      <c r="AG7" s="37" cm="1">
        <f t="array" aca="1" ref="AG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11.831416666666669</v>
      </c>
      <c r="AH7" s="54" cm="1">
        <f t="array" aca="1" ref="AH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185.94032769556028</v>
      </c>
      <c r="AI7" s="37" cm="1">
        <f t="array" aca="1" ref="AI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11.898831923890064</v>
      </c>
      <c r="AJ7" s="37" cm="1">
        <f t="array" aca="1" ref="AJ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12.553633720930232</v>
      </c>
      <c r="AK7" s="37" cm="1">
        <f t="array" aca="1" ref="AK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3.0625000000000009</v>
      </c>
      <c r="AL7" s="39" cm="1">
        <f t="array" aca="1" ref="AL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3.7424950729158346</v>
      </c>
      <c r="AM7" s="40" t="e" cm="1">
        <f t="array" ref="AM7">ROUNDUP((ValueFromColumnName("Cost",ROW())+Specs!$Q$2+_xlfn.XLOOKUP(ValueFromColumnName("Ice Cream Amount",ROW()),Specs!A:A,Specs!V:V,0))*Specs!$N$2,0)</f>
        <v>#VALUE!</v>
      </c>
    </row>
    <row r="8" spans="1:39" x14ac:dyDescent="0.25">
      <c r="A8" s="42" t="s">
        <v>255</v>
      </c>
      <c r="B8" s="31" t="s">
        <v>66</v>
      </c>
      <c r="C8" s="31" t="s">
        <v>68</v>
      </c>
      <c r="D8" s="31" t="s">
        <v>0</v>
      </c>
      <c r="E8" s="31"/>
      <c r="F8" s="31" t="s">
        <v>113</v>
      </c>
      <c r="G8" s="31" t="s">
        <v>122</v>
      </c>
      <c r="H8" s="31"/>
      <c r="I8" s="31" t="s">
        <v>132</v>
      </c>
      <c r="J8" s="31"/>
      <c r="K8" s="30" t="s">
        <v>43</v>
      </c>
      <c r="L8" s="30" t="s">
        <v>157</v>
      </c>
      <c r="M8" s="30"/>
      <c r="N8" s="30" t="s">
        <v>156</v>
      </c>
      <c r="O8" s="30" t="s">
        <v>448</v>
      </c>
      <c r="P8" s="30"/>
      <c r="Q8" s="30" t="e" cm="1">
        <f t="array" aca="1" ref="Q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8" s="30" t="e" cm="1">
        <f t="array" aca="1" ref="R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8" s="30" t="e">
        <f t="shared" ca="1" si="0"/>
        <v>#VALUE!</v>
      </c>
      <c r="T8" s="30" t="e" cm="1">
        <f t="array" aca="1" ref="T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8" s="30" t="e" cm="1">
        <f t="array" aca="1" ref="U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8" s="30" t="e" cm="1">
        <f t="array" aca="1" ref="V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8" s="30" t="e" cm="1">
        <f t="array" aca="1" ref="W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8" s="30" cm="1">
        <f t="array" aca="1" ref="X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8" s="30" t="e" cm="1">
        <f t="array" aca="1" ref="Y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8" s="34" cm="1">
        <f t="array" aca="1" ref="Z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8" s="35" cm="1">
        <f t="array" aca="1" ref="AA8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8" s="57" cm="1">
        <f t="array" aca="1" ref="AB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8" s="36" cm="1">
        <f t="array" aca="1" ref="AC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8" s="36" cm="1">
        <f t="array" aca="1" ref="AD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8" s="37" cm="1">
        <f t="array" aca="1" ref="AE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8" s="38" t="e" cm="1">
        <f t="array" aca="1" ref="AF8" ca="1">$AE9 / (_xlfn.XLOOKUP(ValueFromColumnName("Ice Cream Amount",ROW()),Specs!A:A,Specs!B:B,0))</f>
        <v>#VALUE!</v>
      </c>
      <c r="AG8" s="37" cm="1">
        <f t="array" aca="1" ref="AG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8" s="54" t="e" cm="1">
        <f t="array" aca="1" ref="AH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8" s="37" t="e" cm="1">
        <f t="array" aca="1" ref="AI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8" s="37" t="e" cm="1">
        <f t="array" aca="1" ref="AJ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8" s="37" t="e" cm="1">
        <f t="array" aca="1" ref="AK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8" s="39" cm="1">
        <f t="array" aca="1" ref="AL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8" s="40" t="e" cm="1">
        <f t="array" ref="AM8">ROUNDUP((ValueFromColumnName("Cost",ROW())+Specs!$Q$2+_xlfn.XLOOKUP(ValueFromColumnName("Ice Cream Amount",ROW()),Specs!A:A,Specs!V:V,0))*Specs!$N$2,0)</f>
        <v>#VALUE!</v>
      </c>
    </row>
    <row r="9" spans="1:39" x14ac:dyDescent="0.25">
      <c r="A9" s="30" t="s">
        <v>257</v>
      </c>
      <c r="B9" s="31" t="s">
        <v>62</v>
      </c>
      <c r="C9" s="31" t="s">
        <v>65</v>
      </c>
      <c r="D9" s="31" t="s">
        <v>0</v>
      </c>
      <c r="E9" s="31"/>
      <c r="F9" s="31" t="s">
        <v>112</v>
      </c>
      <c r="G9" s="31"/>
      <c r="H9" s="31"/>
      <c r="I9" s="31" t="s">
        <v>1</v>
      </c>
      <c r="J9" s="31"/>
      <c r="K9" s="30" t="s">
        <v>4</v>
      </c>
      <c r="L9" s="30" t="s">
        <v>157</v>
      </c>
      <c r="M9" s="30"/>
      <c r="N9" s="30" t="s">
        <v>156</v>
      </c>
      <c r="O9" s="30" t="s">
        <v>173</v>
      </c>
      <c r="P9" s="30"/>
      <c r="Q9" s="30" t="e" cm="1">
        <f t="array" aca="1" ref="Q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9" s="30" t="e" cm="1">
        <f t="array" aca="1" ref="R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9" s="30" t="e">
        <f t="shared" ca="1" si="0"/>
        <v>#VALUE!</v>
      </c>
      <c r="T9" s="30" t="e" cm="1">
        <f t="array" aca="1" ref="T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9" s="30" t="e" cm="1">
        <f t="array" aca="1" ref="U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9" s="30" t="e" cm="1">
        <f t="array" aca="1" ref="V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9" s="30" t="e" cm="1">
        <f t="array" aca="1" ref="W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9" s="30" cm="1">
        <f t="array" aca="1" ref="X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9" s="30" t="e" cm="1">
        <f t="array" aca="1" ref="Y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9" s="34" cm="1">
        <f t="array" aca="1" ref="Z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9" s="35" cm="1">
        <f t="array" aca="1" ref="AA9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9" s="57" cm="1">
        <f t="array" aca="1" ref="AB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9" s="36" cm="1">
        <f t="array" aca="1" ref="AC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9" s="36" cm="1">
        <f t="array" aca="1" ref="AD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9" s="37" cm="1">
        <f t="array" aca="1" ref="AE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9" s="38" t="e" cm="1">
        <f t="array" aca="1" ref="AF9" ca="1">$AE10 / (_xlfn.XLOOKUP(ValueFromColumnName("Ice Cream Amount",ROW()),Specs!A:A,Specs!B:B,0))</f>
        <v>#VALUE!</v>
      </c>
      <c r="AG9" s="37" cm="1">
        <f t="array" aca="1" ref="AG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9" s="54" t="e" cm="1">
        <f t="array" aca="1" ref="AH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9" s="37" t="e" cm="1">
        <f t="array" aca="1" ref="AI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9" s="37" t="e" cm="1">
        <f t="array" aca="1" ref="AJ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9" s="37" t="e" cm="1">
        <f t="array" aca="1" ref="AK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9" s="39" cm="1">
        <f t="array" aca="1" ref="AL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9" s="40" t="e" cm="1">
        <f t="array" ref="AM9">ROUNDUP((ValueFromColumnName("Cost",ROW())+Specs!$Q$2+_xlfn.XLOOKUP(ValueFromColumnName("Ice Cream Amount",ROW()),Specs!A:A,Specs!V:V,0))*Specs!$N$2,0)</f>
        <v>#VALUE!</v>
      </c>
    </row>
    <row r="10" spans="1:39" x14ac:dyDescent="0.25">
      <c r="A10" s="30" t="s">
        <v>256</v>
      </c>
      <c r="B10" s="31" t="s">
        <v>62</v>
      </c>
      <c r="C10" s="31" t="s">
        <v>65</v>
      </c>
      <c r="D10" s="31" t="s">
        <v>0</v>
      </c>
      <c r="E10" s="31" t="s">
        <v>239</v>
      </c>
      <c r="F10" s="31" t="s">
        <v>241</v>
      </c>
      <c r="G10" s="31"/>
      <c r="H10" s="31"/>
      <c r="I10" s="31" t="s">
        <v>1</v>
      </c>
      <c r="J10" s="31"/>
      <c r="K10" s="30" t="s">
        <v>4</v>
      </c>
      <c r="L10" s="30" t="s">
        <v>175</v>
      </c>
      <c r="M10" s="30" t="s">
        <v>6</v>
      </c>
      <c r="N10" s="30" t="s">
        <v>156</v>
      </c>
      <c r="O10" s="30" t="s">
        <v>158</v>
      </c>
      <c r="P10" s="30"/>
      <c r="Q10" s="30" cm="1">
        <f t="array" aca="1" ref="Q1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R10" s="30" cm="1">
        <f t="array" aca="1" ref="R1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S10" s="30">
        <f t="shared" ca="1" si="0"/>
        <v>460.84500000000003</v>
      </c>
      <c r="T10" s="30" cm="1">
        <f t="array" aca="1" ref="T1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10" s="30" cm="1">
        <f t="array" aca="1" ref="U1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0" s="30" cm="1">
        <f t="array" aca="1" ref="V1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10" s="30" cm="1">
        <f t="array" aca="1" ref="W1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0" s="30" cm="1">
        <f t="array" aca="1" ref="X1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0" s="30" cm="1">
        <f t="array" aca="1" ref="Y1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0" s="34" cm="1">
        <f t="array" aca="1" ref="Z1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1.6590420000000001</v>
      </c>
      <c r="AA10" s="35" cm="1">
        <f t="array" aca="1" ref="AA10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10" s="57" cm="1">
        <f t="array" aca="1" ref="AB1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1444.92</v>
      </c>
      <c r="AC10" s="36" cm="1">
        <f t="array" aca="1" ref="AC1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0" s="36" cm="1">
        <f t="array" aca="1" ref="AD1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59.6205</v>
      </c>
      <c r="AE10" s="37" cm="1">
        <f t="array" aca="1" ref="AE1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140.81375000000003</v>
      </c>
      <c r="AF10" s="38" cm="1">
        <f t="array" aca="1" ref="AF10" ca="1">$AE11 / (_xlfn.XLOOKUP(ValueFromColumnName("Ice Cream Amount",ROW()),Specs!A:A,Specs!B:B,0))</f>
        <v>1.1083139534883719</v>
      </c>
      <c r="AG10" s="37" cm="1">
        <f t="array" aca="1" ref="AG1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5.1205000000000007</v>
      </c>
      <c r="AH10" s="54" cm="1">
        <f t="array" aca="1" ref="AH1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183.2879492600423</v>
      </c>
      <c r="AI10" s="37" cm="1">
        <f t="array" aca="1" ref="AI1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7.5628541226215642</v>
      </c>
      <c r="AJ10" s="37" cm="1">
        <f t="array" aca="1" ref="AJ1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17.862209302325585</v>
      </c>
      <c r="AK10" s="37" cm="1">
        <f t="array" aca="1" ref="AK1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10" s="39" cm="1">
        <f t="array" aca="1" ref="AL1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2.2451208268259872</v>
      </c>
      <c r="AM10" s="40" t="e" cm="1">
        <f t="array" ref="AM10">ROUNDUP((ValueFromColumnName("Cost",ROW())+Specs!$Q$2+_xlfn.XLOOKUP(ValueFromColumnName("Ice Cream Amount",ROW()),Specs!A:A,Specs!V:V,0))*Specs!$N$2,0)</f>
        <v>#VALUE!</v>
      </c>
    </row>
    <row r="11" spans="1:39" x14ac:dyDescent="0.25">
      <c r="A11" s="41" t="s">
        <v>341</v>
      </c>
      <c r="B11" s="31" t="s">
        <v>62</v>
      </c>
      <c r="C11" s="31" t="s">
        <v>65</v>
      </c>
      <c r="D11" s="31" t="s">
        <v>243</v>
      </c>
      <c r="E11" s="31"/>
      <c r="F11" s="31"/>
      <c r="G11" s="31"/>
      <c r="H11" s="31"/>
      <c r="I11" s="31" t="s">
        <v>1</v>
      </c>
      <c r="J11" s="31"/>
      <c r="K11" s="30" t="s">
        <v>4</v>
      </c>
      <c r="L11" s="30" t="s">
        <v>157</v>
      </c>
      <c r="M11" s="30" t="s">
        <v>44</v>
      </c>
      <c r="N11" s="30"/>
      <c r="O11" s="30" t="s">
        <v>173</v>
      </c>
      <c r="P11" s="30"/>
      <c r="Q11" s="30" cm="1">
        <f t="array" aca="1" ref="Q1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1143.78</v>
      </c>
      <c r="R11" s="30" cm="1">
        <f t="array" aca="1" ref="R1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571.89</v>
      </c>
      <c r="S11" s="30">
        <f t="shared" ca="1" si="0"/>
        <v>1715.67</v>
      </c>
      <c r="T11" s="30" cm="1">
        <f t="array" aca="1" ref="T1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U11" s="30" cm="1">
        <f t="array" aca="1" ref="U1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1" s="30" cm="1">
        <f t="array" aca="1" ref="V1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11" s="30" cm="1">
        <f t="array" aca="1" ref="W1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1" s="30" cm="1">
        <f t="array" aca="1" ref="X1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1" s="30" cm="1">
        <f t="array" aca="1" ref="Y1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1" s="34" cm="1">
        <f t="array" aca="1" ref="Z1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6.176412</v>
      </c>
      <c r="AA11" s="35" cm="1">
        <f t="array" aca="1" ref="AA11" ca="1">_xlfn.LET(
    _xlpm.XanthanGum, CONVERT(ValueFromColumnName("Xanthan Gum To Use (g)", ROW()), "ml", "tsp"),
    _xlpm.Dummy, SUM(INDIRECT("B" &amp; ROW() &amp; ":O" &amp; ROW())),
    _xlpm.Result, CEILING(_xlpm.XanthanGum, 0.25),
    _xlpm.Result
)</f>
        <v>1.5</v>
      </c>
      <c r="AB11" s="57" cm="1">
        <f t="array" aca="1" ref="AB1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5529.12</v>
      </c>
      <c r="AC11" s="36" cm="1">
        <f t="array" aca="1" ref="AC1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1" s="36" cm="1">
        <f t="array" aca="1" ref="AD1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255.06299999999999</v>
      </c>
      <c r="AE11" s="37" cm="1">
        <f t="array" aca="1" ref="AE1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524.23249999999996</v>
      </c>
      <c r="AF11" s="38" cm="1">
        <f t="array" aca="1" ref="AF11" ca="1">$AE12 / (_xlfn.XLOOKUP(ValueFromColumnName("Ice Cream Amount",ROW()),Specs!A:A,Specs!B:B,0))</f>
        <v>0.29715779619153848</v>
      </c>
      <c r="AG11" s="37" cm="1">
        <f t="array" aca="1" ref="AG1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19.062999999999999</v>
      </c>
      <c r="AH11" s="54" cm="1">
        <f t="array" aca="1" ref="AH1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207.10942554378136</v>
      </c>
      <c r="AI11" s="37" cm="1">
        <f t="array" aca="1" ref="AI1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8.535292805354155</v>
      </c>
      <c r="AJ11" s="37" cm="1">
        <f t="array" aca="1" ref="AJ1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19.35368098159509</v>
      </c>
      <c r="AK11" s="37" cm="1">
        <f t="array" aca="1" ref="AK1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11" s="39" cm="1">
        <f t="array" aca="1" ref="AL1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9.8999077657953087</v>
      </c>
      <c r="AM11" s="40" t="e" cm="1">
        <f t="array" ref="AM11">ROUNDUP((ValueFromColumnName("Cost",ROW())+Specs!$Q$2+_xlfn.XLOOKUP(ValueFromColumnName("Ice Cream Amount",ROW()),Specs!A:A,Specs!V:V,0))*Specs!$N$2,0)</f>
        <v>#VALUE!</v>
      </c>
    </row>
    <row r="12" spans="1:39" x14ac:dyDescent="0.25">
      <c r="A12" s="41" t="s">
        <v>258</v>
      </c>
      <c r="B12" s="31" t="s">
        <v>62</v>
      </c>
      <c r="C12" s="31" t="s">
        <v>65</v>
      </c>
      <c r="D12" s="31" t="s">
        <v>176</v>
      </c>
      <c r="E12" s="31" t="s">
        <v>329</v>
      </c>
      <c r="F12" s="31" t="s">
        <v>245</v>
      </c>
      <c r="G12" s="31" t="s">
        <v>270</v>
      </c>
      <c r="H12" s="31" t="s">
        <v>106</v>
      </c>
      <c r="I12" s="31" t="s">
        <v>137</v>
      </c>
      <c r="J12" s="31"/>
      <c r="K12" s="30" t="s">
        <v>4</v>
      </c>
      <c r="L12" s="30" t="s">
        <v>157</v>
      </c>
      <c r="M12" s="30" t="s">
        <v>10</v>
      </c>
      <c r="N12" s="30" t="s">
        <v>156</v>
      </c>
      <c r="O12" s="30" t="s">
        <v>173</v>
      </c>
      <c r="P12" s="30"/>
      <c r="Q12" s="30" cm="1">
        <f t="array" aca="1" ref="Q1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1143.78</v>
      </c>
      <c r="R12" s="30" cm="1">
        <f t="array" aca="1" ref="R1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571.89</v>
      </c>
      <c r="S12" s="30">
        <f t="shared" ca="1" si="0"/>
        <v>1715.67</v>
      </c>
      <c r="T12" s="30" cm="1">
        <f t="array" aca="1" ref="T1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U12" s="30" cm="1">
        <f t="array" aca="1" ref="U1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2" s="30" cm="1">
        <f t="array" aca="1" ref="V1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12" s="30" cm="1">
        <f t="array" aca="1" ref="W1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2" s="30" cm="1">
        <f t="array" aca="1" ref="X1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2" s="30" cm="1">
        <f t="array" aca="1" ref="Y1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2" s="34" cm="1">
        <f t="array" aca="1" ref="Z1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6.176412</v>
      </c>
      <c r="AA12" s="35" cm="1">
        <f t="array" aca="1" ref="AA12" ca="1">_xlfn.LET(
    _xlpm.XanthanGum, CONVERT(ValueFromColumnName("Xanthan Gum To Use (g)", ROW()), "ml", "tsp"),
    _xlpm.Dummy, SUM(INDIRECT("B" &amp; ROW() &amp; ":O" &amp; ROW())),
    _xlpm.Result, CEILING(_xlpm.XanthanGum, 0.25),
    _xlpm.Result
)</f>
        <v>1.5</v>
      </c>
      <c r="AB12" s="57" cm="1">
        <f t="array" aca="1" ref="AB1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5477.6914285714283</v>
      </c>
      <c r="AC12" s="36" cm="1">
        <f t="array" aca="1" ref="AC1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2" s="36" cm="1">
        <f t="array" aca="1" ref="AD1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219.06299999999999</v>
      </c>
      <c r="AE12" s="37" cm="1">
        <f t="array" aca="1" ref="AE1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532.80392857142851</v>
      </c>
      <c r="AF12" s="38" cm="1">
        <f t="array" aca="1" ref="AF12" ca="1">$AE13 / (_xlfn.XLOOKUP(ValueFromColumnName("Ice Cream Amount",ROW()),Specs!A:A,Specs!B:B,0))</f>
        <v>0.11112011991076411</v>
      </c>
      <c r="AG12" s="37" cm="1">
        <f t="array" aca="1" ref="AG1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36.205857142857141</v>
      </c>
      <c r="AH12" s="54" cm="1">
        <f t="array" aca="1" ref="AH1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183.30255756513424</v>
      </c>
      <c r="AI12" s="37" cm="1">
        <f t="array" aca="1" ref="AI1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7.3306079196876741</v>
      </c>
      <c r="AJ12" s="37" cm="1">
        <f t="array" aca="1" ref="AJ1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17.829467771492308</v>
      </c>
      <c r="AK12" s="37" cm="1">
        <f t="array" aca="1" ref="AK1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12" s="39" cm="1">
        <f t="array" aca="1" ref="AL1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9.1789310787265794</v>
      </c>
      <c r="AM12" s="40" t="e" cm="1">
        <f t="array" ref="AM12">ROUNDUP((ValueFromColumnName("Cost",ROW())+Specs!$Q$2+_xlfn.XLOOKUP(ValueFromColumnName("Ice Cream Amount",ROW()),Specs!A:A,Specs!V:V,0))*Specs!$N$2,0)</f>
        <v>#VALUE!</v>
      </c>
    </row>
    <row r="13" spans="1:39" x14ac:dyDescent="0.25">
      <c r="A13" s="30" t="s">
        <v>259</v>
      </c>
      <c r="B13" s="31" t="s">
        <v>65</v>
      </c>
      <c r="C13" s="31" t="s">
        <v>75</v>
      </c>
      <c r="D13" s="31" t="s">
        <v>0</v>
      </c>
      <c r="E13" s="31" t="s">
        <v>236</v>
      </c>
      <c r="F13" s="31" t="s">
        <v>102</v>
      </c>
      <c r="G13" s="31"/>
      <c r="H13" s="31"/>
      <c r="I13" s="31" t="s">
        <v>1</v>
      </c>
      <c r="J13" s="31"/>
      <c r="K13" s="30" t="s">
        <v>43</v>
      </c>
      <c r="L13" s="30" t="s">
        <v>157</v>
      </c>
      <c r="M13" s="30" t="s">
        <v>46</v>
      </c>
      <c r="N13" s="30" t="s">
        <v>156</v>
      </c>
      <c r="O13" s="30" t="s">
        <v>448</v>
      </c>
      <c r="P13" s="30"/>
      <c r="Q13" s="30" cm="1">
        <f t="array" aca="1" ref="Q1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402.00600000000003</v>
      </c>
      <c r="R13" s="30" cm="1">
        <f t="array" aca="1" ref="R1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201.00300000000001</v>
      </c>
      <c r="S13" s="30">
        <f t="shared" ca="1" si="0"/>
        <v>603.00900000000001</v>
      </c>
      <c r="T13" s="30" cm="1">
        <f t="array" aca="1" ref="T1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15</v>
      </c>
      <c r="U13" s="30" cm="1">
        <f t="array" aca="1" ref="U1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180</v>
      </c>
      <c r="V13" s="30" cm="1">
        <f t="array" aca="1" ref="V1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98.147500000000008</v>
      </c>
      <c r="W13" s="30" cm="1">
        <f t="array" aca="1" ref="W1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3" s="30" cm="1">
        <f t="array" aca="1" ref="X1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3" s="30" cm="1">
        <f t="array" aca="1" ref="Y1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3" s="34" cm="1">
        <f t="array" aca="1" ref="Z1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2.1708324000000001</v>
      </c>
      <c r="AA13" s="35" cm="1">
        <f t="array" aca="1" ref="AA13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13" s="57" cm="1">
        <f t="array" aca="1" ref="AB1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2098.0240000000003</v>
      </c>
      <c r="AC13" s="36" cm="1">
        <f t="array" aca="1" ref="AC1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3" s="36" cm="1">
        <f t="array" aca="1" ref="AD1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124.45009999999999</v>
      </c>
      <c r="AE13" s="37" cm="1">
        <f t="array" aca="1" ref="AE1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199.23837500000005</v>
      </c>
      <c r="AF13" s="38" cm="1">
        <f t="array" aca="1" ref="AF13" ca="1">$AE14 / (_xlfn.XLOOKUP(ValueFromColumnName("Ice Cream Amount",ROW()),Specs!A:A,Specs!B:B,0))</f>
        <v>0.11103924418604652</v>
      </c>
      <c r="AG13" s="37" cm="1">
        <f t="array" aca="1" ref="AG1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16.227600000000002</v>
      </c>
      <c r="AH13" s="54" cm="1">
        <f t="array" aca="1" ref="AH1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135.07289464411559</v>
      </c>
      <c r="AI13" s="37" cm="1">
        <f t="array" aca="1" ref="AI1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8.1958451814658222</v>
      </c>
      <c r="AJ13" s="37" cm="1">
        <f t="array" aca="1" ref="AJ1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11.735225070472167</v>
      </c>
      <c r="AK13" s="37" cm="1">
        <f t="array" aca="1" ref="AK1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0.30260416666666667</v>
      </c>
      <c r="AL13" s="39" cm="1">
        <f t="array" aca="1" ref="AL1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4.3072049340527947</v>
      </c>
      <c r="AM13" s="40" t="e" cm="1">
        <f t="array" ref="AM13">ROUNDUP((ValueFromColumnName("Cost",ROW())+Specs!$Q$2+_xlfn.XLOOKUP(ValueFromColumnName("Ice Cream Amount",ROW()),Specs!A:A,Specs!V:V,0))*Specs!$N$2,0)</f>
        <v>#VALUE!</v>
      </c>
    </row>
    <row r="14" spans="1:39" x14ac:dyDescent="0.25">
      <c r="A14" s="42" t="s">
        <v>408</v>
      </c>
      <c r="B14" s="31" t="s">
        <v>65</v>
      </c>
      <c r="C14" s="31" t="s">
        <v>75</v>
      </c>
      <c r="D14" s="31" t="s">
        <v>0</v>
      </c>
      <c r="E14" s="31" t="s">
        <v>386</v>
      </c>
      <c r="F14" s="31" t="s">
        <v>406</v>
      </c>
      <c r="G14" s="31"/>
      <c r="H14" s="31"/>
      <c r="I14" s="31"/>
      <c r="J14" s="31"/>
      <c r="K14" s="30" t="s">
        <v>43</v>
      </c>
      <c r="L14" s="30" t="s">
        <v>157</v>
      </c>
      <c r="M14" s="30" t="s">
        <v>6</v>
      </c>
      <c r="N14" s="30" t="s">
        <v>154</v>
      </c>
      <c r="O14" s="30"/>
      <c r="P14" s="30"/>
      <c r="Q14" s="30" cm="1">
        <f t="array" aca="1" ref="Q1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229.185</v>
      </c>
      <c r="R14" s="30" cm="1">
        <f t="array" aca="1" ref="R1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114.5925</v>
      </c>
      <c r="S14" s="30">
        <f t="shared" ca="1" si="0"/>
        <v>343.77750000000003</v>
      </c>
      <c r="T14" s="30" cm="1">
        <f t="array" aca="1" ref="T1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14" s="30" cm="1">
        <f t="array" aca="1" ref="U1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4" s="30" cm="1">
        <f t="array" aca="1" ref="V1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47.300000000000004</v>
      </c>
      <c r="W14" s="30" cm="1">
        <f t="array" aca="1" ref="W1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4" s="30" cm="1">
        <f t="array" aca="1" ref="X1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4" s="30" cm="1">
        <f t="array" aca="1" ref="Y1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4" s="34" cm="1">
        <f t="array" aca="1" ref="Z1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1.2375990000000001</v>
      </c>
      <c r="AA14" s="35" cm="1">
        <f t="array" aca="1" ref="AA14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14" s="57" cm="1">
        <f t="array" aca="1" ref="AB1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1159.0944212962963</v>
      </c>
      <c r="AC14" s="36" cm="1">
        <f t="array" aca="1" ref="AC1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4" s="36" cm="1">
        <f t="array" aca="1" ref="AD1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62.295632523148143</v>
      </c>
      <c r="AE14" s="37" cm="1">
        <f t="array" aca="1" ref="AE1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105.043125</v>
      </c>
      <c r="AF14" s="38" cm="1">
        <f t="array" aca="1" ref="AF14" ca="1">$AE15 / (_xlfn.XLOOKUP(ValueFromColumnName("Ice Cream Amount",ROW()),Specs!A:A,Specs!B:B,0))</f>
        <v>0.82346320521102501</v>
      </c>
      <c r="AG14" s="37" cm="1">
        <f t="array" aca="1" ref="AG1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3.81975</v>
      </c>
      <c r="AH14" s="54" cm="1">
        <f t="array" aca="1" ref="AH1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171.92324337768937</v>
      </c>
      <c r="AI14" s="37" cm="1">
        <f t="array" aca="1" ref="AI1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9.868442357915681</v>
      </c>
      <c r="AJ14" s="37" cm="1">
        <f t="array" aca="1" ref="AJ1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14.56000341997264</v>
      </c>
      <c r="AK14" s="37" cm="1">
        <f t="array" aca="1" ref="AK1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2.4705882352941178</v>
      </c>
      <c r="AL14" s="39" cm="1">
        <f t="array" aca="1" ref="AL1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1.7859354300005903</v>
      </c>
      <c r="AM14" s="40" t="e" cm="1">
        <f t="array" ref="AM14">ROUNDUP((ValueFromColumnName("Cost",ROW())+Specs!$Q$2+_xlfn.XLOOKUP(ValueFromColumnName("Ice Cream Amount",ROW()),Specs!A:A,Specs!V:V,0))*Specs!$N$2,0)</f>
        <v>#VALUE!</v>
      </c>
    </row>
    <row r="15" spans="1:39" x14ac:dyDescent="0.25">
      <c r="A15" s="42" t="s">
        <v>260</v>
      </c>
      <c r="B15" s="31"/>
      <c r="C15" s="31"/>
      <c r="D15" s="31"/>
      <c r="E15" s="31"/>
      <c r="F15" s="31"/>
      <c r="G15" s="31"/>
      <c r="H15" s="31"/>
      <c r="I15" s="31"/>
      <c r="J15" s="31"/>
      <c r="K15" s="30"/>
      <c r="L15" s="30"/>
      <c r="M15" s="30"/>
      <c r="N15" s="30"/>
      <c r="O15" s="30"/>
      <c r="P15" s="30"/>
      <c r="Q15" s="30" cm="1">
        <f t="array" aca="1" ref="Q1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847.93500000000006</v>
      </c>
      <c r="R15" s="30" cm="1">
        <f t="array" aca="1" ref="R1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423.96750000000003</v>
      </c>
      <c r="S15" s="30">
        <f t="shared" ca="1" si="0"/>
        <v>1271.9025000000001</v>
      </c>
      <c r="T15" s="30" cm="1">
        <f t="array" aca="1" ref="T1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U15" s="30" cm="1">
        <f t="array" aca="1" ref="U1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5" s="30" cm="1">
        <f t="array" aca="1" ref="V1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282.02395833333333</v>
      </c>
      <c r="W15" s="30" cm="1">
        <f t="array" aca="1" ref="W1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5" s="30" cm="1">
        <f t="array" aca="1" ref="X1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5" s="30" cm="1">
        <f t="array" aca="1" ref="Y1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5" s="34" cm="1">
        <f t="array" aca="1" ref="Z1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4.5788490000000008</v>
      </c>
      <c r="AA15" s="35" cm="1">
        <f t="array" aca="1" ref="AA15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B15" s="57" cm="1">
        <f t="array" aca="1" ref="AB1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4165.74</v>
      </c>
      <c r="AC15" s="36" cm="1">
        <f t="array" aca="1" ref="AC1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5" s="36" cm="1">
        <f t="array" aca="1" ref="AD1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214.13225</v>
      </c>
      <c r="AE15" s="37" cm="1">
        <f t="array" aca="1" ref="AE1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389.49809606481483</v>
      </c>
      <c r="AF15" s="38" cm="1">
        <f t="array" aca="1" ref="AF15" ca="1">$AE16 / (_xlfn.XLOOKUP(ValueFromColumnName("Ice Cream Amount",ROW()),Specs!A:A,Specs!B:B,0))</f>
        <v>6.7197852760736212E-2</v>
      </c>
      <c r="AG15" s="37" cm="1">
        <f t="array" aca="1" ref="AG1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16.285302662037036</v>
      </c>
      <c r="AH15" s="54" cm="1">
        <f t="array" aca="1" ref="AH1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198.15011154489682</v>
      </c>
      <c r="AI15" s="37" cm="1">
        <f t="array" aca="1" ref="AI1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13.415607919687677</v>
      </c>
      <c r="AJ15" s="37" cm="1">
        <f t="array" aca="1" ref="AJ1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15.692638036809816</v>
      </c>
      <c r="AK15" s="37" cm="1">
        <f t="array" aca="1" ref="AK1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6.25</v>
      </c>
      <c r="AL15" s="39" cm="1">
        <f t="array" aca="1" ref="AL1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11.224898703740658</v>
      </c>
      <c r="AM15" s="40" t="e" cm="1">
        <f t="array" ref="AM15">ROUNDUP((ValueFromColumnName("Cost",ROW())+Specs!$Q$2+_xlfn.XLOOKUP(ValueFromColumnName("Ice Cream Amount",ROW()),Specs!A:A,Specs!V:V,0))*Specs!$N$2,0)</f>
        <v>#VALUE!</v>
      </c>
    </row>
    <row r="16" spans="1:39" x14ac:dyDescent="0.25">
      <c r="A16" s="30" t="s">
        <v>454</v>
      </c>
      <c r="B16" s="31" t="s">
        <v>71</v>
      </c>
      <c r="C16" s="31" t="s">
        <v>177</v>
      </c>
      <c r="D16" s="31" t="s">
        <v>0</v>
      </c>
      <c r="E16" s="31" t="s">
        <v>248</v>
      </c>
      <c r="F16" s="31" t="s">
        <v>102</v>
      </c>
      <c r="G16" s="31"/>
      <c r="H16" s="31"/>
      <c r="I16" s="31" t="s">
        <v>1</v>
      </c>
      <c r="J16" s="31"/>
      <c r="K16" s="30" t="s">
        <v>4</v>
      </c>
      <c r="L16" s="30" t="s">
        <v>175</v>
      </c>
      <c r="M16" s="30" t="s">
        <v>157</v>
      </c>
      <c r="N16" s="30" t="s">
        <v>156</v>
      </c>
      <c r="O16" s="30" t="s">
        <v>158</v>
      </c>
      <c r="P16" s="30"/>
      <c r="Q16" s="30" cm="1">
        <f t="array" aca="1" ref="Q1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262.87800000000004</v>
      </c>
      <c r="R16" s="30" cm="1">
        <f t="array" aca="1" ref="R1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131.43900000000002</v>
      </c>
      <c r="S16" s="30">
        <f t="shared" ca="1" si="0"/>
        <v>394.31700000000006</v>
      </c>
      <c r="T16" s="30" cm="1">
        <f t="array" aca="1" ref="T1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1.875</v>
      </c>
      <c r="U16" s="30" cm="1">
        <f t="array" aca="1" ref="U1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1.875</v>
      </c>
      <c r="V16" s="30" cm="1">
        <f t="array" aca="1" ref="V1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44.343750000000007</v>
      </c>
      <c r="W16" s="30" cm="1">
        <f t="array" aca="1" ref="W1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6" s="30" cm="1">
        <f t="array" aca="1" ref="X1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6" s="30" cm="1">
        <f t="array" aca="1" ref="Y1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6" s="34" cm="1">
        <f t="array" aca="1" ref="Z1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1.4195412000000003</v>
      </c>
      <c r="AA16" s="35" cm="1">
        <f t="array" aca="1" ref="AA16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16" s="57" cm="1">
        <f t="array" aca="1" ref="AB1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1256.0370000000003</v>
      </c>
      <c r="AC16" s="36" cm="1">
        <f t="array" aca="1" ref="AC1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6" s="36" cm="1">
        <f t="array" aca="1" ref="AD1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55.7438</v>
      </c>
      <c r="AE16" s="37" cm="1">
        <f t="array" aca="1" ref="AE1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120.48575000000002</v>
      </c>
      <c r="AF16" s="38" cm="1">
        <f t="array" aca="1" ref="AF16" ca="1">$AE17 / (_xlfn.XLOOKUP(ValueFromColumnName("Ice Cream Amount",ROW()),Specs!A:A,Specs!B:B,0))</f>
        <v>0.44415697674418608</v>
      </c>
      <c r="AG16" s="37" cm="1">
        <f t="array" aca="1" ref="AG1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4.3813000000000004</v>
      </c>
      <c r="AH16" s="54" cm="1">
        <f t="array" aca="1" ref="AH1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189.3281606765328</v>
      </c>
      <c r="AI16" s="37" cm="1">
        <f t="array" aca="1" ref="AI1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7.4460951374207189</v>
      </c>
      <c r="AJ16" s="37" cm="1">
        <f t="array" aca="1" ref="AJ1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17.721104651162797</v>
      </c>
      <c r="AK16" s="37" cm="1">
        <f t="array" aca="1" ref="AK1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0.375</v>
      </c>
      <c r="AL16" s="39" cm="1">
        <f t="array" aca="1" ref="AL1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1.8586390201163225</v>
      </c>
      <c r="AM16" s="40" t="e" cm="1">
        <f t="array" ref="AM16">ROUNDUP((ValueFromColumnName("Cost",ROW())+Specs!$Q$2+_xlfn.XLOOKUP(ValueFromColumnName("Ice Cream Amount",ROW()),Specs!A:A,Specs!V:V,0))*Specs!$N$2,0)</f>
        <v>#VALUE!</v>
      </c>
    </row>
    <row r="17" spans="1:39" x14ac:dyDescent="0.25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0"/>
      <c r="L17" s="30"/>
      <c r="M17" s="30"/>
      <c r="N17" s="30"/>
      <c r="O17" s="30"/>
      <c r="P17" s="30"/>
      <c r="Q17" s="30" cm="1">
        <f t="array" aca="1" ref="Q1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458.37</v>
      </c>
      <c r="R17" s="30" cm="1">
        <f t="array" aca="1" ref="R1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229.185</v>
      </c>
      <c r="S17" s="30">
        <f t="shared" ca="1" si="0"/>
        <v>687.55500000000006</v>
      </c>
      <c r="T17" s="30" cm="1">
        <f t="array" aca="1" ref="T1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15</v>
      </c>
      <c r="U17" s="30" cm="1">
        <f t="array" aca="1" ref="U1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7" s="30" cm="1">
        <f t="array" aca="1" ref="V1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236.5</v>
      </c>
      <c r="W17" s="30" cm="1">
        <f t="array" aca="1" ref="W1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7" s="30" cm="1">
        <f t="array" aca="1" ref="X1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7" s="30" cm="1">
        <f t="array" aca="1" ref="Y1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7" s="34" cm="1">
        <f t="array" aca="1" ref="Z1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2.4751980000000002</v>
      </c>
      <c r="AA17" s="35" cm="1">
        <f t="array" aca="1" ref="AA17" ca="1">_xlfn.LET(
    _xlpm.XanthanGum, CONVERT(ValueFromColumnName("Xanthan Gum To Use (g)", ROW()), "ml", "tsp"),
    _xlpm.Dummy, SUM(INDIRECT("B" &amp; ROW() &amp; ":O" &amp; ROW())),
    _xlpm.Result, CEILING(_xlpm.XanthanGum, 0.25),
    _xlpm.Result
)</f>
        <v>0.75</v>
      </c>
      <c r="AB17" s="57" cm="1">
        <f t="array" aca="1" ref="AB1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2265.48</v>
      </c>
      <c r="AC17" s="36" cm="1">
        <f t="array" aca="1" ref="AC1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7" s="36" cm="1">
        <f t="array" aca="1" ref="AD1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116.6395</v>
      </c>
      <c r="AE17" s="37" cm="1">
        <f t="array" aca="1" ref="AE1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210.08625000000001</v>
      </c>
      <c r="AF17" s="38" cm="1">
        <f t="array" aca="1" ref="AF17" ca="1">$AE18 / (_xlfn.XLOOKUP(ValueFromColumnName("Ice Cream Amount",ROW()),Specs!A:A,Specs!B:B,0))</f>
        <v>0.12616424418604652</v>
      </c>
      <c r="AG17" s="37" cm="1">
        <f t="array" aca="1" ref="AG1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7.6395</v>
      </c>
      <c r="AH17" s="54" cm="1">
        <f t="array" aca="1" ref="AH1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215.20187164548409</v>
      </c>
      <c r="AI17" s="37" cm="1">
        <f t="array" aca="1" ref="AI1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11.760055394272516</v>
      </c>
      <c r="AJ17" s="37" cm="1">
        <f t="array" aca="1" ref="AJ1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16.366805333897606</v>
      </c>
      <c r="AK17" s="37" cm="1">
        <f t="array" aca="1" ref="AK1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4.3622012716509522</v>
      </c>
      <c r="AL17" s="39" cm="1">
        <f t="array" aca="1" ref="AL1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3.5718708600011806</v>
      </c>
      <c r="AM17" s="40" t="e" cm="1">
        <f t="array" ref="AM17">ROUNDUP((ValueFromColumnName("Cost",ROW())+Specs!$Q$2+_xlfn.XLOOKUP(ValueFromColumnName("Ice Cream Amount",ROW()),Specs!A:A,Specs!V:V,0))*Specs!$N$2,0)</f>
        <v>#VALUE!</v>
      </c>
    </row>
    <row r="18" spans="1:39" x14ac:dyDescent="0.25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0"/>
      <c r="L18" s="30"/>
      <c r="M18" s="30"/>
      <c r="N18" s="30"/>
      <c r="O18" s="30"/>
      <c r="P18" s="30"/>
      <c r="Q18" s="30" cm="1">
        <f t="array" aca="1" ref="Q1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260.40300000000002</v>
      </c>
      <c r="R18" s="30" cm="1">
        <f t="array" aca="1" ref="R1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130.20150000000001</v>
      </c>
      <c r="S18" s="30">
        <f t="shared" ca="1" si="0"/>
        <v>390.60450000000003</v>
      </c>
      <c r="T18" s="30" cm="1">
        <f t="array" aca="1" ref="T1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18" s="30" cm="1">
        <f t="array" aca="1" ref="U1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8" s="30" cm="1">
        <f t="array" aca="1" ref="V1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59.125000000000007</v>
      </c>
      <c r="W18" s="30" cm="1">
        <f t="array" aca="1" ref="W1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8" s="30" cm="1">
        <f t="array" aca="1" ref="X1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8" s="30" cm="1">
        <f t="array" aca="1" ref="Y1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8" s="34" cm="1">
        <f t="array" aca="1" ref="Z1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1.4061762</v>
      </c>
      <c r="AA18" s="35" cm="1">
        <f t="array" aca="1" ref="AA18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18" s="57" cm="1">
        <f t="array" aca="1" ref="AB1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1494.1120000000001</v>
      </c>
      <c r="AC18" s="36" cm="1">
        <f t="array" aca="1" ref="AC1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8" s="36" cm="1">
        <f t="array" aca="1" ref="AD1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61.796300000000002</v>
      </c>
      <c r="AE18" s="37" cm="1">
        <f t="array" aca="1" ref="AE1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119.351375</v>
      </c>
      <c r="AF18" s="38" cm="1">
        <f t="array" aca="1" ref="AF18" ca="1">$AE19 / (_xlfn.XLOOKUP(ValueFromColumnName("Ice Cream Amount",ROW()),Specs!A:A,Specs!B:B,0))</f>
        <v>0.25871866505587432</v>
      </c>
      <c r="AG18" s="37" cm="1">
        <f t="array" aca="1" ref="AG1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4.3400500000000006</v>
      </c>
      <c r="AH18" s="54" cm="1">
        <f t="array" aca="1" ref="AH1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181.02794926004231</v>
      </c>
      <c r="AI18" s="37" cm="1">
        <f t="array" aca="1" ref="AI1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11.363854122621566</v>
      </c>
      <c r="AJ18" s="37" cm="1">
        <f t="array" aca="1" ref="AJ1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15.139709302325583</v>
      </c>
      <c r="AK18" s="37" cm="1">
        <f t="array" aca="1" ref="AK1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3.9000000000000008</v>
      </c>
      <c r="AL18" s="39" cm="1">
        <f t="array" aca="1" ref="AL1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1.9696095887307494</v>
      </c>
      <c r="AM18" s="40" t="e" cm="1">
        <f t="array" ref="AM18">ROUNDUP((ValueFromColumnName("Cost",ROW())+Specs!$Q$2+_xlfn.XLOOKUP(ValueFromColumnName("Ice Cream Amount",ROW()),Specs!A:A,Specs!V:V,0))*Specs!$N$2,0)</f>
        <v>#VALUE!</v>
      </c>
    </row>
    <row r="19" spans="1:39" x14ac:dyDescent="0.25">
      <c r="A19" s="30" t="s">
        <v>261</v>
      </c>
      <c r="B19" s="31" t="s">
        <v>66</v>
      </c>
      <c r="C19" s="31" t="s">
        <v>68</v>
      </c>
      <c r="D19" s="31"/>
      <c r="E19" s="31"/>
      <c r="F19" s="31"/>
      <c r="G19" s="31"/>
      <c r="H19" s="31"/>
      <c r="I19" s="31"/>
      <c r="J19" s="31"/>
      <c r="K19" s="30"/>
      <c r="L19" s="30"/>
      <c r="M19" s="30"/>
      <c r="N19" s="30"/>
      <c r="O19" s="30"/>
      <c r="P19" s="30"/>
      <c r="Q19" s="30" cm="1">
        <f t="array" aca="1" ref="Q1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229.185</v>
      </c>
      <c r="R19" s="30" cm="1">
        <f t="array" aca="1" ref="R1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114.5925</v>
      </c>
      <c r="S19" s="30">
        <f t="shared" ca="1" si="0"/>
        <v>343.77750000000003</v>
      </c>
      <c r="T19" s="30" cm="1">
        <f t="array" aca="1" ref="T1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19" s="30" cm="1">
        <f t="array" aca="1" ref="U1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9" s="30" cm="1">
        <f t="array" aca="1" ref="V1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33.996875000000003</v>
      </c>
      <c r="W19" s="30" cm="1">
        <f t="array" aca="1" ref="W1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9.8541666666666679</v>
      </c>
      <c r="X19" s="30" cm="1">
        <f t="array" aca="1" ref="X1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9" s="30" cm="1">
        <f t="array" aca="1" ref="Y1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9" s="34" cm="1">
        <f t="array" aca="1" ref="Z1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1.2375990000000001</v>
      </c>
      <c r="AA19" s="35" cm="1">
        <f t="array" aca="1" ref="AA19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19" s="57" cm="1">
        <f t="array" aca="1" ref="AB1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1323.6411160714285</v>
      </c>
      <c r="AC19" s="36" cm="1">
        <f t="array" aca="1" ref="AC1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9.8541666666666679</v>
      </c>
      <c r="AD19" s="36" cm="1">
        <f t="array" aca="1" ref="AD1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56.529645833333333</v>
      </c>
      <c r="AE19" s="37" cm="1">
        <f t="array" aca="1" ref="AE1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122.37392857142856</v>
      </c>
      <c r="AF19" s="38" cm="1">
        <f t="array" aca="1" ref="AF19" ca="1">$AE20 / (_xlfn.XLOOKUP(ValueFromColumnName("Ice Cream Amount",ROW()),Specs!A:A,Specs!B:B,0))</f>
        <v>0</v>
      </c>
      <c r="AG19" s="37" cm="1">
        <f t="array" aca="1" ref="AG1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13.59958630952381</v>
      </c>
      <c r="AH19" s="54" cm="1">
        <f t="array" aca="1" ref="AH1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167.54659279673814</v>
      </c>
      <c r="AI19" s="37" cm="1">
        <f t="array" aca="1" ref="AI1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7.1663153125943824</v>
      </c>
      <c r="AJ19" s="37" cm="1">
        <f t="array" aca="1" ref="AJ1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15.648119903352463</v>
      </c>
      <c r="AK19" s="37" cm="1">
        <f t="array" aca="1" ref="AK1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0.33928571428571436</v>
      </c>
      <c r="AL19" s="39" cm="1">
        <f t="array" aca="1" ref="AL1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2.7146270669430859</v>
      </c>
      <c r="AM19" s="40" t="e" cm="1">
        <f t="array" ref="AM19">ROUNDUP((ValueFromColumnName("Cost",ROW())+Specs!$Q$2+_xlfn.XLOOKUP(ValueFromColumnName("Ice Cream Amount",ROW()),Specs!A:A,Specs!V:V,0))*Specs!$N$2,0)</f>
        <v>#VALUE!</v>
      </c>
    </row>
    <row r="20" spans="1:39" x14ac:dyDescent="0.25">
      <c r="A20" s="30" t="s">
        <v>542</v>
      </c>
      <c r="B20" s="31" t="s">
        <v>62</v>
      </c>
      <c r="C20" s="31" t="s">
        <v>65</v>
      </c>
      <c r="D20" s="31" t="s">
        <v>99</v>
      </c>
      <c r="E20" s="31" t="s">
        <v>0</v>
      </c>
      <c r="F20" s="31" t="s">
        <v>126</v>
      </c>
      <c r="G20" s="31"/>
      <c r="H20" s="31"/>
      <c r="I20" s="31" t="s">
        <v>510</v>
      </c>
      <c r="J20" s="31"/>
      <c r="K20" s="30" t="s">
        <v>4</v>
      </c>
      <c r="L20" s="30" t="s">
        <v>175</v>
      </c>
      <c r="M20" s="30" t="s">
        <v>175</v>
      </c>
      <c r="N20" s="30" t="s">
        <v>154</v>
      </c>
      <c r="O20" s="30" t="s">
        <v>173</v>
      </c>
      <c r="P20" s="30"/>
      <c r="Q20" s="30" t="e" cm="1">
        <f t="array" aca="1" ref="Q2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0" s="30" t="e" cm="1">
        <f t="array" aca="1" ref="R2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0" s="30" t="e">
        <f t="shared" ca="1" si="0"/>
        <v>#VALUE!</v>
      </c>
      <c r="T20" s="30" t="e" cm="1">
        <f t="array" aca="1" ref="T2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0" s="30" t="e" cm="1">
        <f t="array" aca="1" ref="U2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0" s="30" t="e" cm="1">
        <f t="array" aca="1" ref="V2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0" s="30" t="e" cm="1">
        <f t="array" aca="1" ref="W2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0" s="30" t="e" cm="1">
        <f t="array" aca="1" ref="X2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20" s="30" t="e" cm="1">
        <f t="array" aca="1" ref="Y2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0" s="34" cm="1">
        <f t="array" aca="1" ref="Z2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0" s="35" cm="1">
        <f t="array" aca="1" ref="AA20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0" s="57" cm="1">
        <f t="array" aca="1" ref="AB2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20" s="36" cm="1">
        <f t="array" aca="1" ref="AC2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0" s="36" cm="1">
        <f t="array" aca="1" ref="AD2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20" s="37" cm="1">
        <f t="array" aca="1" ref="AE2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0" s="38" t="e" cm="1">
        <f t="array" aca="1" ref="AF20" ca="1">$AE21 / (_xlfn.XLOOKUP(ValueFromColumnName("Ice Cream Amount",ROW()),Specs!A:A,Specs!B:B,0))</f>
        <v>#VALUE!</v>
      </c>
      <c r="AG20" s="37" cm="1">
        <f t="array" aca="1" ref="AG2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0" s="54" t="e" cm="1">
        <f t="array" aca="1" ref="AH2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0" s="37" t="e" cm="1">
        <f t="array" aca="1" ref="AI2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20" s="37" t="e" cm="1">
        <f t="array" aca="1" ref="AJ2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0" s="37" t="e" cm="1">
        <f t="array" aca="1" ref="AK2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20" s="39" cm="1">
        <f t="array" aca="1" ref="AL2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20" s="40" t="e" cm="1">
        <f t="array" ref="AM20">ROUNDUP((ValueFromColumnName("Cost",ROW())+Specs!$Q$2+_xlfn.XLOOKUP(ValueFromColumnName("Ice Cream Amount",ROW()),Specs!A:A,Specs!V:V,0))*Specs!$N$2,0)</f>
        <v>#VALUE!</v>
      </c>
    </row>
    <row r="21" spans="1:39" x14ac:dyDescent="0.25">
      <c r="A21" s="30" t="s">
        <v>772</v>
      </c>
      <c r="B21" s="31" t="s">
        <v>62</v>
      </c>
      <c r="C21" s="31" t="s">
        <v>65</v>
      </c>
      <c r="D21" s="31" t="s">
        <v>99</v>
      </c>
      <c r="E21" s="31" t="s">
        <v>0</v>
      </c>
      <c r="F21" s="31" t="s">
        <v>126</v>
      </c>
      <c r="G21" s="31"/>
      <c r="H21" s="31"/>
      <c r="I21" s="31" t="s">
        <v>1</v>
      </c>
      <c r="J21" s="31"/>
      <c r="K21" s="30" t="s">
        <v>4</v>
      </c>
      <c r="L21" s="30" t="s">
        <v>175</v>
      </c>
      <c r="M21" s="30" t="s">
        <v>175</v>
      </c>
      <c r="N21" s="30" t="s">
        <v>154</v>
      </c>
      <c r="O21" s="30" t="s">
        <v>173</v>
      </c>
      <c r="P21" s="30"/>
      <c r="Q21" s="30" t="e" cm="1">
        <f t="array" aca="1" ref="Q2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1" s="30" t="e" cm="1">
        <f t="array" aca="1" ref="R2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1" s="30" t="e">
        <f t="shared" ca="1" si="0"/>
        <v>#VALUE!</v>
      </c>
      <c r="T21" s="30" t="e" cm="1">
        <f t="array" aca="1" ref="T2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1" s="30" t="e" cm="1">
        <f t="array" aca="1" ref="U2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1" s="30" t="e" cm="1">
        <f t="array" aca="1" ref="V2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1" s="30" t="e" cm="1">
        <f t="array" aca="1" ref="W2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1" s="30" cm="1">
        <f t="array" aca="1" ref="X2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1" s="30" t="e" cm="1">
        <f t="array" aca="1" ref="Y2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1" s="34" cm="1">
        <f t="array" aca="1" ref="Z2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1" s="35" cm="1">
        <f t="array" aca="1" ref="AA21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1" s="57" cm="1">
        <f t="array" aca="1" ref="AB2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21" s="36" cm="1">
        <f t="array" aca="1" ref="AC2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1" s="36" cm="1">
        <f t="array" aca="1" ref="AD2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21" s="37" cm="1">
        <f t="array" aca="1" ref="AE2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1" s="38" t="e" cm="1">
        <f t="array" aca="1" ref="AF21" ca="1">$AE22 / (_xlfn.XLOOKUP(ValueFromColumnName("Ice Cream Amount",ROW()),Specs!A:A,Specs!B:B,0))</f>
        <v>#VALUE!</v>
      </c>
      <c r="AG21" s="37" cm="1">
        <f t="array" aca="1" ref="AG2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1" s="54" t="e" cm="1">
        <f t="array" aca="1" ref="AH2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1" s="37" t="e" cm="1">
        <f t="array" aca="1" ref="AI2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21" s="37" t="e" cm="1">
        <f t="array" aca="1" ref="AJ2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1" s="37" t="e" cm="1">
        <f t="array" aca="1" ref="AK2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21" s="39" cm="1">
        <f t="array" aca="1" ref="AL2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21" s="40" t="e" cm="1">
        <f t="array" ref="AM21">ROUNDUP((ValueFromColumnName("Cost",ROW())+Specs!$Q$2+_xlfn.XLOOKUP(ValueFromColumnName("Ice Cream Amount",ROW()),Specs!A:A,Specs!V:V,0))*Specs!$N$2,0)</f>
        <v>#VALUE!</v>
      </c>
    </row>
    <row r="22" spans="1:39" x14ac:dyDescent="0.25">
      <c r="A22" s="30" t="s">
        <v>445</v>
      </c>
      <c r="B22" s="31" t="s">
        <v>65</v>
      </c>
      <c r="C22" s="31" t="s">
        <v>75</v>
      </c>
      <c r="D22" s="31" t="s">
        <v>0</v>
      </c>
      <c r="E22" s="31"/>
      <c r="F22" s="31"/>
      <c r="G22" s="31"/>
      <c r="H22" s="31"/>
      <c r="I22" s="31" t="s">
        <v>1</v>
      </c>
      <c r="J22" s="31" t="s">
        <v>1</v>
      </c>
      <c r="K22" s="30" t="s">
        <v>43</v>
      </c>
      <c r="L22" s="30" t="s">
        <v>157</v>
      </c>
      <c r="M22" s="30"/>
      <c r="N22" s="30"/>
      <c r="O22" s="30" t="s">
        <v>158</v>
      </c>
      <c r="P22" s="30" t="s">
        <v>159</v>
      </c>
      <c r="Q22" s="30" cm="1">
        <f t="array" aca="1" ref="Q2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R22" s="30" cm="1">
        <f t="array" aca="1" ref="R2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S22" s="30">
        <f t="shared" ca="1" si="0"/>
        <v>460.84500000000003</v>
      </c>
      <c r="T22" s="30" cm="1">
        <f t="array" aca="1" ref="T2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22" s="30" cm="1">
        <f t="array" aca="1" ref="U2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22" s="30" cm="1">
        <f t="array" aca="1" ref="V2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22" s="30" cm="1">
        <f t="array" aca="1" ref="W2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22" s="30" cm="1">
        <f t="array" aca="1" ref="X2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2" s="30" cm="1">
        <f t="array" aca="1" ref="Y2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22" s="34" cm="1">
        <f t="array" aca="1" ref="Z2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3.3180840000000003</v>
      </c>
      <c r="AA22" s="35" cm="1">
        <f t="array" aca="1" ref="AA22" ca="1">_xlfn.LET(
    _xlpm.XanthanGum, CONVERT(ValueFromColumnName("Xanthan Gum To Use (g)", ROW()), "ml", "tsp"),
    _xlpm.Dummy, SUM(INDIRECT("B" &amp; ROW() &amp; ":O" &amp; ROW())),
    _xlpm.Result, CEILING(_xlpm.XanthanGum, 0.25),
    _xlpm.Result
)</f>
        <v>0.75</v>
      </c>
      <c r="AB22" s="57" cm="1">
        <f t="array" aca="1" ref="AB2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355.33250000000004</v>
      </c>
      <c r="AC22" s="36" cm="1">
        <f t="array" aca="1" ref="AC2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2" s="36" cm="1">
        <f t="array" aca="1" ref="AD2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40.343500000000006</v>
      </c>
      <c r="AE22" s="37" cm="1">
        <f t="array" aca="1" ref="AE2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2" s="38" cm="1">
        <f t="array" aca="1" ref="AF22" ca="1">$AE23 / (_xlfn.XLOOKUP(ValueFromColumnName("Ice Cream Amount",ROW()),Specs!A:A,Specs!B:B,0))</f>
        <v>0</v>
      </c>
      <c r="AG22" s="37" cm="1">
        <f t="array" aca="1" ref="AG2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20.482000000000003</v>
      </c>
      <c r="AH22" s="54" cm="1">
        <f t="array" aca="1" ref="AH2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52.050634249471464</v>
      </c>
      <c r="AI22" s="37" cm="1">
        <f t="array" aca="1" ref="AI2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5.117568710359409</v>
      </c>
      <c r="AJ22" s="37" cm="1">
        <f t="array" aca="1" ref="AJ2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0.5720930232558139</v>
      </c>
      <c r="AK22" s="37" cm="1">
        <f t="array" aca="1" ref="AK2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22" s="39" cm="1">
        <f t="array" aca="1" ref="AL2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2.7450861409182621</v>
      </c>
      <c r="AM22" s="40" t="e" cm="1">
        <f t="array" ref="AM22">ROUNDUP((ValueFromColumnName("Cost",ROW())+Specs!$Q$2+_xlfn.XLOOKUP(ValueFromColumnName("Ice Cream Amount",ROW()),Specs!A:A,Specs!V:V,0))*Specs!$N$2,0)</f>
        <v>#VALUE!</v>
      </c>
    </row>
    <row r="23" spans="1:39" x14ac:dyDescent="0.25">
      <c r="A23" s="30" t="s">
        <v>446</v>
      </c>
      <c r="B23" s="31" t="s">
        <v>65</v>
      </c>
      <c r="C23" s="31" t="s">
        <v>75</v>
      </c>
      <c r="D23" s="31" t="s">
        <v>0</v>
      </c>
      <c r="E23" s="31"/>
      <c r="F23" s="31" t="s">
        <v>3</v>
      </c>
      <c r="G23" s="31"/>
      <c r="H23" s="31"/>
      <c r="I23" s="31" t="s">
        <v>1</v>
      </c>
      <c r="J23" s="31"/>
      <c r="K23" s="30" t="s">
        <v>43</v>
      </c>
      <c r="L23" s="30" t="s">
        <v>157</v>
      </c>
      <c r="M23" s="30" t="s">
        <v>44</v>
      </c>
      <c r="N23" s="30" t="s">
        <v>156</v>
      </c>
      <c r="O23" s="30" t="s">
        <v>158</v>
      </c>
      <c r="P23" s="30" t="s">
        <v>159</v>
      </c>
      <c r="Q23" s="30" t="e" cm="1">
        <f t="array" aca="1" ref="Q2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3" s="30" t="e" cm="1">
        <f t="array" aca="1" ref="R2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3" s="30" t="e">
        <f t="shared" ca="1" si="0"/>
        <v>#VALUE!</v>
      </c>
      <c r="T23" s="30" t="e" cm="1">
        <f t="array" aca="1" ref="T2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3" s="30" t="e" cm="1">
        <f t="array" aca="1" ref="U2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3" s="30" t="e" cm="1">
        <f t="array" aca="1" ref="V2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3" s="30" t="e" cm="1">
        <f t="array" aca="1" ref="W2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3" s="30" cm="1">
        <f t="array" aca="1" ref="X2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3" s="30" t="e" cm="1">
        <f t="array" aca="1" ref="Y2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3" s="34" cm="1">
        <f t="array" aca="1" ref="Z2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3" s="35" cm="1">
        <f t="array" aca="1" ref="AA23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3" s="57" cm="1">
        <f t="array" aca="1" ref="AB2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23" s="36" cm="1">
        <f t="array" aca="1" ref="AC2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3" s="36" cm="1">
        <f t="array" aca="1" ref="AD2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23" s="37" cm="1">
        <f t="array" aca="1" ref="AE2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3" s="38" t="e" cm="1">
        <f t="array" aca="1" ref="AF23" ca="1">$AE24 / (_xlfn.XLOOKUP(ValueFromColumnName("Ice Cream Amount",ROW()),Specs!A:A,Specs!B:B,0))</f>
        <v>#VALUE!</v>
      </c>
      <c r="AG23" s="37" cm="1">
        <f t="array" aca="1" ref="AG2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3" s="54" t="e" cm="1">
        <f t="array" aca="1" ref="AH2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3" s="37" t="e" cm="1">
        <f t="array" aca="1" ref="AI2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23" s="37" t="e" cm="1">
        <f t="array" aca="1" ref="AJ2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3" s="37" t="e" cm="1">
        <f t="array" aca="1" ref="AK2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23" s="39" cm="1">
        <f t="array" aca="1" ref="AL2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23" s="40" t="e" cm="1">
        <f t="array" ref="AM23">ROUNDUP((ValueFromColumnName("Cost",ROW())+Specs!$Q$2+_xlfn.XLOOKUP(ValueFromColumnName("Ice Cream Amount",ROW()),Specs!A:A,Specs!V:V,0))*Specs!$N$2,0)</f>
        <v>#VALUE!</v>
      </c>
    </row>
    <row r="24" spans="1:39" x14ac:dyDescent="0.25">
      <c r="A24" s="30" t="s">
        <v>349</v>
      </c>
      <c r="B24" s="31" t="s">
        <v>65</v>
      </c>
      <c r="C24" s="31" t="s">
        <v>75</v>
      </c>
      <c r="D24" s="31" t="s">
        <v>0</v>
      </c>
      <c r="E24" s="31" t="s">
        <v>263</v>
      </c>
      <c r="F24" s="31"/>
      <c r="G24" s="31"/>
      <c r="H24" s="31"/>
      <c r="I24" s="31" t="s">
        <v>1</v>
      </c>
      <c r="J24" s="31"/>
      <c r="K24" s="30" t="s">
        <v>43</v>
      </c>
      <c r="L24" s="30" t="s">
        <v>157</v>
      </c>
      <c r="M24" s="30" t="s">
        <v>6</v>
      </c>
      <c r="N24" s="30" t="s">
        <v>44</v>
      </c>
      <c r="O24" s="30" t="s">
        <v>158</v>
      </c>
      <c r="P24" s="30"/>
      <c r="Q24" s="30" t="e" cm="1">
        <f t="array" aca="1" ref="Q2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4" s="30" t="e" cm="1">
        <f t="array" aca="1" ref="R2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4" s="30" t="e">
        <f t="shared" ca="1" si="0"/>
        <v>#VALUE!</v>
      </c>
      <c r="T24" s="30" t="e" cm="1">
        <f t="array" aca="1" ref="T2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4" s="30" t="e" cm="1">
        <f t="array" aca="1" ref="U2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4" s="30" t="e" cm="1">
        <f t="array" aca="1" ref="V2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4" s="30" t="e" cm="1">
        <f t="array" aca="1" ref="W2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4" s="30" cm="1">
        <f t="array" aca="1" ref="X2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4" s="30" t="e" cm="1">
        <f t="array" aca="1" ref="Y2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4" s="34" cm="1">
        <f t="array" aca="1" ref="Z2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4" s="35" cm="1">
        <f t="array" aca="1" ref="AA2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4" s="57" cm="1">
        <f t="array" aca="1" ref="AB2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24" s="36" cm="1">
        <f t="array" aca="1" ref="AC2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4" s="36" cm="1">
        <f t="array" aca="1" ref="AD2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24" s="37" cm="1">
        <f t="array" aca="1" ref="AE2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4" s="38" t="e" cm="1">
        <f t="array" aca="1" ref="AF24" ca="1">$AE25 / (_xlfn.XLOOKUP(ValueFromColumnName("Ice Cream Amount",ROW()),Specs!A:A,Specs!B:B,0))</f>
        <v>#VALUE!</v>
      </c>
      <c r="AG24" s="37" cm="1">
        <f t="array" aca="1" ref="AG2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4" s="54" t="e" cm="1">
        <f t="array" aca="1" ref="AH2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4" s="37" t="e" cm="1">
        <f t="array" aca="1" ref="AI2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24" s="37" t="e" cm="1">
        <f t="array" aca="1" ref="AJ2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4" s="37" t="e" cm="1">
        <f t="array" aca="1" ref="AK2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24" s="39" cm="1">
        <f t="array" aca="1" ref="AL2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24" s="40" t="e" cm="1">
        <f t="array" ref="AM24">ROUNDUP((ValueFromColumnName("Cost",ROW())+Specs!$Q$2+_xlfn.XLOOKUP(ValueFromColumnName("Ice Cream Amount",ROW()),Specs!A:A,Specs!V:V,0))*Specs!$N$2,0)</f>
        <v>#VALUE!</v>
      </c>
    </row>
    <row r="25" spans="1:39" x14ac:dyDescent="0.25">
      <c r="A25" s="30" t="s">
        <v>336</v>
      </c>
      <c r="B25" s="31" t="s">
        <v>62</v>
      </c>
      <c r="C25" s="31" t="s">
        <v>65</v>
      </c>
      <c r="D25" s="31" t="s">
        <v>335</v>
      </c>
      <c r="E25" s="31"/>
      <c r="F25" s="31"/>
      <c r="G25" s="31"/>
      <c r="H25" s="31"/>
      <c r="I25" s="31" t="s">
        <v>132</v>
      </c>
      <c r="J25" s="31"/>
      <c r="K25" s="30" t="s">
        <v>4</v>
      </c>
      <c r="L25" s="30" t="s">
        <v>48</v>
      </c>
      <c r="M25" s="30"/>
      <c r="N25" s="30"/>
      <c r="O25" s="30" t="s">
        <v>173</v>
      </c>
      <c r="P25" s="30"/>
      <c r="Q25" s="30" cm="1">
        <f t="array" aca="1" ref="Q2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986.07299999999998</v>
      </c>
      <c r="R25" s="30" cm="1">
        <f t="array" aca="1" ref="R2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493.03649999999999</v>
      </c>
      <c r="S25" s="30">
        <f t="shared" ca="1" si="0"/>
        <v>1479.1095</v>
      </c>
      <c r="T25" s="30" cm="1">
        <f t="array" aca="1" ref="T2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30</v>
      </c>
      <c r="U25" s="30" cm="1">
        <f t="array" aca="1" ref="U2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25" s="30" cm="1">
        <f t="array" aca="1" ref="V2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224.125</v>
      </c>
      <c r="W25" s="30" cm="1">
        <f t="array" aca="1" ref="W2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25" s="30" cm="1">
        <f t="array" aca="1" ref="X2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5" s="30" cm="1">
        <f t="array" aca="1" ref="Y2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25" s="34" cm="1">
        <f t="array" aca="1" ref="Z2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5.3247942000000004</v>
      </c>
      <c r="AA25" s="35" cm="1">
        <f t="array" aca="1" ref="AA25" ca="1">_xlfn.LET(
    _xlpm.XanthanGum, CONVERT(ValueFromColumnName("Xanthan Gum To Use (g)", ROW()), "ml", "tsp"),
    _xlpm.Dummy, SUM(INDIRECT("B" &amp; ROW() &amp; ":O" &amp; ROW())),
    _xlpm.Result, CEILING(_xlpm.XanthanGum, 0.25),
    _xlpm.Result
)</f>
        <v>1.25</v>
      </c>
      <c r="AB25" s="57" cm="1">
        <f t="array" aca="1" ref="AB2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4370.4794999999995</v>
      </c>
      <c r="AC25" s="36" cm="1">
        <f t="array" aca="1" ref="AC2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5" s="36" cm="1">
        <f t="array" aca="1" ref="AD2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101.67205</v>
      </c>
      <c r="AE25" s="37" cm="1">
        <f t="array" aca="1" ref="AE2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480.35217241379303</v>
      </c>
      <c r="AF25" s="38" cm="1">
        <f t="array" aca="1" ref="AF25" ca="1">$AE26 / (_xlfn.XLOOKUP(ValueFromColumnName("Ice Cream Amount",ROW()),Specs!A:A,Specs!B:B,0))</f>
        <v>0</v>
      </c>
      <c r="AG25" s="37" cm="1">
        <f t="array" aca="1" ref="AG2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20.491985344827583</v>
      </c>
      <c r="AH25" s="54" cm="1">
        <f t="array" aca="1" ref="AH2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156.50140546569992</v>
      </c>
      <c r="AI25" s="37" cm="1">
        <f t="array" aca="1" ref="AI2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5.0522994980479652</v>
      </c>
      <c r="AJ25" s="37" cm="1">
        <f t="array" aca="1" ref="AJ2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15.123819018404905</v>
      </c>
      <c r="AK25" s="37" cm="1">
        <f t="array" aca="1" ref="AK2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3.9000000000000004</v>
      </c>
      <c r="AL25" s="39" cm="1">
        <f t="array" aca="1" ref="AL2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10.46688164483669</v>
      </c>
      <c r="AM25" s="40" t="e" cm="1">
        <f t="array" ref="AM25">ROUNDUP((ValueFromColumnName("Cost",ROW())+Specs!$Q$2+_xlfn.XLOOKUP(ValueFromColumnName("Ice Cream Amount",ROW()),Specs!A:A,Specs!V:V,0))*Specs!$N$2,0)</f>
        <v>#VALUE!</v>
      </c>
    </row>
    <row r="26" spans="1:39" x14ac:dyDescent="0.25">
      <c r="A26" s="30" t="s">
        <v>334</v>
      </c>
      <c r="B26" s="31" t="s">
        <v>66</v>
      </c>
      <c r="C26" s="31" t="s">
        <v>283</v>
      </c>
      <c r="D26" s="31" t="s">
        <v>5</v>
      </c>
      <c r="E26" s="31" t="s">
        <v>96</v>
      </c>
      <c r="F26" s="31" t="s">
        <v>234</v>
      </c>
      <c r="G26" s="31"/>
      <c r="H26" s="31"/>
      <c r="I26" s="31" t="s">
        <v>132</v>
      </c>
      <c r="J26" s="31" t="s">
        <v>1</v>
      </c>
      <c r="K26" s="30" t="s">
        <v>43</v>
      </c>
      <c r="L26" s="30" t="s">
        <v>6</v>
      </c>
      <c r="M26" s="30" t="s">
        <v>46</v>
      </c>
      <c r="N26" s="30" t="s">
        <v>156</v>
      </c>
      <c r="O26" s="30" t="s">
        <v>44</v>
      </c>
      <c r="P26" s="30" t="s">
        <v>44</v>
      </c>
      <c r="Q26" s="30" t="e" cm="1">
        <f t="array" aca="1" ref="Q2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6" s="30" t="e" cm="1">
        <f t="array" aca="1" ref="R2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6" s="30" t="e">
        <f t="shared" ca="1" si="0"/>
        <v>#VALUE!</v>
      </c>
      <c r="T26" s="30" t="e" cm="1">
        <f t="array" aca="1" ref="T2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6" s="30" t="e" cm="1">
        <f t="array" aca="1" ref="U2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6" s="30" t="e" cm="1">
        <f t="array" aca="1" ref="V2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6" s="30" t="e" cm="1">
        <f t="array" aca="1" ref="W2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6" s="30" cm="1">
        <f t="array" aca="1" ref="X2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6" s="30" t="e" cm="1">
        <f t="array" aca="1" ref="Y2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6" s="34" cm="1">
        <f t="array" aca="1" ref="Z2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6" s="35" cm="1">
        <f t="array" aca="1" ref="AA26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6" s="57" cm="1">
        <f t="array" aca="1" ref="AB2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26" s="36" cm="1">
        <f t="array" aca="1" ref="AC2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6" s="36" cm="1">
        <f t="array" aca="1" ref="AD2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26" s="37" cm="1">
        <f t="array" aca="1" ref="AE2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6" s="38" t="e" cm="1">
        <f t="array" aca="1" ref="AF26" ca="1">$AE27 / (_xlfn.XLOOKUP(ValueFromColumnName("Ice Cream Amount",ROW()),Specs!A:A,Specs!B:B,0))</f>
        <v>#VALUE!</v>
      </c>
      <c r="AG26" s="37" cm="1">
        <f t="array" aca="1" ref="AG2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6" s="54" t="e" cm="1">
        <f t="array" aca="1" ref="AH2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6" s="37" t="e" cm="1">
        <f t="array" aca="1" ref="AI2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26" s="37" t="e" cm="1">
        <f t="array" aca="1" ref="AJ2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6" s="37" t="e" cm="1">
        <f t="array" aca="1" ref="AK2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26" s="39" cm="1">
        <f t="array" aca="1" ref="AL2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26" s="40" t="e" cm="1">
        <f t="array" ref="AM26">ROUNDUP((ValueFromColumnName("Cost",ROW())+Specs!$Q$2+_xlfn.XLOOKUP(ValueFromColumnName("Ice Cream Amount",ROW()),Specs!A:A,Specs!V:V,0))*Specs!$N$2,0)</f>
        <v>#VALUE!</v>
      </c>
    </row>
    <row r="27" spans="1:39" x14ac:dyDescent="0.25">
      <c r="A27" s="41" t="s">
        <v>331</v>
      </c>
      <c r="B27" s="31" t="s">
        <v>66</v>
      </c>
      <c r="C27" s="31" t="s">
        <v>283</v>
      </c>
      <c r="D27" s="31" t="s">
        <v>176</v>
      </c>
      <c r="E27" s="31" t="s">
        <v>329</v>
      </c>
      <c r="F27" s="31" t="s">
        <v>245</v>
      </c>
      <c r="G27" s="31" t="s">
        <v>106</v>
      </c>
      <c r="H27" s="31" t="s">
        <v>244</v>
      </c>
      <c r="I27" s="31" t="s">
        <v>137</v>
      </c>
      <c r="J27" s="31" t="s">
        <v>132</v>
      </c>
      <c r="K27" s="30" t="s">
        <v>43</v>
      </c>
      <c r="L27" s="30" t="s">
        <v>157</v>
      </c>
      <c r="M27" s="30" t="s">
        <v>46</v>
      </c>
      <c r="N27" s="30" t="s">
        <v>156</v>
      </c>
      <c r="O27" s="30" t="s">
        <v>448</v>
      </c>
      <c r="P27" s="30" t="s">
        <v>158</v>
      </c>
      <c r="Q27" s="30" t="e" cm="1">
        <f t="array" aca="1" ref="Q2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7" s="30" t="e" cm="1">
        <f t="array" aca="1" ref="R2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7" s="30" t="e">
        <f t="shared" ca="1" si="0"/>
        <v>#VALUE!</v>
      </c>
      <c r="T27" s="30" t="e" cm="1">
        <f t="array" aca="1" ref="T2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7" s="30" t="e" cm="1">
        <f t="array" aca="1" ref="U2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7" s="30" t="e" cm="1">
        <f t="array" aca="1" ref="V2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7" s="30" t="e" cm="1">
        <f t="array" aca="1" ref="W2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7" s="30" cm="1">
        <f t="array" aca="1" ref="X2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7" s="30" t="e" cm="1">
        <f t="array" aca="1" ref="Y2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7" s="34" cm="1">
        <f t="array" aca="1" ref="Z2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7" s="35" cm="1">
        <f t="array" aca="1" ref="AA27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7" s="57" cm="1">
        <f t="array" aca="1" ref="AB2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27" s="36" cm="1">
        <f t="array" aca="1" ref="AC2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7" s="36" cm="1">
        <f t="array" aca="1" ref="AD2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27" s="37" cm="1">
        <f t="array" aca="1" ref="AE2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7" s="38" t="e" cm="1">
        <f t="array" aca="1" ref="AF27" ca="1">$AE28 / (_xlfn.XLOOKUP(ValueFromColumnName("Ice Cream Amount",ROW()),Specs!A:A,Specs!B:B,0))</f>
        <v>#VALUE!</v>
      </c>
      <c r="AG27" s="37" cm="1">
        <f t="array" aca="1" ref="AG2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7" s="54" t="e" cm="1">
        <f t="array" aca="1" ref="AH2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7" s="37" t="e" cm="1">
        <f t="array" aca="1" ref="AI2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27" s="37" t="e" cm="1">
        <f t="array" aca="1" ref="AJ2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7" s="37" t="e" cm="1">
        <f t="array" aca="1" ref="AK2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27" s="39" cm="1">
        <f t="array" aca="1" ref="AL2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27" s="40" t="e" cm="1">
        <f t="array" ref="AM27">ROUNDUP((ValueFromColumnName("Cost",ROW())+Specs!$Q$2+_xlfn.XLOOKUP(ValueFromColumnName("Ice Cream Amount",ROW()),Specs!A:A,Specs!V:V,0))*Specs!$N$2,0)</f>
        <v>#VALUE!</v>
      </c>
    </row>
    <row r="28" spans="1:39" x14ac:dyDescent="0.25">
      <c r="A28" s="30" t="s">
        <v>370</v>
      </c>
      <c r="B28" s="31" t="s">
        <v>62</v>
      </c>
      <c r="C28" s="31" t="s">
        <v>65</v>
      </c>
      <c r="D28" s="31" t="s">
        <v>160</v>
      </c>
      <c r="E28" s="31" t="s">
        <v>0</v>
      </c>
      <c r="F28" s="31" t="s">
        <v>104</v>
      </c>
      <c r="G28" s="31" t="s">
        <v>3</v>
      </c>
      <c r="H28" s="31" t="s">
        <v>167</v>
      </c>
      <c r="I28" s="31" t="s">
        <v>134</v>
      </c>
      <c r="J28" s="31" t="s">
        <v>1</v>
      </c>
      <c r="K28" s="30" t="s">
        <v>4</v>
      </c>
      <c r="L28" s="30" t="s">
        <v>175</v>
      </c>
      <c r="M28" s="30" t="s">
        <v>175</v>
      </c>
      <c r="N28" s="30" t="s">
        <v>156</v>
      </c>
      <c r="O28" s="30" t="s">
        <v>158</v>
      </c>
      <c r="P28" s="30" t="s">
        <v>158</v>
      </c>
      <c r="Q28" s="30" cm="1">
        <f t="array" aca="1" ref="Q2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302.28000000000003</v>
      </c>
      <c r="R28" s="30" cm="1">
        <f t="array" aca="1" ref="R2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151.14000000000001</v>
      </c>
      <c r="S28" s="30">
        <f t="shared" ca="1" si="0"/>
        <v>453.42000000000007</v>
      </c>
      <c r="T28" s="30" cm="1">
        <f t="array" aca="1" ref="T2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15</v>
      </c>
      <c r="U28" s="30" cm="1">
        <f t="array" aca="1" ref="U2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28" s="30" cm="1">
        <f t="array" aca="1" ref="V2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28" s="30" cm="1">
        <f t="array" aca="1" ref="W2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28" s="30" cm="1">
        <f t="array" aca="1" ref="X2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8" s="30" cm="1">
        <f t="array" aca="1" ref="Y2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28" s="34" cm="1">
        <f t="array" aca="1" ref="Z2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1.6323120000000002</v>
      </c>
      <c r="AA28" s="35" cm="1">
        <f t="array" aca="1" ref="AA28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28" s="57" cm="1">
        <f t="array" aca="1" ref="AB2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1296.48</v>
      </c>
      <c r="AC28" s="36" cm="1">
        <f t="array" aca="1" ref="AC2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8" s="36" cm="1">
        <f t="array" aca="1" ref="AD2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59</v>
      </c>
      <c r="AE28" s="37" cm="1">
        <f t="array" aca="1" ref="AE2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105.798</v>
      </c>
      <c r="AF28" s="38" cm="1">
        <f t="array" aca="1" ref="AF28" ca="1">$AE29 / (_xlfn.XLOOKUP(ValueFromColumnName("Ice Cream Amount",ROW()),Specs!A:A,Specs!B:B,0))</f>
        <v>0.51022674418604663</v>
      </c>
      <c r="AG28" s="37" cm="1">
        <f t="array" aca="1" ref="AG2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8" s="54" cm="1">
        <f t="array" aca="1" ref="AH2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164.45835095137423</v>
      </c>
      <c r="AI28" s="37" cm="1">
        <f t="array" aca="1" ref="AI2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7.4841437632135301</v>
      </c>
      <c r="AJ28" s="37" cm="1">
        <f t="array" aca="1" ref="AJ2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13.42046511627907</v>
      </c>
      <c r="AK28" s="37" cm="1">
        <f t="array" aca="1" ref="AK2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28" s="39" cm="1">
        <f t="array" aca="1" ref="AL2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4.2986930409955235</v>
      </c>
      <c r="AM28" s="40" t="e" cm="1">
        <f t="array" ref="AM28">ROUNDUP((ValueFromColumnName("Cost",ROW())+Specs!$Q$2+_xlfn.XLOOKUP(ValueFromColumnName("Ice Cream Amount",ROW()),Specs!A:A,Specs!V:V,0))*Specs!$N$2,0)</f>
        <v>#VALUE!</v>
      </c>
    </row>
    <row r="29" spans="1:39" x14ac:dyDescent="0.25">
      <c r="A29" s="30"/>
      <c r="B29" s="31"/>
      <c r="C29" s="31"/>
      <c r="D29" s="31"/>
      <c r="E29" s="31"/>
      <c r="F29" s="31"/>
      <c r="G29" s="31"/>
      <c r="H29" s="31"/>
      <c r="I29" s="31"/>
      <c r="J29" s="31"/>
      <c r="K29" s="30" t="s">
        <v>4</v>
      </c>
      <c r="L29" s="30" t="s">
        <v>175</v>
      </c>
      <c r="M29" s="30" t="s">
        <v>175</v>
      </c>
      <c r="N29" s="30" t="s">
        <v>156</v>
      </c>
      <c r="O29" s="30" t="s">
        <v>158</v>
      </c>
      <c r="P29" s="30" t="s">
        <v>158</v>
      </c>
      <c r="Q29" s="30" cm="1">
        <f t="array" aca="1" ref="Q2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689.53500000000008</v>
      </c>
      <c r="R29" s="30" cm="1">
        <f t="array" aca="1" ref="R2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344.76750000000004</v>
      </c>
      <c r="S29" s="30">
        <f t="shared" ca="1" si="0"/>
        <v>1034.3025000000002</v>
      </c>
      <c r="T29" s="30" cm="1">
        <f t="array" aca="1" ref="T2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U29" s="30" cm="1">
        <f t="array" aca="1" ref="U2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240</v>
      </c>
      <c r="V29" s="30" cm="1">
        <f t="array" aca="1" ref="V2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179.3</v>
      </c>
      <c r="W29" s="30" cm="1">
        <f t="array" aca="1" ref="W2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29" s="30" cm="1">
        <f t="array" aca="1" ref="X2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9" s="30" cm="1">
        <f t="array" aca="1" ref="Y2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29" s="34" cm="1">
        <f t="array" aca="1" ref="Z2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3.7234890000000007</v>
      </c>
      <c r="AA29" s="35" cm="1">
        <f t="array" aca="1" ref="AA29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B29" s="57" cm="1">
        <f t="array" aca="1" ref="AB2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2786.8725000000004</v>
      </c>
      <c r="AC29" s="36" cm="1">
        <f t="array" aca="1" ref="AC2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9" s="36" cm="1">
        <f t="array" aca="1" ref="AD2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86</v>
      </c>
      <c r="AE29" s="37" cm="1">
        <f t="array" aca="1" ref="AE2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241.33725000000004</v>
      </c>
      <c r="AF29" s="38" cm="1">
        <f t="array" aca="1" ref="AF29" ca="1">$AE30 / (_xlfn.XLOOKUP(ValueFromColumnName("Ice Cream Amount",ROW()),Specs!A:A,Specs!B:B,0))</f>
        <v>3.7888803680981603E-2</v>
      </c>
      <c r="AG29" s="37" cm="1">
        <f t="array" aca="1" ref="AG2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9" s="54" cm="1">
        <f t="array" aca="1" ref="AH2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121.49371575735707</v>
      </c>
      <c r="AI29" s="37" cm="1">
        <f t="array" aca="1" ref="AI2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5.3484465732751554</v>
      </c>
      <c r="AJ29" s="37" cm="1">
        <f t="array" aca="1" ref="AJ2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9.3112757127390857</v>
      </c>
      <c r="AK29" s="37" cm="1">
        <f t="array" aca="1" ref="AK2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2.4705882352941182</v>
      </c>
      <c r="AL29" s="39" cm="1">
        <f t="array" aca="1" ref="AL2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10.920938103958481</v>
      </c>
      <c r="AM29" s="40" t="e" cm="1">
        <f t="array" ref="AM29">ROUNDUP((ValueFromColumnName("Cost",ROW())+Specs!$Q$2+_xlfn.XLOOKUP(ValueFromColumnName("Ice Cream Amount",ROW()),Specs!A:A,Specs!V:V,0))*Specs!$N$2,0)</f>
        <v>#VALUE!</v>
      </c>
    </row>
    <row r="30" spans="1:39" x14ac:dyDescent="0.25">
      <c r="A30" s="30" t="s">
        <v>375</v>
      </c>
      <c r="B30" s="31" t="s">
        <v>62</v>
      </c>
      <c r="C30" s="31" t="s">
        <v>65</v>
      </c>
      <c r="D30" s="31" t="s">
        <v>374</v>
      </c>
      <c r="E30" s="31"/>
      <c r="F30" s="31"/>
      <c r="G30" s="31"/>
      <c r="H30" s="31"/>
      <c r="I30" s="31"/>
      <c r="J30" s="31"/>
      <c r="K30" s="30" t="s">
        <v>4</v>
      </c>
      <c r="L30" s="30" t="s">
        <v>6</v>
      </c>
      <c r="M30" s="30"/>
      <c r="N30" s="30"/>
      <c r="O30" s="30"/>
      <c r="P30" s="30"/>
      <c r="Q30" s="30" cm="1">
        <f t="array" aca="1" ref="Q3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189.58500000000001</v>
      </c>
      <c r="R30" s="30" cm="1">
        <f t="array" aca="1" ref="R3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94.792500000000004</v>
      </c>
      <c r="S30" s="30">
        <f t="shared" ca="1" si="0"/>
        <v>284.3775</v>
      </c>
      <c r="T30" s="30" cm="1">
        <f t="array" aca="1" ref="T3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30" s="30" cm="1">
        <f t="array" aca="1" ref="U3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V30" s="30" cm="1">
        <f t="array" aca="1" ref="V3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81.78958333333334</v>
      </c>
      <c r="W30" s="30" cm="1">
        <f t="array" aca="1" ref="W3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30" s="30" cm="1">
        <f t="array" aca="1" ref="X3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0" s="30" cm="1">
        <f t="array" aca="1" ref="Y3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30" s="34" cm="1">
        <f t="array" aca="1" ref="Z3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1.0237589999999999</v>
      </c>
      <c r="AA30" s="35" cm="1">
        <f t="array" aca="1" ref="AA30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B30" s="57" cm="1">
        <f t="array" aca="1" ref="AB3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766.02</v>
      </c>
      <c r="AC30" s="36" cm="1">
        <f t="array" aca="1" ref="AC3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0" s="36" cm="1">
        <f t="array" aca="1" ref="AD3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20.159750000000003</v>
      </c>
      <c r="AE30" s="37" cm="1">
        <f t="array" aca="1" ref="AE3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67.934625000000011</v>
      </c>
      <c r="AF30" s="38" cm="1">
        <f t="array" aca="1" ref="AF30" ca="1">$AE31 / (_xlfn.XLOOKUP(ValueFromColumnName("Ice Cream Amount",ROW()),Specs!A:A,Specs!B:B,0))</f>
        <v>0</v>
      </c>
      <c r="AG30" s="37" cm="1">
        <f t="array" aca="1" ref="AG3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3.1597500000000003</v>
      </c>
      <c r="AH30" s="54" cm="1">
        <f t="array" aca="1" ref="AH3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100.51261158092554</v>
      </c>
      <c r="AI30" s="37" cm="1">
        <f t="array" aca="1" ref="AI3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3.0616024342259807</v>
      </c>
      <c r="AJ30" s="37" cm="1">
        <f t="array" aca="1" ref="AJ3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8.6463194444444476</v>
      </c>
      <c r="AK30" s="37" cm="1">
        <f t="array" aca="1" ref="AK3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0.50434027777777768</v>
      </c>
      <c r="AL30" s="39" cm="1">
        <f t="array" aca="1" ref="AL3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2.2191759482768019</v>
      </c>
      <c r="AM30" s="40" t="e" cm="1">
        <f t="array" ref="AM30">ROUNDUP((ValueFromColumnName("Cost",ROW())+Specs!$Q$2+_xlfn.XLOOKUP(ValueFromColumnName("Ice Cream Amount",ROW()),Specs!A:A,Specs!V:V,0))*Specs!$N$2,0)</f>
        <v>#VALUE!</v>
      </c>
    </row>
    <row r="31" spans="1:39" x14ac:dyDescent="0.25">
      <c r="A31" s="42" t="s">
        <v>385</v>
      </c>
      <c r="B31" s="31" t="s">
        <v>66</v>
      </c>
      <c r="C31" s="31" t="s">
        <v>283</v>
      </c>
      <c r="D31" s="31" t="s">
        <v>85</v>
      </c>
      <c r="E31" s="31" t="s">
        <v>96</v>
      </c>
      <c r="F31" s="31"/>
      <c r="G31" s="31"/>
      <c r="H31" s="31"/>
      <c r="I31" s="31" t="s">
        <v>132</v>
      </c>
      <c r="J31" s="31"/>
      <c r="K31" s="30" t="s">
        <v>43</v>
      </c>
      <c r="L31" s="30" t="s">
        <v>46</v>
      </c>
      <c r="M31" s="30" t="s">
        <v>46</v>
      </c>
      <c r="N31" s="30" t="s">
        <v>156</v>
      </c>
      <c r="O31" s="30" t="s">
        <v>173</v>
      </c>
      <c r="P31" s="30" t="s">
        <v>44</v>
      </c>
      <c r="Q31" s="30" t="e" cm="1">
        <f t="array" aca="1" ref="Q3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1" s="30" t="e" cm="1">
        <f t="array" aca="1" ref="R3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1" s="30" t="e">
        <f t="shared" ca="1" si="0"/>
        <v>#VALUE!</v>
      </c>
      <c r="T31" s="30" t="e" cm="1">
        <f t="array" aca="1" ref="T3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1" s="30" t="e" cm="1">
        <f t="array" aca="1" ref="U3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1" s="30" t="e" cm="1">
        <f t="array" aca="1" ref="V3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1" s="30" t="e" cm="1">
        <f t="array" aca="1" ref="W3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1" s="30" cm="1">
        <f t="array" aca="1" ref="X3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1" s="30" t="e" cm="1">
        <f t="array" aca="1" ref="Y3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1" s="34" cm="1">
        <f t="array" aca="1" ref="Z3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1" s="35" cm="1">
        <f t="array" aca="1" ref="AA31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1" s="57" cm="1">
        <f t="array" aca="1" ref="AB3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31" s="36" cm="1">
        <f t="array" aca="1" ref="AC3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1" s="36" cm="1">
        <f t="array" aca="1" ref="AD3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31" s="37" cm="1">
        <f t="array" aca="1" ref="AE3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31" s="38" t="e" cm="1">
        <f t="array" aca="1" ref="AF31" ca="1">$AE32 / (_xlfn.XLOOKUP(ValueFromColumnName("Ice Cream Amount",ROW()),Specs!A:A,Specs!B:B,0))</f>
        <v>#VALUE!</v>
      </c>
      <c r="AG31" s="37" cm="1">
        <f t="array" aca="1" ref="AG3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31" s="54" t="e" cm="1">
        <f t="array" aca="1" ref="AH3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1" s="37" t="e" cm="1">
        <f t="array" aca="1" ref="AI3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31" s="37" t="e" cm="1">
        <f t="array" aca="1" ref="AJ3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1" s="37" t="e" cm="1">
        <f t="array" aca="1" ref="AK3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31" s="39" cm="1">
        <f t="array" aca="1" ref="AL3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31" s="40" t="e" cm="1">
        <f t="array" ref="AM31">ROUNDUP((ValueFromColumnName("Cost",ROW())+Specs!$Q$2+_xlfn.XLOOKUP(ValueFromColumnName("Ice Cream Amount",ROW()),Specs!A:A,Specs!V:V,0))*Specs!$N$2,0)</f>
        <v>#VALUE!</v>
      </c>
    </row>
    <row r="32" spans="1:39" x14ac:dyDescent="0.25">
      <c r="A32" s="42" t="s">
        <v>520</v>
      </c>
      <c r="B32" s="31" t="s">
        <v>66</v>
      </c>
      <c r="C32" s="31" t="s">
        <v>283</v>
      </c>
      <c r="D32" s="31" t="s">
        <v>96</v>
      </c>
      <c r="E32" s="31" t="s">
        <v>0</v>
      </c>
      <c r="F32" s="31"/>
      <c r="G32" s="31"/>
      <c r="H32" s="31"/>
      <c r="I32" s="31" t="s">
        <v>510</v>
      </c>
      <c r="J32" s="31" t="s">
        <v>2</v>
      </c>
      <c r="K32" s="30" t="s">
        <v>4</v>
      </c>
      <c r="L32" s="30" t="s">
        <v>46</v>
      </c>
      <c r="M32" s="30" t="s">
        <v>450</v>
      </c>
      <c r="N32" s="30" t="s">
        <v>44</v>
      </c>
      <c r="O32" s="30" t="s">
        <v>158</v>
      </c>
      <c r="P32" s="30" t="s">
        <v>448</v>
      </c>
      <c r="Q32" s="30" t="e" cm="1">
        <f t="array" aca="1" ref="Q3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2" s="30" t="e" cm="1">
        <f t="array" aca="1" ref="R3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2" s="30" t="e">
        <f t="shared" ca="1" si="0"/>
        <v>#VALUE!</v>
      </c>
      <c r="T32" s="30" t="e" cm="1">
        <f t="array" aca="1" ref="T3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2" s="30" t="e" cm="1">
        <f t="array" aca="1" ref="U3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2" s="30" t="e" cm="1">
        <f t="array" aca="1" ref="V3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2" s="30" t="e" cm="1">
        <f t="array" aca="1" ref="W3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2" s="30" cm="1">
        <f t="array" aca="1" ref="X3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2" s="30" t="e" cm="1">
        <f t="array" aca="1" ref="Y3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2" s="34" cm="1">
        <f t="array" aca="1" ref="Z3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2" s="35" cm="1">
        <f t="array" aca="1" ref="AA32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2" s="57" cm="1">
        <f t="array" aca="1" ref="AB3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32" s="36" cm="1">
        <f t="array" aca="1" ref="AC3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2" s="36" cm="1">
        <f t="array" aca="1" ref="AD3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32" s="37" cm="1">
        <f t="array" aca="1" ref="AE3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32" s="38" t="e" cm="1">
        <f t="array" aca="1" ref="AF32" ca="1">$AE33 / (_xlfn.XLOOKUP(ValueFromColumnName("Ice Cream Amount",ROW()),Specs!A:A,Specs!B:B,0))</f>
        <v>#VALUE!</v>
      </c>
      <c r="AG32" s="37" cm="1">
        <f t="array" aca="1" ref="AG3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32" s="54" t="e" cm="1">
        <f t="array" aca="1" ref="AH3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2" s="37" t="e" cm="1">
        <f t="array" aca="1" ref="AI3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32" s="37" t="e" cm="1">
        <f t="array" aca="1" ref="AJ3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2" s="37" t="e" cm="1">
        <f t="array" aca="1" ref="AK3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32" s="39" cm="1">
        <f t="array" aca="1" ref="AL3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32" s="40" t="e" cm="1">
        <f t="array" ref="AM32">ROUNDUP((ValueFromColumnName("Cost",ROW())+Specs!$Q$2+_xlfn.XLOOKUP(ValueFromColumnName("Ice Cream Amount",ROW()),Specs!A:A,Specs!V:V,0))*Specs!$N$2,0)</f>
        <v>#VALUE!</v>
      </c>
    </row>
    <row r="33" spans="1:39" x14ac:dyDescent="0.25">
      <c r="A33" s="42" t="s">
        <v>388</v>
      </c>
      <c r="B33" s="31" t="s">
        <v>66</v>
      </c>
      <c r="C33" s="31" t="s">
        <v>283</v>
      </c>
      <c r="D33" s="31" t="s">
        <v>386</v>
      </c>
      <c r="E33" s="31" t="s">
        <v>96</v>
      </c>
      <c r="F33" s="31" t="s">
        <v>234</v>
      </c>
      <c r="G33" s="31"/>
      <c r="H33" s="31"/>
      <c r="I33" s="31" t="s">
        <v>510</v>
      </c>
      <c r="J33" s="31" t="s">
        <v>1</v>
      </c>
      <c r="K33" s="30" t="s">
        <v>340</v>
      </c>
      <c r="L33" s="30" t="s">
        <v>451</v>
      </c>
      <c r="M33" s="30" t="s">
        <v>46</v>
      </c>
      <c r="N33" s="30" t="s">
        <v>156</v>
      </c>
      <c r="O33" s="30" t="s">
        <v>158</v>
      </c>
      <c r="P33" s="30" t="s">
        <v>44</v>
      </c>
      <c r="Q33" s="30" cm="1">
        <f t="array" aca="1" ref="Q3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229.185</v>
      </c>
      <c r="R33" s="30" cm="1">
        <f t="array" aca="1" ref="R3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114.5925</v>
      </c>
      <c r="S33" s="30">
        <f t="shared" ca="1" si="0"/>
        <v>343.77750000000003</v>
      </c>
      <c r="T33" s="30" cm="1">
        <f t="array" aca="1" ref="T3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33" s="30" cm="1">
        <f t="array" aca="1" ref="U3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33" s="30" cm="1">
        <f t="array" aca="1" ref="V3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47.300000000000004</v>
      </c>
      <c r="W33" s="30" cm="1">
        <f t="array" aca="1" ref="W3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33" s="30" cm="1">
        <f t="array" aca="1" ref="X3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3" s="30" cm="1">
        <f t="array" aca="1" ref="Y3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33" s="34" cm="1">
        <f t="array" aca="1" ref="Z3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1.2375990000000001</v>
      </c>
      <c r="AA33" s="35" cm="1">
        <f t="array" aca="1" ref="AA33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33" s="57" cm="1">
        <f t="array" aca="1" ref="AB3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627.23613044794183</v>
      </c>
      <c r="AC33" s="36" cm="1">
        <f t="array" aca="1" ref="AC3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3" s="36" cm="1">
        <f t="array" aca="1" ref="AD3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40.000946188528012</v>
      </c>
      <c r="AE33" s="37" cm="1">
        <f t="array" aca="1" ref="AE3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27.031329005594056</v>
      </c>
      <c r="AF33" s="38" cm="1">
        <f t="array" aca="1" ref="AF33" ca="1">$AE34 / (_xlfn.XLOOKUP(ValueFromColumnName("Ice Cream Amount",ROW()),Specs!A:A,Specs!B:B,0))</f>
        <v>0</v>
      </c>
      <c r="AG33" s="37" cm="1">
        <f t="array" aca="1" ref="AG3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37.576758735493023</v>
      </c>
      <c r="AH33" s="54" cm="1">
        <f t="array" aca="1" ref="AH3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81.605886315290206</v>
      </c>
      <c r="AI33" s="37" cm="1">
        <f t="array" aca="1" ref="AI3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4.6028936860514795</v>
      </c>
      <c r="AJ33" s="37" cm="1">
        <f t="array" aca="1" ref="AJ3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3.0801636204343783</v>
      </c>
      <c r="AK33" s="37" cm="1">
        <f t="array" aca="1" ref="AK3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2.4705882352941178</v>
      </c>
      <c r="AL33" s="39" cm="1">
        <f t="array" aca="1" ref="AL3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3.8601238703723326</v>
      </c>
      <c r="AM33" s="40" t="e" cm="1">
        <f t="array" ref="AM33">ROUNDUP((ValueFromColumnName("Cost",ROW())+Specs!$Q$2+_xlfn.XLOOKUP(ValueFromColumnName("Ice Cream Amount",ROW()),Specs!A:A,Specs!V:V,0))*Specs!$N$2,0)</f>
        <v>#VALUE!</v>
      </c>
    </row>
    <row r="34" spans="1:39" x14ac:dyDescent="0.25">
      <c r="A34" s="42" t="s">
        <v>518</v>
      </c>
      <c r="B34" s="31" t="s">
        <v>66</v>
      </c>
      <c r="C34" s="31" t="s">
        <v>283</v>
      </c>
      <c r="D34" s="31" t="s">
        <v>516</v>
      </c>
      <c r="E34" s="31" t="s">
        <v>75</v>
      </c>
      <c r="F34" s="31" t="s">
        <v>234</v>
      </c>
      <c r="G34" s="31"/>
      <c r="H34" s="31"/>
      <c r="I34" s="31" t="s">
        <v>132</v>
      </c>
      <c r="J34" s="31" t="s">
        <v>1</v>
      </c>
      <c r="K34" s="30" t="s">
        <v>340</v>
      </c>
      <c r="L34" s="30" t="s">
        <v>6</v>
      </c>
      <c r="M34" s="30" t="s">
        <v>46</v>
      </c>
      <c r="N34" s="30" t="s">
        <v>156</v>
      </c>
      <c r="O34" s="30" t="s">
        <v>173</v>
      </c>
      <c r="P34" s="30" t="s">
        <v>44</v>
      </c>
      <c r="Q34" s="30" t="e" cm="1">
        <f t="array" aca="1" ref="Q3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4" s="30" t="e" cm="1">
        <f t="array" aca="1" ref="R3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4" s="30" t="e">
        <f t="shared" ca="1" si="0"/>
        <v>#VALUE!</v>
      </c>
      <c r="T34" s="30" t="e" cm="1">
        <f t="array" aca="1" ref="T3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4" s="30" t="e" cm="1">
        <f t="array" aca="1" ref="U3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4" s="30" t="e" cm="1">
        <f t="array" aca="1" ref="V3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4" s="30" t="e" cm="1">
        <f t="array" aca="1" ref="W3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4" s="30" cm="1">
        <f t="array" aca="1" ref="X3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4" s="30" t="e" cm="1">
        <f t="array" aca="1" ref="Y3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4" s="34" cm="1">
        <f t="array" aca="1" ref="Z3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4" s="35" cm="1">
        <f t="array" aca="1" ref="AA3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4" s="57" cm="1">
        <f t="array" aca="1" ref="AB3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34" s="36" cm="1">
        <f t="array" aca="1" ref="AC3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4" s="36" cm="1">
        <f t="array" aca="1" ref="AD3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34" s="37" cm="1">
        <f t="array" aca="1" ref="AE3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34" s="38" t="e" cm="1">
        <f t="array" aca="1" ref="AF34" ca="1">$AE35 / (_xlfn.XLOOKUP(ValueFromColumnName("Ice Cream Amount",ROW()),Specs!A:A,Specs!B:B,0))</f>
        <v>#VALUE!</v>
      </c>
      <c r="AG34" s="37" cm="1">
        <f t="array" aca="1" ref="AG3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34" s="54" t="e" cm="1">
        <f t="array" aca="1" ref="AH3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4" s="37" t="e" cm="1">
        <f t="array" aca="1" ref="AI3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34" s="37" t="e" cm="1">
        <f t="array" aca="1" ref="AJ3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4" s="37" t="e" cm="1">
        <f t="array" aca="1" ref="AK3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34" s="39" cm="1">
        <f t="array" aca="1" ref="AL3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34" s="40" t="e" cm="1">
        <f t="array" ref="AM34">ROUNDUP((ValueFromColumnName("Cost",ROW())+Specs!$Q$2+_xlfn.XLOOKUP(ValueFromColumnName("Ice Cream Amount",ROW()),Specs!A:A,Specs!V:V,0))*Specs!$N$2,0)</f>
        <v>#VALUE!</v>
      </c>
    </row>
    <row r="35" spans="1:39" x14ac:dyDescent="0.25">
      <c r="A35" s="42" t="s">
        <v>429</v>
      </c>
      <c r="B35" s="31" t="s">
        <v>62</v>
      </c>
      <c r="C35" s="31" t="s">
        <v>65</v>
      </c>
      <c r="D35" s="31" t="s">
        <v>386</v>
      </c>
      <c r="E35" s="31"/>
      <c r="F35" s="31" t="s">
        <v>234</v>
      </c>
      <c r="G35" s="31"/>
      <c r="H35" s="31"/>
      <c r="I35" s="31" t="s">
        <v>1</v>
      </c>
      <c r="J35" s="31"/>
      <c r="K35" s="30" t="s">
        <v>43</v>
      </c>
      <c r="L35" s="30" t="s">
        <v>6</v>
      </c>
      <c r="M35" s="30" t="s">
        <v>44</v>
      </c>
      <c r="N35" s="30" t="s">
        <v>156</v>
      </c>
      <c r="O35" s="30" t="s">
        <v>448</v>
      </c>
      <c r="P35" s="30" t="s">
        <v>44</v>
      </c>
      <c r="Q35" s="30" t="e" cm="1">
        <f t="array" aca="1" ref="Q3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5" s="30" t="e" cm="1">
        <f t="array" aca="1" ref="R3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5" s="30" t="e">
        <f t="shared" ca="1" si="0"/>
        <v>#VALUE!</v>
      </c>
      <c r="T35" s="30" t="e" cm="1">
        <f t="array" aca="1" ref="T3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5" s="30" t="e" cm="1">
        <f t="array" aca="1" ref="U3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5" s="30" t="e" cm="1">
        <f t="array" aca="1" ref="V3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5" s="30" t="e" cm="1">
        <f t="array" aca="1" ref="W3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5" s="30" cm="1">
        <f t="array" aca="1" ref="X3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5" s="30" t="e" cm="1">
        <f t="array" aca="1" ref="Y3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5" s="34" cm="1">
        <f t="array" aca="1" ref="Z3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5" s="35" cm="1">
        <f t="array" aca="1" ref="AA35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5" s="57" cm="1">
        <f t="array" aca="1" ref="AB3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35" s="36" cm="1">
        <f t="array" aca="1" ref="AC3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5" s="36" cm="1">
        <f t="array" aca="1" ref="AD3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35" s="37" cm="1">
        <f t="array" aca="1" ref="AE3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35" s="38" t="e" cm="1">
        <f t="array" aca="1" ref="AF35" ca="1">$AE36 / (_xlfn.XLOOKUP(ValueFromColumnName("Ice Cream Amount",ROW()),Specs!A:A,Specs!B:B,0))</f>
        <v>#VALUE!</v>
      </c>
      <c r="AG35" s="37" cm="1">
        <f t="array" aca="1" ref="AG3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35" s="54" t="e" cm="1">
        <f t="array" aca="1" ref="AH3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5" s="37" t="e" cm="1">
        <f t="array" aca="1" ref="AI3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35" s="37" t="e" cm="1">
        <f t="array" aca="1" ref="AJ3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5" s="37" t="e" cm="1">
        <f t="array" aca="1" ref="AK3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35" s="39" cm="1">
        <f t="array" aca="1" ref="AL3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35" s="40" t="e" cm="1">
        <f t="array" ref="AM35">ROUNDUP((ValueFromColumnName("Cost",ROW())+Specs!$Q$2+_xlfn.XLOOKUP(ValueFromColumnName("Ice Cream Amount",ROW()),Specs!A:A,Specs!V:V,0))*Specs!$N$2,0)</f>
        <v>#VALUE!</v>
      </c>
    </row>
    <row r="36" spans="1:39" x14ac:dyDescent="0.25">
      <c r="A36" s="30"/>
      <c r="B36" s="31"/>
      <c r="C36" s="31"/>
      <c r="D36" s="31"/>
      <c r="E36" s="31"/>
      <c r="F36" s="31"/>
      <c r="G36" s="31"/>
      <c r="H36" s="31"/>
      <c r="I36" s="31"/>
      <c r="J36" s="31"/>
      <c r="K36" s="30" t="s">
        <v>4</v>
      </c>
      <c r="L36" s="30" t="s">
        <v>175</v>
      </c>
      <c r="M36" s="30" t="s">
        <v>175</v>
      </c>
      <c r="N36" s="30" t="s">
        <v>156</v>
      </c>
      <c r="O36" s="30" t="s">
        <v>158</v>
      </c>
      <c r="P36" s="30" t="s">
        <v>158</v>
      </c>
      <c r="Q36" s="30" cm="1">
        <f t="array" aca="1" ref="Q3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R36" s="30" cm="1">
        <f t="array" aca="1" ref="R3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S36" s="30">
        <f t="shared" ca="1" si="0"/>
        <v>460.84500000000003</v>
      </c>
      <c r="T36" s="30" cm="1">
        <f t="array" aca="1" ref="T3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36" s="30" cm="1">
        <f t="array" aca="1" ref="U3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36" s="30" cm="1">
        <f t="array" aca="1" ref="V3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36" s="30" cm="1">
        <f t="array" aca="1" ref="W3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36" s="30" cm="1">
        <f t="array" aca="1" ref="X3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6" s="30" cm="1">
        <f t="array" aca="1" ref="Y3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36" s="34" cm="1">
        <f t="array" aca="1" ref="Z3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1.6590420000000001</v>
      </c>
      <c r="AA36" s="35" cm="1">
        <f t="array" aca="1" ref="AA36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36" s="57" cm="1">
        <f t="array" aca="1" ref="AB3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1387.5225000000003</v>
      </c>
      <c r="AC36" s="36" cm="1">
        <f t="array" aca="1" ref="AC3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6" s="36" cm="1">
        <f t="array" aca="1" ref="AD3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48.412125000000003</v>
      </c>
      <c r="AE36" s="37" cm="1">
        <f t="array" aca="1" ref="AE3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134.41312500000004</v>
      </c>
      <c r="AF36" s="38" cm="1">
        <f t="array" aca="1" ref="AF36" ca="1">$AE37 / (_xlfn.XLOOKUP(ValueFromColumnName("Ice Cream Amount",ROW()),Specs!A:A,Specs!B:B,0))</f>
        <v>0</v>
      </c>
      <c r="AG36" s="37" cm="1">
        <f t="array" aca="1" ref="AG3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7.6807500000000015</v>
      </c>
      <c r="AH36" s="54" cm="1">
        <f t="array" aca="1" ref="AH3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176.00708245243132</v>
      </c>
      <c r="AI36" s="37" cm="1">
        <f t="array" aca="1" ref="AI3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6.1410729386892182</v>
      </c>
      <c r="AJ36" s="37" cm="1">
        <f t="array" aca="1" ref="AJ3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17.050290697674424</v>
      </c>
      <c r="AK36" s="37" cm="1">
        <f t="array" aca="1" ref="AK3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36" s="39" cm="1">
        <f t="array" aca="1" ref="AL3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3.010270326664231</v>
      </c>
      <c r="AM36" s="40" t="e" cm="1">
        <f t="array" ref="AM36">ROUNDUP((ValueFromColumnName("Cost",ROW())+Specs!$Q$2+_xlfn.XLOOKUP(ValueFromColumnName("Ice Cream Amount",ROW()),Specs!A:A,Specs!V:V,0))*Specs!$N$2,0)</f>
        <v>#VALUE!</v>
      </c>
    </row>
    <row r="37" spans="1:39" x14ac:dyDescent="0.25">
      <c r="A37" s="30"/>
      <c r="B37" s="31"/>
      <c r="C37" s="31"/>
      <c r="D37" s="31"/>
      <c r="E37" s="31"/>
      <c r="F37" s="31"/>
      <c r="G37" s="31"/>
      <c r="H37" s="31"/>
      <c r="I37" s="31"/>
      <c r="J37" s="31"/>
      <c r="K37" s="30" t="s">
        <v>4</v>
      </c>
      <c r="L37" s="30" t="s">
        <v>175</v>
      </c>
      <c r="M37" s="30" t="s">
        <v>175</v>
      </c>
      <c r="N37" s="30" t="s">
        <v>156</v>
      </c>
      <c r="O37" s="30" t="s">
        <v>158</v>
      </c>
      <c r="P37" s="30" t="s">
        <v>158</v>
      </c>
      <c r="Q37" s="30" t="e" cm="1">
        <f t="array" aca="1" ref="Q3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7" s="30" t="e" cm="1">
        <f t="array" aca="1" ref="R3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7" s="30" t="e">
        <f t="shared" ca="1" si="0"/>
        <v>#VALUE!</v>
      </c>
      <c r="T37" s="30" t="e" cm="1">
        <f t="array" aca="1" ref="T3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7" s="30" t="e" cm="1">
        <f t="array" aca="1" ref="U3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7" s="30" t="e" cm="1">
        <f t="array" aca="1" ref="V3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7" s="30" t="e" cm="1">
        <f t="array" aca="1" ref="W3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7" s="30" cm="1">
        <f t="array" aca="1" ref="X3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7" s="30" t="e" cm="1">
        <f t="array" aca="1" ref="Y3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7" s="34" cm="1">
        <f t="array" aca="1" ref="Z3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7" s="35" cm="1">
        <f t="array" aca="1" ref="AA37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7" s="57" cm="1">
        <f t="array" aca="1" ref="AB3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37" s="36" cm="1">
        <f t="array" aca="1" ref="AC3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7" s="36" cm="1">
        <f t="array" aca="1" ref="AD3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37" s="37" cm="1">
        <f t="array" aca="1" ref="AE3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37" s="38" t="e" cm="1">
        <f t="array" aca="1" ref="AF37" ca="1">$AE38 / (_xlfn.XLOOKUP(ValueFromColumnName("Ice Cream Amount",ROW()),Specs!A:A,Specs!B:B,0))</f>
        <v>#VALUE!</v>
      </c>
      <c r="AG37" s="37" cm="1">
        <f t="array" aca="1" ref="AG3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37" s="54" t="e" cm="1">
        <f t="array" aca="1" ref="AH3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7" s="37" t="e" cm="1">
        <f t="array" aca="1" ref="AI3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37" s="37" t="e" cm="1">
        <f t="array" aca="1" ref="AJ3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7" s="37" t="e" cm="1">
        <f t="array" aca="1" ref="AK3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37" s="39" cm="1">
        <f t="array" aca="1" ref="AL3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37" s="40" t="e" cm="1">
        <f t="array" ref="AM37">ROUNDUP((ValueFromColumnName("Cost",ROW())+Specs!$Q$2+_xlfn.XLOOKUP(ValueFromColumnName("Ice Cream Amount",ROW()),Specs!A:A,Specs!V:V,0))*Specs!$N$2,0)</f>
        <v>#VALUE!</v>
      </c>
    </row>
    <row r="38" spans="1:39" x14ac:dyDescent="0.25">
      <c r="A38" s="50" t="s">
        <v>455</v>
      </c>
      <c r="B38" s="31" t="s">
        <v>62</v>
      </c>
      <c r="C38" s="31" t="s">
        <v>65</v>
      </c>
      <c r="D38" s="31" t="s">
        <v>0</v>
      </c>
      <c r="E38" s="31"/>
      <c r="F38" s="31" t="s">
        <v>106</v>
      </c>
      <c r="G38" s="31"/>
      <c r="H38" s="31"/>
      <c r="I38" s="31"/>
      <c r="J38" s="31"/>
      <c r="K38" s="30" t="s">
        <v>4</v>
      </c>
      <c r="L38" s="30" t="s">
        <v>46</v>
      </c>
      <c r="M38" s="30" t="s">
        <v>44</v>
      </c>
      <c r="N38" s="30" t="s">
        <v>156</v>
      </c>
      <c r="O38" s="30" t="s">
        <v>173</v>
      </c>
      <c r="P38" s="30" t="s">
        <v>44</v>
      </c>
      <c r="Q38" s="30" t="e" cm="1">
        <f t="array" aca="1" ref="Q3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8" s="30" t="e" cm="1">
        <f t="array" aca="1" ref="R3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8" s="30" t="e">
        <f t="shared" ca="1" si="0"/>
        <v>#VALUE!</v>
      </c>
      <c r="T38" s="30" t="e" cm="1">
        <f t="array" aca="1" ref="T3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8" s="30" t="e" cm="1">
        <f t="array" aca="1" ref="U3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8" s="30" t="e" cm="1">
        <f t="array" aca="1" ref="V3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8" s="30" t="e" cm="1">
        <f t="array" aca="1" ref="W3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8" s="30" cm="1">
        <f t="array" aca="1" ref="X3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8" s="30" t="e" cm="1">
        <f t="array" aca="1" ref="Y3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8" s="34" cm="1">
        <f t="array" aca="1" ref="Z3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8" s="35" cm="1">
        <f t="array" aca="1" ref="AA38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8" s="57" cm="1">
        <f t="array" aca="1" ref="AB3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38" s="36" cm="1">
        <f t="array" aca="1" ref="AC3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8" s="36" cm="1">
        <f t="array" aca="1" ref="AD3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38" s="37" cm="1">
        <f t="array" aca="1" ref="AE3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38" s="38" t="e" cm="1">
        <f t="array" aca="1" ref="AF38" ca="1">$AE39 / (_xlfn.XLOOKUP(ValueFromColumnName("Ice Cream Amount",ROW()),Specs!A:A,Specs!B:B,0))</f>
        <v>#VALUE!</v>
      </c>
      <c r="AG38" s="37" cm="1">
        <f t="array" aca="1" ref="AG3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38" s="54" t="e" cm="1">
        <f t="array" aca="1" ref="AH3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8" s="37" t="e" cm="1">
        <f t="array" aca="1" ref="AI3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38" s="37" t="e" cm="1">
        <f t="array" aca="1" ref="AJ3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8" s="37" t="e" cm="1">
        <f t="array" aca="1" ref="AK3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38" s="39" cm="1">
        <f t="array" aca="1" ref="AL3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38" s="40" t="e" cm="1">
        <f t="array" ref="AM38">ROUNDUP((ValueFromColumnName("Cost",ROW())+Specs!$Q$2+_xlfn.XLOOKUP(ValueFromColumnName("Ice Cream Amount",ROW()),Specs!A:A,Specs!V:V,0))*Specs!$N$2,0)</f>
        <v>#VALUE!</v>
      </c>
    </row>
    <row r="39" spans="1:39" x14ac:dyDescent="0.25">
      <c r="A39" s="52" t="s">
        <v>499</v>
      </c>
      <c r="B39" s="31" t="s">
        <v>62</v>
      </c>
      <c r="C39" s="31" t="s">
        <v>65</v>
      </c>
      <c r="D39" s="31" t="s">
        <v>485</v>
      </c>
      <c r="E39" s="31"/>
      <c r="F39" s="31" t="s">
        <v>462</v>
      </c>
      <c r="G39" s="31"/>
      <c r="H39" s="31"/>
      <c r="I39" s="31" t="s">
        <v>1</v>
      </c>
      <c r="J39" s="31"/>
      <c r="K39" s="30" t="s">
        <v>4</v>
      </c>
      <c r="L39" s="30" t="s">
        <v>451</v>
      </c>
      <c r="M39" s="30" t="s">
        <v>44</v>
      </c>
      <c r="N39" s="30" t="s">
        <v>156</v>
      </c>
      <c r="O39" s="30" t="s">
        <v>448</v>
      </c>
      <c r="P39" s="30" t="s">
        <v>44</v>
      </c>
      <c r="Q39" s="30" t="e" cm="1">
        <f t="array" aca="1" ref="Q3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9" s="30" t="e" cm="1">
        <f t="array" aca="1" ref="R3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9" s="30" t="e">
        <f t="shared" ca="1" si="0"/>
        <v>#VALUE!</v>
      </c>
      <c r="T39" s="30" t="e" cm="1">
        <f t="array" aca="1" ref="T3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9" s="30" t="e" cm="1">
        <f t="array" aca="1" ref="U3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9" s="30" t="e" cm="1">
        <f t="array" aca="1" ref="V3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9" s="30" t="e" cm="1">
        <f t="array" aca="1" ref="W3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9" s="30" cm="1">
        <f t="array" aca="1" ref="X3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9" s="30" t="e" cm="1">
        <f t="array" aca="1" ref="Y3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9" s="34" cm="1">
        <f t="array" aca="1" ref="Z3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9" s="35" cm="1">
        <f t="array" aca="1" ref="AA39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9" s="57" cm="1">
        <f t="array" aca="1" ref="AB3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39" s="36" cm="1">
        <f t="array" aca="1" ref="AC3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9" s="36" cm="1">
        <f t="array" aca="1" ref="AD3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39" s="37" cm="1">
        <f t="array" aca="1" ref="AE3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39" s="38" t="e" cm="1">
        <f t="array" aca="1" ref="AF39" ca="1">$AE40 / (_xlfn.XLOOKUP(ValueFromColumnName("Ice Cream Amount",ROW()),Specs!A:A,Specs!B:B,0))</f>
        <v>#VALUE!</v>
      </c>
      <c r="AG39" s="37" cm="1">
        <f t="array" aca="1" ref="AG3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39" s="54" t="e" cm="1">
        <f t="array" aca="1" ref="AH3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9" s="37" t="e" cm="1">
        <f t="array" aca="1" ref="AI3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39" s="37" t="e" cm="1">
        <f t="array" aca="1" ref="AJ3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9" s="37" t="e" cm="1">
        <f t="array" aca="1" ref="AK3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39" s="39" cm="1">
        <f t="array" aca="1" ref="AL3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39" s="40" t="e" cm="1">
        <f t="array" ref="AM39">ROUNDUP((ValueFromColumnName("Cost",ROW())+Specs!$Q$2+_xlfn.XLOOKUP(ValueFromColumnName("Ice Cream Amount",ROW()),Specs!A:A,Specs!V:V,0))*Specs!$N$2,0)</f>
        <v>#VALUE!</v>
      </c>
    </row>
    <row r="40" spans="1:39" x14ac:dyDescent="0.25">
      <c r="A40" s="52" t="s">
        <v>487</v>
      </c>
      <c r="B40" s="31" t="s">
        <v>66</v>
      </c>
      <c r="C40" s="31" t="s">
        <v>283</v>
      </c>
      <c r="D40" s="31" t="s">
        <v>485</v>
      </c>
      <c r="E40" s="31" t="s">
        <v>96</v>
      </c>
      <c r="F40" s="31" t="s">
        <v>406</v>
      </c>
      <c r="G40" s="31"/>
      <c r="H40" s="31"/>
      <c r="I40" s="31" t="s">
        <v>133</v>
      </c>
      <c r="J40" s="31"/>
      <c r="K40" s="30" t="s">
        <v>43</v>
      </c>
      <c r="L40" s="30" t="s">
        <v>451</v>
      </c>
      <c r="M40" s="30" t="s">
        <v>46</v>
      </c>
      <c r="N40" s="30" t="s">
        <v>156</v>
      </c>
      <c r="O40" s="30" t="s">
        <v>158</v>
      </c>
      <c r="P40" s="30" t="s">
        <v>44</v>
      </c>
      <c r="Q40" s="30" cm="1">
        <f t="array" aca="1" ref="Q4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862.78500000000008</v>
      </c>
      <c r="R40" s="30" cm="1">
        <f t="array" aca="1" ref="R4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431.39250000000004</v>
      </c>
      <c r="S40" s="30">
        <f t="shared" ca="1" si="0"/>
        <v>1294.1775000000002</v>
      </c>
      <c r="T40" s="30" cm="1">
        <f t="array" aca="1" ref="T4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30</v>
      </c>
      <c r="U40" s="30" cm="1">
        <f t="array" aca="1" ref="U4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7.5</v>
      </c>
      <c r="V40" s="30" cm="1">
        <f t="array" aca="1" ref="V4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158.75520833333334</v>
      </c>
      <c r="W40" s="30" cm="1">
        <f t="array" aca="1" ref="W4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40" s="30" cm="1">
        <f t="array" aca="1" ref="X4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0" s="30" cm="1">
        <f t="array" aca="1" ref="Y4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40" s="34" cm="1">
        <f t="array" aca="1" ref="Z4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4.6590390000000008</v>
      </c>
      <c r="AA40" s="35" cm="1">
        <f t="array" aca="1" ref="AA40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B40" s="57" cm="1">
        <f t="array" aca="1" ref="AB4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4247.6400000000003</v>
      </c>
      <c r="AC40" s="36" cm="1">
        <f t="array" aca="1" ref="AC4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0" s="36" cm="1">
        <f t="array" aca="1" ref="AD4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218.87975</v>
      </c>
      <c r="AE40" s="37" cm="1">
        <f t="array" aca="1" ref="AE4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395.44312500000001</v>
      </c>
      <c r="AF40" s="38" cm="1">
        <f t="array" aca="1" ref="AF40" ca="1">$AE41 / (_xlfn.XLOOKUP(ValueFromColumnName("Ice Cream Amount",ROW()),Specs!A:A,Specs!B:B,0))</f>
        <v>0.18638420245398774</v>
      </c>
      <c r="AG40" s="37" cm="1">
        <f t="array" aca="1" ref="AG4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14.379750000000001</v>
      </c>
      <c r="AH40" s="54" cm="1">
        <f t="array" aca="1" ref="AH4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162.32826965978808</v>
      </c>
      <c r="AI40" s="37" cm="1">
        <f t="array" aca="1" ref="AI4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8.8869757389849404</v>
      </c>
      <c r="AJ40" s="37" cm="1">
        <f t="array" aca="1" ref="AJ4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13.920398773006136</v>
      </c>
      <c r="AK40" s="37" cm="1">
        <f t="array" aca="1" ref="AK4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1.5625</v>
      </c>
      <c r="AL40" s="39" cm="1">
        <f t="array" aca="1" ref="AL4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7.1923090624083503</v>
      </c>
      <c r="AM40" s="40" t="e" cm="1">
        <f t="array" ref="AM40">ROUNDUP((ValueFromColumnName("Cost",ROW())+Specs!$Q$2+_xlfn.XLOOKUP(ValueFromColumnName("Ice Cream Amount",ROW()),Specs!A:A,Specs!V:V,0))*Specs!$N$2,0)</f>
        <v>#VALUE!</v>
      </c>
    </row>
    <row r="41" spans="1:39" x14ac:dyDescent="0.25">
      <c r="A41" s="30" t="s">
        <v>457</v>
      </c>
      <c r="B41" s="31" t="s">
        <v>65</v>
      </c>
      <c r="C41" s="31" t="s">
        <v>75</v>
      </c>
      <c r="D41" s="31" t="s">
        <v>403</v>
      </c>
      <c r="E41" s="31"/>
      <c r="F41" s="31"/>
      <c r="G41" s="31"/>
      <c r="H41" s="31"/>
      <c r="I41" s="31" t="s">
        <v>1</v>
      </c>
      <c r="J41" s="31"/>
      <c r="K41" s="30" t="s">
        <v>4</v>
      </c>
      <c r="L41" s="30" t="s">
        <v>451</v>
      </c>
      <c r="M41" s="30" t="s">
        <v>175</v>
      </c>
      <c r="N41" s="30" t="s">
        <v>44</v>
      </c>
      <c r="O41" s="30" t="s">
        <v>173</v>
      </c>
      <c r="P41" s="30" t="s">
        <v>44</v>
      </c>
      <c r="Q41" s="30" cm="1">
        <f t="array" aca="1" ref="Q4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729.13499999999999</v>
      </c>
      <c r="R41" s="30" cm="1">
        <f t="array" aca="1" ref="R4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364.5675</v>
      </c>
      <c r="S41" s="30">
        <f t="shared" ca="1" si="0"/>
        <v>1093.7024999999999</v>
      </c>
      <c r="T41" s="30" cm="1">
        <f t="array" aca="1" ref="T4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240</v>
      </c>
      <c r="U41" s="30" cm="1">
        <f t="array" aca="1" ref="U4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41" s="30" cm="1">
        <f t="array" aca="1" ref="V4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179.3</v>
      </c>
      <c r="W41" s="30" cm="1">
        <f t="array" aca="1" ref="W4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41" s="30" cm="1">
        <f t="array" aca="1" ref="X4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1" s="30" cm="1">
        <f t="array" aca="1" ref="Y4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41" s="34" cm="1">
        <f t="array" aca="1" ref="Z4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3.9373289999999996</v>
      </c>
      <c r="AA41" s="35" cm="1">
        <f t="array" aca="1" ref="AA41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B41" s="57" cm="1">
        <f t="array" aca="1" ref="AB4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4430.4202083333339</v>
      </c>
      <c r="AC41" s="36" cm="1">
        <f t="array" aca="1" ref="AC4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1" s="36" cm="1">
        <f t="array" aca="1" ref="AD4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220.06334913793106</v>
      </c>
      <c r="AE41" s="37" cm="1">
        <f t="array" aca="1" ref="AE4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334.18687499999999</v>
      </c>
      <c r="AF41" s="38" cm="1">
        <f t="array" aca="1" ref="AF41" ca="1">$AE42 / (_xlfn.XLOOKUP(ValueFromColumnName("Ice Cream Amount",ROW()),Specs!A:A,Specs!B:B,0))</f>
        <v>0.21613141142758235</v>
      </c>
      <c r="AG41" s="37" cm="1">
        <f t="array" aca="1" ref="AG4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12.15225</v>
      </c>
      <c r="AH41" s="54" cm="1">
        <f t="array" aca="1" ref="AH4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146.47921226224591</v>
      </c>
      <c r="AI41" s="37" cm="1">
        <f t="array" aca="1" ref="AI4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6.6981347962382456</v>
      </c>
      <c r="AJ41" s="37" cm="1">
        <f t="array" aca="1" ref="AJ4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12.631328009308229</v>
      </c>
      <c r="AK41" s="37" cm="1">
        <f t="array" aca="1" ref="AK4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2.2758620689655178</v>
      </c>
      <c r="AL41" s="39" cm="1">
        <f t="array" aca="1" ref="AL4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6.9935709456740449</v>
      </c>
      <c r="AM41" s="40" t="e" cm="1">
        <f t="array" ref="AM41">ROUNDUP((ValueFromColumnName("Cost",ROW())+Specs!$Q$2+_xlfn.XLOOKUP(ValueFromColumnName("Ice Cream Amount",ROW()),Specs!A:A,Specs!V:V,0))*Specs!$N$2,0)</f>
        <v>#VALUE!</v>
      </c>
    </row>
    <row r="42" spans="1:39" x14ac:dyDescent="0.25">
      <c r="A42" s="30"/>
      <c r="B42" s="31"/>
      <c r="C42" s="31"/>
      <c r="D42" s="31"/>
      <c r="E42" s="31"/>
      <c r="F42" s="31"/>
      <c r="G42" s="31"/>
      <c r="H42" s="31"/>
      <c r="I42" s="31"/>
      <c r="J42" s="31"/>
      <c r="K42" s="30" t="s">
        <v>4</v>
      </c>
      <c r="L42" s="30" t="s">
        <v>175</v>
      </c>
      <c r="M42" s="30" t="s">
        <v>175</v>
      </c>
      <c r="N42" s="30" t="s">
        <v>156</v>
      </c>
      <c r="O42" s="30" t="s">
        <v>158</v>
      </c>
      <c r="P42" s="30" t="s">
        <v>158</v>
      </c>
      <c r="Q42" s="30" cm="1">
        <f t="array" aca="1" ref="Q4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729.13499999999999</v>
      </c>
      <c r="R42" s="30" cm="1">
        <f t="array" aca="1" ref="R4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364.5675</v>
      </c>
      <c r="S42" s="30">
        <f t="shared" ca="1" si="0"/>
        <v>1093.7024999999999</v>
      </c>
      <c r="T42" s="30" cm="1">
        <f t="array" aca="1" ref="T4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120</v>
      </c>
      <c r="U42" s="30" cm="1">
        <f t="array" aca="1" ref="U4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120</v>
      </c>
      <c r="V42" s="30" cm="1">
        <f t="array" aca="1" ref="V4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455.7208333333333</v>
      </c>
      <c r="W42" s="30" cm="1">
        <f t="array" aca="1" ref="W4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42" s="30" cm="1">
        <f t="array" aca="1" ref="X4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2" s="30" cm="1">
        <f t="array" aca="1" ref="Y4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42" s="34" cm="1">
        <f t="array" aca="1" ref="Z4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3.9373289999999996</v>
      </c>
      <c r="AA42" s="35" cm="1">
        <f t="array" aca="1" ref="AA42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B42" s="57" cm="1">
        <f t="array" aca="1" ref="AB4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3356.5400000000004</v>
      </c>
      <c r="AC42" s="36" cm="1">
        <f t="array" aca="1" ref="AC4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2" s="36" cm="1">
        <f t="array" aca="1" ref="AD4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60.152250000000002</v>
      </c>
      <c r="AE42" s="37" cm="1">
        <f t="array" aca="1" ref="AE4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387.52362068965516</v>
      </c>
      <c r="AF42" s="38" cm="1">
        <f t="array" aca="1" ref="AF42" ca="1">$AE43 / (_xlfn.XLOOKUP(ValueFromColumnName("Ice Cream Amount",ROW()),Specs!A:A,Specs!B:B,0))</f>
        <v>0</v>
      </c>
      <c r="AG42" s="37" cm="1">
        <f t="array" aca="1" ref="AG4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26.914642241379312</v>
      </c>
      <c r="AH42" s="54" cm="1">
        <f t="array" aca="1" ref="AH4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113.08991501558887</v>
      </c>
      <c r="AI42" s="37" cm="1">
        <f t="array" aca="1" ref="AI4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2.1896447592184543</v>
      </c>
      <c r="AJ42" s="37" cm="1">
        <f t="array" aca="1" ref="AJ4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11.38383296151701</v>
      </c>
      <c r="AK42" s="37" cm="1">
        <f t="array" aca="1" ref="AK4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0.17674180327868852</v>
      </c>
      <c r="AL42" s="39" cm="1">
        <f t="array" aca="1" ref="AL4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7.2052078975741241</v>
      </c>
      <c r="AM42" s="40" t="e" cm="1">
        <f t="array" ref="AM42">ROUNDUP((ValueFromColumnName("Cost",ROW())+Specs!$Q$2+_xlfn.XLOOKUP(ValueFromColumnName("Ice Cream Amount",ROW()),Specs!A:A,Specs!V:V,0))*Specs!$N$2,0)</f>
        <v>#VALUE!</v>
      </c>
    </row>
    <row r="43" spans="1:39" x14ac:dyDescent="0.25">
      <c r="A43" s="30" t="s">
        <v>419</v>
      </c>
      <c r="B43" s="31" t="s">
        <v>62</v>
      </c>
      <c r="C43" s="31" t="s">
        <v>65</v>
      </c>
      <c r="D43" s="31" t="s">
        <v>160</v>
      </c>
      <c r="E43" s="31" t="s">
        <v>0</v>
      </c>
      <c r="F43" s="31" t="s">
        <v>234</v>
      </c>
      <c r="G43" s="31" t="s">
        <v>420</v>
      </c>
      <c r="H43" s="31"/>
      <c r="I43" s="31" t="s">
        <v>1</v>
      </c>
      <c r="J43" s="31"/>
      <c r="K43" s="30" t="s">
        <v>4</v>
      </c>
      <c r="L43" s="30" t="s">
        <v>175</v>
      </c>
      <c r="M43" s="30" t="s">
        <v>175</v>
      </c>
      <c r="N43" s="30" t="s">
        <v>156</v>
      </c>
      <c r="O43" s="30" t="s">
        <v>173</v>
      </c>
      <c r="P43" s="30" t="s">
        <v>44</v>
      </c>
      <c r="Q43" s="30" t="e" cm="1">
        <f t="array" aca="1" ref="Q4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43" s="30" t="e" cm="1">
        <f t="array" aca="1" ref="R4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43" s="30" t="e">
        <f t="shared" ca="1" si="0"/>
        <v>#VALUE!</v>
      </c>
      <c r="T43" s="30" t="e" cm="1">
        <f t="array" aca="1" ref="T4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43" s="30" t="e" cm="1">
        <f t="array" aca="1" ref="U4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43" s="30" t="e" cm="1">
        <f t="array" aca="1" ref="V4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43" s="30" t="e" cm="1">
        <f t="array" aca="1" ref="W4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43" s="30" cm="1">
        <f t="array" aca="1" ref="X4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3" s="30" t="e" cm="1">
        <f t="array" aca="1" ref="Y4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43" s="34" cm="1">
        <f t="array" aca="1" ref="Z4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43" s="35" cm="1">
        <f t="array" aca="1" ref="AA43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43" s="57" cm="1">
        <f t="array" aca="1" ref="AB4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43" s="36" cm="1">
        <f t="array" aca="1" ref="AC4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3" s="36" cm="1">
        <f t="array" aca="1" ref="AD4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43" s="37" cm="1">
        <f t="array" aca="1" ref="AE4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43" s="38" t="e" cm="1">
        <f t="array" aca="1" ref="AF43" ca="1">$AE44 / (_xlfn.XLOOKUP(ValueFromColumnName("Ice Cream Amount",ROW()),Specs!A:A,Specs!B:B,0))</f>
        <v>#VALUE!</v>
      </c>
      <c r="AG43" s="37" cm="1">
        <f t="array" aca="1" ref="AG4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43" s="54" t="e" cm="1">
        <f t="array" aca="1" ref="AH4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43" s="37" t="e" cm="1">
        <f t="array" aca="1" ref="AI4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43" s="37" t="e" cm="1">
        <f t="array" aca="1" ref="AJ4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43" s="37" t="e" cm="1">
        <f t="array" aca="1" ref="AK4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43" s="39" cm="1">
        <f t="array" aca="1" ref="AL4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43" s="40" t="e" cm="1">
        <f t="array" ref="AM43">ROUNDUP((ValueFromColumnName("Cost",ROW())+Specs!$Q$2+_xlfn.XLOOKUP(ValueFromColumnName("Ice Cream Amount",ROW()),Specs!A:A,Specs!V:V,0))*Specs!$N$2,0)</f>
        <v>#VALUE!</v>
      </c>
    </row>
    <row r="44" spans="1:39" x14ac:dyDescent="0.25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0"/>
      <c r="L44" s="30"/>
      <c r="M44" s="30"/>
      <c r="N44" s="30"/>
      <c r="O44" s="30"/>
      <c r="P44" s="30"/>
      <c r="Q44" s="30" t="e" cm="1">
        <f t="array" aca="1" ref="Q4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44" s="30" t="e" cm="1">
        <f t="array" aca="1" ref="R4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44" s="30" t="e">
        <f t="shared" ca="1" si="0"/>
        <v>#VALUE!</v>
      </c>
      <c r="T44" s="30" t="e" cm="1">
        <f t="array" aca="1" ref="T4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44" s="30" t="e" cm="1">
        <f t="array" aca="1" ref="U4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44" s="30" t="e" cm="1">
        <f t="array" aca="1" ref="V4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44" s="30" t="e" cm="1">
        <f t="array" aca="1" ref="W4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44" s="30" cm="1">
        <f t="array" aca="1" ref="X4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4" s="30" t="e" cm="1">
        <f t="array" aca="1" ref="Y4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44" s="34" cm="1">
        <f t="array" aca="1" ref="Z4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44" s="35" cm="1">
        <f t="array" aca="1" ref="AA4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44" s="57" cm="1">
        <f t="array" aca="1" ref="AB4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44" s="36" cm="1">
        <f t="array" aca="1" ref="AC4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4" s="36" cm="1">
        <f t="array" aca="1" ref="AD4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44" s="37" cm="1">
        <f t="array" aca="1" ref="AE4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44" s="38" t="e" cm="1">
        <f t="array" aca="1" ref="AF44" ca="1">$AE45 / (_xlfn.XLOOKUP(ValueFromColumnName("Ice Cream Amount",ROW()),Specs!A:A,Specs!B:B,0))</f>
        <v>#VALUE!</v>
      </c>
      <c r="AG44" s="37" cm="1">
        <f t="array" aca="1" ref="AG4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44" s="54" t="e" cm="1">
        <f t="array" aca="1" ref="AH4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44" s="37" t="e" cm="1">
        <f t="array" aca="1" ref="AI4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44" s="37" t="e" cm="1">
        <f t="array" aca="1" ref="AJ4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44" s="37" t="e" cm="1">
        <f t="array" aca="1" ref="AK4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44" s="39" cm="1">
        <f t="array" aca="1" ref="AL4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44" s="40" t="e" cm="1">
        <f t="array" ref="AM44">ROUNDUP((ValueFromColumnName("Cost",ROW())+Specs!$Q$2+_xlfn.XLOOKUP(ValueFromColumnName("Ice Cream Amount",ROW()),Specs!A:A,Specs!V:V,0))*Specs!$N$2,0)</f>
        <v>#VALUE!</v>
      </c>
    </row>
    <row r="45" spans="1:39" x14ac:dyDescent="0.25">
      <c r="A45" s="30" t="s">
        <v>425</v>
      </c>
      <c r="B45" s="31" t="s">
        <v>62</v>
      </c>
      <c r="C45" s="31" t="s">
        <v>65</v>
      </c>
      <c r="D45" s="31" t="s">
        <v>248</v>
      </c>
      <c r="E45" s="31"/>
      <c r="F45" s="31" t="s">
        <v>427</v>
      </c>
      <c r="G45" s="31"/>
      <c r="H45" s="31"/>
      <c r="I45" s="31"/>
      <c r="J45" s="31"/>
      <c r="K45" s="30" t="s">
        <v>4</v>
      </c>
      <c r="L45" s="30" t="s">
        <v>46</v>
      </c>
      <c r="M45" s="30"/>
      <c r="N45" s="30" t="s">
        <v>156</v>
      </c>
      <c r="O45" s="30" t="s">
        <v>173</v>
      </c>
      <c r="P45" s="30"/>
      <c r="Q45" s="30" cm="1">
        <f t="array" aca="1" ref="Q4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1005.1800000000001</v>
      </c>
      <c r="R45" s="30" cm="1">
        <f t="array" aca="1" ref="R4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502.59000000000003</v>
      </c>
      <c r="S45" s="30">
        <f t="shared" ca="1" si="0"/>
        <v>1507.77</v>
      </c>
      <c r="T45" s="30" cm="1">
        <f t="array" aca="1" ref="T4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240</v>
      </c>
      <c r="U45" s="30" cm="1">
        <f t="array" aca="1" ref="U4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30</v>
      </c>
      <c r="V45" s="30" cm="1">
        <f t="array" aca="1" ref="V4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45" s="30" cm="1">
        <f t="array" aca="1" ref="W4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45" s="30" cm="1">
        <f t="array" aca="1" ref="X4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5" s="30" cm="1">
        <f t="array" aca="1" ref="Y4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45" s="34" cm="1">
        <f t="array" aca="1" ref="Z4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5.4279719999999996</v>
      </c>
      <c r="AA45" s="35" cm="1">
        <f t="array" aca="1" ref="AA45" ca="1">_xlfn.LET(
    _xlpm.XanthanGum, CONVERT(ValueFromColumnName("Xanthan Gum To Use (g)", ROW()), "ml", "tsp"),
    _xlpm.Dummy, SUM(INDIRECT("B" &amp; ROW() &amp; ":O" &amp; ROW())),
    _xlpm.Result, CEILING(_xlpm.XanthanGum, 0.25),
    _xlpm.Result
)</f>
        <v>1.25</v>
      </c>
      <c r="AB45" s="57" cm="1">
        <f t="array" aca="1" ref="AB4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5637.7199999999993</v>
      </c>
      <c r="AC45" s="36" cm="1">
        <f t="array" aca="1" ref="AC4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5" s="36" cm="1">
        <f t="array" aca="1" ref="AD4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260.75299999999999</v>
      </c>
      <c r="AE45" s="37" cm="1">
        <f t="array" aca="1" ref="AE4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511.70749999999998</v>
      </c>
      <c r="AF45" s="38" cm="1">
        <f t="array" aca="1" ref="AF45" ca="1">$AE46 / (_xlfn.XLOOKUP(ValueFromColumnName("Ice Cream Amount",ROW()),Specs!A:A,Specs!B:B,0))</f>
        <v>0</v>
      </c>
      <c r="AG45" s="37" cm="1">
        <f t="array" aca="1" ref="AG4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28.753</v>
      </c>
      <c r="AH45" s="54" cm="1">
        <f t="array" aca="1" ref="AH4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188.65766871165641</v>
      </c>
      <c r="AI45" s="37" cm="1">
        <f t="array" aca="1" ref="AI4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8.7256999442275518</v>
      </c>
      <c r="AJ45" s="37" cm="1">
        <f t="array" aca="1" ref="AJ4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17.123508087005018</v>
      </c>
      <c r="AK45" s="37" cm="1">
        <f t="array" aca="1" ref="AK4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45" s="39" cm="1">
        <f t="array" aca="1" ref="AL4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8.6892580098817831</v>
      </c>
      <c r="AM45" s="40" t="e" cm="1">
        <f t="array" ref="AM45">ROUNDUP((ValueFromColumnName("Cost",ROW())+Specs!$Q$2+_xlfn.XLOOKUP(ValueFromColumnName("Ice Cream Amount",ROW()),Specs!A:A,Specs!V:V,0))*Specs!$N$2,0)</f>
        <v>#VALUE!</v>
      </c>
    </row>
    <row r="46" spans="1:39" x14ac:dyDescent="0.25">
      <c r="A46" s="51" t="s">
        <v>447</v>
      </c>
      <c r="B46" s="31" t="s">
        <v>66</v>
      </c>
      <c r="C46" s="31" t="s">
        <v>283</v>
      </c>
      <c r="D46" s="31" t="s">
        <v>98</v>
      </c>
      <c r="E46" s="31" t="s">
        <v>96</v>
      </c>
      <c r="F46" s="31" t="s">
        <v>422</v>
      </c>
      <c r="G46" s="31"/>
      <c r="H46" s="31"/>
      <c r="I46" s="31" t="s">
        <v>1</v>
      </c>
      <c r="J46" s="31" t="s">
        <v>132</v>
      </c>
      <c r="K46" s="30" t="s">
        <v>4</v>
      </c>
      <c r="L46" s="30" t="s">
        <v>46</v>
      </c>
      <c r="M46" s="30" t="s">
        <v>46</v>
      </c>
      <c r="N46" s="30" t="s">
        <v>44</v>
      </c>
      <c r="O46" s="30" t="s">
        <v>448</v>
      </c>
      <c r="P46" s="30" t="s">
        <v>158</v>
      </c>
      <c r="Q46" s="30" t="e" cm="1">
        <f t="array" aca="1" ref="Q4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46" s="30" t="e" cm="1">
        <f t="array" aca="1" ref="R4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46" s="30" t="e">
        <f t="shared" ca="1" si="0"/>
        <v>#VALUE!</v>
      </c>
      <c r="T46" s="30" t="e" cm="1">
        <f t="array" aca="1" ref="T4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46" s="30" t="e" cm="1">
        <f t="array" aca="1" ref="U4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46" s="30" t="e" cm="1">
        <f t="array" aca="1" ref="V4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46" s="30" t="e" cm="1">
        <f t="array" aca="1" ref="W4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46" s="30" t="e" cm="1">
        <f t="array" aca="1" ref="X4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46" s="30" t="e" cm="1">
        <f t="array" aca="1" ref="Y4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46" s="34" cm="1">
        <f t="array" aca="1" ref="Z4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46" s="35" cm="1">
        <f t="array" aca="1" ref="AA46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46" s="57" cm="1">
        <f t="array" aca="1" ref="AB4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46" s="36" cm="1">
        <f t="array" aca="1" ref="AC4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6" s="36" cm="1">
        <f t="array" aca="1" ref="AD4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46" s="37" cm="1">
        <f t="array" aca="1" ref="AE4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46" s="38" t="e" cm="1">
        <f t="array" aca="1" ref="AF46" ca="1">$AE47 / (_xlfn.XLOOKUP(ValueFromColumnName("Ice Cream Amount",ROW()),Specs!A:A,Specs!B:B,0))</f>
        <v>#VALUE!</v>
      </c>
      <c r="AG46" s="37" cm="1">
        <f t="array" aca="1" ref="AG4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46" s="54" t="e" cm="1">
        <f t="array" aca="1" ref="AH4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46" s="37" t="e" cm="1">
        <f t="array" aca="1" ref="AI4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46" s="37" t="e" cm="1">
        <f t="array" aca="1" ref="AJ4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46" s="37" t="e" cm="1">
        <f t="array" aca="1" ref="AK4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46" s="39" cm="1">
        <f t="array" aca="1" ref="AL4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46" s="40" t="e" cm="1">
        <f t="array" ref="AM46">ROUNDUP((ValueFromColumnName("Cost",ROW())+Specs!$Q$2+_xlfn.XLOOKUP(ValueFromColumnName("Ice Cream Amount",ROW()),Specs!A:A,Specs!V:V,0))*Specs!$N$2,0)</f>
        <v>#VALUE!</v>
      </c>
    </row>
    <row r="47" spans="1:39" x14ac:dyDescent="0.25">
      <c r="A47" s="30"/>
      <c r="B47" s="31"/>
      <c r="C47" s="31"/>
      <c r="D47" s="31"/>
      <c r="E47" s="31"/>
      <c r="F47" s="31"/>
      <c r="G47" s="31"/>
      <c r="H47" s="31"/>
      <c r="I47" s="31"/>
      <c r="J47" s="31"/>
      <c r="K47" s="30"/>
      <c r="L47" s="30"/>
      <c r="M47" s="30"/>
      <c r="N47" s="30"/>
      <c r="O47" s="30"/>
      <c r="P47" s="30"/>
      <c r="Q47" s="30" cm="1">
        <f t="array" aca="1" ref="Q4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194.535</v>
      </c>
      <c r="R47" s="30" cm="1">
        <f t="array" aca="1" ref="R4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97.267499999999998</v>
      </c>
      <c r="S47" s="30">
        <f t="shared" ca="1" si="0"/>
        <v>291.80250000000001</v>
      </c>
      <c r="T47" s="30" cm="1">
        <f t="array" aca="1" ref="T4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30</v>
      </c>
      <c r="U47" s="30" cm="1">
        <f t="array" aca="1" ref="U4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30</v>
      </c>
      <c r="V47" s="30" cm="1">
        <f t="array" aca="1" ref="V4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39.416666666666671</v>
      </c>
      <c r="W47" s="30" cm="1">
        <f t="array" aca="1" ref="W4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47" s="30" cm="1">
        <f t="array" aca="1" ref="X4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7" s="30" cm="1">
        <f t="array" aca="1" ref="Y4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47" s="34" cm="1">
        <f t="array" aca="1" ref="Z4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1.050489</v>
      </c>
      <c r="AA47" s="35" cm="1">
        <f t="array" aca="1" ref="AA47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B47" s="57" cm="1">
        <f t="array" aca="1" ref="AB4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1139.8532352941177</v>
      </c>
      <c r="AC47" s="36" cm="1">
        <f t="array" aca="1" ref="AC4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7" s="36" cm="1">
        <f t="array" aca="1" ref="AD4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59.9687205882353</v>
      </c>
      <c r="AE47" s="37" cm="1">
        <f t="array" aca="1" ref="AE4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98.900110294117638</v>
      </c>
      <c r="AF47" s="38" cm="1">
        <f t="array" aca="1" ref="AF47" ca="1">$AE48 / (_xlfn.XLOOKUP(ValueFromColumnName("Ice Cream Amount",ROW()),Specs!A:A,Specs!B:B,0))</f>
        <v>0</v>
      </c>
      <c r="AG47" s="37" cm="1">
        <f t="array" aca="1" ref="AG4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4.6334264705882351</v>
      </c>
      <c r="AH47" s="54" cm="1">
        <f t="array" aca="1" ref="AH4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173.22996828752645</v>
      </c>
      <c r="AI47" s="37" cm="1">
        <f t="array" aca="1" ref="AI4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8.1989376321353085</v>
      </c>
      <c r="AJ47" s="37" cm="1">
        <f t="array" aca="1" ref="AJ4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12.841424418604651</v>
      </c>
      <c r="AK47" s="37" cm="1">
        <f t="array" aca="1" ref="AK4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3.0625000000000009</v>
      </c>
      <c r="AL47" s="39" cm="1">
        <f t="array" aca="1" ref="AL4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2.6365858556812021</v>
      </c>
      <c r="AM47" s="40" t="e" cm="1">
        <f t="array" ref="AM47">ROUNDUP((ValueFromColumnName("Cost",ROW())+Specs!$Q$2+_xlfn.XLOOKUP(ValueFromColumnName("Ice Cream Amount",ROW()),Specs!A:A,Specs!V:V,0))*Specs!$N$2,0)</f>
        <v>#VALUE!</v>
      </c>
    </row>
    <row r="48" spans="1:39" x14ac:dyDescent="0.25">
      <c r="A48" s="75" t="s">
        <v>488</v>
      </c>
      <c r="B48" s="31" t="s">
        <v>65</v>
      </c>
      <c r="C48" s="31" t="s">
        <v>73</v>
      </c>
      <c r="D48" s="31" t="s">
        <v>0</v>
      </c>
      <c r="E48" s="31" t="s">
        <v>473</v>
      </c>
      <c r="F48" s="31" t="s">
        <v>420</v>
      </c>
      <c r="G48" s="31"/>
      <c r="H48" s="31"/>
      <c r="I48" s="31"/>
      <c r="J48" s="31"/>
      <c r="K48" s="30" t="s">
        <v>43</v>
      </c>
      <c r="L48" s="30" t="s">
        <v>157</v>
      </c>
      <c r="M48" s="30" t="s">
        <v>6</v>
      </c>
      <c r="N48" s="30" t="s">
        <v>156</v>
      </c>
      <c r="O48" s="30"/>
      <c r="P48" s="30"/>
      <c r="Q48" s="30" t="e" cm="1">
        <f t="array" aca="1" ref="Q4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48" s="30" t="e" cm="1">
        <f t="array" aca="1" ref="R4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48" s="30" t="e">
        <f t="shared" ca="1" si="0"/>
        <v>#VALUE!</v>
      </c>
      <c r="T48" s="30" t="e" cm="1">
        <f t="array" aca="1" ref="T4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48" s="30" t="e" cm="1">
        <f t="array" aca="1" ref="U4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48" s="30" t="e" cm="1">
        <f t="array" aca="1" ref="V4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48" s="30" t="e" cm="1">
        <f t="array" aca="1" ref="W4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48" s="30" t="e" cm="1">
        <f t="array" aca="1" ref="X4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48" s="30" t="e" cm="1">
        <f t="array" aca="1" ref="Y4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48" s="34" cm="1">
        <f t="array" aca="1" ref="Z4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48" s="35" cm="1">
        <f t="array" aca="1" ref="AA48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48" s="57" cm="1">
        <f t="array" aca="1" ref="AB4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48" s="36" cm="1">
        <f t="array" aca="1" ref="AC4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8" s="36" cm="1">
        <f t="array" aca="1" ref="AD4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48" s="37" cm="1">
        <f t="array" aca="1" ref="AE4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48" s="38" t="e" cm="1">
        <f t="array" aca="1" ref="AF48" ca="1">$AE49 / (_xlfn.XLOOKUP(ValueFromColumnName("Ice Cream Amount",ROW()),Specs!A:A,Specs!B:B,0))</f>
        <v>#VALUE!</v>
      </c>
      <c r="AG48" s="37" cm="1">
        <f t="array" aca="1" ref="AG4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48" s="54" t="e" cm="1">
        <f t="array" aca="1" ref="AH4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48" s="37" t="e" cm="1">
        <f t="array" aca="1" ref="AI4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48" s="37" t="e" cm="1">
        <f t="array" aca="1" ref="AJ4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48" s="37" t="e" cm="1">
        <f t="array" aca="1" ref="AK4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48" s="39" cm="1">
        <f t="array" aca="1" ref="AL4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48" s="40" t="e" cm="1">
        <f t="array" ref="AM48">ROUNDUP((ValueFromColumnName("Cost",ROW())+Specs!$Q$2+_xlfn.XLOOKUP(ValueFromColumnName("Ice Cream Amount",ROW()),Specs!A:A,Specs!V:V,0))*Specs!$N$2,0)</f>
        <v>#VALUE!</v>
      </c>
    </row>
    <row r="49" spans="1:39" x14ac:dyDescent="0.25">
      <c r="A49" s="75" t="s">
        <v>472</v>
      </c>
      <c r="B49" s="31" t="s">
        <v>66</v>
      </c>
      <c r="C49" s="31" t="s">
        <v>283</v>
      </c>
      <c r="D49" s="31" t="s">
        <v>0</v>
      </c>
      <c r="E49" s="31" t="s">
        <v>473</v>
      </c>
      <c r="F49" s="31" t="s">
        <v>420</v>
      </c>
      <c r="G49" s="31"/>
      <c r="H49" s="31"/>
      <c r="I49" s="31"/>
      <c r="J49" s="31"/>
      <c r="K49" s="30" t="s">
        <v>43</v>
      </c>
      <c r="L49" s="30" t="s">
        <v>157</v>
      </c>
      <c r="M49" s="30" t="s">
        <v>6</v>
      </c>
      <c r="N49" s="30" t="s">
        <v>156</v>
      </c>
      <c r="O49" s="30"/>
      <c r="P49" s="30"/>
      <c r="Q49" s="30" t="e" cm="1">
        <f t="array" aca="1" ref="Q4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49" s="30" t="e" cm="1">
        <f t="array" aca="1" ref="R4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49" s="30" t="e">
        <f t="shared" ca="1" si="0"/>
        <v>#VALUE!</v>
      </c>
      <c r="T49" s="30" t="e" cm="1">
        <f t="array" aca="1" ref="T4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49" s="30" t="e" cm="1">
        <f t="array" aca="1" ref="U4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49" s="30" t="e" cm="1">
        <f t="array" aca="1" ref="V4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49" s="30" t="e" cm="1">
        <f t="array" aca="1" ref="W4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49" s="30" t="e" cm="1">
        <f t="array" aca="1" ref="X4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49" s="30" t="e" cm="1">
        <f t="array" aca="1" ref="Y4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49" s="34" cm="1">
        <f t="array" aca="1" ref="Z4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49" s="35" cm="1">
        <f t="array" aca="1" ref="AA49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49" s="57" cm="1">
        <f t="array" aca="1" ref="AB4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49" s="36" cm="1">
        <f t="array" aca="1" ref="AC4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9" s="36" cm="1">
        <f t="array" aca="1" ref="AD4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49" s="37" cm="1">
        <f t="array" aca="1" ref="AE4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49" s="38" t="e" cm="1">
        <f t="array" aca="1" ref="AF49" ca="1">$AE50 / (_xlfn.XLOOKUP(ValueFromColumnName("Ice Cream Amount",ROW()),Specs!A:A,Specs!B:B,0))</f>
        <v>#VALUE!</v>
      </c>
      <c r="AG49" s="37" cm="1">
        <f t="array" aca="1" ref="AG4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49" s="54" t="e" cm="1">
        <f t="array" aca="1" ref="AH4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49" s="37" t="e" cm="1">
        <f t="array" aca="1" ref="AI4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49" s="37" t="e" cm="1">
        <f t="array" aca="1" ref="AJ4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49" s="37" t="e" cm="1">
        <f t="array" aca="1" ref="AK4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49" s="39" cm="1">
        <f t="array" aca="1" ref="AL4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49" s="40" t="e" cm="1">
        <f t="array" ref="AM49">ROUNDUP((ValueFromColumnName("Cost",ROW())+Specs!$Q$2+_xlfn.XLOOKUP(ValueFromColumnName("Ice Cream Amount",ROW()),Specs!A:A,Specs!V:V,0))*Specs!$N$2,0)</f>
        <v>#VALUE!</v>
      </c>
    </row>
    <row r="50" spans="1:39" x14ac:dyDescent="0.25">
      <c r="A50" s="75"/>
      <c r="B50" s="31"/>
      <c r="C50" s="31"/>
      <c r="D50" s="31"/>
      <c r="E50" s="31"/>
      <c r="F50" s="31"/>
      <c r="G50" s="31"/>
      <c r="H50" s="31"/>
      <c r="I50" s="31"/>
      <c r="J50" s="31"/>
      <c r="K50" s="30"/>
      <c r="L50" s="30"/>
      <c r="M50" s="30"/>
      <c r="N50" s="30"/>
      <c r="O50" s="30"/>
      <c r="P50" s="30"/>
      <c r="Q50" s="30" t="e" cm="1">
        <f t="array" aca="1" ref="Q5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0" s="30" t="e" cm="1">
        <f t="array" aca="1" ref="R5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0" s="30" t="e">
        <f t="shared" ca="1" si="0"/>
        <v>#VALUE!</v>
      </c>
      <c r="T50" s="30" t="e" cm="1">
        <f t="array" aca="1" ref="T5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0" s="30" t="e" cm="1">
        <f t="array" aca="1" ref="U5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0" s="30" t="e" cm="1">
        <f t="array" aca="1" ref="V5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0" s="30" t="e" cm="1">
        <f t="array" aca="1" ref="W5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0" s="30" cm="1">
        <f t="array" aca="1" ref="X5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0" s="30" t="e" cm="1">
        <f t="array" aca="1" ref="Y5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0" s="34" cm="1">
        <f t="array" aca="1" ref="Z5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0" s="35" cm="1">
        <f t="array" aca="1" ref="AA50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0" s="57" cm="1">
        <f t="array" aca="1" ref="AB5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0" s="36" cm="1">
        <f t="array" aca="1" ref="AC5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0" s="36" cm="1">
        <f t="array" aca="1" ref="AD5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0" s="37" cm="1">
        <f t="array" aca="1" ref="AE5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0" s="38" t="e" cm="1">
        <f t="array" aca="1" ref="AF50" ca="1">$AE51 / (_xlfn.XLOOKUP(ValueFromColumnName("Ice Cream Amount",ROW()),Specs!A:A,Specs!B:B,0))</f>
        <v>#VALUE!</v>
      </c>
      <c r="AG50" s="37" cm="1">
        <f t="array" aca="1" ref="AG5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0" s="54" t="e" cm="1">
        <f t="array" aca="1" ref="AH5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0" s="37" t="e" cm="1">
        <f t="array" aca="1" ref="AI5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0" s="37" t="e" cm="1">
        <f t="array" aca="1" ref="AJ5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0" s="37" t="e" cm="1">
        <f t="array" aca="1" ref="AK5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0" s="39" cm="1">
        <f t="array" aca="1" ref="AL5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0" s="40" t="e" cm="1">
        <f t="array" ref="AM50">ROUNDUP((ValueFromColumnName("Cost",ROW())+Specs!$Q$2+_xlfn.XLOOKUP(ValueFromColumnName("Ice Cream Amount",ROW()),Specs!A:A,Specs!V:V,0))*Specs!$N$2,0)</f>
        <v>#VALUE!</v>
      </c>
    </row>
    <row r="51" spans="1:39" x14ac:dyDescent="0.25">
      <c r="A51" s="75" t="s">
        <v>622</v>
      </c>
      <c r="B51" s="31" t="s">
        <v>66</v>
      </c>
      <c r="C51" s="31" t="s">
        <v>283</v>
      </c>
      <c r="D51" s="31" t="s">
        <v>176</v>
      </c>
      <c r="E51" s="31" t="s">
        <v>458</v>
      </c>
      <c r="F51" s="31"/>
      <c r="G51" s="31"/>
      <c r="H51" s="31"/>
      <c r="I51" s="31" t="s">
        <v>1</v>
      </c>
      <c r="J51" s="31" t="s">
        <v>132</v>
      </c>
      <c r="K51" s="30" t="s">
        <v>43</v>
      </c>
      <c r="L51" s="30" t="s">
        <v>157</v>
      </c>
      <c r="M51" s="30" t="s">
        <v>46</v>
      </c>
      <c r="N51" s="30" t="s">
        <v>44</v>
      </c>
      <c r="O51" s="30" t="s">
        <v>448</v>
      </c>
      <c r="P51" s="30" t="s">
        <v>158</v>
      </c>
      <c r="Q51" s="30" t="e" cm="1">
        <f t="array" aca="1" ref="Q5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1" s="30" t="e" cm="1">
        <f t="array" aca="1" ref="R5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1" s="30" t="e">
        <f t="shared" ca="1" si="0"/>
        <v>#VALUE!</v>
      </c>
      <c r="T51" s="30" t="e" cm="1">
        <f t="array" aca="1" ref="T5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1" s="30" t="e" cm="1">
        <f t="array" aca="1" ref="U5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1" s="30" t="e" cm="1">
        <f t="array" aca="1" ref="V5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1" s="30" t="e" cm="1">
        <f t="array" aca="1" ref="W5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1" s="30" cm="1">
        <f t="array" aca="1" ref="X5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1" s="30" t="e" cm="1">
        <f t="array" aca="1" ref="Y5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1" s="34" cm="1">
        <f t="array" aca="1" ref="Z5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1" s="35" cm="1">
        <f t="array" aca="1" ref="AA51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1" s="57" cm="1">
        <f t="array" aca="1" ref="AB5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1" s="36" cm="1">
        <f t="array" aca="1" ref="AC5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1" s="36" cm="1">
        <f t="array" aca="1" ref="AD5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1" s="37" cm="1">
        <f t="array" aca="1" ref="AE5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1" s="38" t="e" cm="1">
        <f t="array" aca="1" ref="AF51" ca="1">$AE52 / (_xlfn.XLOOKUP(ValueFromColumnName("Ice Cream Amount",ROW()),Specs!A:A,Specs!B:B,0))</f>
        <v>#VALUE!</v>
      </c>
      <c r="AG51" s="37" cm="1">
        <f t="array" aca="1" ref="AG5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1" s="54" t="e" cm="1">
        <f t="array" aca="1" ref="AH5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1" s="37" t="e" cm="1">
        <f t="array" aca="1" ref="AI5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1" s="37" t="e" cm="1">
        <f t="array" aca="1" ref="AJ5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1" s="37" t="e" cm="1">
        <f t="array" aca="1" ref="AK5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1" s="39" cm="1">
        <f t="array" aca="1" ref="AL5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1" s="40" t="e" cm="1">
        <f t="array" ref="AM51">ROUNDUP((ValueFromColumnName("Cost",ROW())+Specs!$Q$2+_xlfn.XLOOKUP(ValueFromColumnName("Ice Cream Amount",ROW()),Specs!A:A,Specs!V:V,0))*Specs!$N$2,0)</f>
        <v>#VALUE!</v>
      </c>
    </row>
    <row r="52" spans="1:39" x14ac:dyDescent="0.25">
      <c r="A52" s="30"/>
      <c r="B52" s="31"/>
      <c r="C52" s="31"/>
      <c r="D52" s="31"/>
      <c r="E52" s="31"/>
      <c r="F52" s="31"/>
      <c r="G52" s="31"/>
      <c r="H52" s="31"/>
      <c r="I52" s="31"/>
      <c r="J52" s="31"/>
      <c r="K52" s="30"/>
      <c r="L52" s="30"/>
      <c r="M52" s="30"/>
      <c r="N52" s="30"/>
      <c r="O52" s="30"/>
      <c r="P52" s="30"/>
      <c r="Q52" s="30" t="e" cm="1">
        <f t="array" aca="1" ref="Q5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2" s="30" t="e" cm="1">
        <f t="array" aca="1" ref="R5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2" s="30" t="e">
        <f t="shared" ca="1" si="0"/>
        <v>#VALUE!</v>
      </c>
      <c r="T52" s="30" t="e" cm="1">
        <f t="array" aca="1" ref="T5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2" s="30" t="e" cm="1">
        <f t="array" aca="1" ref="U5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2" s="30" t="e" cm="1">
        <f t="array" aca="1" ref="V5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2" s="30" t="e" cm="1">
        <f t="array" aca="1" ref="W5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2" s="30" cm="1">
        <f t="array" aca="1" ref="X5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2" s="30" t="e" cm="1">
        <f t="array" aca="1" ref="Y5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2" s="34" cm="1">
        <f t="array" aca="1" ref="Z5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2" s="35" cm="1">
        <f t="array" aca="1" ref="AA52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2" s="57" cm="1">
        <f t="array" aca="1" ref="AB5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2" s="36" cm="1">
        <f t="array" aca="1" ref="AC5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2" s="36" cm="1">
        <f t="array" aca="1" ref="AD5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2" s="37" cm="1">
        <f t="array" aca="1" ref="AE5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2" s="38" t="e" cm="1">
        <f t="array" aca="1" ref="AF52" ca="1">$AE53 / (_xlfn.XLOOKUP(ValueFromColumnName("Ice Cream Amount",ROW()),Specs!A:A,Specs!B:B,0))</f>
        <v>#VALUE!</v>
      </c>
      <c r="AG52" s="37" cm="1">
        <f t="array" aca="1" ref="AG5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2" s="54" t="e" cm="1">
        <f t="array" aca="1" ref="AH5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2" s="37" t="e" cm="1">
        <f t="array" aca="1" ref="AI5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2" s="37" t="e" cm="1">
        <f t="array" aca="1" ref="AJ5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2" s="37" t="e" cm="1">
        <f t="array" aca="1" ref="AK5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2" s="39" cm="1">
        <f t="array" aca="1" ref="AL5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2" s="40" t="e" cm="1">
        <f t="array" ref="AM52">ROUNDUP((ValueFromColumnName("Cost",ROW())+Specs!$Q$2+_xlfn.XLOOKUP(ValueFromColumnName("Ice Cream Amount",ROW()),Specs!A:A,Specs!V:V,0))*Specs!$N$2,0)</f>
        <v>#VALUE!</v>
      </c>
    </row>
    <row r="53" spans="1:39" x14ac:dyDescent="0.25">
      <c r="Q53" s="30" t="e" cm="1">
        <f t="array" aca="1" ref="Q5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3" s="30" t="e" cm="1">
        <f t="array" aca="1" ref="R5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3" s="30" t="e">
        <f t="shared" ca="1" si="0"/>
        <v>#VALUE!</v>
      </c>
      <c r="T53" s="30" t="e" cm="1">
        <f t="array" aca="1" ref="T5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3" s="30" t="e" cm="1">
        <f t="array" aca="1" ref="U5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3" s="30" t="e" cm="1">
        <f t="array" aca="1" ref="V5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3" s="30" t="e" cm="1">
        <f t="array" aca="1" ref="W5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3" s="30" cm="1">
        <f t="array" aca="1" ref="X5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3" s="30" t="e" cm="1">
        <f t="array" aca="1" ref="Y5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3" s="34" cm="1">
        <f t="array" aca="1" ref="Z5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3" s="35" cm="1">
        <f t="array" aca="1" ref="AA53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3" s="57" cm="1">
        <f t="array" aca="1" ref="AB5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3" s="36" cm="1">
        <f t="array" aca="1" ref="AC5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3" s="36" cm="1">
        <f t="array" aca="1" ref="AD5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3" s="37" cm="1">
        <f t="array" aca="1" ref="AE5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3" s="38" t="e" cm="1">
        <f t="array" aca="1" ref="AF53" ca="1">$AE54 / (_xlfn.XLOOKUP(ValueFromColumnName("Ice Cream Amount",ROW()),Specs!A:A,Specs!B:B,0))</f>
        <v>#VALUE!</v>
      </c>
      <c r="AG53" s="37" cm="1">
        <f t="array" aca="1" ref="AG5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3" s="54" t="e" cm="1">
        <f t="array" aca="1" ref="AH5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3" s="37" t="e" cm="1">
        <f t="array" aca="1" ref="AI5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3" s="37" t="e" cm="1">
        <f t="array" aca="1" ref="AJ5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3" s="37" t="e" cm="1">
        <f t="array" aca="1" ref="AK5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3" s="39" cm="1">
        <f t="array" aca="1" ref="AL5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3" s="40" t="e" cm="1">
        <f t="array" ref="AM53">ROUNDUP((ValueFromColumnName("Cost",ROW())+Specs!$Q$2+_xlfn.XLOOKUP(ValueFromColumnName("Ice Cream Amount",ROW()),Specs!A:A,Specs!V:V,0))*Specs!$N$2,0)</f>
        <v>#VALUE!</v>
      </c>
    </row>
    <row r="54" spans="1:39" ht="16.5" customHeight="1" x14ac:dyDescent="0.25">
      <c r="A54" s="42" t="s">
        <v>547</v>
      </c>
      <c r="B54" s="31" t="s">
        <v>71</v>
      </c>
      <c r="C54" s="31" t="s">
        <v>177</v>
      </c>
      <c r="D54" s="31" t="s">
        <v>0</v>
      </c>
      <c r="E54" s="31"/>
      <c r="F54" s="31"/>
      <c r="G54" s="31"/>
      <c r="H54" s="31"/>
      <c r="I54" s="31" t="s">
        <v>132</v>
      </c>
      <c r="J54" s="31"/>
      <c r="K54" s="30" t="s">
        <v>4</v>
      </c>
      <c r="L54" s="30" t="s">
        <v>46</v>
      </c>
      <c r="M54" s="30" t="s">
        <v>44</v>
      </c>
      <c r="N54" s="30" t="s">
        <v>44</v>
      </c>
      <c r="O54" s="30" t="s">
        <v>173</v>
      </c>
      <c r="P54" s="30"/>
      <c r="Q54" s="30" t="e" cm="1">
        <f t="array" aca="1" ref="Q5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4" s="30" t="e" cm="1">
        <f t="array" aca="1" ref="R5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4" s="30" t="e">
        <f t="shared" ca="1" si="0"/>
        <v>#VALUE!</v>
      </c>
      <c r="T54" s="30" t="e" cm="1">
        <f t="array" aca="1" ref="T5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4" s="30" t="e" cm="1">
        <f t="array" aca="1" ref="U5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4" s="30" t="e" cm="1">
        <f t="array" aca="1" ref="V5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4" s="30" t="e" cm="1">
        <f t="array" aca="1" ref="W5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4" s="30" cm="1">
        <f t="array" aca="1" ref="X5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4" s="30" t="e" cm="1">
        <f t="array" aca="1" ref="Y5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4" s="34" cm="1">
        <f t="array" aca="1" ref="Z5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4" s="35" cm="1">
        <f t="array" aca="1" ref="AA5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4" s="57" cm="1">
        <f t="array" aca="1" ref="AB5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4" s="36" cm="1">
        <f t="array" aca="1" ref="AC5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4" s="36" cm="1">
        <f t="array" aca="1" ref="AD5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4" s="37" cm="1">
        <f t="array" aca="1" ref="AE5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4" s="38" t="e" cm="1">
        <f t="array" aca="1" ref="AF54" ca="1">$AE55 / (_xlfn.XLOOKUP(ValueFromColumnName("Ice Cream Amount",ROW()),Specs!A:A,Specs!B:B,0))</f>
        <v>#VALUE!</v>
      </c>
      <c r="AG54" s="37" cm="1">
        <f t="array" aca="1" ref="AG5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4" s="54" t="e" cm="1">
        <f t="array" aca="1" ref="AH5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4" s="37" t="e" cm="1">
        <f t="array" aca="1" ref="AI5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4" s="37" t="e" cm="1">
        <f t="array" aca="1" ref="AJ5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4" s="37" t="e" cm="1">
        <f t="array" aca="1" ref="AK5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4" s="39" cm="1">
        <f t="array" aca="1" ref="AL5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4" s="40" t="e" cm="1">
        <f t="array" ref="AM54">ROUNDUP((ValueFromColumnName("Cost",ROW())+Specs!$Q$2+_xlfn.XLOOKUP(ValueFromColumnName("Ice Cream Amount",ROW()),Specs!A:A,Specs!V:V,0))*Specs!$N$2,0)</f>
        <v>#VALUE!</v>
      </c>
    </row>
    <row r="55" spans="1:39" x14ac:dyDescent="0.25">
      <c r="B55" s="31" t="s">
        <v>71</v>
      </c>
      <c r="Q55" s="30" t="e" cm="1">
        <f t="array" aca="1" ref="Q5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5" s="30" t="e" cm="1">
        <f t="array" aca="1" ref="R5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5" s="30" t="e">
        <f t="shared" ca="1" si="0"/>
        <v>#VALUE!</v>
      </c>
      <c r="T55" s="30" t="e" cm="1">
        <f t="array" aca="1" ref="T5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5" s="30" t="e" cm="1">
        <f t="array" aca="1" ref="U5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5" s="30" t="e" cm="1">
        <f t="array" aca="1" ref="V5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5" s="30" t="e" cm="1">
        <f t="array" aca="1" ref="W5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5" s="30" cm="1">
        <f t="array" aca="1" ref="X5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5" s="30" t="e" cm="1">
        <f t="array" aca="1" ref="Y5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5" s="34" cm="1">
        <f t="array" aca="1" ref="Z5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5" s="35" cm="1">
        <f t="array" aca="1" ref="AA55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5" s="57" cm="1">
        <f t="array" aca="1" ref="AB5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5" s="36" cm="1">
        <f t="array" aca="1" ref="AC5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5" s="36" cm="1">
        <f t="array" aca="1" ref="AD5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5" s="37" cm="1">
        <f t="array" aca="1" ref="AE5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5" s="38" t="e" cm="1">
        <f t="array" aca="1" ref="AF55" ca="1">$AE56 / (_xlfn.XLOOKUP(ValueFromColumnName("Ice Cream Amount",ROW()),Specs!A:A,Specs!B:B,0))</f>
        <v>#VALUE!</v>
      </c>
      <c r="AG55" s="37" cm="1">
        <f t="array" aca="1" ref="AG5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5" s="54" t="e" cm="1">
        <f t="array" aca="1" ref="AH5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5" s="37" t="e" cm="1">
        <f t="array" aca="1" ref="AI5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5" s="37" t="e" cm="1">
        <f t="array" aca="1" ref="AJ5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5" s="37" t="e" cm="1">
        <f t="array" aca="1" ref="AK5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5" s="39" cm="1">
        <f t="array" aca="1" ref="AL5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5" s="40" t="e" cm="1">
        <f t="array" ref="AM55">ROUNDUP((ValueFromColumnName("Cost",ROW())+Specs!$Q$2+_xlfn.XLOOKUP(ValueFromColumnName("Ice Cream Amount",ROW()),Specs!A:A,Specs!V:V,0))*Specs!$N$2,0)</f>
        <v>#VALUE!</v>
      </c>
    </row>
    <row r="56" spans="1:39" ht="16.5" customHeight="1" x14ac:dyDescent="0.25">
      <c r="A56" s="52" t="s">
        <v>640</v>
      </c>
      <c r="B56" s="31" t="s">
        <v>62</v>
      </c>
      <c r="C56" s="31" t="s">
        <v>65</v>
      </c>
      <c r="D56" s="31" t="s">
        <v>0</v>
      </c>
      <c r="E56" s="31" t="s">
        <v>486</v>
      </c>
      <c r="F56" s="31" t="s">
        <v>406</v>
      </c>
      <c r="G56" s="31"/>
      <c r="H56" s="31"/>
      <c r="I56" s="31" t="s">
        <v>2</v>
      </c>
      <c r="J56" s="31"/>
      <c r="K56" s="30" t="s">
        <v>43</v>
      </c>
      <c r="L56" s="30" t="s">
        <v>450</v>
      </c>
      <c r="M56" s="30" t="s">
        <v>451</v>
      </c>
      <c r="N56" s="30" t="s">
        <v>44</v>
      </c>
      <c r="O56" s="30" t="s">
        <v>158</v>
      </c>
      <c r="P56" s="30"/>
      <c r="Q56" s="30" t="e" cm="1">
        <f t="array" aca="1" ref="Q5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6" s="30" t="e" cm="1">
        <f t="array" aca="1" ref="R5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6" s="30" t="e">
        <f t="shared" ca="1" si="0"/>
        <v>#VALUE!</v>
      </c>
      <c r="T56" s="30" t="e" cm="1">
        <f t="array" aca="1" ref="T5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6" s="30" t="e" cm="1">
        <f t="array" aca="1" ref="U5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6" s="30" t="e" cm="1">
        <f t="array" aca="1" ref="V5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6" s="30" t="e" cm="1">
        <f t="array" aca="1" ref="W5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6" s="30" cm="1">
        <f t="array" aca="1" ref="X5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6" s="30" t="e" cm="1">
        <f t="array" aca="1" ref="Y5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6" s="34" cm="1">
        <f t="array" aca="1" ref="Z5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6" s="35" cm="1">
        <f t="array" aca="1" ref="AA56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6" s="57" cm="1">
        <f t="array" aca="1" ref="AB5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6" s="36" cm="1">
        <f t="array" aca="1" ref="AC5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6" s="36" cm="1">
        <f t="array" aca="1" ref="AD5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6" s="37" cm="1">
        <f t="array" aca="1" ref="AE5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6" s="38" t="e" cm="1">
        <f t="array" aca="1" ref="AF56" ca="1">$AE57 / (_xlfn.XLOOKUP(ValueFromColumnName("Ice Cream Amount",ROW()),Specs!A:A,Specs!B:B,0))</f>
        <v>#VALUE!</v>
      </c>
      <c r="AG56" s="37" cm="1">
        <f t="array" aca="1" ref="AG5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6" s="54" t="e" cm="1">
        <f t="array" aca="1" ref="AH5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6" s="37" t="e" cm="1">
        <f t="array" aca="1" ref="AI5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6" s="37" t="e" cm="1">
        <f t="array" aca="1" ref="AJ5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6" s="37" t="e" cm="1">
        <f t="array" aca="1" ref="AK5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6" s="39" cm="1">
        <f t="array" aca="1" ref="AL5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6" s="40" t="e" cm="1">
        <f t="array" ref="AM56">ROUNDUP((ValueFromColumnName("Cost",ROW())+Specs!$Q$2+_xlfn.XLOOKUP(ValueFromColumnName("Ice Cream Amount",ROW()),Specs!A:A,Specs!V:V,0))*Specs!$N$2,0)</f>
        <v>#VALUE!</v>
      </c>
    </row>
    <row r="57" spans="1:39" x14ac:dyDescent="0.25">
      <c r="Q57" s="30" t="e" cm="1">
        <f t="array" aca="1" ref="Q5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7" s="30" t="e" cm="1">
        <f t="array" aca="1" ref="R5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7" s="30" t="e">
        <f t="shared" ca="1" si="0"/>
        <v>#VALUE!</v>
      </c>
      <c r="T57" s="30" t="e" cm="1">
        <f t="array" aca="1" ref="T5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7" s="30" t="e" cm="1">
        <f t="array" aca="1" ref="U5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7" s="30" t="e" cm="1">
        <f t="array" aca="1" ref="V5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7" s="30" t="e" cm="1">
        <f t="array" aca="1" ref="W5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7" s="30" cm="1">
        <f t="array" aca="1" ref="X5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7" s="30" t="e" cm="1">
        <f t="array" aca="1" ref="Y5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7" s="34" cm="1">
        <f t="array" aca="1" ref="Z5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7" s="35" cm="1">
        <f t="array" aca="1" ref="AA57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7" s="57" cm="1">
        <f t="array" aca="1" ref="AB5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7" s="36" cm="1">
        <f t="array" aca="1" ref="AC5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7" s="36" cm="1">
        <f t="array" aca="1" ref="AD5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7" s="37" cm="1">
        <f t="array" aca="1" ref="AE5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7" s="38" t="e" cm="1">
        <f t="array" aca="1" ref="AF57" ca="1">$AE58 / (_xlfn.XLOOKUP(ValueFromColumnName("Ice Cream Amount",ROW()),Specs!A:A,Specs!B:B,0))</f>
        <v>#VALUE!</v>
      </c>
      <c r="AG57" s="37" cm="1">
        <f t="array" aca="1" ref="AG5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7" s="54" t="e" cm="1">
        <f t="array" aca="1" ref="AH5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7" s="37" t="e" cm="1">
        <f t="array" aca="1" ref="AI5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7" s="37" t="e" cm="1">
        <f t="array" aca="1" ref="AJ5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7" s="37" t="e" cm="1">
        <f t="array" aca="1" ref="AK5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7" s="39" cm="1">
        <f t="array" aca="1" ref="AL5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7" s="40" t="e" cm="1">
        <f t="array" ref="AM57">ROUNDUP((ValueFromColumnName("Cost",ROW())+Specs!$Q$2+_xlfn.XLOOKUP(ValueFromColumnName("Ice Cream Amount",ROW()),Specs!A:A,Specs!V:V,0))*Specs!$N$2,0)</f>
        <v>#VALUE!</v>
      </c>
    </row>
    <row r="58" spans="1:39" x14ac:dyDescent="0.25">
      <c r="A58" s="52" t="s">
        <v>489</v>
      </c>
      <c r="B58" s="31" t="s">
        <v>62</v>
      </c>
      <c r="C58" s="31" t="s">
        <v>65</v>
      </c>
      <c r="D58" s="31" t="s">
        <v>83</v>
      </c>
      <c r="E58" s="31" t="s">
        <v>473</v>
      </c>
      <c r="F58" s="31" t="s">
        <v>490</v>
      </c>
      <c r="G58" s="31"/>
      <c r="H58" s="31"/>
      <c r="I58" s="31" t="s">
        <v>1</v>
      </c>
      <c r="J58" s="31"/>
      <c r="K58" s="30" t="s">
        <v>4</v>
      </c>
      <c r="L58" s="30" t="s">
        <v>10</v>
      </c>
      <c r="M58" s="30" t="s">
        <v>10</v>
      </c>
      <c r="N58" s="30" t="s">
        <v>156</v>
      </c>
      <c r="O58" s="30" t="s">
        <v>158</v>
      </c>
      <c r="P58" s="30"/>
      <c r="Q58" s="30" t="e" cm="1">
        <f t="array" aca="1" ref="Q5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8" s="30" t="e" cm="1">
        <f t="array" aca="1" ref="R5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8" s="30" t="e">
        <f t="shared" ca="1" si="0"/>
        <v>#VALUE!</v>
      </c>
      <c r="T58" s="30" t="e" cm="1">
        <f t="array" aca="1" ref="T5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8" s="30" t="e" cm="1">
        <f t="array" aca="1" ref="U5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8" s="30" t="e" cm="1">
        <f t="array" aca="1" ref="V5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8" s="30" t="e" cm="1">
        <f t="array" aca="1" ref="W5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8" s="30" cm="1">
        <f t="array" aca="1" ref="X5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8" s="30" t="e" cm="1">
        <f t="array" aca="1" ref="Y5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8" s="34" cm="1">
        <f t="array" aca="1" ref="Z5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8" s="35" cm="1">
        <f t="array" aca="1" ref="AA58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8" s="57" cm="1">
        <f t="array" aca="1" ref="AB5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8" s="36" cm="1">
        <f t="array" aca="1" ref="AC5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8" s="36" cm="1">
        <f t="array" aca="1" ref="AD5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8" s="37" cm="1">
        <f t="array" aca="1" ref="AE5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8" s="38" t="e" cm="1">
        <f t="array" aca="1" ref="AF58" ca="1">$AE59 / (_xlfn.XLOOKUP(ValueFromColumnName("Ice Cream Amount",ROW()),Specs!A:A,Specs!B:B,0))</f>
        <v>#VALUE!</v>
      </c>
      <c r="AG58" s="37" cm="1">
        <f t="array" aca="1" ref="AG5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8" s="54" t="e" cm="1">
        <f t="array" aca="1" ref="AH5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8" s="37" t="e" cm="1">
        <f t="array" aca="1" ref="AI5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8" s="37" t="e" cm="1">
        <f t="array" aca="1" ref="AJ5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8" s="37" t="e" cm="1">
        <f t="array" aca="1" ref="AK5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8" s="39" cm="1">
        <f t="array" aca="1" ref="AL5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8" s="40" t="e" cm="1">
        <f t="array" ref="AM58">ROUNDUP((ValueFromColumnName("Cost",ROW())+Specs!$Q$2+_xlfn.XLOOKUP(ValueFromColumnName("Ice Cream Amount",ROW()),Specs!A:A,Specs!V:V,0))*Specs!$N$2,0)</f>
        <v>#VALUE!</v>
      </c>
    </row>
    <row r="59" spans="1:39" x14ac:dyDescent="0.25">
      <c r="A59" s="52" t="s">
        <v>511</v>
      </c>
      <c r="B59" s="31" t="s">
        <v>62</v>
      </c>
      <c r="C59" s="31" t="s">
        <v>65</v>
      </c>
      <c r="D59" s="31" t="s">
        <v>512</v>
      </c>
      <c r="E59" s="31" t="s">
        <v>0</v>
      </c>
      <c r="F59" s="31" t="s">
        <v>106</v>
      </c>
      <c r="G59" s="31"/>
      <c r="H59" s="31"/>
      <c r="I59" s="31" t="s">
        <v>1</v>
      </c>
      <c r="J59" s="31"/>
      <c r="K59" s="30" t="s">
        <v>4</v>
      </c>
      <c r="L59" s="30" t="s">
        <v>450</v>
      </c>
      <c r="M59" s="30" t="s">
        <v>175</v>
      </c>
      <c r="N59" s="30" t="s">
        <v>156</v>
      </c>
      <c r="O59" s="30" t="s">
        <v>173</v>
      </c>
      <c r="P59" s="30"/>
      <c r="Q59" s="30" t="e" cm="1">
        <f t="array" aca="1" ref="Q5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9" s="30" t="e" cm="1">
        <f t="array" aca="1" ref="R5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9" s="30" t="e">
        <f t="shared" ca="1" si="0"/>
        <v>#VALUE!</v>
      </c>
      <c r="T59" s="30" t="e" cm="1">
        <f t="array" aca="1" ref="T5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9" s="30" t="e" cm="1">
        <f t="array" aca="1" ref="U5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9" s="30" t="e" cm="1">
        <f t="array" aca="1" ref="V5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9" s="30" t="e" cm="1">
        <f t="array" aca="1" ref="W5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9" s="30" cm="1">
        <f t="array" aca="1" ref="X5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9" s="30" t="e" cm="1">
        <f t="array" aca="1" ref="Y5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9" s="34" cm="1">
        <f t="array" aca="1" ref="Z5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9" s="35" cm="1">
        <f t="array" aca="1" ref="AA59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9" s="57" cm="1">
        <f t="array" aca="1" ref="AB5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9" s="36" cm="1">
        <f t="array" aca="1" ref="AC5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9" s="36" cm="1">
        <f t="array" aca="1" ref="AD5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9" s="37" cm="1">
        <f t="array" aca="1" ref="AE5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9" s="38" t="e" cm="1">
        <f t="array" aca="1" ref="AF59" ca="1">$AE60 / (_xlfn.XLOOKUP(ValueFromColumnName("Ice Cream Amount",ROW()),Specs!A:A,Specs!B:B,0))</f>
        <v>#VALUE!</v>
      </c>
      <c r="AG59" s="37" cm="1">
        <f t="array" aca="1" ref="AG5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9" s="54" t="e" cm="1">
        <f t="array" aca="1" ref="AH5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9" s="37" t="e" cm="1">
        <f t="array" aca="1" ref="AI5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9" s="37" t="e" cm="1">
        <f t="array" aca="1" ref="AJ5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9" s="37" t="e" cm="1">
        <f t="array" aca="1" ref="AK5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9" s="39" cm="1">
        <f t="array" aca="1" ref="AL5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9" s="40" t="e" cm="1">
        <f t="array" ref="AM59">ROUNDUP((ValueFromColumnName("Cost",ROW())+Specs!$Q$2+_xlfn.XLOOKUP(ValueFromColumnName("Ice Cream Amount",ROW()),Specs!A:A,Specs!V:V,0))*Specs!$N$2,0)</f>
        <v>#VALUE!</v>
      </c>
    </row>
    <row r="60" spans="1:39" ht="21" customHeight="1" x14ac:dyDescent="0.25">
      <c r="A60" s="52" t="s">
        <v>519</v>
      </c>
      <c r="B60" s="31" t="s">
        <v>66</v>
      </c>
      <c r="C60" s="31" t="s">
        <v>283</v>
      </c>
      <c r="D60" s="31" t="s">
        <v>512</v>
      </c>
      <c r="E60" s="31" t="s">
        <v>96</v>
      </c>
      <c r="F60" s="31" t="s">
        <v>491</v>
      </c>
      <c r="G60" s="31"/>
      <c r="H60" s="31"/>
      <c r="I60" s="31" t="s">
        <v>510</v>
      </c>
      <c r="J60" s="31" t="s">
        <v>1</v>
      </c>
      <c r="K60" s="30" t="s">
        <v>43</v>
      </c>
      <c r="L60" s="30" t="s">
        <v>450</v>
      </c>
      <c r="M60" s="30" t="s">
        <v>46</v>
      </c>
      <c r="N60" s="30" t="s">
        <v>156</v>
      </c>
      <c r="O60" s="30" t="s">
        <v>158</v>
      </c>
      <c r="P60" s="30" t="s">
        <v>158</v>
      </c>
      <c r="Q60" s="30" t="e" cm="1">
        <f t="array" aca="1" ref="Q6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0" s="30" t="e" cm="1">
        <f t="array" aca="1" ref="R6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0" s="30" t="e">
        <f t="shared" ca="1" si="0"/>
        <v>#VALUE!</v>
      </c>
      <c r="T60" s="30" t="e" cm="1">
        <f t="array" aca="1" ref="T6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0" s="30" t="e" cm="1">
        <f t="array" aca="1" ref="U6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0" s="30" t="e" cm="1">
        <f t="array" aca="1" ref="V6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0" s="30" t="e" cm="1">
        <f t="array" aca="1" ref="W6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0" s="30" cm="1">
        <f t="array" aca="1" ref="X6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0" s="30" t="e" cm="1">
        <f t="array" aca="1" ref="Y6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0" s="34" cm="1">
        <f t="array" aca="1" ref="Z6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0" s="35" cm="1">
        <f t="array" aca="1" ref="AA60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0" s="57" cm="1">
        <f t="array" aca="1" ref="AB6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0" s="36" cm="1">
        <f t="array" aca="1" ref="AC6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0" s="36" cm="1">
        <f t="array" aca="1" ref="AD6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0" s="37" cm="1">
        <f t="array" aca="1" ref="AE6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0" s="38" t="e" cm="1">
        <f t="array" aca="1" ref="AF60" ca="1">$AE61 / (_xlfn.XLOOKUP(ValueFromColumnName("Ice Cream Amount",ROW()),Specs!A:A,Specs!B:B,0))</f>
        <v>#VALUE!</v>
      </c>
      <c r="AG60" s="37" cm="1">
        <f t="array" aca="1" ref="AG6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0" s="54" t="e" cm="1">
        <f t="array" aca="1" ref="AH6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0" s="37" t="e" cm="1">
        <f t="array" aca="1" ref="AI6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0" s="37" t="e" cm="1">
        <f t="array" aca="1" ref="AJ6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0" s="37" t="e" cm="1">
        <f t="array" aca="1" ref="AK6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0" s="39" cm="1">
        <f t="array" aca="1" ref="AL6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0" s="40" t="e" cm="1">
        <f t="array" ref="AM60">ROUNDUP((ValueFromColumnName("Cost",ROW())+Specs!$Q$2+_xlfn.XLOOKUP(ValueFromColumnName("Ice Cream Amount",ROW()),Specs!A:A,Specs!V:V,0))*Specs!$N$2,0)</f>
        <v>#VALUE!</v>
      </c>
    </row>
    <row r="61" spans="1:39" ht="21" customHeight="1" x14ac:dyDescent="0.25">
      <c r="A61" s="42" t="s">
        <v>546</v>
      </c>
      <c r="B61" s="31" t="s">
        <v>66</v>
      </c>
      <c r="C61" s="31" t="s">
        <v>545</v>
      </c>
      <c r="D61" s="31" t="s">
        <v>0</v>
      </c>
      <c r="E61" s="31" t="s">
        <v>96</v>
      </c>
      <c r="F61" s="31" t="s">
        <v>420</v>
      </c>
      <c r="G61" s="31"/>
      <c r="H61" s="31"/>
      <c r="I61" s="31" t="s">
        <v>510</v>
      </c>
      <c r="J61" s="31" t="s">
        <v>1</v>
      </c>
      <c r="K61" s="30" t="s">
        <v>43</v>
      </c>
      <c r="L61" s="30" t="s">
        <v>450</v>
      </c>
      <c r="M61" s="30" t="s">
        <v>46</v>
      </c>
      <c r="N61" s="30" t="s">
        <v>156</v>
      </c>
      <c r="O61" s="30" t="s">
        <v>158</v>
      </c>
      <c r="P61" s="30" t="s">
        <v>158</v>
      </c>
      <c r="Q61" s="30" t="e" cm="1">
        <f t="array" aca="1" ref="Q6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1" s="30" t="e" cm="1">
        <f t="array" aca="1" ref="R6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1" s="30" t="e">
        <f t="shared" ca="1" si="0"/>
        <v>#VALUE!</v>
      </c>
      <c r="T61" s="30" t="e" cm="1">
        <f t="array" aca="1" ref="T6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1" s="30" t="e" cm="1">
        <f t="array" aca="1" ref="U6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1" s="30" t="e" cm="1">
        <f t="array" aca="1" ref="V6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1" s="30" t="e" cm="1">
        <f t="array" aca="1" ref="W6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1" s="30" cm="1">
        <f t="array" aca="1" ref="X6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1" s="30" t="e" cm="1">
        <f t="array" aca="1" ref="Y6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1" s="34" cm="1">
        <f t="array" aca="1" ref="Z6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1" s="35" cm="1">
        <f t="array" aca="1" ref="AA61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1" s="57" cm="1">
        <f t="array" aca="1" ref="AB6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1" s="36" cm="1">
        <f t="array" aca="1" ref="AC6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1" s="36" cm="1">
        <f t="array" aca="1" ref="AD6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1" s="37" cm="1">
        <f t="array" aca="1" ref="AE6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1" s="38" t="e" cm="1">
        <f t="array" aca="1" ref="AF61" ca="1">$AE62 / (_xlfn.XLOOKUP(ValueFromColumnName("Ice Cream Amount",ROW()),Specs!A:A,Specs!B:B,0))</f>
        <v>#VALUE!</v>
      </c>
      <c r="AG61" s="37" cm="1">
        <f t="array" aca="1" ref="AG6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1" s="54" t="e" cm="1">
        <f t="array" aca="1" ref="AH6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1" s="37" t="e" cm="1">
        <f t="array" aca="1" ref="AI6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1" s="37" t="e" cm="1">
        <f t="array" aca="1" ref="AJ6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1" s="37" t="e" cm="1">
        <f t="array" aca="1" ref="AK6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1" s="39" cm="1">
        <f t="array" aca="1" ref="AL6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1" s="40" t="e" cm="1">
        <f t="array" ref="AM61">ROUNDUP((ValueFromColumnName("Cost",ROW())+Specs!$Q$2+_xlfn.XLOOKUP(ValueFromColumnName("Ice Cream Amount",ROW()),Specs!A:A,Specs!V:V,0))*Specs!$N$2,0)</f>
        <v>#VALUE!</v>
      </c>
    </row>
    <row r="62" spans="1:39" ht="21" customHeight="1" x14ac:dyDescent="0.25">
      <c r="A62" s="41" t="s">
        <v>641</v>
      </c>
      <c r="B62" s="31" t="s">
        <v>66</v>
      </c>
      <c r="C62" s="31" t="s">
        <v>283</v>
      </c>
      <c r="D62" s="31" t="s">
        <v>484</v>
      </c>
      <c r="E62" s="31" t="s">
        <v>96</v>
      </c>
      <c r="F62" s="31"/>
      <c r="G62" s="31"/>
      <c r="H62" s="31"/>
      <c r="I62" s="31"/>
      <c r="J62" s="31"/>
      <c r="K62" s="30" t="s">
        <v>4</v>
      </c>
      <c r="L62" s="30" t="s">
        <v>451</v>
      </c>
      <c r="M62" s="30" t="s">
        <v>46</v>
      </c>
      <c r="N62" s="30" t="s">
        <v>156</v>
      </c>
      <c r="O62" s="30" t="s">
        <v>44</v>
      </c>
      <c r="P62" s="30" t="s">
        <v>44</v>
      </c>
      <c r="Q62" s="30" t="e" cm="1">
        <f t="array" aca="1" ref="Q6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2" s="30" t="e" cm="1">
        <f t="array" aca="1" ref="R6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2" s="30" t="e">
        <f t="shared" ca="1" si="0"/>
        <v>#VALUE!</v>
      </c>
      <c r="T62" s="30" t="e" cm="1">
        <f t="array" aca="1" ref="T6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2" s="30" t="e" cm="1">
        <f t="array" aca="1" ref="U6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2" s="30" t="e" cm="1">
        <f t="array" aca="1" ref="V6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2" s="30" t="e" cm="1">
        <f t="array" aca="1" ref="W6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2" s="30" cm="1">
        <f t="array" aca="1" ref="X6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2" s="30" t="e" cm="1">
        <f t="array" aca="1" ref="Y6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2" s="34" cm="1">
        <f t="array" aca="1" ref="Z6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2" s="35" cm="1">
        <f t="array" aca="1" ref="AA62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2" s="57" cm="1">
        <f t="array" aca="1" ref="AB6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2" s="36" cm="1">
        <f t="array" aca="1" ref="AC6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2" s="36" cm="1">
        <f t="array" aca="1" ref="AD6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2" s="37" cm="1">
        <f t="array" aca="1" ref="AE6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2" s="38" t="e" cm="1">
        <f t="array" aca="1" ref="AF62" ca="1">$AE63 / (_xlfn.XLOOKUP(ValueFromColumnName("Ice Cream Amount",ROW()),Specs!A:A,Specs!B:B,0))</f>
        <v>#VALUE!</v>
      </c>
      <c r="AG62" s="37" cm="1">
        <f t="array" aca="1" ref="AG6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2" s="54" t="e" cm="1">
        <f t="array" aca="1" ref="AH6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2" s="37" t="e" cm="1">
        <f t="array" aca="1" ref="AI6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2" s="37" t="e" cm="1">
        <f t="array" aca="1" ref="AJ6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2" s="37" t="e" cm="1">
        <f t="array" aca="1" ref="AK6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2" s="39" cm="1">
        <f t="array" aca="1" ref="AL6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2" s="40" t="e" cm="1">
        <f t="array" ref="AM62">ROUNDUP((ValueFromColumnName("Cost",ROW())+Specs!$Q$2+_xlfn.XLOOKUP(ValueFromColumnName("Ice Cream Amount",ROW()),Specs!A:A,Specs!V:V,0))*Specs!$N$2,0)</f>
        <v>#VALUE!</v>
      </c>
    </row>
    <row r="63" spans="1:39" ht="21" customHeight="1" x14ac:dyDescent="0.25">
      <c r="A63" s="41" t="s">
        <v>620</v>
      </c>
      <c r="B63" s="31" t="s">
        <v>62</v>
      </c>
      <c r="C63" s="31" t="s">
        <v>65</v>
      </c>
      <c r="D63" s="31" t="s">
        <v>102</v>
      </c>
      <c r="E63" s="31" t="s">
        <v>96</v>
      </c>
      <c r="F63" s="31" t="s">
        <v>163</v>
      </c>
      <c r="G63" s="31"/>
      <c r="H63" s="31"/>
      <c r="I63" s="31" t="s">
        <v>133</v>
      </c>
      <c r="J63" s="31"/>
      <c r="K63" s="30" t="s">
        <v>43</v>
      </c>
      <c r="L63" s="30" t="s">
        <v>451</v>
      </c>
      <c r="M63" s="30" t="s">
        <v>452</v>
      </c>
      <c r="N63" s="30" t="s">
        <v>156</v>
      </c>
      <c r="O63" s="30" t="s">
        <v>158</v>
      </c>
      <c r="P63" s="30" t="s">
        <v>44</v>
      </c>
      <c r="Q63" s="30" t="e" cm="1">
        <f t="array" aca="1" ref="Q6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3" s="30" t="e" cm="1">
        <f t="array" aca="1" ref="R6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3" s="30" t="e">
        <f t="shared" ca="1" si="0"/>
        <v>#VALUE!</v>
      </c>
      <c r="T63" s="30" t="e" cm="1">
        <f t="array" aca="1" ref="T6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3" s="30" t="e" cm="1">
        <f t="array" aca="1" ref="U6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3" s="30" t="e" cm="1">
        <f t="array" aca="1" ref="V6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3" s="30" t="e" cm="1">
        <f t="array" aca="1" ref="W6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3" s="30" cm="1">
        <f t="array" aca="1" ref="X6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3" s="30" t="e" cm="1">
        <f t="array" aca="1" ref="Y6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3" s="34" cm="1">
        <f t="array" aca="1" ref="Z6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3" s="35" cm="1">
        <f t="array" aca="1" ref="AA63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3" s="57" cm="1">
        <f t="array" aca="1" ref="AB6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3" s="36" cm="1">
        <f t="array" aca="1" ref="AC6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3" s="36" cm="1">
        <f t="array" aca="1" ref="AD6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3" s="37" cm="1">
        <f t="array" aca="1" ref="AE6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3" s="38" t="e" cm="1">
        <f t="array" aca="1" ref="AF63" ca="1">$AE64 / (_xlfn.XLOOKUP(ValueFromColumnName("Ice Cream Amount",ROW()),Specs!A:A,Specs!B:B,0))</f>
        <v>#VALUE!</v>
      </c>
      <c r="AG63" s="37" cm="1">
        <f t="array" aca="1" ref="AG6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3" s="54" t="e" cm="1">
        <f t="array" aca="1" ref="AH6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3" s="37" t="e" cm="1">
        <f t="array" aca="1" ref="AI6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3" s="37" t="e" cm="1">
        <f t="array" aca="1" ref="AJ6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3" s="37" t="e" cm="1">
        <f t="array" aca="1" ref="AK6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3" s="39" cm="1">
        <f t="array" aca="1" ref="AL6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3" s="40" t="e" cm="1">
        <f t="array" ref="AM63">ROUNDUP((ValueFromColumnName("Cost",ROW())+Specs!$Q$2+_xlfn.XLOOKUP(ValueFromColumnName("Ice Cream Amount",ROW()),Specs!A:A,Specs!V:V,0))*Specs!$N$2,0)</f>
        <v>#VALUE!</v>
      </c>
    </row>
    <row r="64" spans="1:39" x14ac:dyDescent="0.25">
      <c r="A64" t="s">
        <v>623</v>
      </c>
      <c r="B64" s="1" t="s">
        <v>62</v>
      </c>
      <c r="C64" s="1" t="s">
        <v>65</v>
      </c>
      <c r="D64" s="1" t="s">
        <v>248</v>
      </c>
      <c r="F64" s="1" t="s">
        <v>3</v>
      </c>
      <c r="I64" s="1" t="s">
        <v>1</v>
      </c>
      <c r="K64" t="s">
        <v>4</v>
      </c>
      <c r="L64" t="s">
        <v>46</v>
      </c>
      <c r="M64" t="s">
        <v>44</v>
      </c>
      <c r="N64" t="s">
        <v>156</v>
      </c>
      <c r="O64" t="s">
        <v>173</v>
      </c>
      <c r="Q64" s="30" t="e" cm="1">
        <f t="array" aca="1" ref="Q6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4" s="30" t="e" cm="1">
        <f t="array" aca="1" ref="R6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4" s="30" t="e">
        <f t="shared" ca="1" si="0"/>
        <v>#VALUE!</v>
      </c>
      <c r="T64" s="30" t="e" cm="1">
        <f t="array" aca="1" ref="T6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4" s="30" t="e" cm="1">
        <f t="array" aca="1" ref="U6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4" s="30" t="e" cm="1">
        <f t="array" aca="1" ref="V6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4" s="30" t="e" cm="1">
        <f t="array" aca="1" ref="W6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4" s="30" cm="1">
        <f t="array" aca="1" ref="X6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4" s="30" t="e" cm="1">
        <f t="array" aca="1" ref="Y6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4" s="34" cm="1">
        <f t="array" aca="1" ref="Z6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4" s="35" cm="1">
        <f t="array" aca="1" ref="AA6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4" s="57" cm="1">
        <f t="array" aca="1" ref="AB6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4" s="36" cm="1">
        <f t="array" aca="1" ref="AC6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4" s="36" cm="1">
        <f t="array" aca="1" ref="AD6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4" s="37" cm="1">
        <f t="array" aca="1" ref="AE6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4" s="38" t="e" cm="1">
        <f t="array" aca="1" ref="AF64" ca="1">$AE65 / (_xlfn.XLOOKUP(ValueFromColumnName("Ice Cream Amount",ROW()),Specs!A:A,Specs!B:B,0))</f>
        <v>#VALUE!</v>
      </c>
      <c r="AG64" s="37" cm="1">
        <f t="array" aca="1" ref="AG6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4" s="54" t="e" cm="1">
        <f t="array" aca="1" ref="AH6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4" s="37" t="e" cm="1">
        <f t="array" aca="1" ref="AI6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4" s="37" t="e" cm="1">
        <f t="array" aca="1" ref="AJ6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4" s="37" t="e" cm="1">
        <f t="array" aca="1" ref="AK6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4" s="39" cm="1">
        <f t="array" aca="1" ref="AL6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4" s="40" t="e" cm="1">
        <f t="array" ref="AM64">ROUNDUP((ValueFromColumnName("Cost",ROW())+Specs!$Q$2+_xlfn.XLOOKUP(ValueFromColumnName("Ice Cream Amount",ROW()),Specs!A:A,Specs!V:V,0))*Specs!$N$2,0)</f>
        <v>#VALUE!</v>
      </c>
    </row>
    <row r="65" spans="1:39" x14ac:dyDescent="0.25">
      <c r="Q65" s="30" t="e" cm="1">
        <f t="array" aca="1" ref="Q6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5" s="30" t="e" cm="1">
        <f t="array" aca="1" ref="R6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5" s="30" t="e">
        <f t="shared" ca="1" si="0"/>
        <v>#VALUE!</v>
      </c>
      <c r="T65" s="30" t="e" cm="1">
        <f t="array" aca="1" ref="T6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5" s="30" t="e" cm="1">
        <f t="array" aca="1" ref="U6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5" s="30" t="e" cm="1">
        <f t="array" aca="1" ref="V6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5" s="30" t="e" cm="1">
        <f t="array" aca="1" ref="W6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5" s="30" cm="1">
        <f t="array" aca="1" ref="X6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5" s="30" t="e" cm="1">
        <f t="array" aca="1" ref="Y6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5" s="34" cm="1">
        <f t="array" aca="1" ref="Z6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5" s="35" cm="1">
        <f t="array" aca="1" ref="AA65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5" s="57" cm="1">
        <f t="array" aca="1" ref="AB6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5" s="36" cm="1">
        <f t="array" aca="1" ref="AC6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5" s="36" cm="1">
        <f t="array" aca="1" ref="AD6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5" s="37" cm="1">
        <f t="array" aca="1" ref="AE6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5" s="38" t="e" cm="1">
        <f t="array" aca="1" ref="AF65" ca="1">$AE66 / (_xlfn.XLOOKUP(ValueFromColumnName("Ice Cream Amount",ROW()),Specs!A:A,Specs!B:B,0))</f>
        <v>#VALUE!</v>
      </c>
      <c r="AG65" s="37" cm="1">
        <f t="array" aca="1" ref="AG6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5" s="54" t="e" cm="1">
        <f t="array" aca="1" ref="AH6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5" s="37" t="e" cm="1">
        <f t="array" aca="1" ref="AI6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5" s="37" t="e" cm="1">
        <f t="array" aca="1" ref="AJ6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5" s="37" t="e" cm="1">
        <f t="array" aca="1" ref="AK6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5" s="39" cm="1">
        <f t="array" aca="1" ref="AL6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5" s="40" t="e" cm="1">
        <f t="array" ref="AM65">ROUNDUP((ValueFromColumnName("Cost",ROW())+Specs!$Q$2+_xlfn.XLOOKUP(ValueFromColumnName("Ice Cream Amount",ROW()),Specs!A:A,Specs!V:V,0))*Specs!$N$2,0)</f>
        <v>#VALUE!</v>
      </c>
    </row>
    <row r="66" spans="1:39" x14ac:dyDescent="0.25">
      <c r="A66" t="s">
        <v>644</v>
      </c>
      <c r="B66" s="1" t="s">
        <v>66</v>
      </c>
      <c r="C66" s="1" t="s">
        <v>283</v>
      </c>
      <c r="D66" s="1" t="s">
        <v>639</v>
      </c>
      <c r="E66" s="1" t="s">
        <v>96</v>
      </c>
      <c r="I66" s="1" t="s">
        <v>1</v>
      </c>
      <c r="J66" s="1" t="s">
        <v>133</v>
      </c>
      <c r="K66" t="s">
        <v>4</v>
      </c>
      <c r="L66" t="s">
        <v>450</v>
      </c>
      <c r="M66" t="s">
        <v>46</v>
      </c>
      <c r="N66" t="s">
        <v>44</v>
      </c>
      <c r="O66" t="s">
        <v>448</v>
      </c>
      <c r="P66" t="s">
        <v>158</v>
      </c>
      <c r="Q66" s="30" t="e" cm="1">
        <f t="array" aca="1" ref="Q6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6" s="30" t="e" cm="1">
        <f t="array" aca="1" ref="R6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6" s="30" t="e">
        <f t="shared" ca="1" si="0"/>
        <v>#VALUE!</v>
      </c>
      <c r="T66" s="30" t="e" cm="1">
        <f t="array" aca="1" ref="T6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6" s="30" t="e" cm="1">
        <f t="array" aca="1" ref="U6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6" s="30" t="e" cm="1">
        <f t="array" aca="1" ref="V6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6" s="30" t="e" cm="1">
        <f t="array" aca="1" ref="W6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6" s="30" cm="1">
        <f t="array" aca="1" ref="X6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6" s="30" t="e" cm="1">
        <f t="array" aca="1" ref="Y6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6" s="34" cm="1">
        <f t="array" aca="1" ref="Z6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6" s="35" cm="1">
        <f t="array" aca="1" ref="AA66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6" s="57" cm="1">
        <f t="array" aca="1" ref="AB6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6" s="36" cm="1">
        <f t="array" aca="1" ref="AC6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6" s="36" cm="1">
        <f t="array" aca="1" ref="AD6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6" s="37" cm="1">
        <f t="array" aca="1" ref="AE6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6" s="38" t="e" cm="1">
        <f t="array" aca="1" ref="AF66" ca="1">$AE67 / (_xlfn.XLOOKUP(ValueFromColumnName("Ice Cream Amount",ROW()),Specs!A:A,Specs!B:B,0))</f>
        <v>#VALUE!</v>
      </c>
      <c r="AG66" s="37" cm="1">
        <f t="array" aca="1" ref="AG6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6" s="54" t="e" cm="1">
        <f t="array" aca="1" ref="AH6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6" s="37" t="e" cm="1">
        <f t="array" aca="1" ref="AI6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6" s="37" t="e" cm="1">
        <f t="array" aca="1" ref="AJ6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6" s="37" t="e" cm="1">
        <f t="array" aca="1" ref="AK6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6" s="39" cm="1">
        <f t="array" aca="1" ref="AL6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6" s="40" t="e" cm="1">
        <f t="array" ref="AM66">ROUNDUP((ValueFromColumnName("Cost",ROW())+Specs!$Q$2+_xlfn.XLOOKUP(ValueFromColumnName("Ice Cream Amount",ROW()),Specs!A:A,Specs!V:V,0))*Specs!$N$2,0)</f>
        <v>#VALUE!</v>
      </c>
    </row>
    <row r="67" spans="1:39" x14ac:dyDescent="0.25">
      <c r="A67" t="s">
        <v>643</v>
      </c>
      <c r="B67" s="1" t="s">
        <v>62</v>
      </c>
      <c r="C67" s="1" t="s">
        <v>65</v>
      </c>
      <c r="D67" s="1" t="s">
        <v>544</v>
      </c>
      <c r="I67" s="1" t="s">
        <v>1</v>
      </c>
      <c r="K67" t="s">
        <v>4</v>
      </c>
      <c r="L67" t="s">
        <v>175</v>
      </c>
      <c r="M67" t="s">
        <v>44</v>
      </c>
      <c r="N67" t="s">
        <v>44</v>
      </c>
      <c r="O67" t="s">
        <v>173</v>
      </c>
      <c r="P67" t="s">
        <v>44</v>
      </c>
      <c r="Q67" s="30" t="e" cm="1">
        <f t="array" aca="1" ref="Q6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7" s="30" t="e" cm="1">
        <f t="array" aca="1" ref="R6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7" s="30" t="e">
        <f t="shared" ref="S67:S84" ca="1" si="1">Q67+R67</f>
        <v>#VALUE!</v>
      </c>
      <c r="T67" s="30" t="e" cm="1">
        <f t="array" aca="1" ref="T6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7" s="30" t="e" cm="1">
        <f t="array" aca="1" ref="U6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7" s="30" t="e" cm="1">
        <f t="array" aca="1" ref="V6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7" s="30" t="e" cm="1">
        <f t="array" aca="1" ref="W6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7" s="30" cm="1">
        <f t="array" aca="1" ref="X6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7" s="30" t="e" cm="1">
        <f t="array" aca="1" ref="Y6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7" s="34" cm="1">
        <f t="array" aca="1" ref="Z6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7" s="35" cm="1">
        <f t="array" aca="1" ref="AA67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7" s="57" cm="1">
        <f t="array" aca="1" ref="AB6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7" s="36" cm="1">
        <f t="array" aca="1" ref="AC6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7" s="36" cm="1">
        <f t="array" aca="1" ref="AD6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7" s="37" cm="1">
        <f t="array" aca="1" ref="AE6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7" s="38" t="e" cm="1">
        <f t="array" aca="1" ref="AF67" ca="1">$AE68 / (_xlfn.XLOOKUP(ValueFromColumnName("Ice Cream Amount",ROW()),Specs!A:A,Specs!B:B,0))</f>
        <v>#VALUE!</v>
      </c>
      <c r="AG67" s="37" cm="1">
        <f t="array" aca="1" ref="AG6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7" s="54" t="e" cm="1">
        <f t="array" aca="1" ref="AH6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7" s="37" t="e" cm="1">
        <f t="array" aca="1" ref="AI6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7" s="37" t="e" cm="1">
        <f t="array" aca="1" ref="AJ6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7" s="37" t="e" cm="1">
        <f t="array" aca="1" ref="AK6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7" s="39" cm="1">
        <f t="array" aca="1" ref="AL6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7" s="40" t="e" cm="1">
        <f t="array" ref="AM67">ROUNDUP((ValueFromColumnName("Cost",ROW())+Specs!$Q$2+_xlfn.XLOOKUP(ValueFromColumnName("Ice Cream Amount",ROW()),Specs!A:A,Specs!V:V,0))*Specs!$N$2,0)</f>
        <v>#VALUE!</v>
      </c>
    </row>
    <row r="68" spans="1:39" x14ac:dyDescent="0.25">
      <c r="A68" t="s">
        <v>784</v>
      </c>
      <c r="B68" s="1" t="s">
        <v>62</v>
      </c>
      <c r="C68" s="1" t="s">
        <v>65</v>
      </c>
      <c r="D68" s="1" t="s">
        <v>248</v>
      </c>
      <c r="E68" s="1" t="s">
        <v>765</v>
      </c>
      <c r="I68" s="1" t="s">
        <v>1</v>
      </c>
      <c r="K68" t="s">
        <v>4</v>
      </c>
      <c r="L68" t="s">
        <v>10</v>
      </c>
      <c r="M68" t="s">
        <v>46</v>
      </c>
      <c r="N68" t="s">
        <v>44</v>
      </c>
      <c r="O68" t="s">
        <v>173</v>
      </c>
      <c r="Q68" s="30" t="e" cm="1">
        <f t="array" aca="1" ref="Q6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8" s="30" t="e" cm="1">
        <f t="array" aca="1" ref="R6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8" s="30" t="e">
        <f t="shared" ca="1" si="1"/>
        <v>#VALUE!</v>
      </c>
      <c r="T68" s="30" t="e" cm="1">
        <f t="array" aca="1" ref="T6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8" s="30" t="e" cm="1">
        <f t="array" aca="1" ref="U6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8" s="30" t="e" cm="1">
        <f t="array" aca="1" ref="V6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8" s="30" t="e" cm="1">
        <f t="array" aca="1" ref="W6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8" s="30" cm="1">
        <f t="array" aca="1" ref="X6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8" s="30" t="e" cm="1">
        <f t="array" aca="1" ref="Y6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8" s="34" cm="1">
        <f t="array" aca="1" ref="Z6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8" s="35" cm="1">
        <f t="array" aca="1" ref="AA68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8" s="57" cm="1">
        <f t="array" aca="1" ref="AB6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8" s="36" cm="1">
        <f t="array" aca="1" ref="AC6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8" s="36" cm="1">
        <f t="array" aca="1" ref="AD6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8" s="37" cm="1">
        <f t="array" aca="1" ref="AE6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8" s="38" t="e" cm="1">
        <f t="array" aca="1" ref="AF68" ca="1">$AE69 / (_xlfn.XLOOKUP(ValueFromColumnName("Ice Cream Amount",ROW()),Specs!A:A,Specs!B:B,0))</f>
        <v>#VALUE!</v>
      </c>
      <c r="AG68" s="37" cm="1">
        <f t="array" aca="1" ref="AG6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8" s="54" t="e" cm="1">
        <f t="array" aca="1" ref="AH6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8" s="37" t="e" cm="1">
        <f t="array" aca="1" ref="AI6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8" s="37" t="e" cm="1">
        <f t="array" aca="1" ref="AJ6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8" s="37" t="e" cm="1">
        <f t="array" aca="1" ref="AK6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8" s="39" cm="1">
        <f t="array" aca="1" ref="AL6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8" s="40" t="e" cm="1">
        <f t="array" ref="AM68">ROUNDUP((ValueFromColumnName("Cost",ROW())+Specs!$Q$2+_xlfn.XLOOKUP(ValueFromColumnName("Ice Cream Amount",ROW()),Specs!A:A,Specs!V:V,0))*Specs!$N$2,0)</f>
        <v>#VALUE!</v>
      </c>
    </row>
    <row r="69" spans="1:39" x14ac:dyDescent="0.25">
      <c r="A69" t="s">
        <v>785</v>
      </c>
      <c r="B69" s="1" t="s">
        <v>780</v>
      </c>
      <c r="C69" s="1" t="s">
        <v>782</v>
      </c>
      <c r="D69" s="1" t="s">
        <v>0</v>
      </c>
      <c r="E69" s="1" t="s">
        <v>786</v>
      </c>
      <c r="I69" s="1" t="s">
        <v>133</v>
      </c>
      <c r="K69" t="s">
        <v>4</v>
      </c>
      <c r="L69" t="s">
        <v>450</v>
      </c>
      <c r="M69" t="s">
        <v>46</v>
      </c>
      <c r="N69" t="s">
        <v>44</v>
      </c>
      <c r="O69" t="s">
        <v>158</v>
      </c>
      <c r="Q69" s="30" t="e" cm="1">
        <f t="array" aca="1" ref="Q6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9" s="30" t="e" cm="1">
        <f t="array" aca="1" ref="R6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9" s="30" t="e">
        <f t="shared" ca="1" si="1"/>
        <v>#VALUE!</v>
      </c>
      <c r="T69" s="30" t="e" cm="1">
        <f t="array" aca="1" ref="T6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9" s="30" t="e" cm="1">
        <f t="array" aca="1" ref="U6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9" s="30" t="e" cm="1">
        <f t="array" aca="1" ref="V6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9" s="30" t="e" cm="1">
        <f t="array" aca="1" ref="W6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9" s="30" cm="1">
        <f t="array" aca="1" ref="X6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9" s="30" t="e" cm="1">
        <f t="array" aca="1" ref="Y6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9" s="34" cm="1">
        <f t="array" aca="1" ref="Z6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9" s="35" cm="1">
        <f t="array" aca="1" ref="AA69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9" s="57" cm="1">
        <f t="array" aca="1" ref="AB6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9" s="36" cm="1">
        <f t="array" aca="1" ref="AC6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9" s="36" cm="1">
        <f t="array" aca="1" ref="AD6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9" s="37" cm="1">
        <f t="array" aca="1" ref="AE6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9" s="38" t="e" cm="1">
        <f t="array" aca="1" ref="AF69" ca="1">$AE70 / (_xlfn.XLOOKUP(ValueFromColumnName("Ice Cream Amount",ROW()),Specs!A:A,Specs!B:B,0))</f>
        <v>#VALUE!</v>
      </c>
      <c r="AG69" s="37" cm="1">
        <f t="array" aca="1" ref="AG6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9" s="54" t="e" cm="1">
        <f t="array" aca="1" ref="AH6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9" s="37" t="e" cm="1">
        <f t="array" aca="1" ref="AI6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9" s="37" t="e" cm="1">
        <f t="array" aca="1" ref="AJ6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9" s="37" t="e" cm="1">
        <f t="array" aca="1" ref="AK6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9" s="39" cm="1">
        <f t="array" aca="1" ref="AL6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9" s="40" t="e" cm="1">
        <f t="array" ref="AM69">ROUNDUP((ValueFromColumnName("Cost",ROW())+Specs!$Q$2+_xlfn.XLOOKUP(ValueFromColumnName("Ice Cream Amount",ROW()),Specs!A:A,Specs!V:V,0))*Specs!$N$2,0)</f>
        <v>#VALUE!</v>
      </c>
    </row>
    <row r="70" spans="1:39" x14ac:dyDescent="0.25">
      <c r="A70" s="26" t="s">
        <v>875</v>
      </c>
      <c r="B70" s="1" t="s">
        <v>873</v>
      </c>
      <c r="C70" s="1" t="s">
        <v>782</v>
      </c>
      <c r="D70" s="1" t="s">
        <v>98</v>
      </c>
      <c r="E70" s="1" t="s">
        <v>786</v>
      </c>
      <c r="F70" s="1" t="s">
        <v>3</v>
      </c>
      <c r="I70" s="1" t="s">
        <v>816</v>
      </c>
      <c r="K70" t="s">
        <v>4</v>
      </c>
      <c r="L70" t="s">
        <v>450</v>
      </c>
      <c r="M70" t="s">
        <v>46</v>
      </c>
      <c r="N70" t="s">
        <v>156</v>
      </c>
      <c r="O70" t="s">
        <v>448</v>
      </c>
      <c r="Q70" s="30" t="e" cm="1">
        <f t="array" aca="1" ref="Q7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0" s="30" t="e" cm="1">
        <f t="array" aca="1" ref="R7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0" s="30" t="e">
        <f t="shared" ca="1" si="1"/>
        <v>#VALUE!</v>
      </c>
      <c r="T70" s="30" t="e" cm="1">
        <f t="array" aca="1" ref="T7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0" s="30" t="e" cm="1">
        <f t="array" aca="1" ref="U7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0" s="30" t="e" cm="1">
        <f t="array" aca="1" ref="V7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0" s="30" t="e" cm="1">
        <f t="array" aca="1" ref="W7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0" s="30" cm="1">
        <f t="array" aca="1" ref="X7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0" s="30" t="e" cm="1">
        <f t="array" aca="1" ref="Y7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0" s="34" cm="1">
        <f t="array" aca="1" ref="Z7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0" s="35" cm="1">
        <f t="array" aca="1" ref="AA70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0" s="57" cm="1">
        <f t="array" aca="1" ref="AB7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0" s="36" cm="1">
        <f t="array" aca="1" ref="AC7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0" s="36" cm="1">
        <f t="array" aca="1" ref="AD7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0" s="37" cm="1">
        <f t="array" aca="1" ref="AE7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0" s="38" t="e" cm="1">
        <f t="array" aca="1" ref="AF70" ca="1">$AE71 / (_xlfn.XLOOKUP(ValueFromColumnName("Ice Cream Amount",ROW()),Specs!A:A,Specs!B:B,0))</f>
        <v>#VALUE!</v>
      </c>
      <c r="AG70" s="37" cm="1">
        <f t="array" aca="1" ref="AG7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0" s="54" t="e" cm="1">
        <f t="array" aca="1" ref="AH7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0" s="37" t="e" cm="1">
        <f t="array" aca="1" ref="AI7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0" s="37" t="e" cm="1">
        <f t="array" aca="1" ref="AJ7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0" s="37" t="e" cm="1">
        <f t="array" aca="1" ref="AK7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0" s="39" cm="1">
        <f t="array" aca="1" ref="AL7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0" s="40" t="e" cm="1">
        <f t="array" ref="AM70">ROUNDUP((ValueFromColumnName("Cost",ROW())+Specs!$Q$2+_xlfn.XLOOKUP(ValueFromColumnName("Ice Cream Amount",ROW()),Specs!A:A,Specs!V:V,0))*Specs!$N$2,0)</f>
        <v>#VALUE!</v>
      </c>
    </row>
    <row r="71" spans="1:39" x14ac:dyDescent="0.25">
      <c r="A71" s="26" t="s">
        <v>876</v>
      </c>
      <c r="B71" s="1" t="s">
        <v>873</v>
      </c>
      <c r="C71" s="1" t="s">
        <v>782</v>
      </c>
      <c r="D71" s="1" t="s">
        <v>0</v>
      </c>
      <c r="E71" s="1" t="s">
        <v>786</v>
      </c>
      <c r="F71" s="1" t="s">
        <v>3</v>
      </c>
      <c r="I71" s="1" t="s">
        <v>816</v>
      </c>
      <c r="K71" t="s">
        <v>4</v>
      </c>
      <c r="L71" t="s">
        <v>450</v>
      </c>
      <c r="M71" t="s">
        <v>10</v>
      </c>
      <c r="N71" t="s">
        <v>156</v>
      </c>
      <c r="O71" t="s">
        <v>448</v>
      </c>
      <c r="Q71" s="30" t="e" cm="1">
        <f t="array" aca="1" ref="Q7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1" s="30" t="e" cm="1">
        <f t="array" aca="1" ref="R7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1" s="30" t="e">
        <f t="shared" ca="1" si="1"/>
        <v>#VALUE!</v>
      </c>
      <c r="T71" s="30" t="e" cm="1">
        <f t="array" aca="1" ref="T7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1" s="30" t="e" cm="1">
        <f t="array" aca="1" ref="U7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1" s="30" t="e" cm="1">
        <f t="array" aca="1" ref="V7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1" s="30" t="e" cm="1">
        <f t="array" aca="1" ref="W7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1" s="30" cm="1">
        <f t="array" aca="1" ref="X7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1" s="30" t="e" cm="1">
        <f t="array" aca="1" ref="Y7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1" s="34" cm="1">
        <f t="array" aca="1" ref="Z7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1" s="35" cm="1">
        <f t="array" aca="1" ref="AA71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1" s="57" cm="1">
        <f t="array" aca="1" ref="AB7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1" s="36" cm="1">
        <f t="array" aca="1" ref="AC7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1" s="36" cm="1">
        <f t="array" aca="1" ref="AD7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1" s="37" cm="1">
        <f t="array" aca="1" ref="AE7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1" s="38" t="e" cm="1">
        <f t="array" aca="1" ref="AF71" ca="1">$AE72 / (_xlfn.XLOOKUP(ValueFromColumnName("Ice Cream Amount",ROW()),Specs!A:A,Specs!B:B,0))</f>
        <v>#VALUE!</v>
      </c>
      <c r="AG71" s="37" cm="1">
        <f t="array" aca="1" ref="AG7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1" s="54" t="e" cm="1">
        <f t="array" aca="1" ref="AH7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1" s="37" t="e" cm="1">
        <f t="array" aca="1" ref="AI7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1" s="37" t="e" cm="1">
        <f t="array" aca="1" ref="AJ7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1" s="37" t="e" cm="1">
        <f t="array" aca="1" ref="AK7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1" s="39" cm="1">
        <f t="array" aca="1" ref="AL7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1" s="40" t="e" cm="1">
        <f t="array" ref="AM71">ROUNDUP((ValueFromColumnName("Cost",ROW())+Specs!$Q$2+_xlfn.XLOOKUP(ValueFromColumnName("Ice Cream Amount",ROW()),Specs!A:A,Specs!V:V,0))*Specs!$N$2,0)</f>
        <v>#VALUE!</v>
      </c>
    </row>
    <row r="72" spans="1:39" x14ac:dyDescent="0.25">
      <c r="A72" t="s">
        <v>789</v>
      </c>
      <c r="B72" s="1" t="s">
        <v>780</v>
      </c>
      <c r="C72" s="1" t="s">
        <v>283</v>
      </c>
      <c r="D72" s="1" t="s">
        <v>473</v>
      </c>
      <c r="E72" s="1" t="s">
        <v>786</v>
      </c>
      <c r="K72" t="s">
        <v>4</v>
      </c>
      <c r="L72" t="s">
        <v>451</v>
      </c>
      <c r="M72" t="s">
        <v>46</v>
      </c>
      <c r="N72" t="s">
        <v>44</v>
      </c>
      <c r="O72" t="s">
        <v>44</v>
      </c>
      <c r="Q72" s="30" t="e" cm="1">
        <f t="array" aca="1" ref="Q7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2" s="30" t="e" cm="1">
        <f t="array" aca="1" ref="R7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2" s="30" t="e">
        <f t="shared" ca="1" si="1"/>
        <v>#VALUE!</v>
      </c>
      <c r="T72" s="30" t="e" cm="1">
        <f t="array" aca="1" ref="T7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2" s="30" t="e" cm="1">
        <f t="array" aca="1" ref="U7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2" s="30" t="e" cm="1">
        <f t="array" aca="1" ref="V7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2" s="30" t="e" cm="1">
        <f t="array" aca="1" ref="W7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2" s="30" cm="1">
        <f t="array" aca="1" ref="X7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2" s="30" t="e" cm="1">
        <f t="array" aca="1" ref="Y7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2" s="34" cm="1">
        <f t="array" aca="1" ref="Z7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2" s="35" cm="1">
        <f t="array" aca="1" ref="AA72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2" s="57" cm="1">
        <f t="array" aca="1" ref="AB7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2" s="36" cm="1">
        <f t="array" aca="1" ref="AC7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2" s="36" cm="1">
        <f t="array" aca="1" ref="AD7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2" s="37" cm="1">
        <f t="array" aca="1" ref="AE7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2" s="38" t="e" cm="1">
        <f t="array" aca="1" ref="AF72" ca="1">$AE73 / (_xlfn.XLOOKUP(ValueFromColumnName("Ice Cream Amount",ROW()),Specs!A:A,Specs!B:B,0))</f>
        <v>#VALUE!</v>
      </c>
      <c r="AG72" s="37" cm="1">
        <f t="array" aca="1" ref="AG7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2" s="54" t="e" cm="1">
        <f t="array" aca="1" ref="AH7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2" s="37" t="e" cm="1">
        <f t="array" aca="1" ref="AI7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2" s="37" t="e" cm="1">
        <f t="array" aca="1" ref="AJ7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2" s="37" t="e" cm="1">
        <f t="array" aca="1" ref="AK7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2" s="39" cm="1">
        <f t="array" aca="1" ref="AL7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2" s="40" t="e" cm="1">
        <f t="array" ref="AM72">ROUNDUP((ValueFromColumnName("Cost",ROW())+Specs!$Q$2+_xlfn.XLOOKUP(ValueFromColumnName("Ice Cream Amount",ROW()),Specs!A:A,Specs!V:V,0))*Specs!$N$2,0)</f>
        <v>#VALUE!</v>
      </c>
    </row>
    <row r="73" spans="1:39" x14ac:dyDescent="0.25">
      <c r="A73" s="74" t="s">
        <v>790</v>
      </c>
      <c r="B73" s="1" t="s">
        <v>791</v>
      </c>
      <c r="C73" s="1" t="s">
        <v>283</v>
      </c>
      <c r="D73" s="1" t="s">
        <v>0</v>
      </c>
      <c r="K73" t="s">
        <v>340</v>
      </c>
      <c r="L73" t="s">
        <v>450</v>
      </c>
      <c r="M73" t="s">
        <v>44</v>
      </c>
      <c r="N73" t="s">
        <v>44</v>
      </c>
      <c r="O73" t="s">
        <v>44</v>
      </c>
      <c r="Q73" s="30" t="e" cm="1">
        <f t="array" aca="1" ref="Q7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3" s="30" t="e" cm="1">
        <f t="array" aca="1" ref="R7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3" s="30" t="e">
        <f t="shared" ca="1" si="1"/>
        <v>#VALUE!</v>
      </c>
      <c r="T73" s="30" t="e" cm="1">
        <f t="array" aca="1" ref="T7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3" s="30" t="e" cm="1">
        <f t="array" aca="1" ref="U7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3" s="30" t="e" cm="1">
        <f t="array" aca="1" ref="V7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3" s="30" t="e" cm="1">
        <f t="array" aca="1" ref="W7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3" s="30" cm="1">
        <f t="array" aca="1" ref="X7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3" s="30" t="e" cm="1">
        <f t="array" aca="1" ref="Y7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3" s="34" cm="1">
        <f t="array" aca="1" ref="Z7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3" s="35" cm="1">
        <f t="array" aca="1" ref="AA73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3" s="57" cm="1">
        <f t="array" aca="1" ref="AB7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3" s="36" cm="1">
        <f t="array" aca="1" ref="AC7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3" s="36" cm="1">
        <f t="array" aca="1" ref="AD7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3" s="37" cm="1">
        <f t="array" aca="1" ref="AE7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3" s="38" t="e" cm="1">
        <f t="array" aca="1" ref="AF73" ca="1">$AE74 / (_xlfn.XLOOKUP(ValueFromColumnName("Ice Cream Amount",ROW()),Specs!A:A,Specs!B:B,0))</f>
        <v>#VALUE!</v>
      </c>
      <c r="AG73" s="37" cm="1">
        <f t="array" aca="1" ref="AG7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3" s="54" t="e" cm="1">
        <f t="array" aca="1" ref="AH7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3" s="37" t="e" cm="1">
        <f t="array" aca="1" ref="AI7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3" s="37" t="e" cm="1">
        <f t="array" aca="1" ref="AJ7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3" s="37" t="e" cm="1">
        <f t="array" aca="1" ref="AK7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3" s="39" cm="1">
        <f t="array" aca="1" ref="AL7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3" s="40" t="e" cm="1">
        <f t="array" ref="AM73">ROUNDUP((ValueFromColumnName("Cost",ROW())+Specs!$Q$2+_xlfn.XLOOKUP(ValueFromColumnName("Ice Cream Amount",ROW()),Specs!A:A,Specs!V:V,0))*Specs!$N$2,0)</f>
        <v>#VALUE!</v>
      </c>
    </row>
    <row r="74" spans="1:39" x14ac:dyDescent="0.25">
      <c r="A74" s="96" t="s">
        <v>794</v>
      </c>
      <c r="B74" s="1" t="s">
        <v>65</v>
      </c>
      <c r="C74" s="1" t="s">
        <v>75</v>
      </c>
      <c r="D74" s="1" t="s">
        <v>98</v>
      </c>
      <c r="I74" s="1" t="s">
        <v>1</v>
      </c>
      <c r="K74" t="s">
        <v>43</v>
      </c>
      <c r="L74" t="s">
        <v>450</v>
      </c>
      <c r="M74" t="s">
        <v>44</v>
      </c>
      <c r="N74" t="s">
        <v>44</v>
      </c>
      <c r="O74" t="s">
        <v>173</v>
      </c>
      <c r="Q74" s="30" t="e" cm="1">
        <f t="array" aca="1" ref="Q7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4" s="30" t="e" cm="1">
        <f t="array" aca="1" ref="R7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4" s="30" t="e">
        <f t="shared" ca="1" si="1"/>
        <v>#VALUE!</v>
      </c>
      <c r="T74" s="30" t="e" cm="1">
        <f t="array" aca="1" ref="T7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4" s="30" t="e" cm="1">
        <f t="array" aca="1" ref="U7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4" s="30" t="e" cm="1">
        <f t="array" aca="1" ref="V7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4" s="30" t="e" cm="1">
        <f t="array" aca="1" ref="W7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4" s="30" cm="1">
        <f t="array" aca="1" ref="X7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4" s="30" t="e" cm="1">
        <f t="array" aca="1" ref="Y7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4" s="34" cm="1">
        <f t="array" aca="1" ref="Z7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4" s="35" cm="1">
        <f t="array" aca="1" ref="AA7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4" s="57" cm="1">
        <f t="array" aca="1" ref="AB7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4" s="36" cm="1">
        <f t="array" aca="1" ref="AC7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4" s="36" cm="1">
        <f t="array" aca="1" ref="AD7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4" s="37" cm="1">
        <f t="array" aca="1" ref="AE7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4" s="38" t="e" cm="1">
        <f t="array" aca="1" ref="AF74" ca="1">$AE75 / (_xlfn.XLOOKUP(ValueFromColumnName("Ice Cream Amount",ROW()),Specs!A:A,Specs!B:B,0))</f>
        <v>#VALUE!</v>
      </c>
      <c r="AG74" s="37" cm="1">
        <f t="array" aca="1" ref="AG7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4" s="54" t="e" cm="1">
        <f t="array" aca="1" ref="AH7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4" s="37" t="e" cm="1">
        <f t="array" aca="1" ref="AI7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4" s="37" t="e" cm="1">
        <f t="array" aca="1" ref="AJ7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4" s="37" t="e" cm="1">
        <f t="array" aca="1" ref="AK7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4" s="39" cm="1">
        <f t="array" aca="1" ref="AL7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4" s="40" t="e" cm="1">
        <f t="array" ref="AM74">ROUNDUP((ValueFromColumnName("Cost",ROW())+Specs!$Q$2+_xlfn.XLOOKUP(ValueFromColumnName("Ice Cream Amount",ROW()),Specs!A:A,Specs!V:V,0))*Specs!$N$2,0)</f>
        <v>#VALUE!</v>
      </c>
    </row>
    <row r="75" spans="1:39" x14ac:dyDescent="0.25">
      <c r="A75" s="96" t="s">
        <v>801</v>
      </c>
      <c r="B75" s="1" t="s">
        <v>62</v>
      </c>
      <c r="C75" s="1" t="s">
        <v>65</v>
      </c>
      <c r="D75" s="1" t="s">
        <v>263</v>
      </c>
      <c r="E75" s="1" t="s">
        <v>473</v>
      </c>
      <c r="F75" s="1" t="s">
        <v>139</v>
      </c>
      <c r="I75" s="1" t="s">
        <v>1</v>
      </c>
      <c r="K75" t="s">
        <v>4</v>
      </c>
      <c r="L75" t="s">
        <v>10</v>
      </c>
      <c r="M75" t="s">
        <v>10</v>
      </c>
      <c r="N75" t="s">
        <v>156</v>
      </c>
      <c r="O75" t="s">
        <v>158</v>
      </c>
      <c r="Q75" s="30" t="e" cm="1">
        <f t="array" aca="1" ref="Q7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5" s="30" t="e" cm="1">
        <f t="array" aca="1" ref="R7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5" s="30" t="e">
        <f t="shared" ca="1" si="1"/>
        <v>#VALUE!</v>
      </c>
      <c r="T75" s="30" t="e" cm="1">
        <f t="array" aca="1" ref="T7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5" s="30" t="e" cm="1">
        <f t="array" aca="1" ref="U7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5" s="30" t="e" cm="1">
        <f t="array" aca="1" ref="V7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5" s="30" t="e" cm="1">
        <f t="array" aca="1" ref="W7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5" s="30" cm="1">
        <f t="array" aca="1" ref="X7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5" s="30" t="e" cm="1">
        <f t="array" aca="1" ref="Y7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5" s="34" cm="1">
        <f t="array" aca="1" ref="Z7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5" s="35" cm="1">
        <f t="array" aca="1" ref="AA75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5" s="57" cm="1">
        <f t="array" aca="1" ref="AB7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5" s="36" cm="1">
        <f t="array" aca="1" ref="AC7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5" s="36" cm="1">
        <f t="array" aca="1" ref="AD7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5" s="37" cm="1">
        <f t="array" aca="1" ref="AE7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5" s="38" t="e" cm="1">
        <f t="array" aca="1" ref="AF75" ca="1">$AE76 / (_xlfn.XLOOKUP(ValueFromColumnName("Ice Cream Amount",ROW()),Specs!A:A,Specs!B:B,0))</f>
        <v>#VALUE!</v>
      </c>
      <c r="AG75" s="37" cm="1">
        <f t="array" aca="1" ref="AG7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5" s="54" t="e" cm="1">
        <f t="array" aca="1" ref="AH7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5" s="37" t="e" cm="1">
        <f t="array" aca="1" ref="AI7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5" s="37" t="e" cm="1">
        <f t="array" aca="1" ref="AJ7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5" s="37" t="e" cm="1">
        <f t="array" aca="1" ref="AK7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5" s="39" cm="1">
        <f t="array" aca="1" ref="AL7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5" s="40" t="e" cm="1">
        <f t="array" ref="AM75">ROUNDUP((ValueFromColumnName("Cost",ROW())+Specs!$Q$2+_xlfn.XLOOKUP(ValueFromColumnName("Ice Cream Amount",ROW()),Specs!A:A,Specs!V:V,0))*Specs!$N$2,0)</f>
        <v>#VALUE!</v>
      </c>
    </row>
    <row r="76" spans="1:39" x14ac:dyDescent="0.25">
      <c r="A76" s="96"/>
      <c r="Q76" s="30" t="e" cm="1">
        <f t="array" aca="1" ref="Q7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6" s="30" t="e" cm="1">
        <f t="array" aca="1" ref="R7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6" s="30" t="e">
        <f t="shared" ca="1" si="1"/>
        <v>#VALUE!</v>
      </c>
      <c r="T76" s="30" t="e" cm="1">
        <f t="array" aca="1" ref="T7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6" s="30" t="e" cm="1">
        <f t="array" aca="1" ref="U7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6" s="30" t="e" cm="1">
        <f t="array" aca="1" ref="V7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6" s="30" t="e" cm="1">
        <f t="array" aca="1" ref="W7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6" s="30" t="e" cm="1">
        <f t="array" aca="1" ref="X7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76" s="30" t="e" cm="1">
        <f t="array" aca="1" ref="Y7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6" s="34" cm="1">
        <f t="array" aca="1" ref="Z7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6" s="35" cm="1">
        <f t="array" aca="1" ref="AA76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6" s="57" cm="1">
        <f t="array" aca="1" ref="AB7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6" s="36" cm="1">
        <f t="array" aca="1" ref="AC7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6" s="36" cm="1">
        <f t="array" aca="1" ref="AD7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6" s="37" cm="1">
        <f t="array" aca="1" ref="AE7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6" s="38" t="e" cm="1">
        <f t="array" aca="1" ref="AF76" ca="1">$AE77 / (_xlfn.XLOOKUP(ValueFromColumnName("Ice Cream Amount",ROW()),Specs!A:A,Specs!B:B,0))</f>
        <v>#VALUE!</v>
      </c>
      <c r="AG76" s="37" cm="1">
        <f t="array" aca="1" ref="AG7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6" s="54" t="e" cm="1">
        <f t="array" aca="1" ref="AH7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6" s="37" t="e" cm="1">
        <f t="array" aca="1" ref="AI7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6" s="37" t="e" cm="1">
        <f t="array" aca="1" ref="AJ7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6" s="37" t="e" cm="1">
        <f t="array" aca="1" ref="AK7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6" s="39" cm="1">
        <f t="array" aca="1" ref="AL7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6" s="40" t="e" cm="1">
        <f t="array" ref="AM76">ROUNDUP((ValueFromColumnName("Cost",ROW())+Specs!$Q$2+_xlfn.XLOOKUP(ValueFromColumnName("Ice Cream Amount",ROW()),Specs!A:A,Specs!V:V,0))*Specs!$N$2,0)</f>
        <v>#VALUE!</v>
      </c>
    </row>
    <row r="77" spans="1:39" x14ac:dyDescent="0.25">
      <c r="A77" s="96" t="s">
        <v>809</v>
      </c>
      <c r="B77" s="1" t="s">
        <v>65</v>
      </c>
      <c r="C77" s="1" t="s">
        <v>75</v>
      </c>
      <c r="D77" s="1" t="s">
        <v>0</v>
      </c>
      <c r="E77" s="1" t="s">
        <v>5</v>
      </c>
      <c r="I77" s="1" t="s">
        <v>1</v>
      </c>
      <c r="K77" t="s">
        <v>4</v>
      </c>
      <c r="L77" t="s">
        <v>450</v>
      </c>
      <c r="M77" t="s">
        <v>451</v>
      </c>
      <c r="N77" t="s">
        <v>44</v>
      </c>
      <c r="O77" t="s">
        <v>448</v>
      </c>
      <c r="Q77" s="30" t="e" cm="1">
        <f t="array" aca="1" ref="Q7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7" s="30" t="e" cm="1">
        <f t="array" aca="1" ref="R7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7" s="30" t="e">
        <f t="shared" ca="1" si="1"/>
        <v>#VALUE!</v>
      </c>
      <c r="T77" s="30" t="e" cm="1">
        <f t="array" aca="1" ref="T7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7" s="30" t="e" cm="1">
        <f t="array" aca="1" ref="U7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7" s="30" t="e" cm="1">
        <f t="array" aca="1" ref="V7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7" s="30" t="e" cm="1">
        <f t="array" aca="1" ref="W7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7" s="30" cm="1">
        <f t="array" aca="1" ref="X7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7" s="30" t="e" cm="1">
        <f t="array" aca="1" ref="Y7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7" s="34" cm="1">
        <f t="array" aca="1" ref="Z7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7" s="35" cm="1">
        <f t="array" aca="1" ref="AA77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7" s="57" cm="1">
        <f t="array" aca="1" ref="AB7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7" s="36" cm="1">
        <f t="array" aca="1" ref="AC7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7" s="36" cm="1">
        <f t="array" aca="1" ref="AD7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7" s="37" cm="1">
        <f t="array" aca="1" ref="AE7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7" s="38" t="e" cm="1">
        <f t="array" aca="1" ref="AF77" ca="1">$AE78 / (_xlfn.XLOOKUP(ValueFromColumnName("Ice Cream Amount",ROW()),Specs!A:A,Specs!B:B,0))</f>
        <v>#VALUE!</v>
      </c>
      <c r="AG77" s="37" cm="1">
        <f t="array" aca="1" ref="AG7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7" s="54" t="e" cm="1">
        <f t="array" aca="1" ref="AH7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7" s="37" t="e" cm="1">
        <f t="array" aca="1" ref="AI7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7" s="37" t="e" cm="1">
        <f t="array" aca="1" ref="AJ7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7" s="37" t="e" cm="1">
        <f t="array" aca="1" ref="AK7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7" s="39" cm="1">
        <f t="array" aca="1" ref="AL7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7" s="40" t="e" cm="1">
        <f t="array" ref="AM77">ROUNDUP((ValueFromColumnName("Cost",ROW())+Specs!$Q$2+_xlfn.XLOOKUP(ValueFromColumnName("Ice Cream Amount",ROW()),Specs!A:A,Specs!V:V,0))*Specs!$N$2,0)</f>
        <v>#VALUE!</v>
      </c>
    </row>
    <row r="78" spans="1:39" x14ac:dyDescent="0.25">
      <c r="Q78" s="30" t="e" cm="1">
        <f t="array" aca="1" ref="Q7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8" s="30" t="e" cm="1">
        <f t="array" aca="1" ref="R7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8" s="30" t="e">
        <f t="shared" ca="1" si="1"/>
        <v>#VALUE!</v>
      </c>
      <c r="T78" s="30" t="e" cm="1">
        <f t="array" aca="1" ref="T7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8" s="30" t="e" cm="1">
        <f t="array" aca="1" ref="U7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8" s="30" t="e" cm="1">
        <f t="array" aca="1" ref="V7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8" s="30" t="e" cm="1">
        <f t="array" aca="1" ref="W7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8" s="30" t="e" cm="1">
        <f t="array" aca="1" ref="X7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78" s="30" t="e" cm="1">
        <f t="array" aca="1" ref="Y7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8" s="34" cm="1">
        <f t="array" aca="1" ref="Z7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8" s="35" cm="1">
        <f t="array" aca="1" ref="AA78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8" s="57" cm="1">
        <f t="array" aca="1" ref="AB7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8" s="36" cm="1">
        <f t="array" aca="1" ref="AC7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8" s="36" cm="1">
        <f t="array" aca="1" ref="AD7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8" s="37" cm="1">
        <f t="array" aca="1" ref="AE7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8" s="38" t="e" cm="1">
        <f t="array" aca="1" ref="AF78" ca="1">$AE79 / (_xlfn.XLOOKUP(ValueFromColumnName("Ice Cream Amount",ROW()),Specs!A:A,Specs!B:B,0))</f>
        <v>#VALUE!</v>
      </c>
      <c r="AG78" s="37" cm="1">
        <f t="array" aca="1" ref="AG7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8" s="54" t="e" cm="1">
        <f t="array" aca="1" ref="AH7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8" s="37" t="e" cm="1">
        <f t="array" aca="1" ref="AI7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8" s="37" t="e" cm="1">
        <f t="array" aca="1" ref="AJ7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8" s="37" t="e" cm="1">
        <f t="array" aca="1" ref="AK7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8" s="39" cm="1">
        <f t="array" aca="1" ref="AL7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8" s="40" t="e" cm="1">
        <f t="array" ref="AM78">ROUNDUP((ValueFromColumnName("Cost",ROW())+Specs!$Q$2+_xlfn.XLOOKUP(ValueFromColumnName("Ice Cream Amount",ROW()),Specs!A:A,Specs!V:V,0))*Specs!$N$2,0)</f>
        <v>#VALUE!</v>
      </c>
    </row>
    <row r="79" spans="1:39" x14ac:dyDescent="0.25">
      <c r="A79" s="115" t="s">
        <v>811</v>
      </c>
      <c r="B79" s="1" t="s">
        <v>62</v>
      </c>
      <c r="C79" s="1" t="s">
        <v>65</v>
      </c>
      <c r="D79" s="1" t="s">
        <v>98</v>
      </c>
      <c r="E79" s="1" t="s">
        <v>418</v>
      </c>
      <c r="F79" s="1" t="s">
        <v>266</v>
      </c>
      <c r="I79" s="1" t="s">
        <v>137</v>
      </c>
      <c r="K79" t="s">
        <v>4</v>
      </c>
      <c r="L79" t="s">
        <v>450</v>
      </c>
      <c r="M79" t="s">
        <v>175</v>
      </c>
      <c r="N79" t="s">
        <v>156</v>
      </c>
      <c r="O79" t="s">
        <v>174</v>
      </c>
      <c r="Q79" s="30" t="e" cm="1">
        <f t="array" aca="1" ref="Q7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9" s="30" t="e" cm="1">
        <f t="array" aca="1" ref="R7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9" s="30" t="e">
        <f t="shared" ca="1" si="1"/>
        <v>#VALUE!</v>
      </c>
      <c r="T79" s="30" t="e" cm="1">
        <f t="array" aca="1" ref="T7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9" s="30" t="e" cm="1">
        <f t="array" aca="1" ref="U7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9" s="30" t="e" cm="1">
        <f t="array" aca="1" ref="V7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9" s="30" t="e" cm="1">
        <f t="array" aca="1" ref="W7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9" s="30" cm="1">
        <f t="array" aca="1" ref="X7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9" s="30" t="e" cm="1">
        <f t="array" aca="1" ref="Y7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9" s="34" cm="1">
        <f t="array" aca="1" ref="Z7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9" s="35" cm="1">
        <f t="array" aca="1" ref="AA79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9" s="57" cm="1">
        <f t="array" aca="1" ref="AB7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9" s="36" cm="1">
        <f t="array" aca="1" ref="AC7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9" s="36" cm="1">
        <f t="array" aca="1" ref="AD7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9" s="37" cm="1">
        <f t="array" aca="1" ref="AE7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9" s="38" t="e" cm="1">
        <f t="array" aca="1" ref="AF79" ca="1">$AE80 / (_xlfn.XLOOKUP(ValueFromColumnName("Ice Cream Amount",ROW()),Specs!A:A,Specs!B:B,0))</f>
        <v>#VALUE!</v>
      </c>
      <c r="AG79" s="37" cm="1">
        <f t="array" aca="1" ref="AG7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9" s="54" t="e" cm="1">
        <f t="array" aca="1" ref="AH7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9" s="37" t="e" cm="1">
        <f t="array" aca="1" ref="AI7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9" s="37" t="e" cm="1">
        <f t="array" aca="1" ref="AJ7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9" s="37" t="e" cm="1">
        <f t="array" aca="1" ref="AK7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9" s="39" cm="1">
        <f t="array" aca="1" ref="AL7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9" s="40" t="e" cm="1">
        <f t="array" ref="AM79">ROUNDUP((ValueFromColumnName("Cost",ROW())+Specs!$Q$2+_xlfn.XLOOKUP(ValueFromColumnName("Ice Cream Amount",ROW()),Specs!A:A,Specs!V:V,0))*Specs!$N$2,0)</f>
        <v>#VALUE!</v>
      </c>
    </row>
    <row r="80" spans="1:39" x14ac:dyDescent="0.25">
      <c r="A80" s="115" t="s">
        <v>812</v>
      </c>
      <c r="B80" s="1" t="s">
        <v>636</v>
      </c>
      <c r="C80" s="1" t="s">
        <v>62</v>
      </c>
      <c r="D80" s="1" t="s">
        <v>0</v>
      </c>
      <c r="E80" s="1" t="s">
        <v>84</v>
      </c>
      <c r="I80" s="1" t="s">
        <v>1</v>
      </c>
      <c r="J80" s="1" t="s">
        <v>2</v>
      </c>
      <c r="K80" t="s">
        <v>340</v>
      </c>
      <c r="L80" t="s">
        <v>450</v>
      </c>
      <c r="M80" t="s">
        <v>450</v>
      </c>
      <c r="N80" t="s">
        <v>44</v>
      </c>
      <c r="O80" t="s">
        <v>448</v>
      </c>
      <c r="P80" t="s">
        <v>448</v>
      </c>
      <c r="Q80" s="30" t="e" cm="1">
        <f t="array" aca="1" ref="Q8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80" s="30" t="e" cm="1">
        <f t="array" aca="1" ref="R8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80" s="30" t="e">
        <f t="shared" ca="1" si="1"/>
        <v>#VALUE!</v>
      </c>
      <c r="T80" s="30" t="e" cm="1">
        <f t="array" aca="1" ref="T8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80" s="30" t="e" cm="1">
        <f t="array" aca="1" ref="U8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80" s="30" t="e" cm="1">
        <f t="array" aca="1" ref="V8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80" s="30" t="e" cm="1">
        <f t="array" aca="1" ref="W8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80" s="30" cm="1">
        <f t="array" aca="1" ref="X8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80" s="30" t="e" cm="1">
        <f t="array" aca="1" ref="Y8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80" s="34" cm="1">
        <f t="array" aca="1" ref="Z8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80" s="35" cm="1">
        <f t="array" aca="1" ref="AA80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80" s="57" cm="1">
        <f t="array" aca="1" ref="AB8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80" s="36" cm="1">
        <f t="array" aca="1" ref="AC8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_xlfn.XLOOKUP($F80,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80" s="36" cm="1">
        <f t="array" aca="1" ref="AD8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80" s="37" cm="1">
        <f t="array" aca="1" ref="AE8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80" s="38" t="e" cm="1">
        <f t="array" aca="1" ref="AF80" ca="1">$AE81 / (_xlfn.XLOOKUP(ValueFromColumnName("Ice Cream Amount",ROW()),Specs!A:A,Specs!B:B,0))</f>
        <v>#VALUE!</v>
      </c>
      <c r="AG80" s="37" cm="1">
        <f t="array" aca="1" ref="AG8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80" s="54" t="e" cm="1">
        <f t="array" aca="1" ref="AH8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80" s="37" t="e" cm="1">
        <f t="array" aca="1" ref="AI8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80" s="37" t="e" cm="1">
        <f t="array" aca="1" ref="AJ8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80" s="37" t="e" cm="1">
        <f t="array" aca="1" ref="AK8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80" s="39" cm="1">
        <f t="array" aca="1" ref="AL8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80" s="40" t="e" cm="1">
        <f t="array" ref="AM80">ROUNDUP((ValueFromColumnName("Cost",ROW())+Specs!$Q$2+_xlfn.XLOOKUP(ValueFromColumnName("Ice Cream Amount",ROW()),Specs!A:A,Specs!V:V,0))*Specs!$N$2,0)</f>
        <v>#VALUE!</v>
      </c>
    </row>
    <row r="81" spans="1:39" x14ac:dyDescent="0.25">
      <c r="A81" s="115" t="s">
        <v>813</v>
      </c>
      <c r="B81" s="1" t="s">
        <v>62</v>
      </c>
      <c r="C81" s="1" t="s">
        <v>65</v>
      </c>
      <c r="D81" s="1" t="s">
        <v>516</v>
      </c>
      <c r="E81" s="1" t="s">
        <v>815</v>
      </c>
      <c r="F81" s="1" t="s">
        <v>266</v>
      </c>
      <c r="I81" s="1" t="s">
        <v>137</v>
      </c>
      <c r="K81" t="s">
        <v>4</v>
      </c>
      <c r="L81" t="s">
        <v>451</v>
      </c>
      <c r="M81" t="s">
        <v>450</v>
      </c>
      <c r="N81" t="s">
        <v>44</v>
      </c>
      <c r="O81" t="s">
        <v>174</v>
      </c>
      <c r="Q81" s="30" t="e" cm="1">
        <f t="array" aca="1" ref="Q8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81" s="30" t="e" cm="1">
        <f t="array" aca="1" ref="R8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81" s="30" t="e">
        <f t="shared" ca="1" si="1"/>
        <v>#VALUE!</v>
      </c>
      <c r="T81" s="30" t="e" cm="1">
        <f t="array" aca="1" ref="T8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81" s="30" t="e" cm="1">
        <f t="array" aca="1" ref="U8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81" s="30" t="e" cm="1">
        <f t="array" aca="1" ref="V8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81" s="30" t="e" cm="1">
        <f t="array" aca="1" ref="W8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81" s="30" cm="1">
        <f t="array" aca="1" ref="X8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81" s="30" t="e" cm="1">
        <f t="array" aca="1" ref="Y8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81" s="34" cm="1">
        <f t="array" aca="1" ref="Z8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81" s="35" cm="1">
        <f t="array" aca="1" ref="AA81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81" s="57" cm="1">
        <f t="array" aca="1" ref="AB8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81" s="36" cm="1">
        <f t="array" aca="1" ref="AC8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_xlfn.XLOOKUP($F81,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81" s="36" cm="1">
        <f t="array" aca="1" ref="AD8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81" s="37" cm="1">
        <f t="array" aca="1" ref="AE8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81" s="38" t="e" cm="1">
        <f t="array" aca="1" ref="AF81" ca="1">$AE82 / (_xlfn.XLOOKUP(ValueFromColumnName("Ice Cream Amount",ROW()),Specs!A:A,Specs!B:B,0))</f>
        <v>#VALUE!</v>
      </c>
      <c r="AG81" s="37" cm="1">
        <f t="array" aca="1" ref="AG8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81" s="54" t="e" cm="1">
        <f t="array" aca="1" ref="AH8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81" s="37" t="e" cm="1">
        <f t="array" aca="1" ref="AI8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81" s="37" t="e" cm="1">
        <f t="array" aca="1" ref="AJ8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81" s="37" t="e" cm="1">
        <f t="array" aca="1" ref="AK8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81" s="39" cm="1">
        <f t="array" aca="1" ref="AL8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81" s="40" t="e" cm="1">
        <f t="array" ref="AM81">ROUNDUP((ValueFromColumnName("Cost",ROW())+Specs!$Q$2+_xlfn.XLOOKUP(ValueFromColumnName("Ice Cream Amount",ROW()),Specs!A:A,Specs!V:V,0))*Specs!$N$2,0)</f>
        <v>#VALUE!</v>
      </c>
    </row>
    <row r="82" spans="1:39" x14ac:dyDescent="0.25">
      <c r="A82" s="115" t="s">
        <v>814</v>
      </c>
      <c r="B82" s="1" t="s">
        <v>62</v>
      </c>
      <c r="C82" s="1" t="s">
        <v>65</v>
      </c>
      <c r="D82" s="1" t="s">
        <v>0</v>
      </c>
      <c r="E82" s="1" t="s">
        <v>483</v>
      </c>
      <c r="I82" s="1" t="s">
        <v>1</v>
      </c>
      <c r="K82" t="s">
        <v>4</v>
      </c>
      <c r="L82" t="s">
        <v>450</v>
      </c>
      <c r="M82" t="s">
        <v>450</v>
      </c>
      <c r="N82" t="s">
        <v>44</v>
      </c>
      <c r="O82" t="s">
        <v>158</v>
      </c>
      <c r="P82" t="s">
        <v>448</v>
      </c>
      <c r="Q82" s="30" t="e" cm="1">
        <f t="array" aca="1" ref="Q8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82" s="30" t="e" cm="1">
        <f t="array" aca="1" ref="R8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82" s="30" t="e">
        <f t="shared" ca="1" si="1"/>
        <v>#VALUE!</v>
      </c>
      <c r="T82" s="30" t="e" cm="1">
        <f t="array" aca="1" ref="T8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82" s="30" t="e" cm="1">
        <f t="array" aca="1" ref="U8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82" s="30" t="e" cm="1">
        <f t="array" aca="1" ref="V8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82" s="30" t="e" cm="1">
        <f t="array" aca="1" ref="W8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82" s="30" t="e" cm="1">
        <f t="array" aca="1" ref="X8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82" s="30" t="e" cm="1">
        <f t="array" aca="1" ref="Y8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82" s="34" cm="1">
        <f t="array" aca="1" ref="Z8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82" s="35" cm="1">
        <f t="array" aca="1" ref="AA82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82" s="57" cm="1">
        <f t="array" aca="1" ref="AB8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82" s="36" cm="1">
        <f t="array" aca="1" ref="AC8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_xlfn.XLOOKUP($F82,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82" s="36" cm="1">
        <f t="array" aca="1" ref="AD8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82" s="37" cm="1">
        <f t="array" aca="1" ref="AE8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82" s="38" t="e" cm="1">
        <f t="array" aca="1" ref="AF82" ca="1">$AE83 / (_xlfn.XLOOKUP(ValueFromColumnName("Ice Cream Amount",ROW()),Specs!A:A,Specs!B:B,0))</f>
        <v>#VALUE!</v>
      </c>
      <c r="AG82" s="37" cm="1">
        <f t="array" aca="1" ref="AG8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82" s="54" t="e" cm="1">
        <f t="array" aca="1" ref="AH8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82" s="37" t="e" cm="1">
        <f t="array" aca="1" ref="AI8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82" s="37" t="e" cm="1">
        <f t="array" aca="1" ref="AJ8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82" s="37" t="e" cm="1">
        <f t="array" aca="1" ref="AK8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82" s="39" cm="1">
        <f t="array" aca="1" ref="AL8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82" s="40" t="e" cm="1">
        <f t="array" ref="AM82">ROUNDUP((ValueFromColumnName("Cost",ROW())+Specs!$Q$2+_xlfn.XLOOKUP(ValueFromColumnName("Ice Cream Amount",ROW()),Specs!A:A,Specs!V:V,0))*Specs!$N$2,0)</f>
        <v>#VALUE!</v>
      </c>
    </row>
    <row r="83" spans="1:39" x14ac:dyDescent="0.25">
      <c r="Q83" s="30" t="e" cm="1">
        <f t="array" aca="1" ref="Q8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83" s="30" t="e" cm="1">
        <f t="array" aca="1" ref="R8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83" s="30" t="e">
        <f t="shared" ca="1" si="1"/>
        <v>#VALUE!</v>
      </c>
      <c r="T83" s="30" t="e" cm="1">
        <f t="array" aca="1" ref="T8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83" s="30" t="e" cm="1">
        <f t="array" aca="1" ref="U8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83" s="30" t="e" cm="1">
        <f t="array" aca="1" ref="V8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83" s="30" t="e" cm="1">
        <f t="array" aca="1" ref="W8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83" s="30" cm="1">
        <f t="array" aca="1" ref="X8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83" s="30" t="e" cm="1">
        <f t="array" aca="1" ref="Y8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83" s="34" cm="1">
        <f t="array" aca="1" ref="Z8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83" s="35" cm="1">
        <f t="array" aca="1" ref="AA83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83" s="57" cm="1">
        <f t="array" aca="1" ref="AB8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83" s="36" cm="1">
        <f t="array" aca="1" ref="AC8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_xlfn.XLOOKUP($F83,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83" s="36" cm="1">
        <f t="array" aca="1" ref="AD8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83" s="37" cm="1">
        <f t="array" aca="1" ref="AE8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83" s="38" t="e" cm="1">
        <f t="array" aca="1" ref="AF83" ca="1">$AE84 / (_xlfn.XLOOKUP(ValueFromColumnName("Ice Cream Amount",ROW()),Specs!A:A,Specs!B:B,0))</f>
        <v>#VALUE!</v>
      </c>
      <c r="AG83" s="37" cm="1">
        <f t="array" aca="1" ref="AG8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83" s="54" t="e" cm="1">
        <f t="array" aca="1" ref="AH8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83" s="37" t="e" cm="1">
        <f t="array" aca="1" ref="AI8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83" s="37" t="e" cm="1">
        <f t="array" aca="1" ref="AJ8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83" s="37" t="e" cm="1">
        <f t="array" aca="1" ref="AK8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83" s="39" cm="1">
        <f t="array" aca="1" ref="AL8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83" s="40" t="e" cm="1">
        <f t="array" ref="AM83">ROUNDUP((ValueFromColumnName("Cost",ROW())+Specs!$Q$2+_xlfn.XLOOKUP(ValueFromColumnName("Ice Cream Amount",ROW()),Specs!A:A,Specs!V:V,0))*Specs!$N$2,0)</f>
        <v>#VALUE!</v>
      </c>
    </row>
    <row r="84" spans="1:39" x14ac:dyDescent="0.25">
      <c r="A84" s="115" t="s">
        <v>820</v>
      </c>
      <c r="B84" s="1" t="s">
        <v>62</v>
      </c>
      <c r="C84" s="1" t="s">
        <v>65</v>
      </c>
      <c r="D84" s="1" t="s">
        <v>0</v>
      </c>
      <c r="E84" s="1" t="s">
        <v>819</v>
      </c>
      <c r="F84" s="1" t="s">
        <v>102</v>
      </c>
      <c r="G84" s="1" t="s">
        <v>124</v>
      </c>
      <c r="I84" s="1" t="s">
        <v>1</v>
      </c>
      <c r="K84" t="s">
        <v>4</v>
      </c>
      <c r="L84" t="s">
        <v>450</v>
      </c>
      <c r="M84" t="s">
        <v>10</v>
      </c>
      <c r="N84" t="s">
        <v>156</v>
      </c>
      <c r="O84" t="s">
        <v>448</v>
      </c>
      <c r="P84" t="s">
        <v>44</v>
      </c>
      <c r="Q84" s="30" t="e" cm="1">
        <f t="array" aca="1" ref="Q8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84" s="30" t="e" cm="1">
        <f t="array" aca="1" ref="R8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84" s="30" t="e">
        <f t="shared" ca="1" si="1"/>
        <v>#VALUE!</v>
      </c>
      <c r="T84" s="30" t="e" cm="1">
        <f t="array" aca="1" ref="T8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84" s="30" t="e" cm="1">
        <f t="array" aca="1" ref="U8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84" s="30" t="e" cm="1">
        <f t="array" aca="1" ref="V8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84" s="30" t="e" cm="1">
        <f t="array" aca="1" ref="W8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84" s="30" cm="1">
        <f t="array" aca="1" ref="X8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84" s="30" t="e" cm="1">
        <f t="array" aca="1" ref="Y8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84" s="34" cm="1">
        <f t="array" aca="1" ref="Z8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84" s="35" cm="1">
        <f t="array" aca="1" ref="AA8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84" s="57" cm="1">
        <f t="array" aca="1" ref="AB8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84" s="36" cm="1">
        <f t="array" aca="1" ref="AC8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_xlfn.XLOOKUP($F84,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84" s="36" cm="1">
        <f t="array" aca="1" ref="AD8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84" s="37" cm="1">
        <f t="array" aca="1" ref="AE8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84" s="38" t="e" cm="1">
        <f t="array" ref="AF84">$AE85 / (_xlfn.XLOOKUP(ValueFromColumnName("Ice Cream Amount",ROW()),Specs!A:A,Specs!B:B,0))</f>
        <v>#DIV/0!</v>
      </c>
      <c r="AG84" s="37" cm="1">
        <f t="array" aca="1" ref="AG8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84" s="54" t="e" cm="1">
        <f t="array" aca="1" ref="AH8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84" s="37" t="e" cm="1">
        <f t="array" aca="1" ref="AI8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84" s="37" t="e" cm="1">
        <f t="array" aca="1" ref="AJ8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84" s="37" t="e" cm="1">
        <f t="array" aca="1" ref="AK8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84" s="39" cm="1">
        <f t="array" aca="1" ref="AL8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84" s="40" t="e" cm="1">
        <f t="array" ref="AM84">ROUNDUP((ValueFromColumnName("Cost",ROW())+Specs!$Q$2+_xlfn.XLOOKUP(ValueFromColumnName("Ice Cream Amount",ROW()),Specs!A:A,Specs!V:V,0))*Specs!$N$2,0)</f>
        <v>#VALUE!</v>
      </c>
    </row>
    <row r="85" spans="1:39" x14ac:dyDescent="0.25">
      <c r="AG85" s="37">
        <f>(($Q85 / 240) * _xlfn.XLOOKUP($B85,'Milk Types Nutrition Per Cup'!A:A,'Milk Types Nutrition Per Cup'!D:D,0)) +(($R85 / 240)  * _xlfn.XLOOKUP($C85,'Milk Types Nutrition Per Cup'!A:A,'Milk Types Nutrition Per Cup'!D:D,0)) +(($T85 / 15)  * _xlfn.XLOOKUP($D85,'Liquid Mix In Nutrition'!A:A,'Liquid Mix In Nutrition'!D:D,0))+(($U85 / 15)  * _xlfn.XLOOKUP($E85,'Liquid Mix In Nutrition'!A:A,'Liquid Mix In Nutrition'!D:D,0))+(($V85 / MAX(1, _xlfn.XLOOKUP($F85,'Solid Mix In Nutrition'!A:A,'Solid Mix In Nutrition'!I:I,1)))  * _xlfn.XLOOKUP($F85,'Solid Mix In Nutrition'!A:A,'Solid Mix In Nutrition'!D:D,0))+(($W85 / MAX(1, _xlfn.XLOOKUP($G85,'Solid Mix In Nutrition'!A:A,'Solid Mix In Nutrition'!I:I,1)))  * _xlfn.XLOOKUP($G85,'Solid Mix In Nutrition'!A:A,'Solid Mix In Nutrition'!D:D,0))+(($X85 / 100)  * _xlfn.XLOOKUP($I85,'Sweetener Mix In Nutrition'!A:A,'Sweetener Mix In Nutrition'!D:D,0))+(($Y85 / 100)  * _xlfn.XLOOKUP($J85,'Sweetener Mix In Nutrition'!A:A,'Sweetener Mix In Nutrition'!D:D,0))</f>
        <v>0</v>
      </c>
    </row>
    <row r="86" spans="1:39" x14ac:dyDescent="0.25">
      <c r="AG86" s="37">
        <f>(($Q86 / 240) * _xlfn.XLOOKUP($B86,'Milk Types Nutrition Per Cup'!A:A,'Milk Types Nutrition Per Cup'!D:D,0)) +(($R86 / 240)  * _xlfn.XLOOKUP($C86,'Milk Types Nutrition Per Cup'!A:A,'Milk Types Nutrition Per Cup'!D:D,0)) +(($T86 / 15)  * _xlfn.XLOOKUP($D86,'Liquid Mix In Nutrition'!A:A,'Liquid Mix In Nutrition'!D:D,0))+(($U86 / 15)  * _xlfn.XLOOKUP($E86,'Liquid Mix In Nutrition'!A:A,'Liquid Mix In Nutrition'!D:D,0))+(($V86 / MAX(1, _xlfn.XLOOKUP($F86,'Solid Mix In Nutrition'!A:A,'Solid Mix In Nutrition'!I:I,1)))  * _xlfn.XLOOKUP($F86,'Solid Mix In Nutrition'!A:A,'Solid Mix In Nutrition'!D:D,0))+(($W86 / MAX(1, _xlfn.XLOOKUP($G86,'Solid Mix In Nutrition'!A:A,'Solid Mix In Nutrition'!I:I,1)))  * _xlfn.XLOOKUP($G86,'Solid Mix In Nutrition'!A:A,'Solid Mix In Nutrition'!D:D,0))+(($X86 / 100)  * _xlfn.XLOOKUP($I86,'Sweetener Mix In Nutrition'!A:A,'Sweetener Mix In Nutrition'!D:D,0))+(($Y86 / 100)  * _xlfn.XLOOKUP($J86,'Sweetener Mix In Nutrition'!A:A,'Sweetener Mix In Nutrition'!D:D,0))</f>
        <v>0</v>
      </c>
    </row>
    <row r="87" spans="1:39" x14ac:dyDescent="0.25">
      <c r="AG87" s="37">
        <f>(($Q87 / 240) * _xlfn.XLOOKUP($B87,'Milk Types Nutrition Per Cup'!A:A,'Milk Types Nutrition Per Cup'!D:D,0)) +(($R87 / 240)  * _xlfn.XLOOKUP($C87,'Milk Types Nutrition Per Cup'!A:A,'Milk Types Nutrition Per Cup'!D:D,0)) +(($T87 / 15)  * _xlfn.XLOOKUP($D87,'Liquid Mix In Nutrition'!A:A,'Liquid Mix In Nutrition'!D:D,0))+(($U87 / 15)  * _xlfn.XLOOKUP($E87,'Liquid Mix In Nutrition'!A:A,'Liquid Mix In Nutrition'!D:D,0))+(($V87 / MAX(1, _xlfn.XLOOKUP($F87,'Solid Mix In Nutrition'!A:A,'Solid Mix In Nutrition'!I:I,1)))  * _xlfn.XLOOKUP($F87,'Solid Mix In Nutrition'!A:A,'Solid Mix In Nutrition'!D:D,0))+(($W87 / MAX(1, _xlfn.XLOOKUP($G87,'Solid Mix In Nutrition'!A:A,'Solid Mix In Nutrition'!I:I,1)))  * _xlfn.XLOOKUP($G87,'Solid Mix In Nutrition'!A:A,'Solid Mix In Nutrition'!D:D,0))+(($X87 / 100)  * _xlfn.XLOOKUP($I87,'Sweetener Mix In Nutrition'!A:A,'Sweetener Mix In Nutrition'!D:D,0))+(($Y87 / 100)  * _xlfn.XLOOKUP($J87,'Sweetener Mix In Nutrition'!A:A,'Sweetener Mix In Nutrition'!D:D,0))</f>
        <v>0</v>
      </c>
    </row>
    <row r="88" spans="1:39" x14ac:dyDescent="0.25">
      <c r="AG88" s="37">
        <f>(($Q88 / 240) * _xlfn.XLOOKUP($B88,'Milk Types Nutrition Per Cup'!A:A,'Milk Types Nutrition Per Cup'!D:D,0)) +(($R88 / 240)  * _xlfn.XLOOKUP($C88,'Milk Types Nutrition Per Cup'!A:A,'Milk Types Nutrition Per Cup'!D:D,0)) +(($T88 / 15)  * _xlfn.XLOOKUP($D88,'Liquid Mix In Nutrition'!A:A,'Liquid Mix In Nutrition'!D:D,0))+(($U88 / 15)  * _xlfn.XLOOKUP($E88,'Liquid Mix In Nutrition'!A:A,'Liquid Mix In Nutrition'!D:D,0))+(($V88 / MAX(1, _xlfn.XLOOKUP($F88,'Solid Mix In Nutrition'!A:A,'Solid Mix In Nutrition'!I:I,1)))  * _xlfn.XLOOKUP($F88,'Solid Mix In Nutrition'!A:A,'Solid Mix In Nutrition'!D:D,0))+(($W88 / MAX(1, _xlfn.XLOOKUP($G88,'Solid Mix In Nutrition'!A:A,'Solid Mix In Nutrition'!I:I,1)))  * _xlfn.XLOOKUP($G88,'Solid Mix In Nutrition'!A:A,'Solid Mix In Nutrition'!D:D,0))+(($X88 / 100)  * _xlfn.XLOOKUP($I88,'Sweetener Mix In Nutrition'!A:A,'Sweetener Mix In Nutrition'!D:D,0))+(($Y88 / 100)  * _xlfn.XLOOKUP($J88,'Sweetener Mix In Nutrition'!A:A,'Sweetener Mix In Nutrition'!D:D,0))</f>
        <v>0</v>
      </c>
    </row>
    <row r="89" spans="1:39" x14ac:dyDescent="0.25">
      <c r="AG89" s="37">
        <f>(($Q89 / 240) * _xlfn.XLOOKUP($B89,'Milk Types Nutrition Per Cup'!A:A,'Milk Types Nutrition Per Cup'!D:D,0)) +(($R89 / 240)  * _xlfn.XLOOKUP($C89,'Milk Types Nutrition Per Cup'!A:A,'Milk Types Nutrition Per Cup'!D:D,0)) +(($T89 / 15)  * _xlfn.XLOOKUP($D89,'Liquid Mix In Nutrition'!A:A,'Liquid Mix In Nutrition'!D:D,0))+(($U89 / 15)  * _xlfn.XLOOKUP($E89,'Liquid Mix In Nutrition'!A:A,'Liquid Mix In Nutrition'!D:D,0))+(($V89 / MAX(1, _xlfn.XLOOKUP($F89,'Solid Mix In Nutrition'!A:A,'Solid Mix In Nutrition'!I:I,1)))  * _xlfn.XLOOKUP($F89,'Solid Mix In Nutrition'!A:A,'Solid Mix In Nutrition'!D:D,0))+(($W89 / MAX(1, _xlfn.XLOOKUP($G89,'Solid Mix In Nutrition'!A:A,'Solid Mix In Nutrition'!I:I,1)))  * _xlfn.XLOOKUP($G89,'Solid Mix In Nutrition'!A:A,'Solid Mix In Nutrition'!D:D,0))+(($X89 / 100)  * _xlfn.XLOOKUP($I89,'Sweetener Mix In Nutrition'!A:A,'Sweetener Mix In Nutrition'!D:D,0))+(($Y89 / 100)  * _xlfn.XLOOKUP($J89,'Sweetener Mix In Nutrition'!A:A,'Sweetener Mix In Nutrition'!D:D,0))</f>
        <v>0</v>
      </c>
    </row>
    <row r="90" spans="1:39" x14ac:dyDescent="0.25">
      <c r="AG90" s="37">
        <f>(($Q90 / 240) * _xlfn.XLOOKUP($B90,'Milk Types Nutrition Per Cup'!A:A,'Milk Types Nutrition Per Cup'!D:D,0)) +(($R90 / 240)  * _xlfn.XLOOKUP($C90,'Milk Types Nutrition Per Cup'!A:A,'Milk Types Nutrition Per Cup'!D:D,0)) +(($T90 / 15)  * _xlfn.XLOOKUP($D90,'Liquid Mix In Nutrition'!A:A,'Liquid Mix In Nutrition'!D:D,0))+(($U90 / 15)  * _xlfn.XLOOKUP($E90,'Liquid Mix In Nutrition'!A:A,'Liquid Mix In Nutrition'!D:D,0))+(($V90 / MAX(1, _xlfn.XLOOKUP($F90,'Solid Mix In Nutrition'!A:A,'Solid Mix In Nutrition'!I:I,1)))  * _xlfn.XLOOKUP($F90,'Solid Mix In Nutrition'!A:A,'Solid Mix In Nutrition'!D:D,0))+(($W90 / MAX(1, _xlfn.XLOOKUP($G90,'Solid Mix In Nutrition'!A:A,'Solid Mix In Nutrition'!I:I,1)))  * _xlfn.XLOOKUP($G90,'Solid Mix In Nutrition'!A:A,'Solid Mix In Nutrition'!D:D,0))+(($X90 / 100)  * _xlfn.XLOOKUP($I90,'Sweetener Mix In Nutrition'!A:A,'Sweetener Mix In Nutrition'!D:D,0))+(($Y90 / 100)  * _xlfn.XLOOKUP($J90,'Sweetener Mix In Nutrition'!A:A,'Sweetener Mix In Nutrition'!D:D,0))</f>
        <v>0</v>
      </c>
    </row>
    <row r="91" spans="1:39" x14ac:dyDescent="0.25">
      <c r="AG91" s="37">
        <f>(($Q91 / 240) * _xlfn.XLOOKUP($B91,'Milk Types Nutrition Per Cup'!A:A,'Milk Types Nutrition Per Cup'!D:D,0)) +(($R91 / 240)  * _xlfn.XLOOKUP($C91,'Milk Types Nutrition Per Cup'!A:A,'Milk Types Nutrition Per Cup'!D:D,0)) +(($T91 / 15)  * _xlfn.XLOOKUP($D91,'Liquid Mix In Nutrition'!A:A,'Liquid Mix In Nutrition'!D:D,0))+(($U91 / 15)  * _xlfn.XLOOKUP($E91,'Liquid Mix In Nutrition'!A:A,'Liquid Mix In Nutrition'!D:D,0))+(($V91 / MAX(1, _xlfn.XLOOKUP($F91,'Solid Mix In Nutrition'!A:A,'Solid Mix In Nutrition'!I:I,1)))  * _xlfn.XLOOKUP($F91,'Solid Mix In Nutrition'!A:A,'Solid Mix In Nutrition'!D:D,0))+(($W91 / MAX(1, _xlfn.XLOOKUP($G91,'Solid Mix In Nutrition'!A:A,'Solid Mix In Nutrition'!I:I,1)))  * _xlfn.XLOOKUP($G91,'Solid Mix In Nutrition'!A:A,'Solid Mix In Nutrition'!D:D,0))+(($X91 / 100)  * _xlfn.XLOOKUP($I91,'Sweetener Mix In Nutrition'!A:A,'Sweetener Mix In Nutrition'!D:D,0))+(($Y91 / 100)  * _xlfn.XLOOKUP($J91,'Sweetener Mix In Nutrition'!A:A,'Sweetener Mix In Nutrition'!D:D,0))</f>
        <v>0</v>
      </c>
    </row>
    <row r="92" spans="1:39" x14ac:dyDescent="0.25">
      <c r="AG92" s="37">
        <f>(($Q92 / 240) * _xlfn.XLOOKUP($B92,'Milk Types Nutrition Per Cup'!A:A,'Milk Types Nutrition Per Cup'!D:D,0)) +(($R92 / 240)  * _xlfn.XLOOKUP($C92,'Milk Types Nutrition Per Cup'!A:A,'Milk Types Nutrition Per Cup'!D:D,0)) +(($T92 / 15)  * _xlfn.XLOOKUP($D92,'Liquid Mix In Nutrition'!A:A,'Liquid Mix In Nutrition'!D:D,0))+(($U92 / 15)  * _xlfn.XLOOKUP($E92,'Liquid Mix In Nutrition'!A:A,'Liquid Mix In Nutrition'!D:D,0))+(($V92 / MAX(1, _xlfn.XLOOKUP($F92,'Solid Mix In Nutrition'!A:A,'Solid Mix In Nutrition'!I:I,1)))  * _xlfn.XLOOKUP($F92,'Solid Mix In Nutrition'!A:A,'Solid Mix In Nutrition'!D:D,0))+(($W92 / MAX(1, _xlfn.XLOOKUP($G92,'Solid Mix In Nutrition'!A:A,'Solid Mix In Nutrition'!I:I,1)))  * _xlfn.XLOOKUP($G92,'Solid Mix In Nutrition'!A:A,'Solid Mix In Nutrition'!D:D,0))+(($X92 / 100)  * _xlfn.XLOOKUP($I92,'Sweetener Mix In Nutrition'!A:A,'Sweetener Mix In Nutrition'!D:D,0))+(($Y92 / 100)  * _xlfn.XLOOKUP($J92,'Sweetener Mix In Nutrition'!A:A,'Sweetener Mix In Nutrition'!D:D,0))</f>
        <v>0</v>
      </c>
    </row>
    <row r="93" spans="1:39" x14ac:dyDescent="0.25">
      <c r="AG93" s="37">
        <f>(($Q93 / 240) * _xlfn.XLOOKUP($B93,'Milk Types Nutrition Per Cup'!A:A,'Milk Types Nutrition Per Cup'!D:D,0)) +(($R93 / 240)  * _xlfn.XLOOKUP($C93,'Milk Types Nutrition Per Cup'!A:A,'Milk Types Nutrition Per Cup'!D:D,0)) +(($T93 / 15)  * _xlfn.XLOOKUP($D93,'Liquid Mix In Nutrition'!A:A,'Liquid Mix In Nutrition'!D:D,0))+(($U93 / 15)  * _xlfn.XLOOKUP($E93,'Liquid Mix In Nutrition'!A:A,'Liquid Mix In Nutrition'!D:D,0))+(($V93 / MAX(1, _xlfn.XLOOKUP($F93,'Solid Mix In Nutrition'!A:A,'Solid Mix In Nutrition'!I:I,1)))  * _xlfn.XLOOKUP($F93,'Solid Mix In Nutrition'!A:A,'Solid Mix In Nutrition'!D:D,0))+(($W93 / MAX(1, _xlfn.XLOOKUP($G93,'Solid Mix In Nutrition'!A:A,'Solid Mix In Nutrition'!I:I,1)))  * _xlfn.XLOOKUP($G93,'Solid Mix In Nutrition'!A:A,'Solid Mix In Nutrition'!D:D,0))+(($X93 / 100)  * _xlfn.XLOOKUP($I93,'Sweetener Mix In Nutrition'!A:A,'Sweetener Mix In Nutrition'!D:D,0))+(($Y93 / 100)  * _xlfn.XLOOKUP($J93,'Sweetener Mix In Nutrition'!A:A,'Sweetener Mix In Nutrition'!D:D,0))</f>
        <v>0</v>
      </c>
    </row>
    <row r="94" spans="1:39" x14ac:dyDescent="0.25">
      <c r="AG94" s="37">
        <f>(($Q94 / 240) * _xlfn.XLOOKUP($B94,'Milk Types Nutrition Per Cup'!A:A,'Milk Types Nutrition Per Cup'!D:D,0)) +(($R94 / 240)  * _xlfn.XLOOKUP($C94,'Milk Types Nutrition Per Cup'!A:A,'Milk Types Nutrition Per Cup'!D:D,0)) +(($T94 / 15)  * _xlfn.XLOOKUP($D94,'Liquid Mix In Nutrition'!A:A,'Liquid Mix In Nutrition'!D:D,0))+(($U94 / 15)  * _xlfn.XLOOKUP($E94,'Liquid Mix In Nutrition'!A:A,'Liquid Mix In Nutrition'!D:D,0))+(($V94 / MAX(1, _xlfn.XLOOKUP($F94,'Solid Mix In Nutrition'!A:A,'Solid Mix In Nutrition'!I:I,1)))  * _xlfn.XLOOKUP($F94,'Solid Mix In Nutrition'!A:A,'Solid Mix In Nutrition'!D:D,0))+(($W94 / MAX(1, _xlfn.XLOOKUP($G94,'Solid Mix In Nutrition'!A:A,'Solid Mix In Nutrition'!I:I,1)))  * _xlfn.XLOOKUP($G94,'Solid Mix In Nutrition'!A:A,'Solid Mix In Nutrition'!D:D,0))+(($X94 / 100)  * _xlfn.XLOOKUP($I94,'Sweetener Mix In Nutrition'!A:A,'Sweetener Mix In Nutrition'!D:D,0))+(($Y94 / 100)  * _xlfn.XLOOKUP($J94,'Sweetener Mix In Nutrition'!A:A,'Sweetener Mix In Nutrition'!D:D,0))</f>
        <v>0</v>
      </c>
    </row>
    <row r="95" spans="1:39" x14ac:dyDescent="0.25">
      <c r="AG95" s="37">
        <f>(($Q95 / 240) * _xlfn.XLOOKUP($B95,'Milk Types Nutrition Per Cup'!A:A,'Milk Types Nutrition Per Cup'!D:D,0)) +(($R95 / 240)  * _xlfn.XLOOKUP($C95,'Milk Types Nutrition Per Cup'!A:A,'Milk Types Nutrition Per Cup'!D:D,0)) +(($T95 / 15)  * _xlfn.XLOOKUP($D95,'Liquid Mix In Nutrition'!A:A,'Liquid Mix In Nutrition'!D:D,0))+(($U95 / 15)  * _xlfn.XLOOKUP($E95,'Liquid Mix In Nutrition'!A:A,'Liquid Mix In Nutrition'!D:D,0))+(($V95 / MAX(1, _xlfn.XLOOKUP($F95,'Solid Mix In Nutrition'!A:A,'Solid Mix In Nutrition'!I:I,1)))  * _xlfn.XLOOKUP($F95,'Solid Mix In Nutrition'!A:A,'Solid Mix In Nutrition'!D:D,0))+(($W95 / MAX(1, _xlfn.XLOOKUP($G95,'Solid Mix In Nutrition'!A:A,'Solid Mix In Nutrition'!I:I,1)))  * _xlfn.XLOOKUP($G95,'Solid Mix In Nutrition'!A:A,'Solid Mix In Nutrition'!D:D,0))+(($X95 / 100)  * _xlfn.XLOOKUP($I95,'Sweetener Mix In Nutrition'!A:A,'Sweetener Mix In Nutrition'!D:D,0))+(($Y95 / 100)  * _xlfn.XLOOKUP($J95,'Sweetener Mix In Nutrition'!A:A,'Sweetener Mix In Nutrition'!D:D,0))</f>
        <v>0</v>
      </c>
    </row>
    <row r="96" spans="1:39" x14ac:dyDescent="0.25">
      <c r="AG96" s="37">
        <f>(($Q96 / 240) * _xlfn.XLOOKUP($B96,'Milk Types Nutrition Per Cup'!A:A,'Milk Types Nutrition Per Cup'!D:D,0)) +(($R96 / 240)  * _xlfn.XLOOKUP($C96,'Milk Types Nutrition Per Cup'!A:A,'Milk Types Nutrition Per Cup'!D:D,0)) +(($T96 / 15)  * _xlfn.XLOOKUP($D96,'Liquid Mix In Nutrition'!A:A,'Liquid Mix In Nutrition'!D:D,0))+(($U96 / 15)  * _xlfn.XLOOKUP($E96,'Liquid Mix In Nutrition'!A:A,'Liquid Mix In Nutrition'!D:D,0))+(($V96 / MAX(1, _xlfn.XLOOKUP($F96,'Solid Mix In Nutrition'!A:A,'Solid Mix In Nutrition'!I:I,1)))  * _xlfn.XLOOKUP($F96,'Solid Mix In Nutrition'!A:A,'Solid Mix In Nutrition'!D:D,0))+(($W96 / MAX(1, _xlfn.XLOOKUP($G96,'Solid Mix In Nutrition'!A:A,'Solid Mix In Nutrition'!I:I,1)))  * _xlfn.XLOOKUP($G96,'Solid Mix In Nutrition'!A:A,'Solid Mix In Nutrition'!D:D,0))+(($X96 / 100)  * _xlfn.XLOOKUP($I96,'Sweetener Mix In Nutrition'!A:A,'Sweetener Mix In Nutrition'!D:D,0))+(($Y96 / 100)  * _xlfn.XLOOKUP($J96,'Sweetener Mix In Nutrition'!A:A,'Sweetener Mix In Nutrition'!D:D,0))</f>
        <v>0</v>
      </c>
    </row>
    <row r="97" spans="33:33" x14ac:dyDescent="0.25">
      <c r="AG97" s="37">
        <f>(($Q97 / 240) * _xlfn.XLOOKUP($B97,'Milk Types Nutrition Per Cup'!A:A,'Milk Types Nutrition Per Cup'!D:D,0)) +(($R97 / 240)  * _xlfn.XLOOKUP($C97,'Milk Types Nutrition Per Cup'!A:A,'Milk Types Nutrition Per Cup'!D:D,0)) +(($T97 / 15)  * _xlfn.XLOOKUP($D97,'Liquid Mix In Nutrition'!A:A,'Liquid Mix In Nutrition'!D:D,0))+(($U97 / 15)  * _xlfn.XLOOKUP($E97,'Liquid Mix In Nutrition'!A:A,'Liquid Mix In Nutrition'!D:D,0))+(($V97 / MAX(1, _xlfn.XLOOKUP($F97,'Solid Mix In Nutrition'!A:A,'Solid Mix In Nutrition'!I:I,1)))  * _xlfn.XLOOKUP($F97,'Solid Mix In Nutrition'!A:A,'Solid Mix In Nutrition'!D:D,0))+(($W97 / MAX(1, _xlfn.XLOOKUP($G97,'Solid Mix In Nutrition'!A:A,'Solid Mix In Nutrition'!I:I,1)))  * _xlfn.XLOOKUP($G97,'Solid Mix In Nutrition'!A:A,'Solid Mix In Nutrition'!D:D,0))+(($X97 / 100)  * _xlfn.XLOOKUP($I97,'Sweetener Mix In Nutrition'!A:A,'Sweetener Mix In Nutrition'!D:D,0))+(($Y97 / 100)  * _xlfn.XLOOKUP($J97,'Sweetener Mix In Nutrition'!A:A,'Sweetener Mix In Nutrition'!D:D,0))</f>
        <v>0</v>
      </c>
    </row>
    <row r="98" spans="33:33" x14ac:dyDescent="0.25">
      <c r="AG98" s="37">
        <f>(($Q98 / 240) * _xlfn.XLOOKUP($B98,'Milk Types Nutrition Per Cup'!A:A,'Milk Types Nutrition Per Cup'!D:D,0)) +(($R98 / 240)  * _xlfn.XLOOKUP($C98,'Milk Types Nutrition Per Cup'!A:A,'Milk Types Nutrition Per Cup'!D:D,0)) +(($T98 / 15)  * _xlfn.XLOOKUP($D98,'Liquid Mix In Nutrition'!A:A,'Liquid Mix In Nutrition'!D:D,0))+(($U98 / 15)  * _xlfn.XLOOKUP($E98,'Liquid Mix In Nutrition'!A:A,'Liquid Mix In Nutrition'!D:D,0))+(($V98 / MAX(1, _xlfn.XLOOKUP($F98,'Solid Mix In Nutrition'!A:A,'Solid Mix In Nutrition'!I:I,1)))  * _xlfn.XLOOKUP($F98,'Solid Mix In Nutrition'!A:A,'Solid Mix In Nutrition'!D:D,0))+(($W98 / MAX(1, _xlfn.XLOOKUP($G98,'Solid Mix In Nutrition'!A:A,'Solid Mix In Nutrition'!I:I,1)))  * _xlfn.XLOOKUP($G98,'Solid Mix In Nutrition'!A:A,'Solid Mix In Nutrition'!D:D,0))+(($X98 / 100)  * _xlfn.XLOOKUP($I98,'Sweetener Mix In Nutrition'!A:A,'Sweetener Mix In Nutrition'!D:D,0))+(($Y98 / 100)  * _xlfn.XLOOKUP($J98,'Sweetener Mix In Nutrition'!A:A,'Sweetener Mix In Nutrition'!D:D,0))</f>
        <v>0</v>
      </c>
    </row>
    <row r="99" spans="33:33" x14ac:dyDescent="0.25">
      <c r="AG99" s="37">
        <f>(($Q99 / 240) * _xlfn.XLOOKUP($B99,'Milk Types Nutrition Per Cup'!A:A,'Milk Types Nutrition Per Cup'!D:D,0)) +(($R99 / 240)  * _xlfn.XLOOKUP($C99,'Milk Types Nutrition Per Cup'!A:A,'Milk Types Nutrition Per Cup'!D:D,0)) +(($T99 / 15)  * _xlfn.XLOOKUP($D99,'Liquid Mix In Nutrition'!A:A,'Liquid Mix In Nutrition'!D:D,0))+(($U99 / 15)  * _xlfn.XLOOKUP($E99,'Liquid Mix In Nutrition'!A:A,'Liquid Mix In Nutrition'!D:D,0))+(($V99 / MAX(1, _xlfn.XLOOKUP($F99,'Solid Mix In Nutrition'!A:A,'Solid Mix In Nutrition'!I:I,1)))  * _xlfn.XLOOKUP($F99,'Solid Mix In Nutrition'!A:A,'Solid Mix In Nutrition'!D:D,0))+(($W99 / MAX(1, _xlfn.XLOOKUP($G99,'Solid Mix In Nutrition'!A:A,'Solid Mix In Nutrition'!I:I,1)))  * _xlfn.XLOOKUP($G99,'Solid Mix In Nutrition'!A:A,'Solid Mix In Nutrition'!D:D,0))+(($X99 / 100)  * _xlfn.XLOOKUP($I99,'Sweetener Mix In Nutrition'!A:A,'Sweetener Mix In Nutrition'!D:D,0))+(($Y99 / 100)  * _xlfn.XLOOKUP($J99,'Sweetener Mix In Nutrition'!A:A,'Sweetener Mix In Nutrition'!D:D,0))</f>
        <v>0</v>
      </c>
    </row>
    <row r="100" spans="33:33" x14ac:dyDescent="0.25">
      <c r="AG100" s="37">
        <f>(($Q100 / 240) * _xlfn.XLOOKUP($B100,'Milk Types Nutrition Per Cup'!A:A,'Milk Types Nutrition Per Cup'!D:D,0)) +(($R100 / 240)  * _xlfn.XLOOKUP($C100,'Milk Types Nutrition Per Cup'!A:A,'Milk Types Nutrition Per Cup'!D:D,0)) +(($T100 / 15)  * _xlfn.XLOOKUP($D100,'Liquid Mix In Nutrition'!A:A,'Liquid Mix In Nutrition'!D:D,0))+(($U100 / 15)  * _xlfn.XLOOKUP($E100,'Liquid Mix In Nutrition'!A:A,'Liquid Mix In Nutrition'!D:D,0))+(($V100 / MAX(1, _xlfn.XLOOKUP($F100,'Solid Mix In Nutrition'!A:A,'Solid Mix In Nutrition'!I:I,1)))  * _xlfn.XLOOKUP($F100,'Solid Mix In Nutrition'!A:A,'Solid Mix In Nutrition'!D:D,0))+(($W100 / MAX(1, _xlfn.XLOOKUP($G100,'Solid Mix In Nutrition'!A:A,'Solid Mix In Nutrition'!I:I,1)))  * _xlfn.XLOOKUP($G100,'Solid Mix In Nutrition'!A:A,'Solid Mix In Nutrition'!D:D,0))+(($X100 / 100)  * _xlfn.XLOOKUP($I100,'Sweetener Mix In Nutrition'!A:A,'Sweetener Mix In Nutrition'!D:D,0))+(($Y100 / 100)  * _xlfn.XLOOKUP($J100,'Sweetener Mix In Nutrition'!A:A,'Sweetener Mix In Nutrition'!D:D,0))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63886C01-0DF4-41D3-9D6D-7851DB92E751}">
          <x14:formula1>
            <xm:f>'Sweetener Mix In Nutrition'!$A:$A</xm:f>
          </x14:formula1>
          <xm:sqref>I84:J84 I82:I248 J82:J1048576 I79:J82 I66:J77 I2:J64</xm:sqref>
        </x14:dataValidation>
        <x14:dataValidation type="list" allowBlank="1" showInputMessage="1" showErrorMessage="1" xr:uid="{4ADC6732-AC6C-4420-AB53-55B82A2FBBD3}">
          <x14:formula1>
            <xm:f>'Milk Types Nutrition Per Cup'!$A:$A</xm:f>
          </x14:formula1>
          <xm:sqref>B54:C54 B84:C84 B79:C82 B55 B58:C64 B77:C77 B66:C75 B2:B51 B56:C56 C2:C52</xm:sqref>
        </x14:dataValidation>
        <x14:dataValidation type="list" allowBlank="1" showInputMessage="1" xr:uid="{32EC30D9-F141-4124-A93C-7BF3ADE074B6}">
          <x14:formula1>
            <xm:f>Specs!$F:$F</xm:f>
          </x14:formula1>
          <xm:sqref>I249:I258 O84:P84 O66:P77 O80:P80 O82:P82 P79:P1048576 O79:O218 O2:P64</xm:sqref>
        </x14:dataValidation>
        <x14:dataValidation type="list" allowBlank="1" showInputMessage="1" showErrorMessage="1" xr:uid="{4360A2B6-95C4-40B8-9794-0A89A1B2D9D2}">
          <x14:formula1>
            <xm:f>Specs!$A:$A</xm:f>
          </x14:formula1>
          <xm:sqref>L44 M44:M45 K54 L47:M47 K56 K2:K52 K77 K58:K64 K84 K79:K82 K66:K75</xm:sqref>
        </x14:dataValidation>
        <x14:dataValidation type="list" allowBlank="1" showInputMessage="1" showErrorMessage="1" xr:uid="{13338258-A83E-45EB-ACDF-E780D9A944EE}">
          <x14:formula1>
            <xm:f>Specs!$H:$H</xm:f>
          </x14:formula1>
          <xm:sqref>N48:N52 N45:N46 N54 N56 N2:N43 N77 N58:N64 N84 N79:N82 N66:N75</xm:sqref>
        </x14:dataValidation>
        <x14:dataValidation type="list" allowBlank="1" showInputMessage="1" xr:uid="{F7AA8F27-6B51-4EC5-A735-6C08DA390176}">
          <x14:formula1>
            <xm:f>Specs!$D:$D</xm:f>
          </x14:formula1>
          <xm:sqref>L45:L46 M46 L54:M54 L48:M52 L56:M56 L2:M43 L77:M77 L58:M64 L84:M84 L79:M82 L66:M75</xm:sqref>
        </x14:dataValidation>
        <x14:dataValidation type="list" showInputMessage="1" xr:uid="{A0FD834B-977A-43C7-862B-DE67FE8CAD3F}">
          <x14:formula1>
            <xm:f>'Solid Mix In Nutrition'!$A:$A</xm:f>
          </x14:formula1>
          <xm:sqref>F2:H63 F84:G84 F79:G82 F77:G77 F64:G64 F66:G75</xm:sqref>
        </x14:dataValidation>
        <x14:dataValidation type="list" allowBlank="1" xr:uid="{6AA4691F-18C9-48B9-B9C6-4BB5471D1D9D}">
          <x14:formula1>
            <xm:f>'Liquid Mix In Nutrition'!$A:$A</xm:f>
          </x14:formula1>
          <xm:sqref>E2:E63 D79:E82 D84:E84 D64:E64 D77:E77 D66:E75</xm:sqref>
        </x14:dataValidation>
        <x14:dataValidation type="list" allowBlank="1" showInputMessage="1" showErrorMessage="1" xr:uid="{DEC3A93B-2FB8-4111-9D07-92FC444E10C5}">
          <x14:formula1>
            <xm:f>'Liquid Mix In Nutrition'!$A:$A</xm:f>
          </x14:formula1>
          <xm:sqref>D56 D58:D63 D2:D54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EFE5F-DF42-4C95-AEFC-E41FB8B0EC64}">
  <sheetPr codeName="Sheet4"/>
  <dimension ref="A1:V10"/>
  <sheetViews>
    <sheetView workbookViewId="0">
      <selection activeCell="H24" sqref="H24"/>
    </sheetView>
  </sheetViews>
  <sheetFormatPr defaultRowHeight="15" x14ac:dyDescent="0.25"/>
  <cols>
    <col min="1" max="1" width="10.7109375" bestFit="1" customWidth="1"/>
    <col min="3" max="3" width="21.85546875" bestFit="1" customWidth="1"/>
    <col min="4" max="4" width="28.7109375" bestFit="1" customWidth="1"/>
    <col min="6" max="6" width="28.7109375" bestFit="1" customWidth="1"/>
    <col min="8" max="8" width="12.7109375" bestFit="1" customWidth="1"/>
    <col min="11" max="11" width="26.28515625" bestFit="1" customWidth="1"/>
    <col min="12" max="12" width="34" customWidth="1"/>
    <col min="15" max="15" width="34.7109375" bestFit="1" customWidth="1"/>
    <col min="17" max="17" width="15.5703125" bestFit="1" customWidth="1"/>
    <col min="18" max="18" width="25.5703125" bestFit="1" customWidth="1"/>
    <col min="19" max="19" width="14.7109375" bestFit="1" customWidth="1"/>
    <col min="20" max="20" width="17" bestFit="1" customWidth="1"/>
  </cols>
  <sheetData>
    <row r="1" spans="1:22" x14ac:dyDescent="0.25">
      <c r="B1" t="s">
        <v>857</v>
      </c>
      <c r="C1" t="s">
        <v>856</v>
      </c>
      <c r="D1" t="s">
        <v>863</v>
      </c>
      <c r="F1" t="s">
        <v>861</v>
      </c>
      <c r="H1" t="s">
        <v>862</v>
      </c>
      <c r="K1" t="s">
        <v>149</v>
      </c>
      <c r="L1" t="s">
        <v>874</v>
      </c>
      <c r="N1" t="s">
        <v>171</v>
      </c>
      <c r="Q1" s="26" t="s">
        <v>855</v>
      </c>
      <c r="R1" t="s">
        <v>859</v>
      </c>
      <c r="S1" t="s">
        <v>860</v>
      </c>
      <c r="T1" t="s">
        <v>205</v>
      </c>
      <c r="V1" t="s">
        <v>417</v>
      </c>
    </row>
    <row r="2" spans="1:22" x14ac:dyDescent="0.25">
      <c r="A2" t="s">
        <v>4</v>
      </c>
      <c r="B2">
        <v>473</v>
      </c>
      <c r="C2">
        <v>0.5</v>
      </c>
      <c r="D2" t="s">
        <v>44</v>
      </c>
      <c r="E2">
        <v>0</v>
      </c>
      <c r="F2" t="s">
        <v>44</v>
      </c>
      <c r="G2">
        <v>0</v>
      </c>
      <c r="H2" t="s">
        <v>44</v>
      </c>
      <c r="I2">
        <v>0</v>
      </c>
      <c r="K2" t="s">
        <v>152</v>
      </c>
      <c r="L2" s="9">
        <v>2.79</v>
      </c>
      <c r="N2">
        <v>2</v>
      </c>
      <c r="O2" t="s">
        <v>45</v>
      </c>
      <c r="Q2" s="9">
        <f>ROUNDUP(SUM(R2:T2),0)</f>
        <v>1</v>
      </c>
      <c r="R2" s="9">
        <f>0.12*$R$5</f>
        <v>1.5599999999999999E-2</v>
      </c>
      <c r="S2" s="9">
        <f>(0.06*48)*$R$5</f>
        <v>0.37440000000000001</v>
      </c>
      <c r="T2" s="9">
        <f>(16.99*1.07)/50</f>
        <v>0.36358599999999996</v>
      </c>
      <c r="V2" s="9">
        <f>1.27/5</f>
        <v>0.254</v>
      </c>
    </row>
    <row r="3" spans="1:22" x14ac:dyDescent="0.25">
      <c r="A3" t="s">
        <v>43</v>
      </c>
      <c r="B3">
        <v>946</v>
      </c>
      <c r="C3">
        <v>1</v>
      </c>
      <c r="D3" t="s">
        <v>175</v>
      </c>
      <c r="E3">
        <v>0.25</v>
      </c>
      <c r="F3" t="s">
        <v>448</v>
      </c>
      <c r="G3">
        <v>0.25</v>
      </c>
      <c r="H3" t="s">
        <v>155</v>
      </c>
      <c r="I3">
        <v>0.1</v>
      </c>
      <c r="K3" t="s">
        <v>153</v>
      </c>
      <c r="L3">
        <v>20.5</v>
      </c>
      <c r="V3" s="9">
        <f>(2.99*1.07)/5</f>
        <v>0.6398600000000001</v>
      </c>
    </row>
    <row r="4" spans="1:22" x14ac:dyDescent="0.25">
      <c r="A4" t="s">
        <v>340</v>
      </c>
      <c r="B4">
        <f>360+720+225+15+473</f>
        <v>1793</v>
      </c>
      <c r="C4">
        <v>2</v>
      </c>
      <c r="D4" t="s">
        <v>450</v>
      </c>
      <c r="E4">
        <v>1</v>
      </c>
      <c r="F4" t="s">
        <v>158</v>
      </c>
      <c r="G4">
        <v>0.5</v>
      </c>
      <c r="H4" t="s">
        <v>154</v>
      </c>
      <c r="I4">
        <v>0.15</v>
      </c>
      <c r="R4" t="s">
        <v>858</v>
      </c>
      <c r="V4" s="9">
        <v>1.37</v>
      </c>
    </row>
    <row r="5" spans="1:22" x14ac:dyDescent="0.25">
      <c r="D5" t="s">
        <v>46</v>
      </c>
      <c r="E5">
        <v>2</v>
      </c>
      <c r="F5" t="s">
        <v>769</v>
      </c>
      <c r="G5">
        <v>0.75</v>
      </c>
      <c r="H5" t="s">
        <v>156</v>
      </c>
      <c r="I5">
        <v>0.25</v>
      </c>
      <c r="R5">
        <v>0.13</v>
      </c>
    </row>
    <row r="6" spans="1:22" x14ac:dyDescent="0.25">
      <c r="D6" t="s">
        <v>10</v>
      </c>
      <c r="E6">
        <v>4</v>
      </c>
      <c r="F6" t="s">
        <v>173</v>
      </c>
      <c r="G6">
        <v>1</v>
      </c>
      <c r="H6" t="s">
        <v>206</v>
      </c>
      <c r="I6">
        <v>0.35</v>
      </c>
    </row>
    <row r="7" spans="1:22" x14ac:dyDescent="0.25">
      <c r="D7" t="s">
        <v>452</v>
      </c>
      <c r="E7">
        <v>6</v>
      </c>
      <c r="F7" t="s">
        <v>174</v>
      </c>
      <c r="G7">
        <v>2</v>
      </c>
      <c r="H7" t="s">
        <v>47</v>
      </c>
      <c r="I7">
        <v>0.5</v>
      </c>
    </row>
    <row r="8" spans="1:22" x14ac:dyDescent="0.25">
      <c r="D8" t="s">
        <v>451</v>
      </c>
      <c r="E8">
        <v>8</v>
      </c>
    </row>
    <row r="9" spans="1:22" x14ac:dyDescent="0.25">
      <c r="D9" t="s">
        <v>48</v>
      </c>
      <c r="E9">
        <v>12</v>
      </c>
    </row>
    <row r="10" spans="1:22" x14ac:dyDescent="0.25">
      <c r="D10" t="s">
        <v>50</v>
      </c>
      <c r="E10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533D7-C6AE-4007-A2A6-DD5D6ABFED01}">
  <sheetPr codeName="Sheet5"/>
  <dimension ref="A1:R24"/>
  <sheetViews>
    <sheetView zoomScale="106" workbookViewId="0">
      <selection activeCell="S8" sqref="S8"/>
    </sheetView>
  </sheetViews>
  <sheetFormatPr defaultRowHeight="15" x14ac:dyDescent="0.25"/>
  <cols>
    <col min="1" max="1" width="29.7109375" bestFit="1" customWidth="1"/>
    <col min="2" max="2" width="11.7109375" bestFit="1" customWidth="1"/>
    <col min="3" max="3" width="12" bestFit="1" customWidth="1"/>
    <col min="4" max="4" width="18.7109375" bestFit="1" customWidth="1"/>
    <col min="5" max="6" width="12" bestFit="1" customWidth="1"/>
    <col min="7" max="7" width="14" bestFit="1" customWidth="1"/>
    <col min="8" max="8" width="14.42578125" bestFit="1" customWidth="1"/>
    <col min="15" max="15" width="60.85546875" bestFit="1" customWidth="1"/>
    <col min="16" max="16" width="25.7109375" bestFit="1" customWidth="1"/>
    <col min="17" max="17" width="23.28515625" bestFit="1" customWidth="1"/>
  </cols>
  <sheetData>
    <row r="1" spans="1:18" x14ac:dyDescent="0.25">
      <c r="A1" t="s">
        <v>51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J1" t="s">
        <v>584</v>
      </c>
      <c r="K1" t="s">
        <v>879</v>
      </c>
      <c r="L1" t="s">
        <v>880</v>
      </c>
      <c r="O1" t="s">
        <v>59</v>
      </c>
      <c r="P1" t="s">
        <v>60</v>
      </c>
      <c r="Q1" t="s">
        <v>61</v>
      </c>
      <c r="R1" t="s">
        <v>883</v>
      </c>
    </row>
    <row r="2" spans="1:18" x14ac:dyDescent="0.25">
      <c r="A2" t="s">
        <v>62</v>
      </c>
      <c r="B2">
        <v>800</v>
      </c>
      <c r="C2">
        <v>96</v>
      </c>
      <c r="D2">
        <v>0</v>
      </c>
      <c r="E2">
        <v>0</v>
      </c>
      <c r="F2" s="9">
        <f>$G2*(240/$H2)</f>
        <v>1.1276190476190477</v>
      </c>
      <c r="G2" s="9">
        <f>8.88</f>
        <v>8.8800000000000008</v>
      </c>
      <c r="H2">
        <v>1890</v>
      </c>
      <c r="I2" t="s">
        <v>63</v>
      </c>
      <c r="O2" s="29" t="s">
        <v>430</v>
      </c>
      <c r="P2" t="s">
        <v>62</v>
      </c>
      <c r="Q2" t="s">
        <v>65</v>
      </c>
    </row>
    <row r="3" spans="1:18" x14ac:dyDescent="0.25">
      <c r="A3" t="s">
        <v>65</v>
      </c>
      <c r="B3">
        <v>320</v>
      </c>
      <c r="C3">
        <v>28</v>
      </c>
      <c r="D3">
        <v>8</v>
      </c>
      <c r="E3">
        <v>8</v>
      </c>
      <c r="F3" s="9">
        <f t="shared" ref="F3:F10" si="0">$G3*(240/$H3)</f>
        <v>0.56888888888888889</v>
      </c>
      <c r="G3" s="9">
        <f>4.48</f>
        <v>4.4800000000000004</v>
      </c>
      <c r="H3">
        <v>1890</v>
      </c>
      <c r="I3" t="s">
        <v>63</v>
      </c>
      <c r="O3" t="s">
        <v>7</v>
      </c>
      <c r="P3" t="s">
        <v>62</v>
      </c>
      <c r="Q3" t="s">
        <v>68</v>
      </c>
    </row>
    <row r="4" spans="1:18" x14ac:dyDescent="0.25">
      <c r="A4" t="s">
        <v>66</v>
      </c>
      <c r="B4">
        <v>160</v>
      </c>
      <c r="C4">
        <v>0</v>
      </c>
      <c r="D4">
        <v>8</v>
      </c>
      <c r="E4">
        <v>16</v>
      </c>
      <c r="F4" s="9">
        <f t="shared" si="0"/>
        <v>0.70782241014799152</v>
      </c>
      <c r="G4" s="9">
        <f>2.79</f>
        <v>2.79</v>
      </c>
      <c r="H4">
        <v>946</v>
      </c>
      <c r="I4" t="s">
        <v>67</v>
      </c>
      <c r="O4" t="s">
        <v>64</v>
      </c>
      <c r="P4" t="s">
        <v>62</v>
      </c>
      <c r="Q4" t="s">
        <v>65</v>
      </c>
      <c r="R4" t="s">
        <v>884</v>
      </c>
    </row>
    <row r="5" spans="1:18" x14ac:dyDescent="0.25">
      <c r="A5" t="s">
        <v>69</v>
      </c>
      <c r="B5">
        <v>90</v>
      </c>
      <c r="C5">
        <v>0</v>
      </c>
      <c r="D5">
        <v>8</v>
      </c>
      <c r="E5">
        <v>12</v>
      </c>
      <c r="F5" s="9">
        <f t="shared" si="0"/>
        <v>0.1384126984126984</v>
      </c>
      <c r="G5" s="9">
        <f>1.09</f>
        <v>1.0900000000000001</v>
      </c>
      <c r="H5">
        <v>1890</v>
      </c>
      <c r="I5" t="s">
        <v>67</v>
      </c>
      <c r="O5" t="s">
        <v>272</v>
      </c>
      <c r="P5" t="s">
        <v>65</v>
      </c>
      <c r="Q5" t="s">
        <v>273</v>
      </c>
    </row>
    <row r="6" spans="1:18" x14ac:dyDescent="0.25">
      <c r="A6" t="s">
        <v>70</v>
      </c>
      <c r="B6">
        <v>120</v>
      </c>
      <c r="C6">
        <v>4.5</v>
      </c>
      <c r="D6">
        <v>13</v>
      </c>
      <c r="E6">
        <v>6</v>
      </c>
      <c r="F6" s="9">
        <f t="shared" si="0"/>
        <v>0.69954456733897208</v>
      </c>
      <c r="G6" s="9">
        <f>4.48</f>
        <v>4.4800000000000004</v>
      </c>
      <c r="H6">
        <v>1537</v>
      </c>
      <c r="O6" s="13" t="s">
        <v>521</v>
      </c>
      <c r="P6" t="s">
        <v>66</v>
      </c>
      <c r="Q6" t="s">
        <v>283</v>
      </c>
    </row>
    <row r="7" spans="1:18" x14ac:dyDescent="0.25">
      <c r="A7" t="s">
        <v>73</v>
      </c>
      <c r="B7">
        <v>799</v>
      </c>
      <c r="C7">
        <v>18.45</v>
      </c>
      <c r="D7">
        <v>18.45</v>
      </c>
      <c r="E7">
        <v>110.7</v>
      </c>
      <c r="F7" s="9">
        <f>$G7*(240/$H7)</f>
        <v>1.0579345088161209</v>
      </c>
      <c r="G7" s="9">
        <f>1.75</f>
        <v>1.75</v>
      </c>
      <c r="H7">
        <v>397</v>
      </c>
      <c r="O7" t="s">
        <v>230</v>
      </c>
      <c r="P7" t="s">
        <v>71</v>
      </c>
      <c r="Q7" t="s">
        <v>177</v>
      </c>
    </row>
    <row r="8" spans="1:18" x14ac:dyDescent="0.25">
      <c r="A8" t="s">
        <v>74</v>
      </c>
      <c r="B8">
        <v>320</v>
      </c>
      <c r="C8">
        <v>16</v>
      </c>
      <c r="D8">
        <v>16</v>
      </c>
      <c r="E8">
        <v>24</v>
      </c>
      <c r="F8" s="9">
        <f>$G8*(240/$H8)</f>
        <v>0.80677966101694909</v>
      </c>
      <c r="G8" s="9">
        <f>1.19</f>
        <v>1.19</v>
      </c>
      <c r="H8">
        <v>354</v>
      </c>
      <c r="O8" t="s">
        <v>776</v>
      </c>
      <c r="P8" t="s">
        <v>177</v>
      </c>
      <c r="Q8" t="s">
        <v>777</v>
      </c>
    </row>
    <row r="9" spans="1:18" x14ac:dyDescent="0.25">
      <c r="A9" t="s">
        <v>273</v>
      </c>
      <c r="B9" s="6">
        <f>90*(240/28)</f>
        <v>771.42857142857144</v>
      </c>
      <c r="C9" s="6">
        <f>9*(240/28)</f>
        <v>77.142857142857139</v>
      </c>
      <c r="D9" s="6">
        <f>2*(240/28)</f>
        <v>17.142857142857142</v>
      </c>
      <c r="E9" s="6">
        <f>1*(240/28)</f>
        <v>8.5714285714285712</v>
      </c>
      <c r="F9" s="9">
        <f t="shared" si="0"/>
        <v>1.8584070796460179</v>
      </c>
      <c r="G9" s="9">
        <f>1.75</f>
        <v>1.75</v>
      </c>
      <c r="H9">
        <v>226</v>
      </c>
      <c r="I9" t="s">
        <v>67</v>
      </c>
    </row>
    <row r="10" spans="1:18" x14ac:dyDescent="0.25">
      <c r="A10" t="s">
        <v>68</v>
      </c>
      <c r="B10">
        <v>130</v>
      </c>
      <c r="C10">
        <v>5</v>
      </c>
      <c r="D10">
        <v>8</v>
      </c>
      <c r="E10">
        <v>12</v>
      </c>
      <c r="F10" s="9">
        <f t="shared" si="0"/>
        <v>0.22984126984126985</v>
      </c>
      <c r="G10" s="9">
        <f>1.81</f>
        <v>1.81</v>
      </c>
      <c r="H10">
        <v>1890</v>
      </c>
      <c r="I10" t="s">
        <v>67</v>
      </c>
    </row>
    <row r="11" spans="1:18" x14ac:dyDescent="0.25">
      <c r="A11" t="s">
        <v>76</v>
      </c>
      <c r="B11" s="6">
        <f>280*(240/284)</f>
        <v>236.61971830985914</v>
      </c>
      <c r="C11" s="6">
        <f>1.5*(240/284)</f>
        <v>1.267605633802817</v>
      </c>
      <c r="D11">
        <v>0</v>
      </c>
      <c r="E11">
        <f>28*(240/284)</f>
        <v>23.661971830985916</v>
      </c>
      <c r="F11" s="9">
        <f>$G11*(240/$H11)</f>
        <v>0</v>
      </c>
      <c r="H11">
        <v>284</v>
      </c>
      <c r="I11" t="s">
        <v>77</v>
      </c>
    </row>
    <row r="12" spans="1:18" x14ac:dyDescent="0.25">
      <c r="A12" t="s">
        <v>71</v>
      </c>
      <c r="B12">
        <f>45*16</f>
        <v>720</v>
      </c>
      <c r="C12">
        <f>4.5*16</f>
        <v>72</v>
      </c>
      <c r="D12">
        <v>0</v>
      </c>
      <c r="E12">
        <v>0</v>
      </c>
      <c r="F12" s="9">
        <f>$G12*(240/$H12)</f>
        <v>2.049264</v>
      </c>
      <c r="G12">
        <f>3.99*1.07</f>
        <v>4.2693000000000003</v>
      </c>
      <c r="H12">
        <v>500</v>
      </c>
      <c r="I12" t="s">
        <v>78</v>
      </c>
    </row>
    <row r="13" spans="1:18" x14ac:dyDescent="0.25">
      <c r="A13" t="s">
        <v>72</v>
      </c>
      <c r="B13">
        <v>80</v>
      </c>
      <c r="C13">
        <v>2.5</v>
      </c>
      <c r="D13">
        <v>1</v>
      </c>
      <c r="E13">
        <v>13</v>
      </c>
      <c r="F13" s="9">
        <f t="shared" ref="F13:F19" si="1">$G13*(240/$H13)</f>
        <v>0.42920634920634915</v>
      </c>
      <c r="G13">
        <v>3.38</v>
      </c>
      <c r="H13">
        <v>1890</v>
      </c>
    </row>
    <row r="14" spans="1:18" x14ac:dyDescent="0.25">
      <c r="A14" t="s">
        <v>81</v>
      </c>
      <c r="B14">
        <f>60*(16)</f>
        <v>960</v>
      </c>
      <c r="C14">
        <f>1.5*(16)</f>
        <v>24</v>
      </c>
      <c r="D14">
        <v>0</v>
      </c>
      <c r="E14">
        <f>9*(16)</f>
        <v>144</v>
      </c>
      <c r="F14" s="9">
        <f t="shared" si="1"/>
        <v>3.6084507042253517</v>
      </c>
      <c r="G14">
        <v>4.2699999999999996</v>
      </c>
      <c r="H14">
        <v>284</v>
      </c>
      <c r="I14" t="s">
        <v>78</v>
      </c>
    </row>
    <row r="15" spans="1:18" x14ac:dyDescent="0.25">
      <c r="A15" t="s">
        <v>177</v>
      </c>
      <c r="B15">
        <f>15*16</f>
        <v>240</v>
      </c>
      <c r="C15">
        <f>1.5*16</f>
        <v>24</v>
      </c>
      <c r="D15">
        <v>0</v>
      </c>
      <c r="E15">
        <v>0</v>
      </c>
      <c r="F15" s="9">
        <f t="shared" si="1"/>
        <v>1.46892177589852</v>
      </c>
      <c r="G15">
        <v>5.79</v>
      </c>
      <c r="H15">
        <v>946</v>
      </c>
      <c r="I15" t="s">
        <v>178</v>
      </c>
    </row>
    <row r="16" spans="1:18" x14ac:dyDescent="0.25">
      <c r="A16" t="s">
        <v>283</v>
      </c>
      <c r="B16">
        <f>25*(240/30)</f>
        <v>200</v>
      </c>
      <c r="C16">
        <f>0*(240/30)</f>
        <v>0</v>
      </c>
      <c r="D16">
        <f>2*(240/30)</f>
        <v>16</v>
      </c>
      <c r="E16">
        <f>3*(240/30)</f>
        <v>24</v>
      </c>
      <c r="F16" s="9">
        <f t="shared" si="1"/>
        <v>1.2477288135593221</v>
      </c>
      <c r="G16">
        <f>1.72*1.07</f>
        <v>1.8404</v>
      </c>
      <c r="H16">
        <v>354</v>
      </c>
      <c r="I16" t="s">
        <v>524</v>
      </c>
    </row>
    <row r="17" spans="1:10" x14ac:dyDescent="0.25">
      <c r="A17" t="s">
        <v>284</v>
      </c>
      <c r="B17" s="6">
        <f>110*(240/41)</f>
        <v>643.90243902439022</v>
      </c>
      <c r="C17" s="6">
        <f>0*(240/41)</f>
        <v>0</v>
      </c>
      <c r="D17" s="6">
        <f>4*(240/41)</f>
        <v>23.414634146341463</v>
      </c>
      <c r="E17" s="6">
        <f>25*(240/41)</f>
        <v>146.34146341463415</v>
      </c>
      <c r="F17" s="9" t="e">
        <f t="shared" si="1"/>
        <v>#DIV/0!</v>
      </c>
    </row>
    <row r="18" spans="1:10" x14ac:dyDescent="0.25">
      <c r="A18" t="s">
        <v>545</v>
      </c>
      <c r="B18">
        <f>70*(240/28)</f>
        <v>600</v>
      </c>
      <c r="C18">
        <f>6*(240/28)</f>
        <v>51.428571428571431</v>
      </c>
      <c r="D18">
        <f>2*(240/28)</f>
        <v>17.142857142857142</v>
      </c>
      <c r="E18">
        <f>2*(240/28)</f>
        <v>17.142857142857142</v>
      </c>
      <c r="F18" s="9">
        <f t="shared" si="1"/>
        <v>1.8584070796460179</v>
      </c>
      <c r="G18">
        <v>1.75</v>
      </c>
      <c r="H18">
        <v>226</v>
      </c>
      <c r="I18" t="s">
        <v>67</v>
      </c>
    </row>
    <row r="19" spans="1:10" x14ac:dyDescent="0.25">
      <c r="A19" t="s">
        <v>636</v>
      </c>
      <c r="B19">
        <f>180*2</f>
        <v>360</v>
      </c>
      <c r="C19">
        <f>9*2</f>
        <v>18</v>
      </c>
      <c r="D19">
        <f>6*2</f>
        <v>12</v>
      </c>
      <c r="E19">
        <f>17*2</f>
        <v>34</v>
      </c>
      <c r="F19" s="9">
        <f t="shared" si="1"/>
        <v>1.2921437632135306</v>
      </c>
      <c r="G19">
        <f>2.38*1.07</f>
        <v>2.5466000000000002</v>
      </c>
      <c r="H19">
        <v>473</v>
      </c>
    </row>
    <row r="20" spans="1:10" x14ac:dyDescent="0.25">
      <c r="A20" t="s">
        <v>770</v>
      </c>
      <c r="B20">
        <f>90*(240/28)</f>
        <v>771.42857142857144</v>
      </c>
      <c r="C20">
        <f>8*(240/28)</f>
        <v>68.571428571428569</v>
      </c>
      <c r="D20">
        <f>3*(240/28)</f>
        <v>25.714285714285715</v>
      </c>
      <c r="E20">
        <f>1*(240/28)</f>
        <v>8.5714285714285712</v>
      </c>
      <c r="F20" s="9">
        <f>$G20*(240/$H20)</f>
        <v>6.7763524229074896</v>
      </c>
      <c r="G20">
        <f>5.99*1.07</f>
        <v>6.4093000000000009</v>
      </c>
      <c r="H20">
        <v>227</v>
      </c>
      <c r="I20" t="s">
        <v>771</v>
      </c>
    </row>
    <row r="21" spans="1:10" x14ac:dyDescent="0.25">
      <c r="A21" t="s">
        <v>780</v>
      </c>
      <c r="B21">
        <f>230*(240/414)</f>
        <v>133.33333333333334</v>
      </c>
      <c r="C21">
        <f>3.5*(240/414)</f>
        <v>2.0289855072463769</v>
      </c>
      <c r="D21">
        <f>42*(240/414)</f>
        <v>24.347826086956523</v>
      </c>
      <c r="E21">
        <f>8*(240/414)</f>
        <v>4.63768115942029</v>
      </c>
      <c r="F21" s="9">
        <f>$G21*(240/$H21)</f>
        <v>2.4811594202898553</v>
      </c>
      <c r="G21">
        <f>4.28</f>
        <v>4.28</v>
      </c>
      <c r="H21">
        <v>414</v>
      </c>
      <c r="I21" t="s">
        <v>524</v>
      </c>
      <c r="J21" t="s">
        <v>781</v>
      </c>
    </row>
    <row r="22" spans="1:10" x14ac:dyDescent="0.25">
      <c r="A22" t="s">
        <v>782</v>
      </c>
      <c r="B22">
        <f>60*(240/28)</f>
        <v>514.28571428571422</v>
      </c>
      <c r="C22">
        <f>3*(240/28)</f>
        <v>25.714285714285715</v>
      </c>
      <c r="D22">
        <f>4*(240/28)</f>
        <v>34.285714285714285</v>
      </c>
      <c r="E22">
        <f>3*(240/28)</f>
        <v>25.714285714285715</v>
      </c>
      <c r="F22" s="9">
        <f>$G22*(240/$H22)</f>
        <v>2.3150442477876112</v>
      </c>
      <c r="G22">
        <v>2.1800000000000002</v>
      </c>
      <c r="H22">
        <v>226</v>
      </c>
      <c r="I22" t="s">
        <v>524</v>
      </c>
      <c r="J22" t="s">
        <v>783</v>
      </c>
    </row>
    <row r="23" spans="1:10" x14ac:dyDescent="0.25">
      <c r="A23" t="s">
        <v>791</v>
      </c>
      <c r="B23">
        <f>130*(240/120)</f>
        <v>260</v>
      </c>
      <c r="C23">
        <f>3*(240/120)</f>
        <v>6</v>
      </c>
      <c r="D23">
        <f>5*(240/120)</f>
        <v>10</v>
      </c>
      <c r="E23">
        <f>19*(240/120)</f>
        <v>38</v>
      </c>
      <c r="F23" s="9">
        <f t="shared" ref="F23:F24" si="2">$G23*(240/$H23)</f>
        <v>0</v>
      </c>
      <c r="H23">
        <v>946</v>
      </c>
      <c r="I23" t="s">
        <v>231</v>
      </c>
    </row>
    <row r="24" spans="1:10" x14ac:dyDescent="0.25">
      <c r="A24" t="s">
        <v>873</v>
      </c>
      <c r="B24">
        <f>190*(240/H24)</f>
        <v>128.81355932203388</v>
      </c>
      <c r="C24">
        <f>3.5*(240/H24)</f>
        <v>2.3728813559322033</v>
      </c>
      <c r="D24">
        <f>30*(240/H24)</f>
        <v>20.338983050847457</v>
      </c>
      <c r="E24">
        <f>7*(240/H24)</f>
        <v>4.7457627118644066</v>
      </c>
      <c r="F24" s="9">
        <f t="shared" si="2"/>
        <v>1.6949152542372881</v>
      </c>
      <c r="G24">
        <v>2.5</v>
      </c>
      <c r="H24">
        <v>354</v>
      </c>
      <c r="I24" t="s">
        <v>231</v>
      </c>
    </row>
  </sheetData>
  <conditionalFormatting sqref="F2:F2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7BBD0-BB07-4F86-86F0-AA07BCEB7402}">
  <sheetPr codeName="Sheet7"/>
  <dimension ref="A1:P74"/>
  <sheetViews>
    <sheetView zoomScaleNormal="100" workbookViewId="0">
      <selection activeCell="A25" sqref="A25"/>
    </sheetView>
  </sheetViews>
  <sheetFormatPr defaultRowHeight="15" x14ac:dyDescent="0.25"/>
  <cols>
    <col min="1" max="1" width="48.7109375" bestFit="1" customWidth="1"/>
    <col min="6" max="6" width="11" bestFit="1" customWidth="1"/>
    <col min="7" max="7" width="8.5703125" bestFit="1" customWidth="1"/>
    <col min="8" max="8" width="16" bestFit="1" customWidth="1"/>
    <col min="9" max="9" width="25.140625" bestFit="1" customWidth="1"/>
    <col min="10" max="10" width="43.7109375" bestFit="1" customWidth="1"/>
  </cols>
  <sheetData>
    <row r="1" spans="1:16" x14ac:dyDescent="0.25">
      <c r="A1" t="s">
        <v>145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100</v>
      </c>
      <c r="H1" t="s">
        <v>101</v>
      </c>
      <c r="I1" t="s">
        <v>142</v>
      </c>
    </row>
    <row r="2" spans="1:16" x14ac:dyDescent="0.25">
      <c r="A2" s="26" t="s">
        <v>832</v>
      </c>
    </row>
    <row r="3" spans="1:16" x14ac:dyDescent="0.25">
      <c r="A3" t="s">
        <v>249</v>
      </c>
      <c r="B3" s="6">
        <f>4349*($I$3/$H$3)</f>
        <v>1144.2227581670686</v>
      </c>
      <c r="C3" s="6">
        <f>185*($I$4/$H$4)</f>
        <v>48.673536505152377</v>
      </c>
      <c r="D3" s="6">
        <f>92.33*($I$4/$H$4)</f>
        <v>24.292041219030914</v>
      </c>
      <c r="E3" s="6">
        <f>265.28*($I$4/$H$4)</f>
        <v>69.795220346415249</v>
      </c>
      <c r="F3" s="10">
        <f t="shared" ref="F3:F65" si="0">$G3*($I3/$H3)</f>
        <v>1.1614794683472598</v>
      </c>
      <c r="G3" s="9">
        <f>'Recipe Converters'!$E$12</f>
        <v>4.4145898792765434</v>
      </c>
      <c r="H3">
        <f>'Recipe Converters'!$B$11</f>
        <v>912.2</v>
      </c>
      <c r="I3">
        <v>240</v>
      </c>
    </row>
    <row r="4" spans="1:16" x14ac:dyDescent="0.25">
      <c r="A4" t="s">
        <v>414</v>
      </c>
      <c r="B4" s="6">
        <f>4349*($I$4/$H$4)</f>
        <v>1144.2227581670686</v>
      </c>
      <c r="C4" s="6">
        <f>185*($I$4/$H$4)</f>
        <v>48.673536505152377</v>
      </c>
      <c r="D4" s="6">
        <f>92.33*($I$4/$H$4)</f>
        <v>24.292041219030914</v>
      </c>
      <c r="E4" s="6">
        <f>265.28*($I$4/$H$4)</f>
        <v>69.795220346415249</v>
      </c>
      <c r="F4" s="10">
        <f t="shared" si="0"/>
        <v>4.5542644156983112</v>
      </c>
      <c r="G4" s="9">
        <f>17.31</f>
        <v>17.309999999999999</v>
      </c>
      <c r="H4">
        <f>'Recipe Converters'!$B$11</f>
        <v>912.2</v>
      </c>
      <c r="I4">
        <v>240</v>
      </c>
    </row>
    <row r="5" spans="1:16" x14ac:dyDescent="0.25">
      <c r="A5" t="s">
        <v>266</v>
      </c>
      <c r="B5" s="6">
        <f>2959*(320/$H5)</f>
        <v>1332.6952850105558</v>
      </c>
      <c r="C5" s="6">
        <f>95.47*(320/$H5)</f>
        <v>42.998451794510906</v>
      </c>
      <c r="D5" s="6">
        <f>47.73*(320/$H5)</f>
        <v>21.496973961998592</v>
      </c>
      <c r="E5" s="6">
        <f>204.74*(320/$H5)</f>
        <v>92.212244897959181</v>
      </c>
      <c r="F5" s="10">
        <f t="shared" si="0"/>
        <v>1.6484166080225193</v>
      </c>
      <c r="G5" s="9">
        <v>3.66</v>
      </c>
      <c r="H5">
        <v>710.5</v>
      </c>
      <c r="I5">
        <v>320</v>
      </c>
      <c r="J5" t="s">
        <v>147</v>
      </c>
      <c r="P5" t="s">
        <v>111</v>
      </c>
    </row>
    <row r="6" spans="1:16" x14ac:dyDescent="0.25">
      <c r="B6" s="6"/>
      <c r="C6" s="6"/>
      <c r="D6" s="6"/>
      <c r="E6" s="6"/>
      <c r="F6" s="10"/>
      <c r="G6" s="9"/>
    </row>
    <row r="7" spans="1:16" x14ac:dyDescent="0.25">
      <c r="A7" s="26" t="s">
        <v>831</v>
      </c>
      <c r="B7" s="6"/>
      <c r="C7" s="6"/>
      <c r="D7" s="6"/>
      <c r="E7" s="6"/>
      <c r="F7" s="10"/>
      <c r="G7" s="9"/>
    </row>
    <row r="8" spans="1:16" x14ac:dyDescent="0.25">
      <c r="A8" t="s">
        <v>3</v>
      </c>
      <c r="B8" s="6">
        <f>160*(I8/34)</f>
        <v>451.76470588235298</v>
      </c>
      <c r="C8" s="6">
        <f>7*(I8/34)</f>
        <v>19.764705882352942</v>
      </c>
      <c r="D8" s="6">
        <f>1*(I8/34)</f>
        <v>2.8235294117647061</v>
      </c>
      <c r="E8" s="6">
        <f>14*(I8/34)</f>
        <v>39.529411764705884</v>
      </c>
      <c r="F8" s="10">
        <f t="shared" si="0"/>
        <v>0.75087719298245614</v>
      </c>
      <c r="G8" s="9">
        <f>10*1.07</f>
        <v>10.700000000000001</v>
      </c>
      <c r="H8">
        <f>684*2</f>
        <v>1368</v>
      </c>
      <c r="I8">
        <v>96</v>
      </c>
    </row>
    <row r="9" spans="1:16" x14ac:dyDescent="0.25">
      <c r="A9" s="81" t="s">
        <v>462</v>
      </c>
      <c r="B9" s="6">
        <f>150*(I9/29)</f>
        <v>496.55172413793105</v>
      </c>
      <c r="C9" s="6">
        <f>7*(I9/29)</f>
        <v>23.172413793103448</v>
      </c>
      <c r="D9" s="6">
        <f>0.5*(I9/29)</f>
        <v>1.6551724137931034</v>
      </c>
      <c r="E9" s="6">
        <f>11*(I9/29)</f>
        <v>36.413793103448278</v>
      </c>
      <c r="F9" s="10">
        <f t="shared" si="0"/>
        <v>1.9798178217821782</v>
      </c>
      <c r="G9" s="9">
        <f>5.84*1.07</f>
        <v>6.2488000000000001</v>
      </c>
      <c r="H9">
        <f>303</f>
        <v>303</v>
      </c>
      <c r="I9">
        <v>96</v>
      </c>
    </row>
    <row r="10" spans="1:16" x14ac:dyDescent="0.25">
      <c r="A10" t="s">
        <v>420</v>
      </c>
      <c r="B10" s="6">
        <f>160*(I10/34)</f>
        <v>451.76470588235298</v>
      </c>
      <c r="C10" s="6">
        <f>7*(I10/34)</f>
        <v>19.764705882352942</v>
      </c>
      <c r="D10" s="6">
        <f>1*(I10/34)</f>
        <v>2.8235294117647061</v>
      </c>
      <c r="E10" s="6">
        <f>14*(I10/34)</f>
        <v>39.529411764705884</v>
      </c>
      <c r="F10" s="10">
        <f t="shared" si="0"/>
        <v>1.0011695906432749</v>
      </c>
      <c r="G10" s="9">
        <f>5*1.07</f>
        <v>5.3500000000000005</v>
      </c>
      <c r="H10">
        <v>513</v>
      </c>
      <c r="I10">
        <v>96</v>
      </c>
    </row>
    <row r="11" spans="1:16" x14ac:dyDescent="0.25">
      <c r="A11" t="s">
        <v>234</v>
      </c>
      <c r="B11">
        <f>140*(I11/28)</f>
        <v>525</v>
      </c>
      <c r="C11">
        <f>7*(I11/29)</f>
        <v>25.344827586206897</v>
      </c>
      <c r="D11">
        <f>1*(I11/29)</f>
        <v>3.6206896551724137</v>
      </c>
      <c r="E11">
        <f>13*(I11/29)</f>
        <v>47.068965517241381</v>
      </c>
      <c r="F11" s="10">
        <f t="shared" si="0"/>
        <v>0.79245283018867929</v>
      </c>
      <c r="G11" s="9">
        <v>4</v>
      </c>
      <c r="H11">
        <v>530</v>
      </c>
      <c r="I11">
        <v>105</v>
      </c>
    </row>
    <row r="12" spans="1:16" x14ac:dyDescent="0.25">
      <c r="A12" t="s">
        <v>139</v>
      </c>
      <c r="B12" s="6">
        <f>160*($I$12/30)</f>
        <v>666.66666666666674</v>
      </c>
      <c r="C12" s="6">
        <f>8*($I$12/30)</f>
        <v>33.333333333333336</v>
      </c>
      <c r="D12" s="6">
        <f>1*($I$12/30)</f>
        <v>4.166666666666667</v>
      </c>
      <c r="E12" s="6">
        <f>10*($I$12/30)</f>
        <v>41.666666666666671</v>
      </c>
      <c r="F12" s="10">
        <f t="shared" si="0"/>
        <v>3.3794166666666667</v>
      </c>
      <c r="G12" s="9">
        <f>3.79*1.07</f>
        <v>4.0552999999999999</v>
      </c>
      <c r="H12">
        <v>150</v>
      </c>
      <c r="I12">
        <v>125</v>
      </c>
    </row>
    <row r="13" spans="1:16" x14ac:dyDescent="0.25">
      <c r="A13" t="s">
        <v>241</v>
      </c>
      <c r="B13">
        <f>130*($I$13/26)</f>
        <v>525</v>
      </c>
      <c r="C13">
        <f>5*($I$13/26)</f>
        <v>20.192307692307693</v>
      </c>
      <c r="D13">
        <f>1*($I$13/26)</f>
        <v>4.0384615384615383</v>
      </c>
      <c r="E13">
        <f>14*($I$13/26)</f>
        <v>56.538461538461533</v>
      </c>
      <c r="F13" s="10">
        <f t="shared" si="0"/>
        <v>0.95732315112540201</v>
      </c>
      <c r="G13" s="9">
        <f>2.65*1.07</f>
        <v>2.8355000000000001</v>
      </c>
      <c r="H13">
        <v>311</v>
      </c>
      <c r="I13">
        <v>105</v>
      </c>
      <c r="J13" t="s">
        <v>67</v>
      </c>
      <c r="K13" t="s">
        <v>242</v>
      </c>
    </row>
    <row r="14" spans="1:16" x14ac:dyDescent="0.25">
      <c r="A14" t="s">
        <v>166</v>
      </c>
      <c r="B14" s="6">
        <f>120*(I14/28)</f>
        <v>257.14285714285711</v>
      </c>
      <c r="C14" s="6">
        <f>3.5*(I14/28)</f>
        <v>7.5</v>
      </c>
      <c r="D14" s="6">
        <f>2*(I14/28)</f>
        <v>4.2857142857142856</v>
      </c>
      <c r="E14" s="6">
        <f>10*(I14/28)</f>
        <v>21.428571428571427</v>
      </c>
      <c r="F14" s="10">
        <f t="shared" si="0"/>
        <v>0.5385037783375316</v>
      </c>
      <c r="G14" s="9">
        <f>3.33*1.07</f>
        <v>3.5631000000000004</v>
      </c>
      <c r="H14">
        <v>397</v>
      </c>
      <c r="I14">
        <v>60</v>
      </c>
    </row>
    <row r="15" spans="1:16" x14ac:dyDescent="0.25">
      <c r="A15" s="73" t="s">
        <v>406</v>
      </c>
      <c r="B15">
        <f>130*7</f>
        <v>910</v>
      </c>
      <c r="C15">
        <f>3.5*7</f>
        <v>24.5</v>
      </c>
      <c r="D15">
        <f>2*7</f>
        <v>14</v>
      </c>
      <c r="E15">
        <f>7*7</f>
        <v>49</v>
      </c>
      <c r="F15" s="10">
        <f t="shared" si="0"/>
        <v>0.98188235294117643</v>
      </c>
      <c r="G15" s="9">
        <f>4.68*1.07</f>
        <v>5.0076000000000001</v>
      </c>
      <c r="H15">
        <v>408</v>
      </c>
      <c r="I15">
        <v>80</v>
      </c>
    </row>
    <row r="16" spans="1:16" x14ac:dyDescent="0.25">
      <c r="A16" t="s">
        <v>250</v>
      </c>
      <c r="B16">
        <f>140*(I16/30)</f>
        <v>448</v>
      </c>
      <c r="C16">
        <f>6*(I16/30)</f>
        <v>19.200000000000003</v>
      </c>
      <c r="D16">
        <f>1*(I16/30)</f>
        <v>3.2</v>
      </c>
      <c r="E16">
        <f>11*(I16/30)</f>
        <v>35.200000000000003</v>
      </c>
      <c r="F16" s="10">
        <f t="shared" si="0"/>
        <v>1.7450727272727273</v>
      </c>
      <c r="G16" s="9">
        <f>2.99*1.07</f>
        <v>3.1993000000000005</v>
      </c>
      <c r="H16">
        <v>176</v>
      </c>
      <c r="I16">
        <v>96</v>
      </c>
    </row>
    <row r="17" spans="1:16" x14ac:dyDescent="0.25">
      <c r="B17" s="6"/>
      <c r="C17" s="6"/>
      <c r="D17" s="6"/>
      <c r="E17" s="6"/>
      <c r="F17" s="10"/>
      <c r="G17" s="9"/>
    </row>
    <row r="18" spans="1:16" x14ac:dyDescent="0.25">
      <c r="A18" s="26" t="s">
        <v>823</v>
      </c>
      <c r="F18" s="10"/>
    </row>
    <row r="19" spans="1:16" x14ac:dyDescent="0.25">
      <c r="A19" t="s">
        <v>102</v>
      </c>
      <c r="B19" s="6">
        <f>46.4*(I19/144)</f>
        <v>53.48888888888888</v>
      </c>
      <c r="C19" s="6">
        <f>0.4*(I19/144)</f>
        <v>0.46111111111111108</v>
      </c>
      <c r="D19" s="6">
        <f>1*(I19/144)</f>
        <v>1.1527777777777777</v>
      </c>
      <c r="E19" s="6">
        <f>7*(I19/144)</f>
        <v>8.0694444444444429</v>
      </c>
      <c r="F19" s="10">
        <f t="shared" si="0"/>
        <v>0.59888114663726577</v>
      </c>
      <c r="G19" s="9">
        <f>(6.38*1.07)+_xlfn.XLOOKUP("Sugar",'Sweetener Mix In Nutrition'!$A:$A,'Sweetener Mix In Nutrition'!$G:$G,0)</f>
        <v>9.8166000000000011</v>
      </c>
      <c r="H19">
        <f>907+(_xlfn.XLOOKUP("Sugar",'Sweetener Mix In Nutrition'!$A:$A,'Sweetener Mix In Nutrition'!$H:$H,0))</f>
        <v>2721</v>
      </c>
      <c r="I19">
        <f>166</f>
        <v>166</v>
      </c>
      <c r="J19" t="s">
        <v>141</v>
      </c>
      <c r="P19" t="s">
        <v>103</v>
      </c>
    </row>
    <row r="20" spans="1:16" x14ac:dyDescent="0.25">
      <c r="A20" t="s">
        <v>270</v>
      </c>
      <c r="B20">
        <f>90*2</f>
        <v>180</v>
      </c>
      <c r="C20">
        <v>0</v>
      </c>
      <c r="D20">
        <v>0</v>
      </c>
      <c r="E20">
        <f>22*2</f>
        <v>44</v>
      </c>
      <c r="F20" s="10">
        <f t="shared" si="0"/>
        <v>1.9587294117647058</v>
      </c>
      <c r="G20" s="9">
        <f>7.78*1.07</f>
        <v>8.3246000000000002</v>
      </c>
      <c r="H20">
        <v>1190</v>
      </c>
      <c r="I20">
        <v>280</v>
      </c>
      <c r="J20" t="s">
        <v>271</v>
      </c>
    </row>
    <row r="21" spans="1:16" x14ac:dyDescent="0.25">
      <c r="A21" t="s">
        <v>245</v>
      </c>
      <c r="B21">
        <v>300</v>
      </c>
      <c r="C21">
        <v>0</v>
      </c>
      <c r="D21">
        <v>0</v>
      </c>
      <c r="E21">
        <v>60</v>
      </c>
      <c r="F21" s="10">
        <f t="shared" si="0"/>
        <v>0.91255714285714284</v>
      </c>
      <c r="G21" s="9">
        <f>1.99*1.07</f>
        <v>2.1293000000000002</v>
      </c>
      <c r="H21">
        <v>595</v>
      </c>
      <c r="I21">
        <v>255</v>
      </c>
      <c r="J21" t="s">
        <v>67</v>
      </c>
    </row>
    <row r="22" spans="1:16" x14ac:dyDescent="0.25">
      <c r="A22" t="s">
        <v>116</v>
      </c>
      <c r="B22" s="6">
        <v>30</v>
      </c>
      <c r="C22" s="6">
        <v>0</v>
      </c>
      <c r="D22" s="6">
        <v>0</v>
      </c>
      <c r="E22" s="6">
        <v>6</v>
      </c>
      <c r="F22" s="10">
        <f t="shared" si="0"/>
        <v>8.604886500000001</v>
      </c>
      <c r="G22" s="9">
        <f>9.99*1.07</f>
        <v>10.689300000000001</v>
      </c>
      <c r="H22">
        <v>200</v>
      </c>
      <c r="I22">
        <v>161</v>
      </c>
    </row>
    <row r="23" spans="1:16" x14ac:dyDescent="0.25">
      <c r="A23" t="s">
        <v>490</v>
      </c>
      <c r="B23" s="6">
        <f>100*(15/122)</f>
        <v>12.295081967213115</v>
      </c>
      <c r="C23" s="6">
        <v>0</v>
      </c>
      <c r="D23" s="6">
        <v>0</v>
      </c>
      <c r="E23" s="6">
        <f>23*(15/122)</f>
        <v>2.8278688524590163</v>
      </c>
      <c r="F23" s="10">
        <f t="shared" si="0"/>
        <v>1.1116545012165451</v>
      </c>
      <c r="G23" s="9">
        <f>1.75*1.07</f>
        <v>1.8725000000000001</v>
      </c>
      <c r="H23">
        <v>411</v>
      </c>
      <c r="I23">
        <v>244</v>
      </c>
    </row>
    <row r="24" spans="1:16" x14ac:dyDescent="0.25">
      <c r="A24" t="s">
        <v>9</v>
      </c>
      <c r="B24" s="6">
        <f>120*($I$24/40)</f>
        <v>480</v>
      </c>
      <c r="C24" s="6">
        <f>0*($I$24/40)</f>
        <v>0</v>
      </c>
      <c r="D24" s="6">
        <f>1*($I$24/40)</f>
        <v>4</v>
      </c>
      <c r="E24" s="6">
        <f>26*($I$24/40)</f>
        <v>104</v>
      </c>
      <c r="F24" s="10">
        <f t="shared" si="0"/>
        <v>1.2832451499118167</v>
      </c>
      <c r="G24" s="9">
        <f xml:space="preserve"> 4.25*1.07</f>
        <v>4.5475000000000003</v>
      </c>
      <c r="H24" s="6">
        <v>567</v>
      </c>
      <c r="I24">
        <v>160</v>
      </c>
    </row>
    <row r="25" spans="1:16" x14ac:dyDescent="0.25">
      <c r="A25" s="26" t="s">
        <v>415</v>
      </c>
      <c r="B25" s="6">
        <f>(120*($I$24/40))+((_xlfn.XLOOKUP("Overproof Rum",'Liquid Mix In Nutrition'!$A:$A,'Liquid Mix In Nutrition'!$B:$B,0)/15)*40)</f>
        <v>573.33333333333337</v>
      </c>
      <c r="C25" s="6">
        <f>0*($I$24/40)</f>
        <v>0</v>
      </c>
      <c r="D25" s="6">
        <f>1*($I$24/40)</f>
        <v>4</v>
      </c>
      <c r="E25" s="6">
        <f>26*($I$24/40)</f>
        <v>104</v>
      </c>
      <c r="F25" s="10">
        <f t="shared" si="0"/>
        <v>1.6040564373897708</v>
      </c>
      <c r="G25" s="9">
        <f>4.25*1.07</f>
        <v>4.5475000000000003</v>
      </c>
      <c r="H25" s="6">
        <v>567</v>
      </c>
      <c r="I25">
        <f>160+40</f>
        <v>200</v>
      </c>
      <c r="J25" t="s">
        <v>416</v>
      </c>
    </row>
    <row r="26" spans="1:16" x14ac:dyDescent="0.25">
      <c r="A26" s="26"/>
      <c r="B26" s="6"/>
      <c r="C26" s="6"/>
      <c r="D26" s="6"/>
      <c r="E26" s="6"/>
      <c r="F26" s="10"/>
      <c r="G26" s="9"/>
      <c r="H26" s="6"/>
    </row>
    <row r="27" spans="1:16" x14ac:dyDescent="0.25">
      <c r="A27" s="26" t="s">
        <v>833</v>
      </c>
      <c r="B27" s="6"/>
      <c r="C27" s="6"/>
      <c r="D27" s="6"/>
      <c r="E27" s="6"/>
      <c r="F27" s="10"/>
      <c r="G27" s="9"/>
      <c r="H27" s="6"/>
    </row>
    <row r="28" spans="1:16" x14ac:dyDescent="0.25">
      <c r="A28" t="s">
        <v>117</v>
      </c>
      <c r="B28" s="6">
        <v>1008</v>
      </c>
      <c r="C28" s="6">
        <v>52.8</v>
      </c>
      <c r="D28" s="6">
        <v>0</v>
      </c>
      <c r="E28" s="6">
        <v>100.8</v>
      </c>
      <c r="F28" s="10">
        <f t="shared" si="0"/>
        <v>4.1689075335689054</v>
      </c>
      <c r="G28" s="9">
        <f>4.25*1.07+(+((_xlfn.XLOOKUP("Overproof Rum",'Liquid Mix In Nutrition'!$A:$A,'Liquid Mix In Nutrition'!$F:$F,0)/15)*40))</f>
        <v>6.1447960000000004</v>
      </c>
      <c r="H28">
        <v>283</v>
      </c>
      <c r="I28">
        <v>192</v>
      </c>
      <c r="P28" t="s">
        <v>118</v>
      </c>
    </row>
    <row r="29" spans="1:16" x14ac:dyDescent="0.25">
      <c r="A29" t="s">
        <v>119</v>
      </c>
      <c r="B29" s="6">
        <v>1008</v>
      </c>
      <c r="C29" s="6">
        <v>52.8</v>
      </c>
      <c r="D29" s="6">
        <v>0</v>
      </c>
      <c r="E29" s="6">
        <v>100.8</v>
      </c>
      <c r="F29" s="10">
        <f t="shared" si="0"/>
        <v>6.5261681978798594</v>
      </c>
      <c r="G29" s="9">
        <f>8.99*1.07</f>
        <v>9.6193000000000008</v>
      </c>
      <c r="H29">
        <v>283</v>
      </c>
      <c r="I29">
        <v>192</v>
      </c>
      <c r="P29" t="s">
        <v>118</v>
      </c>
    </row>
    <row r="30" spans="1:16" x14ac:dyDescent="0.25">
      <c r="A30" t="s">
        <v>124</v>
      </c>
      <c r="B30" s="6">
        <f>120*($I$30/140)</f>
        <v>162.85714285714286</v>
      </c>
      <c r="C30" s="6">
        <v>0.8</v>
      </c>
      <c r="D30" s="6">
        <v>1.6</v>
      </c>
      <c r="E30" s="6">
        <f>30*($I$30/140)</f>
        <v>40.714285714285715</v>
      </c>
      <c r="F30" s="10">
        <f t="shared" si="0"/>
        <v>0</v>
      </c>
      <c r="G30" s="9"/>
      <c r="H30">
        <v>226</v>
      </c>
      <c r="I30">
        <v>190</v>
      </c>
      <c r="J30" t="s">
        <v>818</v>
      </c>
      <c r="P30" t="s">
        <v>125</v>
      </c>
    </row>
    <row r="31" spans="1:16" x14ac:dyDescent="0.25">
      <c r="B31" s="6"/>
      <c r="C31" s="6"/>
      <c r="D31" s="6"/>
      <c r="E31" s="6"/>
      <c r="F31" s="10"/>
      <c r="G31" s="9"/>
    </row>
    <row r="32" spans="1:16" x14ac:dyDescent="0.25">
      <c r="A32" s="26" t="s">
        <v>834</v>
      </c>
      <c r="F32" s="10"/>
      <c r="G32" s="9">
        <f>7.95*1.07</f>
        <v>8.5065000000000008</v>
      </c>
      <c r="I32">
        <v>151</v>
      </c>
      <c r="J32" t="s">
        <v>423</v>
      </c>
    </row>
    <row r="33" spans="1:16" x14ac:dyDescent="0.25">
      <c r="A33" t="s">
        <v>105</v>
      </c>
      <c r="B33" s="6">
        <f>270*(240/43)</f>
        <v>1506.9767441860465</v>
      </c>
      <c r="C33" s="6">
        <f>13*(240/43)</f>
        <v>72.558139534883722</v>
      </c>
      <c r="D33" s="6">
        <f>4*(240/43)</f>
        <v>22.325581395348838</v>
      </c>
      <c r="E33" s="6">
        <f>19*(240/43)</f>
        <v>106.04651162790698</v>
      </c>
      <c r="F33" s="10"/>
      <c r="I33">
        <v>85</v>
      </c>
      <c r="K33" t="s">
        <v>147</v>
      </c>
    </row>
    <row r="34" spans="1:16" x14ac:dyDescent="0.25">
      <c r="A34" t="s">
        <v>106</v>
      </c>
      <c r="B34" s="6">
        <f>270*(240/43)</f>
        <v>1506.9767441860465</v>
      </c>
      <c r="C34" s="6">
        <f>13*(240/43)</f>
        <v>72.558139534883722</v>
      </c>
      <c r="D34" s="6">
        <f>4*(240/43)</f>
        <v>22.325581395348838</v>
      </c>
      <c r="E34" s="6">
        <f>19*(240/43)</f>
        <v>106.04651162790698</v>
      </c>
      <c r="F34" s="10">
        <f t="shared" si="0"/>
        <v>0</v>
      </c>
      <c r="G34" s="80"/>
      <c r="H34">
        <v>432</v>
      </c>
      <c r="I34">
        <v>85</v>
      </c>
      <c r="K34" t="s">
        <v>147</v>
      </c>
      <c r="P34" t="s">
        <v>67</v>
      </c>
    </row>
    <row r="35" spans="1:16" x14ac:dyDescent="0.25">
      <c r="A35" s="81" t="s">
        <v>491</v>
      </c>
      <c r="B35" s="6">
        <v>323</v>
      </c>
      <c r="C35" s="6">
        <v>11</v>
      </c>
      <c r="D35" s="6">
        <v>4</v>
      </c>
      <c r="E35" s="6">
        <v>25</v>
      </c>
      <c r="F35" s="10">
        <f t="shared" si="0"/>
        <v>0.53419782870928834</v>
      </c>
      <c r="G35">
        <v>5.21</v>
      </c>
      <c r="H35">
        <v>829</v>
      </c>
      <c r="I35">
        <v>85</v>
      </c>
      <c r="K35" t="s">
        <v>147</v>
      </c>
      <c r="P35" t="s">
        <v>67</v>
      </c>
    </row>
    <row r="36" spans="1:16" x14ac:dyDescent="0.25">
      <c r="A36" t="s">
        <v>422</v>
      </c>
      <c r="B36" s="6">
        <v>940</v>
      </c>
      <c r="C36" s="6">
        <v>43</v>
      </c>
      <c r="D36" s="6">
        <v>7.2</v>
      </c>
      <c r="E36" s="6">
        <v>100</v>
      </c>
      <c r="F36" s="10"/>
      <c r="G36" s="9">
        <f>(0.99*1.07)+(_xlfn.XLOOKUP("Egg Yolk",'Liquid Mix In Nutrition'!A:A,'Liquid Mix In Nutrition'!F:F)*3)</f>
        <v>1.9568000000000001</v>
      </c>
      <c r="I36">
        <v>151</v>
      </c>
      <c r="J36" t="s">
        <v>424</v>
      </c>
    </row>
    <row r="37" spans="1:16" x14ac:dyDescent="0.25">
      <c r="A37" t="s">
        <v>104</v>
      </c>
      <c r="B37" s="6">
        <f>170*(240/28)</f>
        <v>1457.1428571428571</v>
      </c>
      <c r="C37" s="6">
        <f>8*(240/28)</f>
        <v>68.571428571428569</v>
      </c>
      <c r="D37" s="6">
        <f>2*(240/28)</f>
        <v>17.142857142857142</v>
      </c>
      <c r="E37" s="6">
        <f>17*(240/28)</f>
        <v>145.71428571428572</v>
      </c>
      <c r="F37" s="10">
        <f t="shared" si="0"/>
        <v>1.1677225433526013</v>
      </c>
      <c r="G37" s="9">
        <f>(1.5 +0.62+0.24)*1.07</f>
        <v>2.5252000000000003</v>
      </c>
      <c r="H37">
        <v>519</v>
      </c>
      <c r="I37">
        <v>240</v>
      </c>
      <c r="J37" t="s">
        <v>144</v>
      </c>
      <c r="K37" t="s">
        <v>147</v>
      </c>
      <c r="P37" t="s">
        <v>759</v>
      </c>
    </row>
    <row r="38" spans="1:16" x14ac:dyDescent="0.25">
      <c r="A38" t="s">
        <v>758</v>
      </c>
      <c r="B38" s="6">
        <f>170*(240/28)</f>
        <v>1457.1428571428571</v>
      </c>
      <c r="C38" s="6">
        <f>8*(240/28)</f>
        <v>68.571428571428569</v>
      </c>
      <c r="D38" s="6">
        <f>2*(240/28)</f>
        <v>17.142857142857142</v>
      </c>
      <c r="E38" s="6">
        <f>17*(240/28)</f>
        <v>145.71428571428572</v>
      </c>
      <c r="F38" s="10">
        <f t="shared" si="0"/>
        <v>1.4151213872832371</v>
      </c>
      <c r="G38" s="9">
        <f>(2+0.62+0.24)*1.07</f>
        <v>3.0602000000000005</v>
      </c>
      <c r="H38">
        <v>519</v>
      </c>
      <c r="I38">
        <v>240</v>
      </c>
      <c r="J38" t="s">
        <v>144</v>
      </c>
      <c r="K38" t="s">
        <v>147</v>
      </c>
      <c r="P38" t="s">
        <v>759</v>
      </c>
    </row>
    <row r="39" spans="1:16" x14ac:dyDescent="0.25">
      <c r="A39" t="s">
        <v>113</v>
      </c>
      <c r="B39" s="6">
        <v>924</v>
      </c>
      <c r="C39" s="6">
        <v>13.2</v>
      </c>
      <c r="D39" s="6">
        <v>17.600000000000001</v>
      </c>
      <c r="E39" s="6">
        <v>57.2</v>
      </c>
      <c r="F39" s="10">
        <f t="shared" si="0"/>
        <v>0.94222941176470609</v>
      </c>
      <c r="G39" s="9">
        <f>4.99*1.07</f>
        <v>5.3393000000000006</v>
      </c>
      <c r="H39">
        <v>1360</v>
      </c>
      <c r="I39">
        <v>240</v>
      </c>
      <c r="J39" t="s">
        <v>147</v>
      </c>
      <c r="P39" t="s">
        <v>114</v>
      </c>
    </row>
    <row r="40" spans="1:16" x14ac:dyDescent="0.25">
      <c r="B40" s="6"/>
      <c r="C40" s="6"/>
      <c r="D40" s="6"/>
      <c r="E40" s="6"/>
      <c r="F40" s="10"/>
      <c r="G40" s="9"/>
    </row>
    <row r="41" spans="1:16" ht="14.25" customHeight="1" x14ac:dyDescent="0.25">
      <c r="A41" s="26" t="s">
        <v>835</v>
      </c>
      <c r="B41" s="6"/>
      <c r="C41" s="6"/>
      <c r="D41" s="6"/>
      <c r="E41" s="6"/>
      <c r="F41" s="10"/>
      <c r="G41" s="9"/>
    </row>
    <row r="42" spans="1:16" x14ac:dyDescent="0.25">
      <c r="A42" t="s">
        <v>107</v>
      </c>
      <c r="B42" s="6">
        <f>2080*($I$42/586)</f>
        <v>693.33333333333337</v>
      </c>
      <c r="C42" s="6">
        <f>165.11*($I$42/586)</f>
        <v>55.036666666666676</v>
      </c>
      <c r="D42" s="6">
        <f>23.92*($I$42/586)</f>
        <v>7.9733333333333345</v>
      </c>
      <c r="E42" s="6">
        <f>125.42*($I$42/586)</f>
        <v>41.806666666666672</v>
      </c>
      <c r="F42" s="10">
        <f t="shared" si="0"/>
        <v>0</v>
      </c>
      <c r="G42" s="9"/>
      <c r="H42">
        <v>586</v>
      </c>
      <c r="I42" s="6">
        <f>586/3</f>
        <v>195.33333333333334</v>
      </c>
      <c r="P42" t="s">
        <v>108</v>
      </c>
    </row>
    <row r="43" spans="1:16" x14ac:dyDescent="0.25">
      <c r="A43" t="s">
        <v>275</v>
      </c>
      <c r="B43" s="6">
        <f>'Recipe Converters'!P13*($I$43/$H$43)</f>
        <v>1107.424203821656</v>
      </c>
      <c r="C43" s="6">
        <f>'Recipe Converters'!Q13*($I$43/$H$43)</f>
        <v>57.419617834394906</v>
      </c>
      <c r="D43" s="6">
        <f>'Recipe Converters'!R13*($I$43/$H$43)</f>
        <v>1.2107006369426752</v>
      </c>
      <c r="E43" s="6">
        <f>'Recipe Converters'!S13*($I$43/$H$43)</f>
        <v>145.78547770700635</v>
      </c>
      <c r="F43" s="10">
        <f t="shared" si="0"/>
        <v>0</v>
      </c>
      <c r="H43">
        <f>'Recipe Converters'!M13</f>
        <v>392.5</v>
      </c>
      <c r="I43">
        <v>240</v>
      </c>
    </row>
    <row r="44" spans="1:16" x14ac:dyDescent="0.25">
      <c r="A44" t="s">
        <v>274</v>
      </c>
      <c r="B44" s="6">
        <f>'Recipe Converters'!P6*($I$44/$H$44)</f>
        <v>800.0804289544235</v>
      </c>
      <c r="C44" s="6">
        <f>'Recipe Converters'!Q6*($I$44/$H$44)</f>
        <v>36.530831099195709</v>
      </c>
      <c r="D44" s="6">
        <f>'Recipe Converters'!R6*($I$44/$H$44)</f>
        <v>0.38284182305630027</v>
      </c>
      <c r="E44" s="6">
        <f>'Recipe Converters'!S6*($I$44/$H$44)</f>
        <v>118.61018766756033</v>
      </c>
      <c r="F44" s="10">
        <f t="shared" si="0"/>
        <v>0.71648831466299712</v>
      </c>
      <c r="G44" s="10">
        <f>'Recipe Converters'!O13</f>
        <v>2.227084511410816</v>
      </c>
      <c r="H44">
        <v>746</v>
      </c>
      <c r="I44">
        <v>240</v>
      </c>
      <c r="J44" t="s">
        <v>281</v>
      </c>
    </row>
    <row r="45" spans="1:16" x14ac:dyDescent="0.25">
      <c r="B45" s="6"/>
      <c r="C45" s="6"/>
      <c r="D45" s="6"/>
      <c r="E45" s="6"/>
      <c r="F45" s="10"/>
      <c r="G45" s="10"/>
    </row>
    <row r="46" spans="1:16" x14ac:dyDescent="0.25">
      <c r="A46" s="26" t="s">
        <v>836</v>
      </c>
      <c r="B46" s="6"/>
      <c r="C46" s="6"/>
      <c r="D46" s="6"/>
      <c r="E46" s="6"/>
      <c r="F46" s="10"/>
      <c r="G46" s="10">
        <f>'Recipe Converters'!O6</f>
        <v>2.2840379716143744</v>
      </c>
      <c r="I46" s="6"/>
    </row>
    <row r="47" spans="1:16" x14ac:dyDescent="0.25">
      <c r="A47" t="s">
        <v>109</v>
      </c>
      <c r="B47" s="6">
        <f>(753*0.8)+(1628*0.2)</f>
        <v>928</v>
      </c>
      <c r="C47" s="6">
        <f>(78*0.8)+(184*0.2)</f>
        <v>99.200000000000017</v>
      </c>
      <c r="D47" s="6">
        <f>(10*0.8)+(1.9*0.2)</f>
        <v>8.3800000000000008</v>
      </c>
      <c r="E47" s="6">
        <f>(4.3*0.8)+(0.1*0.2)</f>
        <v>3.46</v>
      </c>
      <c r="F47" s="10">
        <f t="shared" si="0"/>
        <v>0</v>
      </c>
      <c r="H47">
        <f>(28*32)+(454*4)</f>
        <v>2712</v>
      </c>
      <c r="I47">
        <v>137.4</v>
      </c>
      <c r="J47" t="s">
        <v>143</v>
      </c>
      <c r="L47" t="s">
        <v>146</v>
      </c>
      <c r="N47" t="s">
        <v>140</v>
      </c>
      <c r="P47" t="s">
        <v>110</v>
      </c>
    </row>
    <row r="48" spans="1:16" x14ac:dyDescent="0.25">
      <c r="A48" t="s">
        <v>126</v>
      </c>
      <c r="B48" s="6">
        <f>160*($I$48/30)</f>
        <v>800</v>
      </c>
      <c r="C48" s="6">
        <f>13*($I$48/30)</f>
        <v>65</v>
      </c>
      <c r="D48" s="6">
        <f>6*($I$48/30)</f>
        <v>30</v>
      </c>
      <c r="E48" s="6">
        <f>2*($I$48/30)</f>
        <v>10</v>
      </c>
      <c r="F48" s="10">
        <f t="shared" si="0"/>
        <v>3.1355652173913042</v>
      </c>
      <c r="G48" s="9">
        <f>(13.48)*1.07</f>
        <v>14.4236</v>
      </c>
      <c r="H48">
        <f>30*23</f>
        <v>690</v>
      </c>
      <c r="I48">
        <v>150</v>
      </c>
      <c r="P48" t="s">
        <v>127</v>
      </c>
    </row>
    <row r="49" spans="1:16" x14ac:dyDescent="0.25">
      <c r="A49" t="s">
        <v>128</v>
      </c>
      <c r="B49" s="6">
        <v>528</v>
      </c>
      <c r="C49" s="6">
        <v>48</v>
      </c>
      <c r="D49" s="6">
        <v>18.399999999999999</v>
      </c>
      <c r="E49" s="6">
        <v>4.4000000000000004</v>
      </c>
      <c r="F49" s="10">
        <f t="shared" si="0"/>
        <v>2.5201647058823533</v>
      </c>
      <c r="G49" s="9">
        <f>4.55*1.07</f>
        <v>4.8685</v>
      </c>
      <c r="H49">
        <v>170</v>
      </c>
      <c r="I49">
        <v>88</v>
      </c>
      <c r="P49" t="s">
        <v>67</v>
      </c>
    </row>
    <row r="50" spans="1:16" x14ac:dyDescent="0.25">
      <c r="A50" t="s">
        <v>269</v>
      </c>
      <c r="B50" s="6">
        <f>160*(I50/28)</f>
        <v>788.57142857142867</v>
      </c>
      <c r="C50" s="6">
        <f>14*($I$50/28)</f>
        <v>69</v>
      </c>
      <c r="D50" s="6">
        <f>5*($I$50/28)</f>
        <v>24.642857142857146</v>
      </c>
      <c r="E50" s="6">
        <f>2*($I$50/28)</f>
        <v>9.8571428571428577</v>
      </c>
      <c r="F50" s="10">
        <f t="shared" si="0"/>
        <v>3.1312297872340431</v>
      </c>
      <c r="G50" s="9">
        <f>2.99*1.07</f>
        <v>3.1993000000000005</v>
      </c>
      <c r="H50">
        <v>141</v>
      </c>
      <c r="I50">
        <v>138</v>
      </c>
      <c r="J50" t="s">
        <v>268</v>
      </c>
    </row>
    <row r="51" spans="1:16" x14ac:dyDescent="0.25">
      <c r="A51" t="s">
        <v>442</v>
      </c>
      <c r="B51" s="6">
        <f>70*8</f>
        <v>560</v>
      </c>
      <c r="C51" s="6">
        <f>3.5*8</f>
        <v>28</v>
      </c>
      <c r="D51" s="6">
        <v>0</v>
      </c>
      <c r="E51" s="6">
        <f>5*8</f>
        <v>40</v>
      </c>
      <c r="F51" s="10">
        <f t="shared" si="0"/>
        <v>0.91152651515151528</v>
      </c>
      <c r="G51" s="9">
        <f>5.19*1.07</f>
        <v>5.553300000000001</v>
      </c>
      <c r="H51">
        <v>396</v>
      </c>
      <c r="I51">
        <f>65</f>
        <v>65</v>
      </c>
      <c r="J51" t="s">
        <v>444</v>
      </c>
    </row>
    <row r="52" spans="1:16" x14ac:dyDescent="0.25">
      <c r="B52" s="6"/>
      <c r="C52" s="6"/>
      <c r="D52" s="6"/>
      <c r="E52" s="6"/>
      <c r="F52" s="10"/>
      <c r="G52" s="9"/>
    </row>
    <row r="53" spans="1:16" x14ac:dyDescent="0.25">
      <c r="B53" s="6"/>
      <c r="C53" s="6"/>
      <c r="D53" s="6"/>
      <c r="E53" s="6"/>
      <c r="F53" s="10"/>
      <c r="G53" s="9">
        <f>2.98*1.07</f>
        <v>3.1886000000000001</v>
      </c>
    </row>
    <row r="54" spans="1:16" x14ac:dyDescent="0.25">
      <c r="A54" s="26" t="s">
        <v>830</v>
      </c>
      <c r="B54" s="6"/>
      <c r="C54" s="6"/>
      <c r="D54" s="6"/>
      <c r="E54" s="6"/>
      <c r="F54" s="10"/>
      <c r="G54" s="9"/>
    </row>
    <row r="55" spans="1:16" x14ac:dyDescent="0.25">
      <c r="A55" t="s">
        <v>296</v>
      </c>
      <c r="B55" s="6">
        <f>170*($I$55/30)</f>
        <v>963.33333333333337</v>
      </c>
      <c r="C55" s="6">
        <f>11*($I$55/30)</f>
        <v>62.333333333333336</v>
      </c>
      <c r="D55" s="6">
        <f>3*($I$55/30)</f>
        <v>17</v>
      </c>
      <c r="E55" s="6">
        <f>11*($I$55/30)</f>
        <v>62.333333333333336</v>
      </c>
      <c r="F55" s="10">
        <f t="shared" si="0"/>
        <v>0</v>
      </c>
      <c r="G55" s="9"/>
      <c r="H55">
        <v>150</v>
      </c>
      <c r="I55">
        <v>170</v>
      </c>
    </row>
    <row r="56" spans="1:16" x14ac:dyDescent="0.25">
      <c r="A56" t="s">
        <v>297</v>
      </c>
      <c r="B56" s="6">
        <v>940</v>
      </c>
      <c r="C56" s="6">
        <v>52</v>
      </c>
      <c r="D56" s="6">
        <v>13.6</v>
      </c>
      <c r="E56" s="6">
        <v>92</v>
      </c>
      <c r="F56" s="10">
        <f t="shared" si="0"/>
        <v>1.5643400000000001</v>
      </c>
      <c r="G56" s="9">
        <f>1.29*1.07</f>
        <v>1.3803000000000001</v>
      </c>
      <c r="H56">
        <v>150</v>
      </c>
      <c r="I56">
        <v>170</v>
      </c>
      <c r="P56" t="s">
        <v>115</v>
      </c>
    </row>
    <row r="57" spans="1:16" x14ac:dyDescent="0.25">
      <c r="A57" t="s">
        <v>162</v>
      </c>
      <c r="B57" s="6">
        <f>60*(150/14)</f>
        <v>642.85714285714278</v>
      </c>
      <c r="C57" s="6">
        <f>4*(150/14)</f>
        <v>42.857142857142854</v>
      </c>
      <c r="D57" s="6">
        <f>1*(150/14)</f>
        <v>10.714285714285714</v>
      </c>
      <c r="E57" s="6">
        <f>1*(150/14)</f>
        <v>10.714285714285714</v>
      </c>
      <c r="F57" s="10">
        <f t="shared" si="0"/>
        <v>0.81194117647058828</v>
      </c>
      <c r="G57" s="9">
        <f>1.29*1.07</f>
        <v>1.3803000000000001</v>
      </c>
      <c r="H57">
        <v>255</v>
      </c>
      <c r="I57">
        <v>150</v>
      </c>
      <c r="J57" t="s">
        <v>161</v>
      </c>
    </row>
    <row r="58" spans="1:16" x14ac:dyDescent="0.25">
      <c r="A58" t="s">
        <v>163</v>
      </c>
      <c r="B58" s="6">
        <f>70*(150/15)</f>
        <v>700</v>
      </c>
      <c r="C58" s="6">
        <f>6*(150/15)</f>
        <v>60</v>
      </c>
      <c r="D58" s="6">
        <f>1*(150/15)</f>
        <v>10</v>
      </c>
      <c r="E58" s="6">
        <f>5*(150/15)</f>
        <v>50</v>
      </c>
      <c r="F58" s="10">
        <f t="shared" si="0"/>
        <v>3.6002352941176472</v>
      </c>
      <c r="G58" s="9">
        <f>5.72*1.07</f>
        <v>6.1204000000000001</v>
      </c>
      <c r="H58">
        <v>255</v>
      </c>
      <c r="I58">
        <v>150</v>
      </c>
      <c r="J58" t="s">
        <v>164</v>
      </c>
    </row>
    <row r="59" spans="1:16" x14ac:dyDescent="0.25">
      <c r="A59" t="s">
        <v>167</v>
      </c>
      <c r="B59" s="6">
        <f>70*(150/15)</f>
        <v>700</v>
      </c>
      <c r="C59" s="6">
        <f>6*(150/15)</f>
        <v>60</v>
      </c>
      <c r="D59" s="6">
        <f>1*(150/15)</f>
        <v>10</v>
      </c>
      <c r="E59" s="6">
        <f>5*(150/15)</f>
        <v>50</v>
      </c>
      <c r="F59" s="10">
        <f t="shared" si="0"/>
        <v>0.75</v>
      </c>
      <c r="G59" s="9">
        <v>1.7</v>
      </c>
      <c r="H59">
        <v>340</v>
      </c>
      <c r="I59">
        <v>150</v>
      </c>
    </row>
    <row r="60" spans="1:16" x14ac:dyDescent="0.25">
      <c r="A60" t="s">
        <v>413</v>
      </c>
      <c r="B60" s="6">
        <f>60*($I$60/14)</f>
        <v>960</v>
      </c>
      <c r="C60" s="6">
        <f>4*($I$60/14)</f>
        <v>64</v>
      </c>
      <c r="D60" s="6">
        <f>0*($I$60/14)</f>
        <v>0</v>
      </c>
      <c r="E60" s="6">
        <f>1*($I$60/14)</f>
        <v>16</v>
      </c>
      <c r="F60" s="10">
        <f t="shared" si="0"/>
        <v>1.4944752941176473</v>
      </c>
      <c r="G60" s="9">
        <f>1.59*1.07</f>
        <v>1.7013000000000003</v>
      </c>
      <c r="H60">
        <v>255</v>
      </c>
      <c r="I60">
        <f>14*16</f>
        <v>224</v>
      </c>
    </row>
    <row r="61" spans="1:16" x14ac:dyDescent="0.25">
      <c r="A61" t="s">
        <v>427</v>
      </c>
      <c r="B61" s="6">
        <f>169*(I61/32)</f>
        <v>686.5625</v>
      </c>
      <c r="C61" s="6">
        <f>9*(I61/32)</f>
        <v>36.5625</v>
      </c>
      <c r="D61" s="6">
        <f>3*(I61/32)</f>
        <v>12.1875</v>
      </c>
      <c r="E61" s="6">
        <f>18*(I61/32)</f>
        <v>73.125</v>
      </c>
      <c r="F61" s="10">
        <f t="shared" si="0"/>
        <v>4.528837209302325</v>
      </c>
      <c r="G61" s="9">
        <v>7.49</v>
      </c>
      <c r="H61">
        <v>215</v>
      </c>
      <c r="I61">
        <v>130</v>
      </c>
      <c r="J61" t="s">
        <v>231</v>
      </c>
    </row>
    <row r="62" spans="1:16" x14ac:dyDescent="0.25">
      <c r="A62" t="s">
        <v>120</v>
      </c>
      <c r="B62" s="6">
        <f>180*(15/33)</f>
        <v>81.818181818181813</v>
      </c>
      <c r="C62" s="6">
        <f>11*(15/33)</f>
        <v>5</v>
      </c>
      <c r="D62" s="6">
        <f>2*(15/33)</f>
        <v>0.90909090909090906</v>
      </c>
      <c r="E62" s="6">
        <f>19*(15/33)</f>
        <v>8.6363636363636367</v>
      </c>
      <c r="F62" s="10">
        <f t="shared" si="0"/>
        <v>0</v>
      </c>
      <c r="H62">
        <v>200</v>
      </c>
      <c r="I62">
        <v>156</v>
      </c>
    </row>
    <row r="63" spans="1:16" x14ac:dyDescent="0.25">
      <c r="A63" t="s">
        <v>165</v>
      </c>
      <c r="B63" s="6">
        <f>(((_xlfn.XLOOKUP("Nutella",'Liquid Mix In Nutrition'!$A:$A,'Liquid Mix In Nutrition'!B:B) *16)*0.54)+(_xlfn.XLOOKUP("Milk Chocolate Bar",$A:$A,B:B)*(240/_xlfn.XLOOKUP("Milk Chocolate Bar",$A:$A,$I:$I))*0.46))*($I$63/240)</f>
        <v>1091.9058823529415</v>
      </c>
      <c r="C63" s="6">
        <f>(((_xlfn.XLOOKUP("Nutella",'Liquid Mix In Nutrition'!$A:$A,'Liquid Mix In Nutrition'!C:C) *16)*0.54)+(_xlfn.XLOOKUP("Milk Chocolate Bar",$A:$A,C:C)*(240/_xlfn.XLOOKUP("Milk Chocolate Bar",$A:$A,$I:$I))*0.46))*($I$63/240)</f>
        <v>56.941176470588246</v>
      </c>
      <c r="D63" s="6">
        <f>(((_xlfn.XLOOKUP("Nutella",'Liquid Mix In Nutrition'!$A:$A,'Liquid Mix In Nutrition'!D:D) *16)*0.54)+(_xlfn.XLOOKUP("Milk Chocolate Bar",$A:$A,D:D)*(240/_xlfn.XLOOKUP("Milk Chocolate Bar",$A:$A,$I:$I))*0.46))*($I$63/240)</f>
        <v>13.120000000000001</v>
      </c>
      <c r="E63" s="6">
        <f>(((_xlfn.XLOOKUP("Nutella",'Liquid Mix In Nutrition'!$A:$A,'Liquid Mix In Nutrition'!E:E) *16)*0.54)+(_xlfn.XLOOKUP("Milk Chocolate Bar",$A:$A,E:E)*(240/_xlfn.XLOOKUP("Milk Chocolate Bar",$A:$A,$I:$I))*0.46))*($I$63/240)</f>
        <v>116.02823529411765</v>
      </c>
      <c r="F63" s="10">
        <f t="shared" si="0"/>
        <v>2.4152015355086371</v>
      </c>
      <c r="G63" s="9">
        <f>_xlfn.XLOOKUP("Nutella",'Liquid Mix In Nutrition'!$A:$A,'Liquid Mix In Nutrition'!G:G)+_xlfn.XLOOKUP("Milk Chocolate Bar",$A:$A,G:G)</f>
        <v>6.2915999999999999</v>
      </c>
      <c r="H63">
        <f>_xlfn.XLOOKUP("Nutella",'Liquid Mix In Nutrition'!$A:$A,'Liquid Mix In Nutrition'!H:H)+_xlfn.XLOOKUP("Milk Chocolate Bar",$A:$A,H:H)</f>
        <v>521</v>
      </c>
      <c r="I63">
        <v>200</v>
      </c>
    </row>
    <row r="64" spans="1:16" x14ac:dyDescent="0.25">
      <c r="A64" s="26" t="s">
        <v>837</v>
      </c>
      <c r="F64" s="10"/>
      <c r="G64" s="9">
        <f>5.29*1.07</f>
        <v>5.6603000000000003</v>
      </c>
    </row>
    <row r="65" spans="1:10" x14ac:dyDescent="0.25">
      <c r="A65" t="s">
        <v>112</v>
      </c>
      <c r="B65" s="6">
        <v>400</v>
      </c>
      <c r="C65" s="6">
        <v>2</v>
      </c>
      <c r="D65" s="6">
        <v>12</v>
      </c>
      <c r="E65" s="6">
        <v>10</v>
      </c>
      <c r="F65" s="10">
        <f t="shared" si="0"/>
        <v>0.85239036144578317</v>
      </c>
      <c r="G65" s="9">
        <f>3.99*1.07</f>
        <v>4.2693000000000003</v>
      </c>
      <c r="H65">
        <v>581</v>
      </c>
      <c r="I65">
        <v>116</v>
      </c>
    </row>
    <row r="66" spans="1:10" x14ac:dyDescent="0.25">
      <c r="F66" s="10"/>
    </row>
    <row r="67" spans="1:10" x14ac:dyDescent="0.25">
      <c r="A67" s="26" t="s">
        <v>838</v>
      </c>
      <c r="F67" s="10"/>
    </row>
    <row r="68" spans="1:10" x14ac:dyDescent="0.25">
      <c r="A68" t="s">
        <v>122</v>
      </c>
      <c r="B68" s="6">
        <v>495</v>
      </c>
      <c r="C68" s="6">
        <v>41</v>
      </c>
      <c r="D68" s="6">
        <v>28</v>
      </c>
      <c r="E68" s="6">
        <v>0.6</v>
      </c>
      <c r="F68" s="10">
        <f t="shared" ref="F68:F73" si="1">$G68*($I68/$H68)</f>
        <v>0.76269600000000015</v>
      </c>
      <c r="G68" s="9">
        <f>2.97*1.07</f>
        <v>3.1779000000000006</v>
      </c>
      <c r="H68">
        <v>1000</v>
      </c>
      <c r="I68">
        <v>240</v>
      </c>
    </row>
    <row r="69" spans="1:10" x14ac:dyDescent="0.25">
      <c r="F69" s="10"/>
      <c r="G69" s="9">
        <f>25.58*1.07</f>
        <v>27.3706</v>
      </c>
    </row>
    <row r="70" spans="1:10" x14ac:dyDescent="0.25">
      <c r="F70" s="10"/>
    </row>
    <row r="71" spans="1:10" x14ac:dyDescent="0.25">
      <c r="A71" s="26" t="s">
        <v>839</v>
      </c>
      <c r="F71" s="10"/>
    </row>
    <row r="72" spans="1:10" x14ac:dyDescent="0.25">
      <c r="A72" t="s">
        <v>267</v>
      </c>
      <c r="B72" s="6">
        <f>90*($I$72/30)</f>
        <v>120</v>
      </c>
      <c r="C72" s="6">
        <v>0</v>
      </c>
      <c r="D72" s="6">
        <v>1.5</v>
      </c>
      <c r="E72" s="6">
        <f>18*($I$72/30)</f>
        <v>24</v>
      </c>
      <c r="F72" s="10">
        <f t="shared" si="1"/>
        <v>0.14316901408450705</v>
      </c>
      <c r="G72" s="9">
        <f>0.95*1.07</f>
        <v>1.0165</v>
      </c>
      <c r="H72">
        <v>284</v>
      </c>
      <c r="I72">
        <v>40</v>
      </c>
      <c r="J72" t="s">
        <v>67</v>
      </c>
    </row>
    <row r="73" spans="1:10" x14ac:dyDescent="0.25">
      <c r="A73" t="s">
        <v>121</v>
      </c>
      <c r="B73" s="6">
        <f>140*($I$73/42)</f>
        <v>380</v>
      </c>
      <c r="C73" s="6">
        <v>0</v>
      </c>
      <c r="D73" s="6">
        <v>0</v>
      </c>
      <c r="E73" s="6">
        <f>30*($I$73/42)</f>
        <v>81.428571428571431</v>
      </c>
      <c r="F73" s="10">
        <f t="shared" si="1"/>
        <v>1.911340157480315</v>
      </c>
      <c r="G73" s="9">
        <f>1.99*1.07</f>
        <v>2.1293000000000002</v>
      </c>
      <c r="H73">
        <v>127</v>
      </c>
      <c r="I73">
        <v>114</v>
      </c>
    </row>
    <row r="74" spans="1:10" x14ac:dyDescent="0.25">
      <c r="A74" t="s">
        <v>872</v>
      </c>
      <c r="B74">
        <f>100*(H74/24)</f>
        <v>330</v>
      </c>
      <c r="C74">
        <f>2*(H74/24)</f>
        <v>6.6000000000000005</v>
      </c>
      <c r="D74">
        <f>1*(H74/24)</f>
        <v>3.3000000000000003</v>
      </c>
      <c r="E74">
        <f>12*(H74/24)</f>
        <v>39.6</v>
      </c>
      <c r="F74" s="10">
        <f>$G74*($I74/$H74)</f>
        <v>3.21</v>
      </c>
      <c r="G74">
        <f>3*1.07</f>
        <v>3.21</v>
      </c>
      <c r="H74">
        <v>79.2</v>
      </c>
      <c r="I74">
        <v>79.2</v>
      </c>
    </row>
  </sheetData>
  <conditionalFormatting sqref="F3:F7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E174E-6F01-4575-9F89-4E1DD397C023}">
  <sheetPr codeName="Sheet6"/>
  <dimension ref="A1:O80"/>
  <sheetViews>
    <sheetView topLeftCell="A10" workbookViewId="0">
      <selection activeCell="B45" sqref="B45"/>
    </sheetView>
  </sheetViews>
  <sheetFormatPr defaultRowHeight="15" x14ac:dyDescent="0.25"/>
  <cols>
    <col min="1" max="1" width="39.28515625" customWidth="1"/>
    <col min="2" max="5" width="12" bestFit="1" customWidth="1"/>
    <col min="6" max="6" width="12.28515625" bestFit="1" customWidth="1"/>
    <col min="7" max="7" width="12.28515625" style="9" bestFit="1" customWidth="1"/>
    <col min="8" max="8" width="17.28515625" bestFit="1" customWidth="1"/>
    <col min="9" max="9" width="20.28515625" bestFit="1" customWidth="1"/>
  </cols>
  <sheetData>
    <row r="1" spans="1:10" x14ac:dyDescent="0.25">
      <c r="A1" t="s">
        <v>79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s="9" t="s">
        <v>57</v>
      </c>
      <c r="H1" t="s">
        <v>58</v>
      </c>
      <c r="I1" t="s">
        <v>80</v>
      </c>
      <c r="J1" t="s">
        <v>760</v>
      </c>
    </row>
    <row r="2" spans="1:10" x14ac:dyDescent="0.25">
      <c r="A2" s="26" t="s">
        <v>821</v>
      </c>
    </row>
    <row r="3" spans="1:10" x14ac:dyDescent="0.25">
      <c r="A3" t="s">
        <v>0</v>
      </c>
      <c r="B3" s="4">
        <v>45</v>
      </c>
      <c r="C3" s="4">
        <v>0</v>
      </c>
      <c r="D3" s="4">
        <v>0</v>
      </c>
      <c r="E3" s="4">
        <v>9</v>
      </c>
      <c r="F3" s="9">
        <f t="shared" ref="F3:F11" si="0">$G3*(15/$H3)</f>
        <v>0.71017699115044264</v>
      </c>
      <c r="G3" s="9">
        <f>5*1.07</f>
        <v>5.3500000000000005</v>
      </c>
      <c r="H3">
        <v>113</v>
      </c>
      <c r="I3" t="s">
        <v>78</v>
      </c>
    </row>
    <row r="4" spans="1:10" x14ac:dyDescent="0.25">
      <c r="A4" t="s">
        <v>176</v>
      </c>
      <c r="B4" s="4">
        <v>72.5</v>
      </c>
      <c r="C4" s="4">
        <v>0</v>
      </c>
      <c r="D4" s="4">
        <v>0</v>
      </c>
      <c r="E4" s="4">
        <v>3.3</v>
      </c>
      <c r="F4" s="9">
        <f t="shared" si="0"/>
        <v>1.3970338983050847</v>
      </c>
      <c r="G4" s="9">
        <v>10.99</v>
      </c>
      <c r="H4">
        <v>118</v>
      </c>
      <c r="I4" t="s">
        <v>78</v>
      </c>
    </row>
    <row r="5" spans="1:10" x14ac:dyDescent="0.25">
      <c r="A5" t="s">
        <v>418</v>
      </c>
      <c r="B5" s="4">
        <v>36</v>
      </c>
      <c r="C5" s="4">
        <v>0</v>
      </c>
      <c r="D5" s="4">
        <v>0</v>
      </c>
      <c r="E5" s="4">
        <v>1.8</v>
      </c>
      <c r="F5" s="9">
        <f t="shared" si="0"/>
        <v>1.2227923728813559</v>
      </c>
      <c r="G5" s="9">
        <f>8.99*1.07</f>
        <v>9.6193000000000008</v>
      </c>
      <c r="H5">
        <v>118</v>
      </c>
      <c r="I5" t="s">
        <v>78</v>
      </c>
    </row>
    <row r="6" spans="1:10" x14ac:dyDescent="0.25">
      <c r="A6" t="s">
        <v>99</v>
      </c>
      <c r="B6" s="4">
        <v>43.2</v>
      </c>
      <c r="C6" s="4">
        <v>0</v>
      </c>
      <c r="D6" s="4">
        <v>0</v>
      </c>
      <c r="E6" s="4">
        <v>1.9</v>
      </c>
      <c r="F6" s="9">
        <f t="shared" si="0"/>
        <v>1.1262711864406778</v>
      </c>
      <c r="G6" s="9">
        <v>4.43</v>
      </c>
      <c r="H6">
        <v>59</v>
      </c>
      <c r="I6" t="s">
        <v>67</v>
      </c>
    </row>
    <row r="7" spans="1:10" x14ac:dyDescent="0.25">
      <c r="A7" t="s">
        <v>160</v>
      </c>
      <c r="B7" s="4">
        <v>35</v>
      </c>
      <c r="C7" s="4">
        <v>0</v>
      </c>
      <c r="D7" s="4">
        <v>0</v>
      </c>
      <c r="E7" s="4">
        <v>1.8</v>
      </c>
      <c r="F7" s="9">
        <f t="shared" si="0"/>
        <v>0.59699999999999998</v>
      </c>
      <c r="G7" s="9">
        <v>1.99</v>
      </c>
      <c r="H7">
        <v>50</v>
      </c>
      <c r="I7" t="s">
        <v>67</v>
      </c>
    </row>
    <row r="8" spans="1:10" x14ac:dyDescent="0.25">
      <c r="A8" t="s">
        <v>98</v>
      </c>
      <c r="B8" s="4">
        <v>0</v>
      </c>
      <c r="C8" s="4">
        <v>0</v>
      </c>
      <c r="D8" s="4">
        <v>0</v>
      </c>
      <c r="E8" s="4">
        <v>0</v>
      </c>
      <c r="F8" s="9">
        <f t="shared" si="0"/>
        <v>1.196949152542373</v>
      </c>
      <c r="G8" s="9">
        <f>4.4*1.07</f>
        <v>4.7080000000000011</v>
      </c>
      <c r="H8">
        <v>59</v>
      </c>
      <c r="I8" t="s">
        <v>135</v>
      </c>
    </row>
    <row r="9" spans="1:10" x14ac:dyDescent="0.25">
      <c r="A9" t="s">
        <v>639</v>
      </c>
      <c r="B9" s="4">
        <f>10*3</f>
        <v>30</v>
      </c>
      <c r="C9" s="4">
        <v>0</v>
      </c>
      <c r="D9" s="4">
        <v>0</v>
      </c>
      <c r="E9" s="4">
        <f>1*3</f>
        <v>3</v>
      </c>
      <c r="F9" s="9">
        <f t="shared" si="0"/>
        <v>0.76397999999999999</v>
      </c>
      <c r="G9" s="9">
        <f>1.19*1.07</f>
        <v>1.2733000000000001</v>
      </c>
      <c r="H9">
        <v>25</v>
      </c>
    </row>
    <row r="10" spans="1:10" x14ac:dyDescent="0.25">
      <c r="A10" t="s">
        <v>483</v>
      </c>
      <c r="B10">
        <v>0</v>
      </c>
      <c r="C10">
        <v>0</v>
      </c>
      <c r="D10">
        <v>0</v>
      </c>
      <c r="E10">
        <v>0</v>
      </c>
      <c r="F10" s="9">
        <f t="shared" si="0"/>
        <v>0.11299343525956637</v>
      </c>
      <c r="G10" s="9">
        <f>(455*1.15)/153</f>
        <v>3.4199346405228757</v>
      </c>
      <c r="H10">
        <v>454</v>
      </c>
    </row>
    <row r="11" spans="1:10" x14ac:dyDescent="0.25">
      <c r="A11" t="s">
        <v>484</v>
      </c>
      <c r="B11">
        <f>210*(15/60)</f>
        <v>52.5</v>
      </c>
      <c r="C11">
        <v>0</v>
      </c>
      <c r="D11">
        <v>0</v>
      </c>
      <c r="E11">
        <f>53*(15/60)</f>
        <v>13.25</v>
      </c>
      <c r="F11" s="9">
        <f t="shared" si="0"/>
        <v>5.289246776934875E-2</v>
      </c>
      <c r="G11" s="9">
        <f>(221.9*1.15)/153</f>
        <v>1.667875816993464</v>
      </c>
      <c r="H11">
        <v>473</v>
      </c>
    </row>
    <row r="13" spans="1:10" x14ac:dyDescent="0.25">
      <c r="A13" s="26" t="s">
        <v>822</v>
      </c>
    </row>
    <row r="14" spans="1:10" x14ac:dyDescent="0.25">
      <c r="A14" t="s">
        <v>248</v>
      </c>
      <c r="B14" s="4">
        <f>15*(15/7)</f>
        <v>32.142857142857139</v>
      </c>
      <c r="C14" s="4">
        <f>1*(15/7)</f>
        <v>2.1428571428571428</v>
      </c>
      <c r="D14" s="4">
        <f>2*(15/7)</f>
        <v>4.2857142857142856</v>
      </c>
      <c r="E14" s="4">
        <v>0</v>
      </c>
      <c r="F14" s="9">
        <f>$G14*(15/$H14)</f>
        <v>0.52993281938325998</v>
      </c>
      <c r="G14" s="9">
        <f>14.99*1.07</f>
        <v>16.039300000000001</v>
      </c>
      <c r="H14">
        <v>454</v>
      </c>
    </row>
    <row r="15" spans="1:10" x14ac:dyDescent="0.25">
      <c r="A15" t="s">
        <v>265</v>
      </c>
      <c r="B15" s="4">
        <f>0.6*(15/30)</f>
        <v>0.3</v>
      </c>
      <c r="C15" s="4">
        <f>0*(15/30)</f>
        <v>0</v>
      </c>
      <c r="D15" s="4">
        <f>0*(15/30)</f>
        <v>0</v>
      </c>
      <c r="E15" s="4">
        <f>0*(15/30)</f>
        <v>0</v>
      </c>
      <c r="F15" s="9">
        <f>$G15*(15/$H15)</f>
        <v>1.4153439153439153</v>
      </c>
      <c r="G15" s="9">
        <f>5*1.07</f>
        <v>5.3500000000000005</v>
      </c>
      <c r="H15">
        <v>56.7</v>
      </c>
    </row>
    <row r="16" spans="1:10" x14ac:dyDescent="0.25">
      <c r="A16" t="s">
        <v>544</v>
      </c>
      <c r="B16" s="4">
        <f>0</f>
        <v>0</v>
      </c>
      <c r="C16" s="4">
        <v>0</v>
      </c>
      <c r="D16" s="4">
        <v>0</v>
      </c>
      <c r="E16" s="4">
        <f>0</f>
        <v>0</v>
      </c>
      <c r="F16" s="9">
        <f>$G16*(15/$H16)</f>
        <v>2.2453949999999998</v>
      </c>
      <c r="G16" s="9">
        <f>13.99*1.07</f>
        <v>14.9693</v>
      </c>
      <c r="H16">
        <v>100</v>
      </c>
    </row>
    <row r="17" spans="1:15" x14ac:dyDescent="0.25">
      <c r="A17" t="s">
        <v>89</v>
      </c>
      <c r="B17" s="4">
        <f>380*(15/80)</f>
        <v>71.25</v>
      </c>
      <c r="C17" s="4">
        <f>17*(15/80)</f>
        <v>3.1875</v>
      </c>
      <c r="D17" s="4">
        <f>4*(15/80)</f>
        <v>0.75</v>
      </c>
      <c r="E17" s="4">
        <f>42*(15/80)</f>
        <v>7.875</v>
      </c>
      <c r="F17" s="9">
        <f>$G17*(15/$H17)</f>
        <v>7.4374999999999997E-2</v>
      </c>
      <c r="G17" s="9">
        <v>1.19</v>
      </c>
      <c r="H17">
        <v>240</v>
      </c>
      <c r="I17" t="s">
        <v>90</v>
      </c>
      <c r="O17" t="s">
        <v>67</v>
      </c>
    </row>
    <row r="18" spans="1:15" x14ac:dyDescent="0.25">
      <c r="A18" s="73" t="s">
        <v>512</v>
      </c>
      <c r="B18">
        <v>0</v>
      </c>
      <c r="C18">
        <v>0</v>
      </c>
      <c r="D18">
        <v>0</v>
      </c>
      <c r="E18">
        <v>0</v>
      </c>
      <c r="F18" s="9">
        <f>$G18*(15/$H18)</f>
        <v>0.71564117647058823</v>
      </c>
      <c r="G18" s="9">
        <f>3.79*1.07</f>
        <v>4.0552999999999999</v>
      </c>
      <c r="H18">
        <v>85</v>
      </c>
      <c r="I18" t="s">
        <v>513</v>
      </c>
    </row>
    <row r="19" spans="1:15" x14ac:dyDescent="0.25">
      <c r="A19" t="s">
        <v>2</v>
      </c>
      <c r="B19">
        <f>333*(15/100)</f>
        <v>49.949999999999996</v>
      </c>
      <c r="C19">
        <v>0</v>
      </c>
      <c r="D19">
        <v>0</v>
      </c>
      <c r="E19">
        <v>15</v>
      </c>
      <c r="F19" s="9">
        <f t="shared" ref="F19:F22" si="1">$G19*(15/$H19)</f>
        <v>0.22770083102493077</v>
      </c>
      <c r="G19" s="9">
        <v>5.48</v>
      </c>
      <c r="H19">
        <v>361</v>
      </c>
    </row>
    <row r="20" spans="1:15" x14ac:dyDescent="0.25">
      <c r="A20" t="s">
        <v>134</v>
      </c>
      <c r="B20">
        <f>375*(15/100)</f>
        <v>56.25</v>
      </c>
      <c r="C20">
        <v>0</v>
      </c>
      <c r="D20">
        <v>0</v>
      </c>
      <c r="E20">
        <f>75*(15/100)</f>
        <v>11.25</v>
      </c>
      <c r="F20" s="9">
        <f t="shared" si="1"/>
        <v>0.4567371428571429</v>
      </c>
      <c r="G20" s="9">
        <f>4.98*1.07</f>
        <v>5.3286000000000007</v>
      </c>
      <c r="H20">
        <v>175</v>
      </c>
      <c r="I20" t="s">
        <v>135</v>
      </c>
    </row>
    <row r="21" spans="1:15" x14ac:dyDescent="0.25">
      <c r="A21" t="s">
        <v>136</v>
      </c>
      <c r="B21">
        <f>375*(15/100)</f>
        <v>56.25</v>
      </c>
      <c r="C21">
        <v>0</v>
      </c>
      <c r="D21">
        <v>0</v>
      </c>
      <c r="E21">
        <f>75*(15/100)</f>
        <v>11.25</v>
      </c>
      <c r="F21" s="9">
        <f t="shared" si="1"/>
        <v>0.47017058823529423</v>
      </c>
      <c r="G21" s="9">
        <f>4.98*1.07</f>
        <v>5.3286000000000007</v>
      </c>
      <c r="H21">
        <v>170</v>
      </c>
      <c r="I21" t="s">
        <v>135</v>
      </c>
    </row>
    <row r="22" spans="1:15" x14ac:dyDescent="0.25">
      <c r="A22" s="81" t="s">
        <v>456</v>
      </c>
      <c r="B22">
        <v>0</v>
      </c>
      <c r="C22">
        <v>0</v>
      </c>
      <c r="D22">
        <v>0</v>
      </c>
      <c r="E22">
        <v>0</v>
      </c>
      <c r="F22" s="9">
        <f t="shared" si="1"/>
        <v>0.71107594936708862</v>
      </c>
      <c r="G22" s="9">
        <f>7*1.07</f>
        <v>7.49</v>
      </c>
      <c r="H22">
        <v>158</v>
      </c>
    </row>
    <row r="23" spans="1:15" x14ac:dyDescent="0.25">
      <c r="A23" t="s">
        <v>459</v>
      </c>
      <c r="B23" s="4">
        <f>80*(15/118 )</f>
        <v>10.169491525423728</v>
      </c>
      <c r="C23" s="4">
        <f>0*(15/118 )</f>
        <v>0</v>
      </c>
      <c r="D23" s="4">
        <f>0*(15/118 )</f>
        <v>0</v>
      </c>
      <c r="E23" s="4">
        <f>20*(15/118 )</f>
        <v>2.5423728813559321</v>
      </c>
      <c r="F23" s="9">
        <f>$G23*(15/$H23)</f>
        <v>0.10145771670190276</v>
      </c>
      <c r="G23" s="9">
        <f>2.99*1.07</f>
        <v>3.1993000000000005</v>
      </c>
      <c r="H23">
        <v>473</v>
      </c>
      <c r="I23" t="s">
        <v>78</v>
      </c>
    </row>
    <row r="25" spans="1:15" x14ac:dyDescent="0.25">
      <c r="A25" s="26" t="s">
        <v>823</v>
      </c>
    </row>
    <row r="26" spans="1:15" x14ac:dyDescent="0.25">
      <c r="A26" t="s">
        <v>460</v>
      </c>
      <c r="B26" s="4">
        <f>50*(15/20)</f>
        <v>37.5</v>
      </c>
      <c r="C26" s="4">
        <v>0</v>
      </c>
      <c r="D26" s="4">
        <v>0</v>
      </c>
      <c r="E26" s="4">
        <f>12*(15/20)</f>
        <v>9</v>
      </c>
      <c r="F26" s="9">
        <f t="shared" ref="F26:F35" si="2">$G26*(15/$H26)</f>
        <v>6.7499999999999991E-2</v>
      </c>
      <c r="G26" s="9">
        <f>4.59/2</f>
        <v>2.2949999999999999</v>
      </c>
      <c r="H26">
        <v>510</v>
      </c>
    </row>
    <row r="27" spans="1:15" x14ac:dyDescent="0.25">
      <c r="A27" t="s">
        <v>102</v>
      </c>
      <c r="B27" s="4">
        <f>_xlfn.XLOOKUP("Strawberries",'Solid Mix In Nutrition'!$A:$A,'Solid Mix In Nutrition'!B:B) * (15/ _xlfn.XLOOKUP("Strawberries",'Solid Mix In Nutrition'!$A:$A,'Solid Mix In Nutrition'!$I:$I))</f>
        <v>4.8333333333333321</v>
      </c>
      <c r="C27" s="4">
        <f>_xlfn.XLOOKUP("Strawberries",'Solid Mix In Nutrition'!$A:$A,'Solid Mix In Nutrition'!C:C) * (15/ _xlfn.XLOOKUP("Strawberries",'Solid Mix In Nutrition'!$A:$A,'Solid Mix In Nutrition'!$I:$I))</f>
        <v>4.1666666666666664E-2</v>
      </c>
      <c r="D27" s="4">
        <f>_xlfn.XLOOKUP("Strawberries",'Solid Mix In Nutrition'!$A:$A,'Solid Mix In Nutrition'!D:D) * (15/ _xlfn.XLOOKUP("Strawberries",'Solid Mix In Nutrition'!$A:$A,'Solid Mix In Nutrition'!$I:$I))</f>
        <v>0.10416666666666666</v>
      </c>
      <c r="E27" s="4">
        <f>_xlfn.XLOOKUP("Strawberries",'Solid Mix In Nutrition'!$A:$A,'Solid Mix In Nutrition'!E:E) * (15/ _xlfn.XLOOKUP("Strawberries",'Solid Mix In Nutrition'!$A:$A,'Solid Mix In Nutrition'!$I:$I))</f>
        <v>0.72916666666666652</v>
      </c>
      <c r="F27" s="9">
        <f t="shared" si="2"/>
        <v>4.0534936998854521E-2</v>
      </c>
      <c r="G27" s="9">
        <f>(3.82*1.07)+_xlfn.XLOOKUP("Sugar",'Sweetener Mix In Nutrition'!$A:$A,'Sweetener Mix In Nutrition'!$G:$G,0)</f>
        <v>7.0773999999999999</v>
      </c>
      <c r="H27">
        <f>805+(_xlfn.XLOOKUP("Sugar",'Sweetener Mix In Nutrition'!$A:$A,'Sweetener Mix In Nutrition'!$H:$H,0))</f>
        <v>2619</v>
      </c>
      <c r="I27" t="s">
        <v>461</v>
      </c>
    </row>
    <row r="28" spans="1:15" x14ac:dyDescent="0.25">
      <c r="A28" t="s">
        <v>372</v>
      </c>
      <c r="B28" s="4">
        <f>30*(15/18)</f>
        <v>25</v>
      </c>
      <c r="C28" s="4">
        <v>0</v>
      </c>
      <c r="D28" s="4">
        <v>0</v>
      </c>
      <c r="E28" s="4">
        <f>7*(15/18)</f>
        <v>5.8333333333333339</v>
      </c>
      <c r="F28" s="9">
        <f t="shared" si="2"/>
        <v>0.22285957253323127</v>
      </c>
      <c r="G28" s="9">
        <f>5.79*1.07</f>
        <v>6.1953000000000005</v>
      </c>
      <c r="H28">
        <v>416.98680000000002</v>
      </c>
      <c r="I28" t="s">
        <v>371</v>
      </c>
    </row>
    <row r="29" spans="1:15" x14ac:dyDescent="0.25">
      <c r="A29" t="s">
        <v>373</v>
      </c>
      <c r="B29" s="4">
        <f>45*(15/20)</f>
        <v>33.75</v>
      </c>
      <c r="C29" s="4">
        <v>0</v>
      </c>
      <c r="D29" s="4">
        <v>0</v>
      </c>
      <c r="E29" s="4">
        <f>11*(15/20)</f>
        <v>8.25</v>
      </c>
      <c r="F29" s="9">
        <f t="shared" si="2"/>
        <v>0.2958138461538462</v>
      </c>
      <c r="G29" s="9">
        <f>5.99*1.07</f>
        <v>6.4093000000000009</v>
      </c>
      <c r="H29">
        <v>325</v>
      </c>
    </row>
    <row r="30" spans="1:15" x14ac:dyDescent="0.25">
      <c r="A30" t="s">
        <v>374</v>
      </c>
      <c r="B30" s="4">
        <f>130*(15/34)</f>
        <v>57.352941176470587</v>
      </c>
      <c r="C30" s="4">
        <v>0</v>
      </c>
      <c r="D30" s="4">
        <v>0</v>
      </c>
      <c r="E30" s="4">
        <f>28*(15/34)</f>
        <v>12.352941176470587</v>
      </c>
      <c r="F30" s="9">
        <f t="shared" si="2"/>
        <v>0.16828181818181823</v>
      </c>
      <c r="G30" s="9">
        <f>5.19*1.07</f>
        <v>5.553300000000001</v>
      </c>
      <c r="H30">
        <v>495</v>
      </c>
      <c r="I30" t="s">
        <v>867</v>
      </c>
    </row>
    <row r="31" spans="1:15" x14ac:dyDescent="0.25">
      <c r="A31" t="s">
        <v>864</v>
      </c>
      <c r="B31" s="4">
        <f>50*(15/20)</f>
        <v>37.5</v>
      </c>
      <c r="C31" s="4">
        <v>0</v>
      </c>
      <c r="D31" s="4">
        <v>0</v>
      </c>
      <c r="E31" s="4">
        <f>13*(15/20)</f>
        <v>9.75</v>
      </c>
      <c r="F31" s="9">
        <f t="shared" si="2"/>
        <v>0.52501584507042243</v>
      </c>
      <c r="G31" s="9">
        <f>9.29*1.07</f>
        <v>9.9402999999999988</v>
      </c>
      <c r="H31">
        <v>284</v>
      </c>
      <c r="I31" t="s">
        <v>387</v>
      </c>
    </row>
    <row r="32" spans="1:15" x14ac:dyDescent="0.25">
      <c r="A32" t="s">
        <v>865</v>
      </c>
      <c r="B32" s="4">
        <v>25</v>
      </c>
      <c r="C32" s="4">
        <v>0</v>
      </c>
      <c r="D32" s="4">
        <v>0</v>
      </c>
      <c r="E32" s="4">
        <v>6</v>
      </c>
      <c r="F32" s="9">
        <f t="shared" si="2"/>
        <v>0.50290000000000001</v>
      </c>
      <c r="G32" s="9">
        <f>7.99*1.07</f>
        <v>8.5493000000000006</v>
      </c>
      <c r="H32" s="4">
        <v>255</v>
      </c>
      <c r="I32" t="s">
        <v>474</v>
      </c>
    </row>
    <row r="33" spans="1:9" x14ac:dyDescent="0.25">
      <c r="A33" t="s">
        <v>775</v>
      </c>
      <c r="B33" s="4">
        <f>50*(15/19)</f>
        <v>39.473684210526315</v>
      </c>
      <c r="C33" s="4">
        <v>0</v>
      </c>
      <c r="D33" s="4">
        <v>0</v>
      </c>
      <c r="E33" s="4">
        <f>11*(15/19)</f>
        <v>8.6842105263157894</v>
      </c>
      <c r="F33" s="9">
        <f t="shared" si="2"/>
        <v>0.64685383064516122</v>
      </c>
      <c r="G33" s="9">
        <f>19.99*1.07</f>
        <v>21.389299999999999</v>
      </c>
      <c r="H33">
        <v>496</v>
      </c>
      <c r="I33" t="s">
        <v>774</v>
      </c>
    </row>
    <row r="34" spans="1:9" x14ac:dyDescent="0.25">
      <c r="A34" t="s">
        <v>516</v>
      </c>
      <c r="B34" s="4">
        <f>50*(15/20)</f>
        <v>37.5</v>
      </c>
      <c r="C34" s="4">
        <v>0</v>
      </c>
      <c r="D34" s="4">
        <v>0</v>
      </c>
      <c r="E34" s="4">
        <f>11*(15/19)</f>
        <v>8.6842105263157894</v>
      </c>
      <c r="F34" s="9">
        <f t="shared" si="2"/>
        <v>0.19904658385093171</v>
      </c>
      <c r="G34" s="9">
        <f>5.99*1.07</f>
        <v>6.4093000000000009</v>
      </c>
      <c r="H34">
        <v>483</v>
      </c>
      <c r="I34" t="s">
        <v>517</v>
      </c>
    </row>
    <row r="35" spans="1:9" x14ac:dyDescent="0.25">
      <c r="A35" t="s">
        <v>239</v>
      </c>
      <c r="B35" s="4">
        <v>13</v>
      </c>
      <c r="C35" s="4">
        <v>0.05</v>
      </c>
      <c r="D35" s="4">
        <v>0.16</v>
      </c>
      <c r="E35" s="4">
        <v>1.83</v>
      </c>
      <c r="F35" s="9">
        <f t="shared" si="2"/>
        <v>7.4999999999999997E-2</v>
      </c>
      <c r="G35" s="9">
        <v>0.5</v>
      </c>
      <c r="H35">
        <v>100</v>
      </c>
      <c r="I35" t="s">
        <v>240</v>
      </c>
    </row>
    <row r="36" spans="1:9" x14ac:dyDescent="0.25">
      <c r="A36" t="s">
        <v>335</v>
      </c>
      <c r="B36" s="4">
        <f>397*(15/330)</f>
        <v>18.045454545454547</v>
      </c>
      <c r="C36" s="4">
        <f>2.4*(15/330)</f>
        <v>0.10909090909090909</v>
      </c>
      <c r="D36" s="4">
        <f>5.6*(15/330)</f>
        <v>0.25454545454545452</v>
      </c>
      <c r="E36" s="4">
        <f>92*(15/330)</f>
        <v>4.1818181818181817</v>
      </c>
      <c r="F36" s="9"/>
    </row>
    <row r="37" spans="1:9" x14ac:dyDescent="0.25">
      <c r="A37" t="s">
        <v>403</v>
      </c>
      <c r="B37" s="4">
        <v>30.2</v>
      </c>
      <c r="C37" s="4">
        <v>0</v>
      </c>
      <c r="D37" s="4">
        <v>1</v>
      </c>
      <c r="E37" s="4">
        <v>2</v>
      </c>
      <c r="F37" s="9">
        <f t="shared" ref="F37:F42" si="3">$G37*(15/$H37)</f>
        <v>9.7810588235294121E-2</v>
      </c>
      <c r="G37" s="9">
        <f>2.59*1.07</f>
        <v>2.7713000000000001</v>
      </c>
      <c r="H37" s="4">
        <v>425</v>
      </c>
      <c r="I37" t="s">
        <v>404</v>
      </c>
    </row>
    <row r="38" spans="1:9" x14ac:dyDescent="0.25">
      <c r="A38" t="s">
        <v>244</v>
      </c>
      <c r="B38" s="4">
        <f>(90*2)/18.6</f>
        <v>9.6774193548387082</v>
      </c>
      <c r="C38" s="4">
        <v>0</v>
      </c>
      <c r="D38" s="4">
        <v>0</v>
      </c>
      <c r="E38" s="4">
        <f>(22*2)/18.6</f>
        <v>2.365591397849462</v>
      </c>
      <c r="F38" s="9">
        <f t="shared" si="3"/>
        <v>0.10493193277310925</v>
      </c>
      <c r="G38" s="9">
        <f>7.78*1.07</f>
        <v>8.3246000000000002</v>
      </c>
      <c r="H38">
        <v>1190</v>
      </c>
    </row>
    <row r="39" spans="1:9" x14ac:dyDescent="0.25">
      <c r="A39" t="s">
        <v>97</v>
      </c>
      <c r="B39" s="4">
        <f>110*(15/40)</f>
        <v>41.25</v>
      </c>
      <c r="C39" s="4">
        <v>0</v>
      </c>
      <c r="D39" s="4">
        <v>0</v>
      </c>
      <c r="E39" s="4">
        <f>21*(15/40)</f>
        <v>7.875</v>
      </c>
      <c r="F39" s="9">
        <f t="shared" si="3"/>
        <v>0.12179117647058825</v>
      </c>
      <c r="G39" s="9">
        <f>2.58*1.07</f>
        <v>2.7606000000000002</v>
      </c>
      <c r="H39">
        <v>340</v>
      </c>
    </row>
    <row r="40" spans="1:9" x14ac:dyDescent="0.25">
      <c r="A40" t="s">
        <v>819</v>
      </c>
      <c r="B40" s="4">
        <f>480*(15/82)</f>
        <v>87.804878048780481</v>
      </c>
      <c r="C40" s="4">
        <v>0</v>
      </c>
      <c r="D40" s="4">
        <v>0</v>
      </c>
      <c r="E40" s="4">
        <f>120*(15/82)</f>
        <v>21.95121951219512</v>
      </c>
      <c r="F40" s="9">
        <f t="shared" si="3"/>
        <v>0.78096951219512201</v>
      </c>
      <c r="G40" s="9">
        <f>3.99*1.07</f>
        <v>4.2693000000000003</v>
      </c>
      <c r="H40">
        <v>82</v>
      </c>
      <c r="I40" t="s">
        <v>125</v>
      </c>
    </row>
    <row r="41" spans="1:9" x14ac:dyDescent="0.25">
      <c r="A41" t="s">
        <v>124</v>
      </c>
      <c r="B41" s="4">
        <f>120*(15/140)</f>
        <v>12.857142857142856</v>
      </c>
      <c r="C41" s="4">
        <v>0</v>
      </c>
      <c r="D41" s="4">
        <v>0</v>
      </c>
      <c r="E41" s="4">
        <f>30*(15/140)</f>
        <v>3.214285714285714</v>
      </c>
      <c r="F41" s="9">
        <f t="shared" si="3"/>
        <v>0.28336061946902658</v>
      </c>
      <c r="G41" s="9">
        <f>3.99*1.07</f>
        <v>4.2693000000000003</v>
      </c>
      <c r="H41">
        <v>226</v>
      </c>
      <c r="I41" t="s">
        <v>125</v>
      </c>
    </row>
    <row r="42" spans="1:9" x14ac:dyDescent="0.25">
      <c r="A42" t="s">
        <v>792</v>
      </c>
      <c r="B42" s="4">
        <v>12.8</v>
      </c>
      <c r="C42" s="4">
        <v>0</v>
      </c>
      <c r="D42" s="4">
        <v>0.06</v>
      </c>
      <c r="E42" s="4">
        <v>3.13</v>
      </c>
      <c r="F42" s="9">
        <f t="shared" si="3"/>
        <v>8.9814814814814806E-2</v>
      </c>
      <c r="G42" s="9">
        <v>4.8499999999999996</v>
      </c>
      <c r="H42">
        <f>500+130+30+150</f>
        <v>810</v>
      </c>
    </row>
    <row r="43" spans="1:9" x14ac:dyDescent="0.25">
      <c r="F43" s="9"/>
    </row>
    <row r="44" spans="1:9" x14ac:dyDescent="0.25">
      <c r="A44" s="26" t="s">
        <v>824</v>
      </c>
    </row>
    <row r="45" spans="1:9" x14ac:dyDescent="0.25">
      <c r="A45" t="s">
        <v>263</v>
      </c>
      <c r="B45" s="4">
        <v>47</v>
      </c>
      <c r="C45" s="4">
        <v>1.1850000000000001</v>
      </c>
      <c r="D45" s="4">
        <v>0</v>
      </c>
      <c r="E45" s="4">
        <v>7.11</v>
      </c>
      <c r="F45" s="9">
        <f>$G45*(15/$H45)</f>
        <v>0.2254911971830986</v>
      </c>
      <c r="G45" s="9">
        <f>3.99*1.07</f>
        <v>4.2693000000000003</v>
      </c>
      <c r="H45">
        <v>284</v>
      </c>
    </row>
    <row r="47" spans="1:9" x14ac:dyDescent="0.25">
      <c r="A47" s="26" t="s">
        <v>825</v>
      </c>
    </row>
    <row r="48" spans="1:9" x14ac:dyDescent="0.25">
      <c r="A48" t="s">
        <v>88</v>
      </c>
      <c r="B48" s="4">
        <v>35</v>
      </c>
      <c r="C48" s="4">
        <v>0</v>
      </c>
      <c r="D48" s="4">
        <v>0</v>
      </c>
      <c r="E48" s="4">
        <v>0</v>
      </c>
      <c r="F48" s="9">
        <f>$G48*(15/$H48)</f>
        <v>0.98397199999999996</v>
      </c>
      <c r="G48" s="9">
        <f>22.99*1.07</f>
        <v>24.599299999999999</v>
      </c>
      <c r="H48">
        <v>375</v>
      </c>
    </row>
    <row r="49" spans="1:9" x14ac:dyDescent="0.25">
      <c r="A49" t="s">
        <v>8</v>
      </c>
      <c r="B49" s="4">
        <v>35</v>
      </c>
      <c r="C49" s="4">
        <v>0</v>
      </c>
      <c r="D49" s="4">
        <v>0</v>
      </c>
      <c r="E49" s="4">
        <v>0</v>
      </c>
      <c r="F49" s="9">
        <f>$G49*(15/$H49)</f>
        <v>0.59898600000000002</v>
      </c>
      <c r="G49" s="9">
        <f>27.99*1.07</f>
        <v>29.949300000000001</v>
      </c>
      <c r="H49">
        <v>750</v>
      </c>
    </row>
    <row r="50" spans="1:9" x14ac:dyDescent="0.25">
      <c r="A50" t="s">
        <v>84</v>
      </c>
      <c r="B50" s="4">
        <v>95</v>
      </c>
      <c r="C50" s="4">
        <v>0</v>
      </c>
      <c r="D50" s="4">
        <v>0</v>
      </c>
      <c r="E50" s="4">
        <v>0</v>
      </c>
      <c r="F50" s="9">
        <f>$G50*(15/$H50)</f>
        <v>1.0392375</v>
      </c>
      <c r="G50" s="9">
        <f>12.95*1.07</f>
        <v>13.8565</v>
      </c>
      <c r="H50">
        <v>200</v>
      </c>
    </row>
    <row r="52" spans="1:9" x14ac:dyDescent="0.25">
      <c r="A52" s="26" t="s">
        <v>826</v>
      </c>
    </row>
    <row r="53" spans="1:9" x14ac:dyDescent="0.25">
      <c r="A53" t="s">
        <v>91</v>
      </c>
      <c r="B53" s="4">
        <v>379.31</v>
      </c>
      <c r="C53" s="4">
        <v>0</v>
      </c>
      <c r="D53" s="4">
        <v>0</v>
      </c>
      <c r="E53" s="4">
        <v>100</v>
      </c>
      <c r="F53" s="9">
        <f>$G53*(15/$H53)</f>
        <v>0.68785714285714294</v>
      </c>
      <c r="G53" s="9">
        <f>15*1.07</f>
        <v>16.05</v>
      </c>
      <c r="H53">
        <v>350</v>
      </c>
      <c r="I53" t="s">
        <v>92</v>
      </c>
    </row>
    <row r="54" spans="1:9" x14ac:dyDescent="0.25">
      <c r="A54" t="s">
        <v>93</v>
      </c>
      <c r="B54" s="4">
        <v>414</v>
      </c>
      <c r="C54" s="4">
        <v>4</v>
      </c>
      <c r="D54" s="4">
        <v>4</v>
      </c>
      <c r="E54" s="4">
        <v>100</v>
      </c>
      <c r="F54" s="9">
        <f>$G54*(15/$H54)</f>
        <v>0.68785714285714294</v>
      </c>
      <c r="G54" s="9">
        <v>16.05</v>
      </c>
      <c r="H54">
        <v>350</v>
      </c>
      <c r="I54" t="s">
        <v>94</v>
      </c>
    </row>
    <row r="55" spans="1:9" ht="14.25" customHeight="1" x14ac:dyDescent="0.25">
      <c r="A55" t="s">
        <v>95</v>
      </c>
      <c r="B55" s="4">
        <v>414</v>
      </c>
      <c r="C55" s="4">
        <v>0</v>
      </c>
      <c r="D55" s="4">
        <v>0</v>
      </c>
      <c r="E55" s="4">
        <v>100</v>
      </c>
      <c r="F55" s="9">
        <f>$G55*(15/$H55)</f>
        <v>0.68785714285714294</v>
      </c>
      <c r="G55" s="9">
        <v>16.05</v>
      </c>
      <c r="H55">
        <v>350</v>
      </c>
      <c r="I55" t="s">
        <v>94</v>
      </c>
    </row>
    <row r="57" spans="1:9" x14ac:dyDescent="0.25">
      <c r="A57" s="26" t="s">
        <v>827</v>
      </c>
    </row>
    <row r="58" spans="1:9" x14ac:dyDescent="0.25">
      <c r="A58" t="s">
        <v>85</v>
      </c>
      <c r="B58" s="4">
        <v>55</v>
      </c>
      <c r="C58" s="4">
        <v>0</v>
      </c>
      <c r="D58" s="4">
        <v>0</v>
      </c>
      <c r="E58" s="4">
        <v>9.5</v>
      </c>
      <c r="F58" s="9">
        <f>$G58*(15/$H58)</f>
        <v>0.41755078125000006</v>
      </c>
      <c r="G58" s="9">
        <f>9.99*1.07</f>
        <v>10.689300000000001</v>
      </c>
      <c r="H58">
        <v>384</v>
      </c>
      <c r="I58" t="s">
        <v>86</v>
      </c>
    </row>
    <row r="59" spans="1:9" x14ac:dyDescent="0.25">
      <c r="A59" t="s">
        <v>246</v>
      </c>
      <c r="B59" s="4">
        <f>100*(0.5)</f>
        <v>50</v>
      </c>
      <c r="C59" s="4">
        <v>0</v>
      </c>
      <c r="D59" s="4">
        <v>0</v>
      </c>
      <c r="E59" s="4">
        <f>24*(1/2)</f>
        <v>12</v>
      </c>
      <c r="F59" s="9">
        <f>$G59*(15/$H59)</f>
        <v>0.88403399999999999</v>
      </c>
      <c r="G59" s="9">
        <f>13.77*1.07</f>
        <v>14.7339</v>
      </c>
      <c r="H59">
        <v>250</v>
      </c>
      <c r="I59" t="s">
        <v>247</v>
      </c>
    </row>
    <row r="60" spans="1:9" x14ac:dyDescent="0.25">
      <c r="A60" t="s">
        <v>232</v>
      </c>
      <c r="B60" s="4">
        <v>55</v>
      </c>
      <c r="C60" s="4">
        <v>0</v>
      </c>
      <c r="D60" s="4">
        <v>0</v>
      </c>
      <c r="E60" s="4">
        <v>12</v>
      </c>
      <c r="F60" s="9">
        <f>$G60*(15/$H60)</f>
        <v>0.43335000000000007</v>
      </c>
      <c r="G60" s="9">
        <f>9.99*1.07</f>
        <v>10.689300000000001</v>
      </c>
      <c r="H60">
        <v>370</v>
      </c>
      <c r="I60" t="s">
        <v>231</v>
      </c>
    </row>
    <row r="61" spans="1:9" x14ac:dyDescent="0.25">
      <c r="A61" t="s">
        <v>233</v>
      </c>
      <c r="B61" s="4">
        <v>55</v>
      </c>
      <c r="C61" s="4">
        <v>0.1</v>
      </c>
      <c r="D61" s="4">
        <v>0.1</v>
      </c>
      <c r="E61" s="4">
        <v>13</v>
      </c>
      <c r="F61" s="9">
        <f>$G61*(15/$H61)</f>
        <v>0.23879268292682929</v>
      </c>
      <c r="G61" s="9">
        <f>5.49*1.07</f>
        <v>5.8743000000000007</v>
      </c>
      <c r="H61">
        <v>369</v>
      </c>
      <c r="I61" t="s">
        <v>115</v>
      </c>
    </row>
    <row r="62" spans="1:9" x14ac:dyDescent="0.25">
      <c r="A62" t="s">
        <v>870</v>
      </c>
      <c r="B62" s="4">
        <f>20*(15/30)</f>
        <v>10</v>
      </c>
      <c r="C62" s="4">
        <v>0</v>
      </c>
      <c r="D62" s="4">
        <v>0</v>
      </c>
      <c r="E62" s="4">
        <v>0</v>
      </c>
      <c r="F62" s="9">
        <f>$G62*(15/$H62)</f>
        <v>0.68643220338983058</v>
      </c>
      <c r="G62" s="9">
        <f>15.14*1.07</f>
        <v>16.199800000000003</v>
      </c>
      <c r="H62">
        <v>354</v>
      </c>
      <c r="I62" t="s">
        <v>871</v>
      </c>
    </row>
    <row r="64" spans="1:9" x14ac:dyDescent="0.25">
      <c r="A64" s="26" t="s">
        <v>828</v>
      </c>
    </row>
    <row r="65" spans="1:10" x14ac:dyDescent="0.25">
      <c r="A65" t="s">
        <v>5</v>
      </c>
      <c r="B65" s="4">
        <v>85</v>
      </c>
      <c r="C65" s="4">
        <v>5.5</v>
      </c>
      <c r="D65" s="4">
        <v>0.5</v>
      </c>
      <c r="E65" s="4">
        <v>5.5</v>
      </c>
      <c r="F65" s="9">
        <f t="shared" ref="F65:F70" si="4">$G65*(15/$H65)</f>
        <v>0.20062500000000003</v>
      </c>
      <c r="G65" s="9">
        <f>5*1.07</f>
        <v>5.3500000000000005</v>
      </c>
      <c r="H65">
        <v>400</v>
      </c>
      <c r="J65" t="s">
        <v>761</v>
      </c>
    </row>
    <row r="66" spans="1:10" x14ac:dyDescent="0.25">
      <c r="A66" t="s">
        <v>262</v>
      </c>
      <c r="B66" s="4">
        <v>81</v>
      </c>
      <c r="C66" s="4">
        <v>4</v>
      </c>
      <c r="D66" s="4">
        <v>0.8</v>
      </c>
      <c r="E66" s="4">
        <v>9.1999999999999993</v>
      </c>
      <c r="F66" s="9">
        <f t="shared" si="4"/>
        <v>0.19857008086253367</v>
      </c>
      <c r="G66" s="9">
        <f>4.59*1.07</f>
        <v>4.9112999999999998</v>
      </c>
      <c r="H66">
        <v>371</v>
      </c>
    </row>
    <row r="67" spans="1:10" x14ac:dyDescent="0.25">
      <c r="A67" s="73" t="s">
        <v>486</v>
      </c>
      <c r="B67">
        <f>130*(15/40)</f>
        <v>48.75</v>
      </c>
      <c r="C67">
        <v>0</v>
      </c>
      <c r="D67">
        <v>0</v>
      </c>
      <c r="E67">
        <f>33*(15/40)</f>
        <v>12.375</v>
      </c>
      <c r="F67" s="9">
        <f t="shared" si="4"/>
        <v>0.40449242424242432</v>
      </c>
      <c r="G67" s="9">
        <f>4.99*1.07</f>
        <v>5.3393000000000006</v>
      </c>
      <c r="H67">
        <v>198</v>
      </c>
    </row>
    <row r="68" spans="1:10" x14ac:dyDescent="0.25">
      <c r="A68" s="73" t="s">
        <v>485</v>
      </c>
      <c r="B68">
        <f>40*(15/18)</f>
        <v>33.333333333333336</v>
      </c>
      <c r="C68">
        <v>0</v>
      </c>
      <c r="D68">
        <v>0</v>
      </c>
      <c r="E68">
        <f>9*(15/18)</f>
        <v>7.5</v>
      </c>
      <c r="F68" s="9">
        <f t="shared" si="4"/>
        <v>0.16897711267605636</v>
      </c>
      <c r="G68" s="9">
        <f>2.99*1.07</f>
        <v>3.1993000000000005</v>
      </c>
      <c r="H68">
        <v>284</v>
      </c>
    </row>
    <row r="69" spans="1:10" x14ac:dyDescent="0.25">
      <c r="A69" t="s">
        <v>329</v>
      </c>
      <c r="B69" s="4">
        <v>102</v>
      </c>
      <c r="C69" s="4">
        <v>12</v>
      </c>
      <c r="D69" s="4">
        <v>0.1</v>
      </c>
      <c r="E69" s="4">
        <v>0</v>
      </c>
      <c r="F69" s="9">
        <f t="shared" si="4"/>
        <v>0.11266519823788547</v>
      </c>
      <c r="G69" s="9">
        <f>13.64</f>
        <v>13.64</v>
      </c>
      <c r="H69">
        <f>454*4</f>
        <v>1816</v>
      </c>
      <c r="I69" t="s">
        <v>369</v>
      </c>
    </row>
    <row r="70" spans="1:10" x14ac:dyDescent="0.25">
      <c r="A70" t="s">
        <v>82</v>
      </c>
      <c r="B70" s="4">
        <v>47</v>
      </c>
      <c r="C70" s="4">
        <v>1.1850000000000001</v>
      </c>
      <c r="D70" s="4">
        <v>0</v>
      </c>
      <c r="E70" s="4">
        <v>7.11</v>
      </c>
      <c r="F70" s="9">
        <f t="shared" si="4"/>
        <v>0.1355635593220339</v>
      </c>
      <c r="G70" s="9">
        <f>2.99*1.07</f>
        <v>3.1993000000000005</v>
      </c>
      <c r="H70">
        <v>354</v>
      </c>
      <c r="I70" t="s">
        <v>866</v>
      </c>
    </row>
    <row r="71" spans="1:10" x14ac:dyDescent="0.25">
      <c r="A71" s="73" t="s">
        <v>768</v>
      </c>
      <c r="B71">
        <f>188*(15/32)</f>
        <v>88.125</v>
      </c>
      <c r="C71">
        <f>16*(15/32)</f>
        <v>7.5</v>
      </c>
      <c r="D71">
        <f>8*(15/32)</f>
        <v>3.75</v>
      </c>
      <c r="E71">
        <f>3*(15/32)</f>
        <v>1.40625</v>
      </c>
      <c r="F71" s="9">
        <f>$G71*(15/$H71)</f>
        <v>6.1785398230088488E-2</v>
      </c>
      <c r="G71" s="9">
        <f>4.35*1.07</f>
        <v>4.6544999999999996</v>
      </c>
      <c r="H71">
        <v>1130</v>
      </c>
      <c r="J71" t="s">
        <v>761</v>
      </c>
    </row>
    <row r="73" spans="1:10" x14ac:dyDescent="0.25">
      <c r="A73" s="26" t="s">
        <v>829</v>
      </c>
    </row>
    <row r="74" spans="1:10" x14ac:dyDescent="0.25">
      <c r="A74" t="s">
        <v>96</v>
      </c>
      <c r="B74" s="4">
        <v>55</v>
      </c>
      <c r="C74" s="4">
        <v>4.51</v>
      </c>
      <c r="D74" s="4">
        <v>2.7</v>
      </c>
      <c r="E74" s="4">
        <v>0.1</v>
      </c>
      <c r="F74" s="9">
        <f>$G74*(15/$H74)</f>
        <v>0.29916666666666664</v>
      </c>
      <c r="G74" s="9">
        <v>3.59</v>
      </c>
      <c r="H74">
        <f>15*12</f>
        <v>180</v>
      </c>
    </row>
    <row r="75" spans="1:10" x14ac:dyDescent="0.25">
      <c r="A75" t="s">
        <v>75</v>
      </c>
      <c r="B75">
        <f>405*(15/240)</f>
        <v>25.3125</v>
      </c>
      <c r="C75">
        <f>40*(15/240)</f>
        <v>2.5</v>
      </c>
      <c r="D75">
        <f>9.6*(15/240)</f>
        <v>0.6</v>
      </c>
      <c r="E75">
        <f>1*(15/240)</f>
        <v>6.25E-2</v>
      </c>
      <c r="F75" s="9">
        <f>$G75*(15/$H75)</f>
        <v>0.11615044247787612</v>
      </c>
      <c r="G75" s="9">
        <f>1.75</f>
        <v>1.75</v>
      </c>
      <c r="H75">
        <v>226</v>
      </c>
    </row>
    <row r="76" spans="1:10" x14ac:dyDescent="0.25">
      <c r="A76" t="s">
        <v>83</v>
      </c>
      <c r="B76" s="4">
        <f>110/2</f>
        <v>55</v>
      </c>
      <c r="C76" s="4">
        <f>1.5/2</f>
        <v>0.75</v>
      </c>
      <c r="D76" s="4">
        <f>2/2</f>
        <v>1</v>
      </c>
      <c r="E76" s="4">
        <f>12/2</f>
        <v>6</v>
      </c>
      <c r="F76" s="9">
        <f>$G76*(15/$H76)</f>
        <v>0.1794</v>
      </c>
      <c r="G76" s="9">
        <v>2.99</v>
      </c>
      <c r="H76">
        <v>250</v>
      </c>
      <c r="I76" t="s">
        <v>231</v>
      </c>
      <c r="J76" t="s">
        <v>761</v>
      </c>
    </row>
    <row r="77" spans="1:10" x14ac:dyDescent="0.25">
      <c r="A77" t="s">
        <v>765</v>
      </c>
      <c r="B77">
        <v>20</v>
      </c>
      <c r="C77">
        <f>2.5/2</f>
        <v>1.25</v>
      </c>
      <c r="D77">
        <v>0.5</v>
      </c>
      <c r="E77">
        <v>1</v>
      </c>
      <c r="H77">
        <v>453</v>
      </c>
      <c r="I77" t="s">
        <v>67</v>
      </c>
    </row>
    <row r="78" spans="1:10" x14ac:dyDescent="0.25">
      <c r="A78" s="26" t="s">
        <v>830</v>
      </c>
    </row>
    <row r="79" spans="1:10" x14ac:dyDescent="0.25">
      <c r="A79" t="s">
        <v>264</v>
      </c>
      <c r="B79" s="4">
        <v>57</v>
      </c>
      <c r="C79" s="4">
        <v>3.4</v>
      </c>
      <c r="D79" s="4">
        <v>0.6</v>
      </c>
      <c r="E79" s="4">
        <v>6</v>
      </c>
      <c r="F79" s="9">
        <f>$G79*(15/$H79)</f>
        <v>0.76371957671957669</v>
      </c>
      <c r="G79" s="9">
        <f>13.49*1.07</f>
        <v>14.4343</v>
      </c>
      <c r="H79">
        <v>283.5</v>
      </c>
      <c r="I79" t="s">
        <v>87</v>
      </c>
    </row>
    <row r="80" spans="1:10" x14ac:dyDescent="0.25">
      <c r="A80" t="s">
        <v>786</v>
      </c>
      <c r="B80">
        <f>80*(15/23)</f>
        <v>52.173913043478265</v>
      </c>
      <c r="C80">
        <v>0</v>
      </c>
      <c r="D80">
        <f>8*(15/23)</f>
        <v>5.2173913043478262</v>
      </c>
      <c r="E80">
        <f>12*(15/23)</f>
        <v>7.8260869565217392</v>
      </c>
      <c r="F80" s="9">
        <f>$G80*(15/$H80)</f>
        <v>0.18915441176470588</v>
      </c>
      <c r="G80" s="9">
        <v>3.43</v>
      </c>
      <c r="H80">
        <v>272</v>
      </c>
    </row>
  </sheetData>
  <conditionalFormatting sqref="F7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53:F55 F74 F76 F45 F48:F50 F3:F11 F14:F23 F65:F71 F79:F80 F26:F43 F58:F6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9:G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AD521-A436-4B4A-8682-072AC7433994}">
  <sheetPr codeName="Sheet25"/>
  <dimension ref="A1:J7"/>
  <sheetViews>
    <sheetView workbookViewId="0">
      <selection activeCell="F4" sqref="F4"/>
    </sheetView>
  </sheetViews>
  <sheetFormatPr defaultRowHeight="15" x14ac:dyDescent="0.25"/>
  <cols>
    <col min="1" max="1" width="39.28515625" customWidth="1"/>
    <col min="2" max="5" width="12" bestFit="1" customWidth="1"/>
    <col min="6" max="6" width="12.28515625" bestFit="1" customWidth="1"/>
    <col min="7" max="7" width="12.28515625" style="9" bestFit="1" customWidth="1"/>
    <col min="8" max="8" width="17.28515625" bestFit="1" customWidth="1"/>
    <col min="9" max="9" width="20.28515625" bestFit="1" customWidth="1"/>
  </cols>
  <sheetData>
    <row r="1" spans="1:10" x14ac:dyDescent="0.25">
      <c r="A1" t="s">
        <v>79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s="9" t="s">
        <v>57</v>
      </c>
      <c r="H1" t="s">
        <v>58</v>
      </c>
      <c r="I1" t="s">
        <v>80</v>
      </c>
      <c r="J1" t="s">
        <v>760</v>
      </c>
    </row>
    <row r="2" spans="1:10" x14ac:dyDescent="0.25">
      <c r="A2" s="26" t="s">
        <v>829</v>
      </c>
    </row>
    <row r="3" spans="1:10" x14ac:dyDescent="0.25">
      <c r="A3" t="s">
        <v>96</v>
      </c>
      <c r="B3" s="4">
        <v>55</v>
      </c>
      <c r="C3" s="4">
        <v>4.51</v>
      </c>
      <c r="D3" s="4">
        <v>2.7</v>
      </c>
      <c r="E3" s="4">
        <v>0.1</v>
      </c>
      <c r="F3" s="9">
        <f>$G3*(15/$H3)</f>
        <v>0.29916666666666664</v>
      </c>
      <c r="G3" s="9">
        <v>3.59</v>
      </c>
      <c r="H3">
        <f>15*12</f>
        <v>180</v>
      </c>
    </row>
    <row r="4" spans="1:10" x14ac:dyDescent="0.25">
      <c r="A4" t="s">
        <v>75</v>
      </c>
      <c r="B4">
        <f>405*(15/240)</f>
        <v>25.3125</v>
      </c>
      <c r="C4">
        <f>40*(15/240)</f>
        <v>2.5</v>
      </c>
      <c r="D4">
        <f>9.6*(15/240)</f>
        <v>0.6</v>
      </c>
      <c r="E4">
        <f>1*(15/240)</f>
        <v>6.25E-2</v>
      </c>
      <c r="F4" s="9">
        <f>$G4*(15/$H4)</f>
        <v>0.11615044247787612</v>
      </c>
      <c r="G4" s="9">
        <f>1.75</f>
        <v>1.75</v>
      </c>
      <c r="H4">
        <v>226</v>
      </c>
    </row>
    <row r="5" spans="1:10" x14ac:dyDescent="0.25">
      <c r="A5" t="s">
        <v>83</v>
      </c>
      <c r="B5" s="4">
        <f>110/2</f>
        <v>55</v>
      </c>
      <c r="C5" s="4">
        <f>1.5/2</f>
        <v>0.75</v>
      </c>
      <c r="D5" s="4">
        <f>2/2</f>
        <v>1</v>
      </c>
      <c r="E5" s="4">
        <f>12/2</f>
        <v>6</v>
      </c>
      <c r="F5" s="9">
        <f>$G5*(15/$H5)</f>
        <v>0.1794</v>
      </c>
      <c r="G5" s="9">
        <v>2.99</v>
      </c>
      <c r="H5">
        <v>250</v>
      </c>
      <c r="I5" t="s">
        <v>231</v>
      </c>
      <c r="J5" t="s">
        <v>761</v>
      </c>
    </row>
    <row r="6" spans="1:10" x14ac:dyDescent="0.25">
      <c r="A6" t="s">
        <v>765</v>
      </c>
      <c r="B6">
        <v>20</v>
      </c>
      <c r="C6">
        <f>2.5/2</f>
        <v>1.25</v>
      </c>
      <c r="D6">
        <v>0.5</v>
      </c>
      <c r="E6">
        <v>1</v>
      </c>
      <c r="H6">
        <v>453</v>
      </c>
      <c r="I6" t="s">
        <v>67</v>
      </c>
    </row>
    <row r="7" spans="1:10" x14ac:dyDescent="0.25">
      <c r="A7" t="s">
        <v>786</v>
      </c>
      <c r="B7">
        <f>80*(15/23)</f>
        <v>52.173913043478265</v>
      </c>
      <c r="C7">
        <v>0</v>
      </c>
      <c r="D7">
        <f>8*(15/23)</f>
        <v>5.2173913043478262</v>
      </c>
      <c r="E7">
        <f>12*(15/23)</f>
        <v>7.8260869565217392</v>
      </c>
      <c r="F7" s="9">
        <f>$G7*(15/$H7)</f>
        <v>0.18915441176470588</v>
      </c>
      <c r="G7" s="9">
        <v>3.43</v>
      </c>
      <c r="H7">
        <v>272</v>
      </c>
    </row>
  </sheetData>
  <conditionalFormatting sqref="F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5 F3 F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B7B9D-0CE3-4363-AC22-61E761758E54}">
  <sheetPr codeName="Sheet8"/>
  <dimension ref="A1:K18"/>
  <sheetViews>
    <sheetView zoomScale="90" workbookViewId="0">
      <selection activeCell="I1" sqref="I1"/>
    </sheetView>
  </sheetViews>
  <sheetFormatPr defaultRowHeight="15" x14ac:dyDescent="0.25"/>
  <cols>
    <col min="1" max="1" width="34.7109375" bestFit="1" customWidth="1"/>
    <col min="6" max="6" width="12" bestFit="1" customWidth="1"/>
    <col min="7" max="7" width="11.28515625" customWidth="1"/>
    <col min="8" max="8" width="13.28515625" bestFit="1" customWidth="1"/>
    <col min="9" max="9" width="26.28515625" bestFit="1" customWidth="1"/>
    <col min="10" max="10" width="70.42578125" bestFit="1" customWidth="1"/>
  </cols>
  <sheetData>
    <row r="1" spans="1:11" x14ac:dyDescent="0.25">
      <c r="A1" t="s">
        <v>411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129</v>
      </c>
      <c r="H1" t="s">
        <v>130</v>
      </c>
      <c r="I1" t="s">
        <v>410</v>
      </c>
      <c r="J1" t="s">
        <v>131</v>
      </c>
    </row>
    <row r="2" spans="1:11" x14ac:dyDescent="0.25">
      <c r="A2" t="s">
        <v>2</v>
      </c>
      <c r="B2">
        <v>333</v>
      </c>
      <c r="C2">
        <v>0</v>
      </c>
      <c r="D2">
        <v>0</v>
      </c>
      <c r="E2">
        <v>100</v>
      </c>
      <c r="F2" s="10">
        <f t="shared" ref="F2:F5" si="0">$G2*($I2/$H2)</f>
        <v>1.5180055401662051</v>
      </c>
      <c r="G2" s="9">
        <v>5.48</v>
      </c>
      <c r="H2">
        <v>361</v>
      </c>
      <c r="I2">
        <v>100</v>
      </c>
    </row>
    <row r="3" spans="1:11" x14ac:dyDescent="0.25">
      <c r="A3" t="s">
        <v>134</v>
      </c>
      <c r="B3">
        <v>375</v>
      </c>
      <c r="C3">
        <v>0</v>
      </c>
      <c r="D3">
        <v>0</v>
      </c>
      <c r="E3">
        <v>75</v>
      </c>
      <c r="F3" s="10">
        <f t="shared" si="0"/>
        <v>3.0449142857142859</v>
      </c>
      <c r="G3" s="9">
        <f>4.98*1.07</f>
        <v>5.3286000000000007</v>
      </c>
      <c r="H3">
        <v>175</v>
      </c>
      <c r="I3">
        <v>100</v>
      </c>
      <c r="J3" t="s">
        <v>135</v>
      </c>
    </row>
    <row r="4" spans="1:11" x14ac:dyDescent="0.25">
      <c r="A4" t="s">
        <v>136</v>
      </c>
      <c r="B4">
        <v>375</v>
      </c>
      <c r="C4">
        <v>0</v>
      </c>
      <c r="D4">
        <v>0</v>
      </c>
      <c r="E4">
        <v>75</v>
      </c>
      <c r="F4" s="10">
        <f t="shared" si="0"/>
        <v>3.1344705882352946</v>
      </c>
      <c r="G4" s="9">
        <f>4.98*1.07</f>
        <v>5.3286000000000007</v>
      </c>
      <c r="H4">
        <v>170</v>
      </c>
      <c r="I4">
        <v>100</v>
      </c>
      <c r="J4" t="s">
        <v>135</v>
      </c>
    </row>
    <row r="5" spans="1:11" x14ac:dyDescent="0.25">
      <c r="A5" s="81" t="s">
        <v>456</v>
      </c>
      <c r="B5">
        <v>0</v>
      </c>
      <c r="C5">
        <v>0</v>
      </c>
      <c r="D5">
        <v>0</v>
      </c>
      <c r="E5">
        <v>0</v>
      </c>
      <c r="F5" s="10">
        <f t="shared" si="0"/>
        <v>4.7405063291139244</v>
      </c>
      <c r="G5" s="9">
        <f>7*1.07</f>
        <v>7.49</v>
      </c>
      <c r="H5">
        <v>158</v>
      </c>
      <c r="I5">
        <v>100</v>
      </c>
    </row>
    <row r="7" spans="1:11" x14ac:dyDescent="0.25">
      <c r="A7" s="26" t="s">
        <v>840</v>
      </c>
      <c r="K7">
        <f>8.29/4</f>
        <v>2.0724999999999998</v>
      </c>
    </row>
    <row r="8" spans="1:11" x14ac:dyDescent="0.25">
      <c r="A8" t="s">
        <v>1</v>
      </c>
      <c r="B8">
        <v>387</v>
      </c>
      <c r="C8">
        <v>0</v>
      </c>
      <c r="D8">
        <v>0</v>
      </c>
      <c r="E8">
        <v>100</v>
      </c>
      <c r="F8" s="10">
        <f>$G8*($I8/$H8)</f>
        <v>0.16482910694597575</v>
      </c>
      <c r="G8" s="9">
        <v>2.99</v>
      </c>
      <c r="H8">
        <v>1814</v>
      </c>
      <c r="I8">
        <v>100</v>
      </c>
    </row>
    <row r="9" spans="1:11" x14ac:dyDescent="0.25">
      <c r="A9" t="s">
        <v>137</v>
      </c>
      <c r="B9">
        <v>367</v>
      </c>
      <c r="C9">
        <v>0</v>
      </c>
      <c r="D9">
        <v>0</v>
      </c>
      <c r="E9">
        <v>96.9</v>
      </c>
      <c r="F9" s="10">
        <f>$G9*($I9/$H9)</f>
        <v>0.28195148842337375</v>
      </c>
      <c r="G9" s="9">
        <f>2.39*1.07</f>
        <v>2.5573000000000001</v>
      </c>
      <c r="H9">
        <v>907</v>
      </c>
      <c r="I9">
        <v>100</v>
      </c>
    </row>
    <row r="10" spans="1:11" x14ac:dyDescent="0.25">
      <c r="A10" t="s">
        <v>277</v>
      </c>
      <c r="B10">
        <v>389</v>
      </c>
      <c r="C10">
        <v>0</v>
      </c>
      <c r="D10">
        <v>0</v>
      </c>
      <c r="E10">
        <v>98</v>
      </c>
      <c r="F10" s="10">
        <f>$G10*($I10/$H10)</f>
        <v>0.23594266813671444</v>
      </c>
      <c r="G10" s="9">
        <f>2*1.07</f>
        <v>2.14</v>
      </c>
      <c r="H10">
        <v>907</v>
      </c>
      <c r="I10">
        <v>100</v>
      </c>
      <c r="J10" t="s">
        <v>67</v>
      </c>
    </row>
    <row r="11" spans="1:11" x14ac:dyDescent="0.25">
      <c r="A11" t="s">
        <v>332</v>
      </c>
      <c r="B11">
        <f>60*(100/15)</f>
        <v>400</v>
      </c>
      <c r="C11">
        <v>0</v>
      </c>
      <c r="D11">
        <v>0</v>
      </c>
      <c r="E11">
        <f>15*(100/15)</f>
        <v>100</v>
      </c>
      <c r="F11" s="10" t="e">
        <f>$G11*($I11/$H11)</f>
        <v>#DIV/0!</v>
      </c>
      <c r="G11" s="9"/>
    </row>
    <row r="13" spans="1:11" s="26" customFormat="1" x14ac:dyDescent="0.25">
      <c r="A13" s="26" t="s">
        <v>841</v>
      </c>
    </row>
    <row r="14" spans="1:11" x14ac:dyDescent="0.25">
      <c r="A14" t="s">
        <v>453</v>
      </c>
      <c r="B14">
        <v>0</v>
      </c>
      <c r="C14">
        <v>0</v>
      </c>
      <c r="D14">
        <v>0</v>
      </c>
      <c r="E14">
        <v>0</v>
      </c>
      <c r="F14" s="10">
        <f>$G14*($I14/$H14)</f>
        <v>2.526470588235294</v>
      </c>
      <c r="G14">
        <v>8.59</v>
      </c>
      <c r="H14">
        <v>340</v>
      </c>
      <c r="I14">
        <v>100</v>
      </c>
    </row>
    <row r="15" spans="1:11" x14ac:dyDescent="0.25">
      <c r="A15" t="s">
        <v>133</v>
      </c>
      <c r="B15">
        <v>0</v>
      </c>
      <c r="C15">
        <v>0</v>
      </c>
      <c r="D15">
        <v>0</v>
      </c>
      <c r="E15">
        <v>0</v>
      </c>
      <c r="F15" s="10">
        <f>$G15*($I15/$H15)</f>
        <v>2.7410882352941179</v>
      </c>
      <c r="G15" s="14">
        <f>8.71*1.07</f>
        <v>9.319700000000001</v>
      </c>
      <c r="H15">
        <v>340</v>
      </c>
      <c r="I15">
        <v>100</v>
      </c>
    </row>
    <row r="16" spans="1:11" x14ac:dyDescent="0.25">
      <c r="A16" t="s">
        <v>510</v>
      </c>
      <c r="B16">
        <v>0</v>
      </c>
      <c r="C16">
        <v>0</v>
      </c>
      <c r="D16">
        <v>0</v>
      </c>
      <c r="E16">
        <v>0</v>
      </c>
      <c r="F16" s="10">
        <f>$G16*($I16/$H16)</f>
        <v>0.51812499999999995</v>
      </c>
      <c r="G16">
        <v>8.2899999999999991</v>
      </c>
      <c r="H16">
        <v>280</v>
      </c>
      <c r="I16">
        <v>17.5</v>
      </c>
    </row>
    <row r="17" spans="1:10" x14ac:dyDescent="0.25">
      <c r="A17" t="s">
        <v>138</v>
      </c>
      <c r="B17">
        <v>0</v>
      </c>
      <c r="C17">
        <v>0</v>
      </c>
      <c r="D17">
        <v>0</v>
      </c>
      <c r="E17">
        <v>0</v>
      </c>
      <c r="F17" s="10">
        <f>$G17*($I17/$H17)</f>
        <v>0.45525156249999998</v>
      </c>
      <c r="G17" s="9">
        <f>3.89*1.07</f>
        <v>4.1623000000000001</v>
      </c>
      <c r="H17">
        <v>160</v>
      </c>
      <c r="I17">
        <v>17.5</v>
      </c>
      <c r="J17" t="s">
        <v>67</v>
      </c>
    </row>
    <row r="18" spans="1:10" s="26" customFormat="1" x14ac:dyDescent="0.25">
      <c r="A18" s="26" t="s">
        <v>816</v>
      </c>
      <c r="B18" s="26">
        <v>0</v>
      </c>
      <c r="C18" s="26">
        <v>0</v>
      </c>
      <c r="D18" s="26">
        <v>0</v>
      </c>
      <c r="E18" s="26">
        <v>0</v>
      </c>
      <c r="F18" s="10">
        <f>$G18*($I18/$H18)</f>
        <v>1.1784140969162997</v>
      </c>
      <c r="G18" s="26">
        <f>5*1.07</f>
        <v>5.3500000000000005</v>
      </c>
      <c r="H18">
        <v>454</v>
      </c>
      <c r="I18" s="26">
        <v>100</v>
      </c>
    </row>
  </sheetData>
  <conditionalFormatting sqref="H14:I14 I10 G2:G5 G14:G17 G8:G1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F5 F8:F11 F14:F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86B4-6383-4106-B919-9C5E59050B24}">
  <sheetPr codeName="Sheet11"/>
  <dimension ref="A1:AX104"/>
  <sheetViews>
    <sheetView zoomScale="94" workbookViewId="0">
      <selection activeCell="E12" sqref="E12"/>
    </sheetView>
  </sheetViews>
  <sheetFormatPr defaultRowHeight="15" x14ac:dyDescent="0.25"/>
  <cols>
    <col min="1" max="1" width="24.7109375" bestFit="1" customWidth="1"/>
    <col min="4" max="4" width="12" bestFit="1" customWidth="1"/>
    <col min="6" max="6" width="35.7109375" bestFit="1" customWidth="1"/>
    <col min="8" max="8" width="17.28515625" customWidth="1"/>
    <col min="9" max="9" width="7.85546875" bestFit="1" customWidth="1"/>
    <col min="12" max="12" width="33.28515625" bestFit="1" customWidth="1"/>
    <col min="14" max="14" width="12" bestFit="1" customWidth="1"/>
    <col min="15" max="15" width="11" bestFit="1" customWidth="1"/>
    <col min="16" max="16" width="26.85546875" bestFit="1" customWidth="1"/>
    <col min="17" max="17" width="17.140625" bestFit="1" customWidth="1"/>
    <col min="18" max="18" width="14.85546875" bestFit="1" customWidth="1"/>
    <col min="22" max="22" width="20.85546875" bestFit="1" customWidth="1"/>
    <col min="30" max="30" width="17.7109375" bestFit="1" customWidth="1"/>
    <col min="33" max="33" width="22.42578125" customWidth="1"/>
    <col min="37" max="37" width="34.7109375" bestFit="1" customWidth="1"/>
    <col min="38" max="38" width="28.7109375" bestFit="1" customWidth="1"/>
    <col min="39" max="39" width="13" bestFit="1" customWidth="1"/>
    <col min="40" max="40" width="18.140625" bestFit="1" customWidth="1"/>
    <col min="41" max="41" width="34.28515625" bestFit="1" customWidth="1"/>
    <col min="46" max="46" width="17.42578125" bestFit="1" customWidth="1"/>
  </cols>
  <sheetData>
    <row r="1" spans="1:50" x14ac:dyDescent="0.25">
      <c r="A1" s="26" t="s">
        <v>179</v>
      </c>
      <c r="B1" t="s">
        <v>10</v>
      </c>
      <c r="C1" t="s">
        <v>185</v>
      </c>
      <c r="D1" t="s">
        <v>42</v>
      </c>
      <c r="F1" s="26" t="s">
        <v>412</v>
      </c>
      <c r="G1" t="s">
        <v>10</v>
      </c>
      <c r="H1" t="s">
        <v>185</v>
      </c>
      <c r="I1" t="s">
        <v>42</v>
      </c>
      <c r="L1" s="26" t="s">
        <v>274</v>
      </c>
      <c r="M1" t="s">
        <v>278</v>
      </c>
      <c r="N1" t="s">
        <v>185</v>
      </c>
      <c r="O1" t="s">
        <v>279</v>
      </c>
      <c r="P1" t="s">
        <v>52</v>
      </c>
      <c r="Q1" t="s">
        <v>201</v>
      </c>
      <c r="R1" t="s">
        <v>280</v>
      </c>
      <c r="S1" t="s">
        <v>1</v>
      </c>
      <c r="V1" s="26" t="s">
        <v>285</v>
      </c>
      <c r="AD1" s="26" t="s">
        <v>299</v>
      </c>
      <c r="AG1" s="26" t="s">
        <v>333</v>
      </c>
      <c r="AK1" s="26" t="s">
        <v>314</v>
      </c>
      <c r="AO1" s="26" t="s">
        <v>328</v>
      </c>
      <c r="AP1" t="s">
        <v>10</v>
      </c>
      <c r="AQ1" t="s">
        <v>185</v>
      </c>
      <c r="AR1" t="s">
        <v>42</v>
      </c>
      <c r="AT1" t="s">
        <v>467</v>
      </c>
      <c r="AU1" t="s">
        <v>10</v>
      </c>
      <c r="AV1" t="s">
        <v>185</v>
      </c>
      <c r="AW1" t="s">
        <v>42</v>
      </c>
      <c r="AX1" t="s">
        <v>1</v>
      </c>
    </row>
    <row r="2" spans="1:50" x14ac:dyDescent="0.25">
      <c r="A2" t="s">
        <v>1</v>
      </c>
      <c r="B2">
        <v>100</v>
      </c>
      <c r="C2" s="4">
        <f>B2*($C$11/$B$11)</f>
        <v>21.925016443762331</v>
      </c>
      <c r="D2" s="9">
        <f>_xlfn.XLOOKUP($A$2,'Sweetener Mix In Nutrition'!$A:$A,'Sweetener Mix In Nutrition'!$F:$F,0)/100*$C$2</f>
        <v>3.6138808802011778E-2</v>
      </c>
      <c r="E2" s="9">
        <f>_xlfn.XLOOKUP($A$2,'Sweetener Mix In Nutrition'!$A:$A,'Sweetener Mix In Nutrition'!$F:$F,0)/100*$B$2</f>
        <v>0.16482910694597575</v>
      </c>
      <c r="F2" t="s">
        <v>409</v>
      </c>
      <c r="G2">
        <v>100</v>
      </c>
      <c r="H2" s="4">
        <f>G2*($H$11/$G$11)</f>
        <v>12.96316597237448</v>
      </c>
      <c r="I2" s="9">
        <f>_xlfn.XLOOKUP(F2,'Sweetener Mix In Nutrition'!$A:$A,'Sweetener Mix In Nutrition'!$F:$F,0)/100*H2</f>
        <v>0</v>
      </c>
      <c r="L2" t="s">
        <v>75</v>
      </c>
      <c r="M2">
        <v>226</v>
      </c>
      <c r="N2" s="12">
        <f>M2*($N$6/$M$6)</f>
        <v>75.737265415549601</v>
      </c>
      <c r="O2" s="9">
        <f>_xlfn.XLOOKUP($L$2,'Milk Types Nutrition Per Cup'!$A:$A,'Milk Types Nutrition Per Cup'!$F:$F,0)/240*$M$2</f>
        <v>0</v>
      </c>
      <c r="P2" s="23">
        <f>_xlfn.XLOOKUP($L$2,'Milk Types Nutrition Per Cup'!$A:$A,'Milk Types Nutrition Per Cup'!B:B,0)/240*$M$2</f>
        <v>0</v>
      </c>
      <c r="Q2" s="23">
        <f>_xlfn.XLOOKUP($L$2,'Milk Types Nutrition Per Cup'!$A:$A,'Milk Types Nutrition Per Cup'!C:C,0)/240*$M$2</f>
        <v>0</v>
      </c>
      <c r="R2" s="23">
        <f>_xlfn.XLOOKUP($L$2,'Milk Types Nutrition Per Cup'!$A:$A,'Milk Types Nutrition Per Cup'!D:D,0)/240*$M$2</f>
        <v>0</v>
      </c>
      <c r="S2" s="23">
        <f>_xlfn.XLOOKUP($L$2,'Milk Types Nutrition Per Cup'!$A:$A,'Milk Types Nutrition Per Cup'!E:E,0)/240*$M$2</f>
        <v>0</v>
      </c>
      <c r="V2" t="s">
        <v>237</v>
      </c>
      <c r="W2">
        <v>453</v>
      </c>
      <c r="X2">
        <f>W2*($X$5/$W$5)</f>
        <v>139.11023622047244</v>
      </c>
      <c r="Z2" t="s">
        <v>288</v>
      </c>
      <c r="AD2" t="s">
        <v>306</v>
      </c>
      <c r="AE2">
        <v>450</v>
      </c>
      <c r="AF2">
        <f>AE2*($AF$6/$AE$6)</f>
        <v>75.667655786350139</v>
      </c>
      <c r="AG2" t="s">
        <v>300</v>
      </c>
      <c r="AH2">
        <v>113</v>
      </c>
      <c r="AI2">
        <f t="shared" ref="AI2:AI12" si="0">AH2*($AI$13/$AH$13)</f>
        <v>226</v>
      </c>
      <c r="AK2" s="24" t="s">
        <v>315</v>
      </c>
      <c r="AL2" s="28">
        <v>120</v>
      </c>
      <c r="AM2" s="11">
        <f t="shared" ref="AM2:AM12" si="1">AL2*($AM$13/$AL$13)</f>
        <v>360</v>
      </c>
      <c r="AN2" s="11"/>
      <c r="AO2" t="s">
        <v>1</v>
      </c>
      <c r="AP2">
        <v>200</v>
      </c>
      <c r="AQ2">
        <f>AP2*($AQ$7/$AP$7)</f>
        <v>23.613312202852615</v>
      </c>
      <c r="AR2" s="9">
        <f>_xlfn.XLOOKUP(AO2,'Sweetener Mix In Nutrition'!$A:$A,'Sweetener Mix In Nutrition'!$F:$F,0)/100*AP2</f>
        <v>0.32965821389195149</v>
      </c>
      <c r="AT2" t="s">
        <v>468</v>
      </c>
      <c r="AU2">
        <v>1800</v>
      </c>
    </row>
    <row r="3" spans="1:50" x14ac:dyDescent="0.25">
      <c r="A3" t="s">
        <v>137</v>
      </c>
      <c r="B3">
        <v>150</v>
      </c>
      <c r="C3" s="4">
        <f t="shared" ref="C3:C10" si="2">B3*($C$11/$B$11)</f>
        <v>32.887524665643497</v>
      </c>
      <c r="D3" s="9">
        <f>_xlfn.XLOOKUP($A$3,'Sweetener Mix In Nutrition'!$A:$A,'Sweetener Mix In Nutrition'!$F:$F,0)/100*$C$3</f>
        <v>9.2726865300386013E-2</v>
      </c>
      <c r="E3" s="9">
        <f>_xlfn.XLOOKUP($A$3,'Sweetener Mix In Nutrition'!$A:$A,'Sweetener Mix In Nutrition'!$F:$F,0)/100*$B$3</f>
        <v>0.4229272326350606</v>
      </c>
      <c r="F3" t="s">
        <v>409</v>
      </c>
      <c r="G3">
        <v>150</v>
      </c>
      <c r="H3" s="4">
        <f>G3*($H$11/$G$11)</f>
        <v>19.444748958561718</v>
      </c>
      <c r="I3" s="9">
        <f>_xlfn.XLOOKUP(F3,'Sweetener Mix In Nutrition'!$A:$A,'Sweetener Mix In Nutrition'!$F:$F,0)/100*H3</f>
        <v>0</v>
      </c>
      <c r="L3" t="s">
        <v>276</v>
      </c>
      <c r="M3">
        <v>140</v>
      </c>
      <c r="N3" s="12">
        <f t="shared" ref="N3:N5" si="3">M3*($N$6/$M$6)</f>
        <v>46.916890080428956</v>
      </c>
      <c r="O3" s="9">
        <f>(3.49*1.07)/4</f>
        <v>0.93357500000000015</v>
      </c>
      <c r="P3">
        <v>1004</v>
      </c>
      <c r="Q3">
        <v>113.55</v>
      </c>
      <c r="R3">
        <v>1.19</v>
      </c>
      <c r="S3">
        <v>0.08</v>
      </c>
      <c r="V3" t="s">
        <v>1</v>
      </c>
      <c r="W3">
        <v>50</v>
      </c>
      <c r="X3">
        <f t="shared" ref="X3:X4" si="4">W3*($X$5/$W$5)</f>
        <v>15.354330708661418</v>
      </c>
      <c r="AD3" t="s">
        <v>307</v>
      </c>
      <c r="AE3">
        <v>170</v>
      </c>
      <c r="AF3">
        <f t="shared" ref="AF3:AF5" si="5">AE3*($AF$6/$AE$6)</f>
        <v>28.585558852621165</v>
      </c>
      <c r="AG3" t="s">
        <v>323</v>
      </c>
      <c r="AH3">
        <v>200</v>
      </c>
      <c r="AI3">
        <f t="shared" si="0"/>
        <v>400</v>
      </c>
      <c r="AK3" s="24" t="s">
        <v>514</v>
      </c>
      <c r="AL3" s="28">
        <v>90</v>
      </c>
      <c r="AM3" s="11">
        <f t="shared" si="1"/>
        <v>270</v>
      </c>
      <c r="AN3">
        <v>1</v>
      </c>
      <c r="AO3" t="s">
        <v>307</v>
      </c>
      <c r="AP3">
        <v>120</v>
      </c>
      <c r="AQ3">
        <f t="shared" ref="AQ3:AQ5" si="6">AP3*($AQ$7/$AP$7)</f>
        <v>14.167987321711569</v>
      </c>
      <c r="AR3">
        <v>0</v>
      </c>
      <c r="AT3" t="s">
        <v>190</v>
      </c>
      <c r="AU3">
        <v>200</v>
      </c>
    </row>
    <row r="4" spans="1:50" x14ac:dyDescent="0.25">
      <c r="A4" t="s">
        <v>180</v>
      </c>
      <c r="B4">
        <v>113</v>
      </c>
      <c r="C4" s="4">
        <f t="shared" si="2"/>
        <v>24.775268581451435</v>
      </c>
      <c r="D4" s="9">
        <f>((3.49*1.07)/4)*(C4/113)</f>
        <v>0.20468647226485423</v>
      </c>
      <c r="E4" s="9">
        <f>((3.49*1.07)/4)*($B$4/113)</f>
        <v>0.93357500000000015</v>
      </c>
      <c r="F4" t="s">
        <v>180</v>
      </c>
      <c r="G4">
        <v>113</v>
      </c>
      <c r="H4" s="4">
        <f t="shared" ref="H4:H9" si="7">G4*($H$11/$G$11)</f>
        <v>14.648377548783163</v>
      </c>
      <c r="I4" s="9">
        <f>((3.49*1.07)/4)*(H4/113)</f>
        <v>0.12102087672659508</v>
      </c>
      <c r="L4" t="s">
        <v>277</v>
      </c>
      <c r="M4">
        <v>375</v>
      </c>
      <c r="N4" s="12">
        <f t="shared" si="3"/>
        <v>125.67024128686327</v>
      </c>
      <c r="O4" s="9">
        <f>_xlfn.XLOOKUP($L$4,'Sweetener Mix In Nutrition'!$A:$A,'Sweetener Mix In Nutrition'!$F:$F,0)/100*$M$4</f>
        <v>0.88478500551267925</v>
      </c>
      <c r="P4" s="23">
        <f>_xlfn.XLOOKUP($L$4,'Sweetener Mix In Nutrition'!$A:$A,'Sweetener Mix In Nutrition'!B:B,0)/100*$M$4</f>
        <v>1458.75</v>
      </c>
      <c r="Q4" s="23">
        <f>_xlfn.XLOOKUP($L$4,'Sweetener Mix In Nutrition'!$A:$A,'Sweetener Mix In Nutrition'!C:C,0)/100*$M$4</f>
        <v>0</v>
      </c>
      <c r="R4" s="23">
        <f>_xlfn.XLOOKUP($L$4,'Sweetener Mix In Nutrition'!$A:$A,'Sweetener Mix In Nutrition'!D:D,0)/100*$M$4</f>
        <v>0</v>
      </c>
      <c r="S4" s="23">
        <f>_xlfn.XLOOKUP($L$4,'Sweetener Mix In Nutrition'!$A:$A,'Sweetener Mix In Nutrition'!E:E,0)/100*$M$4</f>
        <v>367.5</v>
      </c>
      <c r="V4" t="s">
        <v>286</v>
      </c>
      <c r="W4">
        <v>5</v>
      </c>
      <c r="X4">
        <f t="shared" si="4"/>
        <v>1.5354330708661417</v>
      </c>
      <c r="AD4" t="s">
        <v>308</v>
      </c>
      <c r="AE4">
        <v>1.25</v>
      </c>
      <c r="AF4">
        <f t="shared" si="5"/>
        <v>0.2101879327398615</v>
      </c>
      <c r="AG4" t="s">
        <v>301</v>
      </c>
      <c r="AH4">
        <v>85</v>
      </c>
      <c r="AI4">
        <f t="shared" si="0"/>
        <v>170</v>
      </c>
      <c r="AK4" s="24" t="s">
        <v>316</v>
      </c>
      <c r="AL4" s="28">
        <v>110</v>
      </c>
      <c r="AM4" s="11">
        <f t="shared" si="1"/>
        <v>330</v>
      </c>
      <c r="AN4" t="s">
        <v>466</v>
      </c>
      <c r="AO4" t="s">
        <v>439</v>
      </c>
      <c r="AP4">
        <v>240</v>
      </c>
      <c r="AQ4">
        <f t="shared" si="6"/>
        <v>28.335974643423139</v>
      </c>
      <c r="AR4" s="9">
        <f>_xlfn.XLOOKUP(AO4,'Milk Types Nutrition Per Cup'!A:A,'Milk Types Nutrition Per Cup'!F:F,0)/240*AP4</f>
        <v>1.1276190476190477</v>
      </c>
      <c r="AT4" t="s">
        <v>346</v>
      </c>
      <c r="AU4">
        <v>200</v>
      </c>
    </row>
    <row r="5" spans="1:50" x14ac:dyDescent="0.25">
      <c r="A5" t="s">
        <v>181</v>
      </c>
      <c r="B5">
        <v>50</v>
      </c>
      <c r="C5" s="4">
        <f t="shared" si="2"/>
        <v>10.962508221881166</v>
      </c>
      <c r="D5" s="9">
        <f>(3.85*1.07)*(C5/907)</f>
        <v>4.9790576207320247E-2</v>
      </c>
      <c r="E5" s="9">
        <f>(3.85*1.07)*($B$5/907)</f>
        <v>0.22709481808158766</v>
      </c>
      <c r="F5" t="s">
        <v>181</v>
      </c>
      <c r="G5">
        <v>50</v>
      </c>
      <c r="H5" s="4">
        <f>G5*($H$11/$G$11)</f>
        <v>6.4815829861872398</v>
      </c>
      <c r="I5" s="9">
        <f>(3.85*1.07)*(H5/907)</f>
        <v>2.9438678182578098E-2</v>
      </c>
      <c r="L5" t="s">
        <v>176</v>
      </c>
      <c r="M5">
        <v>5</v>
      </c>
      <c r="N5" s="12">
        <f t="shared" si="3"/>
        <v>1.6756032171581769</v>
      </c>
      <c r="O5" s="9">
        <f>_xlfn.XLOOKUP($L$5,'Liquid Mix In Nutrition'!$A:$A,'Liquid Mix In Nutrition'!$F:$F,0)*($M$5/15)</f>
        <v>0.46567796610169487</v>
      </c>
      <c r="P5" s="23">
        <f>_xlfn.XLOOKUP($L$5,'Liquid Mix In Nutrition'!$A:$A,'Liquid Mix In Nutrition'!B:B,0)*($M$5/15)</f>
        <v>24.166666666666664</v>
      </c>
      <c r="Q5" s="23">
        <f>_xlfn.XLOOKUP($L$5,'Liquid Mix In Nutrition'!$A:$A,'Liquid Mix In Nutrition'!C:C,0)*($M$5/15)</f>
        <v>0</v>
      </c>
      <c r="R5" s="23">
        <f>_xlfn.XLOOKUP($L$5,'Liquid Mix In Nutrition'!$A:$A,'Liquid Mix In Nutrition'!D:D,0)*($M$5/15)</f>
        <v>0</v>
      </c>
      <c r="S5" s="23">
        <f>_xlfn.XLOOKUP($L$5,'Liquid Mix In Nutrition'!$A:$A,'Liquid Mix In Nutrition'!E:E,0)*($M$5/15)</f>
        <v>1.0999999999999999</v>
      </c>
      <c r="V5" t="s">
        <v>287</v>
      </c>
      <c r="W5">
        <f>SUM(W2:W4)</f>
        <v>508</v>
      </c>
      <c r="X5">
        <v>156</v>
      </c>
      <c r="AD5" t="s">
        <v>309</v>
      </c>
      <c r="AE5">
        <v>10</v>
      </c>
      <c r="AF5">
        <f t="shared" si="5"/>
        <v>1.681503461918892</v>
      </c>
      <c r="AG5" t="s">
        <v>191</v>
      </c>
      <c r="AH5">
        <v>15</v>
      </c>
      <c r="AI5">
        <f t="shared" si="0"/>
        <v>30</v>
      </c>
      <c r="AK5" s="24" t="s">
        <v>317</v>
      </c>
      <c r="AL5" s="28">
        <v>113</v>
      </c>
      <c r="AM5" s="11">
        <f t="shared" si="1"/>
        <v>339</v>
      </c>
      <c r="AO5" t="s">
        <v>329</v>
      </c>
      <c r="AP5">
        <f>71</f>
        <v>71</v>
      </c>
      <c r="AQ5">
        <f t="shared" si="6"/>
        <v>8.3827258320126781</v>
      </c>
      <c r="AT5" t="s">
        <v>304</v>
      </c>
      <c r="AU5">
        <v>8</v>
      </c>
    </row>
    <row r="6" spans="1:50" x14ac:dyDescent="0.25">
      <c r="A6" t="s">
        <v>186</v>
      </c>
      <c r="B6">
        <v>156</v>
      </c>
      <c r="C6" s="4">
        <f t="shared" si="2"/>
        <v>34.20302565226924</v>
      </c>
      <c r="D6" s="9">
        <f>(1.99*1.07)*($C$6/2260)</f>
        <v>3.2225001115653497E-2</v>
      </c>
      <c r="E6" s="9">
        <f>(1.99*1.07)*($B$6/2260)</f>
        <v>0.14697823008849559</v>
      </c>
      <c r="F6" t="s">
        <v>186</v>
      </c>
      <c r="G6">
        <v>156</v>
      </c>
      <c r="H6" s="4">
        <f t="shared" si="7"/>
        <v>20.222538916904188</v>
      </c>
      <c r="I6" s="9">
        <f>(1.99*1.07)*(H6/2260)</f>
        <v>1.905303190963013E-2</v>
      </c>
      <c r="M6">
        <f>SUM(M2:M5)</f>
        <v>746</v>
      </c>
      <c r="N6">
        <v>250</v>
      </c>
      <c r="O6" s="10">
        <f>SUM(O2:O5)</f>
        <v>2.2840379716143744</v>
      </c>
      <c r="P6">
        <f t="shared" ref="P6:S6" si="8">SUM(P2:P5)</f>
        <v>2486.9166666666665</v>
      </c>
      <c r="Q6">
        <f t="shared" si="8"/>
        <v>113.55</v>
      </c>
      <c r="R6">
        <f t="shared" si="8"/>
        <v>1.19</v>
      </c>
      <c r="S6">
        <f t="shared" si="8"/>
        <v>368.68</v>
      </c>
      <c r="AD6" t="s">
        <v>310</v>
      </c>
      <c r="AE6">
        <v>505.5</v>
      </c>
      <c r="AF6">
        <v>85</v>
      </c>
      <c r="AG6" t="s">
        <v>302</v>
      </c>
      <c r="AH6">
        <v>2.5</v>
      </c>
      <c r="AI6">
        <f t="shared" si="0"/>
        <v>5</v>
      </c>
      <c r="AK6" s="24" t="s">
        <v>318</v>
      </c>
      <c r="AL6" s="28">
        <v>50</v>
      </c>
      <c r="AM6" s="11">
        <f t="shared" si="1"/>
        <v>150</v>
      </c>
      <c r="AO6" t="s">
        <v>330</v>
      </c>
      <c r="AR6" t="s">
        <v>525</v>
      </c>
      <c r="AT6" t="s">
        <v>469</v>
      </c>
      <c r="AU6">
        <v>1</v>
      </c>
    </row>
    <row r="7" spans="1:50" x14ac:dyDescent="0.25">
      <c r="A7" t="s">
        <v>176</v>
      </c>
      <c r="B7">
        <v>4.2</v>
      </c>
      <c r="C7" s="4">
        <f t="shared" si="2"/>
        <v>0.92085069063801805</v>
      </c>
      <c r="D7" s="9">
        <f>_xlfn.XLOOKUP($A$7,'Liquid Mix In Nutrition'!$A:$A,'Liquid Mix In Nutrition'!$F:$F,0)*($C$7/15)</f>
        <v>8.5763975339930659E-2</v>
      </c>
      <c r="E7" s="9">
        <f>_xlfn.XLOOKUP($A$7,'Liquid Mix In Nutrition'!$A:$A,'Liquid Mix In Nutrition'!$F:$F,0)*($B$7/15)</f>
        <v>0.39116949152542374</v>
      </c>
      <c r="F7" t="s">
        <v>176</v>
      </c>
      <c r="G7">
        <v>4.2</v>
      </c>
      <c r="H7" s="4">
        <f t="shared" si="7"/>
        <v>0.54445297083972821</v>
      </c>
      <c r="I7" s="9">
        <f>_xlfn.XLOOKUP(F7,'Liquid Mix In Nutrition'!$A:$A,'Liquid Mix In Nutrition'!$F:$F,0)*(G7/15)</f>
        <v>0.39116949152542374</v>
      </c>
      <c r="AG7" t="s">
        <v>303</v>
      </c>
      <c r="AH7">
        <v>7.5</v>
      </c>
      <c r="AI7">
        <f t="shared" si="0"/>
        <v>15</v>
      </c>
      <c r="AK7" s="24" t="s">
        <v>319</v>
      </c>
      <c r="AL7" s="28">
        <v>4.34</v>
      </c>
      <c r="AM7" s="11">
        <f t="shared" si="1"/>
        <v>13.02</v>
      </c>
      <c r="AO7" t="s">
        <v>193</v>
      </c>
      <c r="AP7">
        <f>SUM(AP2:AP6)</f>
        <v>631</v>
      </c>
      <c r="AQ7">
        <v>74.5</v>
      </c>
      <c r="AR7">
        <f>AQ7-AQ3</f>
        <v>60.332012678288429</v>
      </c>
      <c r="AT7" t="s">
        <v>470</v>
      </c>
      <c r="AU7">
        <v>0.5</v>
      </c>
    </row>
    <row r="8" spans="1:50" x14ac:dyDescent="0.25">
      <c r="A8" t="s">
        <v>182</v>
      </c>
      <c r="B8">
        <v>113</v>
      </c>
      <c r="C8" s="4">
        <f t="shared" si="2"/>
        <v>24.775268581451435</v>
      </c>
      <c r="D8" s="9">
        <f>(_xlfn.XLOOKUP("Milk Chocolate Bar",'Solid Mix In Nutrition'!$A:$A,'Solid Mix In Nutrition'!$F:$F,0)/240)*$C$8</f>
        <v>0.16148726521961557</v>
      </c>
      <c r="E8" s="9">
        <f>(_xlfn.XLOOKUP("Milk Chocolate Bar",'Solid Mix In Nutrition'!$A:$A,'Solid Mix In Nutrition'!$F:$F,0)/240)*$B$8</f>
        <v>0.73654341666666667</v>
      </c>
      <c r="F8" t="s">
        <v>413</v>
      </c>
      <c r="G8">
        <v>113</v>
      </c>
      <c r="H8" s="4">
        <f>G8*($H$11/$G$11)</f>
        <v>14.648377548783163</v>
      </c>
      <c r="I8" s="9">
        <f>(_xlfn.XLOOKUP(F8,'Solid Mix In Nutrition'!$A:$A,'Solid Mix In Nutrition'!$F:$F,0)/240) *H8</f>
        <v>9.1215159773183591E-2</v>
      </c>
      <c r="K8" s="25" t="s">
        <v>282</v>
      </c>
      <c r="L8" s="26" t="s">
        <v>275</v>
      </c>
      <c r="AG8" t="s">
        <v>304</v>
      </c>
      <c r="AH8">
        <v>2.5</v>
      </c>
      <c r="AI8">
        <f t="shared" si="0"/>
        <v>5</v>
      </c>
      <c r="AK8" s="24" t="s">
        <v>320</v>
      </c>
      <c r="AL8" s="28">
        <v>3</v>
      </c>
      <c r="AM8" s="11">
        <f t="shared" si="1"/>
        <v>9</v>
      </c>
      <c r="AT8" t="s">
        <v>471</v>
      </c>
      <c r="AU8">
        <v>1.5</v>
      </c>
    </row>
    <row r="9" spans="1:50" x14ac:dyDescent="0.25">
      <c r="A9" t="s">
        <v>183</v>
      </c>
      <c r="B9">
        <v>113</v>
      </c>
      <c r="C9" s="4">
        <f t="shared" si="2"/>
        <v>24.775268581451435</v>
      </c>
      <c r="D9" s="9">
        <f>(_xlfn.XLOOKUP("Milk Chocolate Bar",'Solid Mix In Nutrition'!$A:$A,'Solid Mix In Nutrition'!$F:$F,0)/240)*$C$9</f>
        <v>0.16148726521961557</v>
      </c>
      <c r="E9" s="9">
        <f>(_xlfn.XLOOKUP("Milk Chocolate Bar",'Solid Mix In Nutrition'!$A:$A,'Solid Mix In Nutrition'!$F:$F,0)/240)*$B$9</f>
        <v>0.73654341666666667</v>
      </c>
      <c r="F9" t="s">
        <v>413</v>
      </c>
      <c r="G9">
        <v>113</v>
      </c>
      <c r="H9" s="4">
        <f t="shared" si="7"/>
        <v>14.648377548783163</v>
      </c>
      <c r="I9" s="9">
        <f>(_xlfn.XLOOKUP(F9,'Solid Mix In Nutrition'!$A:$A,'Solid Mix In Nutrition'!$F:$F,0)/240) *H9</f>
        <v>9.1215159773183591E-2</v>
      </c>
      <c r="L9" t="s">
        <v>276</v>
      </c>
      <c r="M9">
        <v>115</v>
      </c>
      <c r="N9">
        <f>M9*($N$13/$M$13)</f>
        <v>13.624203821656051</v>
      </c>
      <c r="O9" s="9">
        <f>(3.49*1.07)/4</f>
        <v>0.93357500000000015</v>
      </c>
      <c r="P9">
        <v>825</v>
      </c>
      <c r="Q9">
        <v>93.28</v>
      </c>
      <c r="R9">
        <v>0.98</v>
      </c>
      <c r="S9">
        <v>7.0000000000000007E-2</v>
      </c>
      <c r="AG9" t="s">
        <v>305</v>
      </c>
      <c r="AH9">
        <v>2.5</v>
      </c>
      <c r="AI9">
        <f t="shared" si="0"/>
        <v>5</v>
      </c>
      <c r="AK9" s="24" t="s">
        <v>321</v>
      </c>
      <c r="AL9" s="28">
        <v>3</v>
      </c>
      <c r="AM9" s="11">
        <f t="shared" si="1"/>
        <v>9</v>
      </c>
      <c r="AO9" t="s">
        <v>464</v>
      </c>
      <c r="AT9" t="s">
        <v>383</v>
      </c>
      <c r="AU9">
        <v>15</v>
      </c>
    </row>
    <row r="10" spans="1:50" x14ac:dyDescent="0.25">
      <c r="A10" t="s">
        <v>184</v>
      </c>
      <c r="B10">
        <v>113</v>
      </c>
      <c r="C10" s="4">
        <f t="shared" si="2"/>
        <v>24.775268581451435</v>
      </c>
      <c r="D10" s="9">
        <f>(1.69*1.07)*($C$10/312)</f>
        <v>0.14359332748666226</v>
      </c>
      <c r="E10" s="9">
        <f>(1.69*1.07)*($B$10/312)</f>
        <v>0.65492916666666667</v>
      </c>
      <c r="F10" t="s">
        <v>413</v>
      </c>
      <c r="G10">
        <v>113</v>
      </c>
      <c r="H10" s="4">
        <f>G10*($H$11/$G$11)</f>
        <v>14.648377548783163</v>
      </c>
      <c r="I10" s="9">
        <f>(_xlfn.XLOOKUP(F10,'Solid Mix In Nutrition'!$A:$A,'Solid Mix In Nutrition'!$F:$F,0)/240) *H10</f>
        <v>9.1215159773183591E-2</v>
      </c>
      <c r="L10" t="s">
        <v>277</v>
      </c>
      <c r="M10">
        <v>240</v>
      </c>
      <c r="N10">
        <f t="shared" ref="N10:N12" si="9">M10*($N$13/$M$13)</f>
        <v>28.433121019108281</v>
      </c>
      <c r="O10" s="9">
        <f>_xlfn.XLOOKUP($L$10,'Sweetener Mix In Nutrition'!$A:$A,'Sweetener Mix In Nutrition'!$F:$F,0)/100*$M$10</f>
        <v>0.56626240352811474</v>
      </c>
      <c r="P10" s="23">
        <f>_xlfn.XLOOKUP($L$10,'Sweetener Mix In Nutrition'!$A:$A,'Sweetener Mix In Nutrition'!B:B,0)/100*$M$10</f>
        <v>933.6</v>
      </c>
      <c r="Q10" s="23">
        <f>_xlfn.XLOOKUP($L$10,'Sweetener Mix In Nutrition'!$A:$A,'Sweetener Mix In Nutrition'!C:C,0)/100*$M$10</f>
        <v>0</v>
      </c>
      <c r="R10" s="23">
        <f>_xlfn.XLOOKUP($L$10,'Sweetener Mix In Nutrition'!$A:$A,'Sweetener Mix In Nutrition'!D:D,0)/100*$M$10</f>
        <v>0</v>
      </c>
      <c r="S10" s="23">
        <f>_xlfn.XLOOKUP($L$10,'Sweetener Mix In Nutrition'!$A:$A,'Sweetener Mix In Nutrition'!E:E,0)/100*$M$10</f>
        <v>235.2</v>
      </c>
      <c r="X10">
        <f>60+79</f>
        <v>139</v>
      </c>
      <c r="AG10" t="s">
        <v>312</v>
      </c>
      <c r="AH10">
        <v>2.5</v>
      </c>
      <c r="AI10">
        <f t="shared" si="0"/>
        <v>5</v>
      </c>
      <c r="AK10" s="24" t="s">
        <v>322</v>
      </c>
      <c r="AL10" s="28">
        <v>1.5</v>
      </c>
      <c r="AM10" s="11">
        <f t="shared" si="1"/>
        <v>4.5</v>
      </c>
    </row>
    <row r="11" spans="1:50" x14ac:dyDescent="0.25">
      <c r="B11">
        <f>SUM(B2:B10)</f>
        <v>912.2</v>
      </c>
      <c r="C11">
        <v>200</v>
      </c>
      <c r="D11" s="9"/>
      <c r="G11">
        <f>SUM(G2:G10)</f>
        <v>912.2</v>
      </c>
      <c r="H11">
        <f>118.25</f>
        <v>118.25</v>
      </c>
      <c r="I11" s="9"/>
      <c r="L11" t="s">
        <v>176</v>
      </c>
      <c r="M11">
        <v>7.5</v>
      </c>
      <c r="N11">
        <f t="shared" si="9"/>
        <v>0.88853503184713378</v>
      </c>
      <c r="O11" s="9">
        <f>_xlfn.XLOOKUP($L$11,'Liquid Mix In Nutrition'!$A:$A,'Liquid Mix In Nutrition'!$F:$F,0)*($M$11/15)</f>
        <v>0.69851694915254237</v>
      </c>
      <c r="P11" s="23">
        <f>_xlfn.XLOOKUP($L$11,'Liquid Mix In Nutrition'!$A:$A,'Liquid Mix In Nutrition'!B:B,0)*($M$11/15)</f>
        <v>36.25</v>
      </c>
      <c r="Q11" s="23">
        <f>_xlfn.XLOOKUP($L$11,'Liquid Mix In Nutrition'!$A:$A,'Liquid Mix In Nutrition'!C:C,0)*($M$11/15)</f>
        <v>0</v>
      </c>
      <c r="R11" s="23">
        <f>_xlfn.XLOOKUP($L$11,'Liquid Mix In Nutrition'!$A:$A,'Liquid Mix In Nutrition'!D:D,0)*($M$11/15)</f>
        <v>0</v>
      </c>
      <c r="S11" s="23">
        <f>_xlfn.XLOOKUP($L$11,'Liquid Mix In Nutrition'!$A:$A,'Liquid Mix In Nutrition'!E:E,0)*($M$11/15)</f>
        <v>1.65</v>
      </c>
      <c r="AG11" t="s">
        <v>311</v>
      </c>
      <c r="AH11">
        <v>15</v>
      </c>
      <c r="AI11">
        <f t="shared" si="0"/>
        <v>30</v>
      </c>
      <c r="AK11" s="24" t="s">
        <v>523</v>
      </c>
      <c r="AL11" s="28">
        <v>79.5</v>
      </c>
      <c r="AM11" s="11">
        <f t="shared" si="1"/>
        <v>238.5</v>
      </c>
      <c r="AN11">
        <v>1</v>
      </c>
    </row>
    <row r="12" spans="1:50" x14ac:dyDescent="0.25">
      <c r="A12" t="s">
        <v>42</v>
      </c>
      <c r="D12" s="9">
        <f>SUM(D2:D10)</f>
        <v>0.96789955695604979</v>
      </c>
      <c r="E12" s="10">
        <f>SUM(E2:E10)</f>
        <v>4.4145898792765434</v>
      </c>
      <c r="F12" t="s">
        <v>42</v>
      </c>
      <c r="I12" s="9">
        <f>SUM(I2:I10)</f>
        <v>0.83432755766377786</v>
      </c>
      <c r="L12" t="s">
        <v>68</v>
      </c>
      <c r="M12">
        <v>30</v>
      </c>
      <c r="N12">
        <f t="shared" si="9"/>
        <v>3.5541401273885351</v>
      </c>
      <c r="O12">
        <f>_xlfn.XLOOKUP($L$12,'Milk Types Nutrition Per Cup'!$A:$A,'Milk Types Nutrition Per Cup'!F:F,0)*($M$12/240)</f>
        <v>2.8730158730158731E-2</v>
      </c>
      <c r="P12">
        <f>_xlfn.XLOOKUP($L$12,'Milk Types Nutrition Per Cup'!$A:$A,'Milk Types Nutrition Per Cup'!B:B,0)*($M$12/240)</f>
        <v>16.25</v>
      </c>
      <c r="Q12">
        <f>_xlfn.XLOOKUP($L$12,'Milk Types Nutrition Per Cup'!$A:$A,'Milk Types Nutrition Per Cup'!C:C,0)*($M$12/240)</f>
        <v>0.625</v>
      </c>
      <c r="R12">
        <f>_xlfn.XLOOKUP($L$12,'Milk Types Nutrition Per Cup'!$A:$A,'Milk Types Nutrition Per Cup'!D:D,0)*($M$12/240)</f>
        <v>1</v>
      </c>
      <c r="S12">
        <f>_xlfn.XLOOKUP($L$12,'Milk Types Nutrition Per Cup'!$A:$A,'Milk Types Nutrition Per Cup'!E:E,0)*($M$12/240)</f>
        <v>1.5</v>
      </c>
      <c r="AG12" t="s">
        <v>327</v>
      </c>
      <c r="AH12">
        <v>270</v>
      </c>
      <c r="AI12">
        <f t="shared" si="0"/>
        <v>540</v>
      </c>
      <c r="AK12" t="s">
        <v>405</v>
      </c>
      <c r="AL12">
        <v>10</v>
      </c>
      <c r="AM12" s="11">
        <f t="shared" si="1"/>
        <v>30</v>
      </c>
      <c r="AN12" s="11"/>
      <c r="AO12" t="s">
        <v>465</v>
      </c>
    </row>
    <row r="13" spans="1:50" x14ac:dyDescent="0.25">
      <c r="M13">
        <f>SUM(M9:M12)</f>
        <v>392.5</v>
      </c>
      <c r="N13">
        <f>93/2</f>
        <v>46.5</v>
      </c>
      <c r="O13" s="10">
        <f>SUM(O9:O12)</f>
        <v>2.227084511410816</v>
      </c>
      <c r="P13">
        <f t="shared" ref="P13:S13" si="10">SUM(P9:P12)</f>
        <v>1811.1</v>
      </c>
      <c r="Q13">
        <f t="shared" si="10"/>
        <v>93.905000000000001</v>
      </c>
      <c r="R13">
        <f t="shared" si="10"/>
        <v>1.98</v>
      </c>
      <c r="S13">
        <f t="shared" si="10"/>
        <v>238.42</v>
      </c>
      <c r="V13" s="26" t="s">
        <v>792</v>
      </c>
      <c r="Y13" t="s">
        <v>52</v>
      </c>
      <c r="AG13" t="s">
        <v>193</v>
      </c>
      <c r="AH13">
        <f>SUM(AH2:AH12)</f>
        <v>715.5</v>
      </c>
      <c r="AI13">
        <f>AH13*2</f>
        <v>1431</v>
      </c>
      <c r="AK13" t="s">
        <v>401</v>
      </c>
      <c r="AL13" s="28">
        <f>SUM(AL2:AL12)</f>
        <v>584.33999999999992</v>
      </c>
      <c r="AM13" s="28">
        <f>AL13*3</f>
        <v>1753.0199999999998</v>
      </c>
      <c r="AN13" s="11"/>
    </row>
    <row r="14" spans="1:50" x14ac:dyDescent="0.25">
      <c r="A14" s="26" t="s">
        <v>189</v>
      </c>
      <c r="C14" t="s">
        <v>185</v>
      </c>
      <c r="V14" t="s">
        <v>102</v>
      </c>
      <c r="W14">
        <v>500</v>
      </c>
      <c r="X14">
        <f t="shared" ref="X14:X16" si="11">W14*($X$18/$W$18)</f>
        <v>185.18518518518516</v>
      </c>
      <c r="Y14">
        <f>_xlfn.XLOOKUP($V14,'Liquid Mix In Nutrition'!$A:$A,'Liquid Mix In Nutrition'!B:B,0)/15*$X$14</f>
        <v>59.67078189300409</v>
      </c>
    </row>
    <row r="15" spans="1:50" x14ac:dyDescent="0.25">
      <c r="A15" t="s">
        <v>194</v>
      </c>
      <c r="B15">
        <v>285</v>
      </c>
      <c r="C15">
        <f>B15*($C$20/$B$20)</f>
        <v>62.976776917663614</v>
      </c>
      <c r="V15" t="s">
        <v>1</v>
      </c>
      <c r="W15">
        <v>130</v>
      </c>
      <c r="X15">
        <f t="shared" si="11"/>
        <v>48.148148148148145</v>
      </c>
      <c r="Y15">
        <f>_xlfn.XLOOKUP($V15,'Sweetener Mix In Nutrition'!$A:$A,'Sweetener Mix In Nutrition'!B:B,0)/100*$X15</f>
        <v>186.33333333333331</v>
      </c>
      <c r="AG15" t="s">
        <v>324</v>
      </c>
    </row>
    <row r="16" spans="1:50" x14ac:dyDescent="0.25">
      <c r="A16" t="s">
        <v>180</v>
      </c>
      <c r="B16">
        <v>113</v>
      </c>
      <c r="C16">
        <f>B16*($C$20/$B$20)</f>
        <v>24.969739619985923</v>
      </c>
      <c r="F16" s="26" t="s">
        <v>342</v>
      </c>
      <c r="H16" t="s">
        <v>185</v>
      </c>
      <c r="V16" t="s">
        <v>286</v>
      </c>
      <c r="W16">
        <v>30</v>
      </c>
      <c r="X16">
        <f t="shared" si="11"/>
        <v>11.111111111111111</v>
      </c>
      <c r="Y16">
        <v>1</v>
      </c>
      <c r="AG16" t="s">
        <v>325</v>
      </c>
    </row>
    <row r="17" spans="1:33" x14ac:dyDescent="0.25">
      <c r="A17" t="s">
        <v>190</v>
      </c>
      <c r="B17">
        <v>200</v>
      </c>
      <c r="C17">
        <f>B17*($C$20/$B$20)</f>
        <v>44.194229415904289</v>
      </c>
      <c r="F17" t="s">
        <v>194</v>
      </c>
      <c r="G17">
        <v>285</v>
      </c>
      <c r="H17" s="27">
        <f t="shared" ref="H17:H22" si="12">G17*($H$28/$G$28)</f>
        <v>47.374670184696576</v>
      </c>
      <c r="V17" t="s">
        <v>307</v>
      </c>
      <c r="W17">
        <v>150</v>
      </c>
      <c r="X17">
        <f>W17*($X$18/$W$18)</f>
        <v>55.55555555555555</v>
      </c>
      <c r="Y17">
        <v>0</v>
      </c>
      <c r="AG17" t="s">
        <v>326</v>
      </c>
    </row>
    <row r="18" spans="1:33" x14ac:dyDescent="0.25">
      <c r="A18" t="s">
        <v>191</v>
      </c>
      <c r="B18">
        <v>105</v>
      </c>
      <c r="C18">
        <f>B18*($C$20/$B$20)</f>
        <v>23.201970443349751</v>
      </c>
      <c r="F18" t="s">
        <v>180</v>
      </c>
      <c r="G18">
        <v>113</v>
      </c>
      <c r="H18" s="27">
        <f t="shared" si="12"/>
        <v>18.78364116094987</v>
      </c>
      <c r="V18" t="s">
        <v>287</v>
      </c>
      <c r="W18">
        <f>SUM(W14:W17)</f>
        <v>810</v>
      </c>
      <c r="X18">
        <v>300</v>
      </c>
      <c r="Y18">
        <f>SUM(Y14:Y17)</f>
        <v>247.0041152263374</v>
      </c>
    </row>
    <row r="19" spans="1:33" x14ac:dyDescent="0.25">
      <c r="A19" t="s">
        <v>192</v>
      </c>
      <c r="B19">
        <v>7.5</v>
      </c>
      <c r="C19">
        <f>B19*($C$20/$B$20)</f>
        <v>1.6572836030964109</v>
      </c>
      <c r="F19" t="s">
        <v>190</v>
      </c>
      <c r="G19">
        <v>200</v>
      </c>
      <c r="H19" s="27">
        <f t="shared" si="12"/>
        <v>33.245382585751983</v>
      </c>
      <c r="L19" s="26" t="s">
        <v>376</v>
      </c>
      <c r="N19" t="s">
        <v>185</v>
      </c>
    </row>
    <row r="20" spans="1:33" x14ac:dyDescent="0.25">
      <c r="A20" t="s">
        <v>193</v>
      </c>
      <c r="B20">
        <f>SUM(B15:B19)</f>
        <v>710.5</v>
      </c>
      <c r="C20">
        <f>157</f>
        <v>157</v>
      </c>
      <c r="F20" t="s">
        <v>191</v>
      </c>
      <c r="G20">
        <v>55</v>
      </c>
      <c r="H20" s="27">
        <f t="shared" si="12"/>
        <v>9.1424802110817946</v>
      </c>
      <c r="L20" t="s">
        <v>377</v>
      </c>
      <c r="M20">
        <v>451</v>
      </c>
      <c r="N20" s="12">
        <f>M20*($N$25/$M$25)</f>
        <v>83.441258094357067</v>
      </c>
    </row>
    <row r="21" spans="1:33" x14ac:dyDescent="0.25">
      <c r="F21" t="s">
        <v>347</v>
      </c>
      <c r="G21">
        <v>50</v>
      </c>
      <c r="H21" s="27">
        <f t="shared" si="12"/>
        <v>8.3113456464379958</v>
      </c>
      <c r="L21" t="s">
        <v>1</v>
      </c>
      <c r="M21">
        <v>100</v>
      </c>
      <c r="N21" s="12">
        <f t="shared" ref="N21:N24" si="13">M21*($N$25/$M$25)</f>
        <v>18.501387604070306</v>
      </c>
    </row>
    <row r="22" spans="1:33" x14ac:dyDescent="0.25">
      <c r="F22" t="s">
        <v>192</v>
      </c>
      <c r="G22">
        <v>7.5</v>
      </c>
      <c r="H22" s="27">
        <f t="shared" si="12"/>
        <v>1.2467018469656992</v>
      </c>
      <c r="L22" t="s">
        <v>378</v>
      </c>
      <c r="M22">
        <v>237</v>
      </c>
      <c r="N22" s="12">
        <f t="shared" si="13"/>
        <v>43.848288621646624</v>
      </c>
    </row>
    <row r="23" spans="1:33" x14ac:dyDescent="0.25">
      <c r="F23" s="26" t="s">
        <v>359</v>
      </c>
      <c r="G23">
        <f>SUM(G17:G22)</f>
        <v>710.5</v>
      </c>
      <c r="H23" s="27">
        <f>SUM(H17:H22)</f>
        <v>118.1042216358839</v>
      </c>
      <c r="L23" t="s">
        <v>329</v>
      </c>
      <c r="M23">
        <v>113</v>
      </c>
      <c r="N23" s="12">
        <f t="shared" si="13"/>
        <v>20.906567992599445</v>
      </c>
    </row>
    <row r="24" spans="1:33" x14ac:dyDescent="0.25">
      <c r="F24" t="s">
        <v>343</v>
      </c>
      <c r="G24">
        <v>195</v>
      </c>
      <c r="H24" s="27">
        <f>G24*($H$28/$G$28)</f>
        <v>32.414248021108179</v>
      </c>
      <c r="L24" t="s">
        <v>379</v>
      </c>
      <c r="M24">
        <f>45*4</f>
        <v>180</v>
      </c>
      <c r="N24" s="12">
        <f t="shared" si="13"/>
        <v>33.30249768732655</v>
      </c>
    </row>
    <row r="25" spans="1:33" x14ac:dyDescent="0.25">
      <c r="F25" t="s">
        <v>344</v>
      </c>
      <c r="G25">
        <v>65</v>
      </c>
      <c r="H25" s="27">
        <f>G25*($H$28/$G$28)</f>
        <v>10.804749340369394</v>
      </c>
      <c r="L25" s="26" t="s">
        <v>193</v>
      </c>
      <c r="M25">
        <f>SUM(M20:M24)</f>
        <v>1081</v>
      </c>
      <c r="N25">
        <v>200</v>
      </c>
    </row>
    <row r="26" spans="1:33" x14ac:dyDescent="0.25">
      <c r="F26" t="s">
        <v>345</v>
      </c>
      <c r="G26">
        <v>56.5</v>
      </c>
      <c r="H26" s="27">
        <f>G26*($H$28/$G$28)</f>
        <v>9.3918205804749348</v>
      </c>
      <c r="L26" t="s">
        <v>380</v>
      </c>
    </row>
    <row r="27" spans="1:33" x14ac:dyDescent="0.25">
      <c r="F27" t="s">
        <v>346</v>
      </c>
      <c r="G27">
        <v>110</v>
      </c>
      <c r="H27" s="27">
        <f>G27*($H$28/$G$28)</f>
        <v>18.284960422163589</v>
      </c>
    </row>
    <row r="28" spans="1:33" x14ac:dyDescent="0.25">
      <c r="F28" s="26" t="s">
        <v>193</v>
      </c>
      <c r="G28">
        <f>SUM(G17:G22,G24:G27)</f>
        <v>1137</v>
      </c>
      <c r="H28" s="27">
        <f>189</f>
        <v>189</v>
      </c>
      <c r="V28" s="26" t="s">
        <v>294</v>
      </c>
      <c r="W28" t="s">
        <v>290</v>
      </c>
      <c r="X28" t="s">
        <v>291</v>
      </c>
      <c r="Y28" t="s">
        <v>190</v>
      </c>
      <c r="Z28" t="s">
        <v>292</v>
      </c>
    </row>
    <row r="29" spans="1:33" x14ac:dyDescent="0.25">
      <c r="V29" t="s">
        <v>289</v>
      </c>
      <c r="W29">
        <v>18</v>
      </c>
      <c r="X29">
        <v>9</v>
      </c>
      <c r="Y29">
        <v>0.8</v>
      </c>
      <c r="Z29">
        <v>0.1</v>
      </c>
    </row>
    <row r="30" spans="1:33" x14ac:dyDescent="0.25">
      <c r="V30" t="s">
        <v>1</v>
      </c>
      <c r="W30">
        <v>17</v>
      </c>
      <c r="X30">
        <f>(_xlfn.XLOOKUP("Sugar",'Sweetener Mix In Nutrition'!$A:$A,'Sweetener Mix In Nutrition'!B:B) / 100 )*$W$30</f>
        <v>65.790000000000006</v>
      </c>
      <c r="Y30">
        <f>(_xlfn.XLOOKUP("Sugar",'Sweetener Mix In Nutrition'!$A:$A,'Sweetener Mix In Nutrition'!E:E) / 100 )*$W$30</f>
        <v>17</v>
      </c>
      <c r="Z30">
        <f>(_xlfn.XLOOKUP("Sugar",'Sweetener Mix In Nutrition'!$A:$A,'Sweetener Mix In Nutrition'!C:C) / 100 )*$W$30</f>
        <v>0</v>
      </c>
    </row>
    <row r="31" spans="1:33" x14ac:dyDescent="0.25">
      <c r="A31" t="s">
        <v>350</v>
      </c>
      <c r="G31" t="s">
        <v>356</v>
      </c>
      <c r="H31">
        <v>87</v>
      </c>
      <c r="I31">
        <v>43.5</v>
      </c>
      <c r="V31" t="s">
        <v>286</v>
      </c>
      <c r="W31">
        <v>2.5</v>
      </c>
      <c r="X31">
        <v>0.9</v>
      </c>
      <c r="Y31">
        <v>0.1</v>
      </c>
      <c r="Z31">
        <v>0</v>
      </c>
    </row>
    <row r="32" spans="1:33" x14ac:dyDescent="0.25">
      <c r="A32" t="s">
        <v>351</v>
      </c>
      <c r="B32">
        <v>462</v>
      </c>
      <c r="C32">
        <f>B32*($C$36/$B$36)</f>
        <v>107.42148876404495</v>
      </c>
      <c r="G32" t="s">
        <v>357</v>
      </c>
      <c r="H32">
        <v>78</v>
      </c>
      <c r="I32">
        <v>39</v>
      </c>
      <c r="W32">
        <f>SUM(W29:W31)</f>
        <v>37.5</v>
      </c>
      <c r="X32">
        <f>SUM(X29:X31)</f>
        <v>75.690000000000012</v>
      </c>
      <c r="Y32">
        <f>SUM(Y29:Y31)</f>
        <v>17.900000000000002</v>
      </c>
      <c r="Z32">
        <f>SUM(Z29:Z31)</f>
        <v>0.1</v>
      </c>
    </row>
    <row r="33" spans="1:27" x14ac:dyDescent="0.25">
      <c r="A33" t="s">
        <v>352</v>
      </c>
      <c r="B33">
        <v>30</v>
      </c>
      <c r="C33">
        <f>B33*($C$36/$B$36)</f>
        <v>6.9754213483146073</v>
      </c>
      <c r="H33" t="s">
        <v>348</v>
      </c>
      <c r="L33" s="26" t="s">
        <v>381</v>
      </c>
      <c r="P33" s="26" t="s">
        <v>395</v>
      </c>
      <c r="R33" s="25" t="s">
        <v>399</v>
      </c>
      <c r="V33" t="s">
        <v>295</v>
      </c>
      <c r="W33">
        <v>38</v>
      </c>
      <c r="X33">
        <v>100</v>
      </c>
      <c r="Y33">
        <v>16</v>
      </c>
      <c r="Z33">
        <v>0.1</v>
      </c>
      <c r="AA33" t="s">
        <v>293</v>
      </c>
    </row>
    <row r="34" spans="1:27" x14ac:dyDescent="0.25">
      <c r="A34" t="s">
        <v>353</v>
      </c>
      <c r="B34">
        <v>120</v>
      </c>
      <c r="C34">
        <f>B34*($C$36/$B$36)</f>
        <v>27.901685393258429</v>
      </c>
      <c r="L34" t="s">
        <v>329</v>
      </c>
      <c r="M34">
        <v>455</v>
      </c>
      <c r="N34" s="12">
        <f>M34*($N$41/$M$41)</f>
        <v>46.122655854029396</v>
      </c>
      <c r="P34" s="28" t="s">
        <v>389</v>
      </c>
      <c r="Q34" s="28">
        <v>180</v>
      </c>
      <c r="R34">
        <f>Q34*($R$44/$Q$44)</f>
        <v>45</v>
      </c>
    </row>
    <row r="35" spans="1:27" x14ac:dyDescent="0.25">
      <c r="A35" t="s">
        <v>354</v>
      </c>
      <c r="B35">
        <v>100</v>
      </c>
      <c r="C35">
        <f>B35*($C$36/$B$36)</f>
        <v>23.251404494382026</v>
      </c>
      <c r="L35" t="s">
        <v>1</v>
      </c>
      <c r="M35">
        <v>700</v>
      </c>
      <c r="N35" s="12">
        <f t="shared" ref="N35:N40" si="14">M35*($N$41/$M$41)</f>
        <v>70.957932083122145</v>
      </c>
      <c r="P35" s="28" t="s">
        <v>390</v>
      </c>
      <c r="Q35" s="28">
        <v>6</v>
      </c>
      <c r="R35">
        <f t="shared" ref="R35:R43" si="15">Q35*($R$44/$Q$44)</f>
        <v>1.5</v>
      </c>
    </row>
    <row r="36" spans="1:27" x14ac:dyDescent="0.25">
      <c r="A36" t="s">
        <v>355</v>
      </c>
      <c r="B36">
        <f>SUM(B32:B35)</f>
        <v>712</v>
      </c>
      <c r="C36">
        <v>165.55</v>
      </c>
      <c r="L36" t="s">
        <v>379</v>
      </c>
      <c r="M36">
        <f>45*6</f>
        <v>270</v>
      </c>
      <c r="N36" s="12">
        <f t="shared" si="14"/>
        <v>27.369488089204257</v>
      </c>
      <c r="P36" s="28" t="s">
        <v>391</v>
      </c>
      <c r="Q36" s="28">
        <v>3</v>
      </c>
      <c r="R36">
        <f t="shared" si="15"/>
        <v>0.75</v>
      </c>
    </row>
    <row r="37" spans="1:27" x14ac:dyDescent="0.25">
      <c r="C37" t="s">
        <v>463</v>
      </c>
      <c r="L37" t="s">
        <v>382</v>
      </c>
      <c r="M37">
        <f>15*6</f>
        <v>90</v>
      </c>
      <c r="N37" s="12">
        <f t="shared" si="14"/>
        <v>9.123162696401419</v>
      </c>
      <c r="P37" s="28" t="s">
        <v>396</v>
      </c>
      <c r="Q37" s="28">
        <v>300</v>
      </c>
      <c r="R37">
        <f t="shared" si="15"/>
        <v>75</v>
      </c>
    </row>
    <row r="38" spans="1:27" x14ac:dyDescent="0.25">
      <c r="A38" s="26" t="s">
        <v>526</v>
      </c>
      <c r="L38" t="s">
        <v>383</v>
      </c>
      <c r="M38">
        <v>15</v>
      </c>
      <c r="N38" s="12">
        <f t="shared" si="14"/>
        <v>1.5205271160669032</v>
      </c>
      <c r="P38" s="28" t="s">
        <v>392</v>
      </c>
      <c r="Q38" s="28">
        <v>200</v>
      </c>
      <c r="R38">
        <f t="shared" si="15"/>
        <v>50</v>
      </c>
    </row>
    <row r="39" spans="1:27" ht="25.5" x14ac:dyDescent="0.25">
      <c r="A39" s="82" t="s">
        <v>527</v>
      </c>
      <c r="B39" s="82" t="s">
        <v>528</v>
      </c>
      <c r="L39" t="s">
        <v>302</v>
      </c>
      <c r="M39">
        <v>5</v>
      </c>
      <c r="N39" s="12">
        <f t="shared" si="14"/>
        <v>0.50684237202230109</v>
      </c>
      <c r="P39" s="28" t="s">
        <v>393</v>
      </c>
      <c r="Q39" s="28">
        <v>6</v>
      </c>
      <c r="R39">
        <f t="shared" si="15"/>
        <v>1.5</v>
      </c>
    </row>
    <row r="40" spans="1:27" ht="25.5" x14ac:dyDescent="0.25">
      <c r="A40" s="83" t="s">
        <v>389</v>
      </c>
      <c r="B40" s="83">
        <v>270</v>
      </c>
      <c r="C40" s="12">
        <f>B40*($C$52/$B$52)</f>
        <v>120.2895860404678</v>
      </c>
      <c r="D40" s="83" t="s">
        <v>389</v>
      </c>
      <c r="L40" t="s">
        <v>384</v>
      </c>
      <c r="M40">
        <v>438</v>
      </c>
      <c r="N40" s="12">
        <f t="shared" si="14"/>
        <v>44.399391789153576</v>
      </c>
      <c r="P40" s="28" t="s">
        <v>394</v>
      </c>
      <c r="Q40" s="28">
        <v>122</v>
      </c>
      <c r="R40">
        <f t="shared" si="15"/>
        <v>30.5</v>
      </c>
      <c r="S40">
        <f>SUM(Q34:Q40)</f>
        <v>817</v>
      </c>
      <c r="T40">
        <f>SUM(R34:R40)</f>
        <v>204.25</v>
      </c>
    </row>
    <row r="41" spans="1:27" ht="30" x14ac:dyDescent="0.25">
      <c r="A41" s="83" t="s">
        <v>390</v>
      </c>
      <c r="B41" s="83">
        <v>2</v>
      </c>
      <c r="C41" s="12">
        <f t="shared" ref="C41:C49" si="16">B41*($C$52/$B$52)</f>
        <v>0.89103397067013179</v>
      </c>
      <c r="D41" s="83" t="s">
        <v>390</v>
      </c>
      <c r="L41" s="26" t="s">
        <v>193</v>
      </c>
      <c r="M41">
        <f>SUM(M34:M40)</f>
        <v>1973</v>
      </c>
      <c r="N41">
        <v>200</v>
      </c>
      <c r="P41" s="28" t="s">
        <v>397</v>
      </c>
      <c r="Q41" s="28">
        <v>396</v>
      </c>
      <c r="R41">
        <f t="shared" si="15"/>
        <v>99</v>
      </c>
    </row>
    <row r="42" spans="1:27" x14ac:dyDescent="0.25">
      <c r="A42" s="83" t="s">
        <v>529</v>
      </c>
      <c r="B42" s="83">
        <v>1</v>
      </c>
      <c r="C42" s="12">
        <f t="shared" si="16"/>
        <v>0.4455169853350659</v>
      </c>
      <c r="D42" s="83" t="s">
        <v>529</v>
      </c>
      <c r="P42" s="28" t="s">
        <v>398</v>
      </c>
      <c r="Q42" s="28">
        <v>340</v>
      </c>
      <c r="R42">
        <f t="shared" si="15"/>
        <v>85</v>
      </c>
    </row>
    <row r="43" spans="1:27" x14ac:dyDescent="0.25">
      <c r="A43" s="83" t="s">
        <v>530</v>
      </c>
      <c r="B43" s="83">
        <v>8</v>
      </c>
      <c r="C43" s="12">
        <f t="shared" si="16"/>
        <v>3.5641358826805272</v>
      </c>
      <c r="D43" s="83" t="s">
        <v>540</v>
      </c>
      <c r="L43" t="s">
        <v>798</v>
      </c>
      <c r="P43" s="28" t="s">
        <v>394</v>
      </c>
      <c r="Q43" s="28">
        <v>122</v>
      </c>
      <c r="R43">
        <f t="shared" si="15"/>
        <v>30.5</v>
      </c>
    </row>
    <row r="44" spans="1:27" x14ac:dyDescent="0.25">
      <c r="A44" s="83" t="s">
        <v>531</v>
      </c>
      <c r="B44" s="83">
        <v>3</v>
      </c>
      <c r="C44" s="12">
        <f t="shared" si="16"/>
        <v>1.3365509560051976</v>
      </c>
      <c r="D44" s="83" t="s">
        <v>531</v>
      </c>
      <c r="L44" t="s">
        <v>799</v>
      </c>
      <c r="M44">
        <v>500</v>
      </c>
      <c r="N44">
        <f>M44*(N46/M46)</f>
        <v>74.456521739130437</v>
      </c>
      <c r="P44" s="26" t="s">
        <v>193</v>
      </c>
      <c r="Q44">
        <f>SUM(Q34:Q43)</f>
        <v>1675</v>
      </c>
      <c r="R44">
        <f>Q44/4</f>
        <v>418.75</v>
      </c>
    </row>
    <row r="45" spans="1:27" ht="38.25" x14ac:dyDescent="0.25">
      <c r="A45" s="83" t="s">
        <v>532</v>
      </c>
      <c r="B45" s="83">
        <f>113/4</f>
        <v>28.25</v>
      </c>
      <c r="C45" s="12">
        <f t="shared" si="16"/>
        <v>12.585854835715612</v>
      </c>
      <c r="D45" s="83" t="s">
        <v>532</v>
      </c>
      <c r="L45" t="s">
        <v>800</v>
      </c>
      <c r="M45">
        <v>420</v>
      </c>
      <c r="N45">
        <f>M45*(N46/M46)</f>
        <v>62.543478260869563</v>
      </c>
    </row>
    <row r="46" spans="1:27" ht="25.5" x14ac:dyDescent="0.25">
      <c r="A46" s="83" t="s">
        <v>537</v>
      </c>
      <c r="B46" s="84">
        <f>(56.5/4)*3</f>
        <v>42.375</v>
      </c>
      <c r="C46" s="12">
        <f>B46*($C$52/$B$52)</f>
        <v>18.878782253573416</v>
      </c>
      <c r="D46" s="83" t="s">
        <v>539</v>
      </c>
      <c r="M46">
        <f>SUM(M44:M45)</f>
        <v>920</v>
      </c>
      <c r="N46">
        <v>137</v>
      </c>
    </row>
    <row r="47" spans="1:27" ht="25.5" x14ac:dyDescent="0.25">
      <c r="A47" s="83" t="s">
        <v>392</v>
      </c>
      <c r="B47" s="83">
        <v>200</v>
      </c>
      <c r="C47" s="12">
        <f t="shared" si="16"/>
        <v>89.103397067013177</v>
      </c>
      <c r="D47" s="83" t="s">
        <v>392</v>
      </c>
      <c r="L47" s="26" t="s">
        <v>431</v>
      </c>
    </row>
    <row r="48" spans="1:27" ht="25.5" x14ac:dyDescent="0.25">
      <c r="A48" s="83" t="s">
        <v>533</v>
      </c>
      <c r="B48" s="83">
        <v>50</v>
      </c>
      <c r="C48" s="12">
        <f t="shared" si="16"/>
        <v>22.275849266753294</v>
      </c>
      <c r="D48" s="83" t="s">
        <v>533</v>
      </c>
    </row>
    <row r="49" spans="1:14" ht="63.75" x14ac:dyDescent="0.25">
      <c r="A49" s="83" t="s">
        <v>534</v>
      </c>
      <c r="B49" s="83">
        <v>60</v>
      </c>
      <c r="C49" s="12">
        <f t="shared" si="16"/>
        <v>26.731019120103955</v>
      </c>
      <c r="D49" s="83" t="s">
        <v>541</v>
      </c>
    </row>
    <row r="50" spans="1:14" ht="25.5" x14ac:dyDescent="0.25">
      <c r="A50" s="83" t="s">
        <v>535</v>
      </c>
      <c r="B50" s="83">
        <v>7.5</v>
      </c>
      <c r="C50" s="12">
        <f t="shared" ref="C50:C51" si="17">B50*($C$52/$B$52)</f>
        <v>3.3413773900129944</v>
      </c>
      <c r="D50" s="83" t="s">
        <v>535</v>
      </c>
      <c r="L50" t="s">
        <v>433</v>
      </c>
      <c r="M50">
        <v>200</v>
      </c>
      <c r="N50">
        <f>M50*($N$56/$M$56)</f>
        <v>50</v>
      </c>
    </row>
    <row r="51" spans="1:14" ht="38.25" x14ac:dyDescent="0.25">
      <c r="A51" s="83" t="s">
        <v>536</v>
      </c>
      <c r="B51" s="83">
        <v>1.25</v>
      </c>
      <c r="C51" s="12">
        <f t="shared" si="17"/>
        <v>0.5568962316688324</v>
      </c>
      <c r="D51" s="83" t="s">
        <v>536</v>
      </c>
      <c r="L51" t="s">
        <v>435</v>
      </c>
      <c r="M51">
        <v>95</v>
      </c>
      <c r="N51">
        <f t="shared" ref="N51:N55" si="18">M51*($N$56/$M$56)</f>
        <v>23.75</v>
      </c>
    </row>
    <row r="52" spans="1:14" x14ac:dyDescent="0.25">
      <c r="A52" s="82" t="s">
        <v>538</v>
      </c>
      <c r="B52">
        <f>SUM(B40:B51)</f>
        <v>673.375</v>
      </c>
      <c r="C52">
        <v>300</v>
      </c>
      <c r="L52" t="s">
        <v>437</v>
      </c>
      <c r="M52">
        <v>10</v>
      </c>
      <c r="N52">
        <f t="shared" si="18"/>
        <v>2.5</v>
      </c>
    </row>
    <row r="53" spans="1:14" x14ac:dyDescent="0.25">
      <c r="L53" t="s">
        <v>436</v>
      </c>
      <c r="M53">
        <v>100</v>
      </c>
      <c r="N53">
        <f t="shared" si="18"/>
        <v>25</v>
      </c>
    </row>
    <row r="54" spans="1:14" x14ac:dyDescent="0.25">
      <c r="L54" t="s">
        <v>434</v>
      </c>
      <c r="M54">
        <v>40</v>
      </c>
      <c r="N54">
        <f t="shared" si="18"/>
        <v>10</v>
      </c>
    </row>
    <row r="55" spans="1:14" ht="15.75" thickBot="1" x14ac:dyDescent="0.3">
      <c r="A55" t="s">
        <v>550</v>
      </c>
      <c r="L55" t="s">
        <v>432</v>
      </c>
      <c r="M55">
        <v>40</v>
      </c>
      <c r="N55">
        <f t="shared" si="18"/>
        <v>10</v>
      </c>
    </row>
    <row r="56" spans="1:14" ht="29.25" thickBot="1" x14ac:dyDescent="0.3">
      <c r="A56" s="86" t="s">
        <v>527</v>
      </c>
      <c r="B56" s="86" t="s">
        <v>551</v>
      </c>
      <c r="L56" t="s">
        <v>193</v>
      </c>
      <c r="M56">
        <f>SUM(M50:M55)</f>
        <v>485</v>
      </c>
      <c r="N56">
        <f>M56/4</f>
        <v>121.25</v>
      </c>
    </row>
    <row r="57" spans="1:14" ht="15.75" thickBot="1" x14ac:dyDescent="0.3">
      <c r="A57" s="87" t="s">
        <v>552</v>
      </c>
      <c r="B57" s="87">
        <v>113</v>
      </c>
      <c r="C57" s="12">
        <f>B57*($C$74/$B$74)</f>
        <v>35.198837088568169</v>
      </c>
    </row>
    <row r="58" spans="1:14" ht="15.75" thickBot="1" x14ac:dyDescent="0.3">
      <c r="A58" s="87" t="s">
        <v>553</v>
      </c>
      <c r="B58" s="87">
        <v>120</v>
      </c>
      <c r="C58" s="12">
        <f t="shared" ref="C58:C73" si="19">B58*($C$74/$B$74)</f>
        <v>37.379296023258235</v>
      </c>
      <c r="L58" t="s">
        <v>438</v>
      </c>
    </row>
    <row r="59" spans="1:14" ht="15.75" thickBot="1" x14ac:dyDescent="0.3">
      <c r="A59" s="87" t="s">
        <v>554</v>
      </c>
      <c r="B59" s="87">
        <v>200</v>
      </c>
      <c r="C59" s="12">
        <f t="shared" si="19"/>
        <v>62.298826705430386</v>
      </c>
      <c r="L59" t="s">
        <v>439</v>
      </c>
      <c r="M59">
        <v>500</v>
      </c>
    </row>
    <row r="60" spans="1:14" ht="15.75" thickBot="1" x14ac:dyDescent="0.3">
      <c r="A60" s="87" t="s">
        <v>556</v>
      </c>
      <c r="B60" s="87">
        <v>50</v>
      </c>
      <c r="C60" s="12">
        <f t="shared" si="19"/>
        <v>15.574706676357597</v>
      </c>
      <c r="L60" t="s">
        <v>190</v>
      </c>
      <c r="M60">
        <v>75</v>
      </c>
    </row>
    <row r="61" spans="1:14" ht="15.75" thickBot="1" x14ac:dyDescent="0.3">
      <c r="A61" s="87" t="s">
        <v>358</v>
      </c>
      <c r="B61" s="87">
        <v>4.2</v>
      </c>
      <c r="C61" s="12">
        <f t="shared" si="19"/>
        <v>1.3082753608140383</v>
      </c>
      <c r="L61" t="s">
        <v>440</v>
      </c>
      <c r="M61">
        <v>15</v>
      </c>
    </row>
    <row r="62" spans="1:14" ht="15.75" thickBot="1" x14ac:dyDescent="0.3">
      <c r="A62" s="87" t="s">
        <v>559</v>
      </c>
      <c r="B62" s="87">
        <v>5.2</v>
      </c>
      <c r="C62" s="12">
        <f t="shared" si="19"/>
        <v>1.6197694943411902</v>
      </c>
    </row>
    <row r="63" spans="1:14" ht="15.75" thickBot="1" x14ac:dyDescent="0.3">
      <c r="A63" s="87" t="s">
        <v>560</v>
      </c>
      <c r="B63" s="87">
        <v>2.2999999999999998</v>
      </c>
      <c r="C63" s="12">
        <f t="shared" si="19"/>
        <v>0.71643650711244944</v>
      </c>
    </row>
    <row r="64" spans="1:14" ht="15.75" thickBot="1" x14ac:dyDescent="0.3">
      <c r="A64" s="87" t="s">
        <v>562</v>
      </c>
      <c r="B64" s="87">
        <v>2.4</v>
      </c>
      <c r="C64" s="12">
        <f t="shared" si="19"/>
        <v>0.74758592046516459</v>
      </c>
      <c r="L64" t="s">
        <v>441</v>
      </c>
    </row>
    <row r="65" spans="1:17" ht="15.75" thickBot="1" x14ac:dyDescent="0.3">
      <c r="A65" s="87" t="s">
        <v>531</v>
      </c>
      <c r="B65" s="87">
        <v>2.8</v>
      </c>
      <c r="C65" s="12">
        <f t="shared" si="19"/>
        <v>0.87218357387602541</v>
      </c>
      <c r="F65" t="s">
        <v>1</v>
      </c>
      <c r="G65">
        <v>34</v>
      </c>
      <c r="H65">
        <f>G65*($H$77/$G$77)</f>
        <v>8.5</v>
      </c>
    </row>
    <row r="66" spans="1:17" ht="15.75" thickBot="1" x14ac:dyDescent="0.3">
      <c r="A66" s="87" t="s">
        <v>186</v>
      </c>
      <c r="B66" s="87">
        <v>312.5</v>
      </c>
      <c r="C66" s="12">
        <f t="shared" si="19"/>
        <v>97.341916727234988</v>
      </c>
      <c r="F66" t="s">
        <v>806</v>
      </c>
      <c r="G66">
        <v>66</v>
      </c>
      <c r="H66">
        <f t="shared" ref="H66:H76" si="20">G66*($H$77/$G$77)</f>
        <v>16.5</v>
      </c>
    </row>
    <row r="67" spans="1:17" ht="15.75" thickBot="1" x14ac:dyDescent="0.3">
      <c r="A67" s="87"/>
      <c r="B67" s="87"/>
      <c r="C67" s="12"/>
      <c r="F67" t="s">
        <v>802</v>
      </c>
      <c r="G67">
        <v>100</v>
      </c>
      <c r="H67">
        <f t="shared" si="20"/>
        <v>25</v>
      </c>
      <c r="L67" s="26" t="s">
        <v>491</v>
      </c>
      <c r="O67" t="s">
        <v>496</v>
      </c>
      <c r="P67" t="s">
        <v>1</v>
      </c>
      <c r="Q67" t="s">
        <v>497</v>
      </c>
    </row>
    <row r="68" spans="1:17" ht="15.75" thickBot="1" x14ac:dyDescent="0.3">
      <c r="A68" s="88" t="s">
        <v>564</v>
      </c>
      <c r="B68" s="87"/>
      <c r="C68" s="12">
        <f t="shared" si="19"/>
        <v>0</v>
      </c>
      <c r="F68" t="s">
        <v>137</v>
      </c>
      <c r="G68">
        <v>50</v>
      </c>
      <c r="H68">
        <f t="shared" si="20"/>
        <v>12.5</v>
      </c>
      <c r="L68" s="58" t="s">
        <v>1</v>
      </c>
      <c r="M68">
        <v>200</v>
      </c>
      <c r="N68">
        <f>M68*($N$80/$M$80)</f>
        <v>27.960228984633929</v>
      </c>
      <c r="O68">
        <f>_xlfn.XLOOKUP(L68,'Sweetener Mix In Nutrition'!A:A,'Sweetener Mix In Nutrition'!B:B)*(M68/100)</f>
        <v>774</v>
      </c>
      <c r="P68">
        <f>_xlfn.XLOOKUP($L68,'Sweetener Mix In Nutrition'!$A:$A,'Sweetener Mix In Nutrition'!E:E)*($M68/100)</f>
        <v>200</v>
      </c>
      <c r="Q68" s="4">
        <f>_xlfn.XLOOKUP($L68,'Sweetener Mix In Nutrition'!$A:$A,'Sweetener Mix In Nutrition'!F:F)*($M68/100)</f>
        <v>0.32965821389195149</v>
      </c>
    </row>
    <row r="69" spans="1:17" ht="15.75" thickBot="1" x14ac:dyDescent="0.3">
      <c r="A69" s="87" t="s">
        <v>552</v>
      </c>
      <c r="B69" s="87">
        <v>57</v>
      </c>
      <c r="C69" s="12">
        <f t="shared" si="19"/>
        <v>17.755165611047662</v>
      </c>
      <c r="F69" t="s">
        <v>180</v>
      </c>
      <c r="G69">
        <v>29</v>
      </c>
      <c r="H69">
        <f t="shared" si="20"/>
        <v>7.25</v>
      </c>
      <c r="L69" s="58" t="s">
        <v>186</v>
      </c>
      <c r="M69">
        <v>240</v>
      </c>
      <c r="N69">
        <f t="shared" ref="N69:N79" si="21">M69*($N$80/$M$80)</f>
        <v>33.552274781560712</v>
      </c>
      <c r="O69" t="e">
        <f>_xlfn.XLOOKUP(L69,'Sweetener Mix In Nutrition'!A:A,'Sweetener Mix In Nutrition'!B:B)*(M69/100)</f>
        <v>#N/A</v>
      </c>
      <c r="Q69" s="9">
        <f>(1.99*1.07)*(M69/2260)</f>
        <v>0.2261203539823009</v>
      </c>
    </row>
    <row r="70" spans="1:17" ht="15.75" thickBot="1" x14ac:dyDescent="0.3">
      <c r="A70" s="87" t="s">
        <v>554</v>
      </c>
      <c r="B70" s="87">
        <v>50</v>
      </c>
      <c r="C70" s="12">
        <f t="shared" si="19"/>
        <v>15.574706676357597</v>
      </c>
      <c r="F70" t="s">
        <v>803</v>
      </c>
      <c r="G70">
        <v>84</v>
      </c>
      <c r="H70">
        <f t="shared" si="20"/>
        <v>21</v>
      </c>
      <c r="L70" s="74" t="s">
        <v>492</v>
      </c>
      <c r="M70">
        <v>57</v>
      </c>
      <c r="N70">
        <f t="shared" si="21"/>
        <v>7.9686652606206696</v>
      </c>
      <c r="O70" t="e">
        <f>_xlfn.XLOOKUP(L70,'Sweetener Mix In Nutrition'!A:A,'Sweetener Mix In Nutrition'!B:B)*(M70/100)</f>
        <v>#N/A</v>
      </c>
      <c r="Q70" s="4">
        <f>((3.49*1.07)/4)*(M70/113)</f>
        <v>0.47091836283185851</v>
      </c>
    </row>
    <row r="71" spans="1:17" ht="15.75" thickBot="1" x14ac:dyDescent="0.3">
      <c r="A71" s="87" t="s">
        <v>186</v>
      </c>
      <c r="B71" s="87">
        <v>42</v>
      </c>
      <c r="C71" s="12">
        <f t="shared" si="19"/>
        <v>13.082753608140381</v>
      </c>
      <c r="F71" t="s">
        <v>49</v>
      </c>
      <c r="G71">
        <v>50</v>
      </c>
      <c r="H71">
        <f t="shared" si="20"/>
        <v>12.5</v>
      </c>
      <c r="L71" s="58" t="s">
        <v>493</v>
      </c>
      <c r="M71">
        <v>5</v>
      </c>
      <c r="N71">
        <f t="shared" si="21"/>
        <v>0.6990057246158482</v>
      </c>
      <c r="O71" t="e">
        <f>_xlfn.XLOOKUP(L71,'Sweetener Mix In Nutrition'!A:A,'Sweetener Mix In Nutrition'!B:B)*(M71/100)</f>
        <v>#N/A</v>
      </c>
      <c r="Q71" s="4"/>
    </row>
    <row r="72" spans="1:17" ht="15.75" thickBot="1" x14ac:dyDescent="0.3">
      <c r="A72" s="87" t="s">
        <v>559</v>
      </c>
      <c r="B72" s="87">
        <v>1.3</v>
      </c>
      <c r="C72" s="12">
        <f t="shared" si="19"/>
        <v>0.40494237358529755</v>
      </c>
      <c r="F72" t="s">
        <v>186</v>
      </c>
      <c r="G72">
        <v>156</v>
      </c>
      <c r="H72">
        <f t="shared" si="20"/>
        <v>39</v>
      </c>
      <c r="L72" s="58" t="s">
        <v>303</v>
      </c>
      <c r="M72">
        <v>2.5</v>
      </c>
      <c r="N72">
        <f t="shared" si="21"/>
        <v>0.3495028623079241</v>
      </c>
      <c r="O72" t="e">
        <f>_xlfn.XLOOKUP(L72,'Sweetener Mix In Nutrition'!A:A,'Sweetener Mix In Nutrition'!B:B)*(M72/100)</f>
        <v>#N/A</v>
      </c>
      <c r="Q72" s="4"/>
    </row>
    <row r="73" spans="1:17" ht="15.75" thickBot="1" x14ac:dyDescent="0.3">
      <c r="A73" s="87" t="s">
        <v>565</v>
      </c>
      <c r="B73" s="87">
        <v>0.4</v>
      </c>
      <c r="C73" s="12">
        <f t="shared" si="19"/>
        <v>0.12459765341086078</v>
      </c>
      <c r="F73" t="s">
        <v>176</v>
      </c>
      <c r="G73">
        <v>4.2</v>
      </c>
      <c r="H73">
        <f t="shared" si="20"/>
        <v>1.05</v>
      </c>
      <c r="L73" s="74" t="s">
        <v>0</v>
      </c>
      <c r="M73">
        <v>30</v>
      </c>
      <c r="N73">
        <f t="shared" si="21"/>
        <v>4.194034347695089</v>
      </c>
      <c r="O73">
        <f>_xlfn.XLOOKUP($L73,'Liquid Mix In Nutrition'!$A:$A,'Liquid Mix In Nutrition'!B:B)*($M73/15)</f>
        <v>90</v>
      </c>
      <c r="P73">
        <f>_xlfn.XLOOKUP($L73,'Liquid Mix In Nutrition'!$A:$A,'Liquid Mix In Nutrition'!E:E)*($M73/15)</f>
        <v>18</v>
      </c>
      <c r="Q73" s="4">
        <f>_xlfn.XLOOKUP($L73,'Liquid Mix In Nutrition'!$A:$A,'Liquid Mix In Nutrition'!F:F)*($M73/15)</f>
        <v>1.4203539823008853</v>
      </c>
    </row>
    <row r="74" spans="1:17" x14ac:dyDescent="0.25">
      <c r="A74" s="89" t="s">
        <v>566</v>
      </c>
      <c r="B74">
        <f>SUM(B57:B73)</f>
        <v>963.09999999999991</v>
      </c>
      <c r="C74">
        <f>300</f>
        <v>300</v>
      </c>
      <c r="F74" t="s">
        <v>804</v>
      </c>
      <c r="G74">
        <v>113</v>
      </c>
      <c r="H74">
        <f t="shared" si="20"/>
        <v>28.25</v>
      </c>
      <c r="L74" s="74" t="s">
        <v>494</v>
      </c>
      <c r="M74">
        <v>2.5</v>
      </c>
      <c r="N74">
        <f t="shared" si="21"/>
        <v>0.3495028623079241</v>
      </c>
      <c r="O74" t="e">
        <f>_xlfn.XLOOKUP(L74,'Sweetener Mix In Nutrition'!A:A,'Sweetener Mix In Nutrition'!B:B)*(M74/100)</f>
        <v>#N/A</v>
      </c>
      <c r="Q74" s="4"/>
    </row>
    <row r="75" spans="1:17" x14ac:dyDescent="0.25">
      <c r="B75" t="s">
        <v>615</v>
      </c>
      <c r="F75" t="s">
        <v>808</v>
      </c>
      <c r="G75">
        <v>113</v>
      </c>
      <c r="H75">
        <f t="shared" si="20"/>
        <v>28.25</v>
      </c>
      <c r="L75" s="74" t="s">
        <v>506</v>
      </c>
      <c r="M75">
        <v>1.25</v>
      </c>
      <c r="N75">
        <f t="shared" si="21"/>
        <v>0.17475143115396205</v>
      </c>
      <c r="O75" t="e">
        <f>_xlfn.XLOOKUP(L75,'Sweetener Mix In Nutrition'!A:A,'Sweetener Mix In Nutrition'!B:B)*(M75/100)</f>
        <v>#N/A</v>
      </c>
      <c r="Q75" s="4"/>
    </row>
    <row r="76" spans="1:17" ht="15.75" thickBot="1" x14ac:dyDescent="0.3">
      <c r="A76" t="s">
        <v>549</v>
      </c>
      <c r="F76" t="s">
        <v>805</v>
      </c>
      <c r="G76">
        <v>113</v>
      </c>
      <c r="H76">
        <f t="shared" si="20"/>
        <v>28.25</v>
      </c>
      <c r="L76" s="58" t="s">
        <v>498</v>
      </c>
      <c r="M76">
        <v>120</v>
      </c>
      <c r="N76">
        <f t="shared" si="21"/>
        <v>16.776137390780356</v>
      </c>
      <c r="O76" s="6">
        <f>_xlfn.XLOOKUP($L76,'Solid Mix In Nutrition'!$A:$A,'Solid Mix In Nutrition'!B:B)*($M76/240)</f>
        <v>280</v>
      </c>
      <c r="P76" s="6">
        <f>_xlfn.XLOOKUP($L76,'Solid Mix In Nutrition'!$A:$A,'Solid Mix In Nutrition'!E:E)*($M76/240)</f>
        <v>20</v>
      </c>
      <c r="Q76" s="4">
        <f>(4.48*1.07)*(M76/227)</f>
        <v>2.5340616740088109</v>
      </c>
    </row>
    <row r="77" spans="1:17" ht="29.25" thickBot="1" x14ac:dyDescent="0.3">
      <c r="A77" s="86" t="s">
        <v>527</v>
      </c>
      <c r="B77" s="86" t="s">
        <v>551</v>
      </c>
      <c r="G77">
        <f>SUM(G65:G76)</f>
        <v>912.2</v>
      </c>
      <c r="H77">
        <f>G77/4</f>
        <v>228.05</v>
      </c>
      <c r="L77" s="74" t="s">
        <v>495</v>
      </c>
      <c r="M77">
        <v>50</v>
      </c>
      <c r="N77">
        <f t="shared" si="21"/>
        <v>6.9900572461584822</v>
      </c>
      <c r="O77" t="e">
        <f>_xlfn.XLOOKUP(L77,'Sweetener Mix In Nutrition'!A:A,'Sweetener Mix In Nutrition'!B:B)*(M77/100)</f>
        <v>#N/A</v>
      </c>
      <c r="Q77" s="4">
        <f>_xlfn.XLOOKUP("Egg Yolk",'Liquid Mix In Nutrition'!$A:$A,'Liquid Mix In Nutrition'!F:F)*(M77/100)</f>
        <v>0.14958333333333332</v>
      </c>
    </row>
    <row r="78" spans="1:17" ht="15.75" thickBot="1" x14ac:dyDescent="0.3">
      <c r="A78" s="87" t="s">
        <v>552</v>
      </c>
      <c r="B78" s="87">
        <v>113</v>
      </c>
      <c r="C78" s="12">
        <f>B78*($C$93/$B$93)</f>
        <v>27.68112933361013</v>
      </c>
      <c r="L78" s="74" t="s">
        <v>68</v>
      </c>
      <c r="M78">
        <v>120</v>
      </c>
      <c r="N78">
        <f t="shared" si="21"/>
        <v>16.776137390780356</v>
      </c>
      <c r="O78">
        <f>_xlfn.XLOOKUP($L78,'Milk Types Nutrition Per Cup'!$A:$A,'Milk Types Nutrition Per Cup'!B:B)*($M78/240)</f>
        <v>65</v>
      </c>
      <c r="P78">
        <f>_xlfn.XLOOKUP($L78,'Milk Types Nutrition Per Cup'!$A:$A,'Milk Types Nutrition Per Cup'!E:E)*($M78/240)</f>
        <v>6</v>
      </c>
      <c r="Q78" s="4">
        <f>_xlfn.XLOOKUP($L78,'Milk Types Nutrition Per Cup'!$A:$A,'Milk Types Nutrition Per Cup'!F:F)*($M78/240)</f>
        <v>0.11492063492063492</v>
      </c>
    </row>
    <row r="79" spans="1:17" ht="15.75" thickBot="1" x14ac:dyDescent="0.3">
      <c r="A79" s="87" t="s">
        <v>553</v>
      </c>
      <c r="B79" s="87">
        <v>120</v>
      </c>
      <c r="C79" s="12">
        <f t="shared" ref="C79:C92" si="22">B79*($C$93/$B$93)</f>
        <v>29.395889557816069</v>
      </c>
      <c r="F79" t="s">
        <v>807</v>
      </c>
      <c r="L79" s="58" t="s">
        <v>302</v>
      </c>
      <c r="M79">
        <v>1.5</v>
      </c>
      <c r="N79">
        <f t="shared" si="21"/>
        <v>0.20970171738475446</v>
      </c>
      <c r="O79" t="e">
        <f>_xlfn.XLOOKUP(L79,'Sweetener Mix In Nutrition'!A:A,'Sweetener Mix In Nutrition'!B:B)*(M79/100)</f>
        <v>#N/A</v>
      </c>
      <c r="Q79">
        <v>0.01</v>
      </c>
    </row>
    <row r="80" spans="1:17" ht="15.75" thickBot="1" x14ac:dyDescent="0.3">
      <c r="A80" s="87" t="s">
        <v>554</v>
      </c>
      <c r="B80" s="87">
        <v>200</v>
      </c>
      <c r="C80" s="12">
        <f t="shared" si="22"/>
        <v>48.99314926302678</v>
      </c>
      <c r="L80" s="74" t="s">
        <v>193</v>
      </c>
      <c r="M80">
        <f>SUM(M68:M79)</f>
        <v>829.75</v>
      </c>
      <c r="N80">
        <v>116</v>
      </c>
      <c r="O80" t="e">
        <f>SUM(O68:O79)</f>
        <v>#N/A</v>
      </c>
      <c r="Q80" s="79">
        <f>SUM(Q68:Q79)</f>
        <v>5.2556165552697749</v>
      </c>
    </row>
    <row r="81" spans="1:14" ht="15.75" thickBot="1" x14ac:dyDescent="0.3">
      <c r="A81" s="87" t="s">
        <v>537</v>
      </c>
      <c r="B81" s="87">
        <v>50</v>
      </c>
      <c r="C81" s="12">
        <f t="shared" si="22"/>
        <v>12.248287315756695</v>
      </c>
      <c r="L81" s="74" t="s">
        <v>507</v>
      </c>
    </row>
    <row r="82" spans="1:14" ht="15.75" thickBot="1" x14ac:dyDescent="0.3">
      <c r="A82" s="87" t="s">
        <v>358</v>
      </c>
      <c r="B82" s="87">
        <v>4.2</v>
      </c>
      <c r="C82" s="12">
        <f t="shared" si="22"/>
        <v>1.0288561345235625</v>
      </c>
      <c r="L82" t="s">
        <v>501</v>
      </c>
    </row>
    <row r="83" spans="1:14" ht="15.75" thickBot="1" x14ac:dyDescent="0.3">
      <c r="A83" s="87" t="s">
        <v>559</v>
      </c>
      <c r="B83" s="87">
        <v>5.2</v>
      </c>
      <c r="C83" s="12">
        <f t="shared" si="22"/>
        <v>1.2738218808386963</v>
      </c>
      <c r="L83" t="s">
        <v>502</v>
      </c>
      <c r="M83">
        <v>283.5</v>
      </c>
      <c r="N83">
        <f>M83*($N$86/$M$86)</f>
        <v>88.825065274151441</v>
      </c>
    </row>
    <row r="84" spans="1:14" ht="15.75" thickBot="1" x14ac:dyDescent="0.3">
      <c r="A84" s="87" t="s">
        <v>531</v>
      </c>
      <c r="B84" s="87">
        <v>2.8</v>
      </c>
      <c r="C84" s="12">
        <f t="shared" si="22"/>
        <v>0.68590408968237493</v>
      </c>
      <c r="L84" t="s">
        <v>504</v>
      </c>
      <c r="M84">
        <v>78.5</v>
      </c>
      <c r="N84">
        <f t="shared" ref="N84:N85" si="23">M84*($N$86/$M$86)</f>
        <v>24.595300261096607</v>
      </c>
    </row>
    <row r="85" spans="1:14" ht="15.75" thickBot="1" x14ac:dyDescent="0.3">
      <c r="A85" s="87" t="s">
        <v>567</v>
      </c>
      <c r="B85" s="87">
        <v>317.5</v>
      </c>
      <c r="C85" s="12">
        <f t="shared" si="22"/>
        <v>77.776624455055014</v>
      </c>
      <c r="L85" t="s">
        <v>276</v>
      </c>
      <c r="M85">
        <v>21</v>
      </c>
      <c r="N85">
        <f t="shared" si="23"/>
        <v>6.5796344647519582</v>
      </c>
    </row>
    <row r="86" spans="1:14" ht="15.75" thickBot="1" x14ac:dyDescent="0.3">
      <c r="A86" s="87"/>
      <c r="B86" s="87"/>
      <c r="C86" s="12"/>
      <c r="L86" t="s">
        <v>193</v>
      </c>
      <c r="M86">
        <f>SUM(M83:M85)</f>
        <v>383</v>
      </c>
      <c r="N86">
        <v>120</v>
      </c>
    </row>
    <row r="87" spans="1:14" ht="15.75" thickBot="1" x14ac:dyDescent="0.3">
      <c r="A87" s="88" t="s">
        <v>564</v>
      </c>
      <c r="B87" s="87"/>
      <c r="C87" s="12"/>
      <c r="L87" t="s">
        <v>503</v>
      </c>
    </row>
    <row r="88" spans="1:14" ht="15.75" thickBot="1" x14ac:dyDescent="0.3">
      <c r="A88" s="87" t="s">
        <v>552</v>
      </c>
      <c r="B88" s="87">
        <v>57</v>
      </c>
      <c r="C88" s="12">
        <f t="shared" si="22"/>
        <v>13.963047539962632</v>
      </c>
      <c r="L88" t="s">
        <v>505</v>
      </c>
    </row>
    <row r="89" spans="1:14" ht="15.75" thickBot="1" x14ac:dyDescent="0.3">
      <c r="A89" s="87" t="s">
        <v>554</v>
      </c>
      <c r="B89" s="87">
        <v>50</v>
      </c>
      <c r="C89" s="12">
        <f t="shared" si="22"/>
        <v>12.248287315756695</v>
      </c>
    </row>
    <row r="90" spans="1:14" ht="15.75" thickBot="1" x14ac:dyDescent="0.3">
      <c r="A90" s="87" t="s">
        <v>186</v>
      </c>
      <c r="B90" s="87">
        <v>42</v>
      </c>
      <c r="C90" s="12">
        <f t="shared" si="22"/>
        <v>10.288561345235625</v>
      </c>
    </row>
    <row r="91" spans="1:14" ht="15.75" thickBot="1" x14ac:dyDescent="0.3">
      <c r="A91" s="87" t="s">
        <v>559</v>
      </c>
      <c r="B91" s="87">
        <v>1.3</v>
      </c>
      <c r="C91" s="12">
        <f t="shared" si="22"/>
        <v>0.31845547020967407</v>
      </c>
    </row>
    <row r="92" spans="1:14" ht="15.75" thickBot="1" x14ac:dyDescent="0.3">
      <c r="A92" s="87" t="s">
        <v>565</v>
      </c>
      <c r="B92" s="87">
        <v>0.4</v>
      </c>
      <c r="C92" s="12">
        <f t="shared" si="22"/>
        <v>9.7986298526053561E-2</v>
      </c>
    </row>
    <row r="93" spans="1:14" x14ac:dyDescent="0.25">
      <c r="A93" s="89" t="s">
        <v>566</v>
      </c>
      <c r="B93">
        <f>SUM(B78:B92)</f>
        <v>963.4</v>
      </c>
      <c r="C93">
        <f>236</f>
        <v>236</v>
      </c>
    </row>
    <row r="99" spans="1:3" x14ac:dyDescent="0.25">
      <c r="A99" t="s">
        <v>762</v>
      </c>
    </row>
    <row r="100" spans="1:3" x14ac:dyDescent="0.25">
      <c r="A100" t="s">
        <v>763</v>
      </c>
      <c r="B100">
        <v>432</v>
      </c>
      <c r="C100">
        <f>B100*($C$104/$B$104)</f>
        <v>23.670070699135902</v>
      </c>
    </row>
    <row r="101" spans="1:3" x14ac:dyDescent="0.25">
      <c r="A101" t="s">
        <v>307</v>
      </c>
      <c r="B101">
        <v>240</v>
      </c>
      <c r="C101">
        <f t="shared" ref="C101:C103" si="24">B101*($C$104/$B$104)</f>
        <v>13.150039277297724</v>
      </c>
    </row>
    <row r="102" spans="1:3" x14ac:dyDescent="0.25">
      <c r="A102" t="s">
        <v>764</v>
      </c>
      <c r="B102">
        <v>120</v>
      </c>
      <c r="C102">
        <f t="shared" si="24"/>
        <v>6.575019638648862</v>
      </c>
    </row>
    <row r="103" spans="1:3" x14ac:dyDescent="0.25">
      <c r="A103" t="s">
        <v>537</v>
      </c>
      <c r="B103">
        <f>170/3</f>
        <v>56.666666666666664</v>
      </c>
      <c r="C103">
        <f t="shared" si="24"/>
        <v>3.1048703849175179</v>
      </c>
    </row>
    <row r="104" spans="1:3" x14ac:dyDescent="0.25">
      <c r="A104" t="s">
        <v>193</v>
      </c>
      <c r="B104">
        <f>SUM(B100:B103)</f>
        <v>848.66666666666663</v>
      </c>
      <c r="C104">
        <f>93/2</f>
        <v>46.5</v>
      </c>
    </row>
  </sheetData>
  <phoneticPr fontId="18" alignment="center"/>
  <hyperlinks>
    <hyperlink ref="R33" r:id="rId1" location="wprm-recipe-container-41623" xr:uid="{3199C37D-51DE-0B41-894E-183758EA6106}"/>
    <hyperlink ref="K8" r:id="rId2" xr:uid="{E67203CF-C899-0447-BC5A-10C9A2D504B6}"/>
  </hyperlinks>
  <pageMargins left="0.7" right="0.7" top="0.75" bottom="0.75" header="0.3" footer="0.3"/>
  <pageSetup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266F3-8781-1D47-8B0E-0FDBAF71DF67}">
  <sheetPr codeName="Sheet24"/>
  <dimension ref="A1"/>
  <sheetViews>
    <sheetView zoomScaleNormal="60" zoomScaleSheetLayoutView="100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C9B19-22D5-774A-B669-96E8FB18A3EE}">
  <sheetPr codeName="Sheet13"/>
  <dimension ref="A1:E6"/>
  <sheetViews>
    <sheetView zoomScaleNormal="60" zoomScaleSheetLayoutView="100" workbookViewId="0">
      <selection activeCell="E7" sqref="E7"/>
    </sheetView>
  </sheetViews>
  <sheetFormatPr defaultRowHeight="15" x14ac:dyDescent="0.25"/>
  <cols>
    <col min="1" max="1" width="37.42578125" bestFit="1" customWidth="1"/>
    <col min="2" max="2" width="18.42578125" bestFit="1" customWidth="1"/>
    <col min="3" max="3" width="16.28515625" bestFit="1" customWidth="1"/>
    <col min="4" max="4" width="13.42578125" bestFit="1" customWidth="1"/>
    <col min="5" max="5" width="11.28515625" bestFit="1" customWidth="1"/>
  </cols>
  <sheetData>
    <row r="1" spans="1:5" x14ac:dyDescent="0.25">
      <c r="A1" t="s">
        <v>365</v>
      </c>
      <c r="B1" t="s">
        <v>361</v>
      </c>
      <c r="C1" t="s">
        <v>362</v>
      </c>
      <c r="D1" t="s">
        <v>360</v>
      </c>
      <c r="E1" s="26" t="s">
        <v>364</v>
      </c>
    </row>
    <row r="2" spans="1:5" x14ac:dyDescent="0.25">
      <c r="A2" s="26" t="s">
        <v>363</v>
      </c>
      <c r="B2" s="12">
        <v>236.5</v>
      </c>
      <c r="C2" s="12">
        <v>473</v>
      </c>
      <c r="D2" s="12">
        <v>475</v>
      </c>
      <c r="E2" s="12">
        <v>960</v>
      </c>
    </row>
    <row r="3" spans="1:5" x14ac:dyDescent="0.25">
      <c r="A3" s="26" t="s">
        <v>366</v>
      </c>
      <c r="B3" s="12">
        <f t="shared" ref="B3:C3" si="0">B2*($E$3/$E$2)</f>
        <v>59.125</v>
      </c>
      <c r="C3" s="12">
        <f t="shared" si="0"/>
        <v>118.25</v>
      </c>
      <c r="D3" s="12">
        <f>D2*($E$3/$E$2)</f>
        <v>118.75</v>
      </c>
      <c r="E3" s="12">
        <v>240</v>
      </c>
    </row>
    <row r="4" spans="1:5" x14ac:dyDescent="0.25">
      <c r="A4" s="26" t="s">
        <v>367</v>
      </c>
      <c r="B4" s="12">
        <f t="shared" ref="B4:C4" si="1">B2*($E$4/$E$2)</f>
        <v>615.88541666666663</v>
      </c>
      <c r="C4" s="12">
        <f t="shared" si="1"/>
        <v>1231.7708333333333</v>
      </c>
      <c r="D4" s="12">
        <f>D2*($E$4/$E$2)</f>
        <v>1236.9791666666665</v>
      </c>
      <c r="E4" s="12">
        <v>2500</v>
      </c>
    </row>
    <row r="5" spans="1:5" x14ac:dyDescent="0.25">
      <c r="A5" s="26" t="s">
        <v>368</v>
      </c>
      <c r="B5" s="12">
        <f t="shared" ref="B5:C5" si="2">B2*($E$5/$E$2)</f>
        <v>344.89583333333331</v>
      </c>
      <c r="C5" s="12">
        <f t="shared" si="2"/>
        <v>689.79166666666663</v>
      </c>
      <c r="D5" s="12">
        <f>D2*($E$5/$E$2)</f>
        <v>692.70833333333326</v>
      </c>
      <c r="E5" s="12">
        <v>1400</v>
      </c>
    </row>
    <row r="6" spans="1:5" x14ac:dyDescent="0.25">
      <c r="A6" s="26" t="s">
        <v>627</v>
      </c>
      <c r="E6" s="12">
        <v>1629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3FF15-F01D-4B53-8628-481852FE683F}">
  <sheetPr codeName="Sheet20"/>
  <dimension ref="A1:J27"/>
  <sheetViews>
    <sheetView topLeftCell="A5" workbookViewId="0">
      <selection activeCell="A19" sqref="A19"/>
    </sheetView>
  </sheetViews>
  <sheetFormatPr defaultRowHeight="15" x14ac:dyDescent="0.25"/>
  <cols>
    <col min="1" max="1" width="22.28515625" bestFit="1" customWidth="1"/>
    <col min="2" max="2" width="34.7109375" customWidth="1"/>
    <col min="3" max="3" width="35.85546875" customWidth="1"/>
    <col min="4" max="4" width="26.140625" bestFit="1" customWidth="1"/>
    <col min="5" max="5" width="23.5703125" customWidth="1"/>
    <col min="6" max="6" width="19.85546875" customWidth="1"/>
    <col min="7" max="7" width="24.42578125" customWidth="1"/>
    <col min="8" max="8" width="20.42578125" customWidth="1"/>
    <col min="9" max="9" width="20" customWidth="1"/>
  </cols>
  <sheetData>
    <row r="1" spans="1:10" ht="15.75" thickBot="1" x14ac:dyDescent="0.3">
      <c r="A1" t="s">
        <v>585</v>
      </c>
      <c r="B1" s="86" t="s">
        <v>584</v>
      </c>
      <c r="C1" s="86" t="s">
        <v>551</v>
      </c>
      <c r="D1" t="s">
        <v>586</v>
      </c>
      <c r="E1" s="86" t="s">
        <v>527</v>
      </c>
      <c r="F1" s="86" t="s">
        <v>551</v>
      </c>
      <c r="G1" s="92" t="s">
        <v>590</v>
      </c>
      <c r="H1" s="86" t="s">
        <v>527</v>
      </c>
      <c r="I1" s="86" t="s">
        <v>551</v>
      </c>
    </row>
    <row r="2" spans="1:10" ht="57.75" thickBot="1" x14ac:dyDescent="0.3">
      <c r="B2" s="87" t="s">
        <v>569</v>
      </c>
      <c r="C2" s="87" t="s">
        <v>555</v>
      </c>
      <c r="E2" s="87" t="s">
        <v>569</v>
      </c>
      <c r="F2" s="87" t="s">
        <v>555</v>
      </c>
      <c r="H2" s="87" t="s">
        <v>554</v>
      </c>
      <c r="I2" s="87" t="s">
        <v>591</v>
      </c>
      <c r="J2" s="89" t="s">
        <v>596</v>
      </c>
    </row>
    <row r="3" spans="1:10" ht="29.25" thickBot="1" x14ac:dyDescent="0.3">
      <c r="B3" s="87" t="s">
        <v>554</v>
      </c>
      <c r="C3" s="87" t="s">
        <v>555</v>
      </c>
      <c r="E3" s="87" t="s">
        <v>554</v>
      </c>
      <c r="F3" s="87" t="s">
        <v>555</v>
      </c>
      <c r="H3" s="87" t="s">
        <v>592</v>
      </c>
      <c r="I3" s="87" t="s">
        <v>573</v>
      </c>
    </row>
    <row r="4" spans="1:10" ht="29.25" thickBot="1" x14ac:dyDescent="0.3">
      <c r="B4" s="87" t="s">
        <v>570</v>
      </c>
      <c r="C4" s="87" t="s">
        <v>571</v>
      </c>
      <c r="E4" s="87" t="s">
        <v>570</v>
      </c>
      <c r="F4" s="87" t="s">
        <v>571</v>
      </c>
      <c r="H4" s="87" t="s">
        <v>570</v>
      </c>
      <c r="I4" s="87" t="s">
        <v>571</v>
      </c>
    </row>
    <row r="5" spans="1:10" ht="43.5" thickBot="1" x14ac:dyDescent="0.3">
      <c r="B5" s="87" t="s">
        <v>572</v>
      </c>
      <c r="C5" s="87" t="s">
        <v>573</v>
      </c>
      <c r="E5" s="87" t="s">
        <v>572</v>
      </c>
      <c r="F5" s="87" t="s">
        <v>573</v>
      </c>
      <c r="H5" s="87" t="s">
        <v>49</v>
      </c>
      <c r="I5" s="87" t="s">
        <v>587</v>
      </c>
      <c r="J5" s="89" t="s">
        <v>598</v>
      </c>
    </row>
    <row r="6" spans="1:10" ht="15.75" thickBot="1" x14ac:dyDescent="0.3">
      <c r="B6" s="87" t="s">
        <v>49</v>
      </c>
      <c r="C6" s="90" t="s">
        <v>574</v>
      </c>
      <c r="E6" s="87" t="s">
        <v>49</v>
      </c>
      <c r="F6" s="91" t="s">
        <v>587</v>
      </c>
      <c r="G6" t="s">
        <v>598</v>
      </c>
      <c r="H6" s="87" t="s">
        <v>575</v>
      </c>
      <c r="I6" s="87" t="s">
        <v>576</v>
      </c>
    </row>
    <row r="7" spans="1:10" ht="15.75" thickBot="1" x14ac:dyDescent="0.3">
      <c r="B7" s="87" t="s">
        <v>575</v>
      </c>
      <c r="C7" s="87" t="s">
        <v>576</v>
      </c>
      <c r="E7" s="87" t="s">
        <v>575</v>
      </c>
      <c r="F7" s="87" t="s">
        <v>576</v>
      </c>
      <c r="H7" s="87" t="s">
        <v>577</v>
      </c>
      <c r="I7" s="87" t="s">
        <v>593</v>
      </c>
      <c r="J7" s="89" t="s">
        <v>595</v>
      </c>
    </row>
    <row r="8" spans="1:10" ht="43.5" thickBot="1" x14ac:dyDescent="0.3">
      <c r="B8" s="87" t="s">
        <v>577</v>
      </c>
      <c r="C8" s="90" t="s">
        <v>578</v>
      </c>
      <c r="E8" s="87" t="s">
        <v>577</v>
      </c>
      <c r="F8" s="90" t="s">
        <v>588</v>
      </c>
      <c r="G8" t="s">
        <v>599</v>
      </c>
      <c r="H8" s="87" t="s">
        <v>562</v>
      </c>
      <c r="I8" s="87" t="s">
        <v>594</v>
      </c>
      <c r="J8" s="89" t="s">
        <v>597</v>
      </c>
    </row>
    <row r="9" spans="1:10" ht="15.75" thickBot="1" x14ac:dyDescent="0.3">
      <c r="B9" s="87" t="s">
        <v>560</v>
      </c>
      <c r="C9" s="87" t="s">
        <v>579</v>
      </c>
      <c r="E9" s="87" t="s">
        <v>560</v>
      </c>
      <c r="F9" s="87" t="s">
        <v>579</v>
      </c>
      <c r="H9" s="87" t="s">
        <v>580</v>
      </c>
      <c r="I9" s="87" t="s">
        <v>581</v>
      </c>
    </row>
    <row r="10" spans="1:10" ht="29.25" thickBot="1" x14ac:dyDescent="0.3">
      <c r="B10" s="87" t="s">
        <v>562</v>
      </c>
      <c r="C10" s="90" t="s">
        <v>561</v>
      </c>
      <c r="E10" s="87" t="s">
        <v>562</v>
      </c>
      <c r="F10" s="90" t="s">
        <v>589</v>
      </c>
      <c r="G10" t="s">
        <v>598</v>
      </c>
      <c r="H10" s="87" t="s">
        <v>582</v>
      </c>
      <c r="I10" s="87" t="s">
        <v>583</v>
      </c>
    </row>
    <row r="11" spans="1:10" ht="15.75" thickBot="1" x14ac:dyDescent="0.3">
      <c r="B11" s="87" t="s">
        <v>580</v>
      </c>
      <c r="C11" s="87" t="s">
        <v>581</v>
      </c>
      <c r="E11" s="87" t="s">
        <v>580</v>
      </c>
      <c r="F11" s="87" t="s">
        <v>581</v>
      </c>
    </row>
    <row r="12" spans="1:10" ht="29.25" thickBot="1" x14ac:dyDescent="0.3">
      <c r="B12" s="87" t="s">
        <v>582</v>
      </c>
      <c r="C12" s="87" t="s">
        <v>583</v>
      </c>
      <c r="E12" s="87" t="s">
        <v>582</v>
      </c>
      <c r="F12" s="87" t="s">
        <v>583</v>
      </c>
    </row>
    <row r="14" spans="1:10" ht="15.75" thickBot="1" x14ac:dyDescent="0.3"/>
    <row r="15" spans="1:10" ht="15.75" thickBot="1" x14ac:dyDescent="0.3">
      <c r="A15" t="s">
        <v>600</v>
      </c>
      <c r="B15" s="86" t="s">
        <v>568</v>
      </c>
      <c r="C15" s="86" t="s">
        <v>551</v>
      </c>
      <c r="E15" s="86" t="s">
        <v>527</v>
      </c>
      <c r="F15" s="86" t="s">
        <v>551</v>
      </c>
    </row>
    <row r="16" spans="1:10" ht="15.75" thickBot="1" x14ac:dyDescent="0.3">
      <c r="A16" t="s">
        <v>624</v>
      </c>
      <c r="B16" s="87" t="s">
        <v>601</v>
      </c>
      <c r="C16" s="87" t="s">
        <v>602</v>
      </c>
      <c r="D16" s="26" t="s">
        <v>628</v>
      </c>
      <c r="E16" s="87" t="s">
        <v>569</v>
      </c>
      <c r="F16" s="87" t="s">
        <v>607</v>
      </c>
    </row>
    <row r="17" spans="1:6" ht="15.75" thickBot="1" x14ac:dyDescent="0.3">
      <c r="B17" s="87" t="s">
        <v>569</v>
      </c>
      <c r="C17" s="87" t="s">
        <v>555</v>
      </c>
      <c r="D17" s="26" t="s">
        <v>629</v>
      </c>
      <c r="E17" s="87" t="s">
        <v>554</v>
      </c>
      <c r="F17" s="87" t="s">
        <v>607</v>
      </c>
    </row>
    <row r="18" spans="1:6" ht="15.75" thickBot="1" x14ac:dyDescent="0.3">
      <c r="B18" s="87" t="s">
        <v>603</v>
      </c>
      <c r="C18" s="87" t="s">
        <v>557</v>
      </c>
      <c r="D18" s="26" t="s">
        <v>630</v>
      </c>
      <c r="E18" s="87" t="s">
        <v>570</v>
      </c>
      <c r="F18" s="87" t="s">
        <v>608</v>
      </c>
    </row>
    <row r="19" spans="1:6" ht="29.25" thickBot="1" x14ac:dyDescent="0.3">
      <c r="A19" s="25" t="s">
        <v>635</v>
      </c>
      <c r="B19" s="87" t="s">
        <v>575</v>
      </c>
      <c r="C19" s="87" t="s">
        <v>604</v>
      </c>
      <c r="D19" s="26" t="s">
        <v>594</v>
      </c>
      <c r="E19" s="87" t="s">
        <v>572</v>
      </c>
      <c r="F19" s="87" t="s">
        <v>609</v>
      </c>
    </row>
    <row r="20" spans="1:6" ht="15.75" thickBot="1" x14ac:dyDescent="0.3">
      <c r="B20" s="87" t="s">
        <v>605</v>
      </c>
      <c r="C20" s="87" t="s">
        <v>558</v>
      </c>
      <c r="D20" s="26" t="s">
        <v>631</v>
      </c>
      <c r="E20" s="87" t="s">
        <v>49</v>
      </c>
      <c r="F20" s="87" t="s">
        <v>610</v>
      </c>
    </row>
    <row r="21" spans="1:6" ht="15.75" thickBot="1" x14ac:dyDescent="0.3">
      <c r="B21" s="87" t="s">
        <v>562</v>
      </c>
      <c r="C21" s="87" t="s">
        <v>589</v>
      </c>
      <c r="D21" s="26" t="s">
        <v>632</v>
      </c>
      <c r="E21" s="87" t="s">
        <v>575</v>
      </c>
      <c r="F21" s="87" t="s">
        <v>594</v>
      </c>
    </row>
    <row r="22" spans="1:6" ht="15.75" thickBot="1" x14ac:dyDescent="0.3">
      <c r="B22" s="87" t="s">
        <v>531</v>
      </c>
      <c r="C22" s="87" t="s">
        <v>563</v>
      </c>
      <c r="D22" s="26" t="s">
        <v>633</v>
      </c>
      <c r="E22" s="87" t="s">
        <v>577</v>
      </c>
      <c r="F22" s="87" t="s">
        <v>611</v>
      </c>
    </row>
    <row r="23" spans="1:6" ht="15.75" thickBot="1" x14ac:dyDescent="0.3">
      <c r="B23" s="87" t="s">
        <v>577</v>
      </c>
      <c r="C23" s="87" t="s">
        <v>606</v>
      </c>
      <c r="D23" s="26" t="s">
        <v>634</v>
      </c>
      <c r="E23" s="87" t="s">
        <v>560</v>
      </c>
      <c r="F23" s="87" t="s">
        <v>612</v>
      </c>
    </row>
    <row r="24" spans="1:6" ht="15.75" thickBot="1" x14ac:dyDescent="0.3">
      <c r="E24" s="87" t="s">
        <v>562</v>
      </c>
      <c r="F24" s="87" t="s">
        <v>561</v>
      </c>
    </row>
    <row r="25" spans="1:6" ht="15.75" thickBot="1" x14ac:dyDescent="0.3">
      <c r="B25" s="93" t="s">
        <v>625</v>
      </c>
      <c r="C25">
        <v>2600</v>
      </c>
      <c r="E25" s="87" t="s">
        <v>580</v>
      </c>
      <c r="F25" s="87" t="s">
        <v>613</v>
      </c>
    </row>
    <row r="26" spans="1:6" ht="29.25" thickBot="1" x14ac:dyDescent="0.3">
      <c r="B26" s="93" t="s">
        <v>626</v>
      </c>
      <c r="E26" s="87" t="s">
        <v>582</v>
      </c>
      <c r="F26" s="87" t="s">
        <v>614</v>
      </c>
    </row>
    <row r="27" spans="1:6" x14ac:dyDescent="0.25">
      <c r="C27">
        <f>1629/2600</f>
        <v>0.62653846153846149</v>
      </c>
    </row>
  </sheetData>
  <hyperlinks>
    <hyperlink ref="A19" r:id="rId1" location="recipe" xr:uid="{D7A06E28-B74B-6B49-960D-81D65FD4B91D}"/>
  </hyperlinks>
  <pageMargins left="0.7" right="0.7" top="0.75" bottom="0.75" header="0.3" footer="0.3"/>
  <pageSetup orientation="portrait" horizontalDpi="4294967295" verticalDpi="4294967295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89356-3A47-4502-BAA6-C3E22DF7E278}">
  <sheetPr codeName="Sheet19"/>
  <dimension ref="A1:AJ9"/>
  <sheetViews>
    <sheetView topLeftCell="M1" zoomScale="92" zoomScaleNormal="80" workbookViewId="0">
      <selection activeCell="M2" sqref="M2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6" x14ac:dyDescent="0.25">
      <c r="A2" s="26" t="s">
        <v>508</v>
      </c>
      <c r="B2" s="1" t="s">
        <v>62</v>
      </c>
      <c r="C2" s="1" t="s">
        <v>65</v>
      </c>
      <c r="D2" s="1" t="s">
        <v>0</v>
      </c>
      <c r="F2" s="1" t="s">
        <v>3</v>
      </c>
      <c r="H2" s="1" t="s">
        <v>1</v>
      </c>
      <c r="J2" t="s">
        <v>4</v>
      </c>
      <c r="K2" t="s">
        <v>157</v>
      </c>
      <c r="M2" t="s">
        <v>156</v>
      </c>
      <c r="N2" t="s">
        <v>173</v>
      </c>
      <c r="O2" t="s">
        <v>44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229.185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114.5925</v>
      </c>
      <c r="R2">
        <f t="shared" ref="R2" si="0">P2+Q2</f>
        <v>343.77750000000003</v>
      </c>
      <c r="S2">
        <f>_xlfn.XLOOKUP($K2,Specs!$D:$D,Specs!$E:$E,0)*15*_xlfn.XLOOKUP($J2,Specs!$A:$A,Specs!$C:$C,0)</f>
        <v>7.5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47.300000000000004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:Y3" si="1">($P2+$Q2+$S2+$W2+$X2)*IF(ISNUMBER(SEARCH("Fat Free",$B2)),0.0036,0.0012)</f>
        <v>0.48153299999999999</v>
      </c>
      <c r="Z2" s="5">
        <f t="shared" ref="Z2:Z3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1355.3282352941178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77.796220588235286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58.319749999999999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114.78136029411765</v>
      </c>
      <c r="AE2" s="8">
        <f>$AD2 / (_xlfn.XLOOKUP($J2,Specs!A:A,Specs!B:B,0))</f>
        <v>0.24266672366621067</v>
      </c>
      <c r="AF2" s="7">
        <f>60* (AA2 / _xlfn.XLOOKUP($J2,Specs!$A:$A,Specs!$B:$B,0))</f>
        <v>171.92324337768937</v>
      </c>
      <c r="AG2" s="7">
        <f>60* (AB2 / _xlfn.XLOOKUP($J2,Specs!$A:$A,Specs!$B:$B,0))</f>
        <v>9.868442357915681</v>
      </c>
      <c r="AH2" s="7">
        <f>60* (AD2 / _xlfn.XLOOKUP($J2,Specs!$A:$A,Specs!$B:$B,0))</f>
        <v>14.56000341997264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2.1558988802929879</v>
      </c>
      <c r="AJ2" s="10">
        <f>ROUNDUP((AI2+Specs!$R$2+Specs!$S$2+_xlfn.XLOOKUP($J2,Specs!A:A,Specs!V:V,0))*Specs!$N$2,0)</f>
        <v>6</v>
      </c>
    </row>
    <row r="3" spans="1:36" x14ac:dyDescent="0.25">
      <c r="A3" s="26" t="s">
        <v>621</v>
      </c>
      <c r="B3" s="1" t="s">
        <v>65</v>
      </c>
      <c r="C3" s="1" t="s">
        <v>75</v>
      </c>
      <c r="D3" s="1" t="s">
        <v>0</v>
      </c>
      <c r="F3" s="1" t="s">
        <v>104</v>
      </c>
      <c r="H3" s="1" t="s">
        <v>1</v>
      </c>
      <c r="J3" t="s">
        <v>4</v>
      </c>
      <c r="K3" t="s">
        <v>157</v>
      </c>
      <c r="M3" t="s">
        <v>156</v>
      </c>
      <c r="N3" t="s">
        <v>173</v>
      </c>
      <c r="O3" t="s">
        <v>44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229.185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114.5925</v>
      </c>
      <c r="R3">
        <f t="shared" ref="R3" si="3">P3+Q3</f>
        <v>343.77750000000003</v>
      </c>
      <c r="S3">
        <f>_xlfn.XLOOKUP($K3,Specs!$D:$D,Specs!$E:$E,0)*15*_xlfn.XLOOKUP($J3,Specs!$A:$A,Specs!$C:$C,0)</f>
        <v>7.5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118.25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50</v>
      </c>
      <c r="X3">
        <f>_xlfn.XLOOKUP($O3,Specs!F:F,Specs!G:G,0)*100*_xlfn.XLOOKUP($J3,Specs!A:A,Specs!C:C,0)</f>
        <v>0</v>
      </c>
      <c r="Y3" s="4">
        <f t="shared" si="1"/>
        <v>0.48153299999999999</v>
      </c>
      <c r="Z3" s="5">
        <f t="shared" si="2"/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1239.5264285714286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133.93414285714286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62.139499999999998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60.523964285714285</v>
      </c>
      <c r="AE3" s="8">
        <f>$AD3 / (_xlfn.XLOOKUP($J3,Specs!A:A,Specs!B:B,0))</f>
        <v>0.1279576411960133</v>
      </c>
      <c r="AF3" s="7">
        <f>60* (AA3 / _xlfn.XLOOKUP($J3,Specs!$A:$A,Specs!$B:$B,0))</f>
        <v>157.23379643612202</v>
      </c>
      <c r="AG3" s="7">
        <f>60* (AB3 / _xlfn.XLOOKUP($J3,Specs!$A:$A,Specs!$B:$B,0))</f>
        <v>16.98953186348535</v>
      </c>
      <c r="AH3" s="7">
        <f>60* (AD3 / _xlfn.XLOOKUP($J3,Specs!$A:$A,Specs!$B:$B,0))</f>
        <v>7.6774584717607981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1.5561030105125639</v>
      </c>
      <c r="AJ3" s="10">
        <f>ROUNDUP((AI3+Specs!$R$2+Specs!$S$2+_xlfn.XLOOKUP($J3,Specs!A:A,Specs!V:V,0))*Specs!$N$2,0)</f>
        <v>5</v>
      </c>
    </row>
    <row r="4" spans="1:36" x14ac:dyDescent="0.25">
      <c r="Y4" s="4"/>
      <c r="Z4" s="5"/>
      <c r="AA4" s="6"/>
      <c r="AB4" s="6"/>
      <c r="AC4" s="6"/>
      <c r="AD4" s="7"/>
      <c r="AE4" s="8"/>
      <c r="AF4" s="7"/>
      <c r="AG4" s="7"/>
      <c r="AH4" s="7"/>
      <c r="AI4" s="9"/>
      <c r="AJ4" s="10"/>
    </row>
    <row r="5" spans="1:36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52EE6375-0728-49A1-8C67-D9D5C9786F2A}">
          <x14:formula1>
            <xm:f>'Sweetener Mix In Nutrition'!$A:$A</xm:f>
          </x14:formula1>
          <xm:sqref>I10:I440 H4:H226 H2:I3</xm:sqref>
        </x14:dataValidation>
        <x14:dataValidation type="list" allowBlank="1" showInputMessage="1" xr:uid="{D3CEC58F-AF6A-49FA-95D0-03E7FACC2EB5}">
          <x14:formula1>
            <xm:f>'Sweetener Mix In Nutrition'!$A:$A</xm:f>
          </x14:formula1>
          <xm:sqref>I4:I9</xm:sqref>
        </x14:dataValidation>
        <x14:dataValidation type="list" allowBlank="1" showInputMessage="1" showErrorMessage="1" xr:uid="{49514BE8-4592-4353-9226-2DF928A9BA3E}">
          <x14:formula1>
            <xm:f>'Milk Types Nutrition Per Cup'!$A:$A</xm:f>
          </x14:formula1>
          <xm:sqref>B4:B15 B2:C3 C4:C16</xm:sqref>
        </x14:dataValidation>
        <x14:dataValidation type="list" allowBlank="1" showInputMessage="1" showErrorMessage="1" xr:uid="{415B7F26-A47F-49A2-946B-BC769B522D04}">
          <x14:formula1>
            <xm:f>Specs!$A:$A</xm:f>
          </x14:formula1>
          <xm:sqref>K16:L29 J2:J29</xm:sqref>
        </x14:dataValidation>
        <x14:dataValidation type="list" allowBlank="1" showInputMessage="1" xr:uid="{CFBC2613-B0F5-40A8-B4F8-11D3007F80AB}">
          <x14:formula1>
            <xm:f>Specs!$F:$F</xm:f>
          </x14:formula1>
          <xm:sqref>H227:H236 N4:N196 O4:O71 N2:O3</xm:sqref>
        </x14:dataValidation>
        <x14:dataValidation type="list" allowBlank="1" showInputMessage="1" xr:uid="{25ECCF2F-BD7D-44D2-B209-2BD97B0E50EC}">
          <x14:formula1>
            <xm:f>Specs!$D:$D</xm:f>
          </x14:formula1>
          <xm:sqref>K2:L15</xm:sqref>
        </x14:dataValidation>
        <x14:dataValidation type="list" allowBlank="1" showInputMessage="1" showErrorMessage="1" xr:uid="{91F86B05-FE9A-4117-AC3E-06CB9073CCAF}">
          <x14:formula1>
            <xm:f>Specs!$H:$H</xm:f>
          </x14:formula1>
          <xm:sqref>M2:M16</xm:sqref>
        </x14:dataValidation>
        <x14:dataValidation type="list" showInputMessage="1" xr:uid="{0F9B8C43-4EC7-4EFE-9595-C6F1FF14271A}">
          <x14:formula1>
            <xm:f>'Solid Mix In Nutrition'!$A:$A</xm:f>
          </x14:formula1>
          <xm:sqref>F2:G14</xm:sqref>
        </x14:dataValidation>
        <x14:dataValidation type="list" allowBlank="1" xr:uid="{B6F64EBE-3F85-4CB5-9144-2A74C8356D62}">
          <x14:formula1>
            <xm:f>'Liquid Mix In Nutrition'!$A:$A</xm:f>
          </x14:formula1>
          <xm:sqref>D10:D15 E4:E15 D2:E3</xm:sqref>
        </x14:dataValidation>
        <x14:dataValidation type="list" allowBlank="1" showInputMessage="1" xr:uid="{BFC1AB25-27B7-48BD-A911-172019CB37DD}">
          <x14:formula1>
            <xm:f>'Liquid Mix In Nutrition'!$A:$A</xm:f>
          </x14:formula1>
          <xm:sqref>D4:D9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8E79B-D43D-45F5-9688-B47CF96DF062}">
  <sheetPr codeName="Sheet17"/>
  <dimension ref="A1:AL13"/>
  <sheetViews>
    <sheetView zoomScale="92" zoomScaleNormal="80" workbookViewId="0">
      <selection activeCell="A6" sqref="A6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8" x14ac:dyDescent="0.25">
      <c r="A2" t="s">
        <v>549</v>
      </c>
      <c r="B2" s="1" t="s">
        <v>62</v>
      </c>
      <c r="C2" s="1" t="s">
        <v>65</v>
      </c>
      <c r="D2" s="1" t="s">
        <v>0</v>
      </c>
      <c r="F2" s="1" t="s">
        <v>249</v>
      </c>
      <c r="H2" s="1" t="s">
        <v>1</v>
      </c>
      <c r="J2" t="s">
        <v>43</v>
      </c>
      <c r="K2" t="s">
        <v>157</v>
      </c>
      <c r="M2" t="s">
        <v>156</v>
      </c>
      <c r="N2" t="s">
        <v>173</v>
      </c>
      <c r="O2" t="s">
        <v>44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458.37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229.185</v>
      </c>
      <c r="R2">
        <f t="shared" ref="R2" si="0">P2+Q2</f>
        <v>687.55500000000006</v>
      </c>
      <c r="S2">
        <f>_xlfn.XLOOKUP($K2,Specs!$D:$D,Specs!$E:$E,0)*15*_xlfn.XLOOKUP($J2,Specs!$A:$A,Specs!$C:$C,0)</f>
        <v>15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236.5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100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0.96306599999999998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3393.0161762771322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185.41687338303001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116.6395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258.04996409778556</v>
      </c>
      <c r="AE2" s="8">
        <f>$AD2 / (_xlfn.XLOOKUP($J2,Specs!A:A,Specs!B:B,0))</f>
        <v>0.27278008889829342</v>
      </c>
      <c r="AF2" s="7">
        <f>60* ($AA2 / _xlfn.XLOOKUP($J2,Specs!$A:$A,Specs!$B:$B,0))</f>
        <v>215.20187164548409</v>
      </c>
      <c r="AG2" s="7">
        <f>60* (AB2 / _xlfn.XLOOKUP($J2,Specs!$A:$A,Specs!$B:$B,0))</f>
        <v>11.760055394272516</v>
      </c>
      <c r="AH2" s="7">
        <f>60* (AD2 / _xlfn.XLOOKUP($J2,Specs!$A:$A,Specs!$B:$B,0))</f>
        <v>16.366805333897606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4.7164120861017098</v>
      </c>
      <c r="AJ2" s="10">
        <f>ROUNDUP((AI2+Specs!$R$2+Specs!$S$2+_xlfn.XLOOKUP($J2,Specs!A:A,Specs!V:V,0))*Specs!$N$2,0)</f>
        <v>12</v>
      </c>
    </row>
    <row r="3" spans="1:38" x14ac:dyDescent="0.25">
      <c r="A3" s="26" t="s">
        <v>508</v>
      </c>
      <c r="B3" s="1" t="s">
        <v>62</v>
      </c>
      <c r="C3" s="1" t="s">
        <v>65</v>
      </c>
      <c r="D3" s="1" t="s">
        <v>0</v>
      </c>
      <c r="F3" s="1" t="s">
        <v>3</v>
      </c>
      <c r="H3" s="1" t="s">
        <v>1</v>
      </c>
      <c r="J3" t="s">
        <v>43</v>
      </c>
      <c r="K3" t="s">
        <v>157</v>
      </c>
      <c r="M3" t="s">
        <v>156</v>
      </c>
      <c r="N3" t="s">
        <v>173</v>
      </c>
      <c r="O3" t="s">
        <v>44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458.37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229.185</v>
      </c>
      <c r="R3">
        <f t="shared" ref="R3" si="3">P3+Q3</f>
        <v>687.55500000000006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94.600000000000009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 t="shared" ref="Y3" si="4">($P3+$Q3+$S3+$W3+$X3)*IF(ISNUMBER(SEARCH("Fat Free",$B3)),0.0036,0.0012)</f>
        <v>0.96306599999999998</v>
      </c>
      <c r="Z3" s="5">
        <f t="shared" ref="Z3" si="5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2710.6564705882356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155.59244117647057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116.6395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229.56272058823529</v>
      </c>
      <c r="AE3" s="8">
        <f>$AD3 / (_xlfn.XLOOKUP($J3,Specs!A:A,Specs!B:B,0))</f>
        <v>0.24266672366621067</v>
      </c>
      <c r="AF3" s="7">
        <f>60* (AA3 / _xlfn.XLOOKUP($J3,Specs!$A:$A,Specs!$B:$B,0))</f>
        <v>171.92324337768937</v>
      </c>
      <c r="AG3" s="7">
        <f>60* (AB3 / _xlfn.XLOOKUP($J3,Specs!$A:$A,Specs!$B:$B,0))</f>
        <v>9.868442357915681</v>
      </c>
      <c r="AH3" s="7">
        <f>60* (AD3 / _xlfn.XLOOKUP($J3,Specs!$A:$A,Specs!$B:$B,0))</f>
        <v>14.56000341997264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4.3117977605859759</v>
      </c>
      <c r="AJ3" s="10">
        <f>ROUNDUP((AI3+Specs!$R$2+Specs!$S$2+_xlfn.XLOOKUP($J3,Specs!A:A,Specs!V:V,0))*Specs!$N$2,0)</f>
        <v>11</v>
      </c>
    </row>
    <row r="4" spans="1:38" x14ac:dyDescent="0.25">
      <c r="A4" s="26" t="s">
        <v>252</v>
      </c>
      <c r="B4" s="1" t="s">
        <v>62</v>
      </c>
      <c r="C4" s="1" t="s">
        <v>65</v>
      </c>
      <c r="D4" s="1" t="s">
        <v>0</v>
      </c>
      <c r="E4" s="1" t="s">
        <v>5</v>
      </c>
      <c r="F4" s="1" t="s">
        <v>249</v>
      </c>
      <c r="G4" s="1" t="s">
        <v>234</v>
      </c>
      <c r="H4" s="1" t="s">
        <v>1</v>
      </c>
      <c r="J4" t="s">
        <v>4</v>
      </c>
      <c r="K4" t="s">
        <v>157</v>
      </c>
      <c r="L4" t="s">
        <v>451</v>
      </c>
      <c r="M4" t="s">
        <v>156</v>
      </c>
      <c r="N4" t="s">
        <v>448</v>
      </c>
      <c r="O4" t="s">
        <v>44</v>
      </c>
      <c r="P4">
        <f>(_xlfn.XLOOKUP($J4,Specs!A:A,Specs!B:B,0)-$S4-(($U4/MAX(1,_xlfn.XLOOKUP($F4,'Solid Mix In Nutrition'!A:A,'Solid Mix In Nutrition'!I:I,1)))*240)-(($V4/MAX(1,_xlfn.XLOOKUP($G4,'Solid Mix In Nutrition'!A:A,'Solid Mix In Nutrition'!I:I,1)))*240))*0.66</f>
        <v>229.185</v>
      </c>
      <c r="Q4">
        <f>(_xlfn.XLOOKUP($J4,Specs!A:A,Specs!B:B,0)-$S4-(($U4/MAX(1,_xlfn.XLOOKUP($F4,'Solid Mix In Nutrition'!A:A,'Solid Mix In Nutrition'!I:I,1)))*240)-(($V4/MAX(1,_xlfn.XLOOKUP($G4,'Solid Mix In Nutrition'!A:A,'Solid Mix In Nutrition'!I:I,1)))*240))*0.33</f>
        <v>114.5925</v>
      </c>
      <c r="R4">
        <f>P4+Q4</f>
        <v>343.77750000000003</v>
      </c>
      <c r="S4">
        <f>_xlfn.XLOOKUP($K4,Specs!$D:$D,Specs!$E:$E,0)*15*_xlfn.XLOOKUP($J4,Specs!$A:$A,Specs!$C:$C,0)</f>
        <v>7.5</v>
      </c>
      <c r="T4">
        <f>_xlfn.XLOOKUP($L4,Specs!$D:$D,Specs!$E:$E,0)*15*_xlfn.XLOOKUP($J4,Specs!$A:$A,Specs!$C:$C,0)</f>
        <v>60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59.125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25.8671875</v>
      </c>
      <c r="W4">
        <f>_xlfn.XLOOKUP($N4,Specs!F:F,Specs!G:G,0)*100*_xlfn.XLOOKUP($J4,Specs!A:A,Specs!C:C,0)</f>
        <v>12.5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0.436533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1609.7453982359498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60.999510012424167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42.819749999999999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145.27785740375674</v>
      </c>
      <c r="AE4" s="8">
        <f>$AD4 / (_xlfn.XLOOKUP($J4,Specs!A:A,Specs!B:B,0))</f>
        <v>0.30714134757665273</v>
      </c>
      <c r="AF4" s="7">
        <f>60* ($AA4 / _xlfn.XLOOKUP($J4,Specs!$A:$A,Specs!$B:$B,0))</f>
        <v>204.19603360286888</v>
      </c>
      <c r="AG4" s="7">
        <f>60* (AB4 / _xlfn.XLOOKUP($J4,Specs!$A:$A,Specs!$B:$B,0))</f>
        <v>7.7377813969248423</v>
      </c>
      <c r="AH4" s="7">
        <f>60* (AD4 / _xlfn.XLOOKUP($J4,Specs!$A:$A,Specs!$B:$B,0))</f>
        <v>18.428480854599165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3.0079838780247554</v>
      </c>
      <c r="AJ4" s="10">
        <f>ROUNDUP((AI4+Specs!$R$2+Specs!$S$2+_xlfn.XLOOKUP($J4,Specs!A:A,Specs!V:V,0))*Specs!$N$2,0)</f>
        <v>8</v>
      </c>
    </row>
    <row r="5" spans="1:38" x14ac:dyDescent="0.25">
      <c r="A5" s="52" t="s">
        <v>543</v>
      </c>
      <c r="B5" s="31" t="s">
        <v>62</v>
      </c>
      <c r="C5" s="31" t="s">
        <v>65</v>
      </c>
      <c r="D5" s="31" t="s">
        <v>0</v>
      </c>
      <c r="E5" s="31" t="s">
        <v>486</v>
      </c>
      <c r="F5" s="31" t="s">
        <v>406</v>
      </c>
      <c r="G5" s="31"/>
      <c r="H5" s="31" t="s">
        <v>2</v>
      </c>
      <c r="I5" s="31"/>
      <c r="J5" s="30" t="s">
        <v>43</v>
      </c>
      <c r="K5" s="30" t="s">
        <v>450</v>
      </c>
      <c r="L5" s="30" t="s">
        <v>451</v>
      </c>
      <c r="M5" s="30" t="s">
        <v>156</v>
      </c>
      <c r="N5" s="30" t="s">
        <v>448</v>
      </c>
      <c r="O5" s="85" t="s">
        <v>44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379.17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189.58500000000001</v>
      </c>
      <c r="R5">
        <f>P5+Q5</f>
        <v>568.755</v>
      </c>
      <c r="S5">
        <f>_xlfn.XLOOKUP($K5,Specs!$D:$D,Specs!$E:$E,0)*15*_xlfn.XLOOKUP($J5,Specs!$A:$A,Specs!$C:$C,0)</f>
        <v>15</v>
      </c>
      <c r="T5">
        <f>_xlfn.XLOOKUP($L5,Specs!$D:$D,Specs!$E:$E,0)*15*_xlfn.XLOOKUP($J5,Specs!$A:$A,Specs!$C:$C,0)</f>
        <v>120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78.833333333333343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25</v>
      </c>
      <c r="X5">
        <f>_xlfn.XLOOKUP($O5,Specs!F:F,Specs!G:G,0)*100*_xlfn.XLOOKUP($J5,Specs!A:A,Specs!C:C,0)</f>
        <v>0</v>
      </c>
      <c r="Y5" s="4">
        <f t="shared" ref="Y5:Y6" si="6">($P5+$Q5+$S5+$W5+$X5)*IF(ISNUMBER(SEARCH("Fat Free",$B5)),0.0036,0.0012)</f>
        <v>0.73050599999999988</v>
      </c>
      <c r="Z5" s="5">
        <f t="shared" ref="Z5:Z6" si="7">CEILING(CONVERT(($P5+$Q5+$S5+$W5+$X5)*IF(ISNUMBER(SEARCH("Fat Free",$B5)),0.0036,0.0012),"ml","tsp"),0.25)</f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2931.6591666666668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187.60491666666667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139.31950000000001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197.92895833333333</v>
      </c>
      <c r="AE5" s="8">
        <f>$AD5 / (_xlfn.XLOOKUP($J5,Specs!A:A,Specs!B:B,0))</f>
        <v>0.20922722868217053</v>
      </c>
      <c r="AF5" s="7">
        <f>60* ($AA5 / _xlfn.XLOOKUP($J5,Specs!$A:$A,Specs!$B:$B,0))</f>
        <v>185.94032769556028</v>
      </c>
      <c r="AG5" s="7">
        <f>60* (AB5 / _xlfn.XLOOKUP($J5,Specs!$A:$A,Specs!$B:$B,0))</f>
        <v>11.898831923890064</v>
      </c>
      <c r="AH5" s="7">
        <f>60* (AD5 / _xlfn.XLOOKUP($J5,Specs!$A:$A,Specs!$B:$B,0))</f>
        <v>12.553633720930232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7.5240648149493161</v>
      </c>
      <c r="AJ5" s="10">
        <f>ROUNDUP((AI5+Specs!$R$2+Specs!$S$2+_xlfn.XLOOKUP($J5,Specs!A:A,Specs!V:V,0))*Specs!$N$2,0)</f>
        <v>18</v>
      </c>
      <c r="AK5" s="39"/>
      <c r="AL5" s="40"/>
    </row>
    <row r="6" spans="1:38" x14ac:dyDescent="0.25">
      <c r="A6" s="52" t="s">
        <v>515</v>
      </c>
      <c r="B6" s="31" t="s">
        <v>62</v>
      </c>
      <c r="C6" s="31" t="s">
        <v>65</v>
      </c>
      <c r="D6" s="31" t="s">
        <v>512</v>
      </c>
      <c r="E6" s="31" t="s">
        <v>0</v>
      </c>
      <c r="F6" s="31" t="s">
        <v>491</v>
      </c>
      <c r="G6" s="31"/>
      <c r="H6" s="31" t="s">
        <v>1</v>
      </c>
      <c r="I6" s="31"/>
      <c r="J6" s="30" t="s">
        <v>43</v>
      </c>
      <c r="K6" s="30" t="s">
        <v>450</v>
      </c>
      <c r="L6" s="30" t="s">
        <v>175</v>
      </c>
      <c r="M6" s="30" t="s">
        <v>156</v>
      </c>
      <c r="N6" s="30" t="s">
        <v>173</v>
      </c>
      <c r="O6" s="85" t="s">
        <v>44</v>
      </c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455.89500000000004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227.94750000000002</v>
      </c>
      <c r="R6">
        <f>P6+Q6</f>
        <v>683.84250000000009</v>
      </c>
      <c r="S6">
        <f>_xlfn.XLOOKUP($K6,Specs!$D:$D,Specs!$E:$E,0)*15*_xlfn.XLOOKUP($J6,Specs!$A:$A,Specs!$C:$C,0)</f>
        <v>15</v>
      </c>
      <c r="T6">
        <f>_xlfn.XLOOKUP($L6,Specs!$D:$D,Specs!$E:$E,0)*15*_xlfn.XLOOKUP($J6,Specs!$A:$A,Specs!$C:$C,0)</f>
        <v>3.75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83.760416666666671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100</v>
      </c>
      <c r="X6">
        <f>_xlfn.XLOOKUP($O6,Specs!F:F,Specs!G:G,0)*100*_xlfn.XLOOKUP($J6,Specs!A:A,Specs!C:C,0)</f>
        <v>0</v>
      </c>
      <c r="Y6" s="4">
        <f t="shared" si="6"/>
        <v>0.95861099999999999</v>
      </c>
      <c r="Z6" s="5">
        <f t="shared" si="7"/>
        <v>0.25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2540.1195833333336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134.48366666666666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109.84825000000001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219.79145833333337</v>
      </c>
      <c r="AE6" s="8">
        <f>$AD6 / (_xlfn.XLOOKUP($J6,Specs!A:A,Specs!B:B,0))</f>
        <v>0.23233769379844965</v>
      </c>
      <c r="AF6" s="7">
        <f>60* ($AA6 / _xlfn.XLOOKUP($J6,Specs!$A:$A,Specs!$B:$B,0))</f>
        <v>161.10695031712476</v>
      </c>
      <c r="AG6" s="7">
        <f>60* (AB6 / _xlfn.XLOOKUP($J6,Specs!$A:$A,Specs!$B:$B,0))</f>
        <v>8.5296194503171243</v>
      </c>
      <c r="AH6" s="7">
        <f>60* (AD6 / _xlfn.XLOOKUP($J6,Specs!$A:$A,Specs!$B:$B,0))</f>
        <v>13.940261627906979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4.2667248320543099</v>
      </c>
      <c r="AJ6" s="10">
        <f>ROUNDUP((AI6+Specs!$R$2+Specs!$S$2+_xlfn.XLOOKUP($J6,Specs!A:A,Specs!V:V,0))*Specs!$N$2,0)</f>
        <v>11</v>
      </c>
      <c r="AK6" s="39"/>
      <c r="AL6" s="40"/>
    </row>
    <row r="7" spans="1:38" x14ac:dyDescent="0.25">
      <c r="O7" t="s">
        <v>548</v>
      </c>
      <c r="P7">
        <f>SUM(P2:P6)</f>
        <v>1980.99</v>
      </c>
      <c r="Q7">
        <f>SUM(Q2:Q6)</f>
        <v>990.495</v>
      </c>
      <c r="S7">
        <f>SUM(S2:S6)</f>
        <v>67.5</v>
      </c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8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8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8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</sheetData>
  <dataValidations count="1">
    <dataValidation showInputMessage="1" sqref="H6" xr:uid="{9F14F32F-5EE2-4126-B7E1-854D325E923F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6A90ECDB-FA1F-4E98-8412-C4CBD4262016}">
          <x14:formula1>
            <xm:f>'Sweetener Mix In Nutrition'!$A:$A</xm:f>
          </x14:formula1>
          <xm:sqref>I7:I13 I2 I4</xm:sqref>
        </x14:dataValidation>
        <x14:dataValidation type="list" allowBlank="1" showInputMessage="1" showErrorMessage="1" xr:uid="{60A52E16-D5CB-4C91-AAF1-67185BA1D1EB}">
          <x14:formula1>
            <xm:f>'Sweetener Mix In Nutrition'!$A:$A</xm:f>
          </x14:formula1>
          <xm:sqref>I14:I444 H2 I5:I6 H4 H7:H230 H3:I3</xm:sqref>
        </x14:dataValidation>
        <x14:dataValidation type="list" allowBlank="1" showInputMessage="1" showErrorMessage="1" xr:uid="{3CD61491-C0B6-45E0-B768-D7BCE9FC5DAB}">
          <x14:formula1>
            <xm:f>'Milk Types Nutrition Per Cup'!$A:$A</xm:f>
          </x14:formula1>
          <xm:sqref>C7:C20 B2:C6 B7:B19</xm:sqref>
        </x14:dataValidation>
        <x14:dataValidation type="list" allowBlank="1" showInputMessage="1" xr:uid="{035AFD70-8078-4FFC-8F49-7785055CC40A}">
          <x14:formula1>
            <xm:f>Specs!$F:$F</xm:f>
          </x14:formula1>
          <xm:sqref>H231:H240 O7:O75 N5:N200 N2:O4</xm:sqref>
        </x14:dataValidation>
        <x14:dataValidation type="list" allowBlank="1" showInputMessage="1" showErrorMessage="1" xr:uid="{A5D4B97F-0839-4F79-977B-8DC7380F6A98}">
          <x14:formula1>
            <xm:f>Specs!$A:$A</xm:f>
          </x14:formula1>
          <xm:sqref>K20:L33 J2:J33</xm:sqref>
        </x14:dataValidation>
        <x14:dataValidation type="list" allowBlank="1" showInputMessage="1" showErrorMessage="1" xr:uid="{D52BC012-4FA6-4ABA-A1A1-BC92E32E7B9E}">
          <x14:formula1>
            <xm:f>Specs!$H:$H</xm:f>
          </x14:formula1>
          <xm:sqref>M2:M20</xm:sqref>
        </x14:dataValidation>
        <x14:dataValidation type="list" allowBlank="1" showInputMessage="1" xr:uid="{084EDE99-94E6-4FDE-B6D0-C91E0D231937}">
          <x14:formula1>
            <xm:f>Specs!$D:$D</xm:f>
          </x14:formula1>
          <xm:sqref>K2:L19</xm:sqref>
        </x14:dataValidation>
        <x14:dataValidation type="list" showInputMessage="1" xr:uid="{A6AF5ECF-F8F9-40B5-B7D6-4AEA8FE1631D}">
          <x14:formula1>
            <xm:f>'Solid Mix In Nutrition'!$A:$A</xm:f>
          </x14:formula1>
          <xm:sqref>H5 F2:G18</xm:sqref>
        </x14:dataValidation>
        <x14:dataValidation type="list" allowBlank="1" showInputMessage="1" xr:uid="{5722A0FB-F72D-4810-B604-36A6BF3651DD}">
          <x14:formula1>
            <xm:f>'Liquid Mix In Nutrition'!$A:$A</xm:f>
          </x14:formula1>
          <xm:sqref>D7:D13 D2 D4</xm:sqref>
        </x14:dataValidation>
        <x14:dataValidation type="list" allowBlank="1" xr:uid="{0D2706B4-541D-4376-B3E5-3F91510F8AFF}">
          <x14:formula1>
            <xm:f>'Liquid Mix In Nutrition'!$A:$A</xm:f>
          </x14:formula1>
          <xm:sqref>D14:D19 E2 E4:E19 D3:E3</xm:sqref>
        </x14:dataValidation>
        <x14:dataValidation type="list" allowBlank="1" showInputMessage="1" showErrorMessage="1" xr:uid="{EBB7A5F2-E569-4B8E-BB3B-5E7C2812797D}">
          <x14:formula1>
            <xm:f>'Liquid Mix In Nutrition'!$A:$A</xm:f>
          </x14:formula1>
          <xm:sqref>D5:D6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5FA39-90C9-4E1F-9235-FE4C4D986A7F}">
  <sheetPr codeName="Sheet18"/>
  <dimension ref="A1:AL10"/>
  <sheetViews>
    <sheetView zoomScale="92" zoomScaleNormal="80" workbookViewId="0">
      <selection activeCell="A6" sqref="A6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8" x14ac:dyDescent="0.25">
      <c r="A2" t="s">
        <v>2</v>
      </c>
      <c r="B2" s="1" t="s">
        <v>62</v>
      </c>
      <c r="C2" s="1" t="s">
        <v>65</v>
      </c>
      <c r="D2" s="1" t="s">
        <v>0</v>
      </c>
      <c r="H2" s="1" t="s">
        <v>1</v>
      </c>
      <c r="I2" s="1" t="s">
        <v>2</v>
      </c>
      <c r="J2" t="s">
        <v>43</v>
      </c>
      <c r="K2" t="s">
        <v>157</v>
      </c>
      <c r="L2" t="s">
        <v>44</v>
      </c>
      <c r="N2" t="s">
        <v>158</v>
      </c>
      <c r="O2" t="s">
        <v>448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614.46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307.23</v>
      </c>
      <c r="R2">
        <f t="shared" ref="R2" si="0">P2+Q2</f>
        <v>921.69</v>
      </c>
      <c r="S2">
        <f>_xlfn.XLOOKUP($K2,Specs!$D:$D,Specs!$E:$E,0)*15*_xlfn.XLOOKUP($J2,Specs!$A:$A,Specs!$C:$C,0)</f>
        <v>15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0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25</v>
      </c>
      <c r="Y2" s="4">
        <f t="shared" ref="Y2" si="1">($P2+$Q2+$S2+$W2+$X2)*IF(ISNUMBER(SEARCH("Fat Free",$B2)),0.0036,0.0012)</f>
        <v>1.2140279999999999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2779.59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94.241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94.241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281.62750000000005</v>
      </c>
      <c r="AE2" s="8">
        <f>$AD2 / (_xlfn.XLOOKUP($J2,Specs!A:A,Specs!B:B,0))</f>
        <v>0.29770348837209309</v>
      </c>
      <c r="AF2" s="7">
        <f>60* ($AA2 / _xlfn.XLOOKUP($J2,Specs!$A:$A,Specs!$B:$B,0))</f>
        <v>176.2953488372093</v>
      </c>
      <c r="AG2" s="7">
        <f>60* (AB2 / _xlfn.XLOOKUP($J2,Specs!$A:$A,Specs!$B:$B,0))</f>
        <v>5.97723044397463</v>
      </c>
      <c r="AH2" s="7">
        <f>60* (AD2 / _xlfn.XLOOKUP($J2,Specs!$A:$A,Specs!$B:$B,0))</f>
        <v>17.862209302325585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4.7873284852205371</v>
      </c>
      <c r="AJ2" s="10">
        <f>ROUNDUP((AI2+Specs!$R$2+Specs!$S$2+_xlfn.XLOOKUP($J2,Specs!A:A,Specs!V:V,0))*Specs!$N$2,0)</f>
        <v>12</v>
      </c>
    </row>
    <row r="3" spans="1:38" x14ac:dyDescent="0.25">
      <c r="A3" s="52" t="s">
        <v>543</v>
      </c>
      <c r="B3" s="31" t="s">
        <v>62</v>
      </c>
      <c r="C3" s="31" t="s">
        <v>65</v>
      </c>
      <c r="D3" s="31" t="s">
        <v>0</v>
      </c>
      <c r="E3" s="31" t="s">
        <v>486</v>
      </c>
      <c r="F3" s="31" t="s">
        <v>406</v>
      </c>
      <c r="G3" s="31"/>
      <c r="H3" s="31" t="s">
        <v>2</v>
      </c>
      <c r="I3" s="31"/>
      <c r="J3" s="30" t="s">
        <v>43</v>
      </c>
      <c r="K3" s="30" t="s">
        <v>450</v>
      </c>
      <c r="L3" s="30" t="s">
        <v>451</v>
      </c>
      <c r="M3" s="30" t="s">
        <v>156</v>
      </c>
      <c r="N3" s="30" t="s">
        <v>448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379.17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189.58500000000001</v>
      </c>
      <c r="R3">
        <f>P3+Q3</f>
        <v>568.755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120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78.833333333333343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25</v>
      </c>
      <c r="X3">
        <f>_xlfn.XLOOKUP($O3,Specs!F:F,Specs!G:G,0)*100*_xlfn.XLOOKUP($J3,Specs!A:A,Specs!C:C,0)</f>
        <v>0</v>
      </c>
      <c r="Y3" s="4">
        <f t="shared" ref="Y3" si="3">($P3+$Q3+$S3+$W3+$X3)*IF(ISNUMBER(SEARCH("Fat Free",$B3)),0.0036,0.0012)</f>
        <v>0.73050599999999988</v>
      </c>
      <c r="Z3" s="5">
        <f t="shared" ref="Z3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2931.6591666666668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187.60491666666667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139.31950000000001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197.92895833333333</v>
      </c>
      <c r="AE3" s="8">
        <f>$AD3 / (_xlfn.XLOOKUP($J3,Specs!A:A,Specs!B:B,0))</f>
        <v>0.20922722868217053</v>
      </c>
      <c r="AF3" s="7">
        <f>60* ($AA3 / _xlfn.XLOOKUP($J3,Specs!$A:$A,Specs!$B:$B,0))</f>
        <v>185.94032769556028</v>
      </c>
      <c r="AG3" s="7">
        <f>60* (AB3 / _xlfn.XLOOKUP($J3,Specs!$A:$A,Specs!$B:$B,0))</f>
        <v>11.898831923890064</v>
      </c>
      <c r="AH3" s="7">
        <f>60* (AD3 / _xlfn.XLOOKUP($J3,Specs!$A:$A,Specs!$B:$B,0))</f>
        <v>12.553633720930232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7.5240648149493161</v>
      </c>
      <c r="AJ3" s="10">
        <f>ROUNDUP((AI3+Specs!$R$2+Specs!$S$2+_xlfn.XLOOKUP($J3,Specs!A:A,Specs!V:V,0))*Specs!$N$2,0)</f>
        <v>18</v>
      </c>
      <c r="AK3" s="39"/>
      <c r="AL3" s="40"/>
    </row>
    <row r="4" spans="1:38" x14ac:dyDescent="0.25">
      <c r="Y4" s="4"/>
      <c r="Z4" s="5"/>
      <c r="AA4" s="6"/>
      <c r="AB4" s="6"/>
      <c r="AC4" s="6"/>
      <c r="AD4" s="7"/>
      <c r="AE4" s="8"/>
      <c r="AF4" s="7"/>
      <c r="AG4" s="7"/>
      <c r="AH4" s="7"/>
      <c r="AI4" s="9"/>
      <c r="AJ4" s="10"/>
    </row>
    <row r="5" spans="1:38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8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8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7726D3AA-29A3-4C37-A9F9-A97F2C5B36AA}">
          <x14:formula1>
            <xm:f>'Sweetener Mix In Nutrition'!$A:$A</xm:f>
          </x14:formula1>
          <xm:sqref>I4:I10 I2</xm:sqref>
        </x14:dataValidation>
        <x14:dataValidation type="list" allowBlank="1" showInputMessage="1" showErrorMessage="1" xr:uid="{C80B78FA-333A-4060-A4EB-C370E32C7293}">
          <x14:formula1>
            <xm:f>'Sweetener Mix In Nutrition'!$A:$A</xm:f>
          </x14:formula1>
          <xm:sqref>I11:I441 H2 I3 H4:H227</xm:sqref>
        </x14:dataValidation>
        <x14:dataValidation type="list" allowBlank="1" showInputMessage="1" showErrorMessage="1" xr:uid="{723E3775-D61D-474D-BF77-ECE1B9374DAA}">
          <x14:formula1>
            <xm:f>'Milk Types Nutrition Per Cup'!$A:$A</xm:f>
          </x14:formula1>
          <xm:sqref>C4:C17 B2:C3 B4:B16</xm:sqref>
        </x14:dataValidation>
        <x14:dataValidation type="list" allowBlank="1" showInputMessage="1" xr:uid="{84631EB1-486D-416B-9514-D381C9F62861}">
          <x14:formula1>
            <xm:f>Specs!$F:$F</xm:f>
          </x14:formula1>
          <xm:sqref>H228:H237 O4:O72 N3:N197 N2:O2</xm:sqref>
        </x14:dataValidation>
        <x14:dataValidation type="list" allowBlank="1" showInputMessage="1" showErrorMessage="1" xr:uid="{6B97383C-37F0-4BAD-878A-8F31D3D29CE5}">
          <x14:formula1>
            <xm:f>Specs!$A:$A</xm:f>
          </x14:formula1>
          <xm:sqref>K17:L30 J2:J30</xm:sqref>
        </x14:dataValidation>
        <x14:dataValidation type="list" allowBlank="1" showInputMessage="1" showErrorMessage="1" xr:uid="{74C2EB0D-85FC-4502-B877-BD97A9FF21B9}">
          <x14:formula1>
            <xm:f>Specs!$H:$H</xm:f>
          </x14:formula1>
          <xm:sqref>M2:M17</xm:sqref>
        </x14:dataValidation>
        <x14:dataValidation type="list" allowBlank="1" showInputMessage="1" xr:uid="{36654C0A-36E8-4C57-9963-5DB4E5B5D751}">
          <x14:formula1>
            <xm:f>Specs!$D:$D</xm:f>
          </x14:formula1>
          <xm:sqref>K2:L16</xm:sqref>
        </x14:dataValidation>
        <x14:dataValidation type="list" showInputMessage="1" xr:uid="{20E116B4-C2EF-48E3-9ECC-BD9EDDC1428F}">
          <x14:formula1>
            <xm:f>'Solid Mix In Nutrition'!$A:$A</xm:f>
          </x14:formula1>
          <xm:sqref>F4:G15 F2:G2 F3:H3</xm:sqref>
        </x14:dataValidation>
        <x14:dataValidation type="list" allowBlank="1" showInputMessage="1" xr:uid="{ED5A03A6-2838-4A9B-A4BF-6ECFDA0F56D8}">
          <x14:formula1>
            <xm:f>'Liquid Mix In Nutrition'!$A:$A</xm:f>
          </x14:formula1>
          <xm:sqref>D4:D10 D2</xm:sqref>
        </x14:dataValidation>
        <x14:dataValidation type="list" allowBlank="1" xr:uid="{D8255A97-F16F-4128-B818-FFA3ACB9BA10}">
          <x14:formula1>
            <xm:f>'Liquid Mix In Nutrition'!$A:$A</xm:f>
          </x14:formula1>
          <xm:sqref>D11:D16 E2:E16</xm:sqref>
        </x14:dataValidation>
        <x14:dataValidation type="list" allowBlank="1" showInputMessage="1" showErrorMessage="1" xr:uid="{F77B2CC7-C4F1-473F-8D3E-513C05ED8C1D}">
          <x14:formula1>
            <xm:f>'Liquid Mix In Nutrition'!$A:$A</xm:f>
          </x14:formula1>
          <xm:sqref>D3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98008-F3EB-48D1-8880-1E5E654DE9A4}">
  <sheetPr codeName="Sheet16"/>
  <dimension ref="A1:AJ13"/>
  <sheetViews>
    <sheetView zoomScale="92" zoomScaleNormal="8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6" x14ac:dyDescent="0.25">
      <c r="A2" t="s">
        <v>169</v>
      </c>
      <c r="B2" s="1" t="s">
        <v>62</v>
      </c>
      <c r="C2" s="1" t="s">
        <v>65</v>
      </c>
      <c r="D2" s="1" t="s">
        <v>0</v>
      </c>
      <c r="F2" s="1" t="s">
        <v>234</v>
      </c>
      <c r="H2" s="1" t="s">
        <v>1</v>
      </c>
      <c r="J2" t="s">
        <v>340</v>
      </c>
      <c r="K2" t="s">
        <v>157</v>
      </c>
      <c r="M2" t="s">
        <v>156</v>
      </c>
      <c r="N2" t="s">
        <v>173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867.73500000000001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433.86750000000001</v>
      </c>
      <c r="R2">
        <f t="shared" ref="R2:R4" si="0">P2+Q2</f>
        <v>1301.6025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196.109375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1.8379229999999998</v>
      </c>
      <c r="Z2" s="5">
        <f t="shared" ref="Z2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5315.4868750000005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320.37334913793103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232.46224999999998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445.04862068965525</v>
      </c>
      <c r="AE2" s="8">
        <f>$AD2 / (_xlfn.XLOOKUP($J2,Specs!A:A,Specs!B:B,0))</f>
        <v>0.24821451237571404</v>
      </c>
      <c r="AF2" s="7">
        <f>60* (AA2 / _xlfn.XLOOKUP($J2,Specs!$A:$A,Specs!$B:$B,0))</f>
        <v>177.87463050752928</v>
      </c>
      <c r="AG2" s="7">
        <f>60* (AB2 / _xlfn.XLOOKUP($J2,Specs!$A:$A,Specs!$B:$B,0))</f>
        <v>10.720803652133778</v>
      </c>
      <c r="AH2" s="7">
        <f>60* (AD2 / _xlfn.XLOOKUP($J2,Specs!$A:$A,Specs!$B:$B,0))</f>
        <v>14.892870742542842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8.3354867604336285</v>
      </c>
      <c r="AJ2" s="10">
        <f>(AI2+Specs!$R$2+Specs!$S$2)*Specs!$N$2</f>
        <v>17.450973520867255</v>
      </c>
    </row>
    <row r="3" spans="1:36" x14ac:dyDescent="0.25">
      <c r="A3" t="s">
        <v>400</v>
      </c>
      <c r="B3" s="1" t="s">
        <v>62</v>
      </c>
      <c r="C3" s="1" t="s">
        <v>65</v>
      </c>
      <c r="D3" s="1" t="s">
        <v>0</v>
      </c>
      <c r="F3" s="1" t="s">
        <v>415</v>
      </c>
      <c r="H3" s="1" t="s">
        <v>132</v>
      </c>
      <c r="J3" t="s">
        <v>43</v>
      </c>
      <c r="K3" t="s">
        <v>157</v>
      </c>
      <c r="L3" t="s">
        <v>44</v>
      </c>
      <c r="M3" t="s">
        <v>154</v>
      </c>
      <c r="N3" t="s">
        <v>159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520.80600000000004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260.40300000000002</v>
      </c>
      <c r="R3">
        <f t="shared" si="0"/>
        <v>781.20900000000006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118.25000000000001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0</v>
      </c>
      <c r="X3">
        <f>_xlfn.XLOOKUP($O3,Specs!F:F,Specs!G:G,0)*100*_xlfn.XLOOKUP($J3,Specs!A:A,Specs!C:C,0)</f>
        <v>0</v>
      </c>
      <c r="Y3" s="4">
        <f t="shared" ref="Y3" si="3">($P3+$Q3+$S3+$W3+$X3)*IF(ISNUMBER(SEARCH("Fat Free",$B3)),0.0036,0.0012)</f>
        <v>0.95545079999999993</v>
      </c>
      <c r="Z3" s="5">
        <f t="shared" ref="Z3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2467.2073333333337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79.170100000000019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17.680100000000003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238.70275000000001</v>
      </c>
      <c r="AE3" s="8">
        <f>$AD3 / (_xlfn.XLOOKUP($J3,Specs!A:A,Specs!B:B,0))</f>
        <v>0.25232848837209304</v>
      </c>
      <c r="AF3" s="7">
        <f>60* ($AA3 / _xlfn.XLOOKUP($J3,Specs!$A:$A,Specs!$B:$B,0))</f>
        <v>156.48249471458777</v>
      </c>
      <c r="AG3" s="7">
        <f>60* (AB3 / _xlfn.XLOOKUP($J3,Specs!$A:$A,Specs!$B:$B,0))</f>
        <v>5.0213594080338275</v>
      </c>
      <c r="AH3" s="7">
        <f>60* (AD3 / _xlfn.XLOOKUP($J3,Specs!$A:$A,Specs!$B:$B,0))</f>
        <v>15.139709302325583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4.7227884391222252</v>
      </c>
      <c r="AJ3" s="10">
        <f>(AI3+Specs!$R$2+Specs!$S$2)*Specs!$N$2</f>
        <v>10.22557687824445</v>
      </c>
    </row>
    <row r="4" spans="1:36" x14ac:dyDescent="0.25">
      <c r="A4" t="s">
        <v>421</v>
      </c>
      <c r="B4" s="1" t="s">
        <v>71</v>
      </c>
      <c r="C4" s="1" t="s">
        <v>65</v>
      </c>
      <c r="D4" s="1" t="s">
        <v>0</v>
      </c>
      <c r="E4" s="1" t="s">
        <v>236</v>
      </c>
      <c r="F4" s="1" t="s">
        <v>102</v>
      </c>
      <c r="H4" s="1" t="s">
        <v>1</v>
      </c>
      <c r="J4" t="s">
        <v>43</v>
      </c>
      <c r="K4" t="s">
        <v>157</v>
      </c>
      <c r="L4" t="s">
        <v>6</v>
      </c>
      <c r="M4" t="s">
        <v>156</v>
      </c>
      <c r="N4" t="s">
        <v>159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458.37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229.185</v>
      </c>
      <c r="R4">
        <f t="shared" si="0"/>
        <v>687.55500000000006</v>
      </c>
      <c r="S4">
        <f>_xlfn.XLOOKUP($K4,Specs!$D:$D,Specs!$E:$E,0)*15*_xlfn.XLOOKUP($J4,Specs!$A:$A,Specs!$C:$C,0)</f>
        <v>15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163.57916666666668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0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0.84306599999999998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1778.3988425925925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24.591265046296293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16.639499999999998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164.70363657407407</v>
      </c>
      <c r="AE4" s="8">
        <f>$AD4 / (_xlfn.XLOOKUP($J4,Specs!A:A,Specs!B:B,0))</f>
        <v>0.17410532407407406</v>
      </c>
      <c r="AF4" s="7">
        <f>60* ($AA4 / _xlfn.XLOOKUP($J4,Specs!$A:$A,Specs!$B:$B,0))</f>
        <v>112.79485259572468</v>
      </c>
      <c r="AG4" s="7">
        <f>60* (AB4 / _xlfn.XLOOKUP($J4,Specs!$A:$A,Specs!$B:$B,0))</f>
        <v>1.5596996858116041</v>
      </c>
      <c r="AH4" s="7">
        <f>60* (AD4 / _xlfn.XLOOKUP($J4,Specs!$A:$A,Specs!$B:$B,0))</f>
        <v>10.446319444444443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5.757415869732581</v>
      </c>
      <c r="AJ4" s="10">
        <f>(AI4+Specs!$R$2+Specs!$S$2)*Specs!$N$2</f>
        <v>12.294831739465161</v>
      </c>
    </row>
    <row r="5" spans="1:36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25">
      <c r="P6">
        <f>SUM(P2:P4)</f>
        <v>1846.9110000000001</v>
      </c>
      <c r="Q6">
        <f>SUM(Q2:Q4)</f>
        <v>923.45550000000003</v>
      </c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6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6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C73D5C87-9ADA-4A06-A31E-22700644D840}">
          <x14:formula1>
            <xm:f>'Sweetener Mix In Nutrition'!$A:$A</xm:f>
          </x14:formula1>
          <xm:sqref>I14:I444 H4:H230 H2:I3</xm:sqref>
        </x14:dataValidation>
        <x14:dataValidation type="list" allowBlank="1" showInputMessage="1" xr:uid="{F732C348-A701-4946-8754-08D6D6A3EF3F}">
          <x14:formula1>
            <xm:f>'Sweetener Mix In Nutrition'!$A:$A</xm:f>
          </x14:formula1>
          <xm:sqref>I3:I13</xm:sqref>
        </x14:dataValidation>
        <x14:dataValidation type="list" allowBlank="1" showInputMessage="1" showErrorMessage="1" xr:uid="{0117F3FC-9856-487A-ACC9-40855332CCF9}">
          <x14:formula1>
            <xm:f>'Milk Types Nutrition Per Cup'!$A:$A</xm:f>
          </x14:formula1>
          <xm:sqref>B6:B19 B2:C5 C6:C20</xm:sqref>
        </x14:dataValidation>
        <x14:dataValidation type="list" allowBlank="1" showInputMessage="1" showErrorMessage="1" xr:uid="{7A995390-0799-4E14-B6B1-F122FD9739D0}">
          <x14:formula1>
            <xm:f>Specs!$A:$A</xm:f>
          </x14:formula1>
          <xm:sqref>K20:L33 J2:J33</xm:sqref>
        </x14:dataValidation>
        <x14:dataValidation type="list" allowBlank="1" showInputMessage="1" xr:uid="{52A74C93-F2CA-45EE-996F-7DCD83658AF2}">
          <x14:formula1>
            <xm:f>Specs!$F:$F</xm:f>
          </x14:formula1>
          <xm:sqref>H231:H240 N6:N200 O6:O75 N2:O5</xm:sqref>
        </x14:dataValidation>
        <x14:dataValidation type="list" allowBlank="1" showInputMessage="1" xr:uid="{E71D0FE2-140C-4D65-8273-DA6509DFC191}">
          <x14:formula1>
            <xm:f>Specs!$D:$D</xm:f>
          </x14:formula1>
          <xm:sqref>K2:L19</xm:sqref>
        </x14:dataValidation>
        <x14:dataValidation type="list" allowBlank="1" showInputMessage="1" showErrorMessage="1" xr:uid="{E217478C-73A1-4AFB-94DC-1FB249ED7023}">
          <x14:formula1>
            <xm:f>Specs!$H:$H</xm:f>
          </x14:formula1>
          <xm:sqref>M2:M20</xm:sqref>
        </x14:dataValidation>
        <x14:dataValidation type="list" showInputMessage="1" xr:uid="{EDAEF94D-E9B7-4305-88CA-C85F061BBD8C}">
          <x14:formula1>
            <xm:f>'Solid Mix In Nutrition'!$A:$A</xm:f>
          </x14:formula1>
          <xm:sqref>F2:G18</xm:sqref>
        </x14:dataValidation>
        <x14:dataValidation type="list" allowBlank="1" xr:uid="{4E228DC0-FEF6-4F5F-A0DD-EB8B07B8C6F6}">
          <x14:formula1>
            <xm:f>'Liquid Mix In Nutrition'!$A:$A</xm:f>
          </x14:formula1>
          <xm:sqref>D14:D19 E3:E19 D3 D2:E2</xm:sqref>
        </x14:dataValidation>
        <x14:dataValidation type="list" allowBlank="1" showInputMessage="1" xr:uid="{AD492202-15C2-4074-AD97-7E53CFFA43C3}">
          <x14:formula1>
            <xm:f>'Liquid Mix In Nutrition'!$A:$A</xm:f>
          </x14:formula1>
          <xm:sqref>D3:D13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EF98-2D28-449A-938D-0E6CDC74A8FE}">
  <sheetPr codeName="Sheet15"/>
  <dimension ref="A1:AJ15"/>
  <sheetViews>
    <sheetView zoomScale="92" zoomScaleNormal="8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6" x14ac:dyDescent="0.25">
      <c r="A2" t="s">
        <v>169</v>
      </c>
      <c r="B2" s="1" t="s">
        <v>62</v>
      </c>
      <c r="C2" s="1" t="s">
        <v>65</v>
      </c>
      <c r="D2" s="1" t="s">
        <v>0</v>
      </c>
      <c r="F2" s="1" t="s">
        <v>234</v>
      </c>
      <c r="H2" s="1" t="s">
        <v>1</v>
      </c>
      <c r="J2" t="s">
        <v>340</v>
      </c>
      <c r="K2" t="s">
        <v>157</v>
      </c>
      <c r="M2" t="s">
        <v>156</v>
      </c>
      <c r="N2" t="s">
        <v>173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867.73500000000001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433.86750000000001</v>
      </c>
      <c r="R2">
        <f t="shared" ref="R2:R3" si="0">P2+Q2</f>
        <v>1301.6025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196.109375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1.8379229999999998</v>
      </c>
      <c r="Z2" s="5">
        <f t="shared" ref="Z2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5315.4868750000005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320.37334913793103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232.46224999999998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445.04862068965525</v>
      </c>
      <c r="AE2" s="8">
        <f>$AD2 / (_xlfn.XLOOKUP($J2,Specs!A:A,Specs!B:B,0))</f>
        <v>0.24821451237571404</v>
      </c>
      <c r="AF2" s="7">
        <f>60* (AA2 / _xlfn.XLOOKUP($J2,Specs!$A:$A,Specs!$B:$B,0))</f>
        <v>177.87463050752928</v>
      </c>
      <c r="AG2" s="7">
        <f>60* (AB2 / _xlfn.XLOOKUP($J2,Specs!$A:$A,Specs!$B:$B,0))</f>
        <v>10.720803652133778</v>
      </c>
      <c r="AH2" s="7">
        <f>60* (AD2 / _xlfn.XLOOKUP($J2,Specs!$A:$A,Specs!$B:$B,0))</f>
        <v>14.892870742542842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8.3354867604336285</v>
      </c>
      <c r="AJ2" s="10">
        <f>(AI2+Specs!$R$2+Specs!$S$2)*Specs!$N$2</f>
        <v>17.450973520867255</v>
      </c>
    </row>
    <row r="3" spans="1:36" x14ac:dyDescent="0.25">
      <c r="A3" t="s">
        <v>358</v>
      </c>
      <c r="B3" s="1" t="s">
        <v>62</v>
      </c>
      <c r="C3" s="1" t="s">
        <v>65</v>
      </c>
      <c r="D3" s="1" t="s">
        <v>0</v>
      </c>
      <c r="H3" s="1" t="s">
        <v>1</v>
      </c>
      <c r="J3" t="s">
        <v>43</v>
      </c>
      <c r="K3" t="s">
        <v>46</v>
      </c>
      <c r="L3" t="s">
        <v>44</v>
      </c>
      <c r="N3" t="s">
        <v>173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604.56000000000006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302.28000000000003</v>
      </c>
      <c r="R3">
        <f t="shared" si="0"/>
        <v>906.84000000000015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>($P3+$Q3+$S3+$W3+$X3)*IF(ISNUMBER(SEARCH("Fat Free",$B3)),0.0036,0.0012)</f>
        <v>1.244208</v>
      </c>
      <c r="Z3" s="5">
        <f>CEILING(CONVERT(($P3+$Q3+$S3+$W3+$X3)*IF(ISNUMBER(SEARCH("Fat Free",$B3)),0.0036,0.0012),"ml","tsp"),0.25)</f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2895.2400000000002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128.07599999999999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128.07599999999999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277.09000000000003</v>
      </c>
      <c r="AE3" s="8">
        <f>$AD3 / (_xlfn.XLOOKUP($J3,Specs!A:A,Specs!B:B,0))</f>
        <v>0.29290697674418609</v>
      </c>
      <c r="AF3" s="7">
        <f>60* ($AA3 / _xlfn.XLOOKUP($J3,Specs!$A:$A,Specs!$B:$B,0))</f>
        <v>183.63044397463003</v>
      </c>
      <c r="AG3" s="7">
        <f>60* (AB3 / _xlfn.XLOOKUP($J3,Specs!$A:$A,Specs!$B:$B,0))</f>
        <v>8.1232135306553896</v>
      </c>
      <c r="AH3" s="7">
        <f>60* (AD3 / _xlfn.XLOOKUP($J3,Specs!$A:$A,Specs!$B:$B,0))</f>
        <v>17.574418604651164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5.1421710257547977</v>
      </c>
      <c r="AJ3" s="10">
        <f>(AI3+Specs!$R$2+Specs!$S$2)*Specs!$N$2</f>
        <v>11.064342051509595</v>
      </c>
    </row>
    <row r="4" spans="1:36" x14ac:dyDescent="0.25">
      <c r="A4" t="s">
        <v>426</v>
      </c>
      <c r="B4" s="1" t="s">
        <v>62</v>
      </c>
      <c r="C4" s="1" t="s">
        <v>65</v>
      </c>
      <c r="D4" s="1" t="s">
        <v>248</v>
      </c>
      <c r="H4" s="1" t="s">
        <v>1</v>
      </c>
      <c r="J4" t="s">
        <v>43</v>
      </c>
      <c r="K4" t="s">
        <v>46</v>
      </c>
      <c r="L4" t="s">
        <v>44</v>
      </c>
      <c r="N4" t="s">
        <v>173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604.56000000000006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302.28000000000003</v>
      </c>
      <c r="R4">
        <f t="shared" ref="R4" si="3">P4+Q4</f>
        <v>906.84000000000015</v>
      </c>
      <c r="S4">
        <f>_xlfn.XLOOKUP($K4,Specs!$D:$D,Specs!$E:$E,0)*15*_xlfn.XLOOKUP($J4,Specs!$A:$A,Specs!$C:$C,0)</f>
        <v>30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100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1.244208</v>
      </c>
      <c r="Z4" s="5">
        <f>CEILING(CONVERT(($P4+$Q4+$S4+$W4+$X4)*IF(ISNUMBER(SEARCH("Fat Free",$B4)),0.0036,0.0012),"ml","tsp"),0.25)</f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2869.5257142857145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110.07599999999999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110.07599999999999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281.37571428571431</v>
      </c>
      <c r="AE4" s="8">
        <f>$AD4 / (_xlfn.XLOOKUP($J4,Specs!A:A,Specs!B:B,0))</f>
        <v>0.29743733011174872</v>
      </c>
      <c r="AF4" s="7">
        <f>60* ($AA4 / _xlfn.XLOOKUP($J4,Specs!$A:$A,Specs!$B:$B,0))</f>
        <v>181.99951676230745</v>
      </c>
      <c r="AG4" s="7">
        <f>60* (AB4 / _xlfn.XLOOKUP($J4,Specs!$A:$A,Specs!$B:$B,0))</f>
        <v>6.9815644820295981</v>
      </c>
      <c r="AH4" s="7">
        <f>60* (AD4 / _xlfn.XLOOKUP($J4,Specs!$A:$A,Specs!$B:$B,0))</f>
        <v>17.846239806704922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4.7816826822204321</v>
      </c>
      <c r="AJ4" s="10">
        <f>(AI4+Specs!$R$2+Specs!$S$2)*Specs!$N$2</f>
        <v>10.343365364440864</v>
      </c>
    </row>
    <row r="5" spans="1:36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25">
      <c r="P6">
        <f>SUM(P2:P4)</f>
        <v>2076.855</v>
      </c>
      <c r="Q6">
        <f>SUM(Q2:Q4)</f>
        <v>1038.4275</v>
      </c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6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6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  <row r="14" spans="1:36" x14ac:dyDescent="0.25">
      <c r="Y14" s="4"/>
      <c r="Z14" s="5"/>
      <c r="AA14" s="6"/>
      <c r="AB14" s="6"/>
      <c r="AC14" s="6"/>
      <c r="AD14" s="7"/>
      <c r="AE14" s="8"/>
      <c r="AF14" s="7"/>
      <c r="AG14" s="7"/>
      <c r="AH14" s="7"/>
      <c r="AI14" s="9"/>
      <c r="AJ14" s="10"/>
    </row>
    <row r="15" spans="1:36" x14ac:dyDescent="0.25">
      <c r="Y15" s="4"/>
      <c r="Z15" s="5"/>
      <c r="AA15" s="6"/>
      <c r="AB15" s="6"/>
      <c r="AC15" s="6"/>
      <c r="AD15" s="7"/>
      <c r="AE15" s="8"/>
      <c r="AF15" s="7"/>
      <c r="AG15" s="7"/>
      <c r="AH15" s="7"/>
      <c r="AI15" s="9"/>
      <c r="AJ15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xr:uid="{430AFC75-F593-4719-8239-8E80C9B092A5}">
          <x14:formula1>
            <xm:f>'Sweetener Mix In Nutrition'!$A:$A</xm:f>
          </x14:formula1>
          <xm:sqref>I5:I15</xm:sqref>
        </x14:dataValidation>
        <x14:dataValidation type="list" allowBlank="1" showInputMessage="1" showErrorMessage="1" xr:uid="{BE507426-DBBB-41E2-AC01-E64ED67CD763}">
          <x14:formula1>
            <xm:f>'Sweetener Mix In Nutrition'!$A:$A</xm:f>
          </x14:formula1>
          <xm:sqref>I16:I446 H5:H232 H2:I4</xm:sqref>
        </x14:dataValidation>
        <x14:dataValidation type="list" allowBlank="1" showInputMessage="1" showErrorMessage="1" xr:uid="{691BF2C6-8108-4C64-8897-5CAD855DBE1D}">
          <x14:formula1>
            <xm:f>'Milk Types Nutrition Per Cup'!$A:$A</xm:f>
          </x14:formula1>
          <xm:sqref>B8:B21 B2:C7 C8:C22</xm:sqref>
        </x14:dataValidation>
        <x14:dataValidation type="list" allowBlank="1" showInputMessage="1" xr:uid="{AD86388B-77D6-4B04-BEFE-0096BC862ACE}">
          <x14:formula1>
            <xm:f>Specs!$F:$F</xm:f>
          </x14:formula1>
          <xm:sqref>H233:H242 N8:N202 O8:O77 N2:O7</xm:sqref>
        </x14:dataValidation>
        <x14:dataValidation type="list" allowBlank="1" showInputMessage="1" showErrorMessage="1" xr:uid="{4F51492E-0080-45D9-99F5-03B13A1CDF23}">
          <x14:formula1>
            <xm:f>Specs!$A:$A</xm:f>
          </x14:formula1>
          <xm:sqref>K22:L35 J2:J35</xm:sqref>
        </x14:dataValidation>
        <x14:dataValidation type="list" allowBlank="1" showInputMessage="1" showErrorMessage="1" xr:uid="{A6507DF9-7EE0-4BC1-9255-ED0E083A1548}">
          <x14:formula1>
            <xm:f>Specs!$H:$H</xm:f>
          </x14:formula1>
          <xm:sqref>M2:M22</xm:sqref>
        </x14:dataValidation>
        <x14:dataValidation type="list" allowBlank="1" showInputMessage="1" xr:uid="{FC6E72B1-E652-4544-A752-286FD0DAD654}">
          <x14:formula1>
            <xm:f>Specs!$D:$D</xm:f>
          </x14:formula1>
          <xm:sqref>K2:L21</xm:sqref>
        </x14:dataValidation>
        <x14:dataValidation type="list" showInputMessage="1" xr:uid="{A3EC7B69-71D3-4DCB-96EB-FC28C2B62801}">
          <x14:formula1>
            <xm:f>'Solid Mix In Nutrition'!$A:$A</xm:f>
          </x14:formula1>
          <xm:sqref>F2:G20</xm:sqref>
        </x14:dataValidation>
        <x14:dataValidation type="list" allowBlank="1" showInputMessage="1" xr:uid="{11299779-2E5B-4EB5-BC24-47D76100C661}">
          <x14:formula1>
            <xm:f>'Liquid Mix In Nutrition'!$A:$A</xm:f>
          </x14:formula1>
          <xm:sqref>D5:D15</xm:sqref>
        </x14:dataValidation>
        <x14:dataValidation type="list" allowBlank="1" xr:uid="{2DF35AB1-4F1C-4D9F-9050-586B5814FFB4}">
          <x14:formula1>
            <xm:f>'Liquid Mix In Nutrition'!$A:$A</xm:f>
          </x14:formula1>
          <xm:sqref>D16:D21 E5:E21 D2:E4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BF36-43E5-4B94-B011-BCA71855C613}">
  <sheetPr codeName="Sheet10"/>
  <dimension ref="A1:AI25"/>
  <sheetViews>
    <sheetView zoomScale="60" zoomScaleNormal="6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9" width="23.7109375" bestFit="1" customWidth="1"/>
    <col min="20" max="21" width="21.28515625" bestFit="1" customWidth="1"/>
    <col min="22" max="23" width="24.140625" bestFit="1" customWidth="1"/>
    <col min="24" max="25" width="24.140625" customWidth="1"/>
    <col min="26" max="27" width="18.7109375" bestFit="1" customWidth="1"/>
    <col min="28" max="28" width="20.28515625" bestFit="1" customWidth="1"/>
    <col min="29" max="30" width="22.28515625" customWidth="1"/>
    <col min="31" max="33" width="22.28515625" bestFit="1" customWidth="1"/>
    <col min="34" max="34" width="11" bestFit="1" customWidth="1"/>
    <col min="35" max="35" width="20.28515625" bestFit="1" customWidth="1"/>
  </cols>
  <sheetData>
    <row r="1" spans="1:35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28</v>
      </c>
      <c r="S1" s="3" t="s">
        <v>29</v>
      </c>
      <c r="T1" s="3" t="s">
        <v>30</v>
      </c>
      <c r="U1" s="3" t="s">
        <v>31</v>
      </c>
      <c r="V1" s="3" t="s">
        <v>32</v>
      </c>
      <c r="W1" s="3" t="s">
        <v>33</v>
      </c>
      <c r="X1" s="3" t="s">
        <v>34</v>
      </c>
      <c r="Y1" s="3" t="s">
        <v>35</v>
      </c>
      <c r="Z1" s="1" t="s">
        <v>36</v>
      </c>
      <c r="AA1" s="1" t="s">
        <v>37</v>
      </c>
      <c r="AB1" s="1" t="s">
        <v>38</v>
      </c>
      <c r="AC1" s="1" t="s">
        <v>39</v>
      </c>
      <c r="AD1" s="1" t="s">
        <v>40</v>
      </c>
      <c r="AE1" s="1" t="s">
        <v>41</v>
      </c>
      <c r="AF1" s="1" t="s">
        <v>187</v>
      </c>
      <c r="AG1" s="1" t="s">
        <v>188</v>
      </c>
      <c r="AH1" s="1" t="s">
        <v>42</v>
      </c>
      <c r="AI1" s="1" t="s">
        <v>172</v>
      </c>
    </row>
    <row r="2" spans="1:35" x14ac:dyDescent="0.25">
      <c r="A2" t="s">
        <v>207</v>
      </c>
      <c r="B2" s="1" t="s">
        <v>62</v>
      </c>
      <c r="C2" s="1" t="s">
        <v>65</v>
      </c>
      <c r="D2" s="1" t="s">
        <v>98</v>
      </c>
      <c r="F2" s="1" t="s">
        <v>106</v>
      </c>
      <c r="H2" s="1" t="s">
        <v>1</v>
      </c>
      <c r="J2" t="s">
        <v>4</v>
      </c>
      <c r="K2" t="s">
        <v>46</v>
      </c>
      <c r="M2" t="s">
        <v>156</v>
      </c>
      <c r="N2" t="s">
        <v>173</v>
      </c>
      <c r="P2">
        <f>(_xlfn.XLOOKUP($J2,Specs!A:A,Specs!B:B,0)-$R2-$S2-(($T2/MAX(1,_xlfn.XLOOKUP($F2,'Solid Mix In Nutrition'!A:A,'Solid Mix In Nutrition'!I:I,1)))*240)-(($U2/MAX(1,_xlfn.XLOOKUP($G2,'Solid Mix In Nutrition'!A:A,'Solid Mix In Nutrition'!I:I,1)))*240))*0.66</f>
        <v>224.23500000000001</v>
      </c>
      <c r="Q2">
        <f>(_xlfn.XLOOKUP($J2,Specs!A:A,Specs!B:B,0)-$R2-$S2-(($T2/MAX(1,_xlfn.XLOOKUP($F2,'Solid Mix In Nutrition'!A:A,'Solid Mix In Nutrition'!I:I,1)))*240)-(($U2/MAX(1,_xlfn.XLOOKUP($G2,'Solid Mix In Nutrition'!A:A,'Solid Mix In Nutrition'!I:I,1)))*240))*0.33</f>
        <v>112.11750000000001</v>
      </c>
      <c r="R2">
        <f>_xlfn.XLOOKUP($K2,Specs!$D:$D,Specs!$E:$E,0)*15*_xlfn.XLOOKUP($J2,Specs!$A:$A,Specs!$C:$C,0)</f>
        <v>15</v>
      </c>
      <c r="S2">
        <f>_xlfn.XLOOKUP($L2,Specs!$D:$D,Specs!$E:$E,0)*15*_xlfn.XLOOKUP($J2,Specs!$A:$A,Specs!$C:$C,0)</f>
        <v>0</v>
      </c>
      <c r="T2">
        <f>( ((_xlfn.XLOOKUP($M2,Specs!$H:$H,Specs!$I:$I,0)*_xlfn.XLOOKUP($J2,Specs!$A:$A,Specs!$B:$B,0))/240) *_xlfn.XLOOKUP($F2,'Solid Mix In Nutrition'!A:A,'Solid Mix In Nutrition'!I:I,0)) *IF(AND(NOT($G2=0), COUNTA($G2)),0.5,1)</f>
        <v>41.880208333333336</v>
      </c>
      <c r="U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V2">
        <f>_xlfn.XLOOKUP($N2,Specs!F:F,Specs!G:G,0)*100*_xlfn.XLOOKUP($J2,Specs!A:A,Specs!C:C,0)</f>
        <v>50</v>
      </c>
      <c r="W2">
        <f>_xlfn.XLOOKUP($O2,Specs!F:F,Specs!G:G,0)*100*_xlfn.XLOOKUP($J2,Specs!A:A,Specs!C:C,0)</f>
        <v>0</v>
      </c>
      <c r="X2" s="4">
        <f>($P2+$Q2+$R2+$V2+$W2)*IF(ISNUMBER(SEARCH("Fat Free",$B2)),0.0036,0.0012)</f>
        <v>0.48162299999999997</v>
      </c>
      <c r="Y2" s="5">
        <f>CEILING(CONVERT(($P2+$Q2+$R2+$V2+$W2)*IF(ISNUMBER(SEARCH("Fat Free",$B2)),0.0036,0.0012),"ml","tsp"),0.25)</f>
        <v>0.25</v>
      </c>
      <c r="Z2" s="6">
        <f>(($P2 / 240) * _xlfn.XLOOKUP($B2,'Milk Types Nutrition Per Cup'!A:A,'Milk Types Nutrition Per Cup'!B:B,0)) +(($Q2 / 240)  * _xlfn.XLOOKUP($C2,'Milk Types Nutrition Per Cup'!A:A,'Milk Types Nutrition Per Cup'!B:B,0)) +(($R2 / 15)  * _xlfn.XLOOKUP($D2,'Liquid Mix In Nutrition'!A:A,'Liquid Mix In Nutrition'!B:B,0))+(($S2 / 15)  * _xlfn.XLOOKUP($E2,'Liquid Mix In Nutrition'!A:A,'Liquid Mix In Nutrition'!B:B,0))+(($T2 /MAX(1, _xlfn.XLOOKUP($F2,'Solid Mix In Nutrition'!A:A,'Solid Mix In Nutrition'!I:I,1)))  * _xlfn.XLOOKUP($F2,'Solid Mix In Nutrition'!A:A,'Solid Mix In Nutrition'!B:B,0))+(($U2 / MAX(1, _xlfn.XLOOKUP($G2,'Solid Mix In Nutrition'!A:A,'Solid Mix In Nutrition'!I:I,1))))+(($V2 / 100)  * _xlfn.XLOOKUP($H2,'Sweetener Mix In Nutrition'!A:A,'Sweetener Mix In Nutrition'!B:B,0))+(($W2 / 100)  * _xlfn.XLOOKUP($I2,'Sweetener Mix In Nutrition'!A:A,'Sweetener Mix In Nutrition'!B:B,0))</f>
        <v>1832.94</v>
      </c>
      <c r="AA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Nutrition'!E:E,0))+(($T2 / MAX(1, _xlfn.XLOOKUP($F2,'Solid Mix In Nutrition'!A:A,'Solid Mix In Nutrition'!I:I,1)))  * _xlfn.XLOOKUP($F2,'Solid Mix In Nutrition'!A:A,'Solid Mix In Nutrition'!E:E,0))+(($U2 / MAX(1, _xlfn.XLOOKUP($G2,'Solid Mix In Nutrition'!A:A,'Solid Mix In Nutrition'!I:I,1)))  * _xlfn.XLOOKUP($G2,'Solid Mix In Nutrition'!A:A,'Solid Mix In Nutrition'!G:G,0))+(($V2 / 100)  * _xlfn.XLOOKUP($H2,'Sweetener Mix In Nutrition'!A:A,'Sweetener Mix In Nutrition'!E:E,0))+(($W2 / 100)  * _xlfn.XLOOKUP($I2,'Sweetener Mix In Nutrition'!A:A,'Sweetener Mix In Nutrition'!E:E,0))</f>
        <v>105.98725000000002</v>
      </c>
      <c r="AB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Nutrition'!E:E,0))+(($V2 / 100)  * _xlfn.XLOOKUP($H2,'Sweetener Mix In Nutrition'!A:A,'Sweetener Mix In Nutrition'!E:E,0))+(($W2 / 100)  * _xlfn.XLOOKUP($I2,'Sweetener Mix In Nutrition'!A:A,'Sweetener Mix In Nutrition'!E:E,0))</f>
        <v>53.737250000000003</v>
      </c>
      <c r="AC2" s="7">
        <f>(($P2 / 240) * _xlfn.XLOOKUP($B2,'Milk Types Nutrition Per Cup'!A:A,'Milk Types Nutrition Per Cup'!C:C,0)) +(($Q2 / 240)  * _xlfn.XLOOKUP($C2,'Milk Types Nutrition Per Cup'!A:A,'Milk Types Nutrition Per Cup'!C:C,0)) +(($R2 / 15)  * _xlfn.XLOOKUP($D2,'Liquid Mix In Nutrition'!A:A,'Liquid Mix In Nutrition'!C:C,0))+(($S2 / 15)  * _xlfn.XLOOKUP($E2,'Liquid Mix In Nutrition'!A:A,'Liquid Mix In Nutrition'!C:C,0))+(($T2 / MAX(1, _xlfn.XLOOKUP($F2,'Solid Mix In Nutrition'!A:A,'Solid Mix In Nutrition'!I:I,1)))  * _xlfn.XLOOKUP($F2,'Solid Mix In Nutrition'!A:A,'Solid Mix In Nutrition'!C:C,0))+(($U2 / MAX(1, _xlfn.XLOOKUP($G2,'Solid Mix In Nutrition'!A:A,'Solid Mix In Nutrition'!I:I,1)))  * _xlfn.XLOOKUP($G2,'Solid Mix In Nutrition'!A:A,'Solid Mix In Nutrition'!C:C,0))+(($V2 / 100)  * _xlfn.XLOOKUP($H2,'Sweetener Mix In Nutrition'!A:A,'Sweetener Mix In Nutrition'!C:C,0))+(($W2 / 100)  * _xlfn.XLOOKUP($I2,'Sweetener Mix In Nutrition'!A:A,'Sweetener Mix In Nutrition'!C:C,0))</f>
        <v>138.52437500000002</v>
      </c>
      <c r="AD2" s="8">
        <f>$AC2 / (_xlfn.XLOOKUP($J2,Specs!A:A,Specs!B:B,0))</f>
        <v>0.29286337209302332</v>
      </c>
      <c r="AE2" s="7">
        <f>60* ($Z2 / _xlfn.XLOOKUP($J2,Specs!$A:$A,Specs!$B:$B,0))</f>
        <v>232.50824524312898</v>
      </c>
      <c r="AF2" s="7">
        <f>60* (AA2 / _xlfn.XLOOKUP($J2,Specs!$A:$A,Specs!$B:$B,0))</f>
        <v>13.444471458773787</v>
      </c>
      <c r="AG2" s="7">
        <f>60* (AC2 / _xlfn.XLOOKUP($J2,Specs!$A:$A,Specs!$B:$B,0))</f>
        <v>17.571802325581398</v>
      </c>
      <c r="AH2" s="9">
        <f>(($P2 / 240) * _xlfn.XLOOKUP($B2,'Milk Types Nutrition Per Cup'!A:A,'Milk Types Nutrition Per Cup'!F:F,0)) +(($Q2 / 240)  * _xlfn.XLOOKUP($C2,'Milk Types Nutrition Per Cup'!A:A,'Milk Types Nutrition Per Cup'!F:F,0)) +(($R2 / 15)  * _xlfn.XLOOKUP($D2,'Liquid Mix In Nutrition'!A:A,'Liquid Mix In Nutrition'!F:F,0))+(($S2 / 15)  * _xlfn.XLOOKUP($E2,'Liquid Mix In Nutrition'!A:A,'Liquid Mix In Nutrition'!F:F,0))+(($T2 / MAX(1, _xlfn.XLOOKUP($F2,'Solid Mix In Nutrition'!A:A,'Solid Mix In Nutrition'!I:I,1)))  * _xlfn.XLOOKUP($F2,'Solid Mix In Nutrition'!A:A,'Solid Mix In Nutrition'!F:F,0))+(($U2 / MAX(1, _xlfn.XLOOKUP($G2,'Solid Mix In Nutrition'!A:A,'Solid Mix In Nutrition'!I:I,1)))  * _xlfn.XLOOKUP($G2,'Solid Mix In Nutrition'!A:A,'Solid Mix In Nutrition'!F:F,0))+(($V2 / 100)  * _xlfn.XLOOKUP($H2,'Sweetener Mix In Nutrition'!A:A,'Sweetener Mix In Nutrition'!F:F,0))+(($W2 / 100)  * _xlfn.XLOOKUP($I2,'Sweetener Mix In Nutrition'!A:A,'Sweetener Mix In Nutrition'!F:F,0))</f>
        <v>2.5986722774439328</v>
      </c>
      <c r="AI2" s="10">
        <f>(AH2+Specs!$R$2+Specs!$S$2)*Specs!$N$2</f>
        <v>5.9773445548878659</v>
      </c>
    </row>
    <row r="3" spans="1:35" x14ac:dyDescent="0.25">
      <c r="A3" t="s">
        <v>208</v>
      </c>
      <c r="B3" s="1" t="s">
        <v>62</v>
      </c>
      <c r="C3" s="1" t="s">
        <v>65</v>
      </c>
      <c r="D3" s="1" t="s">
        <v>0</v>
      </c>
      <c r="F3" s="1" t="s">
        <v>123</v>
      </c>
      <c r="H3" s="1" t="s">
        <v>1</v>
      </c>
      <c r="I3" s="1" t="s">
        <v>136</v>
      </c>
      <c r="J3" t="s">
        <v>4</v>
      </c>
      <c r="K3" t="s">
        <v>157</v>
      </c>
      <c r="M3" t="s">
        <v>156</v>
      </c>
      <c r="N3" t="s">
        <v>158</v>
      </c>
      <c r="O3" t="s">
        <v>158</v>
      </c>
      <c r="P3">
        <f>(_xlfn.XLOOKUP($J3,Specs!A:A,Specs!B:B,0)-$R3-$S3-(($T3/MAX(1,_xlfn.XLOOKUP($F3,'Solid Mix In Nutrition'!A:A,'Solid Mix In Nutrition'!I:I,1)))*240)-(($U3/MAX(1,_xlfn.XLOOKUP($G3,'Solid Mix In Nutrition'!A:A,'Solid Mix In Nutrition'!I:I,1)))*240))*0.66</f>
        <v>307.23</v>
      </c>
      <c r="Q3">
        <f>(_xlfn.XLOOKUP($J3,Specs!A:A,Specs!B:B,0)-$R3-$S3-(($T3/MAX(1,_xlfn.XLOOKUP($F3,'Solid Mix In Nutrition'!A:A,'Solid Mix In Nutrition'!I:I,1)))*240)-(($U3/MAX(1,_xlfn.XLOOKUP($G3,'Solid Mix In Nutrition'!A:A,'Solid Mix In Nutrition'!I:I,1)))*240))*0.33</f>
        <v>153.61500000000001</v>
      </c>
      <c r="R3">
        <f>_xlfn.XLOOKUP($K3,Specs!$D:$D,Specs!$E:$E,0)*15*_xlfn.XLOOKUP($J3,Specs!$A:$A,Specs!$C:$C,0)</f>
        <v>7.5</v>
      </c>
      <c r="S3">
        <f>_xlfn.XLOOKUP($L3,Specs!$D:$D,Specs!$E:$E,0)*15*_xlfn.XLOOKUP($J3,Specs!$A:$A,Specs!$C:$C,0)</f>
        <v>0</v>
      </c>
      <c r="T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U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V3">
        <f>_xlfn.XLOOKUP($N3,Specs!F:F,Specs!G:G,0)*100*_xlfn.XLOOKUP($J3,Specs!A:A,Specs!C:C,0)</f>
        <v>25</v>
      </c>
      <c r="W3">
        <f>_xlfn.XLOOKUP($O3,Specs!F:F,Specs!G:G,0)*100*_xlfn.XLOOKUP($J3,Specs!A:A,Specs!C:C,0)</f>
        <v>25</v>
      </c>
      <c r="X3" s="4">
        <f>($P3+$Q3+$R3+$V3+$W3)*IF(ISNUMBER(SEARCH("Fat Free",$B3)),0.0036,0.0012)</f>
        <v>0.62201399999999996</v>
      </c>
      <c r="Y3" s="5">
        <f>CEILING(CONVERT(($P3+$Q3+$R3+$V3+$W3)*IF(ISNUMBER(SEARCH("Fat Free",$B3)),0.0036,0.0012),"ml","tsp"),0.25)</f>
        <v>0.25</v>
      </c>
      <c r="Z3" s="6">
        <f>(($P3 / 240) * _xlfn.XLOOKUP($B3,'Milk Types Nutrition Per Cup'!A:A,'Milk Types Nutrition Per Cup'!B:B,0)) +(($Q3 / 240)  * _xlfn.XLOOKUP($C3,'Milk Types Nutrition Per Cup'!A:A,'Milk Types Nutrition Per Cup'!B:B,0)) +(($R3 / 15)  * _xlfn.XLOOKUP($D3,'Liquid Mix In Nutrition'!A:A,'Liquid Mix In Nutrition'!B:B,0))+(($S3 / 15)  * _xlfn.XLOOKUP($E3,'Liquid Mix In Nutrition'!A:A,'Liquid Mix In Nutrition'!B:B,0))+(($T3 /MAX(1, _xlfn.XLOOKUP($F3,'Solid Mix In Nutrition'!A:A,'Solid Mix In Nutrition'!I:I,1)))  * _xlfn.XLOOKUP($F3,'Solid Mix In Nutrition'!A:A,'Solid Mix In Nutrition'!B:B,0))+(($U3 / MAX(1, _xlfn.XLOOKUP($G3,'Solid Mix In Nutrition'!A:A,'Solid Mix In Nutrition'!I:I,1))))+(($V3 / 100)  * _xlfn.XLOOKUP($H3,'Sweetener Mix In Nutrition'!A:A,'Sweetener Mix In Nutrition'!B:B,0))+(($W3 / 100)  * _xlfn.XLOOKUP($I3,'Sweetener Mix In Nutrition'!A:A,'Sweetener Mix In Nutrition'!B:B,0))</f>
        <v>1441.92</v>
      </c>
      <c r="AA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Nutrition'!E:E,0))+(($T3 / MAX(1, _xlfn.XLOOKUP($F3,'Solid Mix In Nutrition'!A:A,'Solid Mix In Nutrition'!I:I,1)))  * _xlfn.XLOOKUP($F3,'Solid Mix In Nutrition'!A:A,'Solid Mix In Nutrition'!E:E,0))+(($U3 / MAX(1, _xlfn.XLOOKUP($G3,'Solid Mix In Nutrition'!A:A,'Solid Mix In Nutrition'!I:I,1)))  * _xlfn.XLOOKUP($G3,'Solid Mix In Nutrition'!A:A,'Solid Mix In Nutrition'!G:G,0))+(($V3 / 100)  * _xlfn.XLOOKUP($H3,'Sweetener Mix In Nutrition'!A:A,'Sweetener Mix In Nutrition'!E:E,0))+(($W3 / 100)  * _xlfn.XLOOKUP($I3,'Sweetener Mix In Nutrition'!A:A,'Sweetener Mix In Nutrition'!E:E,0))</f>
        <v>53.3705</v>
      </c>
      <c r="AB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Nutrition'!E:E,0))+(($V3 / 100)  * _xlfn.XLOOKUP($H3,'Sweetener Mix In Nutrition'!A:A,'Sweetener Mix In Nutrition'!E:E,0))+(($W3 / 100)  * _xlfn.XLOOKUP($I3,'Sweetener Mix In Nutrition'!A:A,'Sweetener Mix In Nutrition'!E:E,0))</f>
        <v>53.3705</v>
      </c>
      <c r="AC3" s="7">
        <f>(($P3 / 240) * _xlfn.XLOOKUP($B3,'Milk Types Nutrition Per Cup'!A:A,'Milk Types Nutrition Per Cup'!C:C,0)) +(($Q3 / 240)  * _xlfn.XLOOKUP($C3,'Milk Types Nutrition Per Cup'!A:A,'Milk Types Nutrition Per Cup'!C:C,0)) +(($R3 / 15)  * _xlfn.XLOOKUP($D3,'Liquid Mix In Nutrition'!A:A,'Liquid Mix In Nutrition'!C:C,0))+(($S3 / 15)  * _xlfn.XLOOKUP($E3,'Liquid Mix In Nutrition'!A:A,'Liquid Mix In Nutrition'!C:C,0))+(($T3 / MAX(1, _xlfn.XLOOKUP($F3,'Solid Mix In Nutrition'!A:A,'Solid Mix In Nutrition'!I:I,1)))  * _xlfn.XLOOKUP($F3,'Solid Mix In Nutrition'!A:A,'Solid Mix In Nutrition'!C:C,0))+(($U3 / MAX(1, _xlfn.XLOOKUP($G3,'Solid Mix In Nutrition'!A:A,'Solid Mix In Nutrition'!I:I,1)))  * _xlfn.XLOOKUP($G3,'Solid Mix In Nutrition'!A:A,'Solid Mix In Nutrition'!C:C,0))+(($V3 / 100)  * _xlfn.XLOOKUP($H3,'Sweetener Mix In Nutrition'!A:A,'Sweetener Mix In Nutrition'!C:C,0))+(($W3 / 100)  * _xlfn.XLOOKUP($I3,'Sweetener Mix In Nutrition'!A:A,'Sweetener Mix In Nutrition'!C:C,0))</f>
        <v>140.81375000000003</v>
      </c>
      <c r="AD3" s="8">
        <f>$AC3 / (_xlfn.XLOOKUP($J3,Specs!A:A,Specs!B:B,0))</f>
        <v>0.29770348837209309</v>
      </c>
      <c r="AE3" s="7">
        <f>60* ($Z3 / _xlfn.XLOOKUP($J3,Specs!$A:$A,Specs!$B:$B,0))</f>
        <v>182.90739957716704</v>
      </c>
      <c r="AF3" s="7">
        <f>60* (AA3 / _xlfn.XLOOKUP($J3,Specs!$A:$A,Specs!$B:$B,0))</f>
        <v>6.7700422832980971</v>
      </c>
      <c r="AG3" s="7">
        <f>60* (AC3 / _xlfn.XLOOKUP($J3,Specs!$A:$A,Specs!$B:$B,0))</f>
        <v>17.862209302325585</v>
      </c>
      <c r="AH3" s="9">
        <f>(($P3 / 240) * _xlfn.XLOOKUP($B3,'Milk Types Nutrition Per Cup'!A:A,'Milk Types Nutrition Per Cup'!F:F,0)) +(($Q3 / 240)  * _xlfn.XLOOKUP($C3,'Milk Types Nutrition Per Cup'!A:A,'Milk Types Nutrition Per Cup'!F:F,0)) +(($R3 / 15)  * _xlfn.XLOOKUP($D3,'Liquid Mix In Nutrition'!A:A,'Liquid Mix In Nutrition'!F:F,0))+(($S3 / 15)  * _xlfn.XLOOKUP($E3,'Liquid Mix In Nutrition'!A:A,'Liquid Mix In Nutrition'!F:F,0))+(($T3 / MAX(1, _xlfn.XLOOKUP($F3,'Solid Mix In Nutrition'!A:A,'Solid Mix In Nutrition'!I:I,1)))  * _xlfn.XLOOKUP($F3,'Solid Mix In Nutrition'!A:A,'Solid Mix In Nutrition'!F:F,0))+(($U3 / MAX(1, _xlfn.XLOOKUP($G3,'Solid Mix In Nutrition'!A:A,'Solid Mix In Nutrition'!I:I,1)))  * _xlfn.XLOOKUP($G3,'Solid Mix In Nutrition'!A:A,'Solid Mix In Nutrition'!F:F,0))+(($V3 / 100)  * _xlfn.XLOOKUP($H3,'Sweetener Mix In Nutrition'!A:A,'Sweetener Mix In Nutrition'!F:F,0))+(($W3 / 100)  * _xlfn.XLOOKUP($I3,'Sweetener Mix In Nutrition'!A:A,'Sweetener Mix In Nutrition'!F:F,0))</f>
        <v>2.9875311971483169</v>
      </c>
      <c r="AI3" s="10">
        <f>(AH3+Specs!$R$2+Specs!$S$2)*Specs!$N$2</f>
        <v>6.7550623942966341</v>
      </c>
    </row>
    <row r="4" spans="1:35" x14ac:dyDescent="0.25">
      <c r="X4" s="4"/>
      <c r="Y4" s="5"/>
      <c r="Z4" s="6"/>
      <c r="AA4" s="6"/>
      <c r="AB4" s="6"/>
      <c r="AC4" s="7"/>
      <c r="AD4" s="8"/>
      <c r="AE4" s="7"/>
      <c r="AF4" s="7"/>
      <c r="AG4" s="7"/>
      <c r="AH4" s="9"/>
      <c r="AI4" s="10"/>
    </row>
    <row r="5" spans="1:35" x14ac:dyDescent="0.25">
      <c r="X5" s="4"/>
      <c r="Y5" s="5"/>
      <c r="Z5" s="6"/>
      <c r="AA5" s="6"/>
      <c r="AB5" s="6"/>
      <c r="AC5" s="7"/>
      <c r="AD5" s="8"/>
      <c r="AE5" s="7"/>
      <c r="AF5" s="7"/>
      <c r="AG5" s="7"/>
      <c r="AH5" s="9"/>
      <c r="AI5" s="10"/>
    </row>
    <row r="6" spans="1:35" x14ac:dyDescent="0.25">
      <c r="X6" s="4"/>
      <c r="Y6" s="5"/>
      <c r="Z6" s="6"/>
      <c r="AA6" s="6"/>
      <c r="AB6" s="6"/>
      <c r="AC6" s="7"/>
      <c r="AD6" s="8"/>
      <c r="AE6" s="7"/>
      <c r="AF6" s="7"/>
      <c r="AG6" s="7"/>
      <c r="AH6" s="9"/>
      <c r="AI6" s="10"/>
    </row>
    <row r="7" spans="1:35" x14ac:dyDescent="0.25">
      <c r="X7" s="4"/>
      <c r="Y7" s="5"/>
      <c r="Z7" s="6"/>
      <c r="AA7" s="6"/>
      <c r="AB7" s="6"/>
      <c r="AC7" s="7"/>
      <c r="AD7" s="8"/>
      <c r="AE7" s="7"/>
      <c r="AF7" s="7"/>
      <c r="AG7" s="7"/>
      <c r="AH7" s="9"/>
      <c r="AI7" s="10"/>
    </row>
    <row r="8" spans="1:35" x14ac:dyDescent="0.25">
      <c r="X8" s="4"/>
      <c r="Y8" s="5"/>
      <c r="Z8" s="6"/>
      <c r="AA8" s="6"/>
      <c r="AB8" s="6"/>
      <c r="AC8" s="7"/>
      <c r="AD8" s="8"/>
      <c r="AE8" s="7"/>
      <c r="AF8" s="7"/>
      <c r="AG8" s="7"/>
      <c r="AH8" s="9"/>
      <c r="AI8" s="10"/>
    </row>
    <row r="9" spans="1:35" x14ac:dyDescent="0.25">
      <c r="X9" s="4"/>
      <c r="Y9" s="5"/>
      <c r="Z9" s="6"/>
      <c r="AA9" s="6"/>
      <c r="AB9" s="6"/>
      <c r="AC9" s="7"/>
      <c r="AD9" s="8"/>
      <c r="AE9" s="7"/>
      <c r="AF9" s="7"/>
      <c r="AG9" s="7"/>
      <c r="AH9" s="9"/>
      <c r="AI9" s="10"/>
    </row>
    <row r="10" spans="1:35" x14ac:dyDescent="0.25">
      <c r="X10" s="4"/>
      <c r="Y10" s="5"/>
      <c r="Z10" s="6"/>
      <c r="AA10" s="6"/>
      <c r="AB10" s="6"/>
      <c r="AC10" s="7"/>
      <c r="AD10" s="8"/>
      <c r="AE10" s="7"/>
      <c r="AF10" s="7"/>
      <c r="AG10" s="7"/>
      <c r="AH10" s="9"/>
      <c r="AI10" s="10"/>
    </row>
    <row r="11" spans="1:35" x14ac:dyDescent="0.25">
      <c r="X11" s="4"/>
      <c r="Y11" s="5"/>
      <c r="Z11" s="6"/>
      <c r="AA11" s="6"/>
      <c r="AB11" s="6"/>
      <c r="AC11" s="7"/>
      <c r="AD11" s="8"/>
      <c r="AE11" s="7"/>
      <c r="AF11" s="7"/>
      <c r="AG11" s="7"/>
      <c r="AH11" s="9"/>
      <c r="AI11" s="10"/>
    </row>
    <row r="12" spans="1:35" x14ac:dyDescent="0.25">
      <c r="X12" s="4"/>
      <c r="Y12" s="5"/>
      <c r="Z12" s="6"/>
      <c r="AA12" s="6"/>
      <c r="AB12" s="6"/>
      <c r="AC12" s="7"/>
      <c r="AD12" s="8"/>
      <c r="AE12" s="7"/>
      <c r="AF12" s="7"/>
      <c r="AG12" s="7"/>
      <c r="AH12" s="9"/>
      <c r="AI12" s="10"/>
    </row>
    <row r="13" spans="1:35" x14ac:dyDescent="0.25">
      <c r="X13" s="4"/>
      <c r="Y13" s="5"/>
      <c r="Z13" s="6"/>
      <c r="AA13" s="6"/>
      <c r="AB13" s="6"/>
      <c r="AC13" s="7"/>
      <c r="AD13" s="8"/>
      <c r="AE13" s="7"/>
      <c r="AF13" s="7"/>
      <c r="AG13" s="7"/>
      <c r="AH13" s="9"/>
      <c r="AI13" s="10"/>
    </row>
    <row r="14" spans="1:35" x14ac:dyDescent="0.25">
      <c r="X14" s="4"/>
      <c r="Y14" s="5"/>
      <c r="Z14" s="6"/>
      <c r="AA14" s="6"/>
      <c r="AB14" s="6"/>
      <c r="AC14" s="7"/>
      <c r="AD14" s="8"/>
      <c r="AE14" s="7"/>
      <c r="AF14" s="7"/>
      <c r="AG14" s="7"/>
      <c r="AH14" s="9"/>
      <c r="AI14" s="10"/>
    </row>
    <row r="15" spans="1:35" x14ac:dyDescent="0.25">
      <c r="P15" t="e">
        <f>(_xlfn.XLOOKUP($J15,Specs!A:A,Specs!B:B,0)-$R15-$S15-(($T15/MAX(1,_xlfn.XLOOKUP($F15,'Solid Mix In Nutrition'!A:A,'Solid Mix In Nutrition'!I:I,1)))*240)-(($U15/MAX(1,_xlfn.XLOOKUP($G15,'Solid Mix In Nutrition'!A:A,'Solid Mix In Nutrition'!I:I,1)))*240))*0.66</f>
        <v>#VALUE!</v>
      </c>
      <c r="Q15" t="e">
        <f>(_xlfn.XLOOKUP($J15,Specs!A:A,Specs!B:B,0)-$R15-$S15-(($T15/MAX(1,_xlfn.XLOOKUP($F15,'Solid Mix In Nutrition'!A:A,'Solid Mix In Nutrition'!I:I,1)))*240)-(($U15/MAX(1,_xlfn.XLOOKUP($G15,'Solid Mix In Nutrition'!A:A,'Solid Mix In Nutrition'!I:I,1)))*240))*0.33</f>
        <v>#VALUE!</v>
      </c>
      <c r="R15" t="e">
        <f>_xlfn.XLOOKUP($K15,Specs!$D:$D,Specs!$E:$E,0)*15*_xlfn.XLOOKUP($J15,Specs!$A:$A,Specs!$C:$C,0)</f>
        <v>#VALUE!</v>
      </c>
      <c r="S15">
        <f>_xlfn.XLOOKUP($L15,Specs!$D:$D,Specs!$E:$E,0)*15*_xlfn.XLOOKUP($J15,Specs!$A:$A,Specs!$C:$C,0)</f>
        <v>0</v>
      </c>
      <c r="T15">
        <f>( ((_xlfn.XLOOKUP($M15,Specs!$H:$H,Specs!$I:$I,0)*_xlfn.XLOOKUP($J15,Specs!$A:$A,Specs!$B:$B,0))/240) *_xlfn.XLOOKUP($F15,'Solid Mix In Nutrition'!A:A,'Solid Mix In Nutrition'!I:I,0)) *IF(AND(NOT($G15=0), COUNTA($G15)),0.5,1)</f>
        <v>0</v>
      </c>
      <c r="U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V15">
        <f>_xlfn.XLOOKUP($N15,Specs!F:F,Specs!G:G,0)*100*_xlfn.XLOOKUP($J15,Specs!A:A,Specs!C:C,0)</f>
        <v>0</v>
      </c>
      <c r="W15" t="e">
        <f>_xlfn.XLOOKUP($O15,Specs!F:F,Specs!G:G,0)*100*_xlfn.XLOOKUP($J15,Specs!A:A,Specs!C:C,0)</f>
        <v>#VALUE!</v>
      </c>
      <c r="X15" s="4" t="e">
        <f t="shared" ref="X15:X25" si="0">($P15+$Q15+$R15+$V15+$W15)*IF(ISNUMBER(SEARCH("Fat Free",$B15)),0.0036,0.0012)</f>
        <v>#VALUE!</v>
      </c>
      <c r="Y15" s="5" t="e">
        <f t="shared" ref="Y15:Y25" si="1">CEILING(CONVERT(($P15+$Q15+$R15+$V15+$W15)*IF(ISNUMBER(SEARCH("Fat Free",$B15)),0.0036,0.0012),"ml","tsp"),0.25)</f>
        <v>#VALUE!</v>
      </c>
      <c r="Z15" s="6" t="e">
        <f>(($P15 / 240) * _xlfn.XLOOKUP($B15,'Milk Types Nutrition Per Cup'!A:A,'Milk Types Nutrition Per Cup'!B:B,0)) +(($Q15 / 240)  * _xlfn.XLOOKUP($C15,'Milk Types Nutrition Per Cup'!A:A,'Milk Types Nutrition Per Cup'!B:B,0)) +(($R15 / 15)  * _xlfn.XLOOKUP($D15,'Liquid Mix In Nutrition'!A:A,'Liquid Mix In Nutrition'!B:B,0))+(($S15 / 15)  * _xlfn.XLOOKUP($E15,'Liquid Mix In Nutrition'!A:A,'Liquid Mix In Nutrition'!B:B,0))+(($T15 /MAX(1, _xlfn.XLOOKUP($F15,'Solid Mix In Nutrition'!A:A,'Solid Mix In Nutrition'!I:I,1)))  * _xlfn.XLOOKUP($F15,'Solid Mix In Nutrition'!A:A,'Solid Mix In Nutrition'!B:B,0))+(($U15 / MAX(1, _xlfn.XLOOKUP($G15,'Solid Mix In Nutrition'!A:A,'Solid Mix In Nutrition'!I:I,1))))+(($V15 / 100)  * _xlfn.XLOOKUP($H15,'Sweetener Mix In Nutrition'!A:A,'Sweetener Mix In Nutrition'!B:B,0))+(($W15 / 100)  * _xlfn.XLOOKUP($I15,'Sweetener Mix In Nutrition'!A:A,'Sweetener Mix In Nutrition'!B:B,0))</f>
        <v>#VALUE!</v>
      </c>
      <c r="AA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Nutrition'!E:E,0))+(($T15 / MAX(1, _xlfn.XLOOKUP($F15,'Solid Mix In Nutrition'!A:A,'Solid Mix In Nutrition'!I:I,1)))  * _xlfn.XLOOKUP($F15,'Solid Mix In Nutrition'!A:A,'Solid Mix In Nutrition'!E:E,0))+(($U15 / MAX(1, _xlfn.XLOOKUP($G15,'Solid Mix In Nutrition'!A:A,'Solid Mix In Nutrition'!I:I,1)))  * _xlfn.XLOOKUP($G15,'Solid Mix In Nutrition'!A:A,'Solid Mix In Nutrition'!G:G,0))+(($V15 / 100)  * _xlfn.XLOOKUP($H15,'Sweetener Mix In Nutrition'!A:A,'Sweetener Mix In Nutrition'!E:E,0))+(($W15 / 100)  * _xlfn.XLOOKUP($I15,'Sweetener Mix In Nutrition'!A:A,'Sweetener Mix In Nutrition'!E:E,0))</f>
        <v>#VALUE!</v>
      </c>
      <c r="AB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Nutrition'!E:E,0))+(($V15 / 100)  * _xlfn.XLOOKUP($H15,'Sweetener Mix In Nutrition'!A:A,'Sweetener Mix In Nutrition'!E:E,0))+(($W15 / 100)  * _xlfn.XLOOKUP($I15,'Sweetener Mix In Nutrition'!A:A,'Sweetener Mix In Nutrition'!E:E,0))</f>
        <v>#VALUE!</v>
      </c>
      <c r="AC15" s="7" t="e">
        <f>(($P15 / 240) * _xlfn.XLOOKUP($B15,'Milk Types Nutrition Per Cup'!A:A,'Milk Types Nutrition Per Cup'!C:C,0)) +(($Q15 / 240)  * _xlfn.XLOOKUP($C15,'Milk Types Nutrition Per Cup'!A:A,'Milk Types Nutrition Per Cup'!C:C,0)) +(($R15 / 15)  * _xlfn.XLOOKUP($D15,'Liquid Mix In Nutrition'!A:A,'Liquid Mix In Nutrition'!C:C,0))+(($S15 / 15)  * _xlfn.XLOOKUP($E15,'Liquid Mix In Nutrition'!A:A,'Liquid Mix In Nutrition'!C:C,0))+(($T15 / MAX(1, _xlfn.XLOOKUP($F15,'Solid Mix In Nutrition'!A:A,'Solid Mix In Nutrition'!I:I,1)))  * _xlfn.XLOOKUP($F15,'Solid Mix In Nutrition'!A:A,'Solid Mix In Nutrition'!C:C,0))+(($U15 / MAX(1, _xlfn.XLOOKUP($G15,'Solid Mix In Nutrition'!A:A,'Solid Mix In Nutrition'!I:I,1)))  * _xlfn.XLOOKUP($G15,'Solid Mix In Nutrition'!A:A,'Solid Mix In Nutrition'!C:C,0))+(($V15 / 100)  * _xlfn.XLOOKUP($H15,'Sweetener Mix In Nutrition'!A:A,'Sweetener Mix In Nutrition'!C:C,0))+(($W15 / 100)  * _xlfn.XLOOKUP($I15,'Sweetener Mix In Nutrition'!A:A,'Sweetener Mix In Nutrition'!C:C,0))</f>
        <v>#VALUE!</v>
      </c>
      <c r="AD15" s="8" t="e">
        <f>$AC15 / (_xlfn.XLOOKUP($J15,Specs!A:A,Specs!B:B,0))</f>
        <v>#VALUE!</v>
      </c>
      <c r="AE15" s="7" t="e">
        <f>60* ($Z15 / _xlfn.XLOOKUP($J15,Specs!$A:$A,Specs!$B:$B,0))</f>
        <v>#VALUE!</v>
      </c>
      <c r="AF15" s="7" t="e">
        <f>60* (AA15 / _xlfn.XLOOKUP($J15,Specs!$A:$A,Specs!$B:$B,0))</f>
        <v>#VALUE!</v>
      </c>
      <c r="AG15" s="7" t="e">
        <f>60* (AC15 / _xlfn.XLOOKUP($J15,Specs!$A:$A,Specs!$B:$B,0))</f>
        <v>#VALUE!</v>
      </c>
      <c r="AH15" s="9" t="e">
        <f>(($P15 / 240) * _xlfn.XLOOKUP($B15,'Milk Types Nutrition Per Cup'!A:A,'Milk Types Nutrition Per Cup'!F:F,0)) +(($Q15 / 240)  * _xlfn.XLOOKUP($C15,'Milk Types Nutrition Per Cup'!A:A,'Milk Types Nutrition Per Cup'!F:F,0)) +(($R15 / 15)  * _xlfn.XLOOKUP($D15,'Liquid Mix In Nutrition'!A:A,'Liquid Mix In Nutrition'!F:F,0))+(($S15 / 15)  * _xlfn.XLOOKUP($E15,'Liquid Mix In Nutrition'!A:A,'Liquid Mix In Nutrition'!F:F,0))+(($T15 / MAX(1, _xlfn.XLOOKUP($F15,'Solid Mix In Nutrition'!A:A,'Solid Mix In Nutrition'!I:I,1)))  * _xlfn.XLOOKUP($F15,'Solid Mix In Nutrition'!A:A,'Solid Mix In Nutrition'!F:F,0))+(($U15 / MAX(1, _xlfn.XLOOKUP($G15,'Solid Mix In Nutrition'!A:A,'Solid Mix In Nutrition'!I:I,1)))  * _xlfn.XLOOKUP($G15,'Solid Mix In Nutrition'!A:A,'Solid Mix In Nutrition'!F:F,0))+(($V15 / 100)  * _xlfn.XLOOKUP($H15,'Sweetener Mix In Nutrition'!A:A,'Sweetener Mix In Nutrition'!F:F,0))+(($W15 / 100)  * _xlfn.XLOOKUP($I15,'Sweetener Mix In Nutrition'!A:A,'Sweetener Mix In Nutrition'!F:F,0))</f>
        <v>#VALUE!</v>
      </c>
      <c r="AI15" s="10" t="e">
        <f>(AH15+Specs!$R$2+Specs!$S$2)*Specs!$N$2</f>
        <v>#VALUE!</v>
      </c>
    </row>
    <row r="16" spans="1:35" x14ac:dyDescent="0.25">
      <c r="P16">
        <f>(_xlfn.XLOOKUP($J16,Specs!A:A,Specs!B:B,0)-$R16-$S16-(($T16/MAX(1,_xlfn.XLOOKUP($F16,'Solid Mix In Nutrition'!A:A,'Solid Mix In Nutrition'!I:I,1)))*240)-(($U16/MAX(1,_xlfn.XLOOKUP($G16,'Solid Mix In Nutrition'!A:A,'Solid Mix In Nutrition'!I:I,1)))*240))*0.66</f>
        <v>0</v>
      </c>
      <c r="Q16">
        <f>(_xlfn.XLOOKUP($J16,Specs!A:A,Specs!B:B,0)-$R16-$S16-(($T16/MAX(1,_xlfn.XLOOKUP($F16,'Solid Mix In Nutrition'!A:A,'Solid Mix In Nutrition'!I:I,1)))*240)-(($U16/MAX(1,_xlfn.XLOOKUP($G16,'Solid Mix In Nutrition'!A:A,'Solid Mix In Nutrition'!I:I,1)))*240))*0.33</f>
        <v>0</v>
      </c>
      <c r="R16">
        <f>_xlfn.XLOOKUP($K16,Specs!$D:$D,Specs!$E:$E,0)*15*_xlfn.XLOOKUP($J16,Specs!$A:$A,Specs!$C:$C,0)</f>
        <v>0</v>
      </c>
      <c r="S16">
        <f>_xlfn.XLOOKUP($L16,Specs!$D:$D,Specs!$E:$E,0)*15*_xlfn.XLOOKUP($J16,Specs!$A:$A,Specs!$C:$C,0)</f>
        <v>0</v>
      </c>
      <c r="T16">
        <f>( ((_xlfn.XLOOKUP($M16,Specs!$H:$H,Specs!$I:$I,0)*_xlfn.XLOOKUP($J16,Specs!$A:$A,Specs!$B:$B,0))/240) *_xlfn.XLOOKUP($F16,'Solid Mix In Nutrition'!A:A,'Solid Mix In Nutrition'!I:I,0)) *IF(AND(NOT($G16=0), COUNTA($G16)),0.5,1)</f>
        <v>0</v>
      </c>
      <c r="U16">
        <f>( ((_xlfn.XLOOKUP($M16,Specs!$H:$H,Specs!$I:$I,0)*_xlfn.XLOOKUP($J16,Specs!$A:$A,Specs!$B:$B,0))/240) *_xlfn.XLOOKUP($G16,'Solid Mix In Nutrition'!A:A,'Solid Mix In Nutrition'!I:I,0)) *IF(AND(NOT($G16=0), COUNTA($G16)),0.5,0)</f>
        <v>0</v>
      </c>
      <c r="V16">
        <f>_xlfn.XLOOKUP($N16,Specs!F:F,Specs!G:G,0)*100*_xlfn.XLOOKUP($J16,Specs!A:A,Specs!C:C,0)</f>
        <v>0</v>
      </c>
      <c r="W16">
        <f>_xlfn.XLOOKUP($O16,Specs!F:F,Specs!G:G,0)*100*_xlfn.XLOOKUP($J16,Specs!A:A,Specs!C:C,0)</f>
        <v>0</v>
      </c>
      <c r="X16" s="4">
        <f t="shared" si="0"/>
        <v>0</v>
      </c>
      <c r="Y16" s="5">
        <f t="shared" si="1"/>
        <v>0</v>
      </c>
      <c r="Z16" s="6">
        <f>(($P16 / 240) * _xlfn.XLOOKUP($B16,'Milk Types Nutrition Per Cup'!A:A,'Milk Types Nutrition Per Cup'!B:B,0)) +(($Q16 / 240)  * _xlfn.XLOOKUP($C16,'Milk Types Nutrition Per Cup'!A:A,'Milk Types Nutrition Per Cup'!B:B,0)) +(($R16 / 15)  * _xlfn.XLOOKUP($D16,'Liquid Mix In Nutrition'!A:A,'Liquid Mix In Nutrition'!B:B,0))+(($S16 / 15)  * _xlfn.XLOOKUP($E16,'Liquid Mix In Nutrition'!A:A,'Liquid Mix In Nutrition'!B:B,0))+(($T16 /MAX(1, _xlfn.XLOOKUP($F16,'Solid Mix In Nutrition'!A:A,'Solid Mix In Nutrition'!I:I,1)))  * _xlfn.XLOOKUP($F16,'Solid Mix In Nutrition'!A:A,'Solid Mix In Nutrition'!B:B,0))+(($U16 / MAX(1, _xlfn.XLOOKUP($G16,'Solid Mix In Nutrition'!A:A,'Solid Mix In Nutrition'!I:I,1))))+(($V16 / 100)  * _xlfn.XLOOKUP($H16,'Sweetener Mix In Nutrition'!A:A,'Sweetener Mix In Nutrition'!B:B,0))+(($W16 / 100)  * _xlfn.XLOOKUP($I16,'Sweetener Mix In Nutrition'!A:A,'Sweetener Mix In Nutrition'!B:B,0))</f>
        <v>0</v>
      </c>
      <c r="AA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Nutrition'!E:E,0))+(($T16 / MAX(1, _xlfn.XLOOKUP($F16,'Solid Mix In Nutrition'!A:A,'Solid Mix In Nutrition'!I:I,1)))  * _xlfn.XLOOKUP($F16,'Solid Mix In Nutrition'!A:A,'Solid Mix In Nutrition'!E:E,0))+(($U16 / MAX(1, _xlfn.XLOOKUP($G16,'Solid Mix In Nutrition'!A:A,'Solid Mix In Nutrition'!I:I,1)))  * _xlfn.XLOOKUP($G16,'Solid Mix In Nutrition'!A:A,'Solid Mix In Nutrition'!G:G,0))+(($V16 / 100)  * _xlfn.XLOOKUP($H16,'Sweetener Mix In Nutrition'!A:A,'Sweetener Mix In Nutrition'!E:E,0))+(($W16 / 100)  * _xlfn.XLOOKUP($I16,'Sweetener Mix In Nutrition'!A:A,'Sweetener Mix In Nutrition'!E:E,0))</f>
        <v>0</v>
      </c>
      <c r="AB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Nutrition'!E:E,0))+(($V16 / 100)  * _xlfn.XLOOKUP($H16,'Sweetener Mix In Nutrition'!A:A,'Sweetener Mix In Nutrition'!E:E,0))+(($W16 / 100)  * _xlfn.XLOOKUP($I16,'Sweetener Mix In Nutrition'!A:A,'Sweetener Mix In Nutrition'!E:E,0))</f>
        <v>0</v>
      </c>
      <c r="AC16" s="7">
        <f>(($P16 / 240) * _xlfn.XLOOKUP($B16,'Milk Types Nutrition Per Cup'!A:A,'Milk Types Nutrition Per Cup'!C:C,0)) +(($Q16 / 240)  * _xlfn.XLOOKUP($C16,'Milk Types Nutrition Per Cup'!A:A,'Milk Types Nutrition Per Cup'!C:C,0)) +(($R16 / 15)  * _xlfn.XLOOKUP($D16,'Liquid Mix In Nutrition'!A:A,'Liquid Mix In Nutrition'!C:C,0))+(($S16 / 15)  * _xlfn.XLOOKUP($E16,'Liquid Mix In Nutrition'!A:A,'Liquid Mix In Nutrition'!C:C,0))+(($T16 / MAX(1, _xlfn.XLOOKUP($F16,'Solid Mix In Nutrition'!A:A,'Solid Mix In Nutrition'!I:I,1)))  * _xlfn.XLOOKUP($F16,'Solid Mix In Nutrition'!A:A,'Solid Mix In Nutrition'!C:C,0))+(($U16 / MAX(1, _xlfn.XLOOKUP($G16,'Solid Mix In Nutrition'!A:A,'Solid Mix In Nutrition'!I:I,1)))  * _xlfn.XLOOKUP($G16,'Solid Mix In Nutrition'!A:A,'Solid Mix In Nutrition'!C:C,0))+(($V16 / 100)  * _xlfn.XLOOKUP($H16,'Sweetener Mix In Nutrition'!A:A,'Sweetener Mix In Nutrition'!C:C,0))+(($W16 / 100)  * _xlfn.XLOOKUP($I16,'Sweetener Mix In Nutrition'!A:A,'Sweetener Mix In Nutrition'!C:C,0))</f>
        <v>0</v>
      </c>
      <c r="AD16" s="8" t="e">
        <f>$AC16 / (_xlfn.XLOOKUP($J16,Specs!A:A,Specs!B:B,0))</f>
        <v>#DIV/0!</v>
      </c>
      <c r="AE16" s="7" t="e">
        <f>60* ($Z16 / _xlfn.XLOOKUP($J16,Specs!$A:$A,Specs!$B:$B,0))</f>
        <v>#DIV/0!</v>
      </c>
      <c r="AF16" s="7" t="e">
        <f>60* (AA16 / _xlfn.XLOOKUP($J16,Specs!$A:$A,Specs!$B:$B,0))</f>
        <v>#DIV/0!</v>
      </c>
      <c r="AG16" s="7" t="e">
        <f>60* (AC16 / _xlfn.XLOOKUP($J16,Specs!$A:$A,Specs!$B:$B,0))</f>
        <v>#DIV/0!</v>
      </c>
      <c r="AH16" s="9">
        <f>(($P16 / 240) * _xlfn.XLOOKUP($B16,'Milk Types Nutrition Per Cup'!A:A,'Milk Types Nutrition Per Cup'!F:F,0)) +(($Q16 / 240)  * _xlfn.XLOOKUP($C16,'Milk Types Nutrition Per Cup'!A:A,'Milk Types Nutrition Per Cup'!F:F,0)) +(($R16 / 15)  * _xlfn.XLOOKUP($D16,'Liquid Mix In Nutrition'!A:A,'Liquid Mix In Nutrition'!F:F,0))+(($S16 / 15)  * _xlfn.XLOOKUP($E16,'Liquid Mix In Nutrition'!A:A,'Liquid Mix In Nutrition'!F:F,0))+(($T16 / MAX(1, _xlfn.XLOOKUP($F16,'Solid Mix In Nutrition'!A:A,'Solid Mix In Nutrition'!I:I,1)))  * _xlfn.XLOOKUP($F16,'Solid Mix In Nutrition'!A:A,'Solid Mix In Nutrition'!F:F,0))+(($U16 / MAX(1, _xlfn.XLOOKUP($G16,'Solid Mix In Nutrition'!A:A,'Solid Mix In Nutrition'!I:I,1)))  * _xlfn.XLOOKUP($G16,'Solid Mix In Nutrition'!A:A,'Solid Mix In Nutrition'!F:F,0))+(($V16 / 100)  * _xlfn.XLOOKUP($H16,'Sweetener Mix In Nutrition'!A:A,'Sweetener Mix In Nutrition'!F:F,0))+(($W16 / 100)  * _xlfn.XLOOKUP($I16,'Sweetener Mix In Nutrition'!A:A,'Sweetener Mix In Nutrition'!F:F,0))</f>
        <v>0</v>
      </c>
      <c r="AI16" s="10">
        <f>(AH16+Specs!$R$2+Specs!$S$2)*Specs!$N$2</f>
        <v>0.78</v>
      </c>
    </row>
    <row r="17" spans="16:35" x14ac:dyDescent="0.25">
      <c r="P17">
        <f>(_xlfn.XLOOKUP($J17,Specs!A:A,Specs!B:B,0)-$R17-$S17-(($T17/MAX(1,_xlfn.XLOOKUP($F17,'Solid Mix In Nutrition'!A:A,'Solid Mix In Nutrition'!I:I,1)))*240)-(($U17/MAX(1,_xlfn.XLOOKUP($G17,'Solid Mix In Nutrition'!A:A,'Solid Mix In Nutrition'!I:I,1)))*240))*0.66</f>
        <v>0</v>
      </c>
      <c r="Q17">
        <f>(_xlfn.XLOOKUP($J17,Specs!A:A,Specs!B:B,0)-$R17-$S17-(($T17/MAX(1,_xlfn.XLOOKUP($F17,'Solid Mix In Nutrition'!A:A,'Solid Mix In Nutrition'!I:I,1)))*240)-(($U17/MAX(1,_xlfn.XLOOKUP($G17,'Solid Mix In Nutrition'!A:A,'Solid Mix In Nutrition'!I:I,1)))*240))*0.33</f>
        <v>0</v>
      </c>
      <c r="R17">
        <f>_xlfn.XLOOKUP($K17,Specs!$D:$D,Specs!$E:$E,0)*15*_xlfn.XLOOKUP($J17,Specs!$A:$A,Specs!$C:$C,0)</f>
        <v>0</v>
      </c>
      <c r="S17">
        <f>_xlfn.XLOOKUP($L17,Specs!$D:$D,Specs!$E:$E,0)*15*_xlfn.XLOOKUP($J17,Specs!$A:$A,Specs!$C:$C,0)</f>
        <v>0</v>
      </c>
      <c r="T17">
        <f>( ((_xlfn.XLOOKUP($M17,Specs!$H:$H,Specs!$I:$I,0)*_xlfn.XLOOKUP($J17,Specs!$A:$A,Specs!$B:$B,0))/240) *_xlfn.XLOOKUP($F17,'Solid Mix In Nutrition'!A:A,'Solid Mix In Nutrition'!I:I,0)) *IF(AND(NOT($G17=0), COUNTA($G17)),0.5,1)</f>
        <v>0</v>
      </c>
      <c r="U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V17">
        <f>_xlfn.XLOOKUP($N17,Specs!F:F,Specs!G:G,0)*100*_xlfn.XLOOKUP($J17,Specs!A:A,Specs!C:C,0)</f>
        <v>0</v>
      </c>
      <c r="W17">
        <f>_xlfn.XLOOKUP($O17,Specs!F:F,Specs!G:G,0)*100*_xlfn.XLOOKUP($J17,Specs!A:A,Specs!C:C,0)</f>
        <v>0</v>
      </c>
      <c r="X17" s="4">
        <f t="shared" si="0"/>
        <v>0</v>
      </c>
      <c r="Y17" s="5">
        <f t="shared" si="1"/>
        <v>0</v>
      </c>
      <c r="Z17" s="6">
        <f>(($P17 / 240) * _xlfn.XLOOKUP($B17,'Milk Types Nutrition Per Cup'!A:A,'Milk Types Nutrition Per Cup'!B:B,0)) +(($Q17 / 240)  * _xlfn.XLOOKUP($C17,'Milk Types Nutrition Per Cup'!A:A,'Milk Types Nutrition Per Cup'!B:B,0)) +(($R17 / 15)  * _xlfn.XLOOKUP($D17,'Liquid Mix In Nutrition'!A:A,'Liquid Mix In Nutrition'!B:B,0))+(($S17 / 15)  * _xlfn.XLOOKUP($E17,'Liquid Mix In Nutrition'!A:A,'Liquid Mix In Nutrition'!B:B,0))+(($T17 /MAX(1, _xlfn.XLOOKUP($F17,'Solid Mix In Nutrition'!A:A,'Solid Mix In Nutrition'!I:I,1)))  * _xlfn.XLOOKUP($F17,'Solid Mix In Nutrition'!A:A,'Solid Mix In Nutrition'!B:B,0))+(($U17 / MAX(1, _xlfn.XLOOKUP($G17,'Solid Mix In Nutrition'!A:A,'Solid Mix In Nutrition'!I:I,1))))+(($V17 / 100)  * _xlfn.XLOOKUP($H17,'Sweetener Mix In Nutrition'!A:A,'Sweetener Mix In Nutrition'!B:B,0))+(($W17 / 100)  * _xlfn.XLOOKUP($I17,'Sweetener Mix In Nutrition'!A:A,'Sweetener Mix In Nutrition'!B:B,0))</f>
        <v>0</v>
      </c>
      <c r="AA17" s="6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Nutrition'!E:E,0))+(($T17 / MAX(1, _xlfn.XLOOKUP($F17,'Solid Mix In Nutrition'!A:A,'Solid Mix In Nutrition'!I:I,1)))  * _xlfn.XLOOKUP($F17,'Solid Mix In Nutrition'!A:A,'Solid Mix In Nutrition'!E:E,0))+(($U17 / MAX(1, _xlfn.XLOOKUP($G17,'Solid Mix In Nutrition'!A:A,'Solid Mix In Nutrition'!I:I,1)))  * _xlfn.XLOOKUP($G17,'Solid Mix In Nutrition'!A:A,'Solid Mix In Nutrition'!G:G,0))+(($V17 / 100)  * _xlfn.XLOOKUP($H17,'Sweetener Mix In Nutrition'!A:A,'Sweetener Mix In Nutrition'!E:E,0))+(($W17 / 100)  * _xlfn.XLOOKUP($I17,'Sweetener Mix In Nutrition'!A:A,'Sweetener Mix In Nutrition'!E:E,0))</f>
        <v>0</v>
      </c>
      <c r="AB17" s="6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Nutrition'!E:E,0))+(($V17 / 100)  * _xlfn.XLOOKUP($H17,'Sweetener Mix In Nutrition'!A:A,'Sweetener Mix In Nutrition'!E:E,0))+(($W17 / 100)  * _xlfn.XLOOKUP($I17,'Sweetener Mix In Nutrition'!A:A,'Sweetener Mix In Nutrition'!E:E,0))</f>
        <v>0</v>
      </c>
      <c r="AC17" s="7">
        <f>(($P17 / 240) * _xlfn.XLOOKUP($B17,'Milk Types Nutrition Per Cup'!A:A,'Milk Types Nutrition Per Cup'!C:C,0)) +(($Q17 / 240)  * _xlfn.XLOOKUP($C17,'Milk Types Nutrition Per Cup'!A:A,'Milk Types Nutrition Per Cup'!C:C,0)) +(($R17 / 15)  * _xlfn.XLOOKUP($D17,'Liquid Mix In Nutrition'!A:A,'Liquid Mix In Nutrition'!C:C,0))+(($S17 / 15)  * _xlfn.XLOOKUP($E17,'Liquid Mix In Nutrition'!A:A,'Liquid Mix In Nutrition'!C:C,0))+(($T17 / MAX(1, _xlfn.XLOOKUP($F17,'Solid Mix In Nutrition'!A:A,'Solid Mix In Nutrition'!I:I,1)))  * _xlfn.XLOOKUP($F17,'Solid Mix In Nutrition'!A:A,'Solid Mix In Nutrition'!C:C,0))+(($U17 / MAX(1, _xlfn.XLOOKUP($G17,'Solid Mix In Nutrition'!A:A,'Solid Mix In Nutrition'!I:I,1)))  * _xlfn.XLOOKUP($G17,'Solid Mix In Nutrition'!A:A,'Solid Mix In Nutrition'!C:C,0))+(($V17 / 100)  * _xlfn.XLOOKUP($H17,'Sweetener Mix In Nutrition'!A:A,'Sweetener Mix In Nutrition'!C:C,0))+(($W17 / 100)  * _xlfn.XLOOKUP($I17,'Sweetener Mix In Nutrition'!A:A,'Sweetener Mix In Nutrition'!C:C,0))</f>
        <v>0</v>
      </c>
      <c r="AD17" s="8" t="e">
        <f>$AC17 / (_xlfn.XLOOKUP($J17,Specs!A:A,Specs!B:B,0))</f>
        <v>#DIV/0!</v>
      </c>
      <c r="AE17" s="7" t="e">
        <f>60* ($Z17 / _xlfn.XLOOKUP($J17,Specs!$A:$A,Specs!$B:$B,0))</f>
        <v>#DIV/0!</v>
      </c>
      <c r="AF17" s="7" t="e">
        <f>60* (AA17 / _xlfn.XLOOKUP($J17,Specs!$A:$A,Specs!$B:$B,0))</f>
        <v>#DIV/0!</v>
      </c>
      <c r="AG17" s="7" t="e">
        <f>60* (AC17 / _xlfn.XLOOKUP($J17,Specs!$A:$A,Specs!$B:$B,0))</f>
        <v>#DIV/0!</v>
      </c>
      <c r="AH17" s="9">
        <f>(($P17 / 240) * _xlfn.XLOOKUP($B17,'Milk Types Nutrition Per Cup'!A:A,'Milk Types Nutrition Per Cup'!F:F,0)) +(($Q17 / 240)  * _xlfn.XLOOKUP($C17,'Milk Types Nutrition Per Cup'!A:A,'Milk Types Nutrition Per Cup'!F:F,0)) +(($R17 / 15)  * _xlfn.XLOOKUP($D17,'Liquid Mix In Nutrition'!A:A,'Liquid Mix In Nutrition'!F:F,0))+(($S17 / 15)  * _xlfn.XLOOKUP($E17,'Liquid Mix In Nutrition'!A:A,'Liquid Mix In Nutrition'!F:F,0))+(($T17 / MAX(1, _xlfn.XLOOKUP($F17,'Solid Mix In Nutrition'!A:A,'Solid Mix In Nutrition'!I:I,1)))  * _xlfn.XLOOKUP($F17,'Solid Mix In Nutrition'!A:A,'Solid Mix In Nutrition'!F:F,0))+(($U17 / MAX(1, _xlfn.XLOOKUP($G17,'Solid Mix In Nutrition'!A:A,'Solid Mix In Nutrition'!I:I,1)))  * _xlfn.XLOOKUP($G17,'Solid Mix In Nutrition'!A:A,'Solid Mix In Nutrition'!F:F,0))+(($V17 / 100)  * _xlfn.XLOOKUP($H17,'Sweetener Mix In Nutrition'!A:A,'Sweetener Mix In Nutrition'!F:F,0))+(($W17 / 100)  * _xlfn.XLOOKUP($I17,'Sweetener Mix In Nutrition'!A:A,'Sweetener Mix In Nutrition'!F:F,0))</f>
        <v>0</v>
      </c>
      <c r="AI17" s="10">
        <f>(AH17+Specs!$R$2+Specs!$S$2)*Specs!$N$2</f>
        <v>0.78</v>
      </c>
    </row>
    <row r="18" spans="16:35" x14ac:dyDescent="0.25">
      <c r="P18">
        <f>(_xlfn.XLOOKUP($J18,Specs!A:A,Specs!B:B,0)-$R18-$S18-(($T18/MAX(1,_xlfn.XLOOKUP($F18,'Solid Mix In Nutrition'!A:A,'Solid Mix In Nutrition'!I:I,1)))*240)-(($U18/MAX(1,_xlfn.XLOOKUP($G18,'Solid Mix In Nutrition'!A:A,'Solid Mix In Nutrition'!I:I,1)))*240))*0.66</f>
        <v>0</v>
      </c>
      <c r="Q18">
        <f>(_xlfn.XLOOKUP($J18,Specs!A:A,Specs!B:B,0)-$R18-$S18-(($T18/MAX(1,_xlfn.XLOOKUP($F18,'Solid Mix In Nutrition'!A:A,'Solid Mix In Nutrition'!I:I,1)))*240)-(($U18/MAX(1,_xlfn.XLOOKUP($G18,'Solid Mix In Nutrition'!A:A,'Solid Mix In Nutrition'!I:I,1)))*240))*0.33</f>
        <v>0</v>
      </c>
      <c r="R18">
        <f>_xlfn.XLOOKUP($K18,Specs!$D:$D,Specs!$E:$E,0)*15*_xlfn.XLOOKUP($J18,Specs!$A:$A,Specs!$C:$C,0)</f>
        <v>0</v>
      </c>
      <c r="S18">
        <f>_xlfn.XLOOKUP($L18,Specs!$D:$D,Specs!$E:$E,0)*15*_xlfn.XLOOKUP($J18,Specs!$A:$A,Specs!$C:$C,0)</f>
        <v>0</v>
      </c>
      <c r="T18">
        <f>( ((_xlfn.XLOOKUP($M18,Specs!$H:$H,Specs!$I:$I,0)*_xlfn.XLOOKUP($J18,Specs!$A:$A,Specs!$B:$B,0))/240) *_xlfn.XLOOKUP($F18,'Solid Mix In Nutrition'!A:A,'Solid Mix In Nutrition'!I:I,0)) *IF(AND(NOT($G18=0), COUNTA($G18)),0.5,1)</f>
        <v>0</v>
      </c>
      <c r="U18">
        <f>( ((_xlfn.XLOOKUP($M18,Specs!$H:$H,Specs!$I:$I,0)*_xlfn.XLOOKUP($J18,Specs!$A:$A,Specs!$B:$B,0))/240) *_xlfn.XLOOKUP($G18,'Solid Mix In Nutrition'!A:A,'Solid Mix In Nutrition'!I:I,0)) *IF(AND(NOT($G18=0), COUNTA($G18)),0.5,0)</f>
        <v>0</v>
      </c>
      <c r="V18">
        <f>_xlfn.XLOOKUP($N18,Specs!F:F,Specs!G:G,0)*100*_xlfn.XLOOKUP($J18,Specs!A:A,Specs!C:C,0)</f>
        <v>0</v>
      </c>
      <c r="W18">
        <f>_xlfn.XLOOKUP($O18,Specs!F:F,Specs!G:G,0)*100*_xlfn.XLOOKUP($J18,Specs!A:A,Specs!C:C,0)</f>
        <v>0</v>
      </c>
      <c r="X18" s="4">
        <f t="shared" si="0"/>
        <v>0</v>
      </c>
      <c r="Y18" s="5">
        <f t="shared" si="1"/>
        <v>0</v>
      </c>
      <c r="Z18" s="6">
        <f>(($P18 / 240) * _xlfn.XLOOKUP($B18,'Milk Types Nutrition Per Cup'!A:A,'Milk Types Nutrition Per Cup'!B:B,0)) +(($Q18 / 240)  * _xlfn.XLOOKUP($C18,'Milk Types Nutrition Per Cup'!A:A,'Milk Types Nutrition Per Cup'!B:B,0)) +(($R18 / 15)  * _xlfn.XLOOKUP($D18,'Liquid Mix In Nutrition'!A:A,'Liquid Mix In Nutrition'!B:B,0))+(($S18 / 15)  * _xlfn.XLOOKUP($E18,'Liquid Mix In Nutrition'!A:A,'Liquid Mix In Nutrition'!B:B,0))+(($T18 /MAX(1, _xlfn.XLOOKUP($F18,'Solid Mix In Nutrition'!A:A,'Solid Mix In Nutrition'!I:I,1)))  * _xlfn.XLOOKUP($F18,'Solid Mix In Nutrition'!A:A,'Solid Mix In Nutrition'!B:B,0))+(($U18 / MAX(1, _xlfn.XLOOKUP($G18,'Solid Mix In Nutrition'!A:A,'Solid Mix In Nutrition'!I:I,1))))+(($V18 / 100)  * _xlfn.XLOOKUP($H18,'Sweetener Mix In Nutrition'!A:A,'Sweetener Mix In Nutrition'!B:B,0))+(($W18 / 100)  * _xlfn.XLOOKUP($I18,'Sweetener Mix In Nutrition'!A:A,'Sweetener Mix In Nutrition'!B:B,0))</f>
        <v>0</v>
      </c>
      <c r="AA18" s="6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Nutrition'!E:E,0))+(($T18 / MAX(1, _xlfn.XLOOKUP($F18,'Solid Mix In Nutrition'!A:A,'Solid Mix In Nutrition'!I:I,1)))  * _xlfn.XLOOKUP($F18,'Solid Mix In Nutrition'!A:A,'Solid Mix In Nutrition'!E:E,0))+(($U18 / MAX(1, _xlfn.XLOOKUP($G18,'Solid Mix In Nutrition'!A:A,'Solid Mix In Nutrition'!I:I,1)))  * _xlfn.XLOOKUP($G18,'Solid Mix In Nutrition'!A:A,'Solid Mix In Nutrition'!G:G,0))+(($V18 / 100)  * _xlfn.XLOOKUP($H18,'Sweetener Mix In Nutrition'!A:A,'Sweetener Mix In Nutrition'!E:E,0))+(($W18 / 100)  * _xlfn.XLOOKUP($I18,'Sweetener Mix In Nutrition'!A:A,'Sweetener Mix In Nutrition'!E:E,0))</f>
        <v>0</v>
      </c>
      <c r="AB18" s="6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Nutrition'!E:E,0))+(($V18 / 100)  * _xlfn.XLOOKUP($H18,'Sweetener Mix In Nutrition'!A:A,'Sweetener Mix In Nutrition'!E:E,0))+(($W18 / 100)  * _xlfn.XLOOKUP($I18,'Sweetener Mix In Nutrition'!A:A,'Sweetener Mix In Nutrition'!E:E,0))</f>
        <v>0</v>
      </c>
      <c r="AC18" s="7">
        <f>(($P18 / 240) * _xlfn.XLOOKUP($B18,'Milk Types Nutrition Per Cup'!A:A,'Milk Types Nutrition Per Cup'!C:C,0)) +(($Q18 / 240)  * _xlfn.XLOOKUP($C18,'Milk Types Nutrition Per Cup'!A:A,'Milk Types Nutrition Per Cup'!C:C,0)) +(($R18 / 15)  * _xlfn.XLOOKUP($D18,'Liquid Mix In Nutrition'!A:A,'Liquid Mix In Nutrition'!C:C,0))+(($S18 / 15)  * _xlfn.XLOOKUP($E18,'Liquid Mix In Nutrition'!A:A,'Liquid Mix In Nutrition'!C:C,0))+(($T18 / MAX(1, _xlfn.XLOOKUP($F18,'Solid Mix In Nutrition'!A:A,'Solid Mix In Nutrition'!I:I,1)))  * _xlfn.XLOOKUP($F18,'Solid Mix In Nutrition'!A:A,'Solid Mix In Nutrition'!C:C,0))+(($U18 / MAX(1, _xlfn.XLOOKUP($G18,'Solid Mix In Nutrition'!A:A,'Solid Mix In Nutrition'!I:I,1)))  * _xlfn.XLOOKUP($G18,'Solid Mix In Nutrition'!A:A,'Solid Mix In Nutrition'!C:C,0))+(($V18 / 100)  * _xlfn.XLOOKUP($H18,'Sweetener Mix In Nutrition'!A:A,'Sweetener Mix In Nutrition'!C:C,0))+(($W18 / 100)  * _xlfn.XLOOKUP($I18,'Sweetener Mix In Nutrition'!A:A,'Sweetener Mix In Nutrition'!C:C,0))</f>
        <v>0</v>
      </c>
      <c r="AD18" s="8" t="e">
        <f>$AC18 / (_xlfn.XLOOKUP($J18,Specs!A:A,Specs!B:B,0))</f>
        <v>#DIV/0!</v>
      </c>
      <c r="AE18" s="7" t="e">
        <f>60* ($Z18 / _xlfn.XLOOKUP($J18,Specs!$A:$A,Specs!$B:$B,0))</f>
        <v>#DIV/0!</v>
      </c>
      <c r="AF18" s="7" t="e">
        <f>60* (AA18 / _xlfn.XLOOKUP($J18,Specs!$A:$A,Specs!$B:$B,0))</f>
        <v>#DIV/0!</v>
      </c>
      <c r="AG18" s="7" t="e">
        <f>60* (AC18 / _xlfn.XLOOKUP($J18,Specs!$A:$A,Specs!$B:$B,0))</f>
        <v>#DIV/0!</v>
      </c>
      <c r="AH18" s="9">
        <f>(($P18 / 240) * _xlfn.XLOOKUP($B18,'Milk Types Nutrition Per Cup'!A:A,'Milk Types Nutrition Per Cup'!F:F,0)) +(($Q18 / 240)  * _xlfn.XLOOKUP($C18,'Milk Types Nutrition Per Cup'!A:A,'Milk Types Nutrition Per Cup'!F:F,0)) +(($R18 / 15)  * _xlfn.XLOOKUP($D18,'Liquid Mix In Nutrition'!A:A,'Liquid Mix In Nutrition'!F:F,0))+(($S18 / 15)  * _xlfn.XLOOKUP($E18,'Liquid Mix In Nutrition'!A:A,'Liquid Mix In Nutrition'!F:F,0))+(($T18 / MAX(1, _xlfn.XLOOKUP($F18,'Solid Mix In Nutrition'!A:A,'Solid Mix In Nutrition'!I:I,1)))  * _xlfn.XLOOKUP($F18,'Solid Mix In Nutrition'!A:A,'Solid Mix In Nutrition'!F:F,0))+(($U18 / MAX(1, _xlfn.XLOOKUP($G18,'Solid Mix In Nutrition'!A:A,'Solid Mix In Nutrition'!I:I,1)))  * _xlfn.XLOOKUP($G18,'Solid Mix In Nutrition'!A:A,'Solid Mix In Nutrition'!F:F,0))+(($V18 / 100)  * _xlfn.XLOOKUP($H18,'Sweetener Mix In Nutrition'!A:A,'Sweetener Mix In Nutrition'!F:F,0))+(($W18 / 100)  * _xlfn.XLOOKUP($I18,'Sweetener Mix In Nutrition'!A:A,'Sweetener Mix In Nutrition'!F:F,0))</f>
        <v>0</v>
      </c>
      <c r="AI18" s="10">
        <f>(AH18+Specs!$R$2+Specs!$S$2)*Specs!$N$2</f>
        <v>0.78</v>
      </c>
    </row>
    <row r="19" spans="16:35" x14ac:dyDescent="0.25">
      <c r="P19" t="e">
        <f>(_xlfn.XLOOKUP($J19,Specs!A:A,Specs!B:B,0)-$R19-$S19-(($T19/MAX(1,_xlfn.XLOOKUP($F19,'Solid Mix In Nutrition'!A:A,'Solid Mix In Nutrition'!I:I,1)))*240)-(($U19/MAX(1,_xlfn.XLOOKUP($G19,'Solid Mix In Nutrition'!A:A,'Solid Mix In Nutrition'!I:I,1)))*240))*0.66</f>
        <v>#VALUE!</v>
      </c>
      <c r="Q19" t="e">
        <f>(_xlfn.XLOOKUP($J19,Specs!A:A,Specs!B:B,0)-$R19-$S19-(($T19/MAX(1,_xlfn.XLOOKUP($F19,'Solid Mix In Nutrition'!A:A,'Solid Mix In Nutrition'!I:I,1)))*240)-(($U19/MAX(1,_xlfn.XLOOKUP($G19,'Solid Mix In Nutrition'!A:A,'Solid Mix In Nutrition'!I:I,1)))*240))*0.33</f>
        <v>#VALUE!</v>
      </c>
      <c r="R19">
        <f>_xlfn.XLOOKUP($K19,Specs!$D:$D,Specs!$E:$E,0)*15*_xlfn.XLOOKUP($J19,Specs!$A:$A,Specs!$C:$C,0)</f>
        <v>0</v>
      </c>
      <c r="S19" t="e">
        <f>_xlfn.XLOOKUP($L19,Specs!$D:$D,Specs!$E:$E,0)*15*_xlfn.XLOOKUP($J19,Specs!$A:$A,Specs!$C:$C,0)</f>
        <v>#VALUE!</v>
      </c>
      <c r="T19">
        <f>( ((_xlfn.XLOOKUP($M19,Specs!$H:$H,Specs!$I:$I,0)*_xlfn.XLOOKUP($J19,Specs!$A:$A,Specs!$B:$B,0))/240) *_xlfn.XLOOKUP($F19,'Solid Mix In Nutrition'!A:A,'Solid Mix In Nutrition'!I:I,0)) *IF(AND(NOT($G19=0), COUNTA($G19)),0.5,1)</f>
        <v>0</v>
      </c>
      <c r="U19">
        <f>( ((_xlfn.XLOOKUP($M19,Specs!$H:$H,Specs!$I:$I,0)*_xlfn.XLOOKUP($J19,Specs!$A:$A,Specs!$B:$B,0))/240) *_xlfn.XLOOKUP($G19,'Solid Mix In Nutrition'!A:A,'Solid Mix In Nutrition'!I:I,0)) *IF(AND(NOT($G19=0), COUNTA($G19)),0.5,0)</f>
        <v>0</v>
      </c>
      <c r="V19">
        <f>_xlfn.XLOOKUP($N19,Specs!F:F,Specs!G:G,0)*100*_xlfn.XLOOKUP($J19,Specs!A:A,Specs!C:C,0)</f>
        <v>0</v>
      </c>
      <c r="W19">
        <f>_xlfn.XLOOKUP($O19,Specs!F:F,Specs!G:G,0)*100*_xlfn.XLOOKUP($J19,Specs!A:A,Specs!C:C,0)</f>
        <v>0</v>
      </c>
      <c r="X19" s="4" t="e">
        <f t="shared" si="0"/>
        <v>#VALUE!</v>
      </c>
      <c r="Y19" s="5" t="e">
        <f t="shared" si="1"/>
        <v>#VALUE!</v>
      </c>
      <c r="Z19" s="6" t="e">
        <f>(($P19 / 240) * _xlfn.XLOOKUP($B19,'Milk Types Nutrition Per Cup'!A:A,'Milk Types Nutrition Per Cup'!B:B,0)) +(($Q19 / 240)  * _xlfn.XLOOKUP($C19,'Milk Types Nutrition Per Cup'!A:A,'Milk Types Nutrition Per Cup'!B:B,0)) +(($R19 / 15)  * _xlfn.XLOOKUP($D19,'Liquid Mix In Nutrition'!A:A,'Liquid Mix In Nutrition'!B:B,0))+(($S19 / 15)  * _xlfn.XLOOKUP($E19,'Liquid Mix In Nutrition'!A:A,'Liquid Mix In Nutrition'!B:B,0))+(($T19 /MAX(1, _xlfn.XLOOKUP($F19,'Solid Mix In Nutrition'!A:A,'Solid Mix In Nutrition'!I:I,1)))  * _xlfn.XLOOKUP($F19,'Solid Mix In Nutrition'!A:A,'Solid Mix In Nutrition'!B:B,0))+(($U19 / MAX(1, _xlfn.XLOOKUP($G19,'Solid Mix In Nutrition'!A:A,'Solid Mix In Nutrition'!I:I,1))))+(($V19 / 100)  * _xlfn.XLOOKUP($H19,'Sweetener Mix In Nutrition'!A:A,'Sweetener Mix In Nutrition'!B:B,0))+(($W19 / 100)  * _xlfn.XLOOKUP($I19,'Sweetener Mix In Nutrition'!A:A,'Sweetener Mix In Nutrition'!B:B,0))</f>
        <v>#VALUE!</v>
      </c>
      <c r="AA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Nutrition'!E:E,0))+(($T19 / MAX(1, _xlfn.XLOOKUP($F19,'Solid Mix In Nutrition'!A:A,'Solid Mix In Nutrition'!I:I,1)))  * _xlfn.XLOOKUP($F19,'Solid Mix In Nutrition'!A:A,'Solid Mix In Nutrition'!E:E,0))+(($U19 / MAX(1, _xlfn.XLOOKUP($G19,'Solid Mix In Nutrition'!A:A,'Solid Mix In Nutrition'!I:I,1)))  * _xlfn.XLOOKUP($G19,'Solid Mix In Nutrition'!A:A,'Solid Mix In Nutrition'!G:G,0))+(($V19 / 100)  * _xlfn.XLOOKUP($H19,'Sweetener Mix In Nutrition'!A:A,'Sweetener Mix In Nutrition'!E:E,0))+(($W19 / 100)  * _xlfn.XLOOKUP($I19,'Sweetener Mix In Nutrition'!A:A,'Sweetener Mix In Nutrition'!E:E,0))</f>
        <v>#VALUE!</v>
      </c>
      <c r="AB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Nutrition'!E:E,0))+(($V19 / 100)  * _xlfn.XLOOKUP($H19,'Sweetener Mix In Nutrition'!A:A,'Sweetener Mix In Nutrition'!E:E,0))+(($W19 / 100)  * _xlfn.XLOOKUP($I19,'Sweetener Mix In Nutrition'!A:A,'Sweetener Mix In Nutrition'!E:E,0))</f>
        <v>#VALUE!</v>
      </c>
      <c r="AC19" s="7" t="e">
        <f>(($P19 / 240) * _xlfn.XLOOKUP($B19,'Milk Types Nutrition Per Cup'!A:A,'Milk Types Nutrition Per Cup'!C:C,0)) +(($Q19 / 240)  * _xlfn.XLOOKUP($C19,'Milk Types Nutrition Per Cup'!A:A,'Milk Types Nutrition Per Cup'!C:C,0)) +(($R19 / 15)  * _xlfn.XLOOKUP($D19,'Liquid Mix In Nutrition'!A:A,'Liquid Mix In Nutrition'!C:C,0))+(($S19 / 15)  * _xlfn.XLOOKUP($E19,'Liquid Mix In Nutrition'!A:A,'Liquid Mix In Nutrition'!C:C,0))+(($T19 / MAX(1, _xlfn.XLOOKUP($F19,'Solid Mix In Nutrition'!A:A,'Solid Mix In Nutrition'!I:I,1)))  * _xlfn.XLOOKUP($F19,'Solid Mix In Nutrition'!A:A,'Solid Mix In Nutrition'!C:C,0))+(($U19 / MAX(1, _xlfn.XLOOKUP($G19,'Solid Mix In Nutrition'!A:A,'Solid Mix In Nutrition'!I:I,1)))  * _xlfn.XLOOKUP($G19,'Solid Mix In Nutrition'!A:A,'Solid Mix In Nutrition'!C:C,0))+(($V19 / 100)  * _xlfn.XLOOKUP($H19,'Sweetener Mix In Nutrition'!A:A,'Sweetener Mix In Nutrition'!C:C,0))+(($W19 / 100)  * _xlfn.XLOOKUP($I19,'Sweetener Mix In Nutrition'!A:A,'Sweetener Mix In Nutrition'!C:C,0))</f>
        <v>#VALUE!</v>
      </c>
      <c r="AD19" s="8" t="e">
        <f>$AC19 / (_xlfn.XLOOKUP($J19,Specs!A:A,Specs!B:B,0))</f>
        <v>#VALUE!</v>
      </c>
      <c r="AE19" s="7" t="e">
        <f>60* ($Z19 / _xlfn.XLOOKUP($J19,Specs!$A:$A,Specs!$B:$B,0))</f>
        <v>#VALUE!</v>
      </c>
      <c r="AF19" s="7" t="e">
        <f>60* (AA19 / _xlfn.XLOOKUP($J19,Specs!$A:$A,Specs!$B:$B,0))</f>
        <v>#VALUE!</v>
      </c>
      <c r="AG19" s="7" t="e">
        <f>60* (AC19 / _xlfn.XLOOKUP($J19,Specs!$A:$A,Specs!$B:$B,0))</f>
        <v>#VALUE!</v>
      </c>
      <c r="AH19" s="9" t="e">
        <f>(($P19 / 240) * _xlfn.XLOOKUP($B19,'Milk Types Nutrition Per Cup'!A:A,'Milk Types Nutrition Per Cup'!F:F,0)) +(($Q19 / 240)  * _xlfn.XLOOKUP($C19,'Milk Types Nutrition Per Cup'!A:A,'Milk Types Nutrition Per Cup'!F:F,0)) +(($R19 / 15)  * _xlfn.XLOOKUP($D19,'Liquid Mix In Nutrition'!A:A,'Liquid Mix In Nutrition'!F:F,0))+(($S19 / 15)  * _xlfn.XLOOKUP($E19,'Liquid Mix In Nutrition'!A:A,'Liquid Mix In Nutrition'!F:F,0))+(($T19 / MAX(1, _xlfn.XLOOKUP($F19,'Solid Mix In Nutrition'!A:A,'Solid Mix In Nutrition'!I:I,1)))  * _xlfn.XLOOKUP($F19,'Solid Mix In Nutrition'!A:A,'Solid Mix In Nutrition'!F:F,0))+(($U19 / MAX(1, _xlfn.XLOOKUP($G19,'Solid Mix In Nutrition'!A:A,'Solid Mix In Nutrition'!I:I,1)))  * _xlfn.XLOOKUP($G19,'Solid Mix In Nutrition'!A:A,'Solid Mix In Nutrition'!F:F,0))+(($V19 / 100)  * _xlfn.XLOOKUP($H19,'Sweetener Mix In Nutrition'!A:A,'Sweetener Mix In Nutrition'!F:F,0))+(($W19 / 100)  * _xlfn.XLOOKUP($I19,'Sweetener Mix In Nutrition'!A:A,'Sweetener Mix In Nutrition'!F:F,0))</f>
        <v>#VALUE!</v>
      </c>
      <c r="AI19" s="10" t="e">
        <f>(AH19+Specs!$R$2+Specs!$S$2)*Specs!$N$2</f>
        <v>#VALUE!</v>
      </c>
    </row>
    <row r="20" spans="16:35" x14ac:dyDescent="0.25">
      <c r="P20">
        <f>(_xlfn.XLOOKUP($J20,Specs!A:A,Specs!B:B,0)-$R20-$S20-(($T20/MAX(1,_xlfn.XLOOKUP($F20,'Solid Mix In Nutrition'!A:A,'Solid Mix In Nutrition'!I:I,1)))*240)-(($U20/MAX(1,_xlfn.XLOOKUP($G20,'Solid Mix In Nutrition'!A:A,'Solid Mix In Nutrition'!I:I,1)))*240))*0.66</f>
        <v>0</v>
      </c>
      <c r="Q20">
        <f>(_xlfn.XLOOKUP($J20,Specs!A:A,Specs!B:B,0)-$R20-$S20-(($T20/MAX(1,_xlfn.XLOOKUP($F20,'Solid Mix In Nutrition'!A:A,'Solid Mix In Nutrition'!I:I,1)))*240)-(($U20/MAX(1,_xlfn.XLOOKUP($G20,'Solid Mix In Nutrition'!A:A,'Solid Mix In Nutrition'!I:I,1)))*240))*0.33</f>
        <v>0</v>
      </c>
      <c r="R20">
        <f>_xlfn.XLOOKUP($K20,Specs!$D:$D,Specs!$E:$E,0)*15*_xlfn.XLOOKUP($J20,Specs!$A:$A,Specs!$C:$C,0)</f>
        <v>0</v>
      </c>
      <c r="S20">
        <f>_xlfn.XLOOKUP($L20,Specs!$D:$D,Specs!$E:$E,0)*15*_xlfn.XLOOKUP($J20,Specs!$A:$A,Specs!$C:$C,0)</f>
        <v>0</v>
      </c>
      <c r="T20">
        <f>( ((_xlfn.XLOOKUP($M20,Specs!$H:$H,Specs!$I:$I,0)*_xlfn.XLOOKUP($J20,Specs!$A:$A,Specs!$B:$B,0))/240) *_xlfn.XLOOKUP($F20,'Solid Mix In Nutrition'!A:A,'Solid Mix In Nutrition'!I:I,0)) *IF(AND(NOT($G20=0), COUNTA($G20)),0.5,1)</f>
        <v>0</v>
      </c>
      <c r="U20">
        <f>( ((_xlfn.XLOOKUP($M20,Specs!$H:$H,Specs!$I:$I,0)*_xlfn.XLOOKUP($J20,Specs!$A:$A,Specs!$B:$B,0))/240) *_xlfn.XLOOKUP($G20,'Solid Mix In Nutrition'!A:A,'Solid Mix In Nutrition'!I:I,0)) *IF(AND(NOT($G20=0), COUNTA($G20)),0.5,0)</f>
        <v>0</v>
      </c>
      <c r="V20">
        <f>_xlfn.XLOOKUP($N20,Specs!F:F,Specs!G:G,0)*100*_xlfn.XLOOKUP($J20,Specs!A:A,Specs!C:C,0)</f>
        <v>0</v>
      </c>
      <c r="W20">
        <f>_xlfn.XLOOKUP($O20,Specs!F:F,Specs!G:G,0)*100*_xlfn.XLOOKUP($J20,Specs!A:A,Specs!C:C,0)</f>
        <v>0</v>
      </c>
      <c r="X20" s="4">
        <f t="shared" si="0"/>
        <v>0</v>
      </c>
      <c r="Y20" s="5">
        <f t="shared" si="1"/>
        <v>0</v>
      </c>
      <c r="Z20" s="6">
        <f>(($P20 / 240) * _xlfn.XLOOKUP($B20,'Milk Types Nutrition Per Cup'!A:A,'Milk Types Nutrition Per Cup'!B:B,0)) +(($Q20 / 240)  * _xlfn.XLOOKUP($C20,'Milk Types Nutrition Per Cup'!A:A,'Milk Types Nutrition Per Cup'!B:B,0)) +(($R20 / 15)  * _xlfn.XLOOKUP($D20,'Liquid Mix In Nutrition'!A:A,'Liquid Mix In Nutrition'!B:B,0))+(($S20 / 15)  * _xlfn.XLOOKUP($E20,'Liquid Mix In Nutrition'!A:A,'Liquid Mix In Nutrition'!B:B,0))+(($T20 /MAX(1, _xlfn.XLOOKUP($F20,'Solid Mix In Nutrition'!A:A,'Solid Mix In Nutrition'!I:I,1)))  * _xlfn.XLOOKUP($F20,'Solid Mix In Nutrition'!A:A,'Solid Mix In Nutrition'!B:B,0))+(($U20 / MAX(1, _xlfn.XLOOKUP($G20,'Solid Mix In Nutrition'!A:A,'Solid Mix In Nutrition'!I:I,1))))+(($V20 / 100)  * _xlfn.XLOOKUP($H20,'Sweetener Mix In Nutrition'!A:A,'Sweetener Mix In Nutrition'!B:B,0))+(($W20 / 100)  * _xlfn.XLOOKUP($I20,'Sweetener Mix In Nutrition'!A:A,'Sweetener Mix In Nutrition'!B:B,0))</f>
        <v>0</v>
      </c>
      <c r="AA20" s="6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Nutrition'!E:E,0))+(($T20 / MAX(1, _xlfn.XLOOKUP($F20,'Solid Mix In Nutrition'!A:A,'Solid Mix In Nutrition'!I:I,1)))  * _xlfn.XLOOKUP($F20,'Solid Mix In Nutrition'!A:A,'Solid Mix In Nutrition'!E:E,0))+(($U20 / MAX(1, _xlfn.XLOOKUP($G20,'Solid Mix In Nutrition'!A:A,'Solid Mix In Nutrition'!I:I,1)))  * _xlfn.XLOOKUP($G20,'Solid Mix In Nutrition'!A:A,'Solid Mix In Nutrition'!G:G,0))+(($V20 / 100)  * _xlfn.XLOOKUP($H20,'Sweetener Mix In Nutrition'!A:A,'Sweetener Mix In Nutrition'!E:E,0))+(($W20 / 100)  * _xlfn.XLOOKUP($I20,'Sweetener Mix In Nutrition'!A:A,'Sweetener Mix In Nutrition'!E:E,0))</f>
        <v>0</v>
      </c>
      <c r="AB20" s="6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Nutrition'!E:E,0))+(($V20 / 100)  * _xlfn.XLOOKUP($H20,'Sweetener Mix In Nutrition'!A:A,'Sweetener Mix In Nutrition'!E:E,0))+(($W20 / 100)  * _xlfn.XLOOKUP($I20,'Sweetener Mix In Nutrition'!A:A,'Sweetener Mix In Nutrition'!E:E,0))</f>
        <v>0</v>
      </c>
      <c r="AC20" s="7">
        <f>(($P20 / 240) * _xlfn.XLOOKUP($B20,'Milk Types Nutrition Per Cup'!A:A,'Milk Types Nutrition Per Cup'!C:C,0)) +(($Q20 / 240)  * _xlfn.XLOOKUP($C20,'Milk Types Nutrition Per Cup'!A:A,'Milk Types Nutrition Per Cup'!C:C,0)) +(($R20 / 15)  * _xlfn.XLOOKUP($D20,'Liquid Mix In Nutrition'!A:A,'Liquid Mix In Nutrition'!C:C,0))+(($S20 / 15)  * _xlfn.XLOOKUP($E20,'Liquid Mix In Nutrition'!A:A,'Liquid Mix In Nutrition'!C:C,0))+(($T20 / MAX(1, _xlfn.XLOOKUP($F20,'Solid Mix In Nutrition'!A:A,'Solid Mix In Nutrition'!I:I,1)))  * _xlfn.XLOOKUP($F20,'Solid Mix In Nutrition'!A:A,'Solid Mix In Nutrition'!C:C,0))+(($U20 / MAX(1, _xlfn.XLOOKUP($G20,'Solid Mix In Nutrition'!A:A,'Solid Mix In Nutrition'!I:I,1)))  * _xlfn.XLOOKUP($G20,'Solid Mix In Nutrition'!A:A,'Solid Mix In Nutrition'!C:C,0))+(($V20 / 100)  * _xlfn.XLOOKUP($H20,'Sweetener Mix In Nutrition'!A:A,'Sweetener Mix In Nutrition'!C:C,0))+(($W20 / 100)  * _xlfn.XLOOKUP($I20,'Sweetener Mix In Nutrition'!A:A,'Sweetener Mix In Nutrition'!C:C,0))</f>
        <v>0</v>
      </c>
      <c r="AD20" s="8" t="e">
        <f>$AC20 / (_xlfn.XLOOKUP($J20,Specs!A:A,Specs!B:B,0))</f>
        <v>#DIV/0!</v>
      </c>
      <c r="AE20" s="7" t="e">
        <f>60* ($Z20 / _xlfn.XLOOKUP($J20,Specs!$A:$A,Specs!$B:$B,0))</f>
        <v>#DIV/0!</v>
      </c>
      <c r="AF20" s="7" t="e">
        <f>60* (AA20 / _xlfn.XLOOKUP($J20,Specs!$A:$A,Specs!$B:$B,0))</f>
        <v>#DIV/0!</v>
      </c>
      <c r="AG20" s="7" t="e">
        <f>60* (AC20 / _xlfn.XLOOKUP($J20,Specs!$A:$A,Specs!$B:$B,0))</f>
        <v>#DIV/0!</v>
      </c>
      <c r="AH20" s="9">
        <f>(($P20 / 240) * _xlfn.XLOOKUP($B20,'Milk Types Nutrition Per Cup'!A:A,'Milk Types Nutrition Per Cup'!F:F,0)) +(($Q20 / 240)  * _xlfn.XLOOKUP($C20,'Milk Types Nutrition Per Cup'!A:A,'Milk Types Nutrition Per Cup'!F:F,0)) +(($R20 / 15)  * _xlfn.XLOOKUP($D20,'Liquid Mix In Nutrition'!A:A,'Liquid Mix In Nutrition'!F:F,0))+(($S20 / 15)  * _xlfn.XLOOKUP($E20,'Liquid Mix In Nutrition'!A:A,'Liquid Mix In Nutrition'!F:F,0))+(($T20 / MAX(1, _xlfn.XLOOKUP($F20,'Solid Mix In Nutrition'!A:A,'Solid Mix In Nutrition'!I:I,1)))  * _xlfn.XLOOKUP($F20,'Solid Mix In Nutrition'!A:A,'Solid Mix In Nutrition'!F:F,0))+(($U20 / MAX(1, _xlfn.XLOOKUP($G20,'Solid Mix In Nutrition'!A:A,'Solid Mix In Nutrition'!I:I,1)))  * _xlfn.XLOOKUP($G20,'Solid Mix In Nutrition'!A:A,'Solid Mix In Nutrition'!F:F,0))+(($V20 / 100)  * _xlfn.XLOOKUP($H20,'Sweetener Mix In Nutrition'!A:A,'Sweetener Mix In Nutrition'!F:F,0))+(($W20 / 100)  * _xlfn.XLOOKUP($I20,'Sweetener Mix In Nutrition'!A:A,'Sweetener Mix In Nutrition'!F:F,0))</f>
        <v>0</v>
      </c>
      <c r="AI20" s="10">
        <f>(AH20+Specs!$R$2+Specs!$S$2)*Specs!$N$2</f>
        <v>0.78</v>
      </c>
    </row>
    <row r="21" spans="16:35" x14ac:dyDescent="0.25">
      <c r="P21">
        <f>(_xlfn.XLOOKUP($J21,Specs!A:A,Specs!B:B,0)-$R21-$S21-(($T21/MAX(1,_xlfn.XLOOKUP($F21,'Solid Mix In Nutrition'!A:A,'Solid Mix In Nutrition'!I:I,1)))*240)-(($U21/MAX(1,_xlfn.XLOOKUP($G21,'Solid Mix In Nutrition'!A:A,'Solid Mix In Nutrition'!I:I,1)))*240))*0.66</f>
        <v>0</v>
      </c>
      <c r="Q21">
        <f>(_xlfn.XLOOKUP($J21,Specs!A:A,Specs!B:B,0)-$R21-$S21-(($T21/MAX(1,_xlfn.XLOOKUP($F21,'Solid Mix In Nutrition'!A:A,'Solid Mix In Nutrition'!I:I,1)))*240)-(($U21/MAX(1,_xlfn.XLOOKUP($G21,'Solid Mix In Nutrition'!A:A,'Solid Mix In Nutrition'!I:I,1)))*240))*0.33</f>
        <v>0</v>
      </c>
      <c r="R21">
        <f>_xlfn.XLOOKUP($K21,Specs!$D:$D,Specs!$E:$E,0)*15*_xlfn.XLOOKUP($J21,Specs!$A:$A,Specs!$C:$C,0)</f>
        <v>0</v>
      </c>
      <c r="S21">
        <f>_xlfn.XLOOKUP($L21,Specs!$D:$D,Specs!$E:$E,0)*15*_xlfn.XLOOKUP($J21,Specs!$A:$A,Specs!$C:$C,0)</f>
        <v>0</v>
      </c>
      <c r="T21">
        <f>( ((_xlfn.XLOOKUP($M21,Specs!$H:$H,Specs!$I:$I,0)*_xlfn.XLOOKUP($J21,Specs!$A:$A,Specs!$B:$B,0))/240) *_xlfn.XLOOKUP($F21,'Solid Mix In Nutrition'!A:A,'Solid Mix In Nutrition'!I:I,0)) *IF(AND(NOT($G21=0), COUNTA($G21)),0.5,1)</f>
        <v>0</v>
      </c>
      <c r="U21">
        <f>( ((_xlfn.XLOOKUP($M21,Specs!$H:$H,Specs!$I:$I,0)*_xlfn.XLOOKUP($J21,Specs!$A:$A,Specs!$B:$B,0))/240) *_xlfn.XLOOKUP($G21,'Solid Mix In Nutrition'!A:A,'Solid Mix In Nutrition'!I:I,0)) *IF(AND(NOT($G21=0), COUNTA($G21)),0.5,0)</f>
        <v>0</v>
      </c>
      <c r="V21">
        <f>_xlfn.XLOOKUP($N21,Specs!F:F,Specs!G:G,0)*100*_xlfn.XLOOKUP($J21,Specs!A:A,Specs!C:C,0)</f>
        <v>0</v>
      </c>
      <c r="W21">
        <f>_xlfn.XLOOKUP($O21,Specs!F:F,Specs!G:G,0)*100*_xlfn.XLOOKUP($J21,Specs!A:A,Specs!C:C,0)</f>
        <v>0</v>
      </c>
      <c r="X21" s="4">
        <f t="shared" si="0"/>
        <v>0</v>
      </c>
      <c r="Y21" s="5">
        <f t="shared" si="1"/>
        <v>0</v>
      </c>
      <c r="Z21" s="6">
        <f>(($P21 / 240) * _xlfn.XLOOKUP($B21,'Milk Types Nutrition Per Cup'!A:A,'Milk Types Nutrition Per Cup'!B:B,0)) +(($Q21 / 240)  * _xlfn.XLOOKUP($C21,'Milk Types Nutrition Per Cup'!A:A,'Milk Types Nutrition Per Cup'!B:B,0)) +(($R21 / 15)  * _xlfn.XLOOKUP($D21,'Liquid Mix In Nutrition'!A:A,'Liquid Mix In Nutrition'!B:B,0))+(($S21 / 15)  * _xlfn.XLOOKUP($E21,'Liquid Mix In Nutrition'!A:A,'Liquid Mix In Nutrition'!B:B,0))+(($T21 /MAX(1, _xlfn.XLOOKUP($F21,'Solid Mix In Nutrition'!A:A,'Solid Mix In Nutrition'!I:I,1)))  * _xlfn.XLOOKUP($F21,'Solid Mix In Nutrition'!A:A,'Solid Mix In Nutrition'!B:B,0))+(($U21 / MAX(1, _xlfn.XLOOKUP($G21,'Solid Mix In Nutrition'!A:A,'Solid Mix In Nutrition'!I:I,1))))+(($V21 / 100)  * _xlfn.XLOOKUP($H21,'Sweetener Mix In Nutrition'!A:A,'Sweetener Mix In Nutrition'!B:B,0))+(($W21 / 100)  * _xlfn.XLOOKUP($I21,'Sweetener Mix In Nutrition'!A:A,'Sweetener Mix In Nutrition'!B:B,0))</f>
        <v>0</v>
      </c>
      <c r="AA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Nutrition'!E:E,0))+(($T21 / MAX(1, _xlfn.XLOOKUP($F21,'Solid Mix In Nutrition'!A:A,'Solid Mix In Nutrition'!I:I,1)))  * _xlfn.XLOOKUP($F21,'Solid Mix In Nutrition'!A:A,'Solid Mix In Nutrition'!E:E,0))+(($U21 / MAX(1, _xlfn.XLOOKUP($G21,'Solid Mix In Nutrition'!A:A,'Solid Mix In Nutrition'!I:I,1)))  * _xlfn.XLOOKUP($G21,'Solid Mix In Nutrition'!A:A,'Solid Mix In Nutrition'!G:G,0))+(($V21 / 100)  * _xlfn.XLOOKUP($H21,'Sweetener Mix In Nutrition'!A:A,'Sweetener Mix In Nutrition'!E:E,0))+(($W21 / 100)  * _xlfn.XLOOKUP($I21,'Sweetener Mix In Nutrition'!A:A,'Sweetener Mix In Nutrition'!E:E,0))</f>
        <v>0</v>
      </c>
      <c r="AB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Nutrition'!E:E,0))+(($V21 / 100)  * _xlfn.XLOOKUP($H21,'Sweetener Mix In Nutrition'!A:A,'Sweetener Mix In Nutrition'!E:E,0))+(($W21 / 100)  * _xlfn.XLOOKUP($I21,'Sweetener Mix In Nutrition'!A:A,'Sweetener Mix In Nutrition'!E:E,0))</f>
        <v>0</v>
      </c>
      <c r="AC21" s="7">
        <f>(($P21 / 240) * _xlfn.XLOOKUP($B21,'Milk Types Nutrition Per Cup'!A:A,'Milk Types Nutrition Per Cup'!C:C,0)) +(($Q21 / 240)  * _xlfn.XLOOKUP($C21,'Milk Types Nutrition Per Cup'!A:A,'Milk Types Nutrition Per Cup'!C:C,0)) +(($R21 / 15)  * _xlfn.XLOOKUP($D21,'Liquid Mix In Nutrition'!A:A,'Liquid Mix In Nutrition'!C:C,0))+(($S21 / 15)  * _xlfn.XLOOKUP($E21,'Liquid Mix In Nutrition'!A:A,'Liquid Mix In Nutrition'!C:C,0))+(($T21 / MAX(1, _xlfn.XLOOKUP($F21,'Solid Mix In Nutrition'!A:A,'Solid Mix In Nutrition'!I:I,1)))  * _xlfn.XLOOKUP($F21,'Solid Mix In Nutrition'!A:A,'Solid Mix In Nutrition'!C:C,0))+(($U21 / MAX(1, _xlfn.XLOOKUP($G21,'Solid Mix In Nutrition'!A:A,'Solid Mix In Nutrition'!I:I,1)))  * _xlfn.XLOOKUP($G21,'Solid Mix In Nutrition'!A:A,'Solid Mix In Nutrition'!C:C,0))+(($V21 / 100)  * _xlfn.XLOOKUP($H21,'Sweetener Mix In Nutrition'!A:A,'Sweetener Mix In Nutrition'!C:C,0))+(($W21 / 100)  * _xlfn.XLOOKUP($I21,'Sweetener Mix In Nutrition'!A:A,'Sweetener Mix In Nutrition'!C:C,0))</f>
        <v>0</v>
      </c>
      <c r="AD21" s="8" t="e">
        <f>$AC21 / (_xlfn.XLOOKUP($J21,Specs!A:A,Specs!B:B,0))</f>
        <v>#DIV/0!</v>
      </c>
      <c r="AE21" s="7" t="e">
        <f>60* ($Z21 / _xlfn.XLOOKUP($J21,Specs!$A:$A,Specs!$B:$B,0))</f>
        <v>#DIV/0!</v>
      </c>
      <c r="AF21" s="7" t="e">
        <f>60* (AA21 / _xlfn.XLOOKUP($J21,Specs!$A:$A,Specs!$B:$B,0))</f>
        <v>#DIV/0!</v>
      </c>
      <c r="AG21" s="7" t="e">
        <f>60* (AC21 / _xlfn.XLOOKUP($J21,Specs!$A:$A,Specs!$B:$B,0))</f>
        <v>#DIV/0!</v>
      </c>
      <c r="AH21" s="9">
        <f>(($P21 / 240) * _xlfn.XLOOKUP($B21,'Milk Types Nutrition Per Cup'!A:A,'Milk Types Nutrition Per Cup'!F:F,0)) +(($Q21 / 240)  * _xlfn.XLOOKUP($C21,'Milk Types Nutrition Per Cup'!A:A,'Milk Types Nutrition Per Cup'!F:F,0)) +(($R21 / 15)  * _xlfn.XLOOKUP($D21,'Liquid Mix In Nutrition'!A:A,'Liquid Mix In Nutrition'!F:F,0))+(($S21 / 15)  * _xlfn.XLOOKUP($E21,'Liquid Mix In Nutrition'!A:A,'Liquid Mix In Nutrition'!F:F,0))+(($T21 / MAX(1, _xlfn.XLOOKUP($F21,'Solid Mix In Nutrition'!A:A,'Solid Mix In Nutrition'!I:I,1)))  * _xlfn.XLOOKUP($F21,'Solid Mix In Nutrition'!A:A,'Solid Mix In Nutrition'!F:F,0))+(($U21 / MAX(1, _xlfn.XLOOKUP($G21,'Solid Mix In Nutrition'!A:A,'Solid Mix In Nutrition'!I:I,1)))  * _xlfn.XLOOKUP($G21,'Solid Mix In Nutrition'!A:A,'Solid Mix In Nutrition'!F:F,0))+(($V21 / 100)  * _xlfn.XLOOKUP($H21,'Sweetener Mix In Nutrition'!A:A,'Sweetener Mix In Nutrition'!F:F,0))+(($W21 / 100)  * _xlfn.XLOOKUP($I21,'Sweetener Mix In Nutrition'!A:A,'Sweetener Mix In Nutrition'!F:F,0))</f>
        <v>0</v>
      </c>
      <c r="AI21" s="10">
        <f>(AH21+Specs!$R$2+Specs!$S$2)*Specs!$N$2</f>
        <v>0.78</v>
      </c>
    </row>
    <row r="22" spans="16:35" x14ac:dyDescent="0.25">
      <c r="P22" t="e">
        <f>(_xlfn.XLOOKUP($J22,Specs!A:A,Specs!B:B,0)-$R22-$S22-(($T22/MAX(1,_xlfn.XLOOKUP($F22,'Solid Mix In Nutrition'!A:A,'Solid Mix In Nutrition'!I:I,1)))*240)-(($U22/MAX(1,_xlfn.XLOOKUP($G22,'Solid Mix In Nutrition'!A:A,'Solid Mix In Nutrition'!I:I,1)))*240))*0.66</f>
        <v>#VALUE!</v>
      </c>
      <c r="Q22" t="e">
        <f>(_xlfn.XLOOKUP($J22,Specs!A:A,Specs!B:B,0)-$R22-$S22-(($T22/MAX(1,_xlfn.XLOOKUP($F22,'Solid Mix In Nutrition'!A:A,'Solid Mix In Nutrition'!I:I,1)))*240)-(($U22/MAX(1,_xlfn.XLOOKUP($G22,'Solid Mix In Nutrition'!A:A,'Solid Mix In Nutrition'!I:I,1)))*240))*0.33</f>
        <v>#VALUE!</v>
      </c>
      <c r="R22">
        <f>_xlfn.XLOOKUP($K22,Specs!$D:$D,Specs!$E:$E,0)*15*_xlfn.XLOOKUP($J22,Specs!$A:$A,Specs!$C:$C,0)</f>
        <v>0</v>
      </c>
      <c r="S22" t="e">
        <f>_xlfn.XLOOKUP($L22,Specs!$D:$D,Specs!$E:$E,0)*15*_xlfn.XLOOKUP($J22,Specs!$A:$A,Specs!$C:$C,0)</f>
        <v>#VALUE!</v>
      </c>
      <c r="T22">
        <f>( ((_xlfn.XLOOKUP($M22,Specs!$H:$H,Specs!$I:$I,0)*_xlfn.XLOOKUP($J22,Specs!$A:$A,Specs!$B:$B,0))/240) *_xlfn.XLOOKUP($F22,'Solid Mix In Nutrition'!A:A,'Solid Mix In Nutrition'!I:I,0)) *IF(AND(NOT($G22=0), COUNTA($G22)),0.5,1)</f>
        <v>0</v>
      </c>
      <c r="U22">
        <f>( ((_xlfn.XLOOKUP($M22,Specs!$H:$H,Specs!$I:$I,0)*_xlfn.XLOOKUP($J22,Specs!$A:$A,Specs!$B:$B,0))/240) *_xlfn.XLOOKUP($G22,'Solid Mix In Nutrition'!A:A,'Solid Mix In Nutrition'!I:I,0)) *IF(AND(NOT($G22=0), COUNTA($G22)),0.5,0)</f>
        <v>0</v>
      </c>
      <c r="V22">
        <f>_xlfn.XLOOKUP($N22,Specs!F:F,Specs!G:G,0)*100*_xlfn.XLOOKUP($J22,Specs!A:A,Specs!C:C,0)</f>
        <v>0</v>
      </c>
      <c r="W22">
        <f>_xlfn.XLOOKUP($O22,Specs!F:F,Specs!G:G,0)*100*_xlfn.XLOOKUP($J22,Specs!A:A,Specs!C:C,0)</f>
        <v>0</v>
      </c>
      <c r="X22" s="4" t="e">
        <f t="shared" si="0"/>
        <v>#VALUE!</v>
      </c>
      <c r="Y22" s="5" t="e">
        <f t="shared" si="1"/>
        <v>#VALUE!</v>
      </c>
      <c r="Z22" s="6" t="e">
        <f>(($P22 / 240) * _xlfn.XLOOKUP($B22,'Milk Types Nutrition Per Cup'!A:A,'Milk Types Nutrition Per Cup'!B:B,0)) +(($Q22 / 240)  * _xlfn.XLOOKUP($C22,'Milk Types Nutrition Per Cup'!A:A,'Milk Types Nutrition Per Cup'!B:B,0)) +(($R22 / 15)  * _xlfn.XLOOKUP($D22,'Liquid Mix In Nutrition'!A:A,'Liquid Mix In Nutrition'!B:B,0))+(($S22 / 15)  * _xlfn.XLOOKUP($E22,'Liquid Mix In Nutrition'!A:A,'Liquid Mix In Nutrition'!B:B,0))+(($T22 /MAX(1, _xlfn.XLOOKUP($F22,'Solid Mix In Nutrition'!A:A,'Solid Mix In Nutrition'!I:I,1)))  * _xlfn.XLOOKUP($F22,'Solid Mix In Nutrition'!A:A,'Solid Mix In Nutrition'!B:B,0))+(($U22 / MAX(1, _xlfn.XLOOKUP($G22,'Solid Mix In Nutrition'!A:A,'Solid Mix In Nutrition'!I:I,1))))+(($V22 / 100)  * _xlfn.XLOOKUP($H22,'Sweetener Mix In Nutrition'!A:A,'Sweetener Mix In Nutrition'!B:B,0))+(($W22 / 100)  * _xlfn.XLOOKUP($I22,'Sweetener Mix In Nutrition'!A:A,'Sweetener Mix In Nutrition'!B:B,0))</f>
        <v>#VALUE!</v>
      </c>
      <c r="AA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Nutrition'!E:E,0))+(($T22 / MAX(1, _xlfn.XLOOKUP($F22,'Solid Mix In Nutrition'!A:A,'Solid Mix In Nutrition'!I:I,1)))  * _xlfn.XLOOKUP($F22,'Solid Mix In Nutrition'!A:A,'Solid Mix In Nutrition'!E:E,0))+(($U22 / MAX(1, _xlfn.XLOOKUP($G22,'Solid Mix In Nutrition'!A:A,'Solid Mix In Nutrition'!I:I,1)))  * _xlfn.XLOOKUP($G22,'Solid Mix In Nutrition'!A:A,'Solid Mix In Nutrition'!G:G,0))+(($V22 / 100)  * _xlfn.XLOOKUP($H22,'Sweetener Mix In Nutrition'!A:A,'Sweetener Mix In Nutrition'!E:E,0))+(($W22 / 100)  * _xlfn.XLOOKUP($I22,'Sweetener Mix In Nutrition'!A:A,'Sweetener Mix In Nutrition'!E:E,0))</f>
        <v>#VALUE!</v>
      </c>
      <c r="AB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Nutrition'!E:E,0))+(($V22 / 100)  * _xlfn.XLOOKUP($H22,'Sweetener Mix In Nutrition'!A:A,'Sweetener Mix In Nutrition'!E:E,0))+(($W22 / 100)  * _xlfn.XLOOKUP($I22,'Sweetener Mix In Nutrition'!A:A,'Sweetener Mix In Nutrition'!E:E,0))</f>
        <v>#VALUE!</v>
      </c>
      <c r="AC22" s="7" t="e">
        <f>(($P22 / 240) * _xlfn.XLOOKUP($B22,'Milk Types Nutrition Per Cup'!A:A,'Milk Types Nutrition Per Cup'!C:C,0)) +(($Q22 / 240)  * _xlfn.XLOOKUP($C22,'Milk Types Nutrition Per Cup'!A:A,'Milk Types Nutrition Per Cup'!C:C,0)) +(($R22 / 15)  * _xlfn.XLOOKUP($D22,'Liquid Mix In Nutrition'!A:A,'Liquid Mix In Nutrition'!C:C,0))+(($S22 / 15)  * _xlfn.XLOOKUP($E22,'Liquid Mix In Nutrition'!A:A,'Liquid Mix In Nutrition'!C:C,0))+(($T22 / MAX(1, _xlfn.XLOOKUP($F22,'Solid Mix In Nutrition'!A:A,'Solid Mix In Nutrition'!I:I,1)))  * _xlfn.XLOOKUP($F22,'Solid Mix In Nutrition'!A:A,'Solid Mix In Nutrition'!C:C,0))+(($U22 / MAX(1, _xlfn.XLOOKUP($G22,'Solid Mix In Nutrition'!A:A,'Solid Mix In Nutrition'!I:I,1)))  * _xlfn.XLOOKUP($G22,'Solid Mix In Nutrition'!A:A,'Solid Mix In Nutrition'!C:C,0))+(($V22 / 100)  * _xlfn.XLOOKUP($H22,'Sweetener Mix In Nutrition'!A:A,'Sweetener Mix In Nutrition'!C:C,0))+(($W22 / 100)  * _xlfn.XLOOKUP($I22,'Sweetener Mix In Nutrition'!A:A,'Sweetener Mix In Nutrition'!C:C,0))</f>
        <v>#VALUE!</v>
      </c>
      <c r="AD22" s="8" t="e">
        <f>$AC22 / (_xlfn.XLOOKUP($J22,Specs!A:A,Specs!B:B,0))</f>
        <v>#VALUE!</v>
      </c>
      <c r="AE22" s="7" t="e">
        <f>60* ($Z22 / _xlfn.XLOOKUP($J22,Specs!$A:$A,Specs!$B:$B,0))</f>
        <v>#VALUE!</v>
      </c>
      <c r="AF22" s="7" t="e">
        <f>60* (AA22 / _xlfn.XLOOKUP($J22,Specs!$A:$A,Specs!$B:$B,0))</f>
        <v>#VALUE!</v>
      </c>
      <c r="AG22" s="7" t="e">
        <f>60* (AC22 / _xlfn.XLOOKUP($J22,Specs!$A:$A,Specs!$B:$B,0))</f>
        <v>#VALUE!</v>
      </c>
      <c r="AH22" s="9" t="e">
        <f>(($P22 / 240) * _xlfn.XLOOKUP($B22,'Milk Types Nutrition Per Cup'!A:A,'Milk Types Nutrition Per Cup'!F:F,0)) +(($Q22 / 240)  * _xlfn.XLOOKUP($C22,'Milk Types Nutrition Per Cup'!A:A,'Milk Types Nutrition Per Cup'!F:F,0)) +(($R22 / 15)  * _xlfn.XLOOKUP($D22,'Liquid Mix In Nutrition'!A:A,'Liquid Mix In Nutrition'!F:F,0))+(($S22 / 15)  * _xlfn.XLOOKUP($E22,'Liquid Mix In Nutrition'!A:A,'Liquid Mix In Nutrition'!F:F,0))+(($T22 / MAX(1, _xlfn.XLOOKUP($F22,'Solid Mix In Nutrition'!A:A,'Solid Mix In Nutrition'!I:I,1)))  * _xlfn.XLOOKUP($F22,'Solid Mix In Nutrition'!A:A,'Solid Mix In Nutrition'!F:F,0))+(($U22 / MAX(1, _xlfn.XLOOKUP($G22,'Solid Mix In Nutrition'!A:A,'Solid Mix In Nutrition'!I:I,1)))  * _xlfn.XLOOKUP($G22,'Solid Mix In Nutrition'!A:A,'Solid Mix In Nutrition'!F:F,0))+(($V22 / 100)  * _xlfn.XLOOKUP($H22,'Sweetener Mix In Nutrition'!A:A,'Sweetener Mix In Nutrition'!F:F,0))+(($W22 / 100)  * _xlfn.XLOOKUP($I22,'Sweetener Mix In Nutrition'!A:A,'Sweetener Mix In Nutrition'!F:F,0))</f>
        <v>#VALUE!</v>
      </c>
      <c r="AI22" s="10" t="e">
        <f>(AH22+Specs!$R$2+Specs!$S$2)*Specs!$N$2</f>
        <v>#VALUE!</v>
      </c>
    </row>
    <row r="23" spans="16:35" x14ac:dyDescent="0.25">
      <c r="P23">
        <f>(_xlfn.XLOOKUP($J23,Specs!A:A,Specs!B:B,0)-$R23-$S23-(($T23/MAX(1,_xlfn.XLOOKUP($F23,'Solid Mix In Nutrition'!A:A,'Solid Mix In Nutrition'!I:I,1)))*240)-(($U23/MAX(1,_xlfn.XLOOKUP($G23,'Solid Mix In Nutrition'!A:A,'Solid Mix In Nutrition'!I:I,1)))*240))*0.66</f>
        <v>0</v>
      </c>
      <c r="Q23">
        <f>(_xlfn.XLOOKUP($J23,Specs!A:A,Specs!B:B,0)-$R23-$S23-(($T23/MAX(1,_xlfn.XLOOKUP($F23,'Solid Mix In Nutrition'!A:A,'Solid Mix In Nutrition'!I:I,1)))*240)-(($U23/MAX(1,_xlfn.XLOOKUP($G23,'Solid Mix In Nutrition'!A:A,'Solid Mix In Nutrition'!I:I,1)))*240))*0.33</f>
        <v>0</v>
      </c>
      <c r="R23">
        <f>_xlfn.XLOOKUP($K23,Specs!$D:$D,Specs!$E:$E,0)*15*_xlfn.XLOOKUP($J23,Specs!$A:$A,Specs!$C:$C,0)</f>
        <v>0</v>
      </c>
      <c r="S23">
        <f>_xlfn.XLOOKUP($L23,Specs!$D:$D,Specs!$E:$E,0)*15*_xlfn.XLOOKUP($J23,Specs!$A:$A,Specs!$C:$C,0)</f>
        <v>0</v>
      </c>
      <c r="T23">
        <f>( ((_xlfn.XLOOKUP($M23,Specs!$H:$H,Specs!$I:$I,0)*_xlfn.XLOOKUP($J23,Specs!$A:$A,Specs!$B:$B,0))/240) *_xlfn.XLOOKUP($F23,'Solid Mix In Nutrition'!A:A,'Solid Mix In Nutrition'!I:I,0)) *IF(AND(NOT($G23=0), COUNTA($G23)),0.5,1)</f>
        <v>0</v>
      </c>
      <c r="U23">
        <f>( ((_xlfn.XLOOKUP($M23,Specs!$H:$H,Specs!$I:$I,0)*_xlfn.XLOOKUP($J23,Specs!$A:$A,Specs!$B:$B,0))/240) *_xlfn.XLOOKUP($G23,'Solid Mix In Nutrition'!A:A,'Solid Mix In Nutrition'!I:I,0)) *IF(AND(NOT($G23=0), COUNTA($G23)),0.5,0)</f>
        <v>0</v>
      </c>
      <c r="V23">
        <f>_xlfn.XLOOKUP($N23,Specs!F:F,Specs!G:G,0)*100*_xlfn.XLOOKUP($J23,Specs!A:A,Specs!C:C,0)</f>
        <v>0</v>
      </c>
      <c r="W23" t="e">
        <f>_xlfn.XLOOKUP($O23,Specs!F:F,Specs!G:G,0)*100*_xlfn.XLOOKUP($J23,Specs!A:A,Specs!C:C,0)</f>
        <v>#VALUE!</v>
      </c>
      <c r="X23" s="4" t="e">
        <f t="shared" si="0"/>
        <v>#VALUE!</v>
      </c>
      <c r="Y23" s="5" t="e">
        <f t="shared" si="1"/>
        <v>#VALUE!</v>
      </c>
      <c r="Z23" s="6" t="e">
        <f>(($P23 / 240) * _xlfn.XLOOKUP($B23,'Milk Types Nutrition Per Cup'!A:A,'Milk Types Nutrition Per Cup'!B:B,0)) +(($Q23 / 240)  * _xlfn.XLOOKUP($C23,'Milk Types Nutrition Per Cup'!A:A,'Milk Types Nutrition Per Cup'!B:B,0)) +(($R23 / 15)  * _xlfn.XLOOKUP($D23,'Liquid Mix In Nutrition'!A:A,'Liquid Mix In Nutrition'!B:B,0))+(($S23 / 15)  * _xlfn.XLOOKUP($E23,'Liquid Mix In Nutrition'!A:A,'Liquid Mix In Nutrition'!B:B,0))+(($T23 /MAX(1, _xlfn.XLOOKUP($F23,'Solid Mix In Nutrition'!A:A,'Solid Mix In Nutrition'!I:I,1)))  * _xlfn.XLOOKUP($F23,'Solid Mix In Nutrition'!A:A,'Solid Mix In Nutrition'!B:B,0))+(($U23 / MAX(1, _xlfn.XLOOKUP($G23,'Solid Mix In Nutrition'!A:A,'Solid Mix In Nutrition'!I:I,1))))+(($V23 / 100)  * _xlfn.XLOOKUP($H23,'Sweetener Mix In Nutrition'!A:A,'Sweetener Mix In Nutrition'!B:B,0))+(($W23 / 100)  * _xlfn.XLOOKUP($I23,'Sweetener Mix In Nutrition'!A:A,'Sweetener Mix In Nutrition'!B:B,0))</f>
        <v>#VALUE!</v>
      </c>
      <c r="AA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Nutrition'!E:E,0))+(($T23 / MAX(1, _xlfn.XLOOKUP($F23,'Solid Mix In Nutrition'!A:A,'Solid Mix In Nutrition'!I:I,1)))  * _xlfn.XLOOKUP($F23,'Solid Mix In Nutrition'!A:A,'Solid Mix In Nutrition'!E:E,0))+(($U23 / MAX(1, _xlfn.XLOOKUP($G23,'Solid Mix In Nutrition'!A:A,'Solid Mix In Nutrition'!I:I,1)))  * _xlfn.XLOOKUP($G23,'Solid Mix In Nutrition'!A:A,'Solid Mix In Nutrition'!G:G,0))+(($V23 / 100)  * _xlfn.XLOOKUP($H23,'Sweetener Mix In Nutrition'!A:A,'Sweetener Mix In Nutrition'!E:E,0))+(($W23 / 100)  * _xlfn.XLOOKUP($I23,'Sweetener Mix In Nutrition'!A:A,'Sweetener Mix In Nutrition'!E:E,0))</f>
        <v>#VALUE!</v>
      </c>
      <c r="AB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Nutrition'!E:E,0))+(($V23 / 100)  * _xlfn.XLOOKUP($H23,'Sweetener Mix In Nutrition'!A:A,'Sweetener Mix In Nutrition'!E:E,0))+(($W23 / 100)  * _xlfn.XLOOKUP($I23,'Sweetener Mix In Nutrition'!A:A,'Sweetener Mix In Nutrition'!E:E,0))</f>
        <v>#VALUE!</v>
      </c>
      <c r="AC23" s="7" t="e">
        <f>(($P23 / 240) * _xlfn.XLOOKUP($B23,'Milk Types Nutrition Per Cup'!A:A,'Milk Types Nutrition Per Cup'!C:C,0)) +(($Q23 / 240)  * _xlfn.XLOOKUP($C23,'Milk Types Nutrition Per Cup'!A:A,'Milk Types Nutrition Per Cup'!C:C,0)) +(($R23 / 15)  * _xlfn.XLOOKUP($D23,'Liquid Mix In Nutrition'!A:A,'Liquid Mix In Nutrition'!C:C,0))+(($S23 / 15)  * _xlfn.XLOOKUP($E23,'Liquid Mix In Nutrition'!A:A,'Liquid Mix In Nutrition'!C:C,0))+(($T23 / MAX(1, _xlfn.XLOOKUP($F23,'Solid Mix In Nutrition'!A:A,'Solid Mix In Nutrition'!I:I,1)))  * _xlfn.XLOOKUP($F23,'Solid Mix In Nutrition'!A:A,'Solid Mix In Nutrition'!C:C,0))+(($U23 / MAX(1, _xlfn.XLOOKUP($G23,'Solid Mix In Nutrition'!A:A,'Solid Mix In Nutrition'!I:I,1)))  * _xlfn.XLOOKUP($G23,'Solid Mix In Nutrition'!A:A,'Solid Mix In Nutrition'!C:C,0))+(($V23 / 100)  * _xlfn.XLOOKUP($H23,'Sweetener Mix In Nutrition'!A:A,'Sweetener Mix In Nutrition'!C:C,0))+(($W23 / 100)  * _xlfn.XLOOKUP($I23,'Sweetener Mix In Nutrition'!A:A,'Sweetener Mix In Nutrition'!C:C,0))</f>
        <v>#VALUE!</v>
      </c>
      <c r="AD23" s="8" t="e">
        <f>$AC23 / (_xlfn.XLOOKUP($J23,Specs!A:A,Specs!B:B,0))</f>
        <v>#VALUE!</v>
      </c>
      <c r="AE23" s="7" t="e">
        <f>60* ($Z23 / _xlfn.XLOOKUP($J23,Specs!$A:$A,Specs!$B:$B,0))</f>
        <v>#VALUE!</v>
      </c>
      <c r="AF23" s="7" t="e">
        <f>60* (AA23 / _xlfn.XLOOKUP($J23,Specs!$A:$A,Specs!$B:$B,0))</f>
        <v>#VALUE!</v>
      </c>
      <c r="AG23" s="7" t="e">
        <f>60* (AC23 / _xlfn.XLOOKUP($J23,Specs!$A:$A,Specs!$B:$B,0))</f>
        <v>#VALUE!</v>
      </c>
      <c r="AH23" s="9" t="e">
        <f>(($P23 / 240) * _xlfn.XLOOKUP($B23,'Milk Types Nutrition Per Cup'!A:A,'Milk Types Nutrition Per Cup'!F:F,0)) +(($Q23 / 240)  * _xlfn.XLOOKUP($C23,'Milk Types Nutrition Per Cup'!A:A,'Milk Types Nutrition Per Cup'!F:F,0)) +(($R23 / 15)  * _xlfn.XLOOKUP($D23,'Liquid Mix In Nutrition'!A:A,'Liquid Mix In Nutrition'!F:F,0))+(($S23 / 15)  * _xlfn.XLOOKUP($E23,'Liquid Mix In Nutrition'!A:A,'Liquid Mix In Nutrition'!F:F,0))+(($T23 / MAX(1, _xlfn.XLOOKUP($F23,'Solid Mix In Nutrition'!A:A,'Solid Mix In Nutrition'!I:I,1)))  * _xlfn.XLOOKUP($F23,'Solid Mix In Nutrition'!A:A,'Solid Mix In Nutrition'!F:F,0))+(($U23 / MAX(1, _xlfn.XLOOKUP($G23,'Solid Mix In Nutrition'!A:A,'Solid Mix In Nutrition'!I:I,1)))  * _xlfn.XLOOKUP($G23,'Solid Mix In Nutrition'!A:A,'Solid Mix In Nutrition'!F:F,0))+(($V23 / 100)  * _xlfn.XLOOKUP($H23,'Sweetener Mix In Nutrition'!A:A,'Sweetener Mix In Nutrition'!F:F,0))+(($W23 / 100)  * _xlfn.XLOOKUP($I23,'Sweetener Mix In Nutrition'!A:A,'Sweetener Mix In Nutrition'!F:F,0))</f>
        <v>#VALUE!</v>
      </c>
      <c r="AI23" s="10" t="e">
        <f>(AH23+Specs!$R$2+Specs!$S$2)*Specs!$N$2</f>
        <v>#VALUE!</v>
      </c>
    </row>
    <row r="24" spans="16:35" x14ac:dyDescent="0.25">
      <c r="P24">
        <f>(_xlfn.XLOOKUP($J24,Specs!A:A,Specs!B:B,0)-$R24-$S24-(($T24/MAX(1,_xlfn.XLOOKUP($F24,'Solid Mix In Nutrition'!A:A,'Solid Mix In Nutrition'!I:I,1)))*240)-(($U24/MAX(1,_xlfn.XLOOKUP($G24,'Solid Mix In Nutrition'!A:A,'Solid Mix In Nutrition'!I:I,1)))*240))*0.66</f>
        <v>0</v>
      </c>
      <c r="Q24">
        <f>(_xlfn.XLOOKUP($J24,Specs!A:A,Specs!B:B,0)-$R24-$S24-(($T24/MAX(1,_xlfn.XLOOKUP($F24,'Solid Mix In Nutrition'!A:A,'Solid Mix In Nutrition'!I:I,1)))*240)-(($U24/MAX(1,_xlfn.XLOOKUP($G24,'Solid Mix In Nutrition'!A:A,'Solid Mix In Nutrition'!I:I,1)))*240))*0.33</f>
        <v>0</v>
      </c>
      <c r="R24">
        <f>_xlfn.XLOOKUP($K24,Specs!$D:$D,Specs!$E:$E,0)*15*_xlfn.XLOOKUP($J24,Specs!$A:$A,Specs!$C:$C,0)</f>
        <v>0</v>
      </c>
      <c r="S24">
        <f>_xlfn.XLOOKUP($L24,Specs!$D:$D,Specs!$E:$E,0)*15*_xlfn.XLOOKUP($J24,Specs!$A:$A,Specs!$C:$C,0)</f>
        <v>0</v>
      </c>
      <c r="T24">
        <f>( ((_xlfn.XLOOKUP($M24,Specs!$H:$H,Specs!$I:$I,0)*_xlfn.XLOOKUP($J24,Specs!$A:$A,Specs!$B:$B,0))/240) *_xlfn.XLOOKUP($F24,'Solid Mix In Nutrition'!A:A,'Solid Mix In Nutrition'!I:I,0)) *IF(AND(NOT($G24=0), COUNTA($G24)),0.5,1)</f>
        <v>0</v>
      </c>
      <c r="U24">
        <f>( ((_xlfn.XLOOKUP($M24,Specs!$H:$H,Specs!$I:$I,0)*_xlfn.XLOOKUP($J24,Specs!$A:$A,Specs!$B:$B,0))/240) *_xlfn.XLOOKUP($G24,'Solid Mix In Nutrition'!A:A,'Solid Mix In Nutrition'!I:I,0)) *IF(AND(NOT($G24=0), COUNTA($G24)),0.5,0)</f>
        <v>0</v>
      </c>
      <c r="V24">
        <f>_xlfn.XLOOKUP($N24,Specs!F:F,Specs!G:G,0)*100*_xlfn.XLOOKUP($J24,Specs!A:A,Specs!C:C,0)</f>
        <v>0</v>
      </c>
      <c r="W24">
        <f>_xlfn.XLOOKUP($O24,Specs!F:F,Specs!G:G,0)*100*_xlfn.XLOOKUP($J24,Specs!A:A,Specs!C:C,0)</f>
        <v>0</v>
      </c>
      <c r="X24" s="4">
        <f t="shared" si="0"/>
        <v>0</v>
      </c>
      <c r="Y24" s="5">
        <f t="shared" si="1"/>
        <v>0</v>
      </c>
      <c r="Z24" s="6">
        <f>(($P24 / 240) * _xlfn.XLOOKUP($B24,'Milk Types Nutrition Per Cup'!A:A,'Milk Types Nutrition Per Cup'!B:B,0)) +(($Q24 / 240)  * _xlfn.XLOOKUP($C24,'Milk Types Nutrition Per Cup'!A:A,'Milk Types Nutrition Per Cup'!B:B,0)) +(($R24 / 15)  * _xlfn.XLOOKUP($D24,'Liquid Mix In Nutrition'!A:A,'Liquid Mix In Nutrition'!B:B,0))+(($S24 / 15)  * _xlfn.XLOOKUP($E24,'Liquid Mix In Nutrition'!A:A,'Liquid Mix In Nutrition'!B:B,0))+(($T24 /MAX(1, _xlfn.XLOOKUP($F24,'Solid Mix In Nutrition'!A:A,'Solid Mix In Nutrition'!I:I,1)))  * _xlfn.XLOOKUP($F24,'Solid Mix In Nutrition'!A:A,'Solid Mix In Nutrition'!B:B,0))+(($U24 / MAX(1, _xlfn.XLOOKUP($G24,'Solid Mix In Nutrition'!A:A,'Solid Mix In Nutrition'!I:I,1))))+(($V24 / 100)  * _xlfn.XLOOKUP($H24,'Sweetener Mix In Nutrition'!A:A,'Sweetener Mix In Nutrition'!B:B,0))+(($W24 / 100)  * _xlfn.XLOOKUP($I24,'Sweetener Mix In Nutrition'!A:A,'Sweetener Mix In Nutrition'!B:B,0))</f>
        <v>0</v>
      </c>
      <c r="AA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Nutrition'!E:E,0))+(($T24 / MAX(1, _xlfn.XLOOKUP($F24,'Solid Mix In Nutrition'!A:A,'Solid Mix In Nutrition'!I:I,1)))  * _xlfn.XLOOKUP($F24,'Solid Mix In Nutrition'!A:A,'Solid Mix In Nutrition'!E:E,0))+(($U24 / MAX(1, _xlfn.XLOOKUP($G24,'Solid Mix In Nutrition'!A:A,'Solid Mix In Nutrition'!I:I,1)))  * _xlfn.XLOOKUP($G24,'Solid Mix In Nutrition'!A:A,'Solid Mix In Nutrition'!G:G,0))+(($V24 / 100)  * _xlfn.XLOOKUP($H24,'Sweetener Mix In Nutrition'!A:A,'Sweetener Mix In Nutrition'!E:E,0))+(($W24 / 100)  * _xlfn.XLOOKUP($I24,'Sweetener Mix In Nutrition'!A:A,'Sweetener Mix In Nutrition'!E:E,0))</f>
        <v>0</v>
      </c>
      <c r="AB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Nutrition'!E:E,0))+(($V24 / 100)  * _xlfn.XLOOKUP($H24,'Sweetener Mix In Nutrition'!A:A,'Sweetener Mix In Nutrition'!E:E,0))+(($W24 / 100)  * _xlfn.XLOOKUP($I24,'Sweetener Mix In Nutrition'!A:A,'Sweetener Mix In Nutrition'!E:E,0))</f>
        <v>0</v>
      </c>
      <c r="AC24" s="7">
        <f>(($P24 / 240) * _xlfn.XLOOKUP($B24,'Milk Types Nutrition Per Cup'!A:A,'Milk Types Nutrition Per Cup'!C:C,0)) +(($Q24 / 240)  * _xlfn.XLOOKUP($C24,'Milk Types Nutrition Per Cup'!A:A,'Milk Types Nutrition Per Cup'!C:C,0)) +(($R24 / 15)  * _xlfn.XLOOKUP($D24,'Liquid Mix In Nutrition'!A:A,'Liquid Mix In Nutrition'!C:C,0))+(($S24 / 15)  * _xlfn.XLOOKUP($E24,'Liquid Mix In Nutrition'!A:A,'Liquid Mix In Nutrition'!C:C,0))+(($T24 / MAX(1, _xlfn.XLOOKUP($F24,'Solid Mix In Nutrition'!A:A,'Solid Mix In Nutrition'!I:I,1)))  * _xlfn.XLOOKUP($F24,'Solid Mix In Nutrition'!A:A,'Solid Mix In Nutrition'!C:C,0))+(($U24 / MAX(1, _xlfn.XLOOKUP($G24,'Solid Mix In Nutrition'!A:A,'Solid Mix In Nutrition'!I:I,1)))  * _xlfn.XLOOKUP($G24,'Solid Mix In Nutrition'!A:A,'Solid Mix In Nutrition'!C:C,0))+(($V24 / 100)  * _xlfn.XLOOKUP($H24,'Sweetener Mix In Nutrition'!A:A,'Sweetener Mix In Nutrition'!C:C,0))+(($W24 / 100)  * _xlfn.XLOOKUP($I24,'Sweetener Mix In Nutrition'!A:A,'Sweetener Mix In Nutrition'!C:C,0))</f>
        <v>0</v>
      </c>
      <c r="AD24" s="8" t="e">
        <f>$AC24 / (_xlfn.XLOOKUP($J24,Specs!A:A,Specs!B:B,0))</f>
        <v>#DIV/0!</v>
      </c>
      <c r="AE24" s="7" t="e">
        <f>60* ($Z24 / _xlfn.XLOOKUP($J24,Specs!$A:$A,Specs!$B:$B,0))</f>
        <v>#DIV/0!</v>
      </c>
      <c r="AF24" s="7" t="e">
        <f>60* (AA24 / _xlfn.XLOOKUP($J24,Specs!$A:$A,Specs!$B:$B,0))</f>
        <v>#DIV/0!</v>
      </c>
      <c r="AG24" s="7" t="e">
        <f>60* (AC24 / _xlfn.XLOOKUP($J24,Specs!$A:$A,Specs!$B:$B,0))</f>
        <v>#DIV/0!</v>
      </c>
      <c r="AH24" s="9">
        <f>(($P24 / 240) * _xlfn.XLOOKUP($B24,'Milk Types Nutrition Per Cup'!A:A,'Milk Types Nutrition Per Cup'!F:F,0)) +(($Q24 / 240)  * _xlfn.XLOOKUP($C24,'Milk Types Nutrition Per Cup'!A:A,'Milk Types Nutrition Per Cup'!F:F,0)) +(($R24 / 15)  * _xlfn.XLOOKUP($D24,'Liquid Mix In Nutrition'!A:A,'Liquid Mix In Nutrition'!F:F,0))+(($S24 / 15)  * _xlfn.XLOOKUP($E24,'Liquid Mix In Nutrition'!A:A,'Liquid Mix In Nutrition'!F:F,0))+(($T24 / MAX(1, _xlfn.XLOOKUP($F24,'Solid Mix In Nutrition'!A:A,'Solid Mix In Nutrition'!I:I,1)))  * _xlfn.XLOOKUP($F24,'Solid Mix In Nutrition'!A:A,'Solid Mix In Nutrition'!F:F,0))+(($U24 / MAX(1, _xlfn.XLOOKUP($G24,'Solid Mix In Nutrition'!A:A,'Solid Mix In Nutrition'!I:I,1)))  * _xlfn.XLOOKUP($G24,'Solid Mix In Nutrition'!A:A,'Solid Mix In Nutrition'!F:F,0))+(($V24 / 100)  * _xlfn.XLOOKUP($H24,'Sweetener Mix In Nutrition'!A:A,'Sweetener Mix In Nutrition'!F:F,0))+(($W24 / 100)  * _xlfn.XLOOKUP($I24,'Sweetener Mix In Nutrition'!A:A,'Sweetener Mix In Nutrition'!F:F,0))</f>
        <v>0</v>
      </c>
      <c r="AI24" s="10">
        <f>(AH24+Specs!$R$2+Specs!$S$2)*Specs!$N$2</f>
        <v>0.78</v>
      </c>
    </row>
    <row r="25" spans="16:35" x14ac:dyDescent="0.25">
      <c r="P25">
        <f>(_xlfn.XLOOKUP($J25,Specs!A:A,Specs!B:B,0)-$R25-$S25-(($T25/MAX(1,_xlfn.XLOOKUP($F25,'Solid Mix In Nutrition'!A:A,'Solid Mix In Nutrition'!I:I,1)))*240)-(($U25/MAX(1,_xlfn.XLOOKUP($G25,'Solid Mix In Nutrition'!A:A,'Solid Mix In Nutrition'!I:I,1)))*240))*0.66</f>
        <v>0</v>
      </c>
      <c r="Q25">
        <f>(_xlfn.XLOOKUP($J25,Specs!A:A,Specs!B:B,0)-$R25-$S25-(($T25/MAX(1,_xlfn.XLOOKUP($F25,'Solid Mix In Nutrition'!A:A,'Solid Mix In Nutrition'!I:I,1)))*240)-(($U25/MAX(1,_xlfn.XLOOKUP($G25,'Solid Mix In Nutrition'!A:A,'Solid Mix In Nutrition'!I:I,1)))*240))*0.33</f>
        <v>0</v>
      </c>
      <c r="R25">
        <f>_xlfn.XLOOKUP($K25,Specs!$D:$D,Specs!$E:$E,0)*15*_xlfn.XLOOKUP($J25,Specs!$A:$A,Specs!$C:$C,0)</f>
        <v>0</v>
      </c>
      <c r="S25">
        <f>_xlfn.XLOOKUP($L25,Specs!$D:$D,Specs!$E:$E,0)*15*_xlfn.XLOOKUP($J25,Specs!$A:$A,Specs!$C:$C,0)</f>
        <v>0</v>
      </c>
      <c r="T25">
        <f>( ((_xlfn.XLOOKUP($M25,Specs!$H:$H,Specs!$I:$I,0)*_xlfn.XLOOKUP($J25,Specs!$A:$A,Specs!$B:$B,0))/240) *_xlfn.XLOOKUP($F25,'Solid Mix In Nutrition'!A:A,'Solid Mix In Nutrition'!I:I,0)) *IF(AND(NOT($G25=0), COUNTA($G25)),0.5,1)</f>
        <v>0</v>
      </c>
      <c r="U25">
        <f>( ((_xlfn.XLOOKUP($M25,Specs!$H:$H,Specs!$I:$I,0)*_xlfn.XLOOKUP($J25,Specs!$A:$A,Specs!$B:$B,0))/240) *_xlfn.XLOOKUP($G25,'Solid Mix In Nutrition'!A:A,'Solid Mix In Nutrition'!I:I,0)) *IF(AND(NOT($G25=0), COUNTA($G25)),0.5,0)</f>
        <v>0</v>
      </c>
      <c r="V25">
        <f>_xlfn.XLOOKUP($N25,Specs!F:F,Specs!G:G,0)*100*_xlfn.XLOOKUP($J25,Specs!A:A,Specs!C:C,0)</f>
        <v>0</v>
      </c>
      <c r="W25">
        <f>_xlfn.XLOOKUP($O25,Specs!F:F,Specs!G:G,0)*100*_xlfn.XLOOKUP($J25,Specs!A:A,Specs!C:C,0)</f>
        <v>0</v>
      </c>
      <c r="X25" s="4">
        <f t="shared" si="0"/>
        <v>0</v>
      </c>
      <c r="Y25" s="5">
        <f t="shared" si="1"/>
        <v>0</v>
      </c>
      <c r="Z25" s="6">
        <f>(($P25 / 240) * _xlfn.XLOOKUP($B25,'Milk Types Nutrition Per Cup'!A:A,'Milk Types Nutrition Per Cup'!B:B,0)) +(($Q25 / 240)  * _xlfn.XLOOKUP($C25,'Milk Types Nutrition Per Cup'!A:A,'Milk Types Nutrition Per Cup'!B:B,0)) +(($R25 / 15)  * _xlfn.XLOOKUP($D25,'Liquid Mix In Nutrition'!A:A,'Liquid Mix In Nutrition'!B:B,0))+(($S25 / 15)  * _xlfn.XLOOKUP($E25,'Liquid Mix In Nutrition'!A:A,'Liquid Mix In Nutrition'!B:B,0))+(($T25 /MAX(1, _xlfn.XLOOKUP($F25,'Solid Mix In Nutrition'!A:A,'Solid Mix In Nutrition'!I:I,1)))  * _xlfn.XLOOKUP($F25,'Solid Mix In Nutrition'!A:A,'Solid Mix In Nutrition'!B:B,0))+(($U25 / MAX(1, _xlfn.XLOOKUP($G25,'Solid Mix In Nutrition'!A:A,'Solid Mix In Nutrition'!I:I,1))))+(($V25 / 100)  * _xlfn.XLOOKUP($H25,'Sweetener Mix In Nutrition'!A:A,'Sweetener Mix In Nutrition'!B:B,0))+(($W25 / 100)  * _xlfn.XLOOKUP($I25,'Sweetener Mix In Nutrition'!A:A,'Sweetener Mix In Nutrition'!B:B,0))</f>
        <v>0</v>
      </c>
      <c r="AA25" s="6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Nutrition'!E:E,0))+(($T25 / MAX(1, _xlfn.XLOOKUP($F25,'Solid Mix In Nutrition'!A:A,'Solid Mix In Nutrition'!I:I,1)))  * _xlfn.XLOOKUP($F25,'Solid Mix In Nutrition'!A:A,'Solid Mix In Nutrition'!E:E,0))+(($U25 / MAX(1, _xlfn.XLOOKUP($G25,'Solid Mix In Nutrition'!A:A,'Solid Mix In Nutrition'!I:I,1)))  * _xlfn.XLOOKUP($G25,'Solid Mix In Nutrition'!A:A,'Solid Mix In Nutrition'!G:G,0))+(($V25 / 100)  * _xlfn.XLOOKUP($H25,'Sweetener Mix In Nutrition'!A:A,'Sweetener Mix In Nutrition'!E:E,0))+(($W25 / 100)  * _xlfn.XLOOKUP($I25,'Sweetener Mix In Nutrition'!A:A,'Sweetener Mix In Nutrition'!E:E,0))</f>
        <v>0</v>
      </c>
      <c r="AB25" s="6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Nutrition'!E:E,0))+(($V25 / 100)  * _xlfn.XLOOKUP($H25,'Sweetener Mix In Nutrition'!A:A,'Sweetener Mix In Nutrition'!E:E,0))+(($W25 / 100)  * _xlfn.XLOOKUP($I25,'Sweetener Mix In Nutrition'!A:A,'Sweetener Mix In Nutrition'!E:E,0))</f>
        <v>0</v>
      </c>
      <c r="AC25" s="7">
        <f>(($P25 / 240) * _xlfn.XLOOKUP($B25,'Milk Types Nutrition Per Cup'!A:A,'Milk Types Nutrition Per Cup'!C:C,0)) +(($Q25 / 240)  * _xlfn.XLOOKUP($C25,'Milk Types Nutrition Per Cup'!A:A,'Milk Types Nutrition Per Cup'!C:C,0)) +(($R25 / 15)  * _xlfn.XLOOKUP($D25,'Liquid Mix In Nutrition'!A:A,'Liquid Mix In Nutrition'!C:C,0))+(($S25 / 15)  * _xlfn.XLOOKUP($E25,'Liquid Mix In Nutrition'!A:A,'Liquid Mix In Nutrition'!C:C,0))+(($T25 / MAX(1, _xlfn.XLOOKUP($F25,'Solid Mix In Nutrition'!A:A,'Solid Mix In Nutrition'!I:I,1)))  * _xlfn.XLOOKUP($F25,'Solid Mix In Nutrition'!A:A,'Solid Mix In Nutrition'!C:C,0))+(($U25 / MAX(1, _xlfn.XLOOKUP($G25,'Solid Mix In Nutrition'!A:A,'Solid Mix In Nutrition'!I:I,1)))  * _xlfn.XLOOKUP($G25,'Solid Mix In Nutrition'!A:A,'Solid Mix In Nutrition'!C:C,0))+(($V25 / 100)  * _xlfn.XLOOKUP($H25,'Sweetener Mix In Nutrition'!A:A,'Sweetener Mix In Nutrition'!C:C,0))+(($W25 / 100)  * _xlfn.XLOOKUP($I25,'Sweetener Mix In Nutrition'!A:A,'Sweetener Mix In Nutrition'!C:C,0))</f>
        <v>0</v>
      </c>
      <c r="AD25" s="8" t="e">
        <f>$AC25 / (_xlfn.XLOOKUP($J25,Specs!A:A,Specs!B:B,0))</f>
        <v>#DIV/0!</v>
      </c>
      <c r="AE25" s="7" t="e">
        <f>60* ($Z25 / _xlfn.XLOOKUP($J25,Specs!$A:$A,Specs!$B:$B,0))</f>
        <v>#DIV/0!</v>
      </c>
      <c r="AF25" s="7" t="e">
        <f>60* (AA25 / _xlfn.XLOOKUP($J25,Specs!$A:$A,Specs!$B:$B,0))</f>
        <v>#DIV/0!</v>
      </c>
      <c r="AG25" s="7" t="e">
        <f>60* (AC25 / _xlfn.XLOOKUP($J25,Specs!$A:$A,Specs!$B:$B,0))</f>
        <v>#DIV/0!</v>
      </c>
      <c r="AH25" s="9">
        <f>(($P25 / 240) * _xlfn.XLOOKUP($B25,'Milk Types Nutrition Per Cup'!A:A,'Milk Types Nutrition Per Cup'!F:F,0)) +(($Q25 / 240)  * _xlfn.XLOOKUP($C25,'Milk Types Nutrition Per Cup'!A:A,'Milk Types Nutrition Per Cup'!F:F,0)) +(($R25 / 15)  * _xlfn.XLOOKUP($D25,'Liquid Mix In Nutrition'!A:A,'Liquid Mix In Nutrition'!F:F,0))+(($S25 / 15)  * _xlfn.XLOOKUP($E25,'Liquid Mix In Nutrition'!A:A,'Liquid Mix In Nutrition'!F:F,0))+(($T25 / MAX(1, _xlfn.XLOOKUP($F25,'Solid Mix In Nutrition'!A:A,'Solid Mix In Nutrition'!I:I,1)))  * _xlfn.XLOOKUP($F25,'Solid Mix In Nutrition'!A:A,'Solid Mix In Nutrition'!F:F,0))+(($U25 / MAX(1, _xlfn.XLOOKUP($G25,'Solid Mix In Nutrition'!A:A,'Solid Mix In Nutrition'!I:I,1)))  * _xlfn.XLOOKUP($G25,'Solid Mix In Nutrition'!A:A,'Solid Mix In Nutrition'!F:F,0))+(($V25 / 100)  * _xlfn.XLOOKUP($H25,'Sweetener Mix In Nutrition'!A:A,'Sweetener Mix In Nutrition'!F:F,0))+(($W25 / 100)  * _xlfn.XLOOKUP($I25,'Sweetener Mix In Nutrition'!A:A,'Sweetener Mix In Nutrition'!F:F,0))</f>
        <v>0</v>
      </c>
      <c r="AI25" s="10">
        <f>(AH25+Specs!$R$2+Specs!$S$2)*Specs!$N$2</f>
        <v>0.78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63AB649C-2855-42C1-98C3-30D6F7D4C834}">
          <x14:formula1>
            <xm:f>'Sweetener Mix In Nutrition'!$A:$A</xm:f>
          </x14:formula1>
          <xm:sqref>I26:I456 H8:I8 H4:H7 H9:H242 H2:I3</xm:sqref>
        </x14:dataValidation>
        <x14:dataValidation type="list" allowBlank="1" showInputMessage="1" xr:uid="{0A2F4DB6-1139-4FC6-81AB-433BF00A6569}">
          <x14:formula1>
            <xm:f>'Sweetener Mix In Nutrition'!$A:$A</xm:f>
          </x14:formula1>
          <xm:sqref>I4:I25</xm:sqref>
        </x14:dataValidation>
        <x14:dataValidation type="list" allowBlank="1" showInputMessage="1" showErrorMessage="1" xr:uid="{E2591935-4E6B-4C5D-A4CF-018FD52E0A2F}">
          <x14:formula1>
            <xm:f>'Milk Types Nutrition Per Cup'!$A:$A</xm:f>
          </x14:formula1>
          <xm:sqref>B12:B31 B2:C11 C12:C32</xm:sqref>
        </x14:dataValidation>
        <x14:dataValidation type="list" allowBlank="1" showInputMessage="1" xr:uid="{2C794A39-0F2B-4D36-8368-56EAF664D693}">
          <x14:formula1>
            <xm:f>Specs!$D:$D</xm:f>
          </x14:formula1>
          <xm:sqref>K2:L31</xm:sqref>
        </x14:dataValidation>
        <x14:dataValidation type="list" allowBlank="1" showInputMessage="1" showErrorMessage="1" xr:uid="{8AD1A817-186E-443F-AAAB-99EF5C9E8CB3}">
          <x14:formula1>
            <xm:f>Specs!$H:$H</xm:f>
          </x14:formula1>
          <xm:sqref>M2:M32</xm:sqref>
        </x14:dataValidation>
        <x14:dataValidation type="list" allowBlank="1" showInputMessage="1" showErrorMessage="1" xr:uid="{C098A752-F4FE-4217-9466-87FA9759BD5F}">
          <x14:formula1>
            <xm:f>Specs!$A:$A</xm:f>
          </x14:formula1>
          <xm:sqref>K32:L45 J2:J45</xm:sqref>
        </x14:dataValidation>
        <x14:dataValidation type="list" allowBlank="1" showInputMessage="1" xr:uid="{79C9A56F-03A4-4218-ADB8-D02B93B8C452}">
          <x14:formula1>
            <xm:f>Specs!$F:$F</xm:f>
          </x14:formula1>
          <xm:sqref>H243:H252 N12:N212 O12:O87 N2:O11</xm:sqref>
        </x14:dataValidation>
        <x14:dataValidation type="list" showInputMessage="1" xr:uid="{6FFF4387-4A5F-4228-A0F2-BD2B3BEFBD5D}">
          <x14:formula1>
            <xm:f>'Solid Mix In Nutrition'!$A:$A</xm:f>
          </x14:formula1>
          <xm:sqref>F2:G30</xm:sqref>
        </x14:dataValidation>
        <x14:dataValidation type="list" allowBlank="1" xr:uid="{6E574111-B3DA-4054-B918-2134E9D7A5AE}">
          <x14:formula1>
            <xm:f>'Liquid Mix In Nutrition'!$A:$A</xm:f>
          </x14:formula1>
          <xm:sqref>D26:D31 D2:E3 E4:E31 D8</xm:sqref>
        </x14:dataValidation>
        <x14:dataValidation type="list" allowBlank="1" showInputMessage="1" xr:uid="{A0EBD6EC-AA6A-4B36-806C-D7712044FCB2}">
          <x14:formula1>
            <xm:f>'Liquid Mix In Nutrition'!$A:$A</xm:f>
          </x14:formula1>
          <xm:sqref>D4:D25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D7E40-B17A-46AF-BF58-07BADC7DD9DB}">
  <sheetPr codeName="Sheet9"/>
  <dimension ref="A1:AI25"/>
  <sheetViews>
    <sheetView zoomScale="60" zoomScaleNormal="6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9" width="23.7109375" bestFit="1" customWidth="1"/>
    <col min="20" max="21" width="21.28515625" bestFit="1" customWidth="1"/>
    <col min="22" max="23" width="24.140625" bestFit="1" customWidth="1"/>
    <col min="24" max="25" width="24.140625" customWidth="1"/>
    <col min="26" max="27" width="18.7109375" bestFit="1" customWidth="1"/>
    <col min="28" max="28" width="20.28515625" bestFit="1" customWidth="1"/>
    <col min="29" max="30" width="22.28515625" customWidth="1"/>
    <col min="31" max="33" width="22.28515625" bestFit="1" customWidth="1"/>
    <col min="34" max="34" width="11" bestFit="1" customWidth="1"/>
    <col min="35" max="35" width="20.28515625" bestFit="1" customWidth="1"/>
  </cols>
  <sheetData>
    <row r="1" spans="1:35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28</v>
      </c>
      <c r="S1" s="3" t="s">
        <v>29</v>
      </c>
      <c r="T1" s="3" t="s">
        <v>30</v>
      </c>
      <c r="U1" s="3" t="s">
        <v>31</v>
      </c>
      <c r="V1" s="3" t="s">
        <v>32</v>
      </c>
      <c r="W1" s="3" t="s">
        <v>33</v>
      </c>
      <c r="X1" s="3" t="s">
        <v>34</v>
      </c>
      <c r="Y1" s="3" t="s">
        <v>35</v>
      </c>
      <c r="Z1" s="1" t="s">
        <v>36</v>
      </c>
      <c r="AA1" s="1" t="s">
        <v>37</v>
      </c>
      <c r="AB1" s="1" t="s">
        <v>38</v>
      </c>
      <c r="AC1" s="1" t="s">
        <v>39</v>
      </c>
      <c r="AD1" s="1" t="s">
        <v>40</v>
      </c>
      <c r="AE1" s="1" t="s">
        <v>41</v>
      </c>
      <c r="AF1" s="1" t="s">
        <v>187</v>
      </c>
      <c r="AG1" s="1" t="s">
        <v>188</v>
      </c>
      <c r="AH1" s="1" t="s">
        <v>42</v>
      </c>
      <c r="AI1" s="1" t="s">
        <v>172</v>
      </c>
    </row>
    <row r="2" spans="1:35" x14ac:dyDescent="0.25">
      <c r="A2" t="s">
        <v>195</v>
      </c>
      <c r="B2" s="1" t="s">
        <v>62</v>
      </c>
      <c r="C2" s="1" t="s">
        <v>65</v>
      </c>
      <c r="D2" s="1" t="s">
        <v>176</v>
      </c>
      <c r="H2" s="1" t="s">
        <v>1</v>
      </c>
      <c r="I2" s="1" t="s">
        <v>196</v>
      </c>
      <c r="J2" t="s">
        <v>4</v>
      </c>
      <c r="K2" t="s">
        <v>157</v>
      </c>
      <c r="N2" t="s">
        <v>173</v>
      </c>
      <c r="O2" t="s">
        <v>159</v>
      </c>
      <c r="P2">
        <f>(_xlfn.XLOOKUP($J2,Specs!A:A,Specs!B:B,0)-$R2-$S2-(($T2/MAX(1,_xlfn.XLOOKUP($F2,'Solid Mix In Nutrition'!A:A,'Solid Mix In Nutrition'!I:I,1)))*240)-(($U2/MAX(1,_xlfn.XLOOKUP($G2,'Solid Mix In Nutrition'!A:A,'Solid Mix In Nutrition'!I:I,1)))*240))*0.66</f>
        <v>307.23</v>
      </c>
      <c r="Q2">
        <f>(_xlfn.XLOOKUP($J2,Specs!A:A,Specs!B:B,0)-$R2-$S2-(($T2/MAX(1,_xlfn.XLOOKUP($F2,'Solid Mix In Nutrition'!A:A,'Solid Mix In Nutrition'!I:I,1)))*240)-(($U2/MAX(1,_xlfn.XLOOKUP($G2,'Solid Mix In Nutrition'!A:A,'Solid Mix In Nutrition'!I:I,1)))*240))*0.33</f>
        <v>153.61500000000001</v>
      </c>
      <c r="R2">
        <f>_xlfn.XLOOKUP($K2,Specs!$D:$D,Specs!$E:$E,0)*15*_xlfn.XLOOKUP($J2,Specs!$A:$A,Specs!$C:$C,0)</f>
        <v>7.5</v>
      </c>
      <c r="S2">
        <f>_xlfn.XLOOKUP($L2,Specs!$D:$D,Specs!$E:$E,0)*15*_xlfn.XLOOKUP($J2,Specs!$A:$A,Specs!$C:$C,0)</f>
        <v>0</v>
      </c>
      <c r="T2">
        <f>( ((_xlfn.XLOOKUP($M2,Specs!$H:$H,Specs!$I:$I,0)*_xlfn.XLOOKUP($J2,Specs!$A:$A,Specs!$B:$B,0))/240) *_xlfn.XLOOKUP($F2,'Solid Mix In Nutrition'!A:A,'Solid Mix In Nutrition'!I:I,0)) *IF(AND(NOT($G2=0), COUNTA($G2)),0.5,1)</f>
        <v>0</v>
      </c>
      <c r="U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V2">
        <f>_xlfn.XLOOKUP($N2,Specs!F:F,Specs!G:G,0)*100*_xlfn.XLOOKUP($J2,Specs!A:A,Specs!C:C,0)</f>
        <v>50</v>
      </c>
      <c r="W2">
        <f>_xlfn.XLOOKUP($O2,Specs!F:F,Specs!G:G,0)*100*_xlfn.XLOOKUP($J2,Specs!A:A,Specs!C:C,0)</f>
        <v>0</v>
      </c>
      <c r="X2" s="4">
        <f>($P2+$Q2+$R2+$V2+$W2)*IF(ISNUMBER(SEARCH("Fat Free",$B2)),0.0036,0.0012)</f>
        <v>0.62201399999999996</v>
      </c>
      <c r="Y2" s="5">
        <f>CEILING(CONVERT(($P2+$Q2+$R2+$V2+$W2)*IF(ISNUMBER(SEARCH("Fat Free",$B2)),0.0036,0.0012),"ml","tsp"),0.25)</f>
        <v>0.25</v>
      </c>
      <c r="Z2" s="6">
        <f>(($P2 / 240) * _xlfn.XLOOKUP($B2,'Milk Types Nutrition Per Cup'!A:A,'Milk Types Nutrition Per Cup'!B:B,0)) +(($Q2 / 240)  * _xlfn.XLOOKUP($C2,'Milk Types Nutrition Per Cup'!A:A,'Milk Types Nutrition Per Cup'!B:B,0)) +(($R2 / 15)  * _xlfn.XLOOKUP($D2,'Liquid Mix In Nutrition'!A:A,'Liquid Mix In Nutrition'!B:B,0))+(($S2 / 15)  * _xlfn.XLOOKUP($E2,'Liquid Mix In Nutrition'!A:A,'Liquid Mix In Nutrition'!B:B,0))+(($T2 /MAX(1, _xlfn.XLOOKUP($F2,'Solid Mix In Nutrition'!A:A,'Solid Mix In Nutrition'!I:I,1)))  * _xlfn.XLOOKUP($F2,'Solid Mix In Nutrition'!A:A,'Solid Mix In Nutrition'!B:B,0))+(($U2 / MAX(1, _xlfn.XLOOKUP($G2,'Solid Mix In Nutrition'!A:A,'Solid Mix In Nutrition'!I:I,1))))+(($V2 / 100)  * _xlfn.XLOOKUP($H2,'Sweetener Mix In Nutrition'!A:A,'Sweetener Mix In Nutrition'!B:B,0))+(($W2 / 100)  * _xlfn.XLOOKUP($I2,'Sweetener Mix In Nutrition'!A:A,'Sweetener Mix In Nutrition'!B:B,0))</f>
        <v>1458.67</v>
      </c>
      <c r="AA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Nutrition'!E:E,0))+(($T2 / MAX(1, _xlfn.XLOOKUP($F2,'Solid Mix In Nutrition'!A:A,'Solid Mix In Nutrition'!I:I,1)))  * _xlfn.XLOOKUP($F2,'Solid Mix In Nutrition'!A:A,'Solid Mix In Nutrition'!E:E,0))+(($U2 / MAX(1, _xlfn.XLOOKUP($G2,'Solid Mix In Nutrition'!A:A,'Solid Mix In Nutrition'!I:I,1)))  * _xlfn.XLOOKUP($G2,'Solid Mix In Nutrition'!A:A,'Solid Mix In Nutrition'!G:G,0))+(($V2 / 100)  * _xlfn.XLOOKUP($H2,'Sweetener Mix In Nutrition'!A:A,'Sweetener Mix In Nutrition'!E:E,0))+(($W2 / 100)  * _xlfn.XLOOKUP($I2,'Sweetener Mix In Nutrition'!A:A,'Sweetener Mix In Nutrition'!E:E,0))</f>
        <v>56.770499999999998</v>
      </c>
      <c r="AB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Nutrition'!E:E,0))+(($V2 / 100)  * _xlfn.XLOOKUP($H2,'Sweetener Mix In Nutrition'!A:A,'Sweetener Mix In Nutrition'!E:E,0))+(($W2 / 100)  * _xlfn.XLOOKUP($I2,'Sweetener Mix In Nutrition'!A:A,'Sweetener Mix In Nutrition'!E:E,0))</f>
        <v>56.770499999999998</v>
      </c>
      <c r="AC2" s="7">
        <f>(($P2 / 240) * _xlfn.XLOOKUP($B2,'Milk Types Nutrition Per Cup'!A:A,'Milk Types Nutrition Per Cup'!C:C,0)) +(($Q2 / 240)  * _xlfn.XLOOKUP($C2,'Milk Types Nutrition Per Cup'!A:A,'Milk Types Nutrition Per Cup'!C:C,0)) +(($R2 / 15)  * _xlfn.XLOOKUP($D2,'Liquid Mix In Nutrition'!A:A,'Liquid Mix In Nutrition'!C:C,0))+(($S2 / 15)  * _xlfn.XLOOKUP($E2,'Liquid Mix In Nutrition'!A:A,'Liquid Mix In Nutrition'!C:C,0))+(($T2 / MAX(1, _xlfn.XLOOKUP($F2,'Solid Mix In Nutrition'!A:A,'Solid Mix In Nutrition'!I:I,1)))  * _xlfn.XLOOKUP($F2,'Solid Mix In Nutrition'!A:A,'Solid Mix In Nutrition'!C:C,0))+(($U2 / MAX(1, _xlfn.XLOOKUP($G2,'Solid Mix In Nutrition'!A:A,'Solid Mix In Nutrition'!I:I,1)))  * _xlfn.XLOOKUP($G2,'Solid Mix In Nutrition'!A:A,'Solid Mix In Nutrition'!C:C,0))+(($V2 / 100)  * _xlfn.XLOOKUP($H2,'Sweetener Mix In Nutrition'!A:A,'Sweetener Mix In Nutrition'!C:C,0))+(($W2 / 100)  * _xlfn.XLOOKUP($I2,'Sweetener Mix In Nutrition'!A:A,'Sweetener Mix In Nutrition'!C:C,0))</f>
        <v>140.81375000000003</v>
      </c>
      <c r="AD2" s="8">
        <f>$AC2 / (_xlfn.XLOOKUP($J2,Specs!A:A,Specs!B:B,0))</f>
        <v>0.29770348837209309</v>
      </c>
      <c r="AE2" s="7">
        <f>60* ($Z2 / _xlfn.XLOOKUP($J2,Specs!$A:$A,Specs!$B:$B,0))</f>
        <v>185.03213530655393</v>
      </c>
      <c r="AF2" s="7">
        <f>60* (AA2 / _xlfn.XLOOKUP($J2,Specs!$A:$A,Specs!$B:$B,0))</f>
        <v>7.2013319238900628</v>
      </c>
      <c r="AG2" s="7">
        <f>60* (AC2 / _xlfn.XLOOKUP($J2,Specs!$A:$A,Specs!$B:$B,0))</f>
        <v>17.862209302325585</v>
      </c>
      <c r="AH2" s="9">
        <f>(($P2 / 240) * _xlfn.XLOOKUP($B2,'Milk Types Nutrition Per Cup'!A:A,'Milk Types Nutrition Per Cup'!F:F,0)) +(($Q2 / 240)  * _xlfn.XLOOKUP($C2,'Milk Types Nutrition Per Cup'!A:A,'Milk Types Nutrition Per Cup'!F:F,0)) +(($R2 / 15)  * _xlfn.XLOOKUP($D2,'Liquid Mix In Nutrition'!A:A,'Liquid Mix In Nutrition'!F:F,0))+(($S2 / 15)  * _xlfn.XLOOKUP($E2,'Liquid Mix In Nutrition'!A:A,'Liquid Mix In Nutrition'!F:F,0))+(($T2 / MAX(1, _xlfn.XLOOKUP($F2,'Solid Mix In Nutrition'!A:A,'Solid Mix In Nutrition'!I:I,1)))  * _xlfn.XLOOKUP($F2,'Solid Mix In Nutrition'!A:A,'Solid Mix In Nutrition'!F:F,0))+(($U2 / MAX(1, _xlfn.XLOOKUP($G2,'Solid Mix In Nutrition'!A:A,'Solid Mix In Nutrition'!I:I,1)))  * _xlfn.XLOOKUP($G2,'Solid Mix In Nutrition'!A:A,'Solid Mix In Nutrition'!F:F,0))+(($V2 / 100)  * _xlfn.XLOOKUP($H2,'Sweetener Mix In Nutrition'!A:A,'Sweetener Mix In Nutrition'!F:F,0))+(($W2 / 100)  * _xlfn.XLOOKUP($I2,'Sweetener Mix In Nutrition'!A:A,'Sweetener Mix In Nutrition'!F:F,0))</f>
        <v>2.5885492804033086</v>
      </c>
      <c r="AI2" s="10">
        <f>(AH2+Specs!$R$2+Specs!$S$2)*Specs!$N$2</f>
        <v>5.9570985608066174</v>
      </c>
    </row>
    <row r="3" spans="1:35" x14ac:dyDescent="0.25">
      <c r="A3" t="s">
        <v>148</v>
      </c>
      <c r="B3" s="1" t="s">
        <v>62</v>
      </c>
      <c r="C3" s="1" t="s">
        <v>65</v>
      </c>
      <c r="D3" s="1" t="s">
        <v>0</v>
      </c>
      <c r="E3" s="1" t="s">
        <v>96</v>
      </c>
      <c r="H3" s="1" t="s">
        <v>1</v>
      </c>
      <c r="J3" t="s">
        <v>4</v>
      </c>
      <c r="K3" t="s">
        <v>46</v>
      </c>
      <c r="L3" t="s">
        <v>49</v>
      </c>
      <c r="N3" t="s">
        <v>173</v>
      </c>
      <c r="P3">
        <f>(_xlfn.XLOOKUP($J3,Specs!A:A,Specs!B:B,0)-$R3-$S3-(($T3/MAX(1,_xlfn.XLOOKUP($F3,'Solid Mix In Nutrition'!A:A,'Solid Mix In Nutrition'!I:I,1)))*240)-(($U3/MAX(1,_xlfn.XLOOKUP($G3,'Solid Mix In Nutrition'!A:A,'Solid Mix In Nutrition'!I:I,1)))*240))*0.66</f>
        <v>302.28000000000003</v>
      </c>
      <c r="Q3">
        <f>(_xlfn.XLOOKUP($J3,Specs!A:A,Specs!B:B,0)-$R3-$S3-(($T3/MAX(1,_xlfn.XLOOKUP($F3,'Solid Mix In Nutrition'!A:A,'Solid Mix In Nutrition'!I:I,1)))*240)-(($U3/MAX(1,_xlfn.XLOOKUP($G3,'Solid Mix In Nutrition'!A:A,'Solid Mix In Nutrition'!I:I,1)))*240))*0.33</f>
        <v>151.14000000000001</v>
      </c>
      <c r="R3">
        <f>_xlfn.XLOOKUP($K3,Specs!$D:$D,Specs!$E:$E,0)*15*_xlfn.XLOOKUP($J3,Specs!$A:$A,Specs!$C:$C,0)</f>
        <v>15</v>
      </c>
      <c r="S3">
        <f>_xlfn.XLOOKUP($L3,Specs!$D:$D,Specs!$E:$E,0)*15*_xlfn.XLOOKUP($J3,Specs!$A:$A,Specs!$C:$C,0)</f>
        <v>0</v>
      </c>
      <c r="T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U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V3">
        <f>_xlfn.XLOOKUP($N3,Specs!F:F,Specs!G:G,0)*100*_xlfn.XLOOKUP($J3,Specs!A:A,Specs!C:C,0)</f>
        <v>50</v>
      </c>
      <c r="W3">
        <f>_xlfn.XLOOKUP($O3,Specs!F:F,Specs!G:G,0)*100*_xlfn.XLOOKUP($J3,Specs!A:A,Specs!C:C,0)</f>
        <v>0</v>
      </c>
      <c r="X3" s="4">
        <f>($P3+$Q3+$R3+$V3+$W3)*IF(ISNUMBER(SEARCH("Fat Free",$B3)),0.0036,0.0012)</f>
        <v>0.62210399999999999</v>
      </c>
      <c r="Y3" s="5">
        <f>CEILING(CONVERT(($P3+$Q3+$R3+$V3+$W3)*IF(ISNUMBER(SEARCH("Fat Free",$B3)),0.0036,0.0012),"ml","tsp"),0.25)</f>
        <v>0.25</v>
      </c>
      <c r="Z3" s="6">
        <f>(($P3 / 240) * _xlfn.XLOOKUP($B3,'Milk Types Nutrition Per Cup'!A:A,'Milk Types Nutrition Per Cup'!B:B,0)) +(($Q3 / 240)  * _xlfn.XLOOKUP($C3,'Milk Types Nutrition Per Cup'!A:A,'Milk Types Nutrition Per Cup'!B:B,0)) +(($R3 / 15)  * _xlfn.XLOOKUP($D3,'Liquid Mix In Nutrition'!A:A,'Liquid Mix In Nutrition'!B:B,0))+(($S3 / 15)  * _xlfn.XLOOKUP($E3,'Liquid Mix In Nutrition'!A:A,'Liquid Mix In Nutrition'!B:B,0))+(($T3 /MAX(1, _xlfn.XLOOKUP($F3,'Solid Mix In Nutrition'!A:A,'Solid Mix In Nutrition'!I:I,1)))  * _xlfn.XLOOKUP($F3,'Solid Mix In Nutrition'!A:A,'Solid Mix In Nutrition'!B:B,0))+(($U3 / MAX(1, _xlfn.XLOOKUP($G3,'Solid Mix In Nutrition'!A:A,'Solid Mix In Nutrition'!I:I,1))))+(($V3 / 100)  * _xlfn.XLOOKUP($H3,'Sweetener Mix In Nutrition'!A:A,'Sweetener Mix In Nutrition'!B:B,0))+(($W3 / 100)  * _xlfn.XLOOKUP($I3,'Sweetener Mix In Nutrition'!A:A,'Sweetener Mix In Nutrition'!B:B,0))</f>
        <v>1447.6200000000001</v>
      </c>
      <c r="AA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Nutrition'!E:E,0))+(($T3 / MAX(1, _xlfn.XLOOKUP($F3,'Solid Mix In Nutrition'!A:A,'Solid Mix In Nutrition'!I:I,1)))  * _xlfn.XLOOKUP($F3,'Solid Mix In Nutrition'!A:A,'Solid Mix In Nutrition'!E:E,0))+(($U3 / MAX(1, _xlfn.XLOOKUP($G3,'Solid Mix In Nutrition'!A:A,'Solid Mix In Nutrition'!I:I,1)))  * _xlfn.XLOOKUP($G3,'Solid Mix In Nutrition'!A:A,'Solid Mix In Nutrition'!G:G,0))+(($V3 / 100)  * _xlfn.XLOOKUP($H3,'Sweetener Mix In Nutrition'!A:A,'Sweetener Mix In Nutrition'!E:E,0))+(($W3 / 100)  * _xlfn.XLOOKUP($I3,'Sweetener Mix In Nutrition'!A:A,'Sweetener Mix In Nutrition'!E:E,0))</f>
        <v>64.037999999999997</v>
      </c>
      <c r="AB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Nutrition'!E:E,0))+(($V3 / 100)  * _xlfn.XLOOKUP($H3,'Sweetener Mix In Nutrition'!A:A,'Sweetener Mix In Nutrition'!E:E,0))+(($W3 / 100)  * _xlfn.XLOOKUP($I3,'Sweetener Mix In Nutrition'!A:A,'Sweetener Mix In Nutrition'!E:E,0))</f>
        <v>64.037999999999997</v>
      </c>
      <c r="AC3" s="7">
        <f>(($P3 / 240) * _xlfn.XLOOKUP($B3,'Milk Types Nutrition Per Cup'!A:A,'Milk Types Nutrition Per Cup'!C:C,0)) +(($Q3 / 240)  * _xlfn.XLOOKUP($C3,'Milk Types Nutrition Per Cup'!A:A,'Milk Types Nutrition Per Cup'!C:C,0)) +(($R3 / 15)  * _xlfn.XLOOKUP($D3,'Liquid Mix In Nutrition'!A:A,'Liquid Mix In Nutrition'!C:C,0))+(($S3 / 15)  * _xlfn.XLOOKUP($E3,'Liquid Mix In Nutrition'!A:A,'Liquid Mix In Nutrition'!C:C,0))+(($T3 / MAX(1, _xlfn.XLOOKUP($F3,'Solid Mix In Nutrition'!A:A,'Solid Mix In Nutrition'!I:I,1)))  * _xlfn.XLOOKUP($F3,'Solid Mix In Nutrition'!A:A,'Solid Mix In Nutrition'!C:C,0))+(($U3 / MAX(1, _xlfn.XLOOKUP($G3,'Solid Mix In Nutrition'!A:A,'Solid Mix In Nutrition'!I:I,1)))  * _xlfn.XLOOKUP($G3,'Solid Mix In Nutrition'!A:A,'Solid Mix In Nutrition'!C:C,0))+(($V3 / 100)  * _xlfn.XLOOKUP($H3,'Sweetener Mix In Nutrition'!A:A,'Sweetener Mix In Nutrition'!C:C,0))+(($W3 / 100)  * _xlfn.XLOOKUP($I3,'Sweetener Mix In Nutrition'!A:A,'Sweetener Mix In Nutrition'!C:C,0))</f>
        <v>138.54500000000002</v>
      </c>
      <c r="AD3" s="8">
        <f>$AC3 / (_xlfn.XLOOKUP($J3,Specs!A:A,Specs!B:B,0))</f>
        <v>0.29290697674418609</v>
      </c>
      <c r="AE3" s="7">
        <f>60* ($Z3 / _xlfn.XLOOKUP($J3,Specs!$A:$A,Specs!$B:$B,0))</f>
        <v>183.63044397463003</v>
      </c>
      <c r="AF3" s="7">
        <f>60* (AA3 / _xlfn.XLOOKUP($J3,Specs!$A:$A,Specs!$B:$B,0))</f>
        <v>8.1232135306553896</v>
      </c>
      <c r="AG3" s="7">
        <f>60* (AC3 / _xlfn.XLOOKUP($J3,Specs!$A:$A,Specs!$B:$B,0))</f>
        <v>17.574418604651164</v>
      </c>
      <c r="AH3" s="9">
        <f>(($P3 / 240) * _xlfn.XLOOKUP($B3,'Milk Types Nutrition Per Cup'!A:A,'Milk Types Nutrition Per Cup'!F:F,0)) +(($Q3 / 240)  * _xlfn.XLOOKUP($C3,'Milk Types Nutrition Per Cup'!A:A,'Milk Types Nutrition Per Cup'!F:F,0)) +(($R3 / 15)  * _xlfn.XLOOKUP($D3,'Liquid Mix In Nutrition'!A:A,'Liquid Mix In Nutrition'!F:F,0))+(($S3 / 15)  * _xlfn.XLOOKUP($E3,'Liquid Mix In Nutrition'!A:A,'Liquid Mix In Nutrition'!F:F,0))+(($T3 / MAX(1, _xlfn.XLOOKUP($F3,'Solid Mix In Nutrition'!A:A,'Solid Mix In Nutrition'!I:I,1)))  * _xlfn.XLOOKUP($F3,'Solid Mix In Nutrition'!A:A,'Solid Mix In Nutrition'!F:F,0))+(($U3 / MAX(1, _xlfn.XLOOKUP($G3,'Solid Mix In Nutrition'!A:A,'Solid Mix In Nutrition'!I:I,1)))  * _xlfn.XLOOKUP($G3,'Solid Mix In Nutrition'!A:A,'Solid Mix In Nutrition'!F:F,0))+(($V3 / 100)  * _xlfn.XLOOKUP($H3,'Sweetener Mix In Nutrition'!A:A,'Sweetener Mix In Nutrition'!F:F,0))+(($W3 / 100)  * _xlfn.XLOOKUP($I3,'Sweetener Mix In Nutrition'!A:A,'Sweetener Mix In Nutrition'!F:F,0))</f>
        <v>2.5710855128773988</v>
      </c>
      <c r="AI3" s="10">
        <f>(AH3+Specs!$R$2+Specs!$S$2)*Specs!$N$2</f>
        <v>5.9221710257547979</v>
      </c>
    </row>
    <row r="4" spans="1:35" x14ac:dyDescent="0.25">
      <c r="X4" s="4"/>
      <c r="Y4" s="5"/>
      <c r="Z4" s="6"/>
      <c r="AA4" s="6"/>
      <c r="AB4" s="6"/>
      <c r="AC4" s="7"/>
      <c r="AD4" s="8"/>
      <c r="AE4" s="7"/>
      <c r="AF4" s="7"/>
      <c r="AG4" s="7"/>
      <c r="AH4" s="9"/>
      <c r="AI4" s="10"/>
    </row>
    <row r="5" spans="1:35" x14ac:dyDescent="0.25">
      <c r="X5" s="4"/>
      <c r="Y5" s="5"/>
      <c r="Z5" s="6"/>
      <c r="AA5" s="6"/>
      <c r="AB5" s="6"/>
      <c r="AC5" s="7"/>
      <c r="AD5" s="8"/>
      <c r="AE5" s="7"/>
      <c r="AF5" s="7"/>
      <c r="AG5" s="7"/>
      <c r="AH5" s="9"/>
      <c r="AI5" s="10"/>
    </row>
    <row r="6" spans="1:35" x14ac:dyDescent="0.25">
      <c r="X6" s="4"/>
      <c r="Y6" s="5"/>
      <c r="Z6" s="6"/>
      <c r="AA6" s="6"/>
      <c r="AB6" s="6"/>
      <c r="AC6" s="7"/>
      <c r="AD6" s="8"/>
      <c r="AE6" s="7"/>
      <c r="AF6" s="7"/>
      <c r="AG6" s="7"/>
      <c r="AH6" s="9"/>
      <c r="AI6" s="10"/>
    </row>
    <row r="7" spans="1:35" x14ac:dyDescent="0.25">
      <c r="X7" s="4"/>
      <c r="Y7" s="5"/>
      <c r="Z7" s="6"/>
      <c r="AA7" s="6"/>
      <c r="AB7" s="6"/>
      <c r="AC7" s="7"/>
      <c r="AD7" s="8"/>
      <c r="AE7" s="7"/>
      <c r="AF7" s="7"/>
      <c r="AG7" s="7"/>
      <c r="AH7" s="9"/>
      <c r="AI7" s="10"/>
    </row>
    <row r="8" spans="1:35" x14ac:dyDescent="0.25">
      <c r="X8" s="4"/>
      <c r="Y8" s="5"/>
      <c r="Z8" s="6"/>
      <c r="AA8" s="6"/>
      <c r="AB8" s="6"/>
      <c r="AC8" s="7"/>
      <c r="AD8" s="8"/>
      <c r="AE8" s="7"/>
      <c r="AF8" s="7"/>
      <c r="AG8" s="7"/>
      <c r="AH8" s="9"/>
      <c r="AI8" s="10"/>
    </row>
    <row r="9" spans="1:35" x14ac:dyDescent="0.25">
      <c r="X9" s="4"/>
      <c r="Y9" s="5"/>
      <c r="Z9" s="6"/>
      <c r="AA9" s="6"/>
      <c r="AB9" s="6"/>
      <c r="AC9" s="7"/>
      <c r="AD9" s="8"/>
      <c r="AE9" s="7"/>
      <c r="AF9" s="7"/>
      <c r="AG9" s="7"/>
      <c r="AH9" s="9"/>
      <c r="AI9" s="10"/>
    </row>
    <row r="10" spans="1:35" x14ac:dyDescent="0.25">
      <c r="X10" s="4"/>
      <c r="Y10" s="5"/>
      <c r="Z10" s="6"/>
      <c r="AA10" s="6"/>
      <c r="AB10" s="6"/>
      <c r="AC10" s="7"/>
      <c r="AD10" s="8"/>
      <c r="AE10" s="7"/>
      <c r="AF10" s="7"/>
      <c r="AG10" s="7"/>
      <c r="AH10" s="9"/>
      <c r="AI10" s="10"/>
    </row>
    <row r="11" spans="1:35" x14ac:dyDescent="0.25">
      <c r="X11" s="4"/>
      <c r="Y11" s="5"/>
      <c r="Z11" s="6"/>
      <c r="AA11" s="6"/>
      <c r="AB11" s="6"/>
      <c r="AC11" s="7"/>
      <c r="AD11" s="8"/>
      <c r="AE11" s="7"/>
      <c r="AF11" s="7"/>
      <c r="AG11" s="7"/>
      <c r="AH11" s="9"/>
      <c r="AI11" s="10"/>
    </row>
    <row r="12" spans="1:35" x14ac:dyDescent="0.25">
      <c r="X12" s="4"/>
      <c r="Y12" s="5"/>
      <c r="Z12" s="6"/>
      <c r="AA12" s="6"/>
      <c r="AB12" s="6"/>
      <c r="AC12" s="7"/>
      <c r="AD12" s="8"/>
      <c r="AE12" s="7"/>
      <c r="AF12" s="7"/>
      <c r="AG12" s="7"/>
      <c r="AH12" s="9"/>
      <c r="AI12" s="10"/>
    </row>
    <row r="13" spans="1:35" x14ac:dyDescent="0.25">
      <c r="X13" s="4"/>
      <c r="Y13" s="5"/>
      <c r="Z13" s="6"/>
      <c r="AA13" s="6"/>
      <c r="AB13" s="6"/>
      <c r="AC13" s="7"/>
      <c r="AD13" s="8"/>
      <c r="AE13" s="7"/>
      <c r="AF13" s="7"/>
      <c r="AG13" s="7"/>
      <c r="AH13" s="9"/>
      <c r="AI13" s="10"/>
    </row>
    <row r="14" spans="1:35" x14ac:dyDescent="0.25">
      <c r="X14" s="4"/>
      <c r="Y14" s="5"/>
      <c r="Z14" s="6"/>
      <c r="AA14" s="6"/>
      <c r="AB14" s="6"/>
      <c r="AC14" s="7"/>
      <c r="AD14" s="8"/>
      <c r="AE14" s="7"/>
      <c r="AF14" s="7"/>
      <c r="AG14" s="7"/>
      <c r="AH14" s="9"/>
      <c r="AI14" s="10"/>
    </row>
    <row r="15" spans="1:35" x14ac:dyDescent="0.25">
      <c r="P15" t="e">
        <f>(_xlfn.XLOOKUP($J15,Specs!A:A,Specs!B:B,0)-$R15-$S15-(($T15/MAX(1,_xlfn.XLOOKUP($F15,'Solid Mix In Nutrition'!A:A,'Solid Mix In Nutrition'!I:I,1)))*240)-(($U15/MAX(1,_xlfn.XLOOKUP($G15,'Solid Mix In Nutrition'!A:A,'Solid Mix In Nutrition'!I:I,1)))*240))*0.66</f>
        <v>#VALUE!</v>
      </c>
      <c r="Q15" t="e">
        <f>(_xlfn.XLOOKUP($J15,Specs!A:A,Specs!B:B,0)-$R15-$S15-(($T15/MAX(1,_xlfn.XLOOKUP($F15,'Solid Mix In Nutrition'!A:A,'Solid Mix In Nutrition'!I:I,1)))*240)-(($U15/MAX(1,_xlfn.XLOOKUP($G15,'Solid Mix In Nutrition'!A:A,'Solid Mix In Nutrition'!I:I,1)))*240))*0.33</f>
        <v>#VALUE!</v>
      </c>
      <c r="R15">
        <f>_xlfn.XLOOKUP($K15,Specs!$D:$D,Specs!$E:$E,0)*15*_xlfn.XLOOKUP($J15,Specs!$A:$A,Specs!$C:$C,0)</f>
        <v>0</v>
      </c>
      <c r="S15" t="e">
        <f>_xlfn.XLOOKUP($L15,Specs!$D:$D,Specs!$E:$E,0)*15*_xlfn.XLOOKUP($J15,Specs!$A:$A,Specs!$C:$C,0)</f>
        <v>#VALUE!</v>
      </c>
      <c r="T15">
        <f>( ((_xlfn.XLOOKUP($M15,Specs!$H:$H,Specs!$I:$I,0)*_xlfn.XLOOKUP($J15,Specs!$A:$A,Specs!$B:$B,0))/240) *_xlfn.XLOOKUP($F15,'Solid Mix In Nutrition'!A:A,'Solid Mix In Nutrition'!I:I,0)) *IF(AND(NOT($G15=0), COUNTA($G15)),0.5,1)</f>
        <v>0</v>
      </c>
      <c r="U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V15">
        <f>_xlfn.XLOOKUP($N15,Specs!F:F,Specs!G:G,0)*100*_xlfn.XLOOKUP($J15,Specs!A:A,Specs!C:C,0)</f>
        <v>0</v>
      </c>
      <c r="W15">
        <f>_xlfn.XLOOKUP($O15,Specs!F:F,Specs!G:G,0)*100*_xlfn.XLOOKUP($J15,Specs!A:A,Specs!C:C,0)</f>
        <v>0</v>
      </c>
      <c r="X15" s="4" t="e">
        <f t="shared" ref="X15:X25" si="0">($P15+$Q15+$R15+$V15+$W15)*IF(ISNUMBER(SEARCH("Fat Free",$B15)),0.0036,0.0012)</f>
        <v>#VALUE!</v>
      </c>
      <c r="Y15" s="5" t="e">
        <f t="shared" ref="Y15:Y25" si="1">CEILING(CONVERT(($P15+$Q15+$R15+$V15+$W15)*IF(ISNUMBER(SEARCH("Fat Free",$B15)),0.0036,0.0012),"ml","tsp"),0.25)</f>
        <v>#VALUE!</v>
      </c>
      <c r="Z15" s="6" t="e">
        <f>(($P15 / 240) * _xlfn.XLOOKUP($B15,'Milk Types Nutrition Per Cup'!A:A,'Milk Types Nutrition Per Cup'!B:B,0)) +(($Q15 / 240)  * _xlfn.XLOOKUP($C15,'Milk Types Nutrition Per Cup'!A:A,'Milk Types Nutrition Per Cup'!B:B,0)) +(($R15 / 15)  * _xlfn.XLOOKUP($D15,'Liquid Mix In Nutrition'!A:A,'Liquid Mix In Nutrition'!B:B,0))+(($S15 / 15)  * _xlfn.XLOOKUP($E15,'Liquid Mix In Nutrition'!A:A,'Liquid Mix In Nutrition'!B:B,0))+(($T15 /MAX(1, _xlfn.XLOOKUP($F15,'Solid Mix In Nutrition'!A:A,'Solid Mix In Nutrition'!I:I,1)))  * _xlfn.XLOOKUP($F15,'Solid Mix In Nutrition'!A:A,'Solid Mix In Nutrition'!B:B,0))+(($U15 / MAX(1, _xlfn.XLOOKUP($G15,'Solid Mix In Nutrition'!A:A,'Solid Mix In Nutrition'!I:I,1))))+(($V15 / 100)  * _xlfn.XLOOKUP($H15,'Sweetener Mix In Nutrition'!A:A,'Sweetener Mix In Nutrition'!B:B,0))+(($W15 / 100)  * _xlfn.XLOOKUP($I15,'Sweetener Mix In Nutrition'!A:A,'Sweetener Mix In Nutrition'!B:B,0))</f>
        <v>#VALUE!</v>
      </c>
      <c r="AA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Nutrition'!E:E,0))+(($T15 / MAX(1, _xlfn.XLOOKUP($F15,'Solid Mix In Nutrition'!A:A,'Solid Mix In Nutrition'!I:I,1)))  * _xlfn.XLOOKUP($F15,'Solid Mix In Nutrition'!A:A,'Solid Mix In Nutrition'!E:E,0))+(($U15 / MAX(1, _xlfn.XLOOKUP($G15,'Solid Mix In Nutrition'!A:A,'Solid Mix In Nutrition'!I:I,1)))  * _xlfn.XLOOKUP($G15,'Solid Mix In Nutrition'!A:A,'Solid Mix In Nutrition'!G:G,0))+(($V15 / 100)  * _xlfn.XLOOKUP($H15,'Sweetener Mix In Nutrition'!A:A,'Sweetener Mix In Nutrition'!E:E,0))+(($W15 / 100)  * _xlfn.XLOOKUP($I15,'Sweetener Mix In Nutrition'!A:A,'Sweetener Mix In Nutrition'!E:E,0))</f>
        <v>#VALUE!</v>
      </c>
      <c r="AB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Nutrition'!E:E,0))+(($V15 / 100)  * _xlfn.XLOOKUP($H15,'Sweetener Mix In Nutrition'!A:A,'Sweetener Mix In Nutrition'!E:E,0))+(($W15 / 100)  * _xlfn.XLOOKUP($I15,'Sweetener Mix In Nutrition'!A:A,'Sweetener Mix In Nutrition'!E:E,0))</f>
        <v>#VALUE!</v>
      </c>
      <c r="AC15" s="7" t="e">
        <f>(($P15 / 240) * _xlfn.XLOOKUP($B15,'Milk Types Nutrition Per Cup'!A:A,'Milk Types Nutrition Per Cup'!C:C,0)) +(($Q15 / 240)  * _xlfn.XLOOKUP($C15,'Milk Types Nutrition Per Cup'!A:A,'Milk Types Nutrition Per Cup'!C:C,0)) +(($R15 / 15)  * _xlfn.XLOOKUP($D15,'Liquid Mix In Nutrition'!A:A,'Liquid Mix In Nutrition'!C:C,0))+(($S15 / 15)  * _xlfn.XLOOKUP($E15,'Liquid Mix In Nutrition'!A:A,'Liquid Mix In Nutrition'!C:C,0))+(($T15 / MAX(1, _xlfn.XLOOKUP($F15,'Solid Mix In Nutrition'!A:A,'Solid Mix In Nutrition'!I:I,1)))  * _xlfn.XLOOKUP($F15,'Solid Mix In Nutrition'!A:A,'Solid Mix In Nutrition'!C:C,0))+(($U15 / MAX(1, _xlfn.XLOOKUP($G15,'Solid Mix In Nutrition'!A:A,'Solid Mix In Nutrition'!I:I,1)))  * _xlfn.XLOOKUP($G15,'Solid Mix In Nutrition'!A:A,'Solid Mix In Nutrition'!C:C,0))+(($V15 / 100)  * _xlfn.XLOOKUP($H15,'Sweetener Mix In Nutrition'!A:A,'Sweetener Mix In Nutrition'!C:C,0))+(($W15 / 100)  * _xlfn.XLOOKUP($I15,'Sweetener Mix In Nutrition'!A:A,'Sweetener Mix In Nutrition'!C:C,0))</f>
        <v>#VALUE!</v>
      </c>
      <c r="AD15" s="8" t="e">
        <f>$AC15 / (_xlfn.XLOOKUP($J15,Specs!A:A,Specs!B:B,0))</f>
        <v>#VALUE!</v>
      </c>
      <c r="AE15" s="7" t="e">
        <f>60* ($Z15 / _xlfn.XLOOKUP($J15,Specs!$A:$A,Specs!$B:$B,0))</f>
        <v>#VALUE!</v>
      </c>
      <c r="AF15" s="7" t="e">
        <f>60* (AA15 / _xlfn.XLOOKUP($J15,Specs!$A:$A,Specs!$B:$B,0))</f>
        <v>#VALUE!</v>
      </c>
      <c r="AG15" s="7" t="e">
        <f>60* (AC15 / _xlfn.XLOOKUP($J15,Specs!$A:$A,Specs!$B:$B,0))</f>
        <v>#VALUE!</v>
      </c>
      <c r="AH15" s="9" t="e">
        <f>(($P15 / 240) * _xlfn.XLOOKUP($B15,'Milk Types Nutrition Per Cup'!A:A,'Milk Types Nutrition Per Cup'!F:F,0)) +(($Q15 / 240)  * _xlfn.XLOOKUP($C15,'Milk Types Nutrition Per Cup'!A:A,'Milk Types Nutrition Per Cup'!F:F,0)) +(($R15 / 15)  * _xlfn.XLOOKUP($D15,'Liquid Mix In Nutrition'!A:A,'Liquid Mix In Nutrition'!F:F,0))+(($S15 / 15)  * _xlfn.XLOOKUP($E15,'Liquid Mix In Nutrition'!A:A,'Liquid Mix In Nutrition'!F:F,0))+(($T15 / MAX(1, _xlfn.XLOOKUP($F15,'Solid Mix In Nutrition'!A:A,'Solid Mix In Nutrition'!I:I,1)))  * _xlfn.XLOOKUP($F15,'Solid Mix In Nutrition'!A:A,'Solid Mix In Nutrition'!F:F,0))+(($U15 / MAX(1, _xlfn.XLOOKUP($G15,'Solid Mix In Nutrition'!A:A,'Solid Mix In Nutrition'!I:I,1)))  * _xlfn.XLOOKUP($G15,'Solid Mix In Nutrition'!A:A,'Solid Mix In Nutrition'!F:F,0))+(($V15 / 100)  * _xlfn.XLOOKUP($H15,'Sweetener Mix In Nutrition'!A:A,'Sweetener Mix In Nutrition'!F:F,0))+(($W15 / 100)  * _xlfn.XLOOKUP($I15,'Sweetener Mix In Nutrition'!A:A,'Sweetener Mix In Nutrition'!F:F,0))</f>
        <v>#VALUE!</v>
      </c>
      <c r="AI15" s="10" t="e">
        <f>(AH15+Specs!$R$2+Specs!$S$2)*Specs!$N$2</f>
        <v>#VALUE!</v>
      </c>
    </row>
    <row r="16" spans="1:35" x14ac:dyDescent="0.25">
      <c r="P16">
        <f>(_xlfn.XLOOKUP($J16,Specs!A:A,Specs!B:B,0)-$R16-$S16-(($T16/MAX(1,_xlfn.XLOOKUP($F16,'Solid Mix In Nutrition'!A:A,'Solid Mix In Nutrition'!I:I,1)))*240)-(($U16/MAX(1,_xlfn.XLOOKUP($G16,'Solid Mix In Nutrition'!A:A,'Solid Mix In Nutrition'!I:I,1)))*240))*0.66</f>
        <v>0</v>
      </c>
      <c r="Q16">
        <f>(_xlfn.XLOOKUP($J16,Specs!A:A,Specs!B:B,0)-$R16-$S16-(($T16/MAX(1,_xlfn.XLOOKUP($F16,'Solid Mix In Nutrition'!A:A,'Solid Mix In Nutrition'!I:I,1)))*240)-(($U16/MAX(1,_xlfn.XLOOKUP($G16,'Solid Mix In Nutrition'!A:A,'Solid Mix In Nutrition'!I:I,1)))*240))*0.33</f>
        <v>0</v>
      </c>
      <c r="R16">
        <f>_xlfn.XLOOKUP($K16,Specs!$D:$D,Specs!$E:$E,0)*15*_xlfn.XLOOKUP($J16,Specs!$A:$A,Specs!$C:$C,0)</f>
        <v>0</v>
      </c>
      <c r="S16">
        <f>_xlfn.XLOOKUP($L16,Specs!$D:$D,Specs!$E:$E,0)*15*_xlfn.XLOOKUP($J16,Specs!$A:$A,Specs!$C:$C,0)</f>
        <v>0</v>
      </c>
      <c r="T16">
        <f>( ((_xlfn.XLOOKUP($M16,Specs!$H:$H,Specs!$I:$I,0)*_xlfn.XLOOKUP($J16,Specs!$A:$A,Specs!$B:$B,0))/240) *_xlfn.XLOOKUP($F16,'Solid Mix In Nutrition'!A:A,'Solid Mix In Nutrition'!I:I,0)) *IF(AND(NOT($G16=0), COUNTA($G16)),0.5,1)</f>
        <v>0</v>
      </c>
      <c r="U16">
        <f>( ((_xlfn.XLOOKUP($M16,Specs!$H:$H,Specs!$I:$I,0)*_xlfn.XLOOKUP($J16,Specs!$A:$A,Specs!$B:$B,0))/240) *_xlfn.XLOOKUP($G16,'Solid Mix In Nutrition'!A:A,'Solid Mix In Nutrition'!I:I,0)) *IF(AND(NOT($G16=0), COUNTA($G16)),0.5,0)</f>
        <v>0</v>
      </c>
      <c r="V16">
        <f>_xlfn.XLOOKUP($N16,Specs!F:F,Specs!G:G,0)*100*_xlfn.XLOOKUP($J16,Specs!A:A,Specs!C:C,0)</f>
        <v>0</v>
      </c>
      <c r="W16">
        <f>_xlfn.XLOOKUP($O16,Specs!F:F,Specs!G:G,0)*100*_xlfn.XLOOKUP($J16,Specs!A:A,Specs!C:C,0)</f>
        <v>0</v>
      </c>
      <c r="X16" s="4">
        <f t="shared" si="0"/>
        <v>0</v>
      </c>
      <c r="Y16" s="5">
        <f t="shared" si="1"/>
        <v>0</v>
      </c>
      <c r="Z16" s="6">
        <f>(($P16 / 240) * _xlfn.XLOOKUP($B16,'Milk Types Nutrition Per Cup'!A:A,'Milk Types Nutrition Per Cup'!B:B,0)) +(($Q16 / 240)  * _xlfn.XLOOKUP($C16,'Milk Types Nutrition Per Cup'!A:A,'Milk Types Nutrition Per Cup'!B:B,0)) +(($R16 / 15)  * _xlfn.XLOOKUP($D16,'Liquid Mix In Nutrition'!A:A,'Liquid Mix In Nutrition'!B:B,0))+(($S16 / 15)  * _xlfn.XLOOKUP($E16,'Liquid Mix In Nutrition'!A:A,'Liquid Mix In Nutrition'!B:B,0))+(($T16 /MAX(1, _xlfn.XLOOKUP($F16,'Solid Mix In Nutrition'!A:A,'Solid Mix In Nutrition'!I:I,1)))  * _xlfn.XLOOKUP($F16,'Solid Mix In Nutrition'!A:A,'Solid Mix In Nutrition'!B:B,0))+(($U16 / MAX(1, _xlfn.XLOOKUP($G16,'Solid Mix In Nutrition'!A:A,'Solid Mix In Nutrition'!I:I,1))))+(($V16 / 100)  * _xlfn.XLOOKUP($H16,'Sweetener Mix In Nutrition'!A:A,'Sweetener Mix In Nutrition'!B:B,0))+(($W16 / 100)  * _xlfn.XLOOKUP($I16,'Sweetener Mix In Nutrition'!A:A,'Sweetener Mix In Nutrition'!B:B,0))</f>
        <v>0</v>
      </c>
      <c r="AA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Nutrition'!E:E,0))+(($T16 / MAX(1, _xlfn.XLOOKUP($F16,'Solid Mix In Nutrition'!A:A,'Solid Mix In Nutrition'!I:I,1)))  * _xlfn.XLOOKUP($F16,'Solid Mix In Nutrition'!A:A,'Solid Mix In Nutrition'!E:E,0))+(($U16 / MAX(1, _xlfn.XLOOKUP($G16,'Solid Mix In Nutrition'!A:A,'Solid Mix In Nutrition'!I:I,1)))  * _xlfn.XLOOKUP($G16,'Solid Mix In Nutrition'!A:A,'Solid Mix In Nutrition'!G:G,0))+(($V16 / 100)  * _xlfn.XLOOKUP($H16,'Sweetener Mix In Nutrition'!A:A,'Sweetener Mix In Nutrition'!E:E,0))+(($W16 / 100)  * _xlfn.XLOOKUP($I16,'Sweetener Mix In Nutrition'!A:A,'Sweetener Mix In Nutrition'!E:E,0))</f>
        <v>0</v>
      </c>
      <c r="AB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Nutrition'!E:E,0))+(($V16 / 100)  * _xlfn.XLOOKUP($H16,'Sweetener Mix In Nutrition'!A:A,'Sweetener Mix In Nutrition'!E:E,0))+(($W16 / 100)  * _xlfn.XLOOKUP($I16,'Sweetener Mix In Nutrition'!A:A,'Sweetener Mix In Nutrition'!E:E,0))</f>
        <v>0</v>
      </c>
      <c r="AC16" s="7">
        <f>(($P16 / 240) * _xlfn.XLOOKUP($B16,'Milk Types Nutrition Per Cup'!A:A,'Milk Types Nutrition Per Cup'!C:C,0)) +(($Q16 / 240)  * _xlfn.XLOOKUP($C16,'Milk Types Nutrition Per Cup'!A:A,'Milk Types Nutrition Per Cup'!C:C,0)) +(($R16 / 15)  * _xlfn.XLOOKUP($D16,'Liquid Mix In Nutrition'!A:A,'Liquid Mix In Nutrition'!C:C,0))+(($S16 / 15)  * _xlfn.XLOOKUP($E16,'Liquid Mix In Nutrition'!A:A,'Liquid Mix In Nutrition'!C:C,0))+(($T16 / MAX(1, _xlfn.XLOOKUP($F16,'Solid Mix In Nutrition'!A:A,'Solid Mix In Nutrition'!I:I,1)))  * _xlfn.XLOOKUP($F16,'Solid Mix In Nutrition'!A:A,'Solid Mix In Nutrition'!C:C,0))+(($U16 / MAX(1, _xlfn.XLOOKUP($G16,'Solid Mix In Nutrition'!A:A,'Solid Mix In Nutrition'!I:I,1)))  * _xlfn.XLOOKUP($G16,'Solid Mix In Nutrition'!A:A,'Solid Mix In Nutrition'!C:C,0))+(($V16 / 100)  * _xlfn.XLOOKUP($H16,'Sweetener Mix In Nutrition'!A:A,'Sweetener Mix In Nutrition'!C:C,0))+(($W16 / 100)  * _xlfn.XLOOKUP($I16,'Sweetener Mix In Nutrition'!A:A,'Sweetener Mix In Nutrition'!C:C,0))</f>
        <v>0</v>
      </c>
      <c r="AD16" s="8" t="e">
        <f>$AC16 / (_xlfn.XLOOKUP($J16,Specs!A:A,Specs!B:B,0))</f>
        <v>#DIV/0!</v>
      </c>
      <c r="AE16" s="7" t="e">
        <f>60* ($Z16 / _xlfn.XLOOKUP($J16,Specs!$A:$A,Specs!$B:$B,0))</f>
        <v>#DIV/0!</v>
      </c>
      <c r="AF16" s="7" t="e">
        <f>60* (AA16 / _xlfn.XLOOKUP($J16,Specs!$A:$A,Specs!$B:$B,0))</f>
        <v>#DIV/0!</v>
      </c>
      <c r="AG16" s="7" t="e">
        <f>60* (AC16 / _xlfn.XLOOKUP($J16,Specs!$A:$A,Specs!$B:$B,0))</f>
        <v>#DIV/0!</v>
      </c>
      <c r="AH16" s="9">
        <f>(($P16 / 240) * _xlfn.XLOOKUP($B16,'Milk Types Nutrition Per Cup'!A:A,'Milk Types Nutrition Per Cup'!F:F,0)) +(($Q16 / 240)  * _xlfn.XLOOKUP($C16,'Milk Types Nutrition Per Cup'!A:A,'Milk Types Nutrition Per Cup'!F:F,0)) +(($R16 / 15)  * _xlfn.XLOOKUP($D16,'Liquid Mix In Nutrition'!A:A,'Liquid Mix In Nutrition'!F:F,0))+(($S16 / 15)  * _xlfn.XLOOKUP($E16,'Liquid Mix In Nutrition'!A:A,'Liquid Mix In Nutrition'!F:F,0))+(($T16 / MAX(1, _xlfn.XLOOKUP($F16,'Solid Mix In Nutrition'!A:A,'Solid Mix In Nutrition'!I:I,1)))  * _xlfn.XLOOKUP($F16,'Solid Mix In Nutrition'!A:A,'Solid Mix In Nutrition'!F:F,0))+(($U16 / MAX(1, _xlfn.XLOOKUP($G16,'Solid Mix In Nutrition'!A:A,'Solid Mix In Nutrition'!I:I,1)))  * _xlfn.XLOOKUP($G16,'Solid Mix In Nutrition'!A:A,'Solid Mix In Nutrition'!F:F,0))+(($V16 / 100)  * _xlfn.XLOOKUP($H16,'Sweetener Mix In Nutrition'!A:A,'Sweetener Mix In Nutrition'!F:F,0))+(($W16 / 100)  * _xlfn.XLOOKUP($I16,'Sweetener Mix In Nutrition'!A:A,'Sweetener Mix In Nutrition'!F:F,0))</f>
        <v>0</v>
      </c>
      <c r="AI16" s="10">
        <f>(AH16+Specs!$R$2+Specs!$S$2)*Specs!$N$2</f>
        <v>0.78</v>
      </c>
    </row>
    <row r="17" spans="16:35" x14ac:dyDescent="0.25">
      <c r="P17" t="e">
        <f>(_xlfn.XLOOKUP($J17,Specs!A:A,Specs!B:B,0)-$R17-$S17-(($T17/MAX(1,_xlfn.XLOOKUP($F17,'Solid Mix In Nutrition'!A:A,'Solid Mix In Nutrition'!I:I,1)))*240)-(($U17/MAX(1,_xlfn.XLOOKUP($G17,'Solid Mix In Nutrition'!A:A,'Solid Mix In Nutrition'!I:I,1)))*240))*0.66</f>
        <v>#VALUE!</v>
      </c>
      <c r="Q17" t="e">
        <f>(_xlfn.XLOOKUP($J17,Specs!A:A,Specs!B:B,0)-$R17-$S17-(($T17/MAX(1,_xlfn.XLOOKUP($F17,'Solid Mix In Nutrition'!A:A,'Solid Mix In Nutrition'!I:I,1)))*240)-(($U17/MAX(1,_xlfn.XLOOKUP($G17,'Solid Mix In Nutrition'!A:A,'Solid Mix In Nutrition'!I:I,1)))*240))*0.33</f>
        <v>#VALUE!</v>
      </c>
      <c r="R17" t="e">
        <f>_xlfn.XLOOKUP($K17,Specs!$D:$D,Specs!$E:$E,0)*15*_xlfn.XLOOKUP($J17,Specs!$A:$A,Specs!$C:$C,0)</f>
        <v>#VALUE!</v>
      </c>
      <c r="S17">
        <f>_xlfn.XLOOKUP($L17,Specs!$D:$D,Specs!$E:$E,0)*15*_xlfn.XLOOKUP($J17,Specs!$A:$A,Specs!$C:$C,0)</f>
        <v>0</v>
      </c>
      <c r="T17">
        <f>( ((_xlfn.XLOOKUP($M17,Specs!$H:$H,Specs!$I:$I,0)*_xlfn.XLOOKUP($J17,Specs!$A:$A,Specs!$B:$B,0))/240) *_xlfn.XLOOKUP($F17,'Solid Mix In Nutrition'!A:A,'Solid Mix In Nutrition'!I:I,0)) *IF(AND(NOT($G17=0), COUNTA($G17)),0.5,1)</f>
        <v>0</v>
      </c>
      <c r="U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V17">
        <f>_xlfn.XLOOKUP($N17,Specs!F:F,Specs!G:G,0)*100*_xlfn.XLOOKUP($J17,Specs!A:A,Specs!C:C,0)</f>
        <v>0</v>
      </c>
      <c r="W17">
        <f>_xlfn.XLOOKUP($O17,Specs!F:F,Specs!G:G,0)*100*_xlfn.XLOOKUP($J17,Specs!A:A,Specs!C:C,0)</f>
        <v>0</v>
      </c>
      <c r="X17" s="4" t="e">
        <f t="shared" si="0"/>
        <v>#VALUE!</v>
      </c>
      <c r="Y17" s="5" t="e">
        <f t="shared" si="1"/>
        <v>#VALUE!</v>
      </c>
      <c r="Z17" s="6" t="e">
        <f>(($P17 / 240) * _xlfn.XLOOKUP($B17,'Milk Types Nutrition Per Cup'!A:A,'Milk Types Nutrition Per Cup'!B:B,0)) +(($Q17 / 240)  * _xlfn.XLOOKUP($C17,'Milk Types Nutrition Per Cup'!A:A,'Milk Types Nutrition Per Cup'!B:B,0)) +(($R17 / 15)  * _xlfn.XLOOKUP($D17,'Liquid Mix In Nutrition'!A:A,'Liquid Mix In Nutrition'!B:B,0))+(($S17 / 15)  * _xlfn.XLOOKUP($E17,'Liquid Mix In Nutrition'!A:A,'Liquid Mix In Nutrition'!B:B,0))+(($T17 /MAX(1, _xlfn.XLOOKUP($F17,'Solid Mix In Nutrition'!A:A,'Solid Mix In Nutrition'!I:I,1)))  * _xlfn.XLOOKUP($F17,'Solid Mix In Nutrition'!A:A,'Solid Mix In Nutrition'!B:B,0))+(($U17 / MAX(1, _xlfn.XLOOKUP($G17,'Solid Mix In Nutrition'!A:A,'Solid Mix In Nutrition'!I:I,1))))+(($V17 / 100)  * _xlfn.XLOOKUP($H17,'Sweetener Mix In Nutrition'!A:A,'Sweetener Mix In Nutrition'!B:B,0))+(($W17 / 100)  * _xlfn.XLOOKUP($I17,'Sweetener Mix In Nutrition'!A:A,'Sweetener Mix In Nutrition'!B:B,0))</f>
        <v>#VALUE!</v>
      </c>
      <c r="AA17" s="6" t="e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Nutrition'!E:E,0))+(($T17 / MAX(1, _xlfn.XLOOKUP($F17,'Solid Mix In Nutrition'!A:A,'Solid Mix In Nutrition'!I:I,1)))  * _xlfn.XLOOKUP($F17,'Solid Mix In Nutrition'!A:A,'Solid Mix In Nutrition'!E:E,0))+(($U17 / MAX(1, _xlfn.XLOOKUP($G17,'Solid Mix In Nutrition'!A:A,'Solid Mix In Nutrition'!I:I,1)))  * _xlfn.XLOOKUP($G17,'Solid Mix In Nutrition'!A:A,'Solid Mix In Nutrition'!G:G,0))+(($V17 / 100)  * _xlfn.XLOOKUP($H17,'Sweetener Mix In Nutrition'!A:A,'Sweetener Mix In Nutrition'!E:E,0))+(($W17 / 100)  * _xlfn.XLOOKUP($I17,'Sweetener Mix In Nutrition'!A:A,'Sweetener Mix In Nutrition'!E:E,0))</f>
        <v>#VALUE!</v>
      </c>
      <c r="AB17" s="6" t="e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Nutrition'!E:E,0))+(($V17 / 100)  * _xlfn.XLOOKUP($H17,'Sweetener Mix In Nutrition'!A:A,'Sweetener Mix In Nutrition'!E:E,0))+(($W17 / 100)  * _xlfn.XLOOKUP($I17,'Sweetener Mix In Nutrition'!A:A,'Sweetener Mix In Nutrition'!E:E,0))</f>
        <v>#VALUE!</v>
      </c>
      <c r="AC17" s="7" t="e">
        <f>(($P17 / 240) * _xlfn.XLOOKUP($B17,'Milk Types Nutrition Per Cup'!A:A,'Milk Types Nutrition Per Cup'!C:C,0)) +(($Q17 / 240)  * _xlfn.XLOOKUP($C17,'Milk Types Nutrition Per Cup'!A:A,'Milk Types Nutrition Per Cup'!C:C,0)) +(($R17 / 15)  * _xlfn.XLOOKUP($D17,'Liquid Mix In Nutrition'!A:A,'Liquid Mix In Nutrition'!C:C,0))+(($S17 / 15)  * _xlfn.XLOOKUP($E17,'Liquid Mix In Nutrition'!A:A,'Liquid Mix In Nutrition'!C:C,0))+(($T17 / MAX(1, _xlfn.XLOOKUP($F17,'Solid Mix In Nutrition'!A:A,'Solid Mix In Nutrition'!I:I,1)))  * _xlfn.XLOOKUP($F17,'Solid Mix In Nutrition'!A:A,'Solid Mix In Nutrition'!C:C,0))+(($U17 / MAX(1, _xlfn.XLOOKUP($G17,'Solid Mix In Nutrition'!A:A,'Solid Mix In Nutrition'!I:I,1)))  * _xlfn.XLOOKUP($G17,'Solid Mix In Nutrition'!A:A,'Solid Mix In Nutrition'!C:C,0))+(($V17 / 100)  * _xlfn.XLOOKUP($H17,'Sweetener Mix In Nutrition'!A:A,'Sweetener Mix In Nutrition'!C:C,0))+(($W17 / 100)  * _xlfn.XLOOKUP($I17,'Sweetener Mix In Nutrition'!A:A,'Sweetener Mix In Nutrition'!C:C,0))</f>
        <v>#VALUE!</v>
      </c>
      <c r="AD17" s="8" t="e">
        <f>$AC17 / (_xlfn.XLOOKUP($J17,Specs!A:A,Specs!B:B,0))</f>
        <v>#VALUE!</v>
      </c>
      <c r="AE17" s="7" t="e">
        <f>60* ($Z17 / _xlfn.XLOOKUP($J17,Specs!$A:$A,Specs!$B:$B,0))</f>
        <v>#VALUE!</v>
      </c>
      <c r="AF17" s="7" t="e">
        <f>60* (AA17 / _xlfn.XLOOKUP($J17,Specs!$A:$A,Specs!$B:$B,0))</f>
        <v>#VALUE!</v>
      </c>
      <c r="AG17" s="7" t="e">
        <f>60* (AC17 / _xlfn.XLOOKUP($J17,Specs!$A:$A,Specs!$B:$B,0))</f>
        <v>#VALUE!</v>
      </c>
      <c r="AH17" s="9" t="e">
        <f>(($P17 / 240) * _xlfn.XLOOKUP($B17,'Milk Types Nutrition Per Cup'!A:A,'Milk Types Nutrition Per Cup'!F:F,0)) +(($Q17 / 240)  * _xlfn.XLOOKUP($C17,'Milk Types Nutrition Per Cup'!A:A,'Milk Types Nutrition Per Cup'!F:F,0)) +(($R17 / 15)  * _xlfn.XLOOKUP($D17,'Liquid Mix In Nutrition'!A:A,'Liquid Mix In Nutrition'!F:F,0))+(($S17 / 15)  * _xlfn.XLOOKUP($E17,'Liquid Mix In Nutrition'!A:A,'Liquid Mix In Nutrition'!F:F,0))+(($T17 / MAX(1, _xlfn.XLOOKUP($F17,'Solid Mix In Nutrition'!A:A,'Solid Mix In Nutrition'!I:I,1)))  * _xlfn.XLOOKUP($F17,'Solid Mix In Nutrition'!A:A,'Solid Mix In Nutrition'!F:F,0))+(($U17 / MAX(1, _xlfn.XLOOKUP($G17,'Solid Mix In Nutrition'!A:A,'Solid Mix In Nutrition'!I:I,1)))  * _xlfn.XLOOKUP($G17,'Solid Mix In Nutrition'!A:A,'Solid Mix In Nutrition'!F:F,0))+(($V17 / 100)  * _xlfn.XLOOKUP($H17,'Sweetener Mix In Nutrition'!A:A,'Sweetener Mix In Nutrition'!F:F,0))+(($W17 / 100)  * _xlfn.XLOOKUP($I17,'Sweetener Mix In Nutrition'!A:A,'Sweetener Mix In Nutrition'!F:F,0))</f>
        <v>#VALUE!</v>
      </c>
      <c r="AI17" s="10" t="e">
        <f>(AH17+Specs!$R$2+Specs!$S$2)*Specs!$N$2</f>
        <v>#VALUE!</v>
      </c>
    </row>
    <row r="18" spans="16:35" x14ac:dyDescent="0.25">
      <c r="P18">
        <f>(_xlfn.XLOOKUP($J18,Specs!A:A,Specs!B:B,0)-$R18-$S18-(($T18/MAX(1,_xlfn.XLOOKUP($F18,'Solid Mix In Nutrition'!A:A,'Solid Mix In Nutrition'!I:I,1)))*240)-(($U18/MAX(1,_xlfn.XLOOKUP($G18,'Solid Mix In Nutrition'!A:A,'Solid Mix In Nutrition'!I:I,1)))*240))*0.66</f>
        <v>0</v>
      </c>
      <c r="Q18">
        <f>(_xlfn.XLOOKUP($J18,Specs!A:A,Specs!B:B,0)-$R18-$S18-(($T18/MAX(1,_xlfn.XLOOKUP($F18,'Solid Mix In Nutrition'!A:A,'Solid Mix In Nutrition'!I:I,1)))*240)-(($U18/MAX(1,_xlfn.XLOOKUP($G18,'Solid Mix In Nutrition'!A:A,'Solid Mix In Nutrition'!I:I,1)))*240))*0.33</f>
        <v>0</v>
      </c>
      <c r="R18">
        <f>_xlfn.XLOOKUP($K18,Specs!$D:$D,Specs!$E:$E,0)*15*_xlfn.XLOOKUP($J18,Specs!$A:$A,Specs!$C:$C,0)</f>
        <v>0</v>
      </c>
      <c r="S18">
        <f>_xlfn.XLOOKUP($L18,Specs!$D:$D,Specs!$E:$E,0)*15*_xlfn.XLOOKUP($J18,Specs!$A:$A,Specs!$C:$C,0)</f>
        <v>0</v>
      </c>
      <c r="T18">
        <f>( ((_xlfn.XLOOKUP($M18,Specs!$H:$H,Specs!$I:$I,0)*_xlfn.XLOOKUP($J18,Specs!$A:$A,Specs!$B:$B,0))/240) *_xlfn.XLOOKUP($F18,'Solid Mix In Nutrition'!A:A,'Solid Mix In Nutrition'!I:I,0)) *IF(AND(NOT($G18=0), COUNTA($G18)),0.5,1)</f>
        <v>0</v>
      </c>
      <c r="U18">
        <f>( ((_xlfn.XLOOKUP($M18,Specs!$H:$H,Specs!$I:$I,0)*_xlfn.XLOOKUP($J18,Specs!$A:$A,Specs!$B:$B,0))/240) *_xlfn.XLOOKUP($G18,'Solid Mix In Nutrition'!A:A,'Solid Mix In Nutrition'!I:I,0)) *IF(AND(NOT($G18=0), COUNTA($G18)),0.5,0)</f>
        <v>0</v>
      </c>
      <c r="V18" t="e">
        <f>_xlfn.XLOOKUP($N18,Specs!F:F,Specs!G:G,0)*100*_xlfn.XLOOKUP($J18,Specs!A:A,Specs!C:C,0)</f>
        <v>#VALUE!</v>
      </c>
      <c r="W18">
        <f>_xlfn.XLOOKUP($O18,Specs!F:F,Specs!G:G,0)*100*_xlfn.XLOOKUP($J18,Specs!A:A,Specs!C:C,0)</f>
        <v>0</v>
      </c>
      <c r="X18" s="4" t="e">
        <f t="shared" si="0"/>
        <v>#VALUE!</v>
      </c>
      <c r="Y18" s="5" t="e">
        <f t="shared" si="1"/>
        <v>#VALUE!</v>
      </c>
      <c r="Z18" s="6" t="e">
        <f>(($P18 / 240) * _xlfn.XLOOKUP($B18,'Milk Types Nutrition Per Cup'!A:A,'Milk Types Nutrition Per Cup'!B:B,0)) +(($Q18 / 240)  * _xlfn.XLOOKUP($C18,'Milk Types Nutrition Per Cup'!A:A,'Milk Types Nutrition Per Cup'!B:B,0)) +(($R18 / 15)  * _xlfn.XLOOKUP($D18,'Liquid Mix In Nutrition'!A:A,'Liquid Mix In Nutrition'!B:B,0))+(($S18 / 15)  * _xlfn.XLOOKUP($E18,'Liquid Mix In Nutrition'!A:A,'Liquid Mix In Nutrition'!B:B,0))+(($T18 /MAX(1, _xlfn.XLOOKUP($F18,'Solid Mix In Nutrition'!A:A,'Solid Mix In Nutrition'!I:I,1)))  * _xlfn.XLOOKUP($F18,'Solid Mix In Nutrition'!A:A,'Solid Mix In Nutrition'!B:B,0))+(($U18 / MAX(1, _xlfn.XLOOKUP($G18,'Solid Mix In Nutrition'!A:A,'Solid Mix In Nutrition'!I:I,1))))+(($V18 / 100)  * _xlfn.XLOOKUP($H18,'Sweetener Mix In Nutrition'!A:A,'Sweetener Mix In Nutrition'!B:B,0))+(($W18 / 100)  * _xlfn.XLOOKUP($I18,'Sweetener Mix In Nutrition'!A:A,'Sweetener Mix In Nutrition'!B:B,0))</f>
        <v>#VALUE!</v>
      </c>
      <c r="AA18" s="6" t="e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Nutrition'!E:E,0))+(($T18 / MAX(1, _xlfn.XLOOKUP($F18,'Solid Mix In Nutrition'!A:A,'Solid Mix In Nutrition'!I:I,1)))  * _xlfn.XLOOKUP($F18,'Solid Mix In Nutrition'!A:A,'Solid Mix In Nutrition'!E:E,0))+(($U18 / MAX(1, _xlfn.XLOOKUP($G18,'Solid Mix In Nutrition'!A:A,'Solid Mix In Nutrition'!I:I,1)))  * _xlfn.XLOOKUP($G18,'Solid Mix In Nutrition'!A:A,'Solid Mix In Nutrition'!G:G,0))+(($V18 / 100)  * _xlfn.XLOOKUP($H18,'Sweetener Mix In Nutrition'!A:A,'Sweetener Mix In Nutrition'!E:E,0))+(($W18 / 100)  * _xlfn.XLOOKUP($I18,'Sweetener Mix In Nutrition'!A:A,'Sweetener Mix In Nutrition'!E:E,0))</f>
        <v>#VALUE!</v>
      </c>
      <c r="AB18" s="6" t="e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Nutrition'!E:E,0))+(($V18 / 100)  * _xlfn.XLOOKUP($H18,'Sweetener Mix In Nutrition'!A:A,'Sweetener Mix In Nutrition'!E:E,0))+(($W18 / 100)  * _xlfn.XLOOKUP($I18,'Sweetener Mix In Nutrition'!A:A,'Sweetener Mix In Nutrition'!E:E,0))</f>
        <v>#VALUE!</v>
      </c>
      <c r="AC18" s="7" t="e">
        <f>(($P18 / 240) * _xlfn.XLOOKUP($B18,'Milk Types Nutrition Per Cup'!A:A,'Milk Types Nutrition Per Cup'!C:C,0)) +(($Q18 / 240)  * _xlfn.XLOOKUP($C18,'Milk Types Nutrition Per Cup'!A:A,'Milk Types Nutrition Per Cup'!C:C,0)) +(($R18 / 15)  * _xlfn.XLOOKUP($D18,'Liquid Mix In Nutrition'!A:A,'Liquid Mix In Nutrition'!C:C,0))+(($S18 / 15)  * _xlfn.XLOOKUP($E18,'Liquid Mix In Nutrition'!A:A,'Liquid Mix In Nutrition'!C:C,0))+(($T18 / MAX(1, _xlfn.XLOOKUP($F18,'Solid Mix In Nutrition'!A:A,'Solid Mix In Nutrition'!I:I,1)))  * _xlfn.XLOOKUP($F18,'Solid Mix In Nutrition'!A:A,'Solid Mix In Nutrition'!C:C,0))+(($U18 / MAX(1, _xlfn.XLOOKUP($G18,'Solid Mix In Nutrition'!A:A,'Solid Mix In Nutrition'!I:I,1)))  * _xlfn.XLOOKUP($G18,'Solid Mix In Nutrition'!A:A,'Solid Mix In Nutrition'!C:C,0))+(($V18 / 100)  * _xlfn.XLOOKUP($H18,'Sweetener Mix In Nutrition'!A:A,'Sweetener Mix In Nutrition'!C:C,0))+(($W18 / 100)  * _xlfn.XLOOKUP($I18,'Sweetener Mix In Nutrition'!A:A,'Sweetener Mix In Nutrition'!C:C,0))</f>
        <v>#VALUE!</v>
      </c>
      <c r="AD18" s="8" t="e">
        <f>$AC18 / (_xlfn.XLOOKUP($J18,Specs!A:A,Specs!B:B,0))</f>
        <v>#VALUE!</v>
      </c>
      <c r="AE18" s="7" t="e">
        <f>60* ($Z18 / _xlfn.XLOOKUP($J18,Specs!$A:$A,Specs!$B:$B,0))</f>
        <v>#VALUE!</v>
      </c>
      <c r="AF18" s="7" t="e">
        <f>60* (AA18 / _xlfn.XLOOKUP($J18,Specs!$A:$A,Specs!$B:$B,0))</f>
        <v>#VALUE!</v>
      </c>
      <c r="AG18" s="7" t="e">
        <f>60* (AC18 / _xlfn.XLOOKUP($J18,Specs!$A:$A,Specs!$B:$B,0))</f>
        <v>#VALUE!</v>
      </c>
      <c r="AH18" s="9" t="e">
        <f>(($P18 / 240) * _xlfn.XLOOKUP($B18,'Milk Types Nutrition Per Cup'!A:A,'Milk Types Nutrition Per Cup'!F:F,0)) +(($Q18 / 240)  * _xlfn.XLOOKUP($C18,'Milk Types Nutrition Per Cup'!A:A,'Milk Types Nutrition Per Cup'!F:F,0)) +(($R18 / 15)  * _xlfn.XLOOKUP($D18,'Liquid Mix In Nutrition'!A:A,'Liquid Mix In Nutrition'!F:F,0))+(($S18 / 15)  * _xlfn.XLOOKUP($E18,'Liquid Mix In Nutrition'!A:A,'Liquid Mix In Nutrition'!F:F,0))+(($T18 / MAX(1, _xlfn.XLOOKUP($F18,'Solid Mix In Nutrition'!A:A,'Solid Mix In Nutrition'!I:I,1)))  * _xlfn.XLOOKUP($F18,'Solid Mix In Nutrition'!A:A,'Solid Mix In Nutrition'!F:F,0))+(($U18 / MAX(1, _xlfn.XLOOKUP($G18,'Solid Mix In Nutrition'!A:A,'Solid Mix In Nutrition'!I:I,1)))  * _xlfn.XLOOKUP($G18,'Solid Mix In Nutrition'!A:A,'Solid Mix In Nutrition'!F:F,0))+(($V18 / 100)  * _xlfn.XLOOKUP($H18,'Sweetener Mix In Nutrition'!A:A,'Sweetener Mix In Nutrition'!F:F,0))+(($W18 / 100)  * _xlfn.XLOOKUP($I18,'Sweetener Mix In Nutrition'!A:A,'Sweetener Mix In Nutrition'!F:F,0))</f>
        <v>#VALUE!</v>
      </c>
      <c r="AI18" s="10" t="e">
        <f>(AH18+Specs!$R$2+Specs!$S$2)*Specs!$N$2</f>
        <v>#VALUE!</v>
      </c>
    </row>
    <row r="19" spans="16:35" x14ac:dyDescent="0.25">
      <c r="P19" t="e">
        <f>(_xlfn.XLOOKUP($J19,Specs!A:A,Specs!B:B,0)-$R19-$S19-(($T19/MAX(1,_xlfn.XLOOKUP($F19,'Solid Mix In Nutrition'!A:A,'Solid Mix In Nutrition'!I:I,1)))*240)-(($U19/MAX(1,_xlfn.XLOOKUP($G19,'Solid Mix In Nutrition'!A:A,'Solid Mix In Nutrition'!I:I,1)))*240))*0.66</f>
        <v>#VALUE!</v>
      </c>
      <c r="Q19" t="e">
        <f>(_xlfn.XLOOKUP($J19,Specs!A:A,Specs!B:B,0)-$R19-$S19-(($T19/MAX(1,_xlfn.XLOOKUP($F19,'Solid Mix In Nutrition'!A:A,'Solid Mix In Nutrition'!I:I,1)))*240)-(($U19/MAX(1,_xlfn.XLOOKUP($G19,'Solid Mix In Nutrition'!A:A,'Solid Mix In Nutrition'!I:I,1)))*240))*0.33</f>
        <v>#VALUE!</v>
      </c>
      <c r="R19" t="e">
        <f>_xlfn.XLOOKUP($K19,Specs!$D:$D,Specs!$E:$E,0)*15*_xlfn.XLOOKUP($J19,Specs!$A:$A,Specs!$C:$C,0)</f>
        <v>#VALUE!</v>
      </c>
      <c r="S19">
        <f>_xlfn.XLOOKUP($L19,Specs!$D:$D,Specs!$E:$E,0)*15*_xlfn.XLOOKUP($J19,Specs!$A:$A,Specs!$C:$C,0)</f>
        <v>0</v>
      </c>
      <c r="T19">
        <f>( ((_xlfn.XLOOKUP($M19,Specs!$H:$H,Specs!$I:$I,0)*_xlfn.XLOOKUP($J19,Specs!$A:$A,Specs!$B:$B,0))/240) *_xlfn.XLOOKUP($F19,'Solid Mix In Nutrition'!A:A,'Solid Mix In Nutrition'!I:I,0)) *IF(AND(NOT($G19=0), COUNTA($G19)),0.5,1)</f>
        <v>0</v>
      </c>
      <c r="U19">
        <f>( ((_xlfn.XLOOKUP($M19,Specs!$H:$H,Specs!$I:$I,0)*_xlfn.XLOOKUP($J19,Specs!$A:$A,Specs!$B:$B,0))/240) *_xlfn.XLOOKUP($G19,'Solid Mix In Nutrition'!A:A,'Solid Mix In Nutrition'!I:I,0)) *IF(AND(NOT($G19=0), COUNTA($G19)),0.5,0)</f>
        <v>0</v>
      </c>
      <c r="V19">
        <f>_xlfn.XLOOKUP($N19,Specs!F:F,Specs!G:G,0)*100*_xlfn.XLOOKUP($J19,Specs!A:A,Specs!C:C,0)</f>
        <v>0</v>
      </c>
      <c r="W19">
        <f>_xlfn.XLOOKUP($O19,Specs!F:F,Specs!G:G,0)*100*_xlfn.XLOOKUP($J19,Specs!A:A,Specs!C:C,0)</f>
        <v>0</v>
      </c>
      <c r="X19" s="4" t="e">
        <f t="shared" si="0"/>
        <v>#VALUE!</v>
      </c>
      <c r="Y19" s="5" t="e">
        <f t="shared" si="1"/>
        <v>#VALUE!</v>
      </c>
      <c r="Z19" s="6" t="e">
        <f>(($P19 / 240) * _xlfn.XLOOKUP($B19,'Milk Types Nutrition Per Cup'!A:A,'Milk Types Nutrition Per Cup'!B:B,0)) +(($Q19 / 240)  * _xlfn.XLOOKUP($C19,'Milk Types Nutrition Per Cup'!A:A,'Milk Types Nutrition Per Cup'!B:B,0)) +(($R19 / 15)  * _xlfn.XLOOKUP($D19,'Liquid Mix In Nutrition'!A:A,'Liquid Mix In Nutrition'!B:B,0))+(($S19 / 15)  * _xlfn.XLOOKUP($E19,'Liquid Mix In Nutrition'!A:A,'Liquid Mix In Nutrition'!B:B,0))+(($T19 /MAX(1, _xlfn.XLOOKUP($F19,'Solid Mix In Nutrition'!A:A,'Solid Mix In Nutrition'!I:I,1)))  * _xlfn.XLOOKUP($F19,'Solid Mix In Nutrition'!A:A,'Solid Mix In Nutrition'!B:B,0))+(($U19 / MAX(1, _xlfn.XLOOKUP($G19,'Solid Mix In Nutrition'!A:A,'Solid Mix In Nutrition'!I:I,1))))+(($V19 / 100)  * _xlfn.XLOOKUP($H19,'Sweetener Mix In Nutrition'!A:A,'Sweetener Mix In Nutrition'!B:B,0))+(($W19 / 100)  * _xlfn.XLOOKUP($I19,'Sweetener Mix In Nutrition'!A:A,'Sweetener Mix In Nutrition'!B:B,0))</f>
        <v>#VALUE!</v>
      </c>
      <c r="AA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Nutrition'!E:E,0))+(($T19 / MAX(1, _xlfn.XLOOKUP($F19,'Solid Mix In Nutrition'!A:A,'Solid Mix In Nutrition'!I:I,1)))  * _xlfn.XLOOKUP($F19,'Solid Mix In Nutrition'!A:A,'Solid Mix In Nutrition'!E:E,0))+(($U19 / MAX(1, _xlfn.XLOOKUP($G19,'Solid Mix In Nutrition'!A:A,'Solid Mix In Nutrition'!I:I,1)))  * _xlfn.XLOOKUP($G19,'Solid Mix In Nutrition'!A:A,'Solid Mix In Nutrition'!G:G,0))+(($V19 / 100)  * _xlfn.XLOOKUP($H19,'Sweetener Mix In Nutrition'!A:A,'Sweetener Mix In Nutrition'!E:E,0))+(($W19 / 100)  * _xlfn.XLOOKUP($I19,'Sweetener Mix In Nutrition'!A:A,'Sweetener Mix In Nutrition'!E:E,0))</f>
        <v>#VALUE!</v>
      </c>
      <c r="AB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Nutrition'!E:E,0))+(($V19 / 100)  * _xlfn.XLOOKUP($H19,'Sweetener Mix In Nutrition'!A:A,'Sweetener Mix In Nutrition'!E:E,0))+(($W19 / 100)  * _xlfn.XLOOKUP($I19,'Sweetener Mix In Nutrition'!A:A,'Sweetener Mix In Nutrition'!E:E,0))</f>
        <v>#VALUE!</v>
      </c>
      <c r="AC19" s="7" t="e">
        <f>(($P19 / 240) * _xlfn.XLOOKUP($B19,'Milk Types Nutrition Per Cup'!A:A,'Milk Types Nutrition Per Cup'!C:C,0)) +(($Q19 / 240)  * _xlfn.XLOOKUP($C19,'Milk Types Nutrition Per Cup'!A:A,'Milk Types Nutrition Per Cup'!C:C,0)) +(($R19 / 15)  * _xlfn.XLOOKUP($D19,'Liquid Mix In Nutrition'!A:A,'Liquid Mix In Nutrition'!C:C,0))+(($S19 / 15)  * _xlfn.XLOOKUP($E19,'Liquid Mix In Nutrition'!A:A,'Liquid Mix In Nutrition'!C:C,0))+(($T19 / MAX(1, _xlfn.XLOOKUP($F19,'Solid Mix In Nutrition'!A:A,'Solid Mix In Nutrition'!I:I,1)))  * _xlfn.XLOOKUP($F19,'Solid Mix In Nutrition'!A:A,'Solid Mix In Nutrition'!C:C,0))+(($U19 / MAX(1, _xlfn.XLOOKUP($G19,'Solid Mix In Nutrition'!A:A,'Solid Mix In Nutrition'!I:I,1)))  * _xlfn.XLOOKUP($G19,'Solid Mix In Nutrition'!A:A,'Solid Mix In Nutrition'!C:C,0))+(($V19 / 100)  * _xlfn.XLOOKUP($H19,'Sweetener Mix In Nutrition'!A:A,'Sweetener Mix In Nutrition'!C:C,0))+(($W19 / 100)  * _xlfn.XLOOKUP($I19,'Sweetener Mix In Nutrition'!A:A,'Sweetener Mix In Nutrition'!C:C,0))</f>
        <v>#VALUE!</v>
      </c>
      <c r="AD19" s="8" t="e">
        <f>$AC19 / (_xlfn.XLOOKUP($J19,Specs!A:A,Specs!B:B,0))</f>
        <v>#VALUE!</v>
      </c>
      <c r="AE19" s="7" t="e">
        <f>60* ($Z19 / _xlfn.XLOOKUP($J19,Specs!$A:$A,Specs!$B:$B,0))</f>
        <v>#VALUE!</v>
      </c>
      <c r="AF19" s="7" t="e">
        <f>60* (AA19 / _xlfn.XLOOKUP($J19,Specs!$A:$A,Specs!$B:$B,0))</f>
        <v>#VALUE!</v>
      </c>
      <c r="AG19" s="7" t="e">
        <f>60* (AC19 / _xlfn.XLOOKUP($J19,Specs!$A:$A,Specs!$B:$B,0))</f>
        <v>#VALUE!</v>
      </c>
      <c r="AH19" s="9" t="e">
        <f>(($P19 / 240) * _xlfn.XLOOKUP($B19,'Milk Types Nutrition Per Cup'!A:A,'Milk Types Nutrition Per Cup'!F:F,0)) +(($Q19 / 240)  * _xlfn.XLOOKUP($C19,'Milk Types Nutrition Per Cup'!A:A,'Milk Types Nutrition Per Cup'!F:F,0)) +(($R19 / 15)  * _xlfn.XLOOKUP($D19,'Liquid Mix In Nutrition'!A:A,'Liquid Mix In Nutrition'!F:F,0))+(($S19 / 15)  * _xlfn.XLOOKUP($E19,'Liquid Mix In Nutrition'!A:A,'Liquid Mix In Nutrition'!F:F,0))+(($T19 / MAX(1, _xlfn.XLOOKUP($F19,'Solid Mix In Nutrition'!A:A,'Solid Mix In Nutrition'!I:I,1)))  * _xlfn.XLOOKUP($F19,'Solid Mix In Nutrition'!A:A,'Solid Mix In Nutrition'!F:F,0))+(($U19 / MAX(1, _xlfn.XLOOKUP($G19,'Solid Mix In Nutrition'!A:A,'Solid Mix In Nutrition'!I:I,1)))  * _xlfn.XLOOKUP($G19,'Solid Mix In Nutrition'!A:A,'Solid Mix In Nutrition'!F:F,0))+(($V19 / 100)  * _xlfn.XLOOKUP($H19,'Sweetener Mix In Nutrition'!A:A,'Sweetener Mix In Nutrition'!F:F,0))+(($W19 / 100)  * _xlfn.XLOOKUP($I19,'Sweetener Mix In Nutrition'!A:A,'Sweetener Mix In Nutrition'!F:F,0))</f>
        <v>#VALUE!</v>
      </c>
      <c r="AI19" s="10" t="e">
        <f>(AH19+Specs!$R$2+Specs!$S$2)*Specs!$N$2</f>
        <v>#VALUE!</v>
      </c>
    </row>
    <row r="20" spans="16:35" x14ac:dyDescent="0.25">
      <c r="P20">
        <f>(_xlfn.XLOOKUP($J20,Specs!A:A,Specs!B:B,0)-$R20-$S20-(($T20/MAX(1,_xlfn.XLOOKUP($F20,'Solid Mix In Nutrition'!A:A,'Solid Mix In Nutrition'!I:I,1)))*240)-(($U20/MAX(1,_xlfn.XLOOKUP($G20,'Solid Mix In Nutrition'!A:A,'Solid Mix In Nutrition'!I:I,1)))*240))*0.66</f>
        <v>0</v>
      </c>
      <c r="Q20">
        <f>(_xlfn.XLOOKUP($J20,Specs!A:A,Specs!B:B,0)-$R20-$S20-(($T20/MAX(1,_xlfn.XLOOKUP($F20,'Solid Mix In Nutrition'!A:A,'Solid Mix In Nutrition'!I:I,1)))*240)-(($U20/MAX(1,_xlfn.XLOOKUP($G20,'Solid Mix In Nutrition'!A:A,'Solid Mix In Nutrition'!I:I,1)))*240))*0.33</f>
        <v>0</v>
      </c>
      <c r="R20">
        <f>_xlfn.XLOOKUP($K20,Specs!$D:$D,Specs!$E:$E,0)*15*_xlfn.XLOOKUP($J20,Specs!$A:$A,Specs!$C:$C,0)</f>
        <v>0</v>
      </c>
      <c r="S20">
        <f>_xlfn.XLOOKUP($L20,Specs!$D:$D,Specs!$E:$E,0)*15*_xlfn.XLOOKUP($J20,Specs!$A:$A,Specs!$C:$C,0)</f>
        <v>0</v>
      </c>
      <c r="T20">
        <f>( ((_xlfn.XLOOKUP($M20,Specs!$H:$H,Specs!$I:$I,0)*_xlfn.XLOOKUP($J20,Specs!$A:$A,Specs!$B:$B,0))/240) *_xlfn.XLOOKUP($F20,'Solid Mix In Nutrition'!A:A,'Solid Mix In Nutrition'!I:I,0)) *IF(AND(NOT($G20=0), COUNTA($G20)),0.5,1)</f>
        <v>0</v>
      </c>
      <c r="U20">
        <f>( ((_xlfn.XLOOKUP($M20,Specs!$H:$H,Specs!$I:$I,0)*_xlfn.XLOOKUP($J20,Specs!$A:$A,Specs!$B:$B,0))/240) *_xlfn.XLOOKUP($G20,'Solid Mix In Nutrition'!A:A,'Solid Mix In Nutrition'!I:I,0)) *IF(AND(NOT($G20=0), COUNTA($G20)),0.5,0)</f>
        <v>0</v>
      </c>
      <c r="V20">
        <f>_xlfn.XLOOKUP($N20,Specs!F:F,Specs!G:G,0)*100*_xlfn.XLOOKUP($J20,Specs!A:A,Specs!C:C,0)</f>
        <v>0</v>
      </c>
      <c r="W20">
        <f>_xlfn.XLOOKUP($O20,Specs!F:F,Specs!G:G,0)*100*_xlfn.XLOOKUP($J20,Specs!A:A,Specs!C:C,0)</f>
        <v>0</v>
      </c>
      <c r="X20" s="4">
        <f t="shared" si="0"/>
        <v>0</v>
      </c>
      <c r="Y20" s="5">
        <f t="shared" si="1"/>
        <v>0</v>
      </c>
      <c r="Z20" s="6">
        <f>(($P20 / 240) * _xlfn.XLOOKUP($B20,'Milk Types Nutrition Per Cup'!A:A,'Milk Types Nutrition Per Cup'!B:B,0)) +(($Q20 / 240)  * _xlfn.XLOOKUP($C20,'Milk Types Nutrition Per Cup'!A:A,'Milk Types Nutrition Per Cup'!B:B,0)) +(($R20 / 15)  * _xlfn.XLOOKUP($D20,'Liquid Mix In Nutrition'!A:A,'Liquid Mix In Nutrition'!B:B,0))+(($S20 / 15)  * _xlfn.XLOOKUP($E20,'Liquid Mix In Nutrition'!A:A,'Liquid Mix In Nutrition'!B:B,0))+(($T20 /MAX(1, _xlfn.XLOOKUP($F20,'Solid Mix In Nutrition'!A:A,'Solid Mix In Nutrition'!I:I,1)))  * _xlfn.XLOOKUP($F20,'Solid Mix In Nutrition'!A:A,'Solid Mix In Nutrition'!B:B,0))+(($U20 / MAX(1, _xlfn.XLOOKUP($G20,'Solid Mix In Nutrition'!A:A,'Solid Mix In Nutrition'!I:I,1))))+(($V20 / 100)  * _xlfn.XLOOKUP($H20,'Sweetener Mix In Nutrition'!A:A,'Sweetener Mix In Nutrition'!B:B,0))+(($W20 / 100)  * _xlfn.XLOOKUP($I20,'Sweetener Mix In Nutrition'!A:A,'Sweetener Mix In Nutrition'!B:B,0))</f>
        <v>0</v>
      </c>
      <c r="AA20" s="6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Nutrition'!E:E,0))+(($T20 / MAX(1, _xlfn.XLOOKUP($F20,'Solid Mix In Nutrition'!A:A,'Solid Mix In Nutrition'!I:I,1)))  * _xlfn.XLOOKUP($F20,'Solid Mix In Nutrition'!A:A,'Solid Mix In Nutrition'!E:E,0))+(($U20 / MAX(1, _xlfn.XLOOKUP($G20,'Solid Mix In Nutrition'!A:A,'Solid Mix In Nutrition'!I:I,1)))  * _xlfn.XLOOKUP($G20,'Solid Mix In Nutrition'!A:A,'Solid Mix In Nutrition'!G:G,0))+(($V20 / 100)  * _xlfn.XLOOKUP($H20,'Sweetener Mix In Nutrition'!A:A,'Sweetener Mix In Nutrition'!E:E,0))+(($W20 / 100)  * _xlfn.XLOOKUP($I20,'Sweetener Mix In Nutrition'!A:A,'Sweetener Mix In Nutrition'!E:E,0))</f>
        <v>0</v>
      </c>
      <c r="AB20" s="6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Nutrition'!E:E,0))+(($V20 / 100)  * _xlfn.XLOOKUP($H20,'Sweetener Mix In Nutrition'!A:A,'Sweetener Mix In Nutrition'!E:E,0))+(($W20 / 100)  * _xlfn.XLOOKUP($I20,'Sweetener Mix In Nutrition'!A:A,'Sweetener Mix In Nutrition'!E:E,0))</f>
        <v>0</v>
      </c>
      <c r="AC20" s="7">
        <f>(($P20 / 240) * _xlfn.XLOOKUP($B20,'Milk Types Nutrition Per Cup'!A:A,'Milk Types Nutrition Per Cup'!C:C,0)) +(($Q20 / 240)  * _xlfn.XLOOKUP($C20,'Milk Types Nutrition Per Cup'!A:A,'Milk Types Nutrition Per Cup'!C:C,0)) +(($R20 / 15)  * _xlfn.XLOOKUP($D20,'Liquid Mix In Nutrition'!A:A,'Liquid Mix In Nutrition'!C:C,0))+(($S20 / 15)  * _xlfn.XLOOKUP($E20,'Liquid Mix In Nutrition'!A:A,'Liquid Mix In Nutrition'!C:C,0))+(($T20 / MAX(1, _xlfn.XLOOKUP($F20,'Solid Mix In Nutrition'!A:A,'Solid Mix In Nutrition'!I:I,1)))  * _xlfn.XLOOKUP($F20,'Solid Mix In Nutrition'!A:A,'Solid Mix In Nutrition'!C:C,0))+(($U20 / MAX(1, _xlfn.XLOOKUP($G20,'Solid Mix In Nutrition'!A:A,'Solid Mix In Nutrition'!I:I,1)))  * _xlfn.XLOOKUP($G20,'Solid Mix In Nutrition'!A:A,'Solid Mix In Nutrition'!C:C,0))+(($V20 / 100)  * _xlfn.XLOOKUP($H20,'Sweetener Mix In Nutrition'!A:A,'Sweetener Mix In Nutrition'!C:C,0))+(($W20 / 100)  * _xlfn.XLOOKUP($I20,'Sweetener Mix In Nutrition'!A:A,'Sweetener Mix In Nutrition'!C:C,0))</f>
        <v>0</v>
      </c>
      <c r="AD20" s="8" t="e">
        <f>$AC20 / (_xlfn.XLOOKUP($J20,Specs!A:A,Specs!B:B,0))</f>
        <v>#DIV/0!</v>
      </c>
      <c r="AE20" s="7" t="e">
        <f>60* ($Z20 / _xlfn.XLOOKUP($J20,Specs!$A:$A,Specs!$B:$B,0))</f>
        <v>#DIV/0!</v>
      </c>
      <c r="AF20" s="7" t="e">
        <f>60* (AA20 / _xlfn.XLOOKUP($J20,Specs!$A:$A,Specs!$B:$B,0))</f>
        <v>#DIV/0!</v>
      </c>
      <c r="AG20" s="7" t="e">
        <f>60* (AC20 / _xlfn.XLOOKUP($J20,Specs!$A:$A,Specs!$B:$B,0))</f>
        <v>#DIV/0!</v>
      </c>
      <c r="AH20" s="9">
        <f>(($P20 / 240) * _xlfn.XLOOKUP($B20,'Milk Types Nutrition Per Cup'!A:A,'Milk Types Nutrition Per Cup'!F:F,0)) +(($Q20 / 240)  * _xlfn.XLOOKUP($C20,'Milk Types Nutrition Per Cup'!A:A,'Milk Types Nutrition Per Cup'!F:F,0)) +(($R20 / 15)  * _xlfn.XLOOKUP($D20,'Liquid Mix In Nutrition'!A:A,'Liquid Mix In Nutrition'!F:F,0))+(($S20 / 15)  * _xlfn.XLOOKUP($E20,'Liquid Mix In Nutrition'!A:A,'Liquid Mix In Nutrition'!F:F,0))+(($T20 / MAX(1, _xlfn.XLOOKUP($F20,'Solid Mix In Nutrition'!A:A,'Solid Mix In Nutrition'!I:I,1)))  * _xlfn.XLOOKUP($F20,'Solid Mix In Nutrition'!A:A,'Solid Mix In Nutrition'!F:F,0))+(($U20 / MAX(1, _xlfn.XLOOKUP($G20,'Solid Mix In Nutrition'!A:A,'Solid Mix In Nutrition'!I:I,1)))  * _xlfn.XLOOKUP($G20,'Solid Mix In Nutrition'!A:A,'Solid Mix In Nutrition'!F:F,0))+(($V20 / 100)  * _xlfn.XLOOKUP($H20,'Sweetener Mix In Nutrition'!A:A,'Sweetener Mix In Nutrition'!F:F,0))+(($W20 / 100)  * _xlfn.XLOOKUP($I20,'Sweetener Mix In Nutrition'!A:A,'Sweetener Mix In Nutrition'!F:F,0))</f>
        <v>0</v>
      </c>
      <c r="AI20" s="10">
        <f>(AH20+Specs!$R$2+Specs!$S$2)*Specs!$N$2</f>
        <v>0.78</v>
      </c>
    </row>
    <row r="21" spans="16:35" x14ac:dyDescent="0.25">
      <c r="P21">
        <f>(_xlfn.XLOOKUP($J21,Specs!A:A,Specs!B:B,0)-$R21-$S21-(($T21/MAX(1,_xlfn.XLOOKUP($F21,'Solid Mix In Nutrition'!A:A,'Solid Mix In Nutrition'!I:I,1)))*240)-(($U21/MAX(1,_xlfn.XLOOKUP($G21,'Solid Mix In Nutrition'!A:A,'Solid Mix In Nutrition'!I:I,1)))*240))*0.66</f>
        <v>0</v>
      </c>
      <c r="Q21">
        <f>(_xlfn.XLOOKUP($J21,Specs!A:A,Specs!B:B,0)-$R21-$S21-(($T21/MAX(1,_xlfn.XLOOKUP($F21,'Solid Mix In Nutrition'!A:A,'Solid Mix In Nutrition'!I:I,1)))*240)-(($U21/MAX(1,_xlfn.XLOOKUP($G21,'Solid Mix In Nutrition'!A:A,'Solid Mix In Nutrition'!I:I,1)))*240))*0.33</f>
        <v>0</v>
      </c>
      <c r="R21">
        <f>_xlfn.XLOOKUP($K21,Specs!$D:$D,Specs!$E:$E,0)*15*_xlfn.XLOOKUP($J21,Specs!$A:$A,Specs!$C:$C,0)</f>
        <v>0</v>
      </c>
      <c r="S21">
        <f>_xlfn.XLOOKUP($L21,Specs!$D:$D,Specs!$E:$E,0)*15*_xlfn.XLOOKUP($J21,Specs!$A:$A,Specs!$C:$C,0)</f>
        <v>0</v>
      </c>
      <c r="T21">
        <f>( ((_xlfn.XLOOKUP($M21,Specs!$H:$H,Specs!$I:$I,0)*_xlfn.XLOOKUP($J21,Specs!$A:$A,Specs!$B:$B,0))/240) *_xlfn.XLOOKUP($F21,'Solid Mix In Nutrition'!A:A,'Solid Mix In Nutrition'!I:I,0)) *IF(AND(NOT($G21=0), COUNTA($G21)),0.5,1)</f>
        <v>0</v>
      </c>
      <c r="U21">
        <f>( ((_xlfn.XLOOKUP($M21,Specs!$H:$H,Specs!$I:$I,0)*_xlfn.XLOOKUP($J21,Specs!$A:$A,Specs!$B:$B,0))/240) *_xlfn.XLOOKUP($G21,'Solid Mix In Nutrition'!A:A,'Solid Mix In Nutrition'!I:I,0)) *IF(AND(NOT($G21=0), COUNTA($G21)),0.5,0)</f>
        <v>0</v>
      </c>
      <c r="V21">
        <f>_xlfn.XLOOKUP($N21,Specs!F:F,Specs!G:G,0)*100*_xlfn.XLOOKUP($J21,Specs!A:A,Specs!C:C,0)</f>
        <v>0</v>
      </c>
      <c r="W21">
        <f>_xlfn.XLOOKUP($O21,Specs!F:F,Specs!G:G,0)*100*_xlfn.XLOOKUP($J21,Specs!A:A,Specs!C:C,0)</f>
        <v>0</v>
      </c>
      <c r="X21" s="4">
        <f t="shared" si="0"/>
        <v>0</v>
      </c>
      <c r="Y21" s="5">
        <f t="shared" si="1"/>
        <v>0</v>
      </c>
      <c r="Z21" s="6">
        <f>(($P21 / 240) * _xlfn.XLOOKUP($B21,'Milk Types Nutrition Per Cup'!A:A,'Milk Types Nutrition Per Cup'!B:B,0)) +(($Q21 / 240)  * _xlfn.XLOOKUP($C21,'Milk Types Nutrition Per Cup'!A:A,'Milk Types Nutrition Per Cup'!B:B,0)) +(($R21 / 15)  * _xlfn.XLOOKUP($D21,'Liquid Mix In Nutrition'!A:A,'Liquid Mix In Nutrition'!B:B,0))+(($S21 / 15)  * _xlfn.XLOOKUP($E21,'Liquid Mix In Nutrition'!A:A,'Liquid Mix In Nutrition'!B:B,0))+(($T21 /MAX(1, _xlfn.XLOOKUP($F21,'Solid Mix In Nutrition'!A:A,'Solid Mix In Nutrition'!I:I,1)))  * _xlfn.XLOOKUP($F21,'Solid Mix In Nutrition'!A:A,'Solid Mix In Nutrition'!B:B,0))+(($U21 / MAX(1, _xlfn.XLOOKUP($G21,'Solid Mix In Nutrition'!A:A,'Solid Mix In Nutrition'!I:I,1))))+(($V21 / 100)  * _xlfn.XLOOKUP($H21,'Sweetener Mix In Nutrition'!A:A,'Sweetener Mix In Nutrition'!B:B,0))+(($W21 / 100)  * _xlfn.XLOOKUP($I21,'Sweetener Mix In Nutrition'!A:A,'Sweetener Mix In Nutrition'!B:B,0))</f>
        <v>0</v>
      </c>
      <c r="AA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Nutrition'!E:E,0))+(($T21 / MAX(1, _xlfn.XLOOKUP($F21,'Solid Mix In Nutrition'!A:A,'Solid Mix In Nutrition'!I:I,1)))  * _xlfn.XLOOKUP($F21,'Solid Mix In Nutrition'!A:A,'Solid Mix In Nutrition'!E:E,0))+(($U21 / MAX(1, _xlfn.XLOOKUP($G21,'Solid Mix In Nutrition'!A:A,'Solid Mix In Nutrition'!I:I,1)))  * _xlfn.XLOOKUP($G21,'Solid Mix In Nutrition'!A:A,'Solid Mix In Nutrition'!G:G,0))+(($V21 / 100)  * _xlfn.XLOOKUP($H21,'Sweetener Mix In Nutrition'!A:A,'Sweetener Mix In Nutrition'!E:E,0))+(($W21 / 100)  * _xlfn.XLOOKUP($I21,'Sweetener Mix In Nutrition'!A:A,'Sweetener Mix In Nutrition'!E:E,0))</f>
        <v>0</v>
      </c>
      <c r="AB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Nutrition'!E:E,0))+(($V21 / 100)  * _xlfn.XLOOKUP($H21,'Sweetener Mix In Nutrition'!A:A,'Sweetener Mix In Nutrition'!E:E,0))+(($W21 / 100)  * _xlfn.XLOOKUP($I21,'Sweetener Mix In Nutrition'!A:A,'Sweetener Mix In Nutrition'!E:E,0))</f>
        <v>0</v>
      </c>
      <c r="AC21" s="7">
        <f>(($P21 / 240) * _xlfn.XLOOKUP($B21,'Milk Types Nutrition Per Cup'!A:A,'Milk Types Nutrition Per Cup'!C:C,0)) +(($Q21 / 240)  * _xlfn.XLOOKUP($C21,'Milk Types Nutrition Per Cup'!A:A,'Milk Types Nutrition Per Cup'!C:C,0)) +(($R21 / 15)  * _xlfn.XLOOKUP($D21,'Liquid Mix In Nutrition'!A:A,'Liquid Mix In Nutrition'!C:C,0))+(($S21 / 15)  * _xlfn.XLOOKUP($E21,'Liquid Mix In Nutrition'!A:A,'Liquid Mix In Nutrition'!C:C,0))+(($T21 / MAX(1, _xlfn.XLOOKUP($F21,'Solid Mix In Nutrition'!A:A,'Solid Mix In Nutrition'!I:I,1)))  * _xlfn.XLOOKUP($F21,'Solid Mix In Nutrition'!A:A,'Solid Mix In Nutrition'!C:C,0))+(($U21 / MAX(1, _xlfn.XLOOKUP($G21,'Solid Mix In Nutrition'!A:A,'Solid Mix In Nutrition'!I:I,1)))  * _xlfn.XLOOKUP($G21,'Solid Mix In Nutrition'!A:A,'Solid Mix In Nutrition'!C:C,0))+(($V21 / 100)  * _xlfn.XLOOKUP($H21,'Sweetener Mix In Nutrition'!A:A,'Sweetener Mix In Nutrition'!C:C,0))+(($W21 / 100)  * _xlfn.XLOOKUP($I21,'Sweetener Mix In Nutrition'!A:A,'Sweetener Mix In Nutrition'!C:C,0))</f>
        <v>0</v>
      </c>
      <c r="AD21" s="8" t="e">
        <f>$AC21 / (_xlfn.XLOOKUP($J21,Specs!A:A,Specs!B:B,0))</f>
        <v>#DIV/0!</v>
      </c>
      <c r="AE21" s="7" t="e">
        <f>60* ($Z21 / _xlfn.XLOOKUP($J21,Specs!$A:$A,Specs!$B:$B,0))</f>
        <v>#DIV/0!</v>
      </c>
      <c r="AF21" s="7" t="e">
        <f>60* (AA21 / _xlfn.XLOOKUP($J21,Specs!$A:$A,Specs!$B:$B,0))</f>
        <v>#DIV/0!</v>
      </c>
      <c r="AG21" s="7" t="e">
        <f>60* (AC21 / _xlfn.XLOOKUP($J21,Specs!$A:$A,Specs!$B:$B,0))</f>
        <v>#DIV/0!</v>
      </c>
      <c r="AH21" s="9">
        <f>(($P21 / 240) * _xlfn.XLOOKUP($B21,'Milk Types Nutrition Per Cup'!A:A,'Milk Types Nutrition Per Cup'!F:F,0)) +(($Q21 / 240)  * _xlfn.XLOOKUP($C21,'Milk Types Nutrition Per Cup'!A:A,'Milk Types Nutrition Per Cup'!F:F,0)) +(($R21 / 15)  * _xlfn.XLOOKUP($D21,'Liquid Mix In Nutrition'!A:A,'Liquid Mix In Nutrition'!F:F,0))+(($S21 / 15)  * _xlfn.XLOOKUP($E21,'Liquid Mix In Nutrition'!A:A,'Liquid Mix In Nutrition'!F:F,0))+(($T21 / MAX(1, _xlfn.XLOOKUP($F21,'Solid Mix In Nutrition'!A:A,'Solid Mix In Nutrition'!I:I,1)))  * _xlfn.XLOOKUP($F21,'Solid Mix In Nutrition'!A:A,'Solid Mix In Nutrition'!F:F,0))+(($U21 / MAX(1, _xlfn.XLOOKUP($G21,'Solid Mix In Nutrition'!A:A,'Solid Mix In Nutrition'!I:I,1)))  * _xlfn.XLOOKUP($G21,'Solid Mix In Nutrition'!A:A,'Solid Mix In Nutrition'!F:F,0))+(($V21 / 100)  * _xlfn.XLOOKUP($H21,'Sweetener Mix In Nutrition'!A:A,'Sweetener Mix In Nutrition'!F:F,0))+(($W21 / 100)  * _xlfn.XLOOKUP($I21,'Sweetener Mix In Nutrition'!A:A,'Sweetener Mix In Nutrition'!F:F,0))</f>
        <v>0</v>
      </c>
      <c r="AI21" s="10">
        <f>(AH21+Specs!$R$2+Specs!$S$2)*Specs!$N$2</f>
        <v>0.78</v>
      </c>
    </row>
    <row r="22" spans="16:35" x14ac:dyDescent="0.25">
      <c r="P22" t="e">
        <f>(_xlfn.XLOOKUP($J22,Specs!A:A,Specs!B:B,0)-$R22-$S22-(($T22/MAX(1,_xlfn.XLOOKUP($F22,'Solid Mix In Nutrition'!A:A,'Solid Mix In Nutrition'!I:I,1)))*240)-(($U22/MAX(1,_xlfn.XLOOKUP($G22,'Solid Mix In Nutrition'!A:A,'Solid Mix In Nutrition'!I:I,1)))*240))*0.66</f>
        <v>#VALUE!</v>
      </c>
      <c r="Q22" t="e">
        <f>(_xlfn.XLOOKUP($J22,Specs!A:A,Specs!B:B,0)-$R22-$S22-(($T22/MAX(1,_xlfn.XLOOKUP($F22,'Solid Mix In Nutrition'!A:A,'Solid Mix In Nutrition'!I:I,1)))*240)-(($U22/MAX(1,_xlfn.XLOOKUP($G22,'Solid Mix In Nutrition'!A:A,'Solid Mix In Nutrition'!I:I,1)))*240))*0.33</f>
        <v>#VALUE!</v>
      </c>
      <c r="R22" t="e">
        <f>_xlfn.XLOOKUP($K22,Specs!$D:$D,Specs!$E:$E,0)*15*_xlfn.XLOOKUP($J22,Specs!$A:$A,Specs!$C:$C,0)</f>
        <v>#VALUE!</v>
      </c>
      <c r="S22">
        <f>_xlfn.XLOOKUP($L22,Specs!$D:$D,Specs!$E:$E,0)*15*_xlfn.XLOOKUP($J22,Specs!$A:$A,Specs!$C:$C,0)</f>
        <v>0</v>
      </c>
      <c r="T22">
        <f>( ((_xlfn.XLOOKUP($M22,Specs!$H:$H,Specs!$I:$I,0)*_xlfn.XLOOKUP($J22,Specs!$A:$A,Specs!$B:$B,0))/240) *_xlfn.XLOOKUP($F22,'Solid Mix In Nutrition'!A:A,'Solid Mix In Nutrition'!I:I,0)) *IF(AND(NOT($G22=0), COUNTA($G22)),0.5,1)</f>
        <v>0</v>
      </c>
      <c r="U22">
        <f>( ((_xlfn.XLOOKUP($M22,Specs!$H:$H,Specs!$I:$I,0)*_xlfn.XLOOKUP($J22,Specs!$A:$A,Specs!$B:$B,0))/240) *_xlfn.XLOOKUP($G22,'Solid Mix In Nutrition'!A:A,'Solid Mix In Nutrition'!I:I,0)) *IF(AND(NOT($G22=0), COUNTA($G22)),0.5,0)</f>
        <v>0</v>
      </c>
      <c r="V22">
        <f>_xlfn.XLOOKUP($N22,Specs!F:F,Specs!G:G,0)*100*_xlfn.XLOOKUP($J22,Specs!A:A,Specs!C:C,0)</f>
        <v>0</v>
      </c>
      <c r="W22">
        <f>_xlfn.XLOOKUP($O22,Specs!F:F,Specs!G:G,0)*100*_xlfn.XLOOKUP($J22,Specs!A:A,Specs!C:C,0)</f>
        <v>0</v>
      </c>
      <c r="X22" s="4" t="e">
        <f t="shared" si="0"/>
        <v>#VALUE!</v>
      </c>
      <c r="Y22" s="5" t="e">
        <f t="shared" si="1"/>
        <v>#VALUE!</v>
      </c>
      <c r="Z22" s="6" t="e">
        <f>(($P22 / 240) * _xlfn.XLOOKUP($B22,'Milk Types Nutrition Per Cup'!A:A,'Milk Types Nutrition Per Cup'!B:B,0)) +(($Q22 / 240)  * _xlfn.XLOOKUP($C22,'Milk Types Nutrition Per Cup'!A:A,'Milk Types Nutrition Per Cup'!B:B,0)) +(($R22 / 15)  * _xlfn.XLOOKUP($D22,'Liquid Mix In Nutrition'!A:A,'Liquid Mix In Nutrition'!B:B,0))+(($S22 / 15)  * _xlfn.XLOOKUP($E22,'Liquid Mix In Nutrition'!A:A,'Liquid Mix In Nutrition'!B:B,0))+(($T22 /MAX(1, _xlfn.XLOOKUP($F22,'Solid Mix In Nutrition'!A:A,'Solid Mix In Nutrition'!I:I,1)))  * _xlfn.XLOOKUP($F22,'Solid Mix In Nutrition'!A:A,'Solid Mix In Nutrition'!B:B,0))+(($U22 / MAX(1, _xlfn.XLOOKUP($G22,'Solid Mix In Nutrition'!A:A,'Solid Mix In Nutrition'!I:I,1))))+(($V22 / 100)  * _xlfn.XLOOKUP($H22,'Sweetener Mix In Nutrition'!A:A,'Sweetener Mix In Nutrition'!B:B,0))+(($W22 / 100)  * _xlfn.XLOOKUP($I22,'Sweetener Mix In Nutrition'!A:A,'Sweetener Mix In Nutrition'!B:B,0))</f>
        <v>#VALUE!</v>
      </c>
      <c r="AA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Nutrition'!E:E,0))+(($T22 / MAX(1, _xlfn.XLOOKUP($F22,'Solid Mix In Nutrition'!A:A,'Solid Mix In Nutrition'!I:I,1)))  * _xlfn.XLOOKUP($F22,'Solid Mix In Nutrition'!A:A,'Solid Mix In Nutrition'!E:E,0))+(($U22 / MAX(1, _xlfn.XLOOKUP($G22,'Solid Mix In Nutrition'!A:A,'Solid Mix In Nutrition'!I:I,1)))  * _xlfn.XLOOKUP($G22,'Solid Mix In Nutrition'!A:A,'Solid Mix In Nutrition'!G:G,0))+(($V22 / 100)  * _xlfn.XLOOKUP($H22,'Sweetener Mix In Nutrition'!A:A,'Sweetener Mix In Nutrition'!E:E,0))+(($W22 / 100)  * _xlfn.XLOOKUP($I22,'Sweetener Mix In Nutrition'!A:A,'Sweetener Mix In Nutrition'!E:E,0))</f>
        <v>#VALUE!</v>
      </c>
      <c r="AB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Nutrition'!E:E,0))+(($V22 / 100)  * _xlfn.XLOOKUP($H22,'Sweetener Mix In Nutrition'!A:A,'Sweetener Mix In Nutrition'!E:E,0))+(($W22 / 100)  * _xlfn.XLOOKUP($I22,'Sweetener Mix In Nutrition'!A:A,'Sweetener Mix In Nutrition'!E:E,0))</f>
        <v>#VALUE!</v>
      </c>
      <c r="AC22" s="7" t="e">
        <f>(($P22 / 240) * _xlfn.XLOOKUP($B22,'Milk Types Nutrition Per Cup'!A:A,'Milk Types Nutrition Per Cup'!C:C,0)) +(($Q22 / 240)  * _xlfn.XLOOKUP($C22,'Milk Types Nutrition Per Cup'!A:A,'Milk Types Nutrition Per Cup'!C:C,0)) +(($R22 / 15)  * _xlfn.XLOOKUP($D22,'Liquid Mix In Nutrition'!A:A,'Liquid Mix In Nutrition'!C:C,0))+(($S22 / 15)  * _xlfn.XLOOKUP($E22,'Liquid Mix In Nutrition'!A:A,'Liquid Mix In Nutrition'!C:C,0))+(($T22 / MAX(1, _xlfn.XLOOKUP($F22,'Solid Mix In Nutrition'!A:A,'Solid Mix In Nutrition'!I:I,1)))  * _xlfn.XLOOKUP($F22,'Solid Mix In Nutrition'!A:A,'Solid Mix In Nutrition'!C:C,0))+(($U22 / MAX(1, _xlfn.XLOOKUP($G22,'Solid Mix In Nutrition'!A:A,'Solid Mix In Nutrition'!I:I,1)))  * _xlfn.XLOOKUP($G22,'Solid Mix In Nutrition'!A:A,'Solid Mix In Nutrition'!C:C,0))+(($V22 / 100)  * _xlfn.XLOOKUP($H22,'Sweetener Mix In Nutrition'!A:A,'Sweetener Mix In Nutrition'!C:C,0))+(($W22 / 100)  * _xlfn.XLOOKUP($I22,'Sweetener Mix In Nutrition'!A:A,'Sweetener Mix In Nutrition'!C:C,0))</f>
        <v>#VALUE!</v>
      </c>
      <c r="AD22" s="8" t="e">
        <f>$AC22 / (_xlfn.XLOOKUP($J22,Specs!A:A,Specs!B:B,0))</f>
        <v>#VALUE!</v>
      </c>
      <c r="AE22" s="7" t="e">
        <f>60* ($Z22 / _xlfn.XLOOKUP($J22,Specs!$A:$A,Specs!$B:$B,0))</f>
        <v>#VALUE!</v>
      </c>
      <c r="AF22" s="7" t="e">
        <f>60* (AA22 / _xlfn.XLOOKUP($J22,Specs!$A:$A,Specs!$B:$B,0))</f>
        <v>#VALUE!</v>
      </c>
      <c r="AG22" s="7" t="e">
        <f>60* (AC22 / _xlfn.XLOOKUP($J22,Specs!$A:$A,Specs!$B:$B,0))</f>
        <v>#VALUE!</v>
      </c>
      <c r="AH22" s="9" t="e">
        <f>(($P22 / 240) * _xlfn.XLOOKUP($B22,'Milk Types Nutrition Per Cup'!A:A,'Milk Types Nutrition Per Cup'!F:F,0)) +(($Q22 / 240)  * _xlfn.XLOOKUP($C22,'Milk Types Nutrition Per Cup'!A:A,'Milk Types Nutrition Per Cup'!F:F,0)) +(($R22 / 15)  * _xlfn.XLOOKUP($D22,'Liquid Mix In Nutrition'!A:A,'Liquid Mix In Nutrition'!F:F,0))+(($S22 / 15)  * _xlfn.XLOOKUP($E22,'Liquid Mix In Nutrition'!A:A,'Liquid Mix In Nutrition'!F:F,0))+(($T22 / MAX(1, _xlfn.XLOOKUP($F22,'Solid Mix In Nutrition'!A:A,'Solid Mix In Nutrition'!I:I,1)))  * _xlfn.XLOOKUP($F22,'Solid Mix In Nutrition'!A:A,'Solid Mix In Nutrition'!F:F,0))+(($U22 / MAX(1, _xlfn.XLOOKUP($G22,'Solid Mix In Nutrition'!A:A,'Solid Mix In Nutrition'!I:I,1)))  * _xlfn.XLOOKUP($G22,'Solid Mix In Nutrition'!A:A,'Solid Mix In Nutrition'!F:F,0))+(($V22 / 100)  * _xlfn.XLOOKUP($H22,'Sweetener Mix In Nutrition'!A:A,'Sweetener Mix In Nutrition'!F:F,0))+(($W22 / 100)  * _xlfn.XLOOKUP($I22,'Sweetener Mix In Nutrition'!A:A,'Sweetener Mix In Nutrition'!F:F,0))</f>
        <v>#VALUE!</v>
      </c>
      <c r="AI22" s="10" t="e">
        <f>(AH22+Specs!$R$2+Specs!$S$2)*Specs!$N$2</f>
        <v>#VALUE!</v>
      </c>
    </row>
    <row r="23" spans="16:35" x14ac:dyDescent="0.25">
      <c r="P23" t="e">
        <f>(_xlfn.XLOOKUP($J23,Specs!A:A,Specs!B:B,0)-$R23-$S23-(($T23/MAX(1,_xlfn.XLOOKUP($F23,'Solid Mix In Nutrition'!A:A,'Solid Mix In Nutrition'!I:I,1)))*240)-(($U23/MAX(1,_xlfn.XLOOKUP($G23,'Solid Mix In Nutrition'!A:A,'Solid Mix In Nutrition'!I:I,1)))*240))*0.66</f>
        <v>#VALUE!</v>
      </c>
      <c r="Q23" t="e">
        <f>(_xlfn.XLOOKUP($J23,Specs!A:A,Specs!B:B,0)-$R23-$S23-(($T23/MAX(1,_xlfn.XLOOKUP($F23,'Solid Mix In Nutrition'!A:A,'Solid Mix In Nutrition'!I:I,1)))*240)-(($U23/MAX(1,_xlfn.XLOOKUP($G23,'Solid Mix In Nutrition'!A:A,'Solid Mix In Nutrition'!I:I,1)))*240))*0.33</f>
        <v>#VALUE!</v>
      </c>
      <c r="R23">
        <f>_xlfn.XLOOKUP($K23,Specs!$D:$D,Specs!$E:$E,0)*15*_xlfn.XLOOKUP($J23,Specs!$A:$A,Specs!$C:$C,0)</f>
        <v>0</v>
      </c>
      <c r="S23" t="e">
        <f>_xlfn.XLOOKUP($L23,Specs!$D:$D,Specs!$E:$E,0)*15*_xlfn.XLOOKUP($J23,Specs!$A:$A,Specs!$C:$C,0)</f>
        <v>#VALUE!</v>
      </c>
      <c r="T23">
        <f>( ((_xlfn.XLOOKUP($M23,Specs!$H:$H,Specs!$I:$I,0)*_xlfn.XLOOKUP($J23,Specs!$A:$A,Specs!$B:$B,0))/240) *_xlfn.XLOOKUP($F23,'Solid Mix In Nutrition'!A:A,'Solid Mix In Nutrition'!I:I,0)) *IF(AND(NOT($G23=0), COUNTA($G23)),0.5,1)</f>
        <v>0</v>
      </c>
      <c r="U23">
        <f>( ((_xlfn.XLOOKUP($M23,Specs!$H:$H,Specs!$I:$I,0)*_xlfn.XLOOKUP($J23,Specs!$A:$A,Specs!$B:$B,0))/240) *_xlfn.XLOOKUP($G23,'Solid Mix In Nutrition'!A:A,'Solid Mix In Nutrition'!I:I,0)) *IF(AND(NOT($G23=0), COUNTA($G23)),0.5,0)</f>
        <v>0</v>
      </c>
      <c r="V23">
        <f>_xlfn.XLOOKUP($N23,Specs!F:F,Specs!G:G,0)*100*_xlfn.XLOOKUP($J23,Specs!A:A,Specs!C:C,0)</f>
        <v>0</v>
      </c>
      <c r="W23">
        <f>_xlfn.XLOOKUP($O23,Specs!F:F,Specs!G:G,0)*100*_xlfn.XLOOKUP($J23,Specs!A:A,Specs!C:C,0)</f>
        <v>0</v>
      </c>
      <c r="X23" s="4" t="e">
        <f t="shared" si="0"/>
        <v>#VALUE!</v>
      </c>
      <c r="Y23" s="5" t="e">
        <f t="shared" si="1"/>
        <v>#VALUE!</v>
      </c>
      <c r="Z23" s="6" t="e">
        <f>(($P23 / 240) * _xlfn.XLOOKUP($B23,'Milk Types Nutrition Per Cup'!A:A,'Milk Types Nutrition Per Cup'!B:B,0)) +(($Q23 / 240)  * _xlfn.XLOOKUP($C23,'Milk Types Nutrition Per Cup'!A:A,'Milk Types Nutrition Per Cup'!B:B,0)) +(($R23 / 15)  * _xlfn.XLOOKUP($D23,'Liquid Mix In Nutrition'!A:A,'Liquid Mix In Nutrition'!B:B,0))+(($S23 / 15)  * _xlfn.XLOOKUP($E23,'Liquid Mix In Nutrition'!A:A,'Liquid Mix In Nutrition'!B:B,0))+(($T23 /MAX(1, _xlfn.XLOOKUP($F23,'Solid Mix In Nutrition'!A:A,'Solid Mix In Nutrition'!I:I,1)))  * _xlfn.XLOOKUP($F23,'Solid Mix In Nutrition'!A:A,'Solid Mix In Nutrition'!B:B,0))+(($U23 / MAX(1, _xlfn.XLOOKUP($G23,'Solid Mix In Nutrition'!A:A,'Solid Mix In Nutrition'!I:I,1))))+(($V23 / 100)  * _xlfn.XLOOKUP($H23,'Sweetener Mix In Nutrition'!A:A,'Sweetener Mix In Nutrition'!B:B,0))+(($W23 / 100)  * _xlfn.XLOOKUP($I23,'Sweetener Mix In Nutrition'!A:A,'Sweetener Mix In Nutrition'!B:B,0))</f>
        <v>#VALUE!</v>
      </c>
      <c r="AA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Nutrition'!E:E,0))+(($T23 / MAX(1, _xlfn.XLOOKUP($F23,'Solid Mix In Nutrition'!A:A,'Solid Mix In Nutrition'!I:I,1)))  * _xlfn.XLOOKUP($F23,'Solid Mix In Nutrition'!A:A,'Solid Mix In Nutrition'!E:E,0))+(($U23 / MAX(1, _xlfn.XLOOKUP($G23,'Solid Mix In Nutrition'!A:A,'Solid Mix In Nutrition'!I:I,1)))  * _xlfn.XLOOKUP($G23,'Solid Mix In Nutrition'!A:A,'Solid Mix In Nutrition'!G:G,0))+(($V23 / 100)  * _xlfn.XLOOKUP($H23,'Sweetener Mix In Nutrition'!A:A,'Sweetener Mix In Nutrition'!E:E,0))+(($W23 / 100)  * _xlfn.XLOOKUP($I23,'Sweetener Mix In Nutrition'!A:A,'Sweetener Mix In Nutrition'!E:E,0))</f>
        <v>#VALUE!</v>
      </c>
      <c r="AB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Nutrition'!E:E,0))+(($V23 / 100)  * _xlfn.XLOOKUP($H23,'Sweetener Mix In Nutrition'!A:A,'Sweetener Mix In Nutrition'!E:E,0))+(($W23 / 100)  * _xlfn.XLOOKUP($I23,'Sweetener Mix In Nutrition'!A:A,'Sweetener Mix In Nutrition'!E:E,0))</f>
        <v>#VALUE!</v>
      </c>
      <c r="AC23" s="7" t="e">
        <f>(($P23 / 240) * _xlfn.XLOOKUP($B23,'Milk Types Nutrition Per Cup'!A:A,'Milk Types Nutrition Per Cup'!C:C,0)) +(($Q23 / 240)  * _xlfn.XLOOKUP($C23,'Milk Types Nutrition Per Cup'!A:A,'Milk Types Nutrition Per Cup'!C:C,0)) +(($R23 / 15)  * _xlfn.XLOOKUP($D23,'Liquid Mix In Nutrition'!A:A,'Liquid Mix In Nutrition'!C:C,0))+(($S23 / 15)  * _xlfn.XLOOKUP($E23,'Liquid Mix In Nutrition'!A:A,'Liquid Mix In Nutrition'!C:C,0))+(($T23 / MAX(1, _xlfn.XLOOKUP($F23,'Solid Mix In Nutrition'!A:A,'Solid Mix In Nutrition'!I:I,1)))  * _xlfn.XLOOKUP($F23,'Solid Mix In Nutrition'!A:A,'Solid Mix In Nutrition'!C:C,0))+(($U23 / MAX(1, _xlfn.XLOOKUP($G23,'Solid Mix In Nutrition'!A:A,'Solid Mix In Nutrition'!I:I,1)))  * _xlfn.XLOOKUP($G23,'Solid Mix In Nutrition'!A:A,'Solid Mix In Nutrition'!C:C,0))+(($V23 / 100)  * _xlfn.XLOOKUP($H23,'Sweetener Mix In Nutrition'!A:A,'Sweetener Mix In Nutrition'!C:C,0))+(($W23 / 100)  * _xlfn.XLOOKUP($I23,'Sweetener Mix In Nutrition'!A:A,'Sweetener Mix In Nutrition'!C:C,0))</f>
        <v>#VALUE!</v>
      </c>
      <c r="AD23" s="8" t="e">
        <f>$AC23 / (_xlfn.XLOOKUP($J23,Specs!A:A,Specs!B:B,0))</f>
        <v>#VALUE!</v>
      </c>
      <c r="AE23" s="7" t="e">
        <f>60* ($Z23 / _xlfn.XLOOKUP($J23,Specs!$A:$A,Specs!$B:$B,0))</f>
        <v>#VALUE!</v>
      </c>
      <c r="AF23" s="7" t="e">
        <f>60* (AA23 / _xlfn.XLOOKUP($J23,Specs!$A:$A,Specs!$B:$B,0))</f>
        <v>#VALUE!</v>
      </c>
      <c r="AG23" s="7" t="e">
        <f>60* (AC23 / _xlfn.XLOOKUP($J23,Specs!$A:$A,Specs!$B:$B,0))</f>
        <v>#VALUE!</v>
      </c>
      <c r="AH23" s="9" t="e">
        <f>(($P23 / 240) * _xlfn.XLOOKUP($B23,'Milk Types Nutrition Per Cup'!A:A,'Milk Types Nutrition Per Cup'!F:F,0)) +(($Q23 / 240)  * _xlfn.XLOOKUP($C23,'Milk Types Nutrition Per Cup'!A:A,'Milk Types Nutrition Per Cup'!F:F,0)) +(($R23 / 15)  * _xlfn.XLOOKUP($D23,'Liquid Mix In Nutrition'!A:A,'Liquid Mix In Nutrition'!F:F,0))+(($S23 / 15)  * _xlfn.XLOOKUP($E23,'Liquid Mix In Nutrition'!A:A,'Liquid Mix In Nutrition'!F:F,0))+(($T23 / MAX(1, _xlfn.XLOOKUP($F23,'Solid Mix In Nutrition'!A:A,'Solid Mix In Nutrition'!I:I,1)))  * _xlfn.XLOOKUP($F23,'Solid Mix In Nutrition'!A:A,'Solid Mix In Nutrition'!F:F,0))+(($U23 / MAX(1, _xlfn.XLOOKUP($G23,'Solid Mix In Nutrition'!A:A,'Solid Mix In Nutrition'!I:I,1)))  * _xlfn.XLOOKUP($G23,'Solid Mix In Nutrition'!A:A,'Solid Mix In Nutrition'!F:F,0))+(($V23 / 100)  * _xlfn.XLOOKUP($H23,'Sweetener Mix In Nutrition'!A:A,'Sweetener Mix In Nutrition'!F:F,0))+(($W23 / 100)  * _xlfn.XLOOKUP($I23,'Sweetener Mix In Nutrition'!A:A,'Sweetener Mix In Nutrition'!F:F,0))</f>
        <v>#VALUE!</v>
      </c>
      <c r="AI23" s="10" t="e">
        <f>(AH23+Specs!$R$2+Specs!$S$2)*Specs!$N$2</f>
        <v>#VALUE!</v>
      </c>
    </row>
    <row r="24" spans="16:35" x14ac:dyDescent="0.25">
      <c r="P24">
        <f>(_xlfn.XLOOKUP($J24,Specs!A:A,Specs!B:B,0)-$R24-$S24-(($T24/MAX(1,_xlfn.XLOOKUP($F24,'Solid Mix In Nutrition'!A:A,'Solid Mix In Nutrition'!I:I,1)))*240)-(($U24/MAX(1,_xlfn.XLOOKUP($G24,'Solid Mix In Nutrition'!A:A,'Solid Mix In Nutrition'!I:I,1)))*240))*0.66</f>
        <v>0</v>
      </c>
      <c r="Q24">
        <f>(_xlfn.XLOOKUP($J24,Specs!A:A,Specs!B:B,0)-$R24-$S24-(($T24/MAX(1,_xlfn.XLOOKUP($F24,'Solid Mix In Nutrition'!A:A,'Solid Mix In Nutrition'!I:I,1)))*240)-(($U24/MAX(1,_xlfn.XLOOKUP($G24,'Solid Mix In Nutrition'!A:A,'Solid Mix In Nutrition'!I:I,1)))*240))*0.33</f>
        <v>0</v>
      </c>
      <c r="R24">
        <f>_xlfn.XLOOKUP($K24,Specs!$D:$D,Specs!$E:$E,0)*15*_xlfn.XLOOKUP($J24,Specs!$A:$A,Specs!$C:$C,0)</f>
        <v>0</v>
      </c>
      <c r="S24">
        <f>_xlfn.XLOOKUP($L24,Specs!$D:$D,Specs!$E:$E,0)*15*_xlfn.XLOOKUP($J24,Specs!$A:$A,Specs!$C:$C,0)</f>
        <v>0</v>
      </c>
      <c r="T24">
        <f>( ((_xlfn.XLOOKUP($M24,Specs!$H:$H,Specs!$I:$I,0)*_xlfn.XLOOKUP($J24,Specs!$A:$A,Specs!$B:$B,0))/240) *_xlfn.XLOOKUP($F24,'Solid Mix In Nutrition'!A:A,'Solid Mix In Nutrition'!I:I,0)) *IF(AND(NOT($G24=0), COUNTA($G24)),0.5,1)</f>
        <v>0</v>
      </c>
      <c r="U24">
        <f>( ((_xlfn.XLOOKUP($M24,Specs!$H:$H,Specs!$I:$I,0)*_xlfn.XLOOKUP($J24,Specs!$A:$A,Specs!$B:$B,0))/240) *_xlfn.XLOOKUP($G24,'Solid Mix In Nutrition'!A:A,'Solid Mix In Nutrition'!I:I,0)) *IF(AND(NOT($G24=0), COUNTA($G24)),0.5,0)</f>
        <v>0</v>
      </c>
      <c r="V24">
        <f>_xlfn.XLOOKUP($N24,Specs!F:F,Specs!G:G,0)*100*_xlfn.XLOOKUP($J24,Specs!A:A,Specs!C:C,0)</f>
        <v>0</v>
      </c>
      <c r="W24">
        <f>_xlfn.XLOOKUP($O24,Specs!F:F,Specs!G:G,0)*100*_xlfn.XLOOKUP($J24,Specs!A:A,Specs!C:C,0)</f>
        <v>0</v>
      </c>
      <c r="X24" s="4">
        <f t="shared" si="0"/>
        <v>0</v>
      </c>
      <c r="Y24" s="5">
        <f t="shared" si="1"/>
        <v>0</v>
      </c>
      <c r="Z24" s="6">
        <f>(($P24 / 240) * _xlfn.XLOOKUP($B24,'Milk Types Nutrition Per Cup'!A:A,'Milk Types Nutrition Per Cup'!B:B,0)) +(($Q24 / 240)  * _xlfn.XLOOKUP($C24,'Milk Types Nutrition Per Cup'!A:A,'Milk Types Nutrition Per Cup'!B:B,0)) +(($R24 / 15)  * _xlfn.XLOOKUP($D24,'Liquid Mix In Nutrition'!A:A,'Liquid Mix In Nutrition'!B:B,0))+(($S24 / 15)  * _xlfn.XLOOKUP($E24,'Liquid Mix In Nutrition'!A:A,'Liquid Mix In Nutrition'!B:B,0))+(($T24 /MAX(1, _xlfn.XLOOKUP($F24,'Solid Mix In Nutrition'!A:A,'Solid Mix In Nutrition'!I:I,1)))  * _xlfn.XLOOKUP($F24,'Solid Mix In Nutrition'!A:A,'Solid Mix In Nutrition'!B:B,0))+(($U24 / MAX(1, _xlfn.XLOOKUP($G24,'Solid Mix In Nutrition'!A:A,'Solid Mix In Nutrition'!I:I,1))))+(($V24 / 100)  * _xlfn.XLOOKUP($H24,'Sweetener Mix In Nutrition'!A:A,'Sweetener Mix In Nutrition'!B:B,0))+(($W24 / 100)  * _xlfn.XLOOKUP($I24,'Sweetener Mix In Nutrition'!A:A,'Sweetener Mix In Nutrition'!B:B,0))</f>
        <v>0</v>
      </c>
      <c r="AA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Nutrition'!E:E,0))+(($T24 / MAX(1, _xlfn.XLOOKUP($F24,'Solid Mix In Nutrition'!A:A,'Solid Mix In Nutrition'!I:I,1)))  * _xlfn.XLOOKUP($F24,'Solid Mix In Nutrition'!A:A,'Solid Mix In Nutrition'!E:E,0))+(($U24 / MAX(1, _xlfn.XLOOKUP($G24,'Solid Mix In Nutrition'!A:A,'Solid Mix In Nutrition'!I:I,1)))  * _xlfn.XLOOKUP($G24,'Solid Mix In Nutrition'!A:A,'Solid Mix In Nutrition'!G:G,0))+(($V24 / 100)  * _xlfn.XLOOKUP($H24,'Sweetener Mix In Nutrition'!A:A,'Sweetener Mix In Nutrition'!E:E,0))+(($W24 / 100)  * _xlfn.XLOOKUP($I24,'Sweetener Mix In Nutrition'!A:A,'Sweetener Mix In Nutrition'!E:E,0))</f>
        <v>0</v>
      </c>
      <c r="AB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Nutrition'!E:E,0))+(($V24 / 100)  * _xlfn.XLOOKUP($H24,'Sweetener Mix In Nutrition'!A:A,'Sweetener Mix In Nutrition'!E:E,0))+(($W24 / 100)  * _xlfn.XLOOKUP($I24,'Sweetener Mix In Nutrition'!A:A,'Sweetener Mix In Nutrition'!E:E,0))</f>
        <v>0</v>
      </c>
      <c r="AC24" s="7">
        <f>(($P24 / 240) * _xlfn.XLOOKUP($B24,'Milk Types Nutrition Per Cup'!A:A,'Milk Types Nutrition Per Cup'!C:C,0)) +(($Q24 / 240)  * _xlfn.XLOOKUP($C24,'Milk Types Nutrition Per Cup'!A:A,'Milk Types Nutrition Per Cup'!C:C,0)) +(($R24 / 15)  * _xlfn.XLOOKUP($D24,'Liquid Mix In Nutrition'!A:A,'Liquid Mix In Nutrition'!C:C,0))+(($S24 / 15)  * _xlfn.XLOOKUP($E24,'Liquid Mix In Nutrition'!A:A,'Liquid Mix In Nutrition'!C:C,0))+(($T24 / MAX(1, _xlfn.XLOOKUP($F24,'Solid Mix In Nutrition'!A:A,'Solid Mix In Nutrition'!I:I,1)))  * _xlfn.XLOOKUP($F24,'Solid Mix In Nutrition'!A:A,'Solid Mix In Nutrition'!C:C,0))+(($U24 / MAX(1, _xlfn.XLOOKUP($G24,'Solid Mix In Nutrition'!A:A,'Solid Mix In Nutrition'!I:I,1)))  * _xlfn.XLOOKUP($G24,'Solid Mix In Nutrition'!A:A,'Solid Mix In Nutrition'!C:C,0))+(($V24 / 100)  * _xlfn.XLOOKUP($H24,'Sweetener Mix In Nutrition'!A:A,'Sweetener Mix In Nutrition'!C:C,0))+(($W24 / 100)  * _xlfn.XLOOKUP($I24,'Sweetener Mix In Nutrition'!A:A,'Sweetener Mix In Nutrition'!C:C,0))</f>
        <v>0</v>
      </c>
      <c r="AD24" s="8" t="e">
        <f>$AC24 / (_xlfn.XLOOKUP($J24,Specs!A:A,Specs!B:B,0))</f>
        <v>#DIV/0!</v>
      </c>
      <c r="AE24" s="7" t="e">
        <f>60* ($Z24 / _xlfn.XLOOKUP($J24,Specs!$A:$A,Specs!$B:$B,0))</f>
        <v>#DIV/0!</v>
      </c>
      <c r="AF24" s="7" t="e">
        <f>60* (AA24 / _xlfn.XLOOKUP($J24,Specs!$A:$A,Specs!$B:$B,0))</f>
        <v>#DIV/0!</v>
      </c>
      <c r="AG24" s="7" t="e">
        <f>60* (AC24 / _xlfn.XLOOKUP($J24,Specs!$A:$A,Specs!$B:$B,0))</f>
        <v>#DIV/0!</v>
      </c>
      <c r="AH24" s="9">
        <f>(($P24 / 240) * _xlfn.XLOOKUP($B24,'Milk Types Nutrition Per Cup'!A:A,'Milk Types Nutrition Per Cup'!F:F,0)) +(($Q24 / 240)  * _xlfn.XLOOKUP($C24,'Milk Types Nutrition Per Cup'!A:A,'Milk Types Nutrition Per Cup'!F:F,0)) +(($R24 / 15)  * _xlfn.XLOOKUP($D24,'Liquid Mix In Nutrition'!A:A,'Liquid Mix In Nutrition'!F:F,0))+(($S24 / 15)  * _xlfn.XLOOKUP($E24,'Liquid Mix In Nutrition'!A:A,'Liquid Mix In Nutrition'!F:F,0))+(($T24 / MAX(1, _xlfn.XLOOKUP($F24,'Solid Mix In Nutrition'!A:A,'Solid Mix In Nutrition'!I:I,1)))  * _xlfn.XLOOKUP($F24,'Solid Mix In Nutrition'!A:A,'Solid Mix In Nutrition'!F:F,0))+(($U24 / MAX(1, _xlfn.XLOOKUP($G24,'Solid Mix In Nutrition'!A:A,'Solid Mix In Nutrition'!I:I,1)))  * _xlfn.XLOOKUP($G24,'Solid Mix In Nutrition'!A:A,'Solid Mix In Nutrition'!F:F,0))+(($V24 / 100)  * _xlfn.XLOOKUP($H24,'Sweetener Mix In Nutrition'!A:A,'Sweetener Mix In Nutrition'!F:F,0))+(($W24 / 100)  * _xlfn.XLOOKUP($I24,'Sweetener Mix In Nutrition'!A:A,'Sweetener Mix In Nutrition'!F:F,0))</f>
        <v>0</v>
      </c>
      <c r="AI24" s="10">
        <f>(AH24+Specs!$R$2+Specs!$S$2)*Specs!$N$2</f>
        <v>0.78</v>
      </c>
    </row>
    <row r="25" spans="16:35" x14ac:dyDescent="0.25">
      <c r="P25" t="e">
        <f>(_xlfn.XLOOKUP($J25,Specs!A:A,Specs!B:B,0)-$R25-$S25-(($T25/MAX(1,_xlfn.XLOOKUP($F25,'Solid Mix In Nutrition'!A:A,'Solid Mix In Nutrition'!I:I,1)))*240)-(($U25/MAX(1,_xlfn.XLOOKUP($G25,'Solid Mix In Nutrition'!A:A,'Solid Mix In Nutrition'!I:I,1)))*240))*0.66</f>
        <v>#VALUE!</v>
      </c>
      <c r="Q25" t="e">
        <f>(_xlfn.XLOOKUP($J25,Specs!A:A,Specs!B:B,0)-$R25-$S25-(($T25/MAX(1,_xlfn.XLOOKUP($F25,'Solid Mix In Nutrition'!A:A,'Solid Mix In Nutrition'!I:I,1)))*240)-(($U25/MAX(1,_xlfn.XLOOKUP($G25,'Solid Mix In Nutrition'!A:A,'Solid Mix In Nutrition'!I:I,1)))*240))*0.33</f>
        <v>#VALUE!</v>
      </c>
      <c r="R25" t="e">
        <f>_xlfn.XLOOKUP($K25,Specs!$D:$D,Specs!$E:$E,0)*15*_xlfn.XLOOKUP($J25,Specs!$A:$A,Specs!$C:$C,0)</f>
        <v>#VALUE!</v>
      </c>
      <c r="S25">
        <f>_xlfn.XLOOKUP($L25,Specs!$D:$D,Specs!$E:$E,0)*15*_xlfn.XLOOKUP($J25,Specs!$A:$A,Specs!$C:$C,0)</f>
        <v>0</v>
      </c>
      <c r="T25">
        <f>( ((_xlfn.XLOOKUP($M25,Specs!$H:$H,Specs!$I:$I,0)*_xlfn.XLOOKUP($J25,Specs!$A:$A,Specs!$B:$B,0))/240) *_xlfn.XLOOKUP($F25,'Solid Mix In Nutrition'!A:A,'Solid Mix In Nutrition'!I:I,0)) *IF(AND(NOT($G25=0), COUNTA($G25)),0.5,1)</f>
        <v>0</v>
      </c>
      <c r="U25">
        <f>( ((_xlfn.XLOOKUP($M25,Specs!$H:$H,Specs!$I:$I,0)*_xlfn.XLOOKUP($J25,Specs!$A:$A,Specs!$B:$B,0))/240) *_xlfn.XLOOKUP($G25,'Solid Mix In Nutrition'!A:A,'Solid Mix In Nutrition'!I:I,0)) *IF(AND(NOT($G25=0), COUNTA($G25)),0.5,0)</f>
        <v>0</v>
      </c>
      <c r="V25">
        <f>_xlfn.XLOOKUP($N25,Specs!F:F,Specs!G:G,0)*100*_xlfn.XLOOKUP($J25,Specs!A:A,Specs!C:C,0)</f>
        <v>0</v>
      </c>
      <c r="W25">
        <f>_xlfn.XLOOKUP($O25,Specs!F:F,Specs!G:G,0)*100*_xlfn.XLOOKUP($J25,Specs!A:A,Specs!C:C,0)</f>
        <v>0</v>
      </c>
      <c r="X25" s="4" t="e">
        <f t="shared" si="0"/>
        <v>#VALUE!</v>
      </c>
      <c r="Y25" s="5" t="e">
        <f t="shared" si="1"/>
        <v>#VALUE!</v>
      </c>
      <c r="Z25" s="6" t="e">
        <f>(($P25 / 240) * _xlfn.XLOOKUP($B25,'Milk Types Nutrition Per Cup'!A:A,'Milk Types Nutrition Per Cup'!B:B,0)) +(($Q25 / 240)  * _xlfn.XLOOKUP($C25,'Milk Types Nutrition Per Cup'!A:A,'Milk Types Nutrition Per Cup'!B:B,0)) +(($R25 / 15)  * _xlfn.XLOOKUP($D25,'Liquid Mix In Nutrition'!A:A,'Liquid Mix In Nutrition'!B:B,0))+(($S25 / 15)  * _xlfn.XLOOKUP($E25,'Liquid Mix In Nutrition'!A:A,'Liquid Mix In Nutrition'!B:B,0))+(($T25 /MAX(1, _xlfn.XLOOKUP($F25,'Solid Mix In Nutrition'!A:A,'Solid Mix In Nutrition'!I:I,1)))  * _xlfn.XLOOKUP($F25,'Solid Mix In Nutrition'!A:A,'Solid Mix In Nutrition'!B:B,0))+(($U25 / MAX(1, _xlfn.XLOOKUP($G25,'Solid Mix In Nutrition'!A:A,'Solid Mix In Nutrition'!I:I,1))))+(($V25 / 100)  * _xlfn.XLOOKUP($H25,'Sweetener Mix In Nutrition'!A:A,'Sweetener Mix In Nutrition'!B:B,0))+(($W25 / 100)  * _xlfn.XLOOKUP($I25,'Sweetener Mix In Nutrition'!A:A,'Sweetener Mix In Nutrition'!B:B,0))</f>
        <v>#VALUE!</v>
      </c>
      <c r="AA25" s="6" t="e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Nutrition'!E:E,0))+(($T25 / MAX(1, _xlfn.XLOOKUP($F25,'Solid Mix In Nutrition'!A:A,'Solid Mix In Nutrition'!I:I,1)))  * _xlfn.XLOOKUP($F25,'Solid Mix In Nutrition'!A:A,'Solid Mix In Nutrition'!E:E,0))+(($U25 / MAX(1, _xlfn.XLOOKUP($G25,'Solid Mix In Nutrition'!A:A,'Solid Mix In Nutrition'!I:I,1)))  * _xlfn.XLOOKUP($G25,'Solid Mix In Nutrition'!A:A,'Solid Mix In Nutrition'!G:G,0))+(($V25 / 100)  * _xlfn.XLOOKUP($H25,'Sweetener Mix In Nutrition'!A:A,'Sweetener Mix In Nutrition'!E:E,0))+(($W25 / 100)  * _xlfn.XLOOKUP($I25,'Sweetener Mix In Nutrition'!A:A,'Sweetener Mix In Nutrition'!E:E,0))</f>
        <v>#VALUE!</v>
      </c>
      <c r="AB25" s="6" t="e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Nutrition'!E:E,0))+(($V25 / 100)  * _xlfn.XLOOKUP($H25,'Sweetener Mix In Nutrition'!A:A,'Sweetener Mix In Nutrition'!E:E,0))+(($W25 / 100)  * _xlfn.XLOOKUP($I25,'Sweetener Mix In Nutrition'!A:A,'Sweetener Mix In Nutrition'!E:E,0))</f>
        <v>#VALUE!</v>
      </c>
      <c r="AC25" s="7" t="e">
        <f>(($P25 / 240) * _xlfn.XLOOKUP($B25,'Milk Types Nutrition Per Cup'!A:A,'Milk Types Nutrition Per Cup'!C:C,0)) +(($Q25 / 240)  * _xlfn.XLOOKUP($C25,'Milk Types Nutrition Per Cup'!A:A,'Milk Types Nutrition Per Cup'!C:C,0)) +(($R25 / 15)  * _xlfn.XLOOKUP($D25,'Liquid Mix In Nutrition'!A:A,'Liquid Mix In Nutrition'!C:C,0))+(($S25 / 15)  * _xlfn.XLOOKUP($E25,'Liquid Mix In Nutrition'!A:A,'Liquid Mix In Nutrition'!C:C,0))+(($T25 / MAX(1, _xlfn.XLOOKUP($F25,'Solid Mix In Nutrition'!A:A,'Solid Mix In Nutrition'!I:I,1)))  * _xlfn.XLOOKUP($F25,'Solid Mix In Nutrition'!A:A,'Solid Mix In Nutrition'!C:C,0))+(($U25 / MAX(1, _xlfn.XLOOKUP($G25,'Solid Mix In Nutrition'!A:A,'Solid Mix In Nutrition'!I:I,1)))  * _xlfn.XLOOKUP($G25,'Solid Mix In Nutrition'!A:A,'Solid Mix In Nutrition'!C:C,0))+(($V25 / 100)  * _xlfn.XLOOKUP($H25,'Sweetener Mix In Nutrition'!A:A,'Sweetener Mix In Nutrition'!C:C,0))+(($W25 / 100)  * _xlfn.XLOOKUP($I25,'Sweetener Mix In Nutrition'!A:A,'Sweetener Mix In Nutrition'!C:C,0))</f>
        <v>#VALUE!</v>
      </c>
      <c r="AD25" s="8" t="e">
        <f>$AC25 / (_xlfn.XLOOKUP($J25,Specs!A:A,Specs!B:B,0))</f>
        <v>#VALUE!</v>
      </c>
      <c r="AE25" s="7" t="e">
        <f>60* ($Z25 / _xlfn.XLOOKUP($J25,Specs!$A:$A,Specs!$B:$B,0))</f>
        <v>#VALUE!</v>
      </c>
      <c r="AF25" s="7" t="e">
        <f>60* (AA25 / _xlfn.XLOOKUP($J25,Specs!$A:$A,Specs!$B:$B,0))</f>
        <v>#VALUE!</v>
      </c>
      <c r="AG25" s="7" t="e">
        <f>60* (AC25 / _xlfn.XLOOKUP($J25,Specs!$A:$A,Specs!$B:$B,0))</f>
        <v>#VALUE!</v>
      </c>
      <c r="AH25" s="9" t="e">
        <f>(($P25 / 240) * _xlfn.XLOOKUP($B25,'Milk Types Nutrition Per Cup'!A:A,'Milk Types Nutrition Per Cup'!F:F,0)) +(($Q25 / 240)  * _xlfn.XLOOKUP($C25,'Milk Types Nutrition Per Cup'!A:A,'Milk Types Nutrition Per Cup'!F:F,0)) +(($R25 / 15)  * _xlfn.XLOOKUP($D25,'Liquid Mix In Nutrition'!A:A,'Liquid Mix In Nutrition'!F:F,0))+(($S25 / 15)  * _xlfn.XLOOKUP($E25,'Liquid Mix In Nutrition'!A:A,'Liquid Mix In Nutrition'!F:F,0))+(($T25 / MAX(1, _xlfn.XLOOKUP($F25,'Solid Mix In Nutrition'!A:A,'Solid Mix In Nutrition'!I:I,1)))  * _xlfn.XLOOKUP($F25,'Solid Mix In Nutrition'!A:A,'Solid Mix In Nutrition'!F:F,0))+(($U25 / MAX(1, _xlfn.XLOOKUP($G25,'Solid Mix In Nutrition'!A:A,'Solid Mix In Nutrition'!I:I,1)))  * _xlfn.XLOOKUP($G25,'Solid Mix In Nutrition'!A:A,'Solid Mix In Nutrition'!F:F,0))+(($V25 / 100)  * _xlfn.XLOOKUP($H25,'Sweetener Mix In Nutrition'!A:A,'Sweetener Mix In Nutrition'!F:F,0))+(($W25 / 100)  * _xlfn.XLOOKUP($I25,'Sweetener Mix In Nutrition'!A:A,'Sweetener Mix In Nutrition'!F:F,0))</f>
        <v>#VALUE!</v>
      </c>
      <c r="AI25" s="10" t="e">
        <f>(AH25+Specs!$R$2+Specs!$S$2)*Specs!$N$2</f>
        <v>#VALUE!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xr:uid="{650D0A2B-5837-4191-8A3F-662503B7DC27}">
          <x14:formula1>
            <xm:f>'Sweetener Mix In Nutrition'!$A:$A</xm:f>
          </x14:formula1>
          <xm:sqref>I4:I25</xm:sqref>
        </x14:dataValidation>
        <x14:dataValidation type="list" allowBlank="1" showInputMessage="1" showErrorMessage="1" xr:uid="{81717789-0910-4B2B-B5C0-E319C109E157}">
          <x14:formula1>
            <xm:f>'Sweetener Mix In Nutrition'!$A:$A</xm:f>
          </x14:formula1>
          <xm:sqref>I26:I456 H8:I8 H4:H7 H9:H242 H2:I3</xm:sqref>
        </x14:dataValidation>
        <x14:dataValidation type="list" allowBlank="1" showInputMessage="1" showErrorMessage="1" xr:uid="{B56E0822-CCD9-4344-82BA-65C2A3FEC1A4}">
          <x14:formula1>
            <xm:f>'Milk Types Nutrition Per Cup'!$A:$A</xm:f>
          </x14:formula1>
          <xm:sqref>B12:B31 B2:C11 C12:C32</xm:sqref>
        </x14:dataValidation>
        <x14:dataValidation type="list" allowBlank="1" showInputMessage="1" xr:uid="{295EC522-C867-4DA9-BE78-59A7CBDADE9B}">
          <x14:formula1>
            <xm:f>Specs!$F:$F</xm:f>
          </x14:formula1>
          <xm:sqref>H243:H252 N12:N212 O12:O87 N2:O11</xm:sqref>
        </x14:dataValidation>
        <x14:dataValidation type="list" allowBlank="1" showInputMessage="1" showErrorMessage="1" xr:uid="{A699B988-FB68-4B1F-A1A3-5C93CE15378A}">
          <x14:formula1>
            <xm:f>Specs!$A:$A</xm:f>
          </x14:formula1>
          <xm:sqref>K32:L45 J2:J45</xm:sqref>
        </x14:dataValidation>
        <x14:dataValidation type="list" allowBlank="1" showInputMessage="1" showErrorMessage="1" xr:uid="{3F120072-D1FA-413E-9C18-53ABDCFC22A5}">
          <x14:formula1>
            <xm:f>Specs!$H:$H</xm:f>
          </x14:formula1>
          <xm:sqref>M2:M32</xm:sqref>
        </x14:dataValidation>
        <x14:dataValidation type="list" allowBlank="1" showInputMessage="1" xr:uid="{4C930E94-FAE9-42D3-BD05-A6E2B05D4A3C}">
          <x14:formula1>
            <xm:f>Specs!$D:$D</xm:f>
          </x14:formula1>
          <xm:sqref>K2:L31</xm:sqref>
        </x14:dataValidation>
        <x14:dataValidation type="list" showInputMessage="1" xr:uid="{A8857AC9-580B-4693-987F-072E3624B86A}">
          <x14:formula1>
            <xm:f>'Solid Mix In Nutrition'!$A:$A</xm:f>
          </x14:formula1>
          <xm:sqref>F2:G30</xm:sqref>
        </x14:dataValidation>
        <x14:dataValidation type="list" allowBlank="1" showInputMessage="1" xr:uid="{7A34E750-F010-407B-B84E-36B93C56564E}">
          <x14:formula1>
            <xm:f>'Liquid Mix In Nutrition'!$A:$A</xm:f>
          </x14:formula1>
          <xm:sqref>D4:D25</xm:sqref>
        </x14:dataValidation>
        <x14:dataValidation type="list" allowBlank="1" xr:uid="{827CC08F-7D7A-4EDD-8541-8CDB00A9D3B2}">
          <x14:formula1>
            <xm:f>'Liquid Mix In Nutrition'!$A:$A</xm:f>
          </x14:formula1>
          <xm:sqref>D26:D31 D2:E3 E4:E31 D8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34F66-EFD8-244C-A9BF-912E7B4BA433}">
  <sheetPr codeName="Sheet14"/>
  <dimension ref="A1:AJ20"/>
  <sheetViews>
    <sheetView topLeftCell="Z1" zoomScale="92" zoomScaleNormal="80" workbookViewId="0">
      <selection activeCell="AJ14" sqref="AJ14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6" x14ac:dyDescent="0.25">
      <c r="A2" t="s">
        <v>169</v>
      </c>
      <c r="B2" s="1" t="s">
        <v>62</v>
      </c>
      <c r="C2" s="1" t="s">
        <v>65</v>
      </c>
      <c r="D2" s="1" t="s">
        <v>0</v>
      </c>
      <c r="F2" s="1" t="s">
        <v>234</v>
      </c>
      <c r="H2" s="1" t="s">
        <v>1</v>
      </c>
      <c r="J2" t="s">
        <v>340</v>
      </c>
      <c r="K2" t="s">
        <v>157</v>
      </c>
      <c r="M2" t="s">
        <v>156</v>
      </c>
      <c r="N2" t="s">
        <v>173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867.73500000000001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433.86750000000001</v>
      </c>
      <c r="R2">
        <f t="shared" ref="R2" si="0">P2+Q2</f>
        <v>1301.6025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196.109375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:Y3" si="1">($P2+$Q2+$S2+$W2+$X2)*IF(ISNUMBER(SEARCH("Fat Free",$B2)),0.0036,0.0012)</f>
        <v>1.8379229999999998</v>
      </c>
      <c r="Z2" s="5">
        <f t="shared" ref="Z2:Z3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5315.4868750000005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320.37334913793103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232.46224999999998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445.04862068965525</v>
      </c>
      <c r="AE2" s="8">
        <f>$AD2 / (_xlfn.XLOOKUP($J2,Specs!A:A,Specs!B:B,0))</f>
        <v>0.24821451237571404</v>
      </c>
      <c r="AF2" s="7">
        <f>60* (AA2 / _xlfn.XLOOKUP($J2,Specs!$A:$A,Specs!$B:$B,0))</f>
        <v>177.87463050752928</v>
      </c>
      <c r="AG2" s="7">
        <f>60* (AB2 / _xlfn.XLOOKUP($J2,Specs!$A:$A,Specs!$B:$B,0))</f>
        <v>10.720803652133778</v>
      </c>
      <c r="AH2" s="7">
        <f>60* (AD2 / _xlfn.XLOOKUP($J2,Specs!$A:$A,Specs!$B:$B,0))</f>
        <v>14.892870742542842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8.3354867604336285</v>
      </c>
      <c r="AJ2" s="10">
        <f>(AI2+Specs!$R$2+Specs!$S$2)*Specs!$N$2</f>
        <v>17.450973520867255</v>
      </c>
    </row>
    <row r="3" spans="1:36" x14ac:dyDescent="0.25">
      <c r="A3" t="s">
        <v>169</v>
      </c>
      <c r="B3" s="1" t="s">
        <v>62</v>
      </c>
      <c r="C3" s="1" t="s">
        <v>65</v>
      </c>
      <c r="D3" s="1" t="s">
        <v>0</v>
      </c>
      <c r="F3" s="1" t="s">
        <v>234</v>
      </c>
      <c r="H3" s="1" t="s">
        <v>1</v>
      </c>
      <c r="J3" t="s">
        <v>43</v>
      </c>
      <c r="K3" t="s">
        <v>157</v>
      </c>
      <c r="M3" t="s">
        <v>156</v>
      </c>
      <c r="N3" t="s">
        <v>173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458.37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229.185</v>
      </c>
      <c r="R3">
        <f t="shared" ref="R3:R8" si="3">P3+Q3</f>
        <v>687.55500000000006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103.46875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 t="shared" si="1"/>
        <v>0.96306599999999998</v>
      </c>
      <c r="Z3" s="5">
        <f t="shared" si="2"/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2782.82375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163.02204310344828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116.6395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235.0614655172414</v>
      </c>
      <c r="AE3" s="8">
        <f>$AD3 / (_xlfn.XLOOKUP($J3,Specs!A:A,Specs!B:B,0))</f>
        <v>0.24847935044105857</v>
      </c>
      <c r="AF3" s="7">
        <f>60* (AA3 / _xlfn.XLOOKUP($J3,Specs!$A:$A,Specs!$B:$B,0))</f>
        <v>176.50044926004227</v>
      </c>
      <c r="AG3" s="7">
        <f>60* (AB3 / _xlfn.XLOOKUP($J3,Specs!$A:$A,Specs!$B:$B,0))</f>
        <v>10.339664467449152</v>
      </c>
      <c r="AH3" s="7">
        <f>60* (AD3 / _xlfn.XLOOKUP($J3,Specs!$A:$A,Specs!$B:$B,0))</f>
        <v>14.908761026463514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4.3527670864162751</v>
      </c>
      <c r="AJ3" s="10">
        <f>(AI3+Specs!$R$2+Specs!$S$2)*Specs!$N$2</f>
        <v>9.4855341728325495</v>
      </c>
    </row>
    <row r="4" spans="1:36" x14ac:dyDescent="0.25">
      <c r="A4" t="s">
        <v>148</v>
      </c>
      <c r="B4" s="1" t="s">
        <v>62</v>
      </c>
      <c r="C4" s="1" t="s">
        <v>65</v>
      </c>
      <c r="D4" s="1" t="s">
        <v>0</v>
      </c>
      <c r="E4" s="1" t="s">
        <v>96</v>
      </c>
      <c r="H4" s="1" t="s">
        <v>1</v>
      </c>
      <c r="J4" t="s">
        <v>340</v>
      </c>
      <c r="K4" t="s">
        <v>46</v>
      </c>
      <c r="L4" t="s">
        <v>49</v>
      </c>
      <c r="N4" t="s">
        <v>173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1143.78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571.89</v>
      </c>
      <c r="R4">
        <f t="shared" ref="R4" si="4">P4+Q4</f>
        <v>1715.67</v>
      </c>
      <c r="S4">
        <f>_xlfn.XLOOKUP($K4,Specs!$D:$D,Specs!$E:$E,0)*15*_xlfn.XLOOKUP($J4,Specs!$A:$A,Specs!$C:$C,0)</f>
        <v>60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200</v>
      </c>
      <c r="X4">
        <f>_xlfn.XLOOKUP($O4,Specs!F:F,Specs!G:G,0)*100*_xlfn.XLOOKUP($J4,Specs!A:A,Specs!C:C,0)</f>
        <v>0</v>
      </c>
      <c r="Y4" s="4">
        <f t="shared" ref="Y4:Y9" si="5">($P4+$Q4+$S4+$W4+$X4)*IF(ISNUMBER(SEARCH("Fat Free",$B4)),0.0036,0.0012)</f>
        <v>2.3708039999999997</v>
      </c>
      <c r="Z4" s="5">
        <f t="shared" ref="Z4:Z9" si="6">CEILING(CONVERT(($P4+$Q4+$S4+$W4+$X4)*IF(ISNUMBER(SEARCH("Fat Free",$B4)),0.0036,0.0012),"ml","tsp"),0.25)</f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5529.12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255.06299999999999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255.06299999999999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524.23249999999996</v>
      </c>
      <c r="AE4" s="8">
        <f>$AD4 / (_xlfn.XLOOKUP($J4,Specs!A:A,Specs!B:B,0))</f>
        <v>0.29237730061349693</v>
      </c>
      <c r="AF4" s="7">
        <f>60* ($AA4 / _xlfn.XLOOKUP($J4,Specs!$A:$A,Specs!$B:$B,0))</f>
        <v>185.0235359732292</v>
      </c>
      <c r="AG4" s="7">
        <f>60* (AB4 / _xlfn.XLOOKUP($J4,Specs!$A:$A,Specs!$B:$B,0))</f>
        <v>8.535292805354155</v>
      </c>
      <c r="AH4" s="7">
        <f>60* (AD4 / _xlfn.XLOOKUP($J4,Specs!$A:$A,Specs!$B:$B,0))</f>
        <v>17.542638036809816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9.8999077657953087</v>
      </c>
      <c r="AJ4" s="10">
        <f>(AI4+Specs!$R$2+Specs!$S$2)*Specs!$N$2</f>
        <v>20.579815531590615</v>
      </c>
    </row>
    <row r="5" spans="1:36" x14ac:dyDescent="0.25">
      <c r="A5" t="s">
        <v>148</v>
      </c>
      <c r="B5" s="1" t="s">
        <v>62</v>
      </c>
      <c r="C5" s="1" t="s">
        <v>65</v>
      </c>
      <c r="D5" s="1" t="s">
        <v>0</v>
      </c>
      <c r="E5" s="1" t="s">
        <v>96</v>
      </c>
      <c r="H5" s="1" t="s">
        <v>1</v>
      </c>
      <c r="J5" t="s">
        <v>43</v>
      </c>
      <c r="K5" t="s">
        <v>46</v>
      </c>
      <c r="L5" t="s">
        <v>49</v>
      </c>
      <c r="N5" t="s">
        <v>173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604.56000000000006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302.28000000000003</v>
      </c>
      <c r="R5">
        <f t="shared" si="3"/>
        <v>906.84000000000015</v>
      </c>
      <c r="S5">
        <f>_xlfn.XLOOKUP($K5,Specs!$D:$D,Specs!$E:$E,0)*15*_xlfn.XLOOKUP($J5,Specs!$A:$A,Specs!$C:$C,0)</f>
        <v>30</v>
      </c>
      <c r="T5">
        <f>_xlfn.XLOOKUP($L5,Specs!$D:$D,Specs!$E:$E,0)*15*_xlfn.XLOOKUP($J5,Specs!$A:$A,Specs!$C:$C,0)</f>
        <v>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0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100</v>
      </c>
      <c r="X5">
        <f>_xlfn.XLOOKUP($O5,Specs!F:F,Specs!G:G,0)*100*_xlfn.XLOOKUP($J5,Specs!A:A,Specs!C:C,0)</f>
        <v>0</v>
      </c>
      <c r="Y5" s="4">
        <f t="shared" si="5"/>
        <v>1.244208</v>
      </c>
      <c r="Z5" s="5">
        <f t="shared" si="6"/>
        <v>0.5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2895.2400000000002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128.07599999999999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128.07599999999999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277.09000000000003</v>
      </c>
      <c r="AE5" s="8">
        <f>$AD5 / (_xlfn.XLOOKUP($J5,Specs!A:A,Specs!B:B,0))</f>
        <v>0.29290697674418609</v>
      </c>
      <c r="AF5" s="7">
        <f>60* ($AA5 / _xlfn.XLOOKUP($J5,Specs!$A:$A,Specs!$B:$B,0))</f>
        <v>183.63044397463003</v>
      </c>
      <c r="AG5" s="7">
        <f>60* (AB5 / _xlfn.XLOOKUP($J5,Specs!$A:$A,Specs!$B:$B,0))</f>
        <v>8.1232135306553896</v>
      </c>
      <c r="AH5" s="7">
        <f>60* (AD5 / _xlfn.XLOOKUP($J5,Specs!$A:$A,Specs!$B:$B,0))</f>
        <v>17.574418604651164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5.1421710257547977</v>
      </c>
      <c r="AJ5" s="10">
        <f>(AI5+Specs!$R$2+Specs!$S$2)*Specs!$N$2</f>
        <v>11.064342051509595</v>
      </c>
    </row>
    <row r="6" spans="1:36" x14ac:dyDescent="0.25">
      <c r="A6" t="s">
        <v>400</v>
      </c>
      <c r="B6" s="1" t="s">
        <v>62</v>
      </c>
      <c r="C6" s="1" t="s">
        <v>65</v>
      </c>
      <c r="D6" s="1" t="s">
        <v>0</v>
      </c>
      <c r="E6" s="1" t="s">
        <v>8</v>
      </c>
      <c r="F6" s="1" t="s">
        <v>9</v>
      </c>
      <c r="H6" s="1" t="s">
        <v>132</v>
      </c>
      <c r="J6" t="s">
        <v>340</v>
      </c>
      <c r="K6" t="s">
        <v>157</v>
      </c>
      <c r="L6" t="s">
        <v>175</v>
      </c>
      <c r="M6" t="s">
        <v>154</v>
      </c>
      <c r="N6" t="s">
        <v>159</v>
      </c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981.12300000000005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490.56150000000002</v>
      </c>
      <c r="R6">
        <f t="shared" si="3"/>
        <v>1471.6845000000001</v>
      </c>
      <c r="S6">
        <f>_xlfn.XLOOKUP($K6,Specs!$D:$D,Specs!$E:$E,0)*15*_xlfn.XLOOKUP($J6,Specs!$A:$A,Specs!$C:$C,0)</f>
        <v>30</v>
      </c>
      <c r="T6">
        <f>_xlfn.XLOOKUP($L6,Specs!$D:$D,Specs!$E:$E,0)*15*_xlfn.XLOOKUP($J6,Specs!$A:$A,Specs!$C:$C,0)</f>
        <v>7.5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179.3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0</v>
      </c>
      <c r="X6">
        <f>_xlfn.XLOOKUP($O6,Specs!F:F,Specs!G:G,0)*100*_xlfn.XLOOKUP($J6,Specs!A:A,Specs!C:C,0)</f>
        <v>0</v>
      </c>
      <c r="Y6" s="4">
        <f t="shared" si="5"/>
        <v>1.8020213999999999</v>
      </c>
      <c r="Z6" s="5">
        <f t="shared" si="6"/>
        <v>0.5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4569.8919999999998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150.89705000000001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34.352050000000006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449.681375</v>
      </c>
      <c r="AE6" s="8">
        <f>$AD6 / (_xlfn.XLOOKUP($J6,Specs!A:A,Specs!B:B,0))</f>
        <v>0.25079831288343557</v>
      </c>
      <c r="AF6" s="7">
        <f>60* ($AA6 / _xlfn.XLOOKUP($J6,Specs!$A:$A,Specs!$B:$B,0))</f>
        <v>152.92443948689345</v>
      </c>
      <c r="AG6" s="7">
        <f>60* (AB6 / _xlfn.XLOOKUP($J6,Specs!$A:$A,Specs!$B:$B,0))</f>
        <v>5.049538761851645</v>
      </c>
      <c r="AH6" s="7">
        <f>60* (AD6 / _xlfn.XLOOKUP($J6,Specs!$A:$A,Specs!$B:$B,0))</f>
        <v>15.047898773006134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8.9304167847700224</v>
      </c>
      <c r="AJ6" s="10">
        <f>(AI6+Specs!$R$2+Specs!$S$2)*Specs!$N$2</f>
        <v>18.640833569540042</v>
      </c>
    </row>
    <row r="7" spans="1:36" x14ac:dyDescent="0.25">
      <c r="A7" t="s">
        <v>400</v>
      </c>
      <c r="B7" s="1" t="s">
        <v>62</v>
      </c>
      <c r="C7" s="1" t="s">
        <v>65</v>
      </c>
      <c r="D7" s="1" t="s">
        <v>0</v>
      </c>
      <c r="E7" s="1" t="s">
        <v>8</v>
      </c>
      <c r="F7" s="1" t="s">
        <v>9</v>
      </c>
      <c r="H7" s="1" t="s">
        <v>132</v>
      </c>
      <c r="J7" t="s">
        <v>43</v>
      </c>
      <c r="K7" t="s">
        <v>157</v>
      </c>
      <c r="L7" t="s">
        <v>175</v>
      </c>
      <c r="M7" t="s">
        <v>154</v>
      </c>
      <c r="N7" t="s">
        <v>159</v>
      </c>
      <c r="P7">
        <f>(_xlfn.XLOOKUP($J7,Specs!A:A,Specs!B:B,0)-$S7-$T7-(($U7/MAX(1,_xlfn.XLOOKUP($F7,'Solid Mix In Nutrition'!A:A,'Solid Mix In Nutrition'!I:I,1)))*240)-(($V7/MAX(1,_xlfn.XLOOKUP($G7,'Solid Mix In Nutrition'!A:A,'Solid Mix In Nutrition'!I:I,1)))*240))*0.66</f>
        <v>518.33100000000002</v>
      </c>
      <c r="Q7">
        <f>(_xlfn.XLOOKUP($J7,Specs!A:A,Specs!B:B,0)-$S7-$T7-(($U7/MAX(1,_xlfn.XLOOKUP($F7,'Solid Mix In Nutrition'!A:A,'Solid Mix In Nutrition'!I:I,1)))*240)-(($V7/MAX(1,_xlfn.XLOOKUP($G7,'Solid Mix In Nutrition'!A:A,'Solid Mix In Nutrition'!I:I,1)))*240))*0.33</f>
        <v>259.16550000000001</v>
      </c>
      <c r="R7">
        <f t="shared" si="3"/>
        <v>777.49649999999997</v>
      </c>
      <c r="S7">
        <f>_xlfn.XLOOKUP($K7,Specs!$D:$D,Specs!$E:$E,0)*15*_xlfn.XLOOKUP($J7,Specs!$A:$A,Specs!$C:$C,0)</f>
        <v>15</v>
      </c>
      <c r="T7">
        <f>_xlfn.XLOOKUP($L7,Specs!$D:$D,Specs!$E:$E,0)*15*_xlfn.XLOOKUP($J7,Specs!$A:$A,Specs!$C:$C,0)</f>
        <v>3.75</v>
      </c>
      <c r="U7">
        <f>( ((_xlfn.XLOOKUP($M7,Specs!$H:$H,Specs!$I:$I,0)*_xlfn.XLOOKUP($J7,Specs!$A:$A,Specs!$B:$B,0))/240) *_xlfn.XLOOKUP($F7,'Solid Mix In Nutrition'!A:A,'Solid Mix In Nutrition'!I:I,0)) *IF(AND(NOT($G7=0), COUNTA($G7)),0.5,1)</f>
        <v>94.600000000000009</v>
      </c>
      <c r="V7">
        <f>( ((_xlfn.XLOOKUP($M7,Specs!$H:$H,Specs!$I:$I,0)*_xlfn.XLOOKUP($J7,Specs!$A:$A,Specs!$B:$B,0))/240) *_xlfn.XLOOKUP($G7,'Solid Mix In Nutrition'!A:A,'Solid Mix In Nutrition'!I:I,0)) *IF(AND(NOT($G7=0), COUNTA($G7)),0.5,0)</f>
        <v>0</v>
      </c>
      <c r="W7">
        <f>_xlfn.XLOOKUP($N7,Specs!F:F,Specs!G:G,0)*100*_xlfn.XLOOKUP($J7,Specs!A:A,Specs!C:C,0)</f>
        <v>0</v>
      </c>
      <c r="X7">
        <f>_xlfn.XLOOKUP($O7,Specs!F:F,Specs!G:G,0)*100*_xlfn.XLOOKUP($J7,Specs!A:A,Specs!C:C,0)</f>
        <v>0</v>
      </c>
      <c r="Y7" s="4">
        <f t="shared" si="5"/>
        <v>0.95099579999999984</v>
      </c>
      <c r="Z7" s="5">
        <f t="shared" si="6"/>
        <v>0.25</v>
      </c>
      <c r="AA7" s="6">
        <f>(($P7 / 240) * _xlfn.XLOOKUP($B7,'Milk Types Nutrition Per Cup'!A:A,'Milk Types Nutrition Per Cup'!B:B,0)) +(($Q7 / 240)  * _xlfn.XLOOKUP($C7,'Milk Types Nutrition Per Cup'!A:A,'Milk Types Nutrition Per Cup'!B:B,0)) +(($S7 / 15)  * _xlfn.XLOOKUP($D7,'Liquid Mix In Nutrition'!A:A,'Liquid Mix In Nutrition'!B:B,0))+(($T7 / 15)  * _xlfn.XLOOKUP($E7,'Liquid Mix In Nutrition'!A:A,'Liquid Mix In Nutrition'!B:B,0))+(($U7 /MAX(1, _xlfn.XLOOKUP($F7,'Solid Mix In Nutrition'!A:A,'Solid Mix In Nutrition'!I:I,1)))  * _xlfn.XLOOKUP($F7,'Solid Mix In Nutrition'!A:A,'Solid Mix In Nutrition'!B:B,0))+(($V7 / MAX(1, _xlfn.XLOOKUP($G7,'Solid Mix In Nutrition'!A:A,'Solid Mix In Nutrition'!I:I,1))))+(($W7 / 100)  * _xlfn.XLOOKUP($H7,'Sweetener Mix In Nutrition'!A:A,'Sweetener Mix In Nutrition'!B:B,0))+(($X7 / 100)  * _xlfn.XLOOKUP($I7,'Sweetener Mix In Nutrition'!A:A,'Sweetener Mix In Nutrition'!B:B,0))</f>
        <v>2410.8740000000003</v>
      </c>
      <c r="AB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Nutrition'!E:E,0))+(($U7 / MAX(1, _xlfn.XLOOKUP($F7,'Solid Mix In Nutrition'!A:A,'Solid Mix In Nutrition'!I:I,1)))  * _xlfn.XLOOKUP($F7,'Solid Mix In Nutrition'!A:A,'Solid Mix In Nutrition'!E:E,0))+(($V7 / MAX(1, _xlfn.XLOOKUP($G7,'Solid Mix In Nutrition'!A:A,'Solid Mix In Nutrition'!I:I,1)))  * _xlfn.XLOOKUP($G7,'Solid Mix In Nutrition'!A:A,'Solid Mix In Nutrition'!G:G,0))+(($W7 / 100)  * _xlfn.XLOOKUP($H7,'Sweetener Mix In Nutrition'!A:A,'Sweetener Mix In Nutrition'!E:E,0))+(($X7 / 100)  * _xlfn.XLOOKUP($I7,'Sweetener Mix In Nutrition'!A:A,'Sweetener Mix In Nutrition'!E:E,0))</f>
        <v>79.12885</v>
      </c>
      <c r="AC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Nutrition'!E:E,0))+(($W7 / 100)  * _xlfn.XLOOKUP($H7,'Sweetener Mix In Nutrition'!A:A,'Sweetener Mix In Nutrition'!E:E,0))+(($X7 / 100)  * _xlfn.XLOOKUP($I7,'Sweetener Mix In Nutrition'!A:A,'Sweetener Mix In Nutrition'!E:E,0))</f>
        <v>17.638849999999998</v>
      </c>
      <c r="AD7" s="7">
        <f>(($P7 / 240) * _xlfn.XLOOKUP($B7,'Milk Types Nutrition Per Cup'!A:A,'Milk Types Nutrition Per Cup'!C:C,0)) +(($Q7 / 240)  * _xlfn.XLOOKUP($C7,'Milk Types Nutrition Per Cup'!A:A,'Milk Types Nutrition Per Cup'!C:C,0)) +(($S7 / 15)  * _xlfn.XLOOKUP($D7,'Liquid Mix In Nutrition'!A:A,'Liquid Mix In Nutrition'!C:C,0))+(($T7 / 15)  * _xlfn.XLOOKUP($E7,'Liquid Mix In Nutrition'!A:A,'Liquid Mix In Nutrition'!C:C,0))+(($U7 / MAX(1, _xlfn.XLOOKUP($F7,'Solid Mix In Nutrition'!A:A,'Solid Mix In Nutrition'!I:I,1)))  * _xlfn.XLOOKUP($F7,'Solid Mix In Nutrition'!A:A,'Solid Mix In Nutrition'!C:C,0))+(($V7 / MAX(1, _xlfn.XLOOKUP($G7,'Solid Mix In Nutrition'!A:A,'Solid Mix In Nutrition'!I:I,1)))  * _xlfn.XLOOKUP($G7,'Solid Mix In Nutrition'!A:A,'Solid Mix In Nutrition'!C:C,0))+(($W7 / 100)  * _xlfn.XLOOKUP($H7,'Sweetener Mix In Nutrition'!A:A,'Sweetener Mix In Nutrition'!C:C,0))+(($X7 / 100)  * _xlfn.XLOOKUP($I7,'Sweetener Mix In Nutrition'!A:A,'Sweetener Mix In Nutrition'!C:C,0))</f>
        <v>237.568375</v>
      </c>
      <c r="AE7" s="8">
        <f>$AD7 / (_xlfn.XLOOKUP($J7,Specs!A:A,Specs!B:B,0))</f>
        <v>0.2511293604651163</v>
      </c>
      <c r="AF7" s="7">
        <f>60* ($AA7 / _xlfn.XLOOKUP($J7,Specs!$A:$A,Specs!$B:$B,0))</f>
        <v>152.90955602536999</v>
      </c>
      <c r="AG7" s="7">
        <f>60* (AB7 / _xlfn.XLOOKUP($J7,Specs!$A:$A,Specs!$B:$B,0))</f>
        <v>5.0187431289640587</v>
      </c>
      <c r="AH7" s="7">
        <f>60* (AD7 / _xlfn.XLOOKUP($J7,Specs!$A:$A,Specs!$B:$B,0))</f>
        <v>15.067761627906979</v>
      </c>
      <c r="AI7" s="9">
        <f>(($P7 / 240) * _xlfn.XLOOKUP($B7,'Milk Types Nutrition Per Cup'!A:A,'Milk Types Nutrition Per Cup'!F:F,0)) +(($Q7 / 240)  * _xlfn.XLOOKUP($C7,'Milk Types Nutrition Per Cup'!A:A,'Milk Types Nutrition Per Cup'!F:F,0)) +(($S7 / 15)  * _xlfn.XLOOKUP($D7,'Liquid Mix In Nutrition'!A:A,'Liquid Mix In Nutrition'!F:F,0))+(($T7 / 15)  * _xlfn.XLOOKUP($E7,'Liquid Mix In Nutrition'!A:A,'Liquid Mix In Nutrition'!F:F,0))+(($U7 / MAX(1, _xlfn.XLOOKUP($F7,'Solid Mix In Nutrition'!A:A,'Solid Mix In Nutrition'!I:I,1)))  * _xlfn.XLOOKUP($F7,'Solid Mix In Nutrition'!A:A,'Solid Mix In Nutrition'!F:F,0))+(($V7 / MAX(1, _xlfn.XLOOKUP($G7,'Solid Mix In Nutrition'!A:A,'Solid Mix In Nutrition'!I:I,1)))  * _xlfn.XLOOKUP($G7,'Solid Mix In Nutrition'!A:A,'Solid Mix In Nutrition'!F:F,0))+(($W7 / 100)  * _xlfn.XLOOKUP($H7,'Sweetener Mix In Nutrition'!A:A,'Sweetener Mix In Nutrition'!F:F,0))+(($X7 / 100)  * _xlfn.XLOOKUP($I7,'Sweetener Mix In Nutrition'!A:A,'Sweetener Mix In Nutrition'!F:F,0))</f>
        <v>4.6682933606389794</v>
      </c>
      <c r="AJ7" s="10">
        <f>(AI7+Specs!$R$2+Specs!$S$2)*Specs!$N$2</f>
        <v>10.116586721277958</v>
      </c>
    </row>
    <row r="8" spans="1:36" x14ac:dyDescent="0.25">
      <c r="A8" t="s">
        <v>402</v>
      </c>
      <c r="B8" s="1" t="s">
        <v>62</v>
      </c>
      <c r="C8" s="1" t="s">
        <v>65</v>
      </c>
      <c r="D8" s="1" t="s">
        <v>0</v>
      </c>
      <c r="E8" s="1" t="s">
        <v>84</v>
      </c>
      <c r="H8" s="1" t="s">
        <v>132</v>
      </c>
      <c r="J8" t="s">
        <v>340</v>
      </c>
      <c r="K8" t="s">
        <v>157</v>
      </c>
      <c r="L8" t="s">
        <v>10</v>
      </c>
      <c r="M8" t="s">
        <v>44</v>
      </c>
      <c r="N8" t="s">
        <v>159</v>
      </c>
      <c r="P8">
        <f>(_xlfn.XLOOKUP($J8,Specs!A:A,Specs!B:B,0)-$S8-$T8-(($U8/MAX(1,_xlfn.XLOOKUP($F8,'Solid Mix In Nutrition'!A:A,'Solid Mix In Nutrition'!I:I,1)))*240)-(($V8/MAX(1,_xlfn.XLOOKUP($G8,'Solid Mix In Nutrition'!A:A,'Solid Mix In Nutrition'!I:I,1)))*240))*0.66</f>
        <v>1084.3800000000001</v>
      </c>
      <c r="Q8">
        <f>(_xlfn.XLOOKUP($J8,Specs!A:A,Specs!B:B,0)-$S8-$T8-(($U8/MAX(1,_xlfn.XLOOKUP($F8,'Solid Mix In Nutrition'!A:A,'Solid Mix In Nutrition'!I:I,1)))*240)-(($V8/MAX(1,_xlfn.XLOOKUP($G8,'Solid Mix In Nutrition'!A:A,'Solid Mix In Nutrition'!I:I,1)))*240))*0.33</f>
        <v>542.19000000000005</v>
      </c>
      <c r="R8">
        <f t="shared" si="3"/>
        <v>1626.5700000000002</v>
      </c>
      <c r="S8">
        <f>_xlfn.XLOOKUP($K8,Specs!$D:$D,Specs!$E:$E,0)*15*_xlfn.XLOOKUP($J8,Specs!$A:$A,Specs!$C:$C,0)</f>
        <v>30</v>
      </c>
      <c r="T8">
        <f>_xlfn.XLOOKUP($L8,Specs!$D:$D,Specs!$E:$E,0)*15*_xlfn.XLOOKUP($J8,Specs!$A:$A,Specs!$C:$C,0)</f>
        <v>120</v>
      </c>
      <c r="U8">
        <f>( ((_xlfn.XLOOKUP($M8,Specs!$H:$H,Specs!$I:$I,0)*_xlfn.XLOOKUP($J8,Specs!$A:$A,Specs!$B:$B,0))/240) *_xlfn.XLOOKUP($F8,'Solid Mix In Nutrition'!A:A,'Solid Mix In Nutrition'!I:I,0)) *IF(AND(NOT($G8=0), COUNTA($G8)),0.5,1)</f>
        <v>0</v>
      </c>
      <c r="V8">
        <f>( ((_xlfn.XLOOKUP($M8,Specs!$H:$H,Specs!$I:$I,0)*_xlfn.XLOOKUP($J8,Specs!$A:$A,Specs!$B:$B,0))/240) *_xlfn.XLOOKUP($G8,'Solid Mix In Nutrition'!A:A,'Solid Mix In Nutrition'!I:I,0)) *IF(AND(NOT($G8=0), COUNTA($G8)),0.5,0)</f>
        <v>0</v>
      </c>
      <c r="W8">
        <f>_xlfn.XLOOKUP($N8,Specs!F:F,Specs!G:G,0)*100*_xlfn.XLOOKUP($J8,Specs!A:A,Specs!C:C,0)</f>
        <v>0</v>
      </c>
      <c r="X8">
        <f>_xlfn.XLOOKUP($O8,Specs!F:F,Specs!G:G,0)*100*_xlfn.XLOOKUP($J8,Specs!A:A,Specs!C:C,0)</f>
        <v>0</v>
      </c>
      <c r="Y8" s="4">
        <f t="shared" si="5"/>
        <v>1.987884</v>
      </c>
      <c r="Z8" s="5">
        <f t="shared" si="6"/>
        <v>0.5</v>
      </c>
      <c r="AA8" s="6">
        <f>(($P8 / 240) * _xlfn.XLOOKUP($B8,'Milk Types Nutrition Per Cup'!A:A,'Milk Types Nutrition Per Cup'!B:B,0)) +(($Q8 / 240)  * _xlfn.XLOOKUP($C8,'Milk Types Nutrition Per Cup'!A:A,'Milk Types Nutrition Per Cup'!B:B,0)) +(($S8 / 15)  * _xlfn.XLOOKUP($D8,'Liquid Mix In Nutrition'!A:A,'Liquid Mix In Nutrition'!B:B,0))+(($T8 / 15)  * _xlfn.XLOOKUP($E8,'Liquid Mix In Nutrition'!A:A,'Liquid Mix In Nutrition'!B:B,0))+(($U8 /MAX(1, _xlfn.XLOOKUP($F8,'Solid Mix In Nutrition'!A:A,'Solid Mix In Nutrition'!I:I,1)))  * _xlfn.XLOOKUP($F8,'Solid Mix In Nutrition'!A:A,'Solid Mix In Nutrition'!B:B,0))+(($V8 / MAX(1, _xlfn.XLOOKUP($G8,'Solid Mix In Nutrition'!A:A,'Solid Mix In Nutrition'!I:I,1))))+(($W8 / 100)  * _xlfn.XLOOKUP($H8,'Sweetener Mix In Nutrition'!A:A,'Sweetener Mix In Nutrition'!B:B,0))+(($X8 / 100)  * _xlfn.XLOOKUP($I8,'Sweetener Mix In Nutrition'!A:A,'Sweetener Mix In Nutrition'!B:B,0))</f>
        <v>5187.5200000000004</v>
      </c>
      <c r="AB8" s="6">
        <f>(($P8 / 240) * _xlfn.XLOOKUP($B8,'Milk Types Nutrition Per Cup'!A:A,'Milk Types Nutrition Per Cup'!E:E,0)) +(($Q8 / 240)  * _xlfn.XLOOKUP($C8,'Milk Types Nutrition Per Cup'!A:A,'Milk Types Nutrition Per Cup'!E:E,0)) +(($S8 / 15)  * _xlfn.XLOOKUP($D8,'Liquid Mix In Nutrition'!A:A,'Liquid Mix In Nutrition'!E:E,0)) +(($T8 / 15)  * _xlfn.XLOOKUP($E8,'Liquid Mix In Nutrition'!A:A,'Liquid Mix In Nutrition'!E:E,0))+(($U8 / MAX(1, _xlfn.XLOOKUP($F8,'Solid Mix In Nutrition'!A:A,'Solid Mix In Nutrition'!I:I,1)))  * _xlfn.XLOOKUP($F8,'Solid Mix In Nutrition'!A:A,'Solid Mix In Nutrition'!E:E,0))+(($V8 / MAX(1, _xlfn.XLOOKUP($G8,'Solid Mix In Nutrition'!A:A,'Solid Mix In Nutrition'!I:I,1)))  * _xlfn.XLOOKUP($G8,'Solid Mix In Nutrition'!A:A,'Solid Mix In Nutrition'!G:G,0))+(($W8 / 100)  * _xlfn.XLOOKUP($H8,'Sweetener Mix In Nutrition'!A:A,'Sweetener Mix In Nutrition'!E:E,0))+(($X8 / 100)  * _xlfn.XLOOKUP($I8,'Sweetener Mix In Nutrition'!A:A,'Sweetener Mix In Nutrition'!E:E,0))</f>
        <v>36.073</v>
      </c>
      <c r="AC8" s="6">
        <f>(($P8 / 240) * _xlfn.XLOOKUP($B8,'Milk Types Nutrition Per Cup'!A:A,'Milk Types Nutrition Per Cup'!E:E,0)) +(($Q8 / 240)  * _xlfn.XLOOKUP($C8,'Milk Types Nutrition Per Cup'!A:A,'Milk Types Nutrition Per Cup'!E:E,0)) +(($S8 / 15)  * _xlfn.XLOOKUP($D8,'Liquid Mix In Nutrition'!A:A,'Liquid Mix In Nutrition'!E:E,0)) +(($T8 / 15)  * _xlfn.XLOOKUP($E8,'Liquid Mix In Nutrition'!A:A,'Liquid Mix In Nutrition'!E:E,0))+(($W8 / 100)  * _xlfn.XLOOKUP($H8,'Sweetener Mix In Nutrition'!A:A,'Sweetener Mix In Nutrition'!E:E,0))+(($X8 / 100)  * _xlfn.XLOOKUP($I8,'Sweetener Mix In Nutrition'!A:A,'Sweetener Mix In Nutrition'!E:E,0))</f>
        <v>36.073</v>
      </c>
      <c r="AD8" s="7">
        <f>(($P8 / 240) * _xlfn.XLOOKUP($B8,'Milk Types Nutrition Per Cup'!A:A,'Milk Types Nutrition Per Cup'!C:C,0)) +(($Q8 / 240)  * _xlfn.XLOOKUP($C8,'Milk Types Nutrition Per Cup'!A:A,'Milk Types Nutrition Per Cup'!C:C,0)) +(($S8 / 15)  * _xlfn.XLOOKUP($D8,'Liquid Mix In Nutrition'!A:A,'Liquid Mix In Nutrition'!C:C,0))+(($T8 / 15)  * _xlfn.XLOOKUP($E8,'Liquid Mix In Nutrition'!A:A,'Liquid Mix In Nutrition'!C:C,0))+(($U8 / MAX(1, _xlfn.XLOOKUP($F8,'Solid Mix In Nutrition'!A:A,'Solid Mix In Nutrition'!I:I,1)))  * _xlfn.XLOOKUP($F8,'Solid Mix In Nutrition'!A:A,'Solid Mix In Nutrition'!C:C,0))+(($V8 / MAX(1, _xlfn.XLOOKUP($G8,'Solid Mix In Nutrition'!A:A,'Solid Mix In Nutrition'!I:I,1)))  * _xlfn.XLOOKUP($G8,'Solid Mix In Nutrition'!A:A,'Solid Mix In Nutrition'!C:C,0))+(($W8 / 100)  * _xlfn.XLOOKUP($H8,'Sweetener Mix In Nutrition'!A:A,'Sweetener Mix In Nutrition'!C:C,0))+(($X8 / 100)  * _xlfn.XLOOKUP($I8,'Sweetener Mix In Nutrition'!A:A,'Sweetener Mix In Nutrition'!C:C,0))</f>
        <v>497.00749999999999</v>
      </c>
      <c r="AE8" s="8">
        <f>$AD8 / (_xlfn.XLOOKUP($J8,Specs!A:A,Specs!B:B,0))</f>
        <v>0.2771932515337423</v>
      </c>
      <c r="AF8" s="7">
        <f>60* ($AA8 / _xlfn.XLOOKUP($J8,Specs!$A:$A,Specs!$B:$B,0))</f>
        <v>173.59241494701621</v>
      </c>
      <c r="AG8" s="7">
        <f>60* (AB8 / _xlfn.XLOOKUP($J8,Specs!$A:$A,Specs!$B:$B,0))</f>
        <v>1.2071277189068599</v>
      </c>
      <c r="AH8" s="7">
        <f>60* (AD8 / _xlfn.XLOOKUP($J8,Specs!$A:$A,Specs!$B:$B,0))</f>
        <v>16.63159509202454</v>
      </c>
      <c r="AI8" s="9">
        <f>(($P8 / 240) * _xlfn.XLOOKUP($B8,'Milk Types Nutrition Per Cup'!A:A,'Milk Types Nutrition Per Cup'!F:F,0)) +(($Q8 / 240)  * _xlfn.XLOOKUP($C8,'Milk Types Nutrition Per Cup'!A:A,'Milk Types Nutrition Per Cup'!F:F,0)) +(($S8 / 15)  * _xlfn.XLOOKUP($D8,'Liquid Mix In Nutrition'!A:A,'Liquid Mix In Nutrition'!F:F,0))+(($T8 / 15)  * _xlfn.XLOOKUP($E8,'Liquid Mix In Nutrition'!A:A,'Liquid Mix In Nutrition'!F:F,0))+(($U8 / MAX(1, _xlfn.XLOOKUP($F8,'Solid Mix In Nutrition'!A:A,'Solid Mix In Nutrition'!I:I,1)))  * _xlfn.XLOOKUP($F8,'Solid Mix In Nutrition'!A:A,'Solid Mix In Nutrition'!F:F,0))+(($V8 / MAX(1, _xlfn.XLOOKUP($G8,'Solid Mix In Nutrition'!A:A,'Solid Mix In Nutrition'!I:I,1)))  * _xlfn.XLOOKUP($G8,'Solid Mix In Nutrition'!A:A,'Solid Mix In Nutrition'!F:F,0))+(($W8 / 100)  * _xlfn.XLOOKUP($H8,'Sweetener Mix In Nutrition'!A:A,'Sweetener Mix In Nutrition'!F:F,0))+(($X8 / 100)  * _xlfn.XLOOKUP($I8,'Sweetener Mix In Nutrition'!A:A,'Sweetener Mix In Nutrition'!F:F,0))</f>
        <v>16.114309855316758</v>
      </c>
      <c r="AJ8" s="10">
        <f>(AI8+Specs!$R$2+Specs!$S$2)*Specs!$N$2</f>
        <v>33.008619710633518</v>
      </c>
    </row>
    <row r="9" spans="1:36" x14ac:dyDescent="0.25">
      <c r="A9" t="s">
        <v>402</v>
      </c>
      <c r="B9" s="1" t="s">
        <v>62</v>
      </c>
      <c r="C9" s="1" t="s">
        <v>65</v>
      </c>
      <c r="D9" s="1" t="s">
        <v>0</v>
      </c>
      <c r="E9" s="1" t="s">
        <v>84</v>
      </c>
      <c r="H9" s="1" t="s">
        <v>132</v>
      </c>
      <c r="J9" t="s">
        <v>43</v>
      </c>
      <c r="K9" t="s">
        <v>157</v>
      </c>
      <c r="L9" t="s">
        <v>10</v>
      </c>
      <c r="M9" t="s">
        <v>44</v>
      </c>
      <c r="N9" t="s">
        <v>159</v>
      </c>
      <c r="P9">
        <f>(_xlfn.XLOOKUP($J9,Specs!A:A,Specs!B:B,0)-$S9-$T9-(($U9/MAX(1,_xlfn.XLOOKUP($F9,'Solid Mix In Nutrition'!A:A,'Solid Mix In Nutrition'!I:I,1)))*240)-(($V9/MAX(1,_xlfn.XLOOKUP($G9,'Solid Mix In Nutrition'!A:A,'Solid Mix In Nutrition'!I:I,1)))*240))*0.66</f>
        <v>574.86</v>
      </c>
      <c r="Q9">
        <f>(_xlfn.XLOOKUP($J9,Specs!A:A,Specs!B:B,0)-$S9-$T9-(($U9/MAX(1,_xlfn.XLOOKUP($F9,'Solid Mix In Nutrition'!A:A,'Solid Mix In Nutrition'!I:I,1)))*240)-(($V9/MAX(1,_xlfn.XLOOKUP($G9,'Solid Mix In Nutrition'!A:A,'Solid Mix In Nutrition'!I:I,1)))*240))*0.33</f>
        <v>287.43</v>
      </c>
      <c r="R9">
        <f t="shared" ref="R9" si="7">P9+Q9</f>
        <v>862.29</v>
      </c>
      <c r="S9">
        <f>_xlfn.XLOOKUP($K9,Specs!$D:$D,Specs!$E:$E,0)*15*_xlfn.XLOOKUP($J9,Specs!$A:$A,Specs!$C:$C,0)</f>
        <v>15</v>
      </c>
      <c r="T9">
        <f>_xlfn.XLOOKUP($L9,Specs!$D:$D,Specs!$E:$E,0)*15*_xlfn.XLOOKUP($J9,Specs!$A:$A,Specs!$C:$C,0)</f>
        <v>60</v>
      </c>
      <c r="U9">
        <f>( ((_xlfn.XLOOKUP($M9,Specs!$H:$H,Specs!$I:$I,0)*_xlfn.XLOOKUP($J9,Specs!$A:$A,Specs!$B:$B,0))/240) *_xlfn.XLOOKUP($F9,'Solid Mix In Nutrition'!A:A,'Solid Mix In Nutrition'!I:I,0)) *IF(AND(NOT($G9=0), COUNTA($G9)),0.5,1)</f>
        <v>0</v>
      </c>
      <c r="V9">
        <f>( ((_xlfn.XLOOKUP($M9,Specs!$H:$H,Specs!$I:$I,0)*_xlfn.XLOOKUP($J9,Specs!$A:$A,Specs!$B:$B,0))/240) *_xlfn.XLOOKUP($G9,'Solid Mix In Nutrition'!A:A,'Solid Mix In Nutrition'!I:I,0)) *IF(AND(NOT($G9=0), COUNTA($G9)),0.5,0)</f>
        <v>0</v>
      </c>
      <c r="W9">
        <f>_xlfn.XLOOKUP($N9,Specs!F:F,Specs!G:G,0)*100*_xlfn.XLOOKUP($J9,Specs!A:A,Specs!C:C,0)</f>
        <v>0</v>
      </c>
      <c r="X9">
        <f>_xlfn.XLOOKUP($O9,Specs!F:F,Specs!G:G,0)*100*_xlfn.XLOOKUP($J9,Specs!A:A,Specs!C:C,0)</f>
        <v>0</v>
      </c>
      <c r="Y9" s="4">
        <f t="shared" si="5"/>
        <v>1.0527479999999998</v>
      </c>
      <c r="Z9" s="5">
        <f t="shared" si="6"/>
        <v>0.25</v>
      </c>
      <c r="AA9" s="6">
        <f>(($P9 / 240) * _xlfn.XLOOKUP($B9,'Milk Types Nutrition Per Cup'!A:A,'Milk Types Nutrition Per Cup'!B:B,0)) +(($Q9 / 240)  * _xlfn.XLOOKUP($C9,'Milk Types Nutrition Per Cup'!A:A,'Milk Types Nutrition Per Cup'!B:B,0)) +(($S9 / 15)  * _xlfn.XLOOKUP($D9,'Liquid Mix In Nutrition'!A:A,'Liquid Mix In Nutrition'!B:B,0))+(($T9 / 15)  * _xlfn.XLOOKUP($E9,'Liquid Mix In Nutrition'!A:A,'Liquid Mix In Nutrition'!B:B,0))+(($U9 /MAX(1, _xlfn.XLOOKUP($F9,'Solid Mix In Nutrition'!A:A,'Solid Mix In Nutrition'!I:I,1)))  * _xlfn.XLOOKUP($F9,'Solid Mix In Nutrition'!A:A,'Solid Mix In Nutrition'!B:B,0))+(($V9 / MAX(1, _xlfn.XLOOKUP($G9,'Solid Mix In Nutrition'!A:A,'Solid Mix In Nutrition'!I:I,1))))+(($W9 / 100)  * _xlfn.XLOOKUP($H9,'Sweetener Mix In Nutrition'!A:A,'Sweetener Mix In Nutrition'!B:B,0))+(($X9 / 100)  * _xlfn.XLOOKUP($I9,'Sweetener Mix In Nutrition'!A:A,'Sweetener Mix In Nutrition'!B:B,0))</f>
        <v>2724.4399999999996</v>
      </c>
      <c r="AB9" s="6">
        <f>(($P9 / 240) * _xlfn.XLOOKUP($B9,'Milk Types Nutrition Per Cup'!A:A,'Milk Types Nutrition Per Cup'!E:E,0)) +(($Q9 / 240)  * _xlfn.XLOOKUP($C9,'Milk Types Nutrition Per Cup'!A:A,'Milk Types Nutrition Per Cup'!E:E,0)) +(($S9 / 15)  * _xlfn.XLOOKUP($D9,'Liquid Mix In Nutrition'!A:A,'Liquid Mix In Nutrition'!E:E,0)) +(($T9 / 15)  * _xlfn.XLOOKUP($E9,'Liquid Mix In Nutrition'!A:A,'Liquid Mix In Nutrition'!E:E,0))+(($U9 / MAX(1, _xlfn.XLOOKUP($F9,'Solid Mix In Nutrition'!A:A,'Solid Mix In Nutrition'!I:I,1)))  * _xlfn.XLOOKUP($F9,'Solid Mix In Nutrition'!A:A,'Solid Mix In Nutrition'!E:E,0))+(($V9 / MAX(1, _xlfn.XLOOKUP($G9,'Solid Mix In Nutrition'!A:A,'Solid Mix In Nutrition'!I:I,1)))  * _xlfn.XLOOKUP($G9,'Solid Mix In Nutrition'!A:A,'Solid Mix In Nutrition'!G:G,0))+(($W9 / 100)  * _xlfn.XLOOKUP($H9,'Sweetener Mix In Nutrition'!A:A,'Sweetener Mix In Nutrition'!E:E,0))+(($X9 / 100)  * _xlfn.XLOOKUP($I9,'Sweetener Mix In Nutrition'!A:A,'Sweetener Mix In Nutrition'!E:E,0))</f>
        <v>18.581</v>
      </c>
      <c r="AC9" s="6">
        <f>(($P9 / 240) * _xlfn.XLOOKUP($B9,'Milk Types Nutrition Per Cup'!A:A,'Milk Types Nutrition Per Cup'!E:E,0)) +(($Q9 / 240)  * _xlfn.XLOOKUP($C9,'Milk Types Nutrition Per Cup'!A:A,'Milk Types Nutrition Per Cup'!E:E,0)) +(($S9 / 15)  * _xlfn.XLOOKUP($D9,'Liquid Mix In Nutrition'!A:A,'Liquid Mix In Nutrition'!E:E,0)) +(($T9 / 15)  * _xlfn.XLOOKUP($E9,'Liquid Mix In Nutrition'!A:A,'Liquid Mix In Nutrition'!E:E,0))+(($W9 / 100)  * _xlfn.XLOOKUP($H9,'Sweetener Mix In Nutrition'!A:A,'Sweetener Mix In Nutrition'!E:E,0))+(($X9 / 100)  * _xlfn.XLOOKUP($I9,'Sweetener Mix In Nutrition'!A:A,'Sweetener Mix In Nutrition'!E:E,0))</f>
        <v>18.581</v>
      </c>
      <c r="AD9" s="7">
        <f>(($P9 / 240) * _xlfn.XLOOKUP($B9,'Milk Types Nutrition Per Cup'!A:A,'Milk Types Nutrition Per Cup'!C:C,0)) +(($Q9 / 240)  * _xlfn.XLOOKUP($C9,'Milk Types Nutrition Per Cup'!A:A,'Milk Types Nutrition Per Cup'!C:C,0)) +(($S9 / 15)  * _xlfn.XLOOKUP($D9,'Liquid Mix In Nutrition'!A:A,'Liquid Mix In Nutrition'!C:C,0))+(($T9 / 15)  * _xlfn.XLOOKUP($E9,'Liquid Mix In Nutrition'!A:A,'Liquid Mix In Nutrition'!C:C,0))+(($U9 / MAX(1, _xlfn.XLOOKUP($F9,'Solid Mix In Nutrition'!A:A,'Solid Mix In Nutrition'!I:I,1)))  * _xlfn.XLOOKUP($F9,'Solid Mix In Nutrition'!A:A,'Solid Mix In Nutrition'!C:C,0))+(($V9 / MAX(1, _xlfn.XLOOKUP($G9,'Solid Mix In Nutrition'!A:A,'Solid Mix In Nutrition'!I:I,1)))  * _xlfn.XLOOKUP($G9,'Solid Mix In Nutrition'!A:A,'Solid Mix In Nutrition'!C:C,0))+(($W9 / 100)  * _xlfn.XLOOKUP($H9,'Sweetener Mix In Nutrition'!A:A,'Sweetener Mix In Nutrition'!C:C,0))+(($X9 / 100)  * _xlfn.XLOOKUP($I9,'Sweetener Mix In Nutrition'!A:A,'Sweetener Mix In Nutrition'!C:C,0))</f>
        <v>263.47749999999996</v>
      </c>
      <c r="AE9" s="8">
        <f>$AD9 / (_xlfn.XLOOKUP($J9,Specs!A:A,Specs!B:B,0))</f>
        <v>0.27851744186046506</v>
      </c>
      <c r="AF9" s="7">
        <f>60* ($AA9 / _xlfn.XLOOKUP($J9,Specs!$A:$A,Specs!$B:$B,0))</f>
        <v>172.79746300211414</v>
      </c>
      <c r="AG9" s="7">
        <f>60* (AB9 / _xlfn.XLOOKUP($J9,Specs!$A:$A,Specs!$B:$B,0))</f>
        <v>1.1784989429175474</v>
      </c>
      <c r="AH9" s="7">
        <f>60* (AD9 / _xlfn.XLOOKUP($J9,Specs!$A:$A,Specs!$B:$B,0))</f>
        <v>16.711046511627902</v>
      </c>
      <c r="AI9" s="9">
        <f>(($P9 / 240) * _xlfn.XLOOKUP($B9,'Milk Types Nutrition Per Cup'!A:A,'Milk Types Nutrition Per Cup'!F:F,0)) +(($Q9 / 240)  * _xlfn.XLOOKUP($C9,'Milk Types Nutrition Per Cup'!A:A,'Milk Types Nutrition Per Cup'!F:F,0)) +(($S9 / 15)  * _xlfn.XLOOKUP($D9,'Liquid Mix In Nutrition'!A:A,'Liquid Mix In Nutrition'!F:F,0))+(($T9 / 15)  * _xlfn.XLOOKUP($E9,'Liquid Mix In Nutrition'!A:A,'Liquid Mix In Nutrition'!F:F,0))+(($U9 / MAX(1, _xlfn.XLOOKUP($F9,'Solid Mix In Nutrition'!A:A,'Solid Mix In Nutrition'!I:I,1)))  * _xlfn.XLOOKUP($F9,'Solid Mix In Nutrition'!A:A,'Solid Mix In Nutrition'!F:F,0))+(($V9 / MAX(1, _xlfn.XLOOKUP($G9,'Solid Mix In Nutrition'!A:A,'Solid Mix In Nutrition'!I:I,1)))  * _xlfn.XLOOKUP($G9,'Solid Mix In Nutrition'!A:A,'Solid Mix In Nutrition'!F:F,0))+(($W9 / 100)  * _xlfn.XLOOKUP($H9,'Sweetener Mix In Nutrition'!A:A,'Sweetener Mix In Nutrition'!F:F,0))+(($X9 / 100)  * _xlfn.XLOOKUP($I9,'Sweetener Mix In Nutrition'!A:A,'Sweetener Mix In Nutrition'!F:F,0))</f>
        <v>8.2493720705155233</v>
      </c>
      <c r="AJ9" s="10">
        <f>(AI9+Specs!$R$2+Specs!$S$2)*Specs!$N$2</f>
        <v>17.278744141031044</v>
      </c>
    </row>
    <row r="10" spans="1:36" x14ac:dyDescent="0.25">
      <c r="P10">
        <f>SUM(P2:P9)</f>
        <v>6233.1390000000001</v>
      </c>
      <c r="Q10">
        <f>SUM(Q2:Q9)</f>
        <v>3116.5695000000001</v>
      </c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>
        <f>SUM(AI2:AI9)</f>
        <v>65.692724709641283</v>
      </c>
      <c r="AJ12" s="10">
        <f>SUM(AJ2:AJ9)</f>
        <v>137.62544941928257</v>
      </c>
    </row>
    <row r="13" spans="1:36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  <row r="14" spans="1:36" x14ac:dyDescent="0.25">
      <c r="Y14" s="4"/>
      <c r="Z14" s="5"/>
      <c r="AA14" s="6"/>
      <c r="AB14" s="6"/>
      <c r="AC14" s="6"/>
      <c r="AD14" s="7"/>
      <c r="AE14" s="8"/>
      <c r="AF14" s="7"/>
      <c r="AG14" s="7"/>
      <c r="AH14" s="7"/>
      <c r="AI14" s="9"/>
      <c r="AJ14" s="10">
        <f>13+16+14+28</f>
        <v>71</v>
      </c>
    </row>
    <row r="15" spans="1:36" x14ac:dyDescent="0.25">
      <c r="Y15" s="4"/>
      <c r="Z15" s="5"/>
      <c r="AA15" s="6"/>
      <c r="AB15" s="6"/>
      <c r="AC15" s="6"/>
      <c r="AD15" s="7"/>
      <c r="AE15" s="8"/>
      <c r="AF15" s="7"/>
      <c r="AG15" s="7"/>
      <c r="AH15" s="7"/>
      <c r="AI15" s="9"/>
      <c r="AJ15" s="10"/>
    </row>
    <row r="16" spans="1:36" x14ac:dyDescent="0.25">
      <c r="Y16" s="4"/>
      <c r="Z16" s="5"/>
      <c r="AA16" s="6"/>
      <c r="AB16" s="6"/>
      <c r="AC16" s="6"/>
      <c r="AD16" s="7"/>
      <c r="AE16" s="8"/>
      <c r="AF16" s="7"/>
      <c r="AG16" s="7"/>
      <c r="AH16" s="7"/>
      <c r="AI16" s="9"/>
      <c r="AJ16" s="10"/>
    </row>
    <row r="17" spans="25:36" x14ac:dyDescent="0.25">
      <c r="Y17" s="4"/>
      <c r="Z17" s="5"/>
      <c r="AA17" s="6"/>
      <c r="AB17" s="6"/>
      <c r="AC17" s="6"/>
      <c r="AD17" s="7"/>
      <c r="AE17" s="8"/>
      <c r="AF17" s="7"/>
      <c r="AG17" s="7"/>
      <c r="AH17" s="7"/>
      <c r="AI17" s="9"/>
      <c r="AJ17" s="10"/>
    </row>
    <row r="18" spans="25:36" x14ac:dyDescent="0.25">
      <c r="Y18" s="4"/>
      <c r="Z18" s="5"/>
      <c r="AA18" s="6"/>
      <c r="AB18" s="6"/>
      <c r="AC18" s="6"/>
      <c r="AD18" s="7"/>
      <c r="AE18" s="8"/>
      <c r="AF18" s="7"/>
      <c r="AG18" s="7"/>
      <c r="AH18" s="7"/>
      <c r="AI18" s="9"/>
      <c r="AJ18" s="10"/>
    </row>
    <row r="19" spans="25:36" x14ac:dyDescent="0.25">
      <c r="Y19" s="4"/>
      <c r="Z19" s="5"/>
      <c r="AA19" s="6"/>
      <c r="AB19" s="6"/>
      <c r="AC19" s="6"/>
      <c r="AD19" s="7"/>
      <c r="AE19" s="8"/>
      <c r="AF19" s="7"/>
      <c r="AG19" s="7"/>
      <c r="AH19" s="7"/>
      <c r="AI19" s="9"/>
      <c r="AJ19" s="10"/>
    </row>
    <row r="20" spans="25:36" x14ac:dyDescent="0.25">
      <c r="Y20" s="4"/>
      <c r="Z20" s="5"/>
      <c r="AA20" s="6"/>
      <c r="AB20" s="6"/>
      <c r="AC20" s="6"/>
      <c r="AD20" s="7"/>
      <c r="AE20" s="8"/>
      <c r="AF20" s="7"/>
      <c r="AG20" s="7"/>
      <c r="AH20" s="7"/>
      <c r="AI20" s="9"/>
      <c r="AJ2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C0DAB119-BBB0-4242-97FE-0A61A2C3F151}">
          <x14:formula1>
            <xm:f>'Sweetener Mix In Nutrition'!$A:$A</xm:f>
          </x14:formula1>
          <xm:sqref>I21:I451 H2:I9 H10:H237</xm:sqref>
        </x14:dataValidation>
        <x14:dataValidation type="list" allowBlank="1" showInputMessage="1" xr:uid="{52D6B6C6-FD8A-9647-BE08-620D194917DD}">
          <x14:formula1>
            <xm:f>'Sweetener Mix In Nutrition'!$A:$A</xm:f>
          </x14:formula1>
          <xm:sqref>I6:I20</xm:sqref>
        </x14:dataValidation>
        <x14:dataValidation type="list" allowBlank="1" showInputMessage="1" showErrorMessage="1" xr:uid="{21E8285B-565E-9F44-ACAA-CB1ED4AC2822}">
          <x14:formula1>
            <xm:f>'Milk Types Nutrition Per Cup'!$A:$A</xm:f>
          </x14:formula1>
          <xm:sqref>B13:B26 B2:C12 C13:C27</xm:sqref>
        </x14:dataValidation>
        <x14:dataValidation type="list" allowBlank="1" showInputMessage="1" xr:uid="{161FFED3-C345-2542-8FE5-F18F29332287}">
          <x14:formula1>
            <xm:f>Specs!$F:$F</xm:f>
          </x14:formula1>
          <xm:sqref>H238:H247 N13:N207 O13:O82 N2:O12</xm:sqref>
        </x14:dataValidation>
        <x14:dataValidation type="list" allowBlank="1" showInputMessage="1" showErrorMessage="1" xr:uid="{1B4A7F8C-29A3-7E4C-87B9-6A6024998704}">
          <x14:formula1>
            <xm:f>Specs!$A:$A</xm:f>
          </x14:formula1>
          <xm:sqref>K27:L40 J2:J40</xm:sqref>
        </x14:dataValidation>
        <x14:dataValidation type="list" allowBlank="1" showInputMessage="1" showErrorMessage="1" xr:uid="{35572345-EEAE-9F49-BB4B-B4F767613ADF}">
          <x14:formula1>
            <xm:f>Specs!$H:$H</xm:f>
          </x14:formula1>
          <xm:sqref>M2:M27</xm:sqref>
        </x14:dataValidation>
        <x14:dataValidation type="list" allowBlank="1" showInputMessage="1" xr:uid="{A8980604-5711-CF46-BA85-65FAC119041A}">
          <x14:formula1>
            <xm:f>Specs!$D:$D</xm:f>
          </x14:formula1>
          <xm:sqref>K2:L26</xm:sqref>
        </x14:dataValidation>
        <x14:dataValidation type="list" showInputMessage="1" xr:uid="{2E99DC4A-B64E-4E4D-9CEF-1DBB97DE3493}">
          <x14:formula1>
            <xm:f>'Solid Mix In Nutrition'!$A:$A</xm:f>
          </x14:formula1>
          <xm:sqref>F2:G25</xm:sqref>
        </x14:dataValidation>
        <x14:dataValidation type="list" allowBlank="1" xr:uid="{515233B5-7030-ED44-A581-BAB66B6F5A16}">
          <x14:formula1>
            <xm:f>'Liquid Mix In Nutrition'!$A:$A</xm:f>
          </x14:formula1>
          <xm:sqref>D21:D26 D2:E5 D6:D9 E6:E26</xm:sqref>
        </x14:dataValidation>
        <x14:dataValidation type="list" allowBlank="1" showInputMessage="1" xr:uid="{AD7DC335-E0B7-F44F-AC72-D98FC12BC565}">
          <x14:formula1>
            <xm:f>'Liquid Mix In Nutrition'!$A:$A</xm:f>
          </x14:formula1>
          <xm:sqref>D6:D20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349E6-E04D-4ECE-98FD-AD1D26995E63}">
  <sheetPr codeName="Sheet22"/>
  <dimension ref="A1:AL13"/>
  <sheetViews>
    <sheetView topLeftCell="AH1" zoomScale="92" zoomScaleNormal="80" workbookViewId="0">
      <selection activeCell="AI6" sqref="AI6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8" x14ac:dyDescent="0.25">
      <c r="A2" s="41" t="s">
        <v>543</v>
      </c>
      <c r="B2" s="31" t="s">
        <v>62</v>
      </c>
      <c r="C2" s="31" t="s">
        <v>65</v>
      </c>
      <c r="D2" s="31" t="s">
        <v>0</v>
      </c>
      <c r="E2" s="31" t="s">
        <v>486</v>
      </c>
      <c r="F2" s="31" t="s">
        <v>406</v>
      </c>
      <c r="G2" s="31"/>
      <c r="H2" s="31" t="s">
        <v>2</v>
      </c>
      <c r="I2" s="31"/>
      <c r="J2" s="30" t="s">
        <v>340</v>
      </c>
      <c r="K2" s="30" t="s">
        <v>450</v>
      </c>
      <c r="L2" s="30" t="s">
        <v>451</v>
      </c>
      <c r="M2" s="30" t="s">
        <v>156</v>
      </c>
      <c r="N2" s="30" t="s">
        <v>448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709.33500000000004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354.66750000000002</v>
      </c>
      <c r="R2">
        <f>P2+Q2</f>
        <v>1064.0025000000001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240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149.41666666666666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:Y5" si="0">($P2+$Q2+$S2+$W2+$X2)*IF(ISNUMBER(SEARCH("Fat Free",$B2)),0.0036,0.0012)</f>
        <v>1.372803</v>
      </c>
      <c r="Z2" s="5">
        <f t="shared" ref="Z2:Z5" si="1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5573.4545833333332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369.33995833333336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277.82225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370.87072916666671</v>
      </c>
      <c r="AE2" s="8">
        <f>$AD2 / (_xlfn.XLOOKUP($J2,Specs!A:A,Specs!B:B,0))</f>
        <v>0.20684368609406956</v>
      </c>
      <c r="AF2" s="7">
        <f>60* ($AA2 / _xlfn.XLOOKUP($J2,Specs!$A:$A,Specs!$B:$B,0))</f>
        <v>186.50712493028442</v>
      </c>
      <c r="AG2" s="7">
        <f>60* (AB2 / _xlfn.XLOOKUP($J2,Specs!$A:$A,Specs!$B:$B,0))</f>
        <v>12.359396263245957</v>
      </c>
      <c r="AH2" s="7">
        <f>60* (AD2 / _xlfn.XLOOKUP($J2,Specs!$A:$A,Specs!$B:$B,0))</f>
        <v>12.410621165644173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14.658547297965859</v>
      </c>
      <c r="AJ2" s="10">
        <f>ROUNDUP((AI2+Specs!$R$2+Specs!$S$2+_xlfn.XLOOKUP($J2,Specs!A:A,Specs!V:V,0))*Specs!$N$2,0)</f>
        <v>33</v>
      </c>
      <c r="AK2" s="39"/>
      <c r="AL2" s="40"/>
    </row>
    <row r="3" spans="1:38" x14ac:dyDescent="0.25">
      <c r="A3" s="52" t="s">
        <v>515</v>
      </c>
      <c r="B3" s="31" t="s">
        <v>62</v>
      </c>
      <c r="C3" s="31" t="s">
        <v>65</v>
      </c>
      <c r="D3" s="31" t="s">
        <v>512</v>
      </c>
      <c r="E3" s="31" t="s">
        <v>0</v>
      </c>
      <c r="F3" s="31" t="s">
        <v>491</v>
      </c>
      <c r="G3" s="31"/>
      <c r="H3" s="31" t="s">
        <v>1</v>
      </c>
      <c r="I3" s="31"/>
      <c r="J3" s="30" t="s">
        <v>340</v>
      </c>
      <c r="K3" s="30" t="s">
        <v>450</v>
      </c>
      <c r="L3" s="30" t="s">
        <v>175</v>
      </c>
      <c r="M3" s="30" t="s">
        <v>156</v>
      </c>
      <c r="N3" s="30" t="s">
        <v>173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862.78500000000008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431.39250000000004</v>
      </c>
      <c r="R3">
        <f>P3+Q3</f>
        <v>1294.1775000000002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7.5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158.75520833333334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200</v>
      </c>
      <c r="X3">
        <f>_xlfn.XLOOKUP($O3,Specs!F:F,Specs!G:G,0)*100*_xlfn.XLOOKUP($J3,Specs!A:A,Specs!C:C,0)</f>
        <v>0</v>
      </c>
      <c r="Y3" s="4">
        <f t="shared" si="0"/>
        <v>1.8290130000000002</v>
      </c>
      <c r="Z3" s="5">
        <f t="shared" si="1"/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4850.9097916666669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265.57245833333332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218.87975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415.98791666666671</v>
      </c>
      <c r="AE3" s="8">
        <f>$AD3 / (_xlfn.XLOOKUP($J3,Specs!A:A,Specs!B:B,0))</f>
        <v>0.23200664621676895</v>
      </c>
      <c r="AF3" s="7">
        <f>60* ($AA3 / _xlfn.XLOOKUP($J3,Specs!$A:$A,Specs!$B:$B,0))</f>
        <v>162.32826965978808</v>
      </c>
      <c r="AG3" s="7">
        <f>60* (AB3 / _xlfn.XLOOKUP($J3,Specs!$A:$A,Specs!$B:$B,0))</f>
        <v>8.8869757389849404</v>
      </c>
      <c r="AH3" s="7">
        <f>60* (AD3 / _xlfn.XLOOKUP($J3,Specs!$A:$A,Specs!$B:$B,0))</f>
        <v>13.920398773006136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8.1900347987372619</v>
      </c>
      <c r="AJ3" s="10">
        <f>ROUNDUP((AI3+Specs!$R$2+Specs!$S$2+_xlfn.XLOOKUP($J3,Specs!A:A,Specs!V:V,0))*Specs!$N$2,0)</f>
        <v>20</v>
      </c>
      <c r="AK3" s="39"/>
      <c r="AL3" s="40"/>
    </row>
    <row r="4" spans="1:38" x14ac:dyDescent="0.25">
      <c r="A4" s="41" t="s">
        <v>499</v>
      </c>
      <c r="B4" s="31" t="s">
        <v>62</v>
      </c>
      <c r="C4" s="31" t="s">
        <v>65</v>
      </c>
      <c r="D4" s="31" t="s">
        <v>485</v>
      </c>
      <c r="E4" s="31"/>
      <c r="F4" s="31" t="s">
        <v>462</v>
      </c>
      <c r="G4" s="31"/>
      <c r="H4" s="31"/>
      <c r="I4" s="31" t="s">
        <v>1</v>
      </c>
      <c r="J4" s="30" t="s">
        <v>340</v>
      </c>
      <c r="K4" s="30" t="s">
        <v>451</v>
      </c>
      <c r="L4" s="30" t="s">
        <v>44</v>
      </c>
      <c r="M4" s="30" t="s">
        <v>156</v>
      </c>
      <c r="N4" s="30" t="s">
        <v>448</v>
      </c>
      <c r="O4" s="30" t="s">
        <v>44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729.13499999999999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364.5675</v>
      </c>
      <c r="R4">
        <f>P4+Q4</f>
        <v>1093.7024999999999</v>
      </c>
      <c r="S4">
        <f>_xlfn.XLOOKUP($K4,Specs!$D:$D,Specs!$E:$E,0)*15*_xlfn.XLOOKUP($J4,Specs!$A:$A,Specs!$C:$C,0)</f>
        <v>240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179.3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50</v>
      </c>
      <c r="X4">
        <f>_xlfn.XLOOKUP($O4,Specs!F:F,Specs!G:G,0)*100*_xlfn.XLOOKUP($J4,Specs!A:A,Specs!C:C,0)</f>
        <v>0</v>
      </c>
      <c r="Y4" s="4">
        <f t="shared" si="0"/>
        <v>1.6604429999999997</v>
      </c>
      <c r="Z4" s="5">
        <f t="shared" si="1"/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4377.2871264367823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200.16259482758625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132.15225000000001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377.46618534482758</v>
      </c>
      <c r="AE4" s="8">
        <f>$AD4 / (_xlfn.XLOOKUP($J4,Specs!A:A,Specs!B:B,0))</f>
        <v>0.21052213348847049</v>
      </c>
      <c r="AF4" s="7">
        <f>60* ($AA4 / _xlfn.XLOOKUP($J4,Specs!$A:$A,Specs!$B:$B,0))</f>
        <v>146.47921226224591</v>
      </c>
      <c r="AG4" s="7">
        <f>60* (AB4 / _xlfn.XLOOKUP($J4,Specs!$A:$A,Specs!$B:$B,0))</f>
        <v>6.6981347962382456</v>
      </c>
      <c r="AH4" s="7">
        <f>60* (AD4 / _xlfn.XLOOKUP($J4,Specs!$A:$A,Specs!$B:$B,0))</f>
        <v>12.631328009308229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10.691293189898468</v>
      </c>
      <c r="AJ4" s="10">
        <f>ROUNDUP((AI4+Specs!$R$2+Specs!$S$2+_xlfn.XLOOKUP($J4,Specs!A:A,Specs!V:V,0))*Specs!$N$2,0)</f>
        <v>25</v>
      </c>
      <c r="AK4" s="39"/>
      <c r="AL4" s="40"/>
    </row>
    <row r="5" spans="1:38" x14ac:dyDescent="0.25">
      <c r="A5" s="52" t="s">
        <v>489</v>
      </c>
      <c r="B5" s="31" t="s">
        <v>62</v>
      </c>
      <c r="C5" s="31" t="s">
        <v>65</v>
      </c>
      <c r="D5" s="31" t="s">
        <v>83</v>
      </c>
      <c r="E5" s="31" t="s">
        <v>263</v>
      </c>
      <c r="F5" s="31" t="s">
        <v>490</v>
      </c>
      <c r="G5" s="31"/>
      <c r="H5" s="31" t="s">
        <v>1</v>
      </c>
      <c r="I5" s="31"/>
      <c r="J5" s="30" t="s">
        <v>340</v>
      </c>
      <c r="K5" s="30" t="s">
        <v>451</v>
      </c>
      <c r="L5" s="30" t="s">
        <v>10</v>
      </c>
      <c r="M5" s="30" t="s">
        <v>156</v>
      </c>
      <c r="N5" s="30" t="s">
        <v>448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649.93500000000006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324.96750000000003</v>
      </c>
      <c r="R5">
        <f>P5+Q5</f>
        <v>974.90250000000015</v>
      </c>
      <c r="S5">
        <f>_xlfn.XLOOKUP($K5,Specs!$D:$D,Specs!$E:$E,0)*15*_xlfn.XLOOKUP($J5,Specs!$A:$A,Specs!$C:$C,0)</f>
        <v>240</v>
      </c>
      <c r="T5">
        <f>_xlfn.XLOOKUP($L5,Specs!$D:$D,Specs!$E:$E,0)*15*_xlfn.XLOOKUP($J5,Specs!$A:$A,Specs!$C:$C,0)</f>
        <v>120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455.7208333333333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 t="shared" si="0"/>
        <v>1.5178830000000001</v>
      </c>
      <c r="Z5" s="5">
        <f t="shared" si="1"/>
        <v>0.5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4072.2036270491799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218.99388422131148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213.71225000000001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319.36687499999999</v>
      </c>
      <c r="AE5" s="8">
        <f>$AD5 / (_xlfn.XLOOKUP($J5,Specs!A:A,Specs!B:B,0))</f>
        <v>0.17811872559955383</v>
      </c>
      <c r="AF5" s="7">
        <f>60* ($AA5 / _xlfn.XLOOKUP($J5,Specs!$A:$A,Specs!$B:$B,0))</f>
        <v>136.27006002395473</v>
      </c>
      <c r="AG5" s="7">
        <f>60* (AB5 / _xlfn.XLOOKUP($J5,Specs!$A:$A,Specs!$B:$B,0))</f>
        <v>7.3282950659669206</v>
      </c>
      <c r="AH5" s="7">
        <f>60* (AD5 / _xlfn.XLOOKUP($J5,Specs!$A:$A,Specs!$B:$B,0))</f>
        <v>10.68712353597323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10.656946697123619</v>
      </c>
      <c r="AJ5" s="10">
        <f>ROUNDUP((AI5+Specs!$R$2+Specs!$S$2+_xlfn.XLOOKUP($J5,Specs!A:A,Specs!V:V,0))*Specs!$N$2,0)</f>
        <v>25</v>
      </c>
      <c r="AK5" s="39"/>
      <c r="AL5" s="40"/>
    </row>
    <row r="6" spans="1:38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>
        <f>SUM(AI2:AI5)+9</f>
        <v>53.196821983725201</v>
      </c>
      <c r="AJ6" s="10"/>
    </row>
    <row r="7" spans="1:38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  <c r="AK10" s="10">
        <f>SUM(AJ2:AJ5)</f>
        <v>103</v>
      </c>
    </row>
    <row r="11" spans="1:38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3" spans="1:38" x14ac:dyDescent="0.25">
      <c r="AK13" s="10">
        <f>SUM(AI2:AI5)</f>
        <v>44.196821983725201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4ADD347D-9E0C-4FFB-94B0-A1E85BE2B612}">
          <x14:formula1>
            <xm:f>'Sweetener Mix In Nutrition'!$A:$A</xm:f>
          </x14:formula1>
          <xm:sqref>I6:I11</xm:sqref>
        </x14:dataValidation>
        <x14:dataValidation type="list" allowBlank="1" showInputMessage="1" showErrorMessage="1" xr:uid="{D976C386-954E-4F5E-A4F9-4B8DEF31A390}">
          <x14:formula1>
            <xm:f>'Sweetener Mix In Nutrition'!$A:$A</xm:f>
          </x14:formula1>
          <xm:sqref>I12:I442 I2:I5 H6:H228</xm:sqref>
        </x14:dataValidation>
        <x14:dataValidation type="list" allowBlank="1" showInputMessage="1" showErrorMessage="1" xr:uid="{49AE9B72-9CDA-4C13-A485-9E7CCD6E4B35}">
          <x14:formula1>
            <xm:f>'Milk Types Nutrition Per Cup'!$A:$A</xm:f>
          </x14:formula1>
          <xm:sqref>B6:B17 B2:C5 C6:C18</xm:sqref>
        </x14:dataValidation>
        <x14:dataValidation type="list" allowBlank="1" showInputMessage="1" xr:uid="{5E9987DB-014E-4F8E-941D-28A5A68F67FD}">
          <x14:formula1>
            <xm:f>Specs!$F:$F</xm:f>
          </x14:formula1>
          <xm:sqref>H229:H238 N4:O4 N2:N3 O6:O73 N5:N198</xm:sqref>
        </x14:dataValidation>
        <x14:dataValidation type="list" allowBlank="1" showInputMessage="1" showErrorMessage="1" xr:uid="{CA12295E-147B-47AF-A1EB-47200ED612E2}">
          <x14:formula1>
            <xm:f>Specs!$A:$A</xm:f>
          </x14:formula1>
          <xm:sqref>K18:L31 J2:J31</xm:sqref>
        </x14:dataValidation>
        <x14:dataValidation type="list" allowBlank="1" showInputMessage="1" showErrorMessage="1" xr:uid="{60A75C78-1D99-46A8-BB8B-4C8E37D0DE70}">
          <x14:formula1>
            <xm:f>Specs!$H:$H</xm:f>
          </x14:formula1>
          <xm:sqref>M2:M18</xm:sqref>
        </x14:dataValidation>
        <x14:dataValidation type="list" allowBlank="1" showInputMessage="1" xr:uid="{4FDD6D82-7F1A-4307-AF02-EF5A87E0072F}">
          <x14:formula1>
            <xm:f>Specs!$D:$D</xm:f>
          </x14:formula1>
          <xm:sqref>K2:L17</xm:sqref>
        </x14:dataValidation>
        <x14:dataValidation type="list" showInputMessage="1" xr:uid="{A53197C3-DBA8-44D2-B34C-99C21E2BA968}">
          <x14:formula1>
            <xm:f>'Solid Mix In Nutrition'!$A:$A</xm:f>
          </x14:formula1>
          <xm:sqref>F2:H5 F6:G16</xm:sqref>
        </x14:dataValidation>
        <x14:dataValidation type="list" allowBlank="1" showInputMessage="1" xr:uid="{48E71247-3ED3-4439-B2FF-9EF7591A6E1C}">
          <x14:formula1>
            <xm:f>'Liquid Mix In Nutrition'!$A:$A</xm:f>
          </x14:formula1>
          <xm:sqref>D6:D11</xm:sqref>
        </x14:dataValidation>
        <x14:dataValidation type="list" allowBlank="1" xr:uid="{AACBDC1C-3F9B-4D94-B5D3-4AC24CE0DA27}">
          <x14:formula1>
            <xm:f>'Liquid Mix In Nutrition'!$A:$A</xm:f>
          </x14:formula1>
          <xm:sqref>D12:D17 E2:E17</xm:sqref>
        </x14:dataValidation>
        <x14:dataValidation type="list" allowBlank="1" showInputMessage="1" showErrorMessage="1" xr:uid="{87137E34-7E0C-4098-AADC-A305033916B7}">
          <x14:formula1>
            <xm:f>'Liquid Mix In Nutrition'!$A:$A</xm:f>
          </x14:formula1>
          <xm:sqref>D2:D5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6FB88-1E85-1D41-B20C-D2C133AA371E}">
  <sheetPr codeName="Sheet21"/>
  <dimension ref="A1:AL68"/>
  <sheetViews>
    <sheetView topLeftCell="AD1" zoomScale="70" zoomScaleNormal="70" workbookViewId="0">
      <selection activeCell="AI6" sqref="AI6"/>
    </sheetView>
  </sheetViews>
  <sheetFormatPr defaultRowHeight="15" x14ac:dyDescent="0.25"/>
  <cols>
    <col min="1" max="1" width="83.85546875" bestFit="1" customWidth="1"/>
    <col min="2" max="2" width="31.85546875" style="1" bestFit="1" customWidth="1"/>
    <col min="3" max="3" width="27.28515625" style="1" bestFit="1" customWidth="1"/>
    <col min="4" max="5" width="31.28515625" style="1" bestFit="1" customWidth="1"/>
    <col min="6" max="6" width="41.140625" style="1" bestFit="1" customWidth="1"/>
    <col min="7" max="7" width="45.140625" style="1" bestFit="1" customWidth="1"/>
    <col min="8" max="8" width="25" style="1" bestFit="1" customWidth="1"/>
    <col min="9" max="9" width="25.7109375" style="1" bestFit="1" customWidth="1"/>
    <col min="10" max="10" width="14.5703125" style="1" bestFit="1" customWidth="1"/>
    <col min="11" max="11" width="16.28515625" bestFit="1" customWidth="1"/>
    <col min="12" max="12" width="29.7109375" bestFit="1" customWidth="1"/>
    <col min="13" max="13" width="26.85546875" bestFit="1" customWidth="1"/>
    <col min="14" max="14" width="31.5703125" bestFit="1" customWidth="1"/>
    <col min="15" max="15" width="28.5703125" bestFit="1" customWidth="1"/>
    <col min="16" max="16" width="29" bestFit="1" customWidth="1"/>
    <col min="17" max="18" width="23.140625" bestFit="1" customWidth="1"/>
    <col min="19" max="19" width="23.140625" customWidth="1"/>
    <col min="20" max="21" width="23.7109375" bestFit="1" customWidth="1"/>
    <col min="22" max="24" width="21.28515625" bestFit="1" customWidth="1"/>
    <col min="25" max="26" width="24.140625" bestFit="1" customWidth="1"/>
    <col min="27" max="28" width="24.140625" customWidth="1"/>
    <col min="29" max="29" width="18.7109375" style="58" bestFit="1" customWidth="1"/>
    <col min="30" max="30" width="18.7109375" bestFit="1" customWidth="1"/>
    <col min="31" max="31" width="20.28515625" bestFit="1" customWidth="1"/>
    <col min="32" max="33" width="22.28515625" customWidth="1"/>
    <col min="34" max="34" width="22.28515625" style="55" bestFit="1" customWidth="1"/>
    <col min="35" max="36" width="22.28515625" bestFit="1" customWidth="1"/>
    <col min="37" max="37" width="11" bestFit="1" customWidth="1"/>
    <col min="38" max="38" width="20.28515625" bestFit="1" customWidth="1"/>
  </cols>
  <sheetData>
    <row r="1" spans="1:38" x14ac:dyDescent="0.25">
      <c r="A1" s="30" t="s">
        <v>11</v>
      </c>
      <c r="B1" s="31" t="s">
        <v>12</v>
      </c>
      <c r="C1" s="31" t="s">
        <v>13</v>
      </c>
      <c r="D1" s="31" t="s">
        <v>14</v>
      </c>
      <c r="E1" s="31" t="s">
        <v>15</v>
      </c>
      <c r="F1" s="31" t="s">
        <v>16</v>
      </c>
      <c r="G1" s="31" t="s">
        <v>17</v>
      </c>
      <c r="H1" s="31" t="s">
        <v>337</v>
      </c>
      <c r="I1" s="31" t="s">
        <v>18</v>
      </c>
      <c r="J1" s="31" t="s">
        <v>19</v>
      </c>
      <c r="K1" s="32" t="s">
        <v>20</v>
      </c>
      <c r="L1" s="32" t="s">
        <v>21</v>
      </c>
      <c r="M1" s="32" t="s">
        <v>22</v>
      </c>
      <c r="N1" s="32" t="s">
        <v>23</v>
      </c>
      <c r="O1" s="32" t="s">
        <v>24</v>
      </c>
      <c r="P1" s="32" t="s">
        <v>25</v>
      </c>
      <c r="Q1" s="33" t="s">
        <v>26</v>
      </c>
      <c r="R1" s="33" t="s">
        <v>27</v>
      </c>
      <c r="S1" s="33" t="s">
        <v>313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338</v>
      </c>
      <c r="Y1" s="33" t="s">
        <v>32</v>
      </c>
      <c r="Z1" s="33" t="s">
        <v>33</v>
      </c>
      <c r="AA1" s="33" t="s">
        <v>34</v>
      </c>
      <c r="AB1" s="33" t="s">
        <v>35</v>
      </c>
      <c r="AC1" s="56" t="s">
        <v>36</v>
      </c>
      <c r="AD1" s="31" t="s">
        <v>37</v>
      </c>
      <c r="AE1" s="31" t="s">
        <v>38</v>
      </c>
      <c r="AF1" s="31" t="s">
        <v>39</v>
      </c>
      <c r="AG1" s="31" t="s">
        <v>40</v>
      </c>
      <c r="AH1" s="53" t="s">
        <v>41</v>
      </c>
      <c r="AI1" s="31" t="s">
        <v>187</v>
      </c>
      <c r="AJ1" s="31" t="s">
        <v>188</v>
      </c>
      <c r="AK1" s="31" t="s">
        <v>42</v>
      </c>
      <c r="AL1" s="31" t="s">
        <v>172</v>
      </c>
    </row>
    <row r="2" spans="1:38" x14ac:dyDescent="0.25">
      <c r="A2" s="30" t="s">
        <v>766</v>
      </c>
      <c r="B2" s="31" t="s">
        <v>62</v>
      </c>
      <c r="C2" s="31" t="s">
        <v>65</v>
      </c>
      <c r="D2" s="31" t="s">
        <v>0</v>
      </c>
      <c r="E2" s="31" t="s">
        <v>768</v>
      </c>
      <c r="F2" s="31" t="s">
        <v>249</v>
      </c>
      <c r="G2" s="31"/>
      <c r="H2" s="31"/>
      <c r="I2" s="31" t="s">
        <v>1</v>
      </c>
      <c r="J2" s="31"/>
      <c r="K2" s="30" t="s">
        <v>43</v>
      </c>
      <c r="L2" s="30" t="s">
        <v>175</v>
      </c>
      <c r="M2" s="30" t="s">
        <v>451</v>
      </c>
      <c r="N2" s="30" t="s">
        <v>156</v>
      </c>
      <c r="O2" s="30" t="s">
        <v>769</v>
      </c>
      <c r="P2" s="30"/>
      <c r="Q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Nutrition'!I:I,1)))*240))*0.66</f>
        <v>465.79500000000002</v>
      </c>
      <c r="R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Nutrition'!I:I,1)))*240))*0.33</f>
        <v>232.89750000000001</v>
      </c>
      <c r="S2" s="30">
        <f>Q2+R2</f>
        <v>698.6925</v>
      </c>
      <c r="T2" s="30">
        <f>_xlfn.XLOOKUP($L2,Specs!$D:$D,Specs!$E:$E,0)*15*_xlfn.XLOOKUP($K2,Specs!$A:$A,Specs!$C:$C,0)</f>
        <v>3.75</v>
      </c>
      <c r="U2" s="30">
        <f>_xlfn.XLOOKUP($M2,Specs!$D:$D,Specs!$E:$E,0)*15*_xlfn.XLOOKUP($K2,Specs!$A:$A,Specs!$C:$C,0)</f>
        <v>120</v>
      </c>
      <c r="V2" s="30">
        <f>( ((_xlfn.XLOOKUP($N2,Specs!$H:$H,Specs!$I:$I,0)*_xlfn.XLOOKUP($K2,Specs!$A:$A,Specs!$B:$B,0))/240) *_xlfn.XLOOKUP($F2,'Solid Mix In Nutrition'!A:A,'Solid Mix In Nutrition'!I:I,0)) *IF(AND(NOT($G2=0), COUNTA($G2)),0.5,1)</f>
        <v>236.5</v>
      </c>
      <c r="W2" s="30">
        <f>( ((_xlfn.XLOOKUP($N2,Specs!$H:$H,Specs!$I:$I,0)*_xlfn.XLOOKUP($K2,Specs!$A:$A,Specs!$B:$B,0))/240) *_xlfn.XLOOKUP($G2,'Solid Mix In Nutrition'!A:A,'Solid Mix In Nutrition'!I:I,0)) *IF(AND(NOT($G2=0), COUNTA($G2)),0.5,0)</f>
        <v>0</v>
      </c>
      <c r="X2" s="30">
        <f>( ((_xlfn.XLOOKUP($N2,Specs!$H:$H,Specs!$I:$I,0)*_xlfn.XLOOKUP($K2,Specs!$A:$A,Specs!$B:$B,0))/240) *_xlfn.XLOOKUP($G2,'Solid Mix In Nutrition'!$A:$A,'Solid Mix In Nutrition'!$I:$I,0)) *IF(AND(NOT($H2=0), COUNTA($H2)),0.3,0)</f>
        <v>0</v>
      </c>
      <c r="Y2" s="30">
        <f>_xlfn.XLOOKUP($O2,Specs!F:F,Specs!G:G,0)*_xlfn.XLOOKUP($I2,'Sweetener Mix In Nutrition'!A:A,'Sweetener Mix In Nutrition'!I:I,0)*_xlfn.XLOOKUP($K2,Specs!A:A,Specs!C:C,0)</f>
        <v>75</v>
      </c>
      <c r="Z2" s="30">
        <f>_xlfn.XLOOKUP($P2,Specs!F:F,Specs!G:G,0)*_xlfn.XLOOKUP($J2,'Sweetener Mix In Nutrition'!A:A,'Sweetener Mix In Nutrition'!I:I,0)*_xlfn.XLOOKUP($K2,Specs!A:A,Specs!C:C,0)</f>
        <v>0</v>
      </c>
      <c r="AA2" s="34">
        <f>($Q2+$R2+$T2+$Y2+$Z2)*IF(ISNUMBER(SEARCH("Fat Free",$B2)),0.0036,0.0012)</f>
        <v>0.93293099999999995</v>
      </c>
      <c r="AB2" s="35">
        <f>CEILING(CONVERT(($Q2+$R2+$T2+$Y2+$Z2)*IF(ISNUMBER(SEARCH("Fat Free",$B2)),0.0036,0.0012),"ml","tsp"),0.25)</f>
        <v>0.25</v>
      </c>
      <c r="AC2" s="57">
        <f>(($Q2 / 240) * _xlfn.XLOOKUP($B2,'Milk Types Nutrition Per Cup'!A:A,'Milk Types Nutrition Per Cup'!B:B,0)) +(($R2 / 240)  * _xlfn.XLOOKUP($C2,'Milk Types Nutrition Per Cup'!A:A,'Milk Types Nutrition Per Cup'!B:B,0)) +(($T2 / 15)  * _xlfn.XLOOKUP($D2,'Liquid Mix In Nutrition'!A:A,'Liquid Mix In Nutrition'!B:B,0))+(($U2 / 15)  * _xlfn.XLOOKUP($E2,'Liquid Mix In Nutrition'!A:A,'Liquid Mix In Nutrition'!B:B,0))+(($V2 /MAX(1, _xlfn.XLOOKUP($F2,'Solid Mix In Nutrition'!A:A,'Solid Mix In Nutrition'!I:I,1)))  * _xlfn.XLOOKUP($F2,'Solid Mix In Nutrition'!A:A,'Solid Mix In Nutrition'!B:B,0))+(($W2 / MAX(1, _xlfn.XLOOKUP($G2,'Solid Mix In Nutrition'!A:A,'Solid Mix In Nutrition'!I:I,1))))+(($Y2 / 100)  * _xlfn.XLOOKUP($I2,'Sweetener Mix In Nutrition'!A:A,'Sweetener Mix In Nutrition'!B:B,0))+(($Z2 / 100)  * _xlfn.XLOOKUP($J2,'Sweetener Mix In Nutrition'!A:A,'Sweetener Mix In Nutrition'!B:B,0))</f>
        <v>3997.2161762771325</v>
      </c>
      <c r="AD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Nutrition'!E:E,0))+(($V2 / MAX(1, _xlfn.XLOOKUP($F2,'Solid Mix In Nutrition'!A:A,'Solid Mix In Nutrition'!I:I,1)))  * _xlfn.XLOOKUP($F2,'Solid Mix In Nutrition'!A:A,'Solid Mix In Nutrition'!E:E,0))+(($W2 / MAX(1, _xlfn.XLOOKUP($G2,'Solid Mix In Nutrition'!A:A,'Solid Mix In Nutrition'!I:I,1)))  * _xlfn.XLOOKUP($G2,'Solid Mix In Nutrition'!A:A,'Solid Mix In Nutrition'!G:G,0))+(($Y2 / 100)  * _xlfn.XLOOKUP($I2,'Sweetener Mix In Nutrition'!A:A,'Sweetener Mix In Nutrition'!E:E,0))+(($Z2 / 100)  * _xlfn.XLOOKUP($J2,'Sweetener Mix In Nutrition'!A:A,'Sweetener Mix In Nutrition'!E:E,0))</f>
        <v>165.04062338303004</v>
      </c>
      <c r="AE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Nutrition'!E:E,0))+(($Y2 / 100)  * _xlfn.XLOOKUP($I2,'Sweetener Mix In Nutrition'!A:A,'Sweetener Mix In Nutrition'!E:E,0))+(($Z2 / 100)  * _xlfn.XLOOKUP($J2,'Sweetener Mix In Nutrition'!A:A,'Sweetener Mix In Nutrition'!E:E,0))</f>
        <v>96.263249999999999</v>
      </c>
      <c r="AF2" s="37">
        <f>(($Q2 / 240) * _xlfn.XLOOKUP($B2,'Milk Types Nutrition Per Cup'!A:A,'Milk Types Nutrition Per Cup'!C:C,0)) +(($R2 / 240)  * _xlfn.XLOOKUP($C2,'Milk Types Nutrition Per Cup'!A:A,'Milk Types Nutrition Per Cup'!C:C,0)) +(($T2 / 15)  * _xlfn.XLOOKUP($D2,'Liquid Mix In Nutrition'!A:A,'Liquid Mix In Nutrition'!C:C,0))+(($U2 / 15)  * _xlfn.XLOOKUP($E2,'Liquid Mix In Nutrition'!A:A,'Liquid Mix In Nutrition'!C:C,0))+(($V2 / MAX(1, _xlfn.XLOOKUP($F2,'Solid Mix In Nutrition'!A:A,'Solid Mix In Nutrition'!I:I,1)))  * _xlfn.XLOOKUP($F2,'Solid Mix In Nutrition'!A:A,'Solid Mix In Nutrition'!C:C,0))+(($W2 / MAX(1, _xlfn.XLOOKUP($G2,'Solid Mix In Nutrition'!A:A,'Solid Mix In Nutrition'!I:I,1)))  * _xlfn.XLOOKUP($G2,'Solid Mix In Nutrition'!A:A,'Solid Mix In Nutrition'!C:C,0))+(($Y2 / 100)  * _xlfn.XLOOKUP($I2,'Sweetener Mix In Nutrition'!A:A,'Sweetener Mix In Nutrition'!C:C,0))+(($Z2 / 100)  * _xlfn.XLOOKUP($J2,'Sweetener Mix In Nutrition'!A:A,'Sweetener Mix In Nutrition'!C:C,0))</f>
        <v>321.45308909778555</v>
      </c>
      <c r="AG2" s="38">
        <f>$AF2 / (_xlfn.XLOOKUP($K2,Specs!A:A,Specs!B:B,0))</f>
        <v>0.339802419765101</v>
      </c>
      <c r="AH2" s="54">
        <f>60* ($AC2 / _xlfn.XLOOKUP($K2,Specs!$A:$A,Specs!$B:$B,0))</f>
        <v>253.52322471102323</v>
      </c>
      <c r="AI2" s="37">
        <f>60* (AD2 / _xlfn.XLOOKUP($K2,Specs!$A:$A,Specs!$B:$B,0))</f>
        <v>10.467692814991334</v>
      </c>
      <c r="AJ2" s="37">
        <f>60* (AF2 / _xlfn.XLOOKUP($K2,Specs!$A:$A,Specs!$B:$B,0))</f>
        <v>20.388145185906062</v>
      </c>
      <c r="AK2" s="39">
        <f>(($Q2 / 240) * _xlfn.XLOOKUP($B2,'Milk Types Nutrition Per Cup'!A:A,'Milk Types Nutrition Per Cup'!F:F,0)) +(($R2 / 240)  * _xlfn.XLOOKUP($C2,'Milk Types Nutrition Per Cup'!A:A,'Milk Types Nutrition Per Cup'!F:F,0)) +(($T2 / 15)  * _xlfn.XLOOKUP($D2,'Liquid Mix In Nutrition'!A:A,'Liquid Mix In Nutrition'!F:F,0))+(($U2 / 15)  * _xlfn.XLOOKUP($E2,'Liquid Mix In Nutrition'!A:A,'Liquid Mix In Nutrition'!F:F,0))+(($V2 / MAX(1, _xlfn.XLOOKUP($F2,'Solid Mix In Nutrition'!A:A,'Solid Mix In Nutrition'!I:I,1)))  * _xlfn.XLOOKUP($F2,'Solid Mix In Nutrition'!A:A,'Solid Mix In Nutrition'!F:F,0))+(($W2 / MAX(1, _xlfn.XLOOKUP($G2,'Solid Mix In Nutrition'!A:A,'Solid Mix In Nutrition'!I:I,1)))  * _xlfn.XLOOKUP($G2,'Solid Mix In Nutrition'!A:A,'Solid Mix In Nutrition'!F:F,0))+(($Y2 / 100)  * _xlfn.XLOOKUP($I2,'Sweetener Mix In Nutrition'!A:A,'Sweetener Mix In Nutrition'!F:F,0))+(($Z2 / 100)  * _xlfn.XLOOKUP($J2,'Sweetener Mix In Nutrition'!A:A,'Sweetener Mix In Nutrition'!F:F,0))</f>
        <v>4.680540966128806</v>
      </c>
      <c r="AL2" s="40">
        <f>(AK2+Specs!$R$2+Specs!$S$2)*Specs!$N$2</f>
        <v>10.141081932257611</v>
      </c>
    </row>
    <row r="3" spans="1:38" x14ac:dyDescent="0.25">
      <c r="A3" s="42" t="s">
        <v>767</v>
      </c>
      <c r="B3" s="31" t="s">
        <v>177</v>
      </c>
      <c r="C3" s="31" t="s">
        <v>770</v>
      </c>
      <c r="D3" s="31" t="s">
        <v>0</v>
      </c>
      <c r="E3" s="31"/>
      <c r="F3" s="31" t="s">
        <v>420</v>
      </c>
      <c r="G3" s="31"/>
      <c r="H3" s="31"/>
      <c r="I3" s="31" t="s">
        <v>1</v>
      </c>
      <c r="J3" s="31"/>
      <c r="K3" s="30" t="s">
        <v>43</v>
      </c>
      <c r="L3" s="30" t="s">
        <v>46</v>
      </c>
      <c r="M3" s="30" t="s">
        <v>44</v>
      </c>
      <c r="N3" s="30" t="s">
        <v>156</v>
      </c>
      <c r="O3" s="30" t="s">
        <v>769</v>
      </c>
      <c r="P3" s="30" t="s">
        <v>44</v>
      </c>
      <c r="Q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Nutrition'!I:I,1)))*240))*0.66</f>
        <v>448.47</v>
      </c>
      <c r="R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Nutrition'!I:I,1)))*240))*0.33</f>
        <v>224.23500000000001</v>
      </c>
      <c r="S3" s="30">
        <f>Q3+R3</f>
        <v>672.70500000000004</v>
      </c>
      <c r="T3" s="30">
        <f>_xlfn.XLOOKUP($L3,Specs!$D:$D,Specs!$E:$E,0)*15*_xlfn.XLOOKUP($K3,Specs!$A:$A,Specs!$C:$C,0)</f>
        <v>30</v>
      </c>
      <c r="U3" s="30">
        <f>_xlfn.XLOOKUP($M3,Specs!$D:$D,Specs!$E:$E,0)*15*_xlfn.XLOOKUP($K3,Specs!$A:$A,Specs!$C:$C,0)</f>
        <v>0</v>
      </c>
      <c r="V3" s="30">
        <f>( ((_xlfn.XLOOKUP($N3,Specs!$H:$H,Specs!$I:$I,0)*_xlfn.XLOOKUP($K3,Specs!$A:$A,Specs!$B:$B,0))/240) *_xlfn.XLOOKUP($F3,'Solid Mix In Nutrition'!A:A,'Solid Mix In Nutrition'!I:I,0)) *IF(AND(NOT($G3=0), COUNTA($G3)),0.5,1)</f>
        <v>94.600000000000009</v>
      </c>
      <c r="W3" s="30">
        <f>( ((_xlfn.XLOOKUP($N3,Specs!$H:$H,Specs!$I:$I,0)*_xlfn.XLOOKUP($K3,Specs!$A:$A,Specs!$B:$B,0))/240) *_xlfn.XLOOKUP($G3,'Solid Mix In Nutrition'!A:A,'Solid Mix In Nutrition'!I:I,0)) *IF(AND(NOT($G3=0), COUNTA($G3)),0.5,0)</f>
        <v>0</v>
      </c>
      <c r="X3" s="30">
        <f>( ((_xlfn.XLOOKUP($N3,Specs!$H:$H,Specs!$I:$I,0)*_xlfn.XLOOKUP($K3,Specs!$A:$A,Specs!$B:$B,0))/240) *_xlfn.XLOOKUP($G3,'Solid Mix In Nutrition'!$A:$A,'Solid Mix In Nutrition'!$I:$I,0)) *IF(AND(NOT($H3=0), COUNTA($H3)),0.3,0)</f>
        <v>0</v>
      </c>
      <c r="Y3" s="30">
        <f>_xlfn.XLOOKUP($O3,Specs!F:F,Specs!G:G,0)*_xlfn.XLOOKUP($I3,'Sweetener Mix In Nutrition'!A:A,'Sweetener Mix In Nutrition'!I:I,0)*_xlfn.XLOOKUP($K3,Specs!A:A,Specs!C:C,0)</f>
        <v>75</v>
      </c>
      <c r="Z3" s="30">
        <f>_xlfn.XLOOKUP($P3,Specs!F:F,Specs!G:G,0)*_xlfn.XLOOKUP($J3,'Sweetener Mix In Nutrition'!A:A,'Sweetener Mix In Nutrition'!I:I,0)*_xlfn.XLOOKUP($K3,Specs!A:A,Specs!C:C,0)</f>
        <v>0</v>
      </c>
      <c r="AA3" s="34">
        <f>($Q3+$R3+$T3+$Y3+$Z3)*IF(ISNUMBER(SEARCH("Fat Free",$B3)),0.0036,0.0012)</f>
        <v>0.93324600000000002</v>
      </c>
      <c r="AB3" s="35">
        <f>CEILING(CONVERT(($Q3+$R3+$T3+$Y3+$Z3)*IF(ISNUMBER(SEARCH("Fat Free",$B3)),0.0036,0.0012),"ml","tsp"),0.25)</f>
        <v>0.25</v>
      </c>
      <c r="AC3" s="57">
        <f>(($Q3 / 240) * _xlfn.XLOOKUP($B3,'Milk Types Nutrition Per Cup'!A:A,'Milk Types Nutrition Per Cup'!B:B,0)) +(($R3 / 240)  * _xlfn.XLOOKUP($C3,'Milk Types Nutrition Per Cup'!A:A,'Milk Types Nutrition Per Cup'!B:B,0)) +(($T3 / 15)  * _xlfn.XLOOKUP($D3,'Liquid Mix In Nutrition'!A:A,'Liquid Mix In Nutrition'!B:B,0))+(($U3 / 15)  * _xlfn.XLOOKUP($E3,'Liquid Mix In Nutrition'!A:A,'Liquid Mix In Nutrition'!B:B,0))+(($V3 /MAX(1, _xlfn.XLOOKUP($F3,'Solid Mix In Nutrition'!A:A,'Solid Mix In Nutrition'!I:I,1)))  * _xlfn.XLOOKUP($F3,'Solid Mix In Nutrition'!A:A,'Solid Mix In Nutrition'!B:B,0))+(($W3 / MAX(1, _xlfn.XLOOKUP($G3,'Solid Mix In Nutrition'!A:A,'Solid Mix In Nutrition'!I:I,1))))+(($Y3 / 100)  * _xlfn.XLOOKUP($I3,'Sweetener Mix In Nutrition'!A:A,'Sweetener Mix In Nutrition'!B:B,0))+(($Z3 / 100)  * _xlfn.XLOOKUP($J3,'Sweetener Mix In Nutrition'!A:A,'Sweetener Mix In Nutrition'!B:B,0))</f>
        <v>1994.6518277310927</v>
      </c>
      <c r="AD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Nutrition'!E:E,0))+(($V3 / MAX(1, _xlfn.XLOOKUP($F3,'Solid Mix In Nutrition'!A:A,'Solid Mix In Nutrition'!I:I,1)))  * _xlfn.XLOOKUP($F3,'Solid Mix In Nutrition'!A:A,'Solid Mix In Nutrition'!E:E,0))+(($W3 / MAX(1, _xlfn.XLOOKUP($G3,'Solid Mix In Nutrition'!A:A,'Solid Mix In Nutrition'!I:I,1)))  * _xlfn.XLOOKUP($G3,'Solid Mix In Nutrition'!A:A,'Solid Mix In Nutrition'!G:G,0))+(($Y3 / 100)  * _xlfn.XLOOKUP($I3,'Sweetener Mix In Nutrition'!A:A,'Sweetener Mix In Nutrition'!E:E,0))+(($Z3 / 100)  * _xlfn.XLOOKUP($J3,'Sweetener Mix In Nutrition'!A:A,'Sweetener Mix In Nutrition'!E:E,0))</f>
        <v>139.96133403361344</v>
      </c>
      <c r="AE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Nutrition'!E:E,0))+(($Y3 / 100)  * _xlfn.XLOOKUP($I3,'Sweetener Mix In Nutrition'!A:A,'Sweetener Mix In Nutrition'!E:E,0))+(($Z3 / 100)  * _xlfn.XLOOKUP($J3,'Sweetener Mix In Nutrition'!A:A,'Sweetener Mix In Nutrition'!E:E,0))</f>
        <v>101.00839285714287</v>
      </c>
      <c r="AF3" s="37">
        <f>(($Q3 / 240) * _xlfn.XLOOKUP($B3,'Milk Types Nutrition Per Cup'!A:A,'Milk Types Nutrition Per Cup'!C:C,0)) +(($R3 / 240)  * _xlfn.XLOOKUP($C3,'Milk Types Nutrition Per Cup'!A:A,'Milk Types Nutrition Per Cup'!C:C,0)) +(($T3 / 15)  * _xlfn.XLOOKUP($D3,'Liquid Mix In Nutrition'!A:A,'Liquid Mix In Nutrition'!C:C,0))+(($U3 / 15)  * _xlfn.XLOOKUP($E3,'Liquid Mix In Nutrition'!A:A,'Liquid Mix In Nutrition'!C:C,0))+(($V3 / MAX(1, _xlfn.XLOOKUP($F3,'Solid Mix In Nutrition'!A:A,'Solid Mix In Nutrition'!I:I,1)))  * _xlfn.XLOOKUP($F3,'Solid Mix In Nutrition'!A:A,'Solid Mix In Nutrition'!C:C,0))+(($W3 / MAX(1, _xlfn.XLOOKUP($G3,'Solid Mix In Nutrition'!A:A,'Solid Mix In Nutrition'!I:I,1)))  * _xlfn.XLOOKUP($G3,'Solid Mix In Nutrition'!A:A,'Solid Mix In Nutrition'!C:C,0))+(($Y3 / 100)  * _xlfn.XLOOKUP($I3,'Sweetener Mix In Nutrition'!A:A,'Sweetener Mix In Nutrition'!C:C,0))+(($Z3 / 100)  * _xlfn.XLOOKUP($J3,'Sweetener Mix In Nutrition'!A:A,'Sweetener Mix In Nutrition'!C:C,0))</f>
        <v>128.39061344537816</v>
      </c>
      <c r="AG3" s="38">
        <f>$AF3 / (_xlfn.XLOOKUP($K3,Specs!A:A,Specs!B:B,0))</f>
        <v>0.13571946452999806</v>
      </c>
      <c r="AH3" s="54">
        <f>60* ($AC3 / _xlfn.XLOOKUP($K3,Specs!$A:$A,Specs!$B:$B,0))</f>
        <v>126.51068674827226</v>
      </c>
      <c r="AI3" s="37">
        <f>60* (AD3 / _xlfn.XLOOKUP($K3,Specs!$A:$A,Specs!$B:$B,0))</f>
        <v>8.8770402135484208</v>
      </c>
      <c r="AJ3" s="37">
        <f>60* (AF3 / _xlfn.XLOOKUP($K3,Specs!$A:$A,Specs!$B:$B,0))</f>
        <v>8.1431678717998839</v>
      </c>
      <c r="AK3" s="39">
        <f>(($Q3 / 240) * _xlfn.XLOOKUP($B3,'Milk Types Nutrition Per Cup'!A:A,'Milk Types Nutrition Per Cup'!F:F,0)) +(($R3 / 240)  * _xlfn.XLOOKUP($C3,'Milk Types Nutrition Per Cup'!A:A,'Milk Types Nutrition Per Cup'!F:F,0)) +(($T3 / 15)  * _xlfn.XLOOKUP($D3,'Liquid Mix In Nutrition'!A:A,'Liquid Mix In Nutrition'!F:F,0))+(($U3 / 15)  * _xlfn.XLOOKUP($E3,'Liquid Mix In Nutrition'!A:A,'Liquid Mix In Nutrition'!F:F,0))+(($V3 / MAX(1, _xlfn.XLOOKUP($F3,'Solid Mix In Nutrition'!A:A,'Solid Mix In Nutrition'!I:I,1)))  * _xlfn.XLOOKUP($F3,'Solid Mix In Nutrition'!A:A,'Solid Mix In Nutrition'!F:F,0))+(($W3 / MAX(1, _xlfn.XLOOKUP($G3,'Solid Mix In Nutrition'!A:A,'Solid Mix In Nutrition'!I:I,1)))  * _xlfn.XLOOKUP($G3,'Solid Mix In Nutrition'!A:A,'Solid Mix In Nutrition'!F:F,0))+(($Y3 / 100)  * _xlfn.XLOOKUP($I3,'Sweetener Mix In Nutrition'!A:A,'Sweetener Mix In Nutrition'!F:F,0))+(($Z3 / 100)  * _xlfn.XLOOKUP($J3,'Sweetener Mix In Nutrition'!A:A,'Sweetener Mix In Nutrition'!F:F,0))</f>
        <v>11.606639739906219</v>
      </c>
      <c r="AL3" s="40">
        <f>(AK3+Specs!$R$2+Specs!$S$2)*Specs!$N$2</f>
        <v>23.993279479812436</v>
      </c>
    </row>
    <row r="4" spans="1:38" x14ac:dyDescent="0.25">
      <c r="A4" s="52" t="s">
        <v>499</v>
      </c>
      <c r="B4" s="31" t="s">
        <v>62</v>
      </c>
      <c r="C4" s="31" t="s">
        <v>65</v>
      </c>
      <c r="D4" s="31" t="s">
        <v>485</v>
      </c>
      <c r="E4" s="31"/>
      <c r="F4" s="31" t="s">
        <v>462</v>
      </c>
      <c r="G4" s="31"/>
      <c r="H4" s="31"/>
      <c r="I4" s="31" t="s">
        <v>1</v>
      </c>
      <c r="J4" s="31"/>
      <c r="K4" s="30" t="s">
        <v>340</v>
      </c>
      <c r="L4" s="30" t="s">
        <v>451</v>
      </c>
      <c r="M4" s="30" t="s">
        <v>44</v>
      </c>
      <c r="N4" s="30" t="s">
        <v>156</v>
      </c>
      <c r="O4" s="30" t="s">
        <v>448</v>
      </c>
      <c r="P4" s="30" t="s">
        <v>44</v>
      </c>
      <c r="Q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Nutrition'!I:I,1)))*240))*0.66</f>
        <v>729.13499999999999</v>
      </c>
      <c r="R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Nutrition'!I:I,1)))*240))*0.33</f>
        <v>364.5675</v>
      </c>
      <c r="S4" s="30">
        <f>Q4+R4</f>
        <v>1093.7024999999999</v>
      </c>
      <c r="T4" s="30">
        <f>_xlfn.XLOOKUP($L4,Specs!$D:$D,Specs!$E:$E,0)*15*_xlfn.XLOOKUP($K4,Specs!$A:$A,Specs!$C:$C,0)</f>
        <v>240</v>
      </c>
      <c r="U4" s="30">
        <f>_xlfn.XLOOKUP($M4,Specs!$D:$D,Specs!$E:$E,0)*15*_xlfn.XLOOKUP($K4,Specs!$A:$A,Specs!$C:$C,0)</f>
        <v>0</v>
      </c>
      <c r="V4" s="30">
        <f>( ((_xlfn.XLOOKUP($N4,Specs!$H:$H,Specs!$I:$I,0)*_xlfn.XLOOKUP($K4,Specs!$A:$A,Specs!$B:$B,0))/240) *_xlfn.XLOOKUP($F4,'Solid Mix In Nutrition'!A:A,'Solid Mix In Nutrition'!I:I,0)) *IF(AND(NOT($G4=0), COUNTA($G4)),0.33,1)</f>
        <v>179.3</v>
      </c>
      <c r="W4" s="30">
        <f>( ((_xlfn.XLOOKUP($N4,Specs!$H:$H,Specs!$I:$I,0)*_xlfn.XLOOKUP($K4,Specs!$A:$A,Specs!$B:$B,0))/240) *_xlfn.XLOOKUP($G4,'Solid Mix In Nutrition'!A:A,'Solid Mix In Nutrition'!I:I,0)) *IF(AND(NOT($G4=0), COUNTA($G4)),0.33,0)</f>
        <v>0</v>
      </c>
      <c r="X4" s="30">
        <f>( ((_xlfn.XLOOKUP($N4,Specs!$H:$H,Specs!$I:$I,0)*_xlfn.XLOOKUP($K4,Specs!$A:$A,Specs!$B:$B,0))/240) *_xlfn.XLOOKUP($G4,'Solid Mix In Nutrition'!$A:$A,'Solid Mix In Nutrition'!$I:$I,0)) *IF(AND(NOT($H4=0), COUNTA($H4)),0.33,0)</f>
        <v>0</v>
      </c>
      <c r="Y4" s="30">
        <f>_xlfn.XLOOKUP($O4,Specs!F:F,Specs!G:G,0)*_xlfn.XLOOKUP($I4,'Sweetener Mix In Nutrition'!A:A,'Sweetener Mix In Nutrition'!I:I,0)*_xlfn.XLOOKUP($K4,Specs!A:A,Specs!C:C,0)</f>
        <v>50</v>
      </c>
      <c r="Z4" s="30">
        <f>_xlfn.XLOOKUP($P4,Specs!F:F,Specs!G:G,0)*_xlfn.XLOOKUP($J4,'Sweetener Mix In Nutrition'!A:A,'Sweetener Mix In Nutrition'!I:I,0)*_xlfn.XLOOKUP($K4,Specs!A:A,Specs!C:C,0)</f>
        <v>0</v>
      </c>
      <c r="AA4" s="34">
        <f>($Q4+$R4+$T4+$Y4+$Z4)*IF(ISNUMBER(SEARCH("Fat Free",$B4)),0.0036,0.0012)</f>
        <v>1.6604429999999997</v>
      </c>
      <c r="AB4" s="35">
        <f>CEILING(CONVERT(($Q4+$R4+$T4+$Y4+$Z4)*IF(ISNUMBER(SEARCH("Fat Free",$B4)),0.0036,0.0012),"ml","tsp"),0.25)</f>
        <v>0.5</v>
      </c>
      <c r="AC4" s="57">
        <f>(($Q4 / 240) * _xlfn.XLOOKUP($B4,'Milk Types Nutrition Per Cup'!A:A,'Milk Types Nutrition Per Cup'!B:B,0)) +(($R4 / 240)  * _xlfn.XLOOKUP($C4,'Milk Types Nutrition Per Cup'!A:A,'Milk Types Nutrition Per Cup'!B:B,0)) +(($T4 / 15)  * _xlfn.XLOOKUP($D4,'Liquid Mix In Nutrition'!A:A,'Liquid Mix In Nutrition'!B:B,0))+(($U4 / 15)  * _xlfn.XLOOKUP($E4,'Liquid Mix In Nutrition'!A:A,'Liquid Mix In Nutrition'!B:B,0))+(($V4 /MAX(1, _xlfn.XLOOKUP($F4,'Solid Mix In Nutrition'!A:A,'Solid Mix In Nutrition'!I:I,1)))  * _xlfn.XLOOKUP($F4,'Solid Mix In Nutrition'!A:A,'Solid Mix In Nutrition'!B:B,0))+(($W4 / MAX(1, _xlfn.XLOOKUP($G4,'Solid Mix In Nutrition'!A:A,'Solid Mix In Nutrition'!I:I,1))))+(($Y4 / 100)  * _xlfn.XLOOKUP($I4,'Sweetener Mix In Nutrition'!A:A,'Sweetener Mix In Nutrition'!B:B,0))+(($Z4 / 100)  * _xlfn.XLOOKUP($J4,'Sweetener Mix In Nutrition'!A:A,'Sweetener Mix In Nutrition'!B:B,0))</f>
        <v>4570.7871264367823</v>
      </c>
      <c r="AD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Nutrition'!E:E,0))+(($V4 / MAX(1, _xlfn.XLOOKUP($F4,'Solid Mix In Nutrition'!A:A,'Solid Mix In Nutrition'!I:I,1)))  * _xlfn.XLOOKUP($F4,'Solid Mix In Nutrition'!A:A,'Solid Mix In Nutrition'!E:E,0))+(($W4 / MAX(1, _xlfn.XLOOKUP($G4,'Solid Mix In Nutrition'!A:A,'Solid Mix In Nutrition'!I:I,1)))  * _xlfn.XLOOKUP($G4,'Solid Mix In Nutrition'!A:A,'Solid Mix In Nutrition'!G:G,0))+(($Y4 / 100)  * _xlfn.XLOOKUP($I4,'Sweetener Mix In Nutrition'!A:A,'Sweetener Mix In Nutrition'!E:E,0))+(($Z4 / 100)  * _xlfn.XLOOKUP($J4,'Sweetener Mix In Nutrition'!A:A,'Sweetener Mix In Nutrition'!E:E,0))</f>
        <v>250.16259482758625</v>
      </c>
      <c r="AE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Nutrition'!E:E,0))+(($Y4 / 100)  * _xlfn.XLOOKUP($I4,'Sweetener Mix In Nutrition'!A:A,'Sweetener Mix In Nutrition'!E:E,0))+(($Z4 / 100)  * _xlfn.XLOOKUP($J4,'Sweetener Mix In Nutrition'!A:A,'Sweetener Mix In Nutrition'!E:E,0))</f>
        <v>182.15225000000001</v>
      </c>
      <c r="AF4" s="37">
        <f>(($Q4 / 240) * _xlfn.XLOOKUP($B4,'Milk Types Nutrition Per Cup'!A:A,'Milk Types Nutrition Per Cup'!C:C,0)) +(($R4 / 240)  * _xlfn.XLOOKUP($C4,'Milk Types Nutrition Per Cup'!A:A,'Milk Types Nutrition Per Cup'!C:C,0)) +(($T4 / 15)  * _xlfn.XLOOKUP($D4,'Liquid Mix In Nutrition'!A:A,'Liquid Mix In Nutrition'!C:C,0))+(($U4 / 15)  * _xlfn.XLOOKUP($E4,'Liquid Mix In Nutrition'!A:A,'Liquid Mix In Nutrition'!C:C,0))+(($V4 / MAX(1, _xlfn.XLOOKUP($F4,'Solid Mix In Nutrition'!A:A,'Solid Mix In Nutrition'!I:I,1)))  * _xlfn.XLOOKUP($F4,'Solid Mix In Nutrition'!A:A,'Solid Mix In Nutrition'!C:C,0))+(($W4 / MAX(1, _xlfn.XLOOKUP($G4,'Solid Mix In Nutrition'!A:A,'Solid Mix In Nutrition'!I:I,1)))  * _xlfn.XLOOKUP($G4,'Solid Mix In Nutrition'!A:A,'Solid Mix In Nutrition'!C:C,0))+(($Y4 / 100)  * _xlfn.XLOOKUP($I4,'Sweetener Mix In Nutrition'!A:A,'Sweetener Mix In Nutrition'!C:C,0))+(($Z4 / 100)  * _xlfn.XLOOKUP($J4,'Sweetener Mix In Nutrition'!A:A,'Sweetener Mix In Nutrition'!C:C,0))</f>
        <v>377.46618534482758</v>
      </c>
      <c r="AG4" s="38">
        <f>$AF4 / (_xlfn.XLOOKUP($K4,Specs!A:A,Specs!B:B,0))</f>
        <v>0.21052213348847049</v>
      </c>
      <c r="AH4" s="54">
        <f>60* ($AC4 / _xlfn.XLOOKUP($K4,Specs!$A:$A,Specs!$B:$B,0))</f>
        <v>152.95439352270327</v>
      </c>
      <c r="AI4" s="37">
        <f>60* (AD4 / _xlfn.XLOOKUP($K4,Specs!$A:$A,Specs!$B:$B,0))</f>
        <v>8.3713082485528023</v>
      </c>
      <c r="AJ4" s="37">
        <f>60* (AF4 / _xlfn.XLOOKUP($K4,Specs!$A:$A,Specs!$B:$B,0))</f>
        <v>12.631328009308229</v>
      </c>
      <c r="AK4" s="39">
        <f>(($Q4 / 240) * _xlfn.XLOOKUP($B4,'Milk Types Nutrition Per Cup'!A:A,'Milk Types Nutrition Per Cup'!F:F,0)) +(($R4 / 240)  * _xlfn.XLOOKUP($C4,'Milk Types Nutrition Per Cup'!A:A,'Milk Types Nutrition Per Cup'!F:F,0)) +(($T4 / 15)  * _xlfn.XLOOKUP($D4,'Liquid Mix In Nutrition'!A:A,'Liquid Mix In Nutrition'!F:F,0))+(($U4 / 15)  * _xlfn.XLOOKUP($E4,'Liquid Mix In Nutrition'!A:A,'Liquid Mix In Nutrition'!F:F,0))+(($V4 / MAX(1, _xlfn.XLOOKUP($F4,'Solid Mix In Nutrition'!A:A,'Solid Mix In Nutrition'!I:I,1)))  * _xlfn.XLOOKUP($F4,'Solid Mix In Nutrition'!A:A,'Solid Mix In Nutrition'!F:F,0))+(($W4 / MAX(1, _xlfn.XLOOKUP($G4,'Solid Mix In Nutrition'!A:A,'Solid Mix In Nutrition'!I:I,1)))  * _xlfn.XLOOKUP($G4,'Solid Mix In Nutrition'!A:A,'Solid Mix In Nutrition'!F:F,0))+(($Y4 / 100)  * _xlfn.XLOOKUP($I4,'Sweetener Mix In Nutrition'!A:A,'Sweetener Mix In Nutrition'!F:F,0))+(($Z4 / 100)  * _xlfn.XLOOKUP($J4,'Sweetener Mix In Nutrition'!A:A,'Sweetener Mix In Nutrition'!F:F,0))</f>
        <v>10.773707743371457</v>
      </c>
      <c r="AL4" s="40">
        <f>(AK4+Specs!$R$2+Specs!$S$2)*Specs!$N$2</f>
        <v>22.327415486742911</v>
      </c>
    </row>
    <row r="5" spans="1:38" x14ac:dyDescent="0.25">
      <c r="A5" s="52" t="s">
        <v>443</v>
      </c>
      <c r="B5" s="31" t="s">
        <v>62</v>
      </c>
      <c r="C5" s="31" t="s">
        <v>65</v>
      </c>
      <c r="D5" s="31" t="s">
        <v>0</v>
      </c>
      <c r="E5" s="31"/>
      <c r="F5" s="31" t="s">
        <v>415</v>
      </c>
      <c r="G5" s="31"/>
      <c r="H5" s="31"/>
      <c r="I5" s="31" t="s">
        <v>1</v>
      </c>
      <c r="J5" s="31"/>
      <c r="K5" s="30" t="s">
        <v>43</v>
      </c>
      <c r="L5" s="30" t="s">
        <v>450</v>
      </c>
      <c r="M5" s="30" t="s">
        <v>44</v>
      </c>
      <c r="N5" s="30" t="s">
        <v>156</v>
      </c>
      <c r="O5" s="30" t="s">
        <v>173</v>
      </c>
      <c r="P5" s="30" t="s">
        <v>44</v>
      </c>
      <c r="Q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Nutrition'!I:I,1)))*240))*0.66</f>
        <v>458.37</v>
      </c>
      <c r="R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Nutrition'!I:I,1)))*240))*0.33</f>
        <v>229.185</v>
      </c>
      <c r="S5" s="30">
        <f>Q5+R5</f>
        <v>687.55500000000006</v>
      </c>
      <c r="T5" s="30">
        <f>_xlfn.XLOOKUP($L5,Specs!$D:$D,Specs!$E:$E,0)*15*_xlfn.XLOOKUP($K5,Specs!$A:$A,Specs!$C:$C,0)</f>
        <v>15</v>
      </c>
      <c r="U5" s="30">
        <f>_xlfn.XLOOKUP($M5,Specs!$D:$D,Specs!$E:$E,0)*15*_xlfn.XLOOKUP($K5,Specs!$A:$A,Specs!$C:$C,0)</f>
        <v>0</v>
      </c>
      <c r="V5" s="30">
        <f>( ((_xlfn.XLOOKUP($N5,Specs!$H:$H,Specs!$I:$I,0)*_xlfn.XLOOKUP($K5,Specs!$A:$A,Specs!$B:$B,0))/240) *_xlfn.XLOOKUP($F5,'Solid Mix In Nutrition'!A:A,'Solid Mix In Nutrition'!I:I,0)) *IF(AND(NOT($G5=0), COUNTA($G5)),0.33,1)</f>
        <v>197.08333333333334</v>
      </c>
      <c r="W5" s="30">
        <f>( ((_xlfn.XLOOKUP($N5,Specs!$H:$H,Specs!$I:$I,0)*_xlfn.XLOOKUP($K5,Specs!$A:$A,Specs!$B:$B,0))/240) *_xlfn.XLOOKUP($G5,'Solid Mix In Nutrition'!A:A,'Solid Mix In Nutrition'!I:I,0)) *IF(AND(NOT($G5=0), COUNTA($G5)),0.33,0)</f>
        <v>0</v>
      </c>
      <c r="X5" s="30">
        <f>( ((_xlfn.XLOOKUP($N5,Specs!$H:$H,Specs!$I:$I,0)*_xlfn.XLOOKUP($K5,Specs!$A:$A,Specs!$B:$B,0))/240) *_xlfn.XLOOKUP($G5,'Solid Mix In Nutrition'!$A:$A,'Solid Mix In Nutrition'!$I:$I,0)) *IF(AND(NOT($H5=0), COUNTA($H5)),0.33,0)</f>
        <v>0</v>
      </c>
      <c r="Y5" s="30">
        <f>_xlfn.XLOOKUP($O5,Specs!F:F,Specs!G:G,0)*_xlfn.XLOOKUP($I5,'Sweetener Mix In Nutrition'!A:A,'Sweetener Mix In Nutrition'!I:I,0)*_xlfn.XLOOKUP($K5,Specs!A:A,Specs!C:C,0)</f>
        <v>100</v>
      </c>
      <c r="Z5" s="30">
        <f>_xlfn.XLOOKUP($P5,Specs!F:F,Specs!G:G,0)*_xlfn.XLOOKUP($J5,'Sweetener Mix In Nutrition'!A:A,'Sweetener Mix In Nutrition'!I:I,0)*_xlfn.XLOOKUP($K5,Specs!A:A,Specs!C:C,0)</f>
        <v>0</v>
      </c>
      <c r="AA5" s="34">
        <f>($Q5+$R5+$T5+$Y5+$Z5)*IF(ISNUMBER(SEARCH("Fat Free",$B5)),0.0036,0.0012)</f>
        <v>0.96306599999999998</v>
      </c>
      <c r="AB5" s="35">
        <f>CEILING(CONVERT(($Q5+$R5+$T5+$Y5+$Z5)*IF(ISNUMBER(SEARCH("Fat Free",$B5)),0.0036,0.0012),"ml","tsp"),0.25)</f>
        <v>0.25</v>
      </c>
      <c r="AC5" s="57">
        <f>(($Q5 / 240) * _xlfn.XLOOKUP($B5,'Milk Types Nutrition Per Cup'!A:A,'Milk Types Nutrition Per Cup'!B:B,0)) +(($R5 / 240)  * _xlfn.XLOOKUP($C5,'Milk Types Nutrition Per Cup'!A:A,'Milk Types Nutrition Per Cup'!B:B,0)) +(($T5 / 15)  * _xlfn.XLOOKUP($D5,'Liquid Mix In Nutrition'!A:A,'Liquid Mix In Nutrition'!B:B,0))+(($U5 / 15)  * _xlfn.XLOOKUP($E5,'Liquid Mix In Nutrition'!A:A,'Liquid Mix In Nutrition'!B:B,0))+(($V5 /MAX(1, _xlfn.XLOOKUP($F5,'Solid Mix In Nutrition'!A:A,'Solid Mix In Nutrition'!I:I,1)))  * _xlfn.XLOOKUP($F5,'Solid Mix In Nutrition'!A:A,'Solid Mix In Nutrition'!B:B,0))+(($W5 / MAX(1, _xlfn.XLOOKUP($G5,'Solid Mix In Nutrition'!A:A,'Solid Mix In Nutrition'!I:I,1))))+(($Y5 / 100)  * _xlfn.XLOOKUP($I5,'Sweetener Mix In Nutrition'!A:A,'Sweetener Mix In Nutrition'!B:B,0))+(($Z5 / 100)  * _xlfn.XLOOKUP($J5,'Sweetener Mix In Nutrition'!A:A,'Sweetener Mix In Nutrition'!B:B,0))</f>
        <v>2830.4522222222222</v>
      </c>
      <c r="AD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Nutrition'!E:E,0))+(($V5 / MAX(1, _xlfn.XLOOKUP($F5,'Solid Mix In Nutrition'!A:A,'Solid Mix In Nutrition'!I:I,1)))  * _xlfn.XLOOKUP($F5,'Solid Mix In Nutrition'!A:A,'Solid Mix In Nutrition'!E:E,0))+(($W5 / MAX(1, _xlfn.XLOOKUP($G5,'Solid Mix In Nutrition'!A:A,'Solid Mix In Nutrition'!I:I,1)))  * _xlfn.XLOOKUP($G5,'Solid Mix In Nutrition'!A:A,'Solid Mix In Nutrition'!G:G,0))+(($Y5 / 100)  * _xlfn.XLOOKUP($I5,'Sweetener Mix In Nutrition'!A:A,'Sweetener Mix In Nutrition'!E:E,0))+(($Z5 / 100)  * _xlfn.XLOOKUP($J5,'Sweetener Mix In Nutrition'!A:A,'Sweetener Mix In Nutrition'!E:E,0))</f>
        <v>219.12283333333335</v>
      </c>
      <c r="AE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Nutrition'!E:E,0))+(($Y5 / 100)  * _xlfn.XLOOKUP($I5,'Sweetener Mix In Nutrition'!A:A,'Sweetener Mix In Nutrition'!E:E,0))+(($Z5 / 100)  * _xlfn.XLOOKUP($J5,'Sweetener Mix In Nutrition'!A:A,'Sweetener Mix In Nutrition'!E:E,0))</f>
        <v>116.6395</v>
      </c>
      <c r="AF5" s="37">
        <f>(($Q5 / 240) * _xlfn.XLOOKUP($B5,'Milk Types Nutrition Per Cup'!A:A,'Milk Types Nutrition Per Cup'!C:C,0)) +(($R5 / 240)  * _xlfn.XLOOKUP($C5,'Milk Types Nutrition Per Cup'!A:A,'Milk Types Nutrition Per Cup'!C:C,0)) +(($T5 / 15)  * _xlfn.XLOOKUP($D5,'Liquid Mix In Nutrition'!A:A,'Liquid Mix In Nutrition'!C:C,0))+(($U5 / 15)  * _xlfn.XLOOKUP($E5,'Liquid Mix In Nutrition'!A:A,'Liquid Mix In Nutrition'!C:C,0))+(($V5 / MAX(1, _xlfn.XLOOKUP($F5,'Solid Mix In Nutrition'!A:A,'Solid Mix In Nutrition'!I:I,1)))  * _xlfn.XLOOKUP($F5,'Solid Mix In Nutrition'!A:A,'Solid Mix In Nutrition'!C:C,0))+(($W5 / MAX(1, _xlfn.XLOOKUP($G5,'Solid Mix In Nutrition'!A:A,'Solid Mix In Nutrition'!I:I,1)))  * _xlfn.XLOOKUP($G5,'Solid Mix In Nutrition'!A:A,'Solid Mix In Nutrition'!C:C,0))+(($Y5 / 100)  * _xlfn.XLOOKUP($I5,'Sweetener Mix In Nutrition'!A:A,'Sweetener Mix In Nutrition'!C:C,0))+(($Z5 / 100)  * _xlfn.XLOOKUP($J5,'Sweetener Mix In Nutrition'!A:A,'Sweetener Mix In Nutrition'!C:C,0))</f>
        <v>210.08625000000001</v>
      </c>
      <c r="AG5" s="38">
        <f>$AF5 / (_xlfn.XLOOKUP($K5,Specs!A:A,Specs!B:B,0))</f>
        <v>0.22207848837209304</v>
      </c>
      <c r="AH5" s="54">
        <f>60* ($AC5 / _xlfn.XLOOKUP($K5,Specs!$A:$A,Specs!$B:$B,0))</f>
        <v>179.52128259337562</v>
      </c>
      <c r="AI5" s="37">
        <f>60* (AD5 / _xlfn.XLOOKUP($K5,Specs!$A:$A,Specs!$B:$B,0))</f>
        <v>13.897854122621565</v>
      </c>
      <c r="AJ5" s="37">
        <f>60* (AF5 / _xlfn.XLOOKUP($K5,Specs!$A:$A,Specs!$B:$B,0))</f>
        <v>13.324709302325582</v>
      </c>
      <c r="AK5" s="39">
        <f>(($Q5 / 240) * _xlfn.XLOOKUP($B5,'Milk Types Nutrition Per Cup'!A:A,'Milk Types Nutrition Per Cup'!F:F,0)) +(($R5 / 240)  * _xlfn.XLOOKUP($C5,'Milk Types Nutrition Per Cup'!A:A,'Milk Types Nutrition Per Cup'!F:F,0)) +(($T5 / 15)  * _xlfn.XLOOKUP($D5,'Liquid Mix In Nutrition'!A:A,'Liquid Mix In Nutrition'!F:F,0))+(($U5 / 15)  * _xlfn.XLOOKUP($E5,'Liquid Mix In Nutrition'!A:A,'Liquid Mix In Nutrition'!F:F,0))+(($V5 / MAX(1, _xlfn.XLOOKUP($F5,'Solid Mix In Nutrition'!A:A,'Solid Mix In Nutrition'!I:I,1)))  * _xlfn.XLOOKUP($F5,'Solid Mix In Nutrition'!A:A,'Solid Mix In Nutrition'!F:F,0))+(($W5 / MAX(1, _xlfn.XLOOKUP($G5,'Solid Mix In Nutrition'!A:A,'Solid Mix In Nutrition'!I:I,1)))  * _xlfn.XLOOKUP($G5,'Solid Mix In Nutrition'!A:A,'Solid Mix In Nutrition'!F:F,0))+(($Y5 / 100)  * _xlfn.XLOOKUP($I5,'Sweetener Mix In Nutrition'!A:A,'Sweetener Mix In Nutrition'!F:F,0))+(($Z5 / 100)  * _xlfn.XLOOKUP($J5,'Sweetener Mix In Nutrition'!A:A,'Sweetener Mix In Nutrition'!F:F,0))</f>
        <v>5.1525348076790172</v>
      </c>
      <c r="AL5" s="40">
        <f>(AK5+Specs!$R$2+Specs!$S$2)*Specs!$N$2</f>
        <v>11.085069615358034</v>
      </c>
    </row>
    <row r="6" spans="1:38" x14ac:dyDescent="0.25">
      <c r="A6" s="30"/>
      <c r="B6" s="31"/>
      <c r="C6" s="31"/>
      <c r="D6" s="31"/>
      <c r="E6" s="31"/>
      <c r="F6" s="31"/>
      <c r="G6" s="31"/>
      <c r="H6" s="31"/>
      <c r="I6" s="31"/>
      <c r="J6" s="31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4"/>
      <c r="AB6" s="35"/>
      <c r="AC6" s="57"/>
      <c r="AD6" s="36"/>
      <c r="AE6" s="36"/>
      <c r="AF6" s="37"/>
      <c r="AG6" s="38"/>
      <c r="AH6" s="54"/>
      <c r="AI6" s="37"/>
      <c r="AJ6" s="37"/>
      <c r="AK6" s="39">
        <f>SUM(AK2:AK4)</f>
        <v>27.06088844940648</v>
      </c>
      <c r="AL6" s="40"/>
    </row>
    <row r="7" spans="1:38" x14ac:dyDescent="0.25">
      <c r="A7" s="30"/>
      <c r="B7" s="31"/>
      <c r="C7" s="31"/>
      <c r="D7" s="31"/>
      <c r="E7" s="31"/>
      <c r="F7" s="31"/>
      <c r="G7" s="31"/>
      <c r="H7" s="31"/>
      <c r="I7" s="31"/>
      <c r="J7" s="31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4"/>
      <c r="AB7" s="35"/>
      <c r="AC7" s="57"/>
      <c r="AD7" s="36"/>
      <c r="AE7" s="36"/>
      <c r="AF7" s="37"/>
      <c r="AG7" s="38"/>
      <c r="AH7" s="54"/>
      <c r="AI7" s="37"/>
      <c r="AJ7" s="37"/>
      <c r="AK7" s="39"/>
      <c r="AL7" s="40"/>
    </row>
    <row r="8" spans="1:38" x14ac:dyDescent="0.25">
      <c r="A8" s="42"/>
      <c r="B8" s="31"/>
      <c r="C8" s="31"/>
      <c r="D8" s="31"/>
      <c r="E8" s="31"/>
      <c r="F8" s="31"/>
      <c r="G8" s="31"/>
      <c r="H8" s="31"/>
      <c r="I8" s="31"/>
      <c r="J8" s="31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4"/>
      <c r="AB8" s="35"/>
      <c r="AC8" s="57"/>
      <c r="AD8" s="36"/>
      <c r="AE8" s="36"/>
      <c r="AF8" s="37"/>
      <c r="AG8" s="38"/>
      <c r="AH8" s="54"/>
      <c r="AI8" s="37"/>
      <c r="AJ8" s="37"/>
      <c r="AK8" s="39"/>
      <c r="AL8" s="40"/>
    </row>
    <row r="9" spans="1:38" x14ac:dyDescent="0.25">
      <c r="A9" s="42"/>
      <c r="B9" s="31"/>
      <c r="C9" s="31"/>
      <c r="D9" s="31"/>
      <c r="E9" s="31"/>
      <c r="F9" s="31"/>
      <c r="G9" s="31"/>
      <c r="H9" s="31"/>
      <c r="I9" s="31"/>
      <c r="J9" s="31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4"/>
      <c r="AB9" s="35"/>
      <c r="AC9" s="57"/>
      <c r="AD9" s="36"/>
      <c r="AE9" s="36"/>
      <c r="AF9" s="37"/>
      <c r="AG9" s="38"/>
      <c r="AH9" s="54"/>
      <c r="AI9" s="37"/>
      <c r="AJ9" s="37"/>
      <c r="AK9" s="39"/>
      <c r="AL9" s="40"/>
    </row>
    <row r="10" spans="1:38" x14ac:dyDescent="0.25">
      <c r="A10" s="30"/>
      <c r="B10" s="31"/>
      <c r="C10" s="31"/>
      <c r="D10" s="31"/>
      <c r="E10" s="31"/>
      <c r="F10" s="31"/>
      <c r="G10" s="31"/>
      <c r="H10" s="31"/>
      <c r="I10" s="31"/>
      <c r="J10" s="31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4"/>
      <c r="AB10" s="35"/>
      <c r="AC10" s="57"/>
      <c r="AD10" s="36"/>
      <c r="AE10" s="36"/>
      <c r="AF10" s="37"/>
      <c r="AG10" s="38"/>
      <c r="AH10" s="54"/>
      <c r="AI10" s="37"/>
      <c r="AJ10" s="37"/>
      <c r="AK10" s="39"/>
      <c r="AL10" s="40"/>
    </row>
    <row r="11" spans="1:38" x14ac:dyDescent="0.25">
      <c r="A11" s="30"/>
      <c r="B11" s="31"/>
      <c r="C11" s="31"/>
      <c r="D11" s="31"/>
      <c r="E11" s="31"/>
      <c r="F11" s="31"/>
      <c r="G11" s="31"/>
      <c r="H11" s="31"/>
      <c r="I11" s="31"/>
      <c r="J11" s="31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4"/>
      <c r="AB11" s="35"/>
      <c r="AC11" s="57"/>
      <c r="AD11" s="36"/>
      <c r="AE11" s="36"/>
      <c r="AF11" s="37"/>
      <c r="AG11" s="38"/>
      <c r="AH11" s="54"/>
      <c r="AI11" s="37"/>
      <c r="AJ11" s="37"/>
      <c r="AK11" s="39"/>
      <c r="AL11" s="40"/>
    </row>
    <row r="12" spans="1:38" x14ac:dyDescent="0.25">
      <c r="A12" s="41"/>
      <c r="B12" s="31"/>
      <c r="C12" s="31"/>
      <c r="D12" s="31"/>
      <c r="E12" s="31"/>
      <c r="F12" s="31"/>
      <c r="G12" s="31"/>
      <c r="H12" s="31"/>
      <c r="I12" s="31"/>
      <c r="J12" s="31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4"/>
      <c r="AB12" s="35"/>
      <c r="AC12" s="57"/>
      <c r="AD12" s="36"/>
      <c r="AE12" s="36"/>
      <c r="AF12" s="37"/>
      <c r="AG12" s="38"/>
      <c r="AH12" s="54"/>
      <c r="AI12" s="37"/>
      <c r="AJ12" s="37"/>
      <c r="AK12" s="39"/>
      <c r="AL12" s="40"/>
    </row>
    <row r="13" spans="1:38" x14ac:dyDescent="0.25">
      <c r="A13" s="41"/>
      <c r="B13" s="31"/>
      <c r="C13" s="31"/>
      <c r="D13" s="31"/>
      <c r="E13" s="31"/>
      <c r="F13" s="31"/>
      <c r="G13" s="31"/>
      <c r="H13" s="31"/>
      <c r="I13" s="31"/>
      <c r="J13" s="31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4"/>
      <c r="AB13" s="35"/>
      <c r="AC13" s="57"/>
      <c r="AD13" s="36"/>
      <c r="AE13" s="36"/>
      <c r="AF13" s="37"/>
      <c r="AG13" s="38"/>
      <c r="AH13" s="54"/>
      <c r="AI13" s="37"/>
      <c r="AJ13" s="37"/>
      <c r="AK13" s="39"/>
      <c r="AL13" s="40"/>
    </row>
    <row r="14" spans="1:38" x14ac:dyDescent="0.25">
      <c r="A14" s="30"/>
      <c r="B14" s="31"/>
      <c r="C14" s="31"/>
      <c r="D14" s="31"/>
      <c r="E14" s="31"/>
      <c r="F14" s="31"/>
      <c r="G14" s="31"/>
      <c r="H14" s="31"/>
      <c r="I14" s="31"/>
      <c r="J14" s="31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4"/>
      <c r="AB14" s="35"/>
      <c r="AC14" s="57"/>
      <c r="AD14" s="36"/>
      <c r="AE14" s="36"/>
      <c r="AF14" s="37"/>
      <c r="AG14" s="38"/>
      <c r="AH14" s="54"/>
      <c r="AI14" s="37"/>
      <c r="AJ14" s="37"/>
      <c r="AK14" s="39"/>
      <c r="AL14" s="40"/>
    </row>
    <row r="15" spans="1:38" x14ac:dyDescent="0.25">
      <c r="A15" s="42"/>
      <c r="B15" s="31"/>
      <c r="C15" s="31"/>
      <c r="D15" s="31"/>
      <c r="E15" s="31"/>
      <c r="F15" s="31"/>
      <c r="G15" s="31"/>
      <c r="H15" s="31"/>
      <c r="I15" s="31"/>
      <c r="J15" s="31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4"/>
      <c r="AB15" s="35"/>
      <c r="AC15" s="57"/>
      <c r="AD15" s="36"/>
      <c r="AE15" s="36"/>
      <c r="AF15" s="37"/>
      <c r="AG15" s="38"/>
      <c r="AH15" s="54"/>
      <c r="AI15" s="37"/>
      <c r="AJ15" s="37"/>
      <c r="AK15" s="39"/>
      <c r="AL15" s="40"/>
    </row>
    <row r="16" spans="1:38" x14ac:dyDescent="0.25">
      <c r="A16" s="42"/>
      <c r="B16" s="31"/>
      <c r="C16" s="31"/>
      <c r="D16" s="31"/>
      <c r="E16" s="31"/>
      <c r="F16" s="31"/>
      <c r="G16" s="31"/>
      <c r="H16" s="31"/>
      <c r="I16" s="31"/>
      <c r="J16" s="31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4"/>
      <c r="AB16" s="35"/>
      <c r="AC16" s="57"/>
      <c r="AD16" s="36"/>
      <c r="AE16" s="36"/>
      <c r="AF16" s="37"/>
      <c r="AG16" s="38"/>
      <c r="AH16" s="54"/>
      <c r="AI16" s="37"/>
      <c r="AJ16" s="37"/>
      <c r="AK16" s="39"/>
      <c r="AL16" s="40"/>
    </row>
    <row r="17" spans="1:38" x14ac:dyDescent="0.25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4"/>
      <c r="AB17" s="35"/>
      <c r="AC17" s="57"/>
      <c r="AD17" s="36"/>
      <c r="AE17" s="36"/>
      <c r="AF17" s="37"/>
      <c r="AG17" s="38"/>
      <c r="AH17" s="54"/>
      <c r="AI17" s="37"/>
      <c r="AJ17" s="37"/>
      <c r="AK17" s="39"/>
      <c r="AL17" s="40"/>
    </row>
    <row r="18" spans="1:38" x14ac:dyDescent="0.25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4"/>
      <c r="AB18" s="35"/>
      <c r="AC18" s="57"/>
      <c r="AD18" s="36"/>
      <c r="AE18" s="36"/>
      <c r="AF18" s="37"/>
      <c r="AG18" s="38"/>
      <c r="AH18" s="54"/>
      <c r="AI18" s="37"/>
      <c r="AJ18" s="37"/>
      <c r="AK18" s="39"/>
      <c r="AL18" s="40"/>
    </row>
    <row r="19" spans="1:38" x14ac:dyDescent="0.25">
      <c r="A19" s="30"/>
      <c r="B19" s="31"/>
      <c r="C19" s="31"/>
      <c r="D19" s="31"/>
      <c r="E19" s="31"/>
      <c r="F19" s="31"/>
      <c r="G19" s="31"/>
      <c r="H19" s="31"/>
      <c r="I19" s="31"/>
      <c r="J19" s="31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4"/>
      <c r="AB19" s="35"/>
      <c r="AC19" s="57"/>
      <c r="AD19" s="36"/>
      <c r="AE19" s="36"/>
      <c r="AF19" s="37"/>
      <c r="AG19" s="38"/>
      <c r="AH19" s="54"/>
      <c r="AI19" s="37"/>
      <c r="AJ19" s="37"/>
      <c r="AK19" s="39"/>
      <c r="AL19" s="40"/>
    </row>
    <row r="20" spans="1:38" x14ac:dyDescent="0.25">
      <c r="A20" s="30"/>
      <c r="B20" s="31"/>
      <c r="C20" s="31"/>
      <c r="D20" s="31"/>
      <c r="E20" s="31"/>
      <c r="F20" s="31"/>
      <c r="G20" s="31"/>
      <c r="H20" s="31"/>
      <c r="I20" s="31"/>
      <c r="J20" s="31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4"/>
      <c r="AB20" s="35"/>
      <c r="AC20" s="57"/>
      <c r="AD20" s="36"/>
      <c r="AE20" s="36"/>
      <c r="AF20" s="37"/>
      <c r="AG20" s="38"/>
      <c r="AH20" s="54"/>
      <c r="AI20" s="37"/>
      <c r="AJ20" s="37"/>
      <c r="AK20" s="39"/>
      <c r="AL20" s="40"/>
    </row>
    <row r="21" spans="1:38" x14ac:dyDescent="0.25">
      <c r="A21" s="30"/>
      <c r="B21" s="31"/>
      <c r="C21" s="31"/>
      <c r="D21" s="31"/>
      <c r="E21" s="31"/>
      <c r="F21" s="31"/>
      <c r="G21" s="31"/>
      <c r="H21" s="31"/>
      <c r="I21" s="31"/>
      <c r="J21" s="31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4"/>
      <c r="AB21" s="35"/>
      <c r="AC21" s="57"/>
      <c r="AD21" s="36"/>
      <c r="AE21" s="36"/>
      <c r="AF21" s="37"/>
      <c r="AG21" s="38"/>
      <c r="AH21" s="54"/>
      <c r="AI21" s="37"/>
      <c r="AJ21" s="37"/>
      <c r="AK21" s="39"/>
      <c r="AL21" s="40"/>
    </row>
    <row r="22" spans="1:38" x14ac:dyDescent="0.25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4"/>
      <c r="AB22" s="35"/>
      <c r="AC22" s="57"/>
      <c r="AD22" s="36"/>
      <c r="AE22" s="36"/>
      <c r="AF22" s="37"/>
      <c r="AG22" s="38"/>
      <c r="AH22" s="54"/>
      <c r="AI22" s="37"/>
      <c r="AJ22" s="37"/>
      <c r="AK22" s="39"/>
      <c r="AL22" s="40"/>
    </row>
    <row r="23" spans="1:38" x14ac:dyDescent="0.25">
      <c r="A23" s="30"/>
      <c r="B23" s="31"/>
      <c r="C23" s="31"/>
      <c r="D23" s="31"/>
      <c r="E23" s="31"/>
      <c r="F23" s="31"/>
      <c r="G23" s="31"/>
      <c r="H23" s="31"/>
      <c r="I23" s="31"/>
      <c r="J23" s="31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4"/>
      <c r="AB23" s="35"/>
      <c r="AC23" s="57"/>
      <c r="AD23" s="36"/>
      <c r="AE23" s="36"/>
      <c r="AF23" s="37"/>
      <c r="AG23" s="38"/>
      <c r="AH23" s="54"/>
      <c r="AI23" s="37"/>
      <c r="AJ23" s="37"/>
      <c r="AK23" s="39"/>
      <c r="AL23" s="40"/>
    </row>
    <row r="24" spans="1:38" x14ac:dyDescent="0.25">
      <c r="A24" s="30"/>
      <c r="B24" s="31"/>
      <c r="C24" s="31"/>
      <c r="D24" s="31"/>
      <c r="E24" s="31"/>
      <c r="F24" s="31"/>
      <c r="G24" s="31"/>
      <c r="H24" s="31"/>
      <c r="I24" s="31"/>
      <c r="J24" s="31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4"/>
      <c r="AB24" s="35"/>
      <c r="AC24" s="57"/>
      <c r="AD24" s="36"/>
      <c r="AE24" s="36"/>
      <c r="AF24" s="37"/>
      <c r="AG24" s="38"/>
      <c r="AH24" s="54"/>
      <c r="AI24" s="37"/>
      <c r="AJ24" s="37"/>
      <c r="AK24" s="39"/>
      <c r="AL24" s="40"/>
    </row>
    <row r="25" spans="1:38" x14ac:dyDescent="0.25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4"/>
      <c r="AB25" s="35"/>
      <c r="AC25" s="57"/>
      <c r="AD25" s="36"/>
      <c r="AE25" s="36"/>
      <c r="AF25" s="37"/>
      <c r="AG25" s="38"/>
      <c r="AH25" s="54"/>
      <c r="AI25" s="37"/>
      <c r="AJ25" s="37"/>
      <c r="AK25" s="39"/>
      <c r="AL25" s="40"/>
    </row>
    <row r="26" spans="1:38" x14ac:dyDescent="0.25">
      <c r="A26" s="30"/>
      <c r="B26" s="31"/>
      <c r="C26" s="31"/>
      <c r="D26" s="31"/>
      <c r="E26" s="31"/>
      <c r="F26" s="31"/>
      <c r="G26" s="31"/>
      <c r="H26" s="31"/>
      <c r="I26" s="31"/>
      <c r="J26" s="31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4"/>
      <c r="AB26" s="35"/>
      <c r="AC26" s="57"/>
      <c r="AD26" s="36"/>
      <c r="AE26" s="36"/>
      <c r="AF26" s="37"/>
      <c r="AG26" s="38"/>
      <c r="AH26" s="54"/>
      <c r="AI26" s="37"/>
      <c r="AJ26" s="37"/>
      <c r="AK26" s="39"/>
      <c r="AL26" s="40"/>
    </row>
    <row r="27" spans="1:38" x14ac:dyDescent="0.25">
      <c r="A27" s="41"/>
      <c r="B27" s="31"/>
      <c r="C27" s="31"/>
      <c r="D27" s="31"/>
      <c r="E27" s="31"/>
      <c r="F27" s="31"/>
      <c r="G27" s="31"/>
      <c r="H27" s="31"/>
      <c r="I27" s="31"/>
      <c r="J27" s="31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4"/>
      <c r="AB27" s="35"/>
      <c r="AC27" s="57"/>
      <c r="AD27" s="36"/>
      <c r="AE27" s="36"/>
      <c r="AF27" s="37"/>
      <c r="AG27" s="38"/>
      <c r="AH27" s="54"/>
      <c r="AI27" s="37"/>
      <c r="AJ27" s="37"/>
      <c r="AK27" s="39"/>
      <c r="AL27" s="40"/>
    </row>
    <row r="28" spans="1:38" x14ac:dyDescent="0.25">
      <c r="A28" s="30"/>
      <c r="B28" s="31"/>
      <c r="C28" s="31"/>
      <c r="D28" s="31"/>
      <c r="E28" s="31"/>
      <c r="F28" s="31"/>
      <c r="G28" s="31"/>
      <c r="H28" s="31"/>
      <c r="I28" s="31"/>
      <c r="J28" s="31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4"/>
      <c r="AB28" s="35"/>
      <c r="AC28" s="57"/>
      <c r="AD28" s="36"/>
      <c r="AE28" s="36"/>
      <c r="AF28" s="37"/>
      <c r="AG28" s="38"/>
      <c r="AH28" s="54"/>
      <c r="AI28" s="37"/>
      <c r="AJ28" s="37"/>
      <c r="AK28" s="39"/>
      <c r="AL28" s="40"/>
    </row>
    <row r="29" spans="1:38" x14ac:dyDescent="0.25">
      <c r="A29" s="30"/>
      <c r="B29" s="31"/>
      <c r="C29" s="31"/>
      <c r="D29" s="31"/>
      <c r="E29" s="31"/>
      <c r="F29" s="31"/>
      <c r="G29" s="31"/>
      <c r="H29" s="31"/>
      <c r="I29" s="31"/>
      <c r="J29" s="31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4"/>
      <c r="AB29" s="35"/>
      <c r="AC29" s="57"/>
      <c r="AD29" s="36"/>
      <c r="AE29" s="36"/>
      <c r="AF29" s="37"/>
      <c r="AG29" s="38"/>
      <c r="AH29" s="54"/>
      <c r="AI29" s="37"/>
      <c r="AJ29" s="37"/>
      <c r="AK29" s="39"/>
      <c r="AL29" s="40"/>
    </row>
    <row r="30" spans="1:38" x14ac:dyDescent="0.25">
      <c r="A30" s="30"/>
      <c r="B30" s="31"/>
      <c r="C30" s="31"/>
      <c r="D30" s="31"/>
      <c r="E30" s="31"/>
      <c r="F30" s="31"/>
      <c r="G30" s="31"/>
      <c r="H30" s="31"/>
      <c r="I30" s="31"/>
      <c r="J30" s="31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4"/>
      <c r="AB30" s="35"/>
      <c r="AC30" s="57"/>
      <c r="AD30" s="36"/>
      <c r="AE30" s="36"/>
      <c r="AF30" s="37"/>
      <c r="AG30" s="38"/>
      <c r="AH30" s="54"/>
      <c r="AI30" s="37"/>
      <c r="AJ30" s="37"/>
      <c r="AK30" s="39"/>
      <c r="AL30" s="40"/>
    </row>
    <row r="31" spans="1:38" x14ac:dyDescent="0.25">
      <c r="A31" s="42"/>
      <c r="B31" s="31"/>
      <c r="C31" s="31"/>
      <c r="D31" s="31"/>
      <c r="E31" s="31"/>
      <c r="F31" s="31"/>
      <c r="G31" s="31"/>
      <c r="H31" s="31"/>
      <c r="I31" s="31"/>
      <c r="J31" s="31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4"/>
      <c r="AB31" s="35"/>
      <c r="AC31" s="57"/>
      <c r="AD31" s="36"/>
      <c r="AE31" s="36"/>
      <c r="AF31" s="37"/>
      <c r="AG31" s="38"/>
      <c r="AH31" s="54"/>
      <c r="AI31" s="37"/>
      <c r="AJ31" s="37"/>
      <c r="AK31" s="39"/>
      <c r="AL31" s="40"/>
    </row>
    <row r="32" spans="1:38" x14ac:dyDescent="0.25">
      <c r="A32" s="42"/>
      <c r="B32" s="31"/>
      <c r="C32" s="31"/>
      <c r="D32" s="31"/>
      <c r="E32" s="31"/>
      <c r="F32" s="31"/>
      <c r="G32" s="31"/>
      <c r="H32" s="31"/>
      <c r="I32" s="31"/>
      <c r="J32" s="31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4"/>
      <c r="AB32" s="35"/>
      <c r="AC32" s="57"/>
      <c r="AD32" s="36"/>
      <c r="AE32" s="36"/>
      <c r="AF32" s="37"/>
      <c r="AG32" s="38"/>
      <c r="AH32" s="54"/>
      <c r="AI32" s="37"/>
      <c r="AJ32" s="37"/>
      <c r="AK32" s="39"/>
      <c r="AL32" s="40"/>
    </row>
    <row r="33" spans="1:38" x14ac:dyDescent="0.25">
      <c r="A33" s="42"/>
      <c r="B33" s="31"/>
      <c r="C33" s="31"/>
      <c r="D33" s="31"/>
      <c r="E33" s="31"/>
      <c r="F33" s="31"/>
      <c r="G33" s="31"/>
      <c r="H33" s="31"/>
      <c r="I33" s="31"/>
      <c r="J33" s="31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4"/>
      <c r="AB33" s="35"/>
      <c r="AC33" s="57"/>
      <c r="AD33" s="36"/>
      <c r="AE33" s="36"/>
      <c r="AF33" s="37"/>
      <c r="AG33" s="38"/>
      <c r="AH33" s="54"/>
      <c r="AI33" s="37"/>
      <c r="AJ33" s="37"/>
      <c r="AK33" s="39"/>
      <c r="AL33" s="40"/>
    </row>
    <row r="34" spans="1:38" x14ac:dyDescent="0.25">
      <c r="A34" s="42"/>
      <c r="B34" s="31"/>
      <c r="C34" s="31"/>
      <c r="D34" s="31"/>
      <c r="E34" s="31"/>
      <c r="F34" s="31"/>
      <c r="G34" s="31"/>
      <c r="H34" s="31"/>
      <c r="I34" s="31"/>
      <c r="J34" s="31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4"/>
      <c r="AB34" s="35"/>
      <c r="AC34" s="57"/>
      <c r="AD34" s="36"/>
      <c r="AE34" s="36"/>
      <c r="AF34" s="37"/>
      <c r="AG34" s="38"/>
      <c r="AH34" s="54"/>
      <c r="AI34" s="37"/>
      <c r="AJ34" s="37"/>
      <c r="AK34" s="39"/>
      <c r="AL34" s="40"/>
    </row>
    <row r="35" spans="1:38" x14ac:dyDescent="0.25">
      <c r="A35" s="42"/>
      <c r="B35" s="31"/>
      <c r="C35" s="31"/>
      <c r="D35" s="31"/>
      <c r="E35" s="31"/>
      <c r="F35" s="31"/>
      <c r="G35" s="31"/>
      <c r="H35" s="31"/>
      <c r="I35" s="31"/>
      <c r="J35" s="31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4"/>
      <c r="AB35" s="35"/>
      <c r="AC35" s="57"/>
      <c r="AD35" s="36"/>
      <c r="AE35" s="36"/>
      <c r="AF35" s="37"/>
      <c r="AG35" s="38"/>
      <c r="AH35" s="54"/>
      <c r="AI35" s="37"/>
      <c r="AJ35" s="37"/>
      <c r="AK35" s="39"/>
      <c r="AL35" s="40"/>
    </row>
    <row r="36" spans="1:38" x14ac:dyDescent="0.25">
      <c r="A36" s="30"/>
      <c r="B36" s="31"/>
      <c r="C36" s="31"/>
      <c r="D36" s="31"/>
      <c r="E36" s="31"/>
      <c r="F36" s="31"/>
      <c r="G36" s="31"/>
      <c r="H36" s="31"/>
      <c r="I36" s="31"/>
      <c r="J36" s="31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4"/>
      <c r="AB36" s="35"/>
      <c r="AC36" s="57"/>
      <c r="AD36" s="36"/>
      <c r="AE36" s="36"/>
      <c r="AF36" s="37"/>
      <c r="AG36" s="38"/>
      <c r="AH36" s="54"/>
      <c r="AI36" s="37"/>
      <c r="AJ36" s="37"/>
      <c r="AK36" s="39"/>
      <c r="AL36" s="40"/>
    </row>
    <row r="37" spans="1:38" x14ac:dyDescent="0.25">
      <c r="A37" s="30"/>
      <c r="B37" s="31"/>
      <c r="C37" s="31"/>
      <c r="D37" s="31"/>
      <c r="E37" s="31"/>
      <c r="F37" s="31"/>
      <c r="G37" s="31"/>
      <c r="H37" s="31"/>
      <c r="I37" s="31"/>
      <c r="J37" s="31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4"/>
      <c r="AB37" s="35"/>
      <c r="AC37" s="57"/>
      <c r="AD37" s="36"/>
      <c r="AE37" s="36"/>
      <c r="AF37" s="37"/>
      <c r="AG37" s="38"/>
      <c r="AH37" s="54"/>
      <c r="AI37" s="37"/>
      <c r="AJ37" s="37"/>
      <c r="AK37" s="39"/>
      <c r="AL37" s="40"/>
    </row>
    <row r="38" spans="1:38" x14ac:dyDescent="0.25">
      <c r="A38" s="50"/>
      <c r="B38" s="31"/>
      <c r="C38" s="31"/>
      <c r="D38" s="31"/>
      <c r="E38" s="31"/>
      <c r="F38" s="31"/>
      <c r="G38" s="31"/>
      <c r="H38" s="31"/>
      <c r="I38" s="31"/>
      <c r="J38" s="31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4"/>
      <c r="AB38" s="35"/>
      <c r="AC38" s="57"/>
      <c r="AD38" s="36"/>
      <c r="AE38" s="36"/>
      <c r="AF38" s="37"/>
      <c r="AG38" s="38"/>
      <c r="AH38" s="54"/>
      <c r="AI38" s="37"/>
      <c r="AJ38" s="37"/>
      <c r="AK38" s="39"/>
      <c r="AL38" s="40"/>
    </row>
    <row r="39" spans="1:38" x14ac:dyDescent="0.25">
      <c r="A39" s="52"/>
      <c r="B39" s="31"/>
      <c r="C39" s="31"/>
      <c r="D39" s="31"/>
      <c r="E39" s="31"/>
      <c r="F39" s="31"/>
      <c r="G39" s="31"/>
      <c r="H39" s="31"/>
      <c r="I39" s="31"/>
      <c r="J39" s="31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4"/>
      <c r="AB39" s="35"/>
      <c r="AC39" s="57"/>
      <c r="AD39" s="36"/>
      <c r="AE39" s="36"/>
      <c r="AF39" s="37"/>
      <c r="AG39" s="38"/>
      <c r="AH39" s="54"/>
      <c r="AI39" s="37"/>
      <c r="AJ39" s="37"/>
      <c r="AK39" s="39"/>
      <c r="AL39" s="40"/>
    </row>
    <row r="40" spans="1:38" x14ac:dyDescent="0.25">
      <c r="A40" s="52"/>
      <c r="B40" s="31"/>
      <c r="C40" s="31"/>
      <c r="D40" s="31"/>
      <c r="E40" s="31"/>
      <c r="F40" s="31"/>
      <c r="G40" s="31"/>
      <c r="H40" s="31"/>
      <c r="I40" s="31"/>
      <c r="J40" s="31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4"/>
      <c r="AB40" s="35"/>
      <c r="AC40" s="57"/>
      <c r="AD40" s="36"/>
      <c r="AE40" s="36"/>
      <c r="AF40" s="37"/>
      <c r="AG40" s="38"/>
      <c r="AH40" s="54"/>
      <c r="AI40" s="37"/>
      <c r="AJ40" s="37"/>
      <c r="AK40" s="39"/>
      <c r="AL40" s="40"/>
    </row>
    <row r="41" spans="1:38" x14ac:dyDescent="0.25">
      <c r="A41" s="30"/>
      <c r="B41" s="31"/>
      <c r="C41" s="31"/>
      <c r="D41" s="31"/>
      <c r="E41" s="31"/>
      <c r="F41" s="31"/>
      <c r="G41" s="31"/>
      <c r="H41" s="31"/>
      <c r="I41" s="31"/>
      <c r="J41" s="31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4"/>
      <c r="AB41" s="35"/>
      <c r="AC41" s="57"/>
      <c r="AD41" s="36"/>
      <c r="AE41" s="36"/>
      <c r="AF41" s="37"/>
      <c r="AG41" s="38"/>
      <c r="AH41" s="54"/>
      <c r="AI41" s="37"/>
      <c r="AJ41" s="37"/>
      <c r="AK41" s="39"/>
      <c r="AL41" s="40"/>
    </row>
    <row r="42" spans="1:38" x14ac:dyDescent="0.25">
      <c r="A42" s="30"/>
      <c r="B42" s="31"/>
      <c r="C42" s="31"/>
      <c r="D42" s="31"/>
      <c r="E42" s="31"/>
      <c r="F42" s="31"/>
      <c r="G42" s="31"/>
      <c r="H42" s="31"/>
      <c r="I42" s="31"/>
      <c r="J42" s="31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4"/>
      <c r="AB42" s="35"/>
      <c r="AC42" s="57"/>
      <c r="AD42" s="36"/>
      <c r="AE42" s="36"/>
      <c r="AF42" s="37"/>
      <c r="AG42" s="38"/>
      <c r="AH42" s="54"/>
      <c r="AI42" s="37"/>
      <c r="AJ42" s="37"/>
      <c r="AK42" s="39"/>
      <c r="AL42" s="40"/>
    </row>
    <row r="43" spans="1:38" x14ac:dyDescent="0.25">
      <c r="A43" s="30"/>
      <c r="B43" s="31"/>
      <c r="C43" s="31"/>
      <c r="D43" s="31"/>
      <c r="E43" s="31"/>
      <c r="F43" s="31"/>
      <c r="G43" s="31"/>
      <c r="H43" s="31"/>
      <c r="I43" s="31"/>
      <c r="J43" s="31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4"/>
      <c r="AB43" s="35"/>
      <c r="AC43" s="57"/>
      <c r="AD43" s="36"/>
      <c r="AE43" s="36"/>
      <c r="AF43" s="37"/>
      <c r="AG43" s="38"/>
      <c r="AH43" s="54"/>
      <c r="AI43" s="37"/>
      <c r="AJ43" s="37"/>
      <c r="AK43" s="39"/>
      <c r="AL43" s="40"/>
    </row>
    <row r="44" spans="1:38" x14ac:dyDescent="0.25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4"/>
      <c r="AB44" s="35"/>
      <c r="AC44" s="57"/>
      <c r="AD44" s="36"/>
      <c r="AE44" s="36"/>
      <c r="AF44" s="37"/>
      <c r="AG44" s="38"/>
      <c r="AH44" s="54"/>
      <c r="AI44" s="37"/>
      <c r="AJ44" s="37"/>
      <c r="AK44" s="39"/>
      <c r="AL44" s="40"/>
    </row>
    <row r="45" spans="1:38" x14ac:dyDescent="0.25">
      <c r="A45" s="30"/>
      <c r="B45" s="31"/>
      <c r="C45" s="31"/>
      <c r="D45" s="31"/>
      <c r="E45" s="31"/>
      <c r="F45" s="31"/>
      <c r="G45" s="31"/>
      <c r="H45" s="31"/>
      <c r="I45" s="31"/>
      <c r="J45" s="31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4"/>
      <c r="AB45" s="35"/>
      <c r="AC45" s="57"/>
      <c r="AD45" s="36"/>
      <c r="AE45" s="36"/>
      <c r="AF45" s="37"/>
      <c r="AG45" s="38"/>
      <c r="AH45" s="54"/>
      <c r="AI45" s="37"/>
      <c r="AJ45" s="37"/>
      <c r="AK45" s="39"/>
      <c r="AL45" s="40"/>
    </row>
    <row r="46" spans="1:38" x14ac:dyDescent="0.25">
      <c r="A46" s="51"/>
      <c r="B46" s="31"/>
      <c r="C46" s="31"/>
      <c r="D46" s="31"/>
      <c r="E46" s="31"/>
      <c r="F46" s="31"/>
      <c r="G46" s="31"/>
      <c r="H46" s="31"/>
      <c r="I46" s="31"/>
      <c r="J46" s="31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4"/>
      <c r="AB46" s="35"/>
      <c r="AC46" s="57"/>
      <c r="AD46" s="36"/>
      <c r="AE46" s="36"/>
      <c r="AF46" s="37"/>
      <c r="AG46" s="38"/>
      <c r="AH46" s="54"/>
      <c r="AI46" s="37"/>
      <c r="AJ46" s="37"/>
      <c r="AK46" s="39"/>
      <c r="AL46" s="40"/>
    </row>
    <row r="47" spans="1:38" x14ac:dyDescent="0.25">
      <c r="A47" s="30"/>
      <c r="B47" s="31"/>
      <c r="C47" s="31"/>
      <c r="D47" s="31"/>
      <c r="E47" s="31"/>
      <c r="F47" s="31"/>
      <c r="G47" s="31"/>
      <c r="H47" s="31"/>
      <c r="I47" s="31"/>
      <c r="J47" s="31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4"/>
      <c r="AB47" s="35"/>
      <c r="AC47" s="57"/>
      <c r="AD47" s="36"/>
      <c r="AE47" s="36"/>
      <c r="AF47" s="37"/>
      <c r="AG47" s="38"/>
      <c r="AH47" s="54"/>
      <c r="AI47" s="37"/>
      <c r="AJ47" s="37"/>
      <c r="AK47" s="39"/>
      <c r="AL47" s="40"/>
    </row>
    <row r="48" spans="1:38" x14ac:dyDescent="0.25">
      <c r="A48" s="75"/>
      <c r="B48" s="31"/>
      <c r="C48" s="31"/>
      <c r="D48" s="31"/>
      <c r="E48" s="31"/>
      <c r="F48" s="31"/>
      <c r="G48" s="31"/>
      <c r="H48" s="31"/>
      <c r="I48" s="31"/>
      <c r="J48" s="31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4"/>
      <c r="AB48" s="35"/>
      <c r="AC48" s="57"/>
      <c r="AD48" s="36"/>
      <c r="AE48" s="36"/>
      <c r="AF48" s="37"/>
      <c r="AG48" s="38"/>
      <c r="AH48" s="54"/>
      <c r="AI48" s="37"/>
      <c r="AJ48" s="37"/>
      <c r="AK48" s="39"/>
      <c r="AL48" s="40"/>
    </row>
    <row r="49" spans="1:38" x14ac:dyDescent="0.25">
      <c r="A49" s="75"/>
      <c r="B49" s="31"/>
      <c r="C49" s="31"/>
      <c r="D49" s="31"/>
      <c r="E49" s="31"/>
      <c r="F49" s="31"/>
      <c r="G49" s="31"/>
      <c r="H49" s="31"/>
      <c r="I49" s="31"/>
      <c r="J49" s="31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4"/>
      <c r="AB49" s="35"/>
      <c r="AC49" s="57"/>
      <c r="AD49" s="36"/>
      <c r="AE49" s="36"/>
      <c r="AF49" s="37"/>
      <c r="AG49" s="38"/>
      <c r="AH49" s="54"/>
      <c r="AI49" s="37"/>
      <c r="AJ49" s="37"/>
      <c r="AK49" s="39"/>
      <c r="AL49" s="40"/>
    </row>
    <row r="50" spans="1:38" x14ac:dyDescent="0.25">
      <c r="A50" s="75"/>
      <c r="B50" s="31"/>
      <c r="C50" s="31"/>
      <c r="D50" s="31"/>
      <c r="E50" s="31"/>
      <c r="F50" s="31"/>
      <c r="G50" s="31"/>
      <c r="H50" s="31"/>
      <c r="I50" s="31"/>
      <c r="J50" s="31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4"/>
      <c r="AB50" s="35"/>
      <c r="AC50" s="57"/>
      <c r="AD50" s="36"/>
      <c r="AE50" s="36"/>
      <c r="AF50" s="37"/>
      <c r="AG50" s="38"/>
      <c r="AH50" s="54"/>
      <c r="AI50" s="37"/>
      <c r="AJ50" s="37"/>
      <c r="AK50" s="39"/>
      <c r="AL50" s="40"/>
    </row>
    <row r="51" spans="1:38" x14ac:dyDescent="0.25">
      <c r="A51" s="75"/>
      <c r="B51" s="31"/>
      <c r="C51" s="31"/>
      <c r="D51" s="31"/>
      <c r="E51" s="31"/>
      <c r="F51" s="31"/>
      <c r="G51" s="31"/>
      <c r="H51" s="31"/>
      <c r="I51" s="31"/>
      <c r="J51" s="31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4"/>
      <c r="AB51" s="35"/>
      <c r="AC51" s="57"/>
      <c r="AD51" s="36"/>
      <c r="AE51" s="36"/>
      <c r="AF51" s="37"/>
      <c r="AG51" s="38"/>
      <c r="AH51" s="54"/>
      <c r="AI51" s="37"/>
      <c r="AJ51" s="37"/>
      <c r="AK51" s="39"/>
      <c r="AL51" s="40"/>
    </row>
    <row r="52" spans="1:38" x14ac:dyDescent="0.25">
      <c r="A52" s="30"/>
      <c r="B52" s="31"/>
      <c r="C52" s="31"/>
      <c r="D52" s="31"/>
      <c r="E52" s="31"/>
      <c r="F52" s="31"/>
      <c r="G52" s="31"/>
      <c r="H52" s="31"/>
      <c r="I52" s="31"/>
      <c r="J52" s="31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4"/>
      <c r="AB52" s="35"/>
      <c r="AC52" s="57"/>
      <c r="AD52" s="36"/>
      <c r="AE52" s="36"/>
      <c r="AF52" s="37"/>
      <c r="AG52" s="38"/>
      <c r="AH52" s="54"/>
      <c r="AI52" s="37"/>
      <c r="AJ52" s="37"/>
      <c r="AK52" s="39"/>
      <c r="AL52" s="40"/>
    </row>
    <row r="54" spans="1:38" ht="16.5" customHeight="1" x14ac:dyDescent="0.25">
      <c r="A54" s="42"/>
      <c r="B54" s="31"/>
      <c r="C54" s="31"/>
      <c r="D54" s="31"/>
      <c r="E54" s="31"/>
      <c r="F54" s="31"/>
      <c r="G54" s="31"/>
      <c r="H54" s="31"/>
      <c r="I54" s="31"/>
      <c r="J54" s="31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4"/>
      <c r="AB54" s="35"/>
      <c r="AC54" s="57"/>
      <c r="AD54" s="36"/>
      <c r="AE54" s="36"/>
      <c r="AF54" s="37"/>
      <c r="AG54" s="38"/>
      <c r="AH54" s="54"/>
      <c r="AI54" s="37"/>
      <c r="AJ54" s="37"/>
      <c r="AK54" s="39"/>
      <c r="AL54" s="40"/>
    </row>
    <row r="55" spans="1:38" x14ac:dyDescent="0.25">
      <c r="B55" s="31"/>
    </row>
    <row r="56" spans="1:38" ht="16.5" customHeight="1" x14ac:dyDescent="0.25">
      <c r="A56" s="52"/>
      <c r="B56" s="31"/>
      <c r="C56" s="31"/>
      <c r="D56" s="31"/>
      <c r="E56" s="31"/>
      <c r="F56" s="31"/>
      <c r="G56" s="31"/>
      <c r="H56" s="31"/>
      <c r="I56" s="31"/>
      <c r="J56" s="31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4"/>
      <c r="AB56" s="35"/>
      <c r="AC56" s="57"/>
      <c r="AD56" s="36"/>
      <c r="AE56" s="36"/>
      <c r="AF56" s="37"/>
      <c r="AG56" s="38"/>
      <c r="AH56" s="54"/>
      <c r="AI56" s="37"/>
      <c r="AJ56" s="37"/>
      <c r="AK56" s="39"/>
      <c r="AL56" s="40"/>
    </row>
    <row r="58" spans="1:38" x14ac:dyDescent="0.25">
      <c r="A58" s="52"/>
      <c r="B58" s="31"/>
      <c r="C58" s="31"/>
      <c r="D58" s="31"/>
      <c r="E58" s="31"/>
      <c r="F58" s="31"/>
      <c r="G58" s="31"/>
      <c r="H58" s="31"/>
      <c r="I58" s="31"/>
      <c r="J58" s="31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4"/>
      <c r="AB58" s="35"/>
      <c r="AC58" s="57"/>
      <c r="AD58" s="36"/>
      <c r="AE58" s="36"/>
      <c r="AF58" s="37"/>
      <c r="AG58" s="38"/>
      <c r="AH58" s="54"/>
      <c r="AI58" s="37"/>
      <c r="AJ58" s="37"/>
      <c r="AK58" s="39"/>
      <c r="AL58" s="40"/>
    </row>
    <row r="59" spans="1:38" x14ac:dyDescent="0.25">
      <c r="A59" s="52"/>
      <c r="B59" s="31"/>
      <c r="C59" s="31"/>
      <c r="D59" s="31"/>
      <c r="E59" s="31"/>
      <c r="F59" s="31"/>
      <c r="G59" s="31"/>
      <c r="H59" s="31"/>
      <c r="I59" s="31"/>
      <c r="J59" s="31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4"/>
      <c r="AB59" s="35"/>
      <c r="AC59" s="57"/>
      <c r="AD59" s="36"/>
      <c r="AE59" s="36"/>
      <c r="AF59" s="37"/>
      <c r="AG59" s="38"/>
      <c r="AH59" s="54"/>
      <c r="AI59" s="37"/>
      <c r="AJ59" s="37"/>
      <c r="AK59" s="39"/>
      <c r="AL59" s="40"/>
    </row>
    <row r="60" spans="1:38" ht="21" customHeight="1" x14ac:dyDescent="0.25">
      <c r="A60" s="52"/>
      <c r="B60" s="31"/>
      <c r="C60" s="31"/>
      <c r="D60" s="31"/>
      <c r="E60" s="31"/>
      <c r="F60" s="31"/>
      <c r="G60" s="31"/>
      <c r="H60" s="31"/>
      <c r="I60" s="31"/>
      <c r="J60" s="31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4"/>
      <c r="AB60" s="35"/>
      <c r="AC60" s="57"/>
      <c r="AD60" s="36"/>
      <c r="AE60" s="36"/>
      <c r="AF60" s="37"/>
      <c r="AG60" s="38"/>
      <c r="AH60" s="54"/>
      <c r="AI60" s="37"/>
      <c r="AJ60" s="37"/>
      <c r="AK60" s="39"/>
      <c r="AL60" s="40"/>
    </row>
    <row r="61" spans="1:38" ht="21" customHeight="1" x14ac:dyDescent="0.25">
      <c r="A61" s="42"/>
      <c r="B61" s="31"/>
      <c r="C61" s="31"/>
      <c r="D61" s="31"/>
      <c r="E61" s="31"/>
      <c r="F61" s="31"/>
      <c r="G61" s="31"/>
      <c r="H61" s="31"/>
      <c r="I61" s="31"/>
      <c r="J61" s="31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4"/>
      <c r="AB61" s="35"/>
      <c r="AC61" s="57"/>
      <c r="AD61" s="36"/>
      <c r="AE61" s="36"/>
      <c r="AF61" s="37"/>
      <c r="AG61" s="38"/>
      <c r="AH61" s="54"/>
      <c r="AI61" s="37"/>
      <c r="AJ61" s="37"/>
      <c r="AK61" s="39"/>
      <c r="AL61" s="40"/>
    </row>
    <row r="62" spans="1:38" ht="21" customHeight="1" x14ac:dyDescent="0.25">
      <c r="A62" s="41"/>
      <c r="B62" s="31"/>
      <c r="C62" s="31"/>
      <c r="D62" s="31"/>
      <c r="E62" s="31"/>
      <c r="F62" s="31"/>
      <c r="G62" s="31"/>
      <c r="H62" s="31"/>
      <c r="I62" s="31"/>
      <c r="J62" s="31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4"/>
      <c r="AB62" s="35"/>
      <c r="AC62" s="57"/>
      <c r="AD62" s="36"/>
      <c r="AE62" s="36"/>
      <c r="AF62" s="37"/>
      <c r="AG62" s="38"/>
      <c r="AH62" s="54"/>
      <c r="AI62" s="37"/>
      <c r="AJ62" s="37"/>
      <c r="AK62" s="39"/>
      <c r="AL62" s="40"/>
    </row>
    <row r="63" spans="1:38" ht="21" customHeight="1" x14ac:dyDescent="0.25">
      <c r="A63" s="41"/>
      <c r="B63" s="31"/>
      <c r="C63" s="31"/>
      <c r="D63" s="31"/>
      <c r="E63" s="31"/>
      <c r="F63" s="31"/>
      <c r="G63" s="31"/>
      <c r="H63" s="31"/>
      <c r="I63" s="31"/>
      <c r="J63" s="31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4"/>
      <c r="AB63" s="35"/>
      <c r="AC63" s="57"/>
      <c r="AD63" s="36"/>
      <c r="AE63" s="36"/>
      <c r="AF63" s="37"/>
      <c r="AG63" s="38"/>
      <c r="AH63" s="54"/>
      <c r="AI63" s="37"/>
      <c r="AJ63" s="37"/>
      <c r="AK63" s="39"/>
      <c r="AL63" s="40"/>
    </row>
    <row r="64" spans="1:38" x14ac:dyDescent="0.25"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4"/>
      <c r="AB64" s="35"/>
      <c r="AC64" s="57"/>
      <c r="AD64" s="36"/>
      <c r="AE64" s="36"/>
      <c r="AF64" s="37"/>
      <c r="AG64" s="38"/>
      <c r="AH64" s="54"/>
      <c r="AI64" s="37"/>
      <c r="AJ64" s="37"/>
      <c r="AK64" s="39"/>
      <c r="AL64" s="40"/>
    </row>
    <row r="65" spans="1:38" x14ac:dyDescent="0.25">
      <c r="A65" s="115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4"/>
      <c r="AB65" s="35"/>
      <c r="AC65" s="57"/>
      <c r="AD65" s="36"/>
      <c r="AE65" s="36"/>
      <c r="AF65" s="37"/>
      <c r="AG65" s="38"/>
      <c r="AH65" s="54"/>
      <c r="AI65" s="37"/>
      <c r="AJ65" s="37"/>
      <c r="AK65" s="39"/>
      <c r="AL65" s="40"/>
    </row>
    <row r="66" spans="1:38" x14ac:dyDescent="0.25"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4"/>
      <c r="AB66" s="35"/>
      <c r="AC66" s="57"/>
      <c r="AD66" s="36"/>
      <c r="AE66" s="36"/>
      <c r="AF66" s="37"/>
      <c r="AG66" s="38"/>
      <c r="AH66" s="54"/>
      <c r="AI66" s="37"/>
      <c r="AJ66" s="37"/>
      <c r="AK66" s="39"/>
      <c r="AL66" s="40"/>
    </row>
    <row r="67" spans="1:38" x14ac:dyDescent="0.25"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4"/>
      <c r="AB67" s="35"/>
      <c r="AC67" s="57"/>
      <c r="AD67" s="36"/>
      <c r="AE67" s="36"/>
      <c r="AF67" s="37"/>
      <c r="AG67" s="38"/>
      <c r="AH67" s="54"/>
      <c r="AI67" s="37"/>
      <c r="AJ67" s="37"/>
      <c r="AK67" s="39"/>
      <c r="AL67" s="40"/>
    </row>
    <row r="68" spans="1:38" x14ac:dyDescent="0.25"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4"/>
      <c r="AB68" s="35"/>
      <c r="AC68" s="57"/>
      <c r="AD68" s="36"/>
      <c r="AE68" s="36"/>
      <c r="AF68" s="37"/>
      <c r="AG68" s="38"/>
      <c r="AH68" s="54"/>
      <c r="AI68" s="37"/>
      <c r="AJ68" s="37"/>
      <c r="AK68" s="39"/>
      <c r="AL68" s="4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91A0374A-C74F-9E45-A34E-F8B1FDA68E26}">
          <x14:formula1>
            <xm:f>'Sweetener Mix In Nutrition'!$A:$A</xm:f>
          </x14:formula1>
          <xm:sqref>J1:J1048576 I2:I247</xm:sqref>
        </x14:dataValidation>
        <x14:dataValidation type="list" allowBlank="1" showInputMessage="1" showErrorMessage="1" xr:uid="{F49678D5-10F0-234D-9E5C-1387D98F54D8}">
          <x14:formula1>
            <xm:f>'Milk Types Nutrition Per Cup'!$A:$A</xm:f>
          </x14:formula1>
          <xm:sqref>B54:C54 B2:B51 C1:C52 B58:C68 B56:C56 B55</xm:sqref>
        </x14:dataValidation>
        <x14:dataValidation type="list" allowBlank="1" showInputMessage="1" xr:uid="{01511ABF-2BCC-2F4D-A638-23B0C2036A83}">
          <x14:formula1>
            <xm:f>Specs!$D:$D</xm:f>
          </x14:formula1>
          <xm:sqref>L45:L46 M46 L54:M54 L48:M52 L58:M68 L56:M56 L2:M43</xm:sqref>
        </x14:dataValidation>
        <x14:dataValidation type="list" allowBlank="1" showInputMessage="1" showErrorMessage="1" xr:uid="{FCBE6988-A5A9-8641-87D9-E5FE87AA94FA}">
          <x14:formula1>
            <xm:f>Specs!$H:$H</xm:f>
          </x14:formula1>
          <xm:sqref>N48:N52 N45:N46 N54 N58:N68 N56 N2:N43</xm:sqref>
        </x14:dataValidation>
        <x14:dataValidation type="list" allowBlank="1" showInputMessage="1" showErrorMessage="1" xr:uid="{6F718BE6-4886-D54E-8499-EF3C2A2B7EAF}">
          <x14:formula1>
            <xm:f>Specs!$A:$A</xm:f>
          </x14:formula1>
          <xm:sqref>L44 M44:M45 K54 L47:M47 K58:K68 K56 K2:K52</xm:sqref>
        </x14:dataValidation>
        <x14:dataValidation type="list" allowBlank="1" showInputMessage="1" xr:uid="{FFE8D7D7-2BE5-1643-AB23-02AC69EA9121}">
          <x14:formula1>
            <xm:f>Specs!$F:$F</xm:f>
          </x14:formula1>
          <xm:sqref>I248:I257 P1:P1048576 O2:O217</xm:sqref>
        </x14:dataValidation>
        <x14:dataValidation type="list" showInputMessage="1" xr:uid="{5E46E5BF-F031-5F4B-AE0D-BBB4B0D10E92}">
          <x14:formula1>
            <xm:f>'Solid Mix In Nutrition'!$A:$A</xm:f>
          </x14:formula1>
          <xm:sqref>F64:G68 F2:H63</xm:sqref>
        </x14:dataValidation>
        <x14:dataValidation type="list" allowBlank="1" showInputMessage="1" showErrorMessage="1" xr:uid="{5E140C0B-885D-D14F-B797-49A85C493ABB}">
          <x14:formula1>
            <xm:f>'Liquid Mix In Nutrition'!$A:$A</xm:f>
          </x14:formula1>
          <xm:sqref>D56 D58:D63 D2:D54</xm:sqref>
        </x14:dataValidation>
        <x14:dataValidation type="list" allowBlank="1" xr:uid="{1A252A70-2D74-1143-BBB1-232E77692722}">
          <x14:formula1>
            <xm:f>'Liquid Mix In Nutrition'!$A:$A</xm:f>
          </x14:formula1>
          <xm:sqref>D64:E68 E2:E63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Main Page</vt:lpstr>
      <vt:lpstr>Worksgiving 2024 Flavors</vt:lpstr>
      <vt:lpstr>Ice Cream Orders</vt:lpstr>
      <vt:lpstr>Premade Flavors</vt:lpstr>
      <vt:lpstr>Testing Flavors</vt:lpstr>
      <vt:lpstr>Specs</vt:lpstr>
      <vt:lpstr>Milk Types Nutrition Per Cup</vt:lpstr>
      <vt:lpstr>Solid Mix In Nutrition</vt:lpstr>
      <vt:lpstr>Liquid Mix In Nutrition</vt:lpstr>
      <vt:lpstr>Thickener Nutrition</vt:lpstr>
      <vt:lpstr>Sweetener Mix In Nutrition</vt:lpstr>
      <vt:lpstr>Recipe Converters</vt:lpstr>
      <vt:lpstr>Sheet1</vt:lpstr>
      <vt:lpstr>Ice Cream Sandwich Measurements</vt:lpstr>
      <vt:lpstr>Cookie Size Comparisons</vt:lpstr>
      <vt:lpstr>Cris Cake</vt:lpstr>
      <vt:lpstr>Abby Flavors</vt:lpstr>
      <vt:lpstr>Natalia Cake</vt:lpstr>
      <vt:lpstr>Kimberly Gabrielle Flavors</vt:lpstr>
      <vt:lpstr>Kyle Flavors</vt:lpstr>
      <vt:lpstr>Joey BDay Flavors</vt:lpstr>
      <vt:lpstr>Daniel BDay Flavors</vt:lpstr>
      <vt:lpstr>60th flavors </vt:lpstr>
      <vt:lpstr>Noah Work</vt:lpstr>
      <vt:lpstr>Daniel Work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micbro brown</dc:creator>
  <cp:keywords/>
  <dc:description/>
  <cp:lastModifiedBy>micbro brown</cp:lastModifiedBy>
  <cp:revision/>
  <dcterms:created xsi:type="dcterms:W3CDTF">2024-03-30T22:40:29Z</dcterms:created>
  <dcterms:modified xsi:type="dcterms:W3CDTF">2025-01-21T04:06:52Z</dcterms:modified>
  <cp:category/>
  <cp:contentStatus/>
</cp:coreProperties>
</file>