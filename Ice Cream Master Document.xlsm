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307" documentId="8_{1C27A2F0-7BE2-4A82-9CB4-9D5C02065557}" xr6:coauthVersionLast="47" xr6:coauthVersionMax="47" xr10:uidLastSave="{36AF30E6-EC7B-4482-92E3-0DB87E0603EF}"/>
  <bookViews>
    <workbookView minimized="1" xWindow="-20736" yWindow="2316" windowWidth="17280" windowHeight="9960" firstSheet="3" activeTab="7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Solid Mix In Nutrition" sheetId="6" r:id="rId8"/>
    <sheet name="Liquid Mix In Nutrition" sheetId="5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6" l="1"/>
  <c r="B9" i="6"/>
  <c r="B3" i="6"/>
  <c r="AA7" i="8"/>
  <c r="B62" i="5"/>
  <c r="G62" i="5"/>
  <c r="F62" i="5" s="1"/>
  <c r="X44" i="8"/>
  <c r="W44" i="8"/>
  <c r="V44" i="8"/>
  <c r="U44" i="8"/>
  <c r="T44" i="8"/>
  <c r="S44" i="8"/>
  <c r="F8" i="6"/>
  <c r="U3" i="8"/>
  <c r="G24" i="6"/>
  <c r="G31" i="5"/>
  <c r="F31" i="5" s="1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F15" i="6" s="1"/>
  <c r="S2" i="3"/>
  <c r="R2" i="3"/>
  <c r="Q2" i="3"/>
  <c r="V3" i="3"/>
  <c r="T2" i="3"/>
  <c r="T82" i="15"/>
  <c r="U82" i="15"/>
  <c r="V82" i="15"/>
  <c r="W82" i="15"/>
  <c r="X82" i="15"/>
  <c r="Y82" i="15"/>
  <c r="Z82" i="15"/>
  <c r="B40" i="5"/>
  <c r="E40" i="5"/>
  <c r="G40" i="5"/>
  <c r="F40" i="5"/>
  <c r="B41" i="5"/>
  <c r="E41" i="5"/>
  <c r="G41" i="5"/>
  <c r="F41" i="5" s="1"/>
  <c r="S29" i="8"/>
  <c r="T29" i="8"/>
  <c r="U29" i="8"/>
  <c r="V29" i="8"/>
  <c r="W29" i="8"/>
  <c r="X29" i="8"/>
  <c r="G3" i="5"/>
  <c r="F3" i="5" s="1"/>
  <c r="G45" i="5"/>
  <c r="F45" i="5" s="1"/>
  <c r="C20" i="9"/>
  <c r="G18" i="7"/>
  <c r="F18" i="7" s="1"/>
  <c r="Z80" i="15"/>
  <c r="Y80" i="15"/>
  <c r="X80" i="15"/>
  <c r="W80" i="15"/>
  <c r="V80" i="15"/>
  <c r="U80" i="15"/>
  <c r="T80" i="15"/>
  <c r="Z79" i="15"/>
  <c r="Y79" i="15"/>
  <c r="X79" i="15"/>
  <c r="W79" i="15"/>
  <c r="V79" i="15"/>
  <c r="U79" i="15"/>
  <c r="T79" i="15"/>
  <c r="T77" i="15"/>
  <c r="V77" i="15"/>
  <c r="W77" i="15"/>
  <c r="X77" i="15"/>
  <c r="U77" i="15"/>
  <c r="Y77" i="15"/>
  <c r="Z77" i="15"/>
  <c r="S28" i="8"/>
  <c r="T28" i="8"/>
  <c r="U28" i="8"/>
  <c r="V28" i="8"/>
  <c r="W28" i="8"/>
  <c r="X28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5" i="15"/>
  <c r="U75" i="15"/>
  <c r="V75" i="15"/>
  <c r="W75" i="15"/>
  <c r="X75" i="15"/>
  <c r="Y75" i="15"/>
  <c r="Z75" i="15"/>
  <c r="G77" i="9"/>
  <c r="T73" i="15"/>
  <c r="U73" i="15"/>
  <c r="V73" i="15"/>
  <c r="W73" i="15"/>
  <c r="X73" i="15"/>
  <c r="Y73" i="15"/>
  <c r="Z73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6" i="8"/>
  <c r="W16" i="8"/>
  <c r="V16" i="8"/>
  <c r="U16" i="8"/>
  <c r="T16" i="8"/>
  <c r="S16" i="8"/>
  <c r="X3" i="25"/>
  <c r="W3" i="25"/>
  <c r="X2" i="25"/>
  <c r="W2" i="25"/>
  <c r="V2" i="25"/>
  <c r="U2" i="25"/>
  <c r="T2" i="25"/>
  <c r="S2" i="25"/>
  <c r="T72" i="15"/>
  <c r="U72" i="15"/>
  <c r="V72" i="15"/>
  <c r="W72" i="15"/>
  <c r="X72" i="15"/>
  <c r="Y72" i="15"/>
  <c r="Z72" i="1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1" i="15"/>
  <c r="Y71" i="15"/>
  <c r="X71" i="15"/>
  <c r="W71" i="15"/>
  <c r="V71" i="15"/>
  <c r="U71" i="15"/>
  <c r="T71" i="15"/>
  <c r="Z70" i="15"/>
  <c r="Y70" i="15"/>
  <c r="X70" i="15"/>
  <c r="W70" i="15"/>
  <c r="V70" i="15"/>
  <c r="U70" i="15"/>
  <c r="T70" i="15"/>
  <c r="F80" i="5"/>
  <c r="E80" i="5"/>
  <c r="D80" i="5"/>
  <c r="B80" i="5"/>
  <c r="Z69" i="15"/>
  <c r="Y69" i="15"/>
  <c r="X69" i="15"/>
  <c r="W69" i="15"/>
  <c r="V69" i="15"/>
  <c r="U69" i="15"/>
  <c r="T69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3" i="5"/>
  <c r="F33" i="5" s="1"/>
  <c r="Z20" i="15"/>
  <c r="Y20" i="15"/>
  <c r="X20" i="15"/>
  <c r="W20" i="15"/>
  <c r="V20" i="15"/>
  <c r="U20" i="15"/>
  <c r="T20" i="15"/>
  <c r="E19" i="6"/>
  <c r="D19" i="6"/>
  <c r="B19" i="6"/>
  <c r="B27" i="5" s="1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F38" i="6" s="1"/>
  <c r="G37" i="6"/>
  <c r="F37" i="6" s="1"/>
  <c r="E37" i="6"/>
  <c r="D37" i="6"/>
  <c r="C37" i="6"/>
  <c r="B37" i="6"/>
  <c r="I59" i="2"/>
  <c r="H59" i="2"/>
  <c r="G59" i="2"/>
  <c r="H74" i="5"/>
  <c r="F74" i="5"/>
  <c r="G66" i="5"/>
  <c r="F66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S27" i="2" s="1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 s="1"/>
  <c r="G20" i="5"/>
  <c r="F20" i="5" s="1"/>
  <c r="E16" i="5"/>
  <c r="B16" i="5"/>
  <c r="G16" i="5"/>
  <c r="F16" i="5" s="1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 s="1"/>
  <c r="E9" i="5"/>
  <c r="B9" i="5"/>
  <c r="Z78" i="15"/>
  <c r="Y78" i="15"/>
  <c r="T78" i="15"/>
  <c r="U78" i="15"/>
  <c r="V78" i="15"/>
  <c r="W78" i="15"/>
  <c r="X78" i="15"/>
  <c r="X33" i="8"/>
  <c r="W33" i="8"/>
  <c r="V33" i="8"/>
  <c r="U33" i="8"/>
  <c r="T33" i="8"/>
  <c r="S33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F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F19" i="6" s="1"/>
  <c r="G48" i="6"/>
  <c r="F48" i="6" s="1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G34" i="5"/>
  <c r="F34" i="5" s="1"/>
  <c r="B34" i="5"/>
  <c r="E33" i="5"/>
  <c r="B33" i="5"/>
  <c r="Q76" i="9"/>
  <c r="F35" i="6"/>
  <c r="F34" i="6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6" i="5"/>
  <c r="E23" i="6"/>
  <c r="E76" i="5"/>
  <c r="C76" i="5"/>
  <c r="G23" i="6"/>
  <c r="F23" i="6" s="1"/>
  <c r="F76" i="5"/>
  <c r="G32" i="5"/>
  <c r="F32" i="5"/>
  <c r="S38" i="8"/>
  <c r="T38" i="8"/>
  <c r="U38" i="8"/>
  <c r="V38" i="8"/>
  <c r="W38" i="8"/>
  <c r="X38" i="8"/>
  <c r="B68" i="5"/>
  <c r="E9" i="6"/>
  <c r="E68" i="5"/>
  <c r="C9" i="6"/>
  <c r="G9" i="6"/>
  <c r="H9" i="6"/>
  <c r="G68" i="5"/>
  <c r="F68" i="5" s="1"/>
  <c r="S37" i="8"/>
  <c r="T37" i="8"/>
  <c r="U37" i="8"/>
  <c r="V37" i="8"/>
  <c r="W37" i="8"/>
  <c r="X37" i="8"/>
  <c r="G18" i="5"/>
  <c r="F18" i="5" s="1"/>
  <c r="S7" i="8"/>
  <c r="T7" i="8"/>
  <c r="U7" i="8"/>
  <c r="V7" i="8"/>
  <c r="W7" i="8"/>
  <c r="X7" i="8"/>
  <c r="B15" i="6"/>
  <c r="B67" i="5"/>
  <c r="E15" i="6"/>
  <c r="C15" i="6"/>
  <c r="G67" i="5"/>
  <c r="F67" i="5" s="1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 s="1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E26" i="5"/>
  <c r="B26" i="5"/>
  <c r="G26" i="5"/>
  <c r="F26" i="5" s="1"/>
  <c r="Z54" i="15"/>
  <c r="Y54" i="15"/>
  <c r="X54" i="15"/>
  <c r="W54" i="15"/>
  <c r="V54" i="15"/>
  <c r="T54" i="15"/>
  <c r="U54" i="15"/>
  <c r="G23" i="5"/>
  <c r="F23" i="5" s="1"/>
  <c r="E23" i="5"/>
  <c r="D23" i="5"/>
  <c r="C23" i="5"/>
  <c r="B23" i="5"/>
  <c r="F11" i="7"/>
  <c r="G5" i="7"/>
  <c r="F5" i="7"/>
  <c r="S6" i="8"/>
  <c r="T6" i="8"/>
  <c r="U6" i="8"/>
  <c r="V6" i="8"/>
  <c r="W6" i="8"/>
  <c r="X6" i="8"/>
  <c r="E75" i="5"/>
  <c r="D75" i="5"/>
  <c r="C75" i="5"/>
  <c r="B75" i="5"/>
  <c r="G75" i="5"/>
  <c r="F75" i="5"/>
  <c r="T40" i="15"/>
  <c r="U40" i="15"/>
  <c r="V40" i="15"/>
  <c r="W40" i="15"/>
  <c r="X40" i="15"/>
  <c r="Y40" i="15"/>
  <c r="Z40" i="15"/>
  <c r="S12" i="8"/>
  <c r="T12" i="8"/>
  <c r="U12" i="8"/>
  <c r="V12" i="8"/>
  <c r="W12" i="8"/>
  <c r="X12" i="8"/>
  <c r="S5" i="8"/>
  <c r="T5" i="8"/>
  <c r="U5" i="8"/>
  <c r="V5" i="8"/>
  <c r="W5" i="8"/>
  <c r="X5" i="8"/>
  <c r="G8" i="5"/>
  <c r="F8" i="5" s="1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F21" i="6"/>
  <c r="G20" i="6"/>
  <c r="F20" i="6" s="1"/>
  <c r="F4" i="5"/>
  <c r="O5" i="9" s="1"/>
  <c r="G69" i="5"/>
  <c r="H69" i="5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F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F11" i="6"/>
  <c r="C14" i="6"/>
  <c r="Y8" i="15"/>
  <c r="T8" i="15"/>
  <c r="U8" i="15"/>
  <c r="V8" i="15"/>
  <c r="W8" i="15"/>
  <c r="X8" i="15"/>
  <c r="F39" i="6"/>
  <c r="G69" i="6"/>
  <c r="F68" i="6" s="1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F61" i="6"/>
  <c r="G14" i="5"/>
  <c r="F14" i="5" s="1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5" i="8"/>
  <c r="W25" i="8"/>
  <c r="V25" i="8"/>
  <c r="T25" i="8"/>
  <c r="S25" i="8"/>
  <c r="C51" i="6"/>
  <c r="M56" i="9"/>
  <c r="N56" i="9"/>
  <c r="N51" i="9"/>
  <c r="N52" i="9"/>
  <c r="N53" i="9"/>
  <c r="N54" i="9"/>
  <c r="N55" i="9"/>
  <c r="N50" i="9"/>
  <c r="G2" i="4"/>
  <c r="S15" i="8"/>
  <c r="T15" i="8"/>
  <c r="U15" i="8"/>
  <c r="V15" i="8"/>
  <c r="W15" i="8"/>
  <c r="X15" i="8"/>
  <c r="F2" i="4"/>
  <c r="AR4" i="9" s="1"/>
  <c r="S11" i="8"/>
  <c r="T11" i="8"/>
  <c r="U11" i="8"/>
  <c r="V11" i="8"/>
  <c r="W11" i="8"/>
  <c r="X11" i="8"/>
  <c r="S42" i="8"/>
  <c r="T42" i="8"/>
  <c r="U42" i="8"/>
  <c r="V42" i="8"/>
  <c r="W42" i="8"/>
  <c r="X42" i="8"/>
  <c r="S17" i="8"/>
  <c r="T17" i="8"/>
  <c r="U17" i="8"/>
  <c r="V17" i="8"/>
  <c r="C4" i="9"/>
  <c r="D4" i="9"/>
  <c r="C8" i="9"/>
  <c r="G57" i="6"/>
  <c r="F56" i="6" s="1"/>
  <c r="W17" i="8"/>
  <c r="X17" i="8"/>
  <c r="S18" i="8"/>
  <c r="T18" i="8"/>
  <c r="V18" i="8"/>
  <c r="W18" i="8"/>
  <c r="X18" i="8"/>
  <c r="S4" i="8"/>
  <c r="T4" i="8"/>
  <c r="U4" i="8"/>
  <c r="V4" i="8"/>
  <c r="W4" i="8"/>
  <c r="X4" i="8"/>
  <c r="S3" i="8"/>
  <c r="T3" i="8"/>
  <c r="V3" i="8"/>
  <c r="W3" i="8"/>
  <c r="X3" i="8"/>
  <c r="S13" i="8"/>
  <c r="T13" i="8"/>
  <c r="V13" i="8"/>
  <c r="W13" i="8"/>
  <c r="X13" i="8"/>
  <c r="S10" i="8"/>
  <c r="T10" i="8"/>
  <c r="U10" i="8"/>
  <c r="V10" i="8"/>
  <c r="W10" i="8"/>
  <c r="X10" i="8"/>
  <c r="S14" i="8"/>
  <c r="T14" i="8"/>
  <c r="U14" i="8"/>
  <c r="V14" i="8"/>
  <c r="W14" i="8"/>
  <c r="X14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8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 s="1"/>
  <c r="E25" i="6"/>
  <c r="C25" i="6"/>
  <c r="G49" i="5"/>
  <c r="F49" i="5" s="1"/>
  <c r="D25" i="6"/>
  <c r="G12" i="4"/>
  <c r="G4" i="6"/>
  <c r="H4" i="6"/>
  <c r="B4" i="6" s="1"/>
  <c r="F4" i="6"/>
  <c r="H3" i="6"/>
  <c r="K7" i="7"/>
  <c r="AL13" i="9"/>
  <c r="AM13" i="9"/>
  <c r="AM7" i="9"/>
  <c r="E34" i="5"/>
  <c r="D15" i="6"/>
  <c r="G37" i="5"/>
  <c r="F37" i="5" s="1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1" i="5"/>
  <c r="B31" i="5"/>
  <c r="G58" i="5"/>
  <c r="F58" i="5" s="1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30" i="5"/>
  <c r="F30" i="5" s="1"/>
  <c r="E30" i="5"/>
  <c r="B30" i="5"/>
  <c r="G29" i="5"/>
  <c r="F29" i="5" s="1"/>
  <c r="G28" i="5"/>
  <c r="F28" i="5" s="1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F24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6" i="5"/>
  <c r="D36" i="5"/>
  <c r="C36" i="5"/>
  <c r="B36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9" i="8"/>
  <c r="T19" i="8"/>
  <c r="U19" i="8"/>
  <c r="V19" i="8"/>
  <c r="W19" i="8"/>
  <c r="X19" i="8"/>
  <c r="S22" i="8"/>
  <c r="T22" i="8"/>
  <c r="U22" i="8"/>
  <c r="V22" i="8"/>
  <c r="W22" i="8"/>
  <c r="X22" i="8"/>
  <c r="B4" i="3"/>
  <c r="E55" i="6"/>
  <c r="D55" i="6"/>
  <c r="C55" i="6"/>
  <c r="G56" i="6"/>
  <c r="F55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F57" i="6"/>
  <c r="G22" i="6"/>
  <c r="F22" i="6"/>
  <c r="B24" i="6"/>
  <c r="C24" i="6"/>
  <c r="D24" i="6"/>
  <c r="E24" i="6"/>
  <c r="B14" i="6"/>
  <c r="D14" i="6"/>
  <c r="E14" i="6"/>
  <c r="G14" i="6"/>
  <c r="F14" i="6"/>
  <c r="D10" i="6"/>
  <c r="F7" i="5"/>
  <c r="T4" i="15"/>
  <c r="U4" i="15"/>
  <c r="V4" i="15"/>
  <c r="W4" i="15"/>
  <c r="B59" i="6"/>
  <c r="C59" i="6"/>
  <c r="D59" i="6"/>
  <c r="E59" i="6"/>
  <c r="G60" i="6"/>
  <c r="F59" i="6"/>
  <c r="G15" i="5"/>
  <c r="F15" i="5" s="1"/>
  <c r="G65" i="5"/>
  <c r="F65" i="5" s="1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F16" i="6"/>
  <c r="E59" i="5"/>
  <c r="B59" i="5"/>
  <c r="G59" i="5"/>
  <c r="F59" i="5" s="1"/>
  <c r="E38" i="5"/>
  <c r="B38" i="5"/>
  <c r="G38" i="5"/>
  <c r="F38" i="5" s="1"/>
  <c r="E20" i="6"/>
  <c r="B20" i="6"/>
  <c r="E15" i="5"/>
  <c r="D15" i="5"/>
  <c r="C15" i="5"/>
  <c r="B15" i="5"/>
  <c r="E13" i="6"/>
  <c r="D13" i="6"/>
  <c r="B13" i="6"/>
  <c r="G13" i="6"/>
  <c r="F13" i="6"/>
  <c r="F35" i="5"/>
  <c r="E3" i="6"/>
  <c r="P5" i="11"/>
  <c r="G12" i="6"/>
  <c r="F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4" i="5"/>
  <c r="F55" i="5"/>
  <c r="D76" i="5"/>
  <c r="F58" i="6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30" i="8"/>
  <c r="W30" i="8"/>
  <c r="H47" i="6"/>
  <c r="F47" i="6" s="1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F5" i="6"/>
  <c r="E5" i="6"/>
  <c r="D5" i="6"/>
  <c r="C5" i="6"/>
  <c r="B5" i="6"/>
  <c r="I42" i="6"/>
  <c r="F42" i="6" s="1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F49" i="6" s="1"/>
  <c r="G49" i="6"/>
  <c r="G65" i="6"/>
  <c r="F30" i="6"/>
  <c r="G51" i="6"/>
  <c r="F50" i="6" s="1"/>
  <c r="G68" i="6"/>
  <c r="F73" i="6" s="1"/>
  <c r="G73" i="6"/>
  <c r="F62" i="6"/>
  <c r="E62" i="6"/>
  <c r="D62" i="6"/>
  <c r="C62" i="6"/>
  <c r="B62" i="6"/>
  <c r="G32" i="6"/>
  <c r="F29" i="6"/>
  <c r="G29" i="6"/>
  <c r="F28" i="6"/>
  <c r="G39" i="6"/>
  <c r="F65" i="6"/>
  <c r="G61" i="5"/>
  <c r="F61" i="5" s="1"/>
  <c r="G39" i="5"/>
  <c r="F39" i="5" s="1"/>
  <c r="E39" i="5"/>
  <c r="B39" i="5"/>
  <c r="G53" i="5"/>
  <c r="F53" i="5" s="1"/>
  <c r="G48" i="5"/>
  <c r="F48" i="5" s="1"/>
  <c r="G60" i="5"/>
  <c r="F60" i="5" s="1"/>
  <c r="G79" i="5"/>
  <c r="F79" i="5"/>
  <c r="G50" i="5"/>
  <c r="F50" i="5" s="1"/>
  <c r="G70" i="5"/>
  <c r="F70" i="5" s="1"/>
  <c r="F12" i="4"/>
  <c r="C12" i="4"/>
  <c r="B12" i="4"/>
  <c r="F11" i="4"/>
  <c r="E11" i="4"/>
  <c r="C11" i="4"/>
  <c r="B11" i="4"/>
  <c r="F8" i="4"/>
  <c r="F7" i="4"/>
  <c r="F6" i="4"/>
  <c r="T30" i="8"/>
  <c r="S30" i="8"/>
  <c r="V30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7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X87" i="2" s="1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7" i="5"/>
  <c r="U30" i="8"/>
  <c r="C3" i="6"/>
  <c r="E4" i="6"/>
  <c r="D4" i="6"/>
  <c r="U13" i="8"/>
  <c r="U4" i="18"/>
  <c r="V16" i="15"/>
  <c r="B42" i="6"/>
  <c r="F51" i="6"/>
  <c r="F9" i="6"/>
  <c r="U25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V63" i="2" s="1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W142" i="2" s="1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T64" i="2" s="1"/>
  <c r="X259" i="2"/>
  <c r="N260" i="2"/>
  <c r="U260" i="2" s="1"/>
  <c r="J278" i="2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X271" i="2" s="1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E293" i="2"/>
  <c r="D242" i="2"/>
  <c r="O232" i="2"/>
  <c r="D164" i="2"/>
  <c r="P161" i="2"/>
  <c r="Q183" i="2"/>
  <c r="Y183" i="2" s="1"/>
  <c r="O238" i="2"/>
  <c r="W238" i="2" s="1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X268" i="2" s="1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287" i="2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R38" i="2"/>
  <c r="C4" i="6"/>
  <c r="R71" i="15"/>
  <c r="R73" i="15"/>
  <c r="P16" i="8"/>
  <c r="Q70" i="15"/>
  <c r="R75" i="15"/>
  <c r="R77" i="15"/>
  <c r="W100" i="2"/>
  <c r="V100" i="2"/>
  <c r="U224" i="2"/>
  <c r="J167" i="2"/>
  <c r="D69" i="2"/>
  <c r="J265" i="2"/>
  <c r="W126" i="2"/>
  <c r="I162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V99" i="2" l="1"/>
  <c r="W254" i="2"/>
  <c r="W256" i="2"/>
  <c r="V289" i="2"/>
  <c r="Q44" i="8"/>
  <c r="F69" i="5"/>
  <c r="F27" i="5"/>
  <c r="I7" i="9"/>
  <c r="D7" i="9"/>
  <c r="V94" i="2"/>
  <c r="X135" i="2"/>
  <c r="P44" i="8"/>
  <c r="X278" i="2"/>
  <c r="V95" i="2"/>
  <c r="T174" i="2"/>
  <c r="T229" i="2"/>
  <c r="Y207" i="2"/>
  <c r="Y197" i="2"/>
  <c r="T180" i="2"/>
  <c r="T218" i="2"/>
  <c r="T119" i="2"/>
  <c r="T243" i="2"/>
  <c r="T136" i="2"/>
  <c r="X248" i="2"/>
  <c r="X55" i="2"/>
  <c r="O11" i="9"/>
  <c r="O6" i="9"/>
  <c r="G46" i="6" s="1"/>
  <c r="F44" i="6" s="1"/>
  <c r="P3" i="8"/>
  <c r="E9" i="9"/>
  <c r="E8" i="9"/>
  <c r="D9" i="9"/>
  <c r="D8" i="9"/>
  <c r="D42" i="6"/>
  <c r="E60" i="6"/>
  <c r="E42" i="6"/>
  <c r="F60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X172" i="2"/>
  <c r="W304" i="2"/>
  <c r="V88" i="2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R209" i="2" s="1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S90" i="2" s="1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R204" i="2" s="1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S80" i="2" s="1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S177" i="2" s="1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C49" i="2" s="1"/>
  <c r="AH49" i="2" s="1"/>
  <c r="S142" i="2"/>
  <c r="AC26" i="2"/>
  <c r="AH26" i="2" s="1"/>
  <c r="S49" i="2"/>
  <c r="AB3" i="2"/>
  <c r="AG3" i="2" s="1"/>
  <c r="S7" i="19"/>
  <c r="S28" i="2"/>
  <c r="Q6" i="19"/>
  <c r="S118" i="2"/>
  <c r="R302" i="2"/>
  <c r="P15" i="8"/>
  <c r="AD14" i="2"/>
  <c r="Q9" i="15"/>
  <c r="Q10" i="8"/>
  <c r="Q2" i="20"/>
  <c r="R264" i="2"/>
  <c r="Q2" i="10"/>
  <c r="Q3" i="22"/>
  <c r="S15" i="2"/>
  <c r="AC15" i="2" s="1"/>
  <c r="AH15" i="2" s="1"/>
  <c r="Q25" i="8"/>
  <c r="R187" i="2"/>
  <c r="S63" i="2"/>
  <c r="Q16" i="8"/>
  <c r="AD16" i="8" s="1"/>
  <c r="R276" i="2"/>
  <c r="P2" i="20"/>
  <c r="AC2" i="20" s="1"/>
  <c r="R46" i="2"/>
  <c r="R6" i="2"/>
  <c r="AE6" i="2" s="1"/>
  <c r="AI6" i="2" s="1"/>
  <c r="S176" i="2"/>
  <c r="AE5" i="2"/>
  <c r="AF5" i="2" s="1"/>
  <c r="R27" i="2"/>
  <c r="P29" i="8"/>
  <c r="S48" i="2"/>
  <c r="O80" i="9"/>
  <c r="S88" i="2"/>
  <c r="R82" i="2"/>
  <c r="AE3" i="2"/>
  <c r="AF3" i="2" s="1"/>
  <c r="Q23" i="12"/>
  <c r="R44" i="2"/>
  <c r="R36" i="2"/>
  <c r="R42" i="15"/>
  <c r="R63" i="2"/>
  <c r="S60" i="2"/>
  <c r="S140" i="2"/>
  <c r="Z2" i="25"/>
  <c r="S271" i="2"/>
  <c r="Q33" i="8"/>
  <c r="S264" i="2"/>
  <c r="S257" i="2"/>
  <c r="R91" i="2"/>
  <c r="S82" i="2"/>
  <c r="AC14" i="2"/>
  <c r="AH14" i="2" s="1"/>
  <c r="Q62" i="15"/>
  <c r="P22" i="8"/>
  <c r="Q33" i="15"/>
  <c r="Q13" i="8"/>
  <c r="AB20" i="2"/>
  <c r="AG20" i="2" s="1"/>
  <c r="Q17" i="12"/>
  <c r="Q4" i="16"/>
  <c r="S4" i="2"/>
  <c r="AB4" i="2" s="1"/>
  <c r="AG4" i="2" s="1"/>
  <c r="Z5" i="25"/>
  <c r="P7" i="16"/>
  <c r="P4" i="8"/>
  <c r="AI4" i="8" s="1"/>
  <c r="Q4" i="24"/>
  <c r="Z4" i="24" s="1"/>
  <c r="Q17" i="8"/>
  <c r="P39" i="8"/>
  <c r="AC2" i="25"/>
  <c r="S44" i="2"/>
  <c r="AD3" i="2"/>
  <c r="Q16" i="10"/>
  <c r="P2" i="12"/>
  <c r="AB2" i="12" s="1"/>
  <c r="Q38" i="15"/>
  <c r="Z29" i="2"/>
  <c r="Q4" i="19"/>
  <c r="Q22" i="8"/>
  <c r="Q3" i="18"/>
  <c r="Q14" i="8"/>
  <c r="S109" i="2"/>
  <c r="P4" i="17"/>
  <c r="P3" i="22"/>
  <c r="Z18" i="2"/>
  <c r="R22" i="15"/>
  <c r="Q15" i="10"/>
  <c r="Q28" i="15"/>
  <c r="Q6" i="15"/>
  <c r="R89" i="2"/>
  <c r="P18" i="10"/>
  <c r="P19" i="8"/>
  <c r="AB49" i="2"/>
  <c r="AG49" i="2" s="1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2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AB16" i="10" s="1"/>
  <c r="Q19" i="10"/>
  <c r="Q2" i="12"/>
  <c r="Q52" i="15"/>
  <c r="P5" i="8"/>
  <c r="R32" i="15"/>
  <c r="Q60" i="15"/>
  <c r="Q4" i="18"/>
  <c r="AB5" i="2"/>
  <c r="AG5" i="2" s="1"/>
  <c r="R8" i="15"/>
  <c r="P30" i="8"/>
  <c r="S17" i="2"/>
  <c r="R9" i="2"/>
  <c r="Z14" i="2"/>
  <c r="Q16" i="12"/>
  <c r="P24" i="12"/>
  <c r="Q9" i="16"/>
  <c r="AA9" i="16" s="1"/>
  <c r="AF9" i="16" s="1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2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9" i="8"/>
  <c r="Q19" i="12"/>
  <c r="P19" i="12"/>
  <c r="Q21" i="15"/>
  <c r="S112" i="2"/>
  <c r="R112" i="2"/>
  <c r="Q17" i="10"/>
  <c r="P17" i="10"/>
  <c r="P25" i="10"/>
  <c r="Q25" i="10"/>
  <c r="Z25" i="10" s="1"/>
  <c r="AE25" i="10" s="1"/>
  <c r="Q18" i="8"/>
  <c r="P18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1" i="8"/>
  <c r="Q11" i="8"/>
  <c r="S240" i="2"/>
  <c r="R246" i="2"/>
  <c r="P20" i="10"/>
  <c r="P16" i="12"/>
  <c r="AC16" i="12" s="1"/>
  <c r="P24" i="10"/>
  <c r="Q24" i="10"/>
  <c r="R34" i="15"/>
  <c r="R3" i="24"/>
  <c r="R85" i="2"/>
  <c r="Q5" i="8"/>
  <c r="P13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3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4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5" i="8"/>
  <c r="R275" i="2"/>
  <c r="S41" i="2"/>
  <c r="Z20" i="2"/>
  <c r="Z7" i="2"/>
  <c r="P2" i="10"/>
  <c r="X2" i="10" s="1"/>
  <c r="R2" i="15"/>
  <c r="Q19" i="8"/>
  <c r="R26" i="15"/>
  <c r="Q30" i="15"/>
  <c r="Q45" i="15"/>
  <c r="R9" i="15"/>
  <c r="AE9" i="15" s="1"/>
  <c r="Q6" i="8"/>
  <c r="P4" i="19"/>
  <c r="Q2" i="22"/>
  <c r="R51" i="2"/>
  <c r="S46" i="2"/>
  <c r="P25" i="8"/>
  <c r="AA13" i="2"/>
  <c r="Q2" i="17"/>
  <c r="S38" i="2"/>
  <c r="AA38" i="2" s="1"/>
  <c r="Q2" i="18"/>
  <c r="R49" i="15"/>
  <c r="P7" i="8"/>
  <c r="S19" i="2"/>
  <c r="Z19" i="2" s="1"/>
  <c r="P19" i="10"/>
  <c r="R6" i="15"/>
  <c r="R45" i="2"/>
  <c r="AA45" i="2" s="1"/>
  <c r="S40" i="2"/>
  <c r="S37" i="2"/>
  <c r="AE37" i="2" s="1"/>
  <c r="S21" i="2"/>
  <c r="AC21" i="2" s="1"/>
  <c r="AH21" i="2" s="1"/>
  <c r="P28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AA27" i="2"/>
  <c r="AD27" i="2"/>
  <c r="Z27" i="2"/>
  <c r="AC27" i="2"/>
  <c r="AH27" i="2" s="1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AH22" i="10" s="1"/>
  <c r="AI22" i="10" s="1"/>
  <c r="S51" i="2"/>
  <c r="Q6" i="16"/>
  <c r="Y5" i="25"/>
  <c r="Z2" i="24"/>
  <c r="AB11" i="2"/>
  <c r="AG11" i="2" s="1"/>
  <c r="P4" i="16"/>
  <c r="AA7" i="2"/>
  <c r="Q28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7" i="8"/>
  <c r="P20" i="12"/>
  <c r="Q30" i="8"/>
  <c r="AA11" i="2"/>
  <c r="AC5" i="2"/>
  <c r="AH5" i="2" s="1"/>
  <c r="P21" i="10"/>
  <c r="R206" i="2"/>
  <c r="R56" i="15"/>
  <c r="AA5" i="2"/>
  <c r="P10" i="8"/>
  <c r="P25" i="12"/>
  <c r="R304" i="2"/>
  <c r="P17" i="8"/>
  <c r="Q5" i="16"/>
  <c r="S52" i="2"/>
  <c r="Y2" i="24"/>
  <c r="G28" i="6"/>
  <c r="F25" i="6" s="1"/>
  <c r="R59" i="15"/>
  <c r="Q3" i="23"/>
  <c r="R154" i="2"/>
  <c r="AB2" i="25"/>
  <c r="AG2" i="25" s="1"/>
  <c r="R48" i="15"/>
  <c r="R129" i="2"/>
  <c r="AE18" i="2"/>
  <c r="AI18" i="2" s="1"/>
  <c r="R5" i="15"/>
  <c r="S154" i="2"/>
  <c r="S219" i="2"/>
  <c r="Q22" i="15"/>
  <c r="AH22" i="15" s="1"/>
  <c r="AL22" i="15" s="1"/>
  <c r="Q17" i="15"/>
  <c r="Q7" i="15"/>
  <c r="Q51" i="15"/>
  <c r="R52" i="15"/>
  <c r="R24" i="15"/>
  <c r="R69" i="15"/>
  <c r="S302" i="2"/>
  <c r="Q16" i="15"/>
  <c r="AB18" i="2"/>
  <c r="AG18" i="2" s="1"/>
  <c r="AC34" i="2"/>
  <c r="AH34" i="2" s="1"/>
  <c r="Q5" i="15"/>
  <c r="R39" i="15"/>
  <c r="Q25" i="15"/>
  <c r="Q34" i="15"/>
  <c r="Q24" i="15"/>
  <c r="Q3" i="15"/>
  <c r="S119" i="2"/>
  <c r="R256" i="2"/>
  <c r="S244" i="2"/>
  <c r="R60" i="2"/>
  <c r="AA2" i="25"/>
  <c r="AF2" i="25" s="1"/>
  <c r="R118" i="2"/>
  <c r="S85" i="2"/>
  <c r="R80" i="15"/>
  <c r="R5" i="23"/>
  <c r="R63" i="15"/>
  <c r="R37" i="15"/>
  <c r="R47" i="15"/>
  <c r="Q26" i="15"/>
  <c r="Q73" i="15"/>
  <c r="AB73" i="15" s="1"/>
  <c r="R149" i="2"/>
  <c r="Q41" i="15"/>
  <c r="Q5" i="23"/>
  <c r="R70" i="15"/>
  <c r="S70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Q11" i="15"/>
  <c r="Q80" i="15"/>
  <c r="AD2" i="24"/>
  <c r="AH2" i="24" s="1"/>
  <c r="Q42" i="15"/>
  <c r="R38" i="15"/>
  <c r="Q71" i="15"/>
  <c r="Q10" i="15"/>
  <c r="AC3" i="24"/>
  <c r="S210" i="2"/>
  <c r="R21" i="15"/>
  <c r="R79" i="15"/>
  <c r="S131" i="2"/>
  <c r="S282" i="2"/>
  <c r="R99" i="2"/>
  <c r="Q72" i="15"/>
  <c r="Q79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5" i="15"/>
  <c r="AF75" i="15" s="1"/>
  <c r="Q77" i="15"/>
  <c r="AM77" i="15" s="1"/>
  <c r="AN77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1" i="15"/>
  <c r="AH98" i="15"/>
  <c r="Q12" i="15"/>
  <c r="G63" i="6"/>
  <c r="P11" i="9"/>
  <c r="P13" i="9" s="1"/>
  <c r="B43" i="6" s="1"/>
  <c r="D63" i="6"/>
  <c r="AB16" i="2"/>
  <c r="AG16" i="2" s="1"/>
  <c r="AE20" i="2"/>
  <c r="AB24" i="2"/>
  <c r="AG24" i="2" s="1"/>
  <c r="AH83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4" i="15"/>
  <c r="Q20" i="15"/>
  <c r="Q73" i="9"/>
  <c r="P5" i="9"/>
  <c r="P6" i="9" s="1"/>
  <c r="B44" i="6" s="1"/>
  <c r="O13" i="9"/>
  <c r="G44" i="6" s="1"/>
  <c r="F43" i="6" s="1"/>
  <c r="AC24" i="2"/>
  <c r="AH24" i="2" s="1"/>
  <c r="AH85" i="15"/>
  <c r="R13" i="15"/>
  <c r="AC2" i="24"/>
  <c r="Q39" i="15"/>
  <c r="AH86" i="15"/>
  <c r="R61" i="15"/>
  <c r="P73" i="9"/>
  <c r="AD20" i="2"/>
  <c r="S61" i="2"/>
  <c r="Q8" i="15"/>
  <c r="AD3" i="24"/>
  <c r="AH87" i="15"/>
  <c r="O73" i="9"/>
  <c r="Q19" i="15"/>
  <c r="AB27" i="2"/>
  <c r="AG27" i="2" s="1"/>
  <c r="AD16" i="2"/>
  <c r="AC18" i="2"/>
  <c r="AH18" i="2" s="1"/>
  <c r="AE13" i="2"/>
  <c r="AH88" i="15"/>
  <c r="R78" i="15"/>
  <c r="R64" i="15"/>
  <c r="R60" i="15"/>
  <c r="R23" i="15"/>
  <c r="R18" i="15"/>
  <c r="B63" i="6"/>
  <c r="AB29" i="2"/>
  <c r="AG29" i="2" s="1"/>
  <c r="S94" i="2"/>
  <c r="Q82" i="15"/>
  <c r="AH89" i="15"/>
  <c r="R2" i="23"/>
  <c r="R19" i="15"/>
  <c r="AD13" i="2"/>
  <c r="R82" i="15"/>
  <c r="AH90" i="15"/>
  <c r="R4" i="23"/>
  <c r="Q23" i="15"/>
  <c r="R50" i="15"/>
  <c r="AC20" i="2"/>
  <c r="AH20" i="2" s="1"/>
  <c r="AD18" i="2"/>
  <c r="AE12" i="2"/>
  <c r="R94" i="2"/>
  <c r="AH91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2" i="15"/>
  <c r="S198" i="2"/>
  <c r="AH92" i="15"/>
  <c r="R55" i="15"/>
  <c r="R68" i="15"/>
  <c r="R66" i="15"/>
  <c r="R54" i="15"/>
  <c r="R43" i="15"/>
  <c r="S11" i="9"/>
  <c r="S13" i="9" s="1"/>
  <c r="E43" i="6" s="1"/>
  <c r="G36" i="6"/>
  <c r="AE34" i="2"/>
  <c r="AH93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4" i="15"/>
  <c r="Q53" i="15"/>
  <c r="Q4" i="23"/>
  <c r="R11" i="9"/>
  <c r="R13" i="9" s="1"/>
  <c r="D43" i="6" s="1"/>
  <c r="AB12" i="2"/>
  <c r="AG12" i="2" s="1"/>
  <c r="AH95" i="15"/>
  <c r="Q55" i="15"/>
  <c r="R7" i="15"/>
  <c r="R31" i="15"/>
  <c r="H63" i="6"/>
  <c r="AE26" i="2"/>
  <c r="Q29" i="15"/>
  <c r="R10" i="15"/>
  <c r="R139" i="2"/>
  <c r="R74" i="2"/>
  <c r="Q78" i="15"/>
  <c r="R25" i="15"/>
  <c r="AH96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4" i="15"/>
  <c r="AH97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69" i="15"/>
  <c r="R73" i="2"/>
  <c r="R198" i="2"/>
  <c r="R64" i="2"/>
  <c r="R176" i="2"/>
  <c r="R78" i="2"/>
  <c r="R219" i="2"/>
  <c r="S187" i="2"/>
  <c r="V267" i="2"/>
  <c r="W267" i="2"/>
  <c r="R203" i="2"/>
  <c r="S203" i="2"/>
  <c r="R126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D12" i="9" l="1"/>
  <c r="S55" i="2"/>
  <c r="AI44" i="8"/>
  <c r="AJ44" i="8" s="1"/>
  <c r="R44" i="8"/>
  <c r="AD44" i="8"/>
  <c r="AC44" i="8"/>
  <c r="AB44" i="8"/>
  <c r="AG44" i="8" s="1"/>
  <c r="AA44" i="8"/>
  <c r="AF44" i="8" s="1"/>
  <c r="Z44" i="8"/>
  <c r="Y44" i="8"/>
  <c r="S287" i="2"/>
  <c r="Z287" i="2" s="1"/>
  <c r="R284" i="2"/>
  <c r="AD284" i="2" s="1"/>
  <c r="S205" i="2"/>
  <c r="AC205" i="2" s="1"/>
  <c r="AH205" i="2" s="1"/>
  <c r="S209" i="2"/>
  <c r="AB209" i="2" s="1"/>
  <c r="AG209" i="2" s="1"/>
  <c r="E12" i="9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AC177" i="2" s="1"/>
  <c r="AH177" i="2" s="1"/>
  <c r="S128" i="2"/>
  <c r="AE128" i="2" s="1"/>
  <c r="AF128" i="2" s="1"/>
  <c r="S265" i="2"/>
  <c r="AB10" i="8"/>
  <c r="AG10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Z90" i="2" s="1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4" i="8"/>
  <c r="AG14" i="8" s="1"/>
  <c r="S201" i="2"/>
  <c r="AB201" i="2" s="1"/>
  <c r="AG201" i="2" s="1"/>
  <c r="AD22" i="8"/>
  <c r="AH22" i="8" s="1"/>
  <c r="AE142" i="2"/>
  <c r="AI142" i="2" s="1"/>
  <c r="R227" i="2"/>
  <c r="S263" i="2"/>
  <c r="AJ142" i="2"/>
  <c r="AO142" i="2" s="1"/>
  <c r="S157" i="2"/>
  <c r="S281" i="2"/>
  <c r="AA281" i="2" s="1"/>
  <c r="AI16" i="8"/>
  <c r="AJ16" i="8" s="1"/>
  <c r="AB142" i="2"/>
  <c r="AG142" i="2" s="1"/>
  <c r="R156" i="2"/>
  <c r="AB156" i="2" s="1"/>
  <c r="AG156" i="2" s="1"/>
  <c r="S289" i="2"/>
  <c r="AD289" i="2" s="1"/>
  <c r="AC17" i="8"/>
  <c r="R285" i="2"/>
  <c r="AA285" i="2" s="1"/>
  <c r="S181" i="2"/>
  <c r="R83" i="2"/>
  <c r="S245" i="2"/>
  <c r="R183" i="2"/>
  <c r="AC22" i="8"/>
  <c r="AB38" i="8"/>
  <c r="AG38" i="8" s="1"/>
  <c r="S253" i="2"/>
  <c r="Z253" i="2" s="1"/>
  <c r="S130" i="2"/>
  <c r="AB130" i="2" s="1"/>
  <c r="AG130" i="2" s="1"/>
  <c r="Z119" i="2"/>
  <c r="R265" i="2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6" i="8"/>
  <c r="AG16" i="8" s="1"/>
  <c r="AC16" i="8"/>
  <c r="S54" i="2"/>
  <c r="AB22" i="8"/>
  <c r="AG22" i="8" s="1"/>
  <c r="Z4" i="8"/>
  <c r="Z63" i="2"/>
  <c r="R16" i="8"/>
  <c r="AC63" i="2"/>
  <c r="AH63" i="2" s="1"/>
  <c r="AE63" i="2"/>
  <c r="AI63" i="2" s="1"/>
  <c r="AA22" i="8"/>
  <c r="AF22" i="8" s="1"/>
  <c r="Z142" i="2"/>
  <c r="AD63" i="2"/>
  <c r="AC302" i="2"/>
  <c r="AH302" i="2" s="1"/>
  <c r="R67" i="2"/>
  <c r="R10" i="11" s="1"/>
  <c r="S67" i="2"/>
  <c r="R11" i="11" s="1"/>
  <c r="Z16" i="8"/>
  <c r="R54" i="2"/>
  <c r="AA276" i="2"/>
  <c r="S114" i="2"/>
  <c r="AB114" i="2" s="1"/>
  <c r="AG114" i="2" s="1"/>
  <c r="AB60" i="2"/>
  <c r="AG60" i="2" s="1"/>
  <c r="Y16" i="8"/>
  <c r="AA257" i="2"/>
  <c r="Y29" i="8"/>
  <c r="R111" i="2"/>
  <c r="AJ118" i="2"/>
  <c r="AO118" i="2" s="1"/>
  <c r="R226" i="2"/>
  <c r="AA226" i="2" s="1"/>
  <c r="R22" i="8"/>
  <c r="AB4" i="8"/>
  <c r="AG4" i="8" s="1"/>
  <c r="AA82" i="2"/>
  <c r="R96" i="2"/>
  <c r="AA12" i="8"/>
  <c r="AF12" i="8" s="1"/>
  <c r="AD264" i="2"/>
  <c r="AJ4" i="8"/>
  <c r="AA16" i="8"/>
  <c r="AF16" i="8" s="1"/>
  <c r="AC25" i="8"/>
  <c r="AC10" i="8"/>
  <c r="Y13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1" i="8"/>
  <c r="AF11" i="8" s="1"/>
  <c r="AC46" i="2"/>
  <c r="AH46" i="2" s="1"/>
  <c r="AE46" i="2"/>
  <c r="AI46" i="2" s="1"/>
  <c r="AD28" i="2"/>
  <c r="AC18" i="12"/>
  <c r="AD18" i="12" s="1"/>
  <c r="AI14" i="8"/>
  <c r="AJ14" i="8" s="1"/>
  <c r="AA10" i="8"/>
  <c r="AF10" i="8" s="1"/>
  <c r="Z221" i="2"/>
  <c r="AE4" i="2"/>
  <c r="AF4" i="2" s="1"/>
  <c r="AB29" i="8"/>
  <c r="AG29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9" i="8"/>
  <c r="AJ19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9" i="8"/>
  <c r="AF29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4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2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2" i="8"/>
  <c r="AG12" i="8" s="1"/>
  <c r="AD12" i="8"/>
  <c r="AH12" i="8" s="1"/>
  <c r="AB37" i="2"/>
  <c r="AG37" i="2" s="1"/>
  <c r="AD14" i="8"/>
  <c r="AH14" i="8" s="1"/>
  <c r="R191" i="2"/>
  <c r="AC191" i="2" s="1"/>
  <c r="AH191" i="2" s="1"/>
  <c r="AI12" i="8"/>
  <c r="AJ12" i="8" s="1"/>
  <c r="AB39" i="8"/>
  <c r="AG39" i="8" s="1"/>
  <c r="AC18" i="8"/>
  <c r="R12" i="8"/>
  <c r="Y2" i="12"/>
  <c r="Z22" i="8"/>
  <c r="Y12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8" i="8"/>
  <c r="AE28" i="8" s="1"/>
  <c r="AB41" i="2"/>
  <c r="AG41" i="2" s="1"/>
  <c r="AE41" i="2"/>
  <c r="AI41" i="2" s="1"/>
  <c r="R4" i="17"/>
  <c r="AD4" i="17"/>
  <c r="AE4" i="17" s="1"/>
  <c r="AH16" i="8"/>
  <c r="AE16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9" i="8"/>
  <c r="AA19" i="8"/>
  <c r="AF19" i="8" s="1"/>
  <c r="AD19" i="8"/>
  <c r="AE19" i="8" s="1"/>
  <c r="Z15" i="8"/>
  <c r="AD15" i="8"/>
  <c r="AH15" i="8" s="1"/>
  <c r="AI15" i="8"/>
  <c r="AJ15" i="8" s="1"/>
  <c r="AD17" i="2"/>
  <c r="AC25" i="2"/>
  <c r="AH25" i="2" s="1"/>
  <c r="AC19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5" i="8"/>
  <c r="AG15" i="8" s="1"/>
  <c r="AE17" i="2"/>
  <c r="AF17" i="2" s="1"/>
  <c r="AA15" i="8"/>
  <c r="AF15" i="8" s="1"/>
  <c r="AC15" i="8"/>
  <c r="AC21" i="15"/>
  <c r="AI21" i="15" s="1"/>
  <c r="AE39" i="2"/>
  <c r="AI39" i="2" s="1"/>
  <c r="R15" i="8"/>
  <c r="AE25" i="2"/>
  <c r="AI25" i="2" s="1"/>
  <c r="AB2" i="22"/>
  <c r="AG2" i="22" s="1"/>
  <c r="AH15" i="10"/>
  <c r="AI15" i="10" s="1"/>
  <c r="AJ55" i="2"/>
  <c r="AN55" i="2" s="1"/>
  <c r="X15" i="10"/>
  <c r="AA35" i="2"/>
  <c r="Z9" i="2"/>
  <c r="Z35" i="2"/>
  <c r="AB9" i="2"/>
  <c r="AG9" i="2" s="1"/>
  <c r="AD30" i="8"/>
  <c r="AH30" i="8" s="1"/>
  <c r="R14" i="8"/>
  <c r="Z12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9" i="8"/>
  <c r="AJ29" i="8" s="1"/>
  <c r="AC60" i="15"/>
  <c r="AI60" i="15" s="1"/>
  <c r="AD13" i="8"/>
  <c r="AE13" i="8" s="1"/>
  <c r="AB43" i="15"/>
  <c r="AC52" i="2"/>
  <c r="AH52" i="2" s="1"/>
  <c r="AD29" i="8"/>
  <c r="AH29" i="8" s="1"/>
  <c r="AA4" i="8"/>
  <c r="AF4" i="8" s="1"/>
  <c r="AB43" i="2"/>
  <c r="AG43" i="2" s="1"/>
  <c r="Z36" i="2"/>
  <c r="AB33" i="8"/>
  <c r="AG33" i="8" s="1"/>
  <c r="R11" i="8"/>
  <c r="Z17" i="10"/>
  <c r="AE17" i="10" s="1"/>
  <c r="AI22" i="8"/>
  <c r="AJ22" i="8" s="1"/>
  <c r="AD36" i="15"/>
  <c r="AJ36" i="15" s="1"/>
  <c r="AE256" i="2"/>
  <c r="AF256" i="2" s="1"/>
  <c r="AD3" i="19"/>
  <c r="AH3" i="19" s="1"/>
  <c r="R29" i="8"/>
  <c r="AB3" i="12"/>
  <c r="AI6" i="19"/>
  <c r="AJ6" i="19" s="1"/>
  <c r="AD8" i="16"/>
  <c r="AE8" i="16" s="1"/>
  <c r="AI5" i="19"/>
  <c r="AJ5" i="19" s="1"/>
  <c r="R5" i="19"/>
  <c r="AI8" i="16"/>
  <c r="AJ8" i="16" s="1"/>
  <c r="AA14" i="8"/>
  <c r="AF14" i="8" s="1"/>
  <c r="AC29" i="8"/>
  <c r="AH20" i="12"/>
  <c r="AI20" i="12" s="1"/>
  <c r="AA30" i="8"/>
  <c r="AF30" i="8" s="1"/>
  <c r="AE30" i="2"/>
  <c r="AF30" i="2" s="1"/>
  <c r="AH18" i="12"/>
  <c r="AI18" i="12" s="1"/>
  <c r="X19" i="10"/>
  <c r="AB11" i="8"/>
  <c r="AG11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9" i="8"/>
  <c r="AG19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F7" i="8"/>
  <c r="AJ275" i="2"/>
  <c r="AO275" i="2" s="1"/>
  <c r="AH3" i="12"/>
  <c r="AI3" i="12" s="1"/>
  <c r="AI13" i="8"/>
  <c r="AJ13" i="8" s="1"/>
  <c r="AE275" i="2"/>
  <c r="AI275" i="2" s="1"/>
  <c r="AD23" i="2"/>
  <c r="AC22" i="2"/>
  <c r="AH22" i="2" s="1"/>
  <c r="AA13" i="8"/>
  <c r="AF13" i="8" s="1"/>
  <c r="AC11" i="8"/>
  <c r="AB22" i="2"/>
  <c r="AG22" i="2" s="1"/>
  <c r="AF14" i="2"/>
  <c r="AB23" i="2"/>
  <c r="AG23" i="2" s="1"/>
  <c r="AE23" i="2"/>
  <c r="AF23" i="2" s="1"/>
  <c r="AE45" i="2"/>
  <c r="AI45" i="2" s="1"/>
  <c r="AC13" i="8"/>
  <c r="AC3" i="19"/>
  <c r="Z23" i="2"/>
  <c r="AD89" i="2"/>
  <c r="AC31" i="15"/>
  <c r="AI31" i="15" s="1"/>
  <c r="AB89" i="2"/>
  <c r="AG89" i="2" s="1"/>
  <c r="Z145" i="2"/>
  <c r="AC89" i="2"/>
  <c r="AH89" i="2" s="1"/>
  <c r="AD33" i="8"/>
  <c r="AH33" i="8" s="1"/>
  <c r="AC28" i="2"/>
  <c r="AH28" i="2" s="1"/>
  <c r="AD22" i="2"/>
  <c r="AA33" i="8"/>
  <c r="AF33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30" i="8"/>
  <c r="AG30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3" i="8"/>
  <c r="Z5" i="8"/>
  <c r="AD3" i="18"/>
  <c r="AE3" i="18" s="1"/>
  <c r="AF45" i="15"/>
  <c r="AK45" i="15" s="1"/>
  <c r="AD5" i="8"/>
  <c r="AE5" i="8" s="1"/>
  <c r="AB21" i="2"/>
  <c r="AG21" i="2" s="1"/>
  <c r="AC33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3" i="8"/>
  <c r="AJ33" i="8" s="1"/>
  <c r="AA17" i="8"/>
  <c r="AF17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3" i="8"/>
  <c r="AA6" i="16"/>
  <c r="AF6" i="16" s="1"/>
  <c r="Y24" i="12"/>
  <c r="Z22" i="2"/>
  <c r="R33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9" i="8"/>
  <c r="Z21" i="12"/>
  <c r="AE21" i="12" s="1"/>
  <c r="AA37" i="2"/>
  <c r="Y22" i="8"/>
  <c r="Y4" i="8"/>
  <c r="Z109" i="2"/>
  <c r="Y14" i="8"/>
  <c r="Y5" i="19"/>
  <c r="AD49" i="15"/>
  <c r="AJ49" i="15" s="1"/>
  <c r="Z31" i="2"/>
  <c r="Z14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8" i="8"/>
  <c r="AJ18" i="8" s="1"/>
  <c r="AD18" i="8"/>
  <c r="AE18" i="8" s="1"/>
  <c r="AB18" i="8"/>
  <c r="AG18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1" i="8"/>
  <c r="AE11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8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30" i="8"/>
  <c r="AJ30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7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30" i="8"/>
  <c r="AB21" i="12"/>
  <c r="AC30" i="8"/>
  <c r="AA3" i="20"/>
  <c r="AF3" i="20" s="1"/>
  <c r="AD25" i="8"/>
  <c r="AH25" i="8" s="1"/>
  <c r="AB42" i="8"/>
  <c r="AG42" i="8" s="1"/>
  <c r="AD45" i="2"/>
  <c r="AD50" i="2"/>
  <c r="Z38" i="2"/>
  <c r="R6" i="19"/>
  <c r="Y38" i="8"/>
  <c r="Y3" i="12"/>
  <c r="Z4" i="17"/>
  <c r="R2" i="19"/>
  <c r="R25" i="8"/>
  <c r="AI28" i="8"/>
  <c r="AJ28" i="8" s="1"/>
  <c r="AA2" i="19"/>
  <c r="AF2" i="19" s="1"/>
  <c r="Y3" i="25"/>
  <c r="Z25" i="8"/>
  <c r="AA52" i="2"/>
  <c r="Y3" i="20"/>
  <c r="AB13" i="8"/>
  <c r="AG13" i="8" s="1"/>
  <c r="Y2" i="19"/>
  <c r="Y5" i="16"/>
  <c r="Y9" i="16"/>
  <c r="AB49" i="15"/>
  <c r="Z13" i="8"/>
  <c r="AA8" i="2"/>
  <c r="AE8" i="2"/>
  <c r="AI8" i="2" s="1"/>
  <c r="R13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9" i="8"/>
  <c r="AA51" i="2"/>
  <c r="Z18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5" i="8"/>
  <c r="AB2" i="10"/>
  <c r="AI11" i="8"/>
  <c r="AJ11" i="8" s="1"/>
  <c r="Y39" i="8"/>
  <c r="Y23" i="10"/>
  <c r="R5" i="8"/>
  <c r="R19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7" i="8"/>
  <c r="AH17" i="8" s="1"/>
  <c r="AC7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5" i="8"/>
  <c r="AG25" i="8" s="1"/>
  <c r="AB7" i="8"/>
  <c r="AG7" i="8" s="1"/>
  <c r="AA28" i="8"/>
  <c r="AF28" i="8" s="1"/>
  <c r="AD59" i="15"/>
  <c r="AJ59" i="15" s="1"/>
  <c r="Z51" i="2"/>
  <c r="R3" i="25"/>
  <c r="R42" i="8"/>
  <c r="AD52" i="2"/>
  <c r="AC3" i="20"/>
  <c r="AD21" i="2"/>
  <c r="AD46" i="2"/>
  <c r="AB7" i="16"/>
  <c r="AG7" i="16" s="1"/>
  <c r="Z85" i="2"/>
  <c r="AC42" i="8"/>
  <c r="Z3" i="18"/>
  <c r="Y4" i="17"/>
  <c r="AC4" i="17"/>
  <c r="Y11" i="8"/>
  <c r="Z11" i="8"/>
  <c r="R18" i="8"/>
  <c r="Y18" i="8"/>
  <c r="AF2" i="2"/>
  <c r="Z47" i="2"/>
  <c r="AA50" i="2"/>
  <c r="X3" i="12"/>
  <c r="Y25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30" i="8"/>
  <c r="Z3" i="19"/>
  <c r="R30" i="8"/>
  <c r="AF40" i="15"/>
  <c r="Z28" i="8"/>
  <c r="Y28" i="8"/>
  <c r="AE5" i="25"/>
  <c r="AH5" i="25"/>
  <c r="AB28" i="8"/>
  <c r="AG28" i="8" s="1"/>
  <c r="X21" i="12"/>
  <c r="AC21" i="12"/>
  <c r="Y21" i="12"/>
  <c r="AB55" i="2"/>
  <c r="AG55" i="2" s="1"/>
  <c r="AA55" i="2"/>
  <c r="AD55" i="2"/>
  <c r="R3" i="8"/>
  <c r="Y3" i="8"/>
  <c r="AB3" i="8"/>
  <c r="AG3" i="8" s="1"/>
  <c r="Z3" i="8"/>
  <c r="AF6" i="2"/>
  <c r="AI10" i="8"/>
  <c r="AJ10" i="8" s="1"/>
  <c r="Z10" i="8"/>
  <c r="Y10" i="8"/>
  <c r="AD10" i="8"/>
  <c r="R10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7" i="8"/>
  <c r="AJ7" i="8" s="1"/>
  <c r="Z52" i="2"/>
  <c r="Z17" i="8"/>
  <c r="AB17" i="8"/>
  <c r="AG17" i="8" s="1"/>
  <c r="R17" i="8"/>
  <c r="Y17" i="8"/>
  <c r="Z6" i="8"/>
  <c r="Y6" i="8"/>
  <c r="R6" i="8"/>
  <c r="R7" i="16"/>
  <c r="AD7" i="8"/>
  <c r="Y7" i="8"/>
  <c r="R28" i="8"/>
  <c r="R3" i="16"/>
  <c r="Y3" i="16"/>
  <c r="Z3" i="16"/>
  <c r="Z7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B85" i="2"/>
  <c r="AG85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7" i="15"/>
  <c r="AF77" i="15"/>
  <c r="AG77" i="15" s="1"/>
  <c r="AB75" i="15"/>
  <c r="AH18" i="15"/>
  <c r="AL18" i="15" s="1"/>
  <c r="AD77" i="15"/>
  <c r="AJ77" i="15" s="1"/>
  <c r="AE75" i="15"/>
  <c r="AH59" i="15"/>
  <c r="AL59" i="15" s="1"/>
  <c r="AC77" i="15"/>
  <c r="AI77" i="15" s="1"/>
  <c r="AA59" i="15"/>
  <c r="AB59" i="15"/>
  <c r="AA92" i="2"/>
  <c r="AA192" i="2"/>
  <c r="AD282" i="2"/>
  <c r="AD5" i="23"/>
  <c r="AI5" i="23" s="1"/>
  <c r="AD52" i="15"/>
  <c r="AJ52" i="15" s="1"/>
  <c r="AA22" i="15"/>
  <c r="AM80" i="15"/>
  <c r="AN80" i="15" s="1"/>
  <c r="AI25" i="8"/>
  <c r="AJ25" i="8" s="1"/>
  <c r="Z73" i="2"/>
  <c r="AF59" i="15"/>
  <c r="AK59" i="15" s="1"/>
  <c r="AE52" i="15"/>
  <c r="AD76" i="2"/>
  <c r="AB94" i="2"/>
  <c r="AG94" i="2" s="1"/>
  <c r="AB21" i="15"/>
  <c r="AJ85" i="2"/>
  <c r="AO85" i="2" s="1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14" i="15"/>
  <c r="AI14" i="15" s="1"/>
  <c r="AM14" i="15"/>
  <c r="AN14" i="15" s="1"/>
  <c r="AH5" i="15"/>
  <c r="AL5" i="15" s="1"/>
  <c r="AJ257" i="2"/>
  <c r="AN257" i="2" s="1"/>
  <c r="AH75" i="15"/>
  <c r="AL75" i="15" s="1"/>
  <c r="AE85" i="2"/>
  <c r="AF85" i="2" s="1"/>
  <c r="Z60" i="2"/>
  <c r="AC257" i="2"/>
  <c r="AH257" i="2" s="1"/>
  <c r="AJ193" i="2"/>
  <c r="AN193" i="2" s="1"/>
  <c r="AE60" i="2"/>
  <c r="AI60" i="2" s="1"/>
  <c r="AH36" i="15"/>
  <c r="AL36" i="15" s="1"/>
  <c r="AD60" i="2"/>
  <c r="AD31" i="15"/>
  <c r="AJ31" i="15" s="1"/>
  <c r="AD219" i="2"/>
  <c r="AB221" i="2"/>
  <c r="AG221" i="2" s="1"/>
  <c r="AA60" i="2"/>
  <c r="AC25" i="15"/>
  <c r="AI25" i="15" s="1"/>
  <c r="AA70" i="15"/>
  <c r="Z193" i="2"/>
  <c r="AC75" i="15"/>
  <c r="AI75" i="15" s="1"/>
  <c r="AB7" i="15"/>
  <c r="AC36" i="15"/>
  <c r="AI36" i="15" s="1"/>
  <c r="AD74" i="2"/>
  <c r="Z257" i="2"/>
  <c r="AA62" i="15"/>
  <c r="AB79" i="15"/>
  <c r="AD224" i="2"/>
  <c r="AD70" i="15"/>
  <c r="AJ70" i="15" s="1"/>
  <c r="AF31" i="15"/>
  <c r="AK31" i="15" s="1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0" i="15"/>
  <c r="AG70" i="15" s="1"/>
  <c r="AA26" i="15"/>
  <c r="AE73" i="15"/>
  <c r="AA154" i="2"/>
  <c r="AA119" i="2"/>
  <c r="AB256" i="2"/>
  <c r="AG256" i="2" s="1"/>
  <c r="AB73" i="2"/>
  <c r="AG73" i="2" s="1"/>
  <c r="AB5" i="23"/>
  <c r="AF26" i="15"/>
  <c r="AK26" i="15" s="1"/>
  <c r="AC4" i="15"/>
  <c r="AI4" i="15" s="1"/>
  <c r="AH73" i="15"/>
  <c r="AL73" i="15" s="1"/>
  <c r="AE119" i="2"/>
  <c r="AF119" i="2" s="1"/>
  <c r="AC256" i="2"/>
  <c r="AH256" i="2" s="1"/>
  <c r="AA2" i="15"/>
  <c r="AA4" i="15"/>
  <c r="AJ119" i="2"/>
  <c r="AN119" i="2" s="1"/>
  <c r="AA256" i="2"/>
  <c r="AA75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2" i="15"/>
  <c r="AL82" i="15" s="1"/>
  <c r="AM82" i="15"/>
  <c r="AN82" i="15" s="1"/>
  <c r="AF82" i="15"/>
  <c r="AG82" i="15" s="1"/>
  <c r="S24" i="15"/>
  <c r="AC24" i="15"/>
  <c r="AI24" i="15" s="1"/>
  <c r="AF24" i="15"/>
  <c r="AB71" i="15"/>
  <c r="S71" i="15"/>
  <c r="AM71" i="15"/>
  <c r="AN71" i="15" s="1"/>
  <c r="AE71" i="15"/>
  <c r="AH71" i="15"/>
  <c r="AL71" i="15" s="1"/>
  <c r="AF71" i="15"/>
  <c r="AG71" i="15" s="1"/>
  <c r="AA71" i="15"/>
  <c r="AD71" i="15"/>
  <c r="AJ71" i="15" s="1"/>
  <c r="S34" i="15"/>
  <c r="AM34" i="15"/>
  <c r="AN34" i="15" s="1"/>
  <c r="AD34" i="15"/>
  <c r="AJ34" i="15" s="1"/>
  <c r="AE34" i="15"/>
  <c r="AJ256" i="2"/>
  <c r="AN256" i="2" s="1"/>
  <c r="AD152" i="2"/>
  <c r="S30" i="15"/>
  <c r="S73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2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H24" i="15"/>
  <c r="AL24" i="15" s="1"/>
  <c r="S75" i="15"/>
  <c r="AM75" i="15"/>
  <c r="AN75" i="15" s="1"/>
  <c r="AD75" i="15"/>
  <c r="AJ75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AD85" i="2"/>
  <c r="AA85" i="2"/>
  <c r="AC85" i="2"/>
  <c r="AH85" i="2" s="1"/>
  <c r="S59" i="15"/>
  <c r="AE59" i="15"/>
  <c r="AC59" i="15"/>
  <c r="AI59" i="15" s="1"/>
  <c r="AM59" i="15"/>
  <c r="AN59" i="15" s="1"/>
  <c r="AC79" i="15"/>
  <c r="AI79" i="15" s="1"/>
  <c r="AM79" i="15"/>
  <c r="AN79" i="15" s="1"/>
  <c r="S79" i="15"/>
  <c r="AD79" i="15"/>
  <c r="AJ79" i="15" s="1"/>
  <c r="AA79" i="15"/>
  <c r="AF79" i="15"/>
  <c r="AE79" i="15"/>
  <c r="AB10" i="15"/>
  <c r="AM10" i="15"/>
  <c r="AN10" i="15" s="1"/>
  <c r="AB185" i="2"/>
  <c r="AG185" i="2" s="1"/>
  <c r="AD3" i="15"/>
  <c r="AJ3" i="15" s="1"/>
  <c r="AC71" i="15"/>
  <c r="AI71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0" i="15"/>
  <c r="AI80" i="15" s="1"/>
  <c r="AB80" i="15"/>
  <c r="AA80" i="15"/>
  <c r="S80" i="15"/>
  <c r="AH80" i="15"/>
  <c r="AL80" i="15" s="1"/>
  <c r="AF80" i="15"/>
  <c r="AE80" i="15"/>
  <c r="AD80" i="15"/>
  <c r="AJ80" i="15" s="1"/>
  <c r="S82" i="15"/>
  <c r="AB24" i="15"/>
  <c r="Z185" i="2"/>
  <c r="AJ2" i="24"/>
  <c r="AM30" i="15"/>
  <c r="AN30" i="15" s="1"/>
  <c r="AA30" i="15"/>
  <c r="AH30" i="15"/>
  <c r="AL30" i="15" s="1"/>
  <c r="AF30" i="15"/>
  <c r="AG30" i="15" s="1"/>
  <c r="AF73" i="15"/>
  <c r="AG73" i="15" s="1"/>
  <c r="AM73" i="15"/>
  <c r="AN73" i="15" s="1"/>
  <c r="AA73" i="15"/>
  <c r="AD73" i="15"/>
  <c r="AJ73" i="15" s="1"/>
  <c r="AC73" i="15"/>
  <c r="AI73" i="15" s="1"/>
  <c r="AC158" i="2"/>
  <c r="AH158" i="2" s="1"/>
  <c r="AB158" i="2"/>
  <c r="AG158" i="2" s="1"/>
  <c r="AH57" i="15"/>
  <c r="AL57" i="15" s="1"/>
  <c r="AH79" i="15"/>
  <c r="AL79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B119" i="2"/>
  <c r="AG119" i="2" s="1"/>
  <c r="AH15" i="15"/>
  <c r="AL15" i="15" s="1"/>
  <c r="AB244" i="2"/>
  <c r="AG244" i="2" s="1"/>
  <c r="AD119" i="2"/>
  <c r="AF15" i="15"/>
  <c r="AC119" i="2"/>
  <c r="AH119" i="2" s="1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0" i="15"/>
  <c r="AC70" i="15"/>
  <c r="AI70" i="15" s="1"/>
  <c r="AM70" i="15"/>
  <c r="AN70" i="15" s="1"/>
  <c r="AB70" i="15"/>
  <c r="AH70" i="15"/>
  <c r="AL70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7" i="15"/>
  <c r="AA77" i="15"/>
  <c r="AE77" i="15"/>
  <c r="AH77" i="15"/>
  <c r="AL77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69" i="15"/>
  <c r="AH69" i="15"/>
  <c r="AL69" i="15" s="1"/>
  <c r="AC69" i="15"/>
  <c r="AI69" i="15" s="1"/>
  <c r="AB69" i="15"/>
  <c r="AM69" i="15"/>
  <c r="AN69" i="15" s="1"/>
  <c r="S69" i="15"/>
  <c r="AF69" i="15"/>
  <c r="AD69" i="15"/>
  <c r="AJ69" i="15" s="1"/>
  <c r="AE69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8" i="8"/>
  <c r="AF18" i="8" s="1"/>
  <c r="AK75" i="15"/>
  <c r="AG75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8" i="15"/>
  <c r="AJ78" i="15" s="1"/>
  <c r="AA78" i="15"/>
  <c r="AE78" i="15"/>
  <c r="S78" i="15"/>
  <c r="AM78" i="15"/>
  <c r="AN78" i="15" s="1"/>
  <c r="AC78" i="15"/>
  <c r="AI78" i="15" s="1"/>
  <c r="AB78" i="15"/>
  <c r="AF78" i="15"/>
  <c r="AH78" i="15"/>
  <c r="AL78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C74" i="2"/>
  <c r="AH74" i="2" s="1"/>
  <c r="AA74" i="2"/>
  <c r="AB74" i="2"/>
  <c r="AG74" i="2" s="1"/>
  <c r="Z74" i="2"/>
  <c r="AA25" i="8"/>
  <c r="AF25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F63" i="6"/>
  <c r="AM4" i="15" s="1"/>
  <c r="AN4" i="15" s="1"/>
  <c r="AM43" i="15"/>
  <c r="AN43" i="15" s="1"/>
  <c r="AA17" i="15"/>
  <c r="AA31" i="15"/>
  <c r="AH31" i="15"/>
  <c r="AL31" i="15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2" i="15"/>
  <c r="AI82" i="15" s="1"/>
  <c r="AD82" i="15"/>
  <c r="AJ82" i="15" s="1"/>
  <c r="AB82" i="15"/>
  <c r="AA82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I37" i="2"/>
  <c r="AF37" i="2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2" i="15"/>
  <c r="AN72" i="15" s="1"/>
  <c r="AA72" i="15"/>
  <c r="AC72" i="15"/>
  <c r="AI72" i="15" s="1"/>
  <c r="AE72" i="15"/>
  <c r="AB72" i="15"/>
  <c r="S72" i="15"/>
  <c r="AH72" i="15"/>
  <c r="AL72" i="15" s="1"/>
  <c r="AF72" i="15"/>
  <c r="AD72" i="15"/>
  <c r="AJ72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68" i="2"/>
  <c r="Z68" i="2"/>
  <c r="AB68" i="2"/>
  <c r="AG68" i="2" s="1"/>
  <c r="AA68" i="2"/>
  <c r="AC68" i="2"/>
  <c r="AH68" i="2" s="1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C60" i="2" l="1"/>
  <c r="AH60" i="2" s="1"/>
  <c r="AA284" i="2"/>
  <c r="AJ284" i="2"/>
  <c r="AO284" i="2" s="1"/>
  <c r="AA205" i="2"/>
  <c r="AJ209" i="2"/>
  <c r="AN209" i="2" s="1"/>
  <c r="AB284" i="2"/>
  <c r="AG284" i="2" s="1"/>
  <c r="AA209" i="2"/>
  <c r="AA287" i="2"/>
  <c r="AC284" i="2"/>
  <c r="AH284" i="2" s="1"/>
  <c r="AE287" i="2"/>
  <c r="AF287" i="2" s="1"/>
  <c r="AD209" i="2"/>
  <c r="AD287" i="2"/>
  <c r="Z205" i="2"/>
  <c r="AD205" i="2"/>
  <c r="AE205" i="2"/>
  <c r="AF205" i="2" s="1"/>
  <c r="AB205" i="2"/>
  <c r="AG205" i="2" s="1"/>
  <c r="AJ205" i="2"/>
  <c r="AN205" i="2" s="1"/>
  <c r="Z209" i="2"/>
  <c r="AC287" i="2"/>
  <c r="AH287" i="2" s="1"/>
  <c r="AJ287" i="2"/>
  <c r="AN287" i="2" s="1"/>
  <c r="AE209" i="2"/>
  <c r="AI209" i="2" s="1"/>
  <c r="AB287" i="2"/>
  <c r="AG287" i="2" s="1"/>
  <c r="Z284" i="2"/>
  <c r="AC209" i="2"/>
  <c r="AH209" i="2" s="1"/>
  <c r="AE284" i="2"/>
  <c r="AI284" i="2" s="1"/>
  <c r="AD265" i="2"/>
  <c r="AH44" i="8"/>
  <c r="AE44" i="8"/>
  <c r="AI3" i="8"/>
  <c r="AJ3" i="8" s="1"/>
  <c r="AI4" i="19"/>
  <c r="AJ4" i="19" s="1"/>
  <c r="AI17" i="8"/>
  <c r="AJ17" i="8" s="1"/>
  <c r="AK46" i="8" s="1"/>
  <c r="AI2" i="19"/>
  <c r="AJ2" i="19" s="1"/>
  <c r="AJ68" i="2"/>
  <c r="AN68" i="2" s="1"/>
  <c r="AK2" i="23"/>
  <c r="AK6" i="23" s="1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2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2" i="8"/>
  <c r="AE29" i="8"/>
  <c r="AE30" i="8"/>
  <c r="AH2" i="16"/>
  <c r="AG18" i="12"/>
  <c r="AO176" i="2"/>
  <c r="AE15" i="8"/>
  <c r="AE4" i="8"/>
  <c r="AH2" i="18"/>
  <c r="AF41" i="2"/>
  <c r="AG49" i="15"/>
  <c r="AD24" i="12"/>
  <c r="AH13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4" i="8"/>
  <c r="AF145" i="2"/>
  <c r="Z100" i="2"/>
  <c r="AD168" i="2"/>
  <c r="AB191" i="2"/>
  <c r="AG191" i="2" s="1"/>
  <c r="AE2" i="22"/>
  <c r="AH19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8" i="8"/>
  <c r="AE270" i="2"/>
  <c r="AF270" i="2" s="1"/>
  <c r="AE59" i="2"/>
  <c r="AI59" i="2" s="1"/>
  <c r="AF21" i="2"/>
  <c r="AD24" i="10"/>
  <c r="AO112" i="2"/>
  <c r="AC270" i="2"/>
  <c r="AH270" i="2" s="1"/>
  <c r="AN91" i="2"/>
  <c r="AH28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I206" i="2"/>
  <c r="AI51" i="2"/>
  <c r="AI109" i="2"/>
  <c r="AE33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5" i="8"/>
  <c r="AC144" i="2"/>
  <c r="AH144" i="2" s="1"/>
  <c r="AE4" i="19"/>
  <c r="AJ59" i="2"/>
  <c r="AN59" i="2" s="1"/>
  <c r="AG19" i="10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1" i="8"/>
  <c r="AJ162" i="2"/>
  <c r="AN162" i="2" s="1"/>
  <c r="AJ297" i="2"/>
  <c r="AO297" i="2" s="1"/>
  <c r="AD3" i="12"/>
  <c r="AK13" i="24"/>
  <c r="AA297" i="2"/>
  <c r="AE17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7" i="8"/>
  <c r="AE7" i="8"/>
  <c r="AI42" i="2"/>
  <c r="AF42" i="2"/>
  <c r="AH10" i="8"/>
  <c r="AE10" i="8"/>
  <c r="AD22" i="10"/>
  <c r="AG22" i="10"/>
  <c r="R184" i="2"/>
  <c r="Z184" i="2" s="1"/>
  <c r="AK40" i="15"/>
  <c r="AG40" i="15"/>
  <c r="AF304" i="2"/>
  <c r="AI129" i="2"/>
  <c r="AK4" i="15"/>
  <c r="AK77" i="15"/>
  <c r="AN139" i="2"/>
  <c r="AG37" i="15"/>
  <c r="AK70" i="15"/>
  <c r="AK82" i="15"/>
  <c r="AK34" i="15"/>
  <c r="AI302" i="2"/>
  <c r="AK71" i="15"/>
  <c r="AN85" i="2"/>
  <c r="AO61" i="2"/>
  <c r="AO193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3" i="15"/>
  <c r="AI119" i="2"/>
  <c r="AF192" i="2"/>
  <c r="AN210" i="2"/>
  <c r="AI85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79" i="15"/>
  <c r="AG79" i="15"/>
  <c r="AF115" i="2"/>
  <c r="AI115" i="2"/>
  <c r="AG51" i="15"/>
  <c r="AK51" i="15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0" i="15"/>
  <c r="AK80" i="15"/>
  <c r="AK24" i="15"/>
  <c r="AG24" i="15"/>
  <c r="AK64" i="15"/>
  <c r="AG64" i="15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69" i="15"/>
  <c r="AK69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F64" i="2"/>
  <c r="AI64" i="2"/>
  <c r="AN198" i="2"/>
  <c r="AO198" i="2"/>
  <c r="AO64" i="2"/>
  <c r="AN64" i="2"/>
  <c r="AK78" i="15"/>
  <c r="AG78" i="15"/>
  <c r="AN94" i="2"/>
  <c r="AO9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2" i="15"/>
  <c r="AK72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F209" i="2" l="1"/>
  <c r="AF284" i="2"/>
  <c r="AL2" i="23"/>
  <c r="AN284" i="2"/>
  <c r="AO205" i="2"/>
  <c r="AI205" i="2"/>
  <c r="AO209" i="2"/>
  <c r="AI287" i="2"/>
  <c r="AO287" i="2"/>
  <c r="AK49" i="8"/>
  <c r="AO68" i="2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<sst xmlns="http://schemas.openxmlformats.org/spreadsheetml/2006/main" count="3459" uniqueCount="875">
  <si>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</si>
  <si>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</si>
  <si>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</si>
  <si>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</si>
  <si>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</si>
  <si>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</si>
  <si>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</si>
  <si>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</si>
  <si>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</si>
  <si>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</si>
  <si>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</si>
  <si>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</si>
  <si>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</si>
  <si>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</si>
  <si>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</si>
  <si>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</si>
  <si>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</si>
  <si>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</si>
  <si>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</si>
  <si>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</si>
  <si>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</si>
  <si>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</si>
  <si>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</si>
  <si>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</si>
  <si>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</si>
  <si>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</si>
  <si>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</si>
  <si>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</si>
  <si>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</si>
  <si>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</si>
  <si>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</si>
  <si>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</si>
  <si>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</si>
  <si>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</si>
  <si>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</si>
  <si>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</si>
  <si>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</si>
  <si>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</si>
  <si>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</si>
  <si>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</si>
  <si>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</si>
  <si>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</si>
  <si>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</si>
  <si>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</si>
  <si>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</si>
  <si>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</si>
  <si>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</si>
  <si>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</si>
  <si>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</si>
  <si>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</si>
  <si>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</si>
  <si>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</si>
  <si>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</si>
  <si>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</si>
  <si>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</si>
  <si>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</si>
  <si>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</si>
  <si>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</si>
  <si>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</si>
  <si>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</si>
  <si>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</si>
  <si>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</si>
  <si>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</si>
  <si>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</si>
  <si>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</si>
  <si>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</si>
  <si>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</si>
  <si>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</si>
  <si>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</si>
  <si>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</si>
  <si>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</si>
  <si>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</si>
  <si>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</si>
  <si>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</si>
  <si>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</si>
  <si>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</si>
  <si>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</si>
  <si>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</si>
  <si>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</si>
  <si>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</si>
  <si>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</si>
  <si>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</si>
  <si>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</si>
  <si>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</si>
  <si>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</si>
  <si>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</si>
  <si>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</si>
  <si>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</si>
  <si>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</si>
  <si>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</si>
  <si>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</si>
  <si>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</si>
  <si>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</si>
  <si>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</si>
  <si>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</si>
  <si>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</si>
  <si>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</si>
  <si>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</si>
  <si>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</si>
  <si>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</si>
  <si>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</si>
  <si>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</si>
  <si>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</si>
  <si>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</si>
  <si>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</si>
  <si>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</si>
  <si>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</si>
  <si>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</si>
  <si>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</si>
  <si>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</si>
  <si>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</si>
  <si>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</si>
  <si>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</si>
  <si>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</si>
  <si>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</si>
  <si>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</si>
  <si>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</si>
  <si>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</si>
  <si>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</si>
  <si>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</si>
  <si>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</si>
  <si>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</si>
  <si>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</si>
  <si>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</si>
  <si>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</si>
  <si>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</si>
  <si>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</si>
  <si>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</si>
  <si>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</si>
  <si>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</si>
  <si>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</si>
  <si>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</si>
  <si>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</si>
  <si>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</si>
  <si>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</si>
  <si>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</si>
  <si>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</si>
  <si>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</si>
  <si>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</si>
  <si>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</si>
  <si>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</si>
  <si>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</si>
  <si>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</si>
  <si>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</si>
  <si>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</si>
  <si>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</si>
  <si>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</si>
  <si>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</si>
  <si>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</si>
  <si>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</si>
  <si>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</si>
  <si>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</si>
  <si>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</si>
  <si>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</si>
  <si>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</si>
  <si>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</si>
  <si>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</si>
  <si>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</si>
  <si>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</si>
  <si>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</si>
  <si>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</si>
  <si>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</si>
  <si>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</si>
  <si>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</si>
  <si>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</si>
  <si>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</si>
  <si>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</si>
  <si>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</si>
  <si>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</si>
  <si>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</si>
  <si>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</si>
  <si>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</si>
  <si>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</si>
  <si>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</si>
  <si>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</si>
  <si>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</si>
  <si>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</si>
  <si>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</si>
  <si>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</si>
  <si>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</si>
  <si>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</si>
  <si>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</si>
  <si>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</si>
  <si>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</si>
  <si>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</si>
  <si>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</si>
  <si>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</si>
  <si>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</si>
  <si>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</si>
  <si>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</si>
  <si>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</si>
  <si>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</si>
  <si>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</si>
  <si>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</si>
  <si>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</si>
  <si>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</si>
  <si>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</si>
  <si>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</si>
  <si>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</si>
  <si>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</si>
  <si>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</si>
  <si>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</si>
  <si>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</si>
  <si>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</si>
  <si>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</si>
  <si>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</si>
  <si>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</si>
  <si>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</si>
  <si>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</si>
  <si>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</si>
  <si>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</si>
  <si>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</si>
  <si>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</si>
  <si>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</si>
  <si>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</si>
  <si>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</si>
  <si>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</si>
  <si>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</si>
  <si>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</si>
  <si>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</si>
  <si>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</si>
  <si>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</si>
  <si>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</si>
  <si>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</si>
  <si>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</si>
  <si>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</si>
  <si>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</si>
  <si>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</si>
  <si>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</si>
  <si>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</si>
  <si>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</si>
  <si>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</si>
  <si>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</si>
  <si>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</si>
  <si>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</si>
  <si>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</si>
  <si>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</si>
  <si>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</si>
  <si>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</si>
  <si>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</si>
  <si>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</si>
  <si>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</si>
  <si>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</si>
  <si>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</si>
  <si>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</si>
  <si>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</si>
  <si>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</si>
  <si>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</si>
  <si>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</si>
  <si>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</si>
  <si>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</si>
  <si>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</si>
  <si>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</si>
  <si>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</si>
  <si>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</si>
  <si>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</si>
  <si>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</si>
  <si>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</si>
  <si>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</si>
  <si>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</si>
  <si>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</si>
  <si>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</si>
  <si>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</si>
  <si>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</si>
  <si>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</si>
  <si>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</si>
  <si>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</si>
  <si>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</si>
  <si>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</si>
  <si>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</si>
  <si>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</si>
  <si>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</si>
  <si>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</si>
  <si>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</si>
  <si>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</si>
  <si>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</si>
  <si>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</si>
  <si>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</si>
  <si>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</si>
  <si>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</si>
  <si>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</si>
  <si>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</si>
  <si>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</si>
  <si>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</si>
  <si>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</si>
  <si>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</si>
  <si>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</si>
  <si>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</si>
  <si>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</si>
  <si>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</si>
  <si>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</si>
  <si>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</si>
  <si>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</si>
  <si>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</si>
  <si>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</si>
  <si>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</si>
  <si>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</si>
  <si>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</si>
  <si>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</si>
  <si>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</si>
  <si>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</si>
  <si>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</si>
  <si>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</si>
  <si>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</si>
  <si>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</si>
  <si>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</si>
  <si>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</si>
  <si>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</si>
  <si>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</si>
  <si>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</si>
  <si>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</si>
  <si>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</si>
  <si>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</si>
  <si>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</si>
  <si>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</si>
  <si>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</si>
  <si>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</si>
  <si>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</si>
  <si>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</si>
  <si>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</si>
  <si>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</si>
  <si>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</si>
  <si>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</si>
  <si>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</si>
  <si>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</si>
  <si>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</si>
  <si>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</si>
  <si>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</si>
  <si>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</si>
  <si>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</si>
  <si>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</si>
  <si>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</si>
  <si>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</si>
  <si>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</si>
  <si>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</si>
  <si>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</si>
  <si>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</si>
  <si>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</si>
  <si>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</si>
  <si>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</si>
  <si>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</si>
  <si>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</si>
  <si>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</si>
  <si>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</si>
  <si>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</si>
  <si>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</si>
  <si>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</si>
  <si>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</si>
  <si>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</si>
  <si>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</si>
  <si>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</si>
  <si>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</si>
  <si>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</si>
  <si>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</si>
  <si>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</si>
  <si>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</si>
  <si>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</si>
  <si>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</si>
  <si>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</si>
  <si>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</si>
  <si>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</si>
  <si>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</si>
  <si>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</si>
  <si>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</si>
  <si>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</si>
  <si>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</si>
  <si>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</si>
  <si>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</si>
  <si>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</si>
  <si>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</si>
  <si>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</si>
  <si>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</si>
  <si>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</si>
  <si>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</si>
  <si>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</si>
  <si>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</si>
  <si>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</si>
  <si>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</si>
  <si>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</si>
  <si>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</si>
  <si>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</si>
  <si>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</si>
  <si>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</si>
  <si>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</si>
  <si>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</si>
  <si>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</si>
  <si>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</si>
  <si>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</si>
  <si>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</si>
  <si>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</si>
  <si>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</si>
  <si>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</si>
  <si>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</si>
  <si>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</si>
  <si>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</si>
  <si>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</si>
  <si>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</si>
  <si>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</si>
  <si>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</si>
  <si>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</si>
  <si>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</si>
  <si>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</si>
  <si>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</si>
  <si>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</si>
  <si>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</si>
  <si>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</si>
  <si>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</si>
  <si>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</si>
  <si>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</si>
  <si>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</si>
  <si>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</si>
  <si>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</si>
  <si>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</si>
  <si>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</si>
  <si>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</si>
  <si>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</si>
  <si>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</si>
  <si>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</si>
  <si>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</si>
  <si>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</si>
  <si>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</si>
  <si>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</si>
  <si>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</si>
  <si>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</si>
  <si>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</si>
  <si>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</si>
  <si>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</si>
  <si>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</si>
  <si>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</si>
  <si>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</si>
  <si>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</si>
  <si>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</si>
  <si>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</si>
  <si>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</si>
  <si>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</si>
  <si>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</si>
  <si>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</si>
  <si>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</si>
  <si>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</si>
  <si>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</si>
  <si>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</si>
  <si>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</si>
  <si>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</si>
  <si>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</si>
  <si>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</si>
  <si>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</si>
  <si>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</si>
  <si>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</si>
  <si>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</si>
  <si>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</si>
  <si>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</si>
  <si>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</si>
  <si>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</si>
  <si>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</si>
  <si>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</si>
  <si>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</si>
  <si>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</si>
  <si>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</si>
  <si>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</si>
  <si>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</si>
  <si>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</si>
  <si>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</si>
  <si>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</si>
  <si>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</si>
  <si>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</si>
  <si>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</si>
  <si>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</si>
  <si>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</si>
  <si>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</si>
  <si>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</si>
  <si>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</si>
  <si>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</si>
  <si>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</si>
  <si>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</si>
  <si>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</si>
  <si>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</si>
  <si>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</si>
  <si>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</si>
  <si>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</si>
  <si>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</si>
  <si>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</si>
  <si>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</si>
  <si>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</si>
  <si>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</si>
  <si>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</si>
  <si>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</si>
  <si>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</si>
  <si>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</si>
  <si>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</si>
  <si>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</si>
  <si>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</si>
  <si>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</si>
  <si>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</si>
  <si>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</si>
  <si>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</si>
  <si>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</si>
  <si>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</si>
  <si>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</si>
  <si>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</si>
  <si>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</si>
  <si>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</si>
  <si>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</si>
  <si>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</si>
  <si>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</si>
  <si>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</si>
  <si>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</si>
  <si>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</si>
  <si>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</si>
  <si>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</si>
  <si>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</si>
  <si>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</si>
  <si>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</si>
  <si>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</si>
  <si>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</si>
  <si>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</si>
  <si>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</si>
  <si>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</si>
  <si>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</si>
  <si>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</si>
  <si>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</si>
  <si>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</si>
  <si>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</si>
  <si>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</si>
  <si>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</si>
  <si>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</si>
  <si>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</si>
  <si>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</si>
  <si>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</si>
  <si>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</si>
  <si>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</si>
  <si>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</si>
  <si>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</si>
  <si>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</si>
  <si>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</si>
  <si>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</si>
  <si>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</si>
  <si>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</si>
  <si>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</si>
  <si>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</si>
  <si>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</si>
  <si>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</si>
  <si>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</si>
  <si>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</si>
  <si>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</si>
  <si>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</si>
  <si>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</si>
  <si>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</si>
  <si>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</si>
  <si>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</si>
  <si>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</si>
  <si>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</si>
  <si>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</si>
  <si>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</si>
  <si>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</si>
  <si>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</si>
  <si>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</si>
  <si>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</si>
  <si>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</si>
  <si>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</si>
  <si>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</si>
  <si>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</si>
  <si>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</si>
  <si>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</si>
  <si>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</si>
  <si>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</si>
  <si>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</si>
  <si>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</si>
  <si>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</si>
  <si>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</si>
  <si>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</si>
  <si>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</si>
  <si>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</si>
  <si>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</si>
  <si>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</si>
  <si>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</si>
  <si>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</si>
  <si>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</si>
  <si>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</si>
  <si>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</si>
  <si>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</si>
  <si>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</si>
  <si>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</si>
  <si>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</si>
  <si>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</si>
  <si>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</si>
  <si>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</si>
  <si>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</si>
  <si>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</si>
  <si>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</si>
  <si>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</si>
  <si>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</si>
  <si>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</si>
  <si>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</si>
  <si>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</si>
  <si>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</si>
  <si>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</si>
  <si>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</si>
  <si>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</si>
  <si>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</si>
  <si>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</si>
  <si>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</si>
  <si>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</si>
  <si>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</si>
  <si>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</si>
  <si>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</si>
  <si>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</si>
  <si>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</si>
  <si>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</si>
  <si>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</si>
  <si>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</si>
  <si>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</si>
  <si>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</si>
  <si>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</si>
  <si>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</si>
  <si>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</si>
  <si>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</si>
  <si>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</si>
  <si>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</si>
  <si>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</si>
  <si>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</si>
  <si>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</si>
  <si>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</si>
  <si>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</si>
  <si>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</si>
  <si>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</si>
  <si>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</si>
  <si>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</si>
  <si>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</si>
  <si>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</si>
  <si>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</si>
  <si>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</si>
  <si>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</si>
  <si>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</si>
  <si>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</si>
  <si>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</si>
  <si>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</si>
  <si>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</si>
  <si>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</si>
  <si>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</si>
  <si>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</si>
  <si>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</si>
  <si>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</si>
  <si>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</si>
  <si>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</si>
  <si>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</si>
  <si>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</si>
  <si>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</si>
  <si>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</si>
  <si>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</si>
  <si>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</si>
  <si>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</si>
  <si>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</si>
  <si>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</si>
  <si>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</si>
  <si>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</si>
  <si>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</si>
  <si>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</si>
  <si>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</si>
  <si>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</si>
  <si>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</si>
  <si>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</si>
  <si>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</si>
  <si>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</si>
  <si>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</si>
  <si>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</si>
  <si>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</si>
  <si>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</si>
  <si>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</si>
  <si>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</si>
  <si>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</si>
  <si>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</si>
  <si>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</si>
  <si>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</si>
  <si>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</si>
  <si>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</si>
  <si>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</si>
  <si>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</si>
  <si>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</si>
  <si>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</si>
  <si>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</si>
  <si>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</si>
  <si>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</si>
  <si>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</si>
  <si>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</si>
  <si>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</si>
  <si>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</si>
  <si>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</si>
  <si>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</si>
  <si>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</si>
  <si>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</si>
  <si>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</si>
  <si>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</si>
  <si>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</si>
  <si>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</si>
  <si>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</si>
  <si>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</si>
  <si>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</si>
  <si>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</si>
  <si>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</si>
  <si>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</si>
  <si>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</si>
  <si>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</si>
  <si>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</si>
  <si>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</si>
  <si>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</si>
  <si>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</si>
  <si>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</si>
  <si>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</si>
  <si>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</si>
  <si>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</si>
  <si>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</si>
  <si>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</si>
  <si>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</si>
  <si>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</si>
  <si>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</si>
  <si>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</si>
  <si>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</si>
  <si>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</si>
  <si>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</si>
  <si>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</si>
  <si>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</si>
  <si>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</si>
  <si>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</si>
  <si>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</si>
  <si>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</si>
  <si>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</si>
  <si>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</si>
  <si>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</si>
  <si>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</si>
  <si>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</si>
  <si>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</si>
  <si>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</si>
  <si>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</si>
  <si>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</si>
  <si>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</si>
  <si>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</si>
  <si>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</si>
  <si>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</si>
  <si>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</si>
  <si>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</si>
  <si>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</si>
  <si>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</si>
  <si>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</si>
  <si>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</si>
  <si>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</si>
  <si>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</si>
  <si>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</si>
  <si>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</si>
  <si>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</si>
  <si>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</si>
  <si>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</si>
  <si>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</si>
  <si>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</si>
  <si>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</si>
  <si>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</si>
  <si>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</si>
  <si>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</si>
  <si>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</si>
  <si>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</si>
  <si>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</si>
  <si>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</si>
  <si>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</si>
  <si>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</si>
  <si>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</si>
  <si>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</si>
  <si>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</si>
  <si>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</si>
  <si>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</si>
  <si>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</si>
  <si>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</si>
  <si>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</si>
  <si>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</si>
  <si>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</si>
  <si>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</si>
  <si>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</si>
  <si>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</si>
  <si>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</si>
  <si>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 xml:space="preserve">Strawberry 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</si>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</sst>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14</xdr:row>
          <xdr:rowOff>68580</xdr:rowOff>
        </xdr:from>
        <xdr:to>
          <xdr:col>8</xdr:col>
          <xdr:colOff>899160</xdr:colOff>
          <xdr:row>16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4.4" x14ac:dyDescent="0.3"/>
  <cols>
    <col min="6" max="6" width="12.5546875" bestFit="1" customWidth="1"/>
    <col min="7" max="7" width="19.88671875" bestFit="1" customWidth="1"/>
    <col min="8" max="8" width="55.6640625" bestFit="1" customWidth="1"/>
    <col min="9" max="9" width="19.88671875" bestFit="1" customWidth="1"/>
    <col min="10" max="10" width="9" customWidth="1"/>
    <col min="11" max="11" width="5.6640625" customWidth="1"/>
    <col min="12" max="12" width="7.5546875" customWidth="1"/>
    <col min="15" max="15" width="15.88671875" bestFit="1" customWidth="1"/>
    <col min="16" max="16" width="39.44140625" bestFit="1" customWidth="1"/>
    <col min="17" max="17" width="24.33203125" customWidth="1"/>
    <col min="18" max="18" width="12.33203125" bestFit="1" customWidth="1"/>
    <col min="22" max="22" width="25" customWidth="1"/>
    <col min="23" max="23" width="12.5546875" customWidth="1"/>
    <col min="24" max="24" width="0.109375" customWidth="1"/>
    <col min="26" max="26" width="2.6640625" customWidth="1"/>
    <col min="29" max="29" width="14" customWidth="1"/>
    <col min="33" max="33" width="12.6640625" customWidth="1"/>
    <col min="34" max="34" width="16.6640625" customWidth="1"/>
    <col min="35" max="35" width="21.109375" bestFit="1" customWidth="1"/>
    <col min="39" max="39" width="14.109375" customWidth="1"/>
  </cols>
  <sheetData>
    <row r="4" spans="6:18" x14ac:dyDescent="0.3">
      <c r="G4" t="s">
        <v>198</v>
      </c>
    </row>
    <row r="5" spans="6:18" x14ac:dyDescent="0.3">
      <c r="G5" t="s">
        <v>199</v>
      </c>
      <c r="H5" s="20" t="s">
        <v>819</v>
      </c>
      <c r="O5" t="s">
        <v>227</v>
      </c>
      <c r="P5" t="str">
        <f>LEFT(H5, FIND("|", H5) - 1)</f>
        <v xml:space="preserve">Christian Pham </v>
      </c>
    </row>
    <row r="6" spans="6:18" x14ac:dyDescent="0.3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6.8" x14ac:dyDescent="0.4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3">
      <c r="O8" t="s">
        <v>781</v>
      </c>
      <c r="P8">
        <f>_xlfn.XLOOKUP($H$5,'Ice Cream Orders'!$A:$A,'Ice Cream Orders'!AQ:AQ)</f>
        <v>0</v>
      </c>
    </row>
    <row r="9" spans="6:18" x14ac:dyDescent="0.3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3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3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3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3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3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3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3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3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3">
      <c r="O21" s="126" t="s">
        <v>225</v>
      </c>
      <c r="P21" s="127"/>
    </row>
    <row r="22" spans="15:39" x14ac:dyDescent="0.3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3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3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4" x14ac:dyDescent="0.3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3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3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3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3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3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8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3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3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3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3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3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3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3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3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3">
      <c r="Y42" s="61"/>
    </row>
    <row r="43" spans="22:38" ht="15" customHeight="1" x14ac:dyDescent="0.3">
      <c r="Y43" s="61"/>
    </row>
    <row r="44" spans="22:38" x14ac:dyDescent="0.3">
      <c r="Y44" s="60"/>
    </row>
    <row r="45" spans="22:38" x14ac:dyDescent="0.3">
      <c r="Y45" s="59"/>
    </row>
    <row r="46" spans="22:38" x14ac:dyDescent="0.3">
      <c r="Y46" s="59"/>
    </row>
    <row r="47" spans="22:38" x14ac:dyDescent="0.3">
      <c r="Y47" s="59"/>
    </row>
    <row r="48" spans="22:38" x14ac:dyDescent="0.3">
      <c r="Y48" s="59"/>
    </row>
    <row r="49" spans="25:25" ht="35.25" customHeight="1" x14ac:dyDescent="0.3">
      <c r="Y49" s="61"/>
    </row>
    <row r="57" spans="25:25" ht="15" customHeight="1" x14ac:dyDescent="0.3"/>
    <row r="58" spans="25:25" ht="33.75" customHeight="1" x14ac:dyDescent="0.3"/>
    <row r="66" ht="18.75" customHeight="1" x14ac:dyDescent="0.3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7620</xdr:colOff>
                    <xdr:row>14</xdr:row>
                    <xdr:rowOff>68580</xdr:rowOff>
                  </from>
                  <to>
                    <xdr:col>8</xdr:col>
                    <xdr:colOff>899160</xdr:colOff>
                    <xdr:row>16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3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3">
      <c r="A4" s="42" t="s">
        <v>797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3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3">
      <c r="AK12" s="10" t="e">
        <f>SUM(#REF!)</f>
        <v>#REF!</v>
      </c>
    </row>
    <row r="14" spans="1:38" x14ac:dyDescent="0.3">
      <c r="P14" t="s">
        <v>798</v>
      </c>
      <c r="Q14" t="s">
        <v>799</v>
      </c>
    </row>
    <row r="15" spans="1:38" x14ac:dyDescent="0.3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4.4" x14ac:dyDescent="0.3"/>
  <cols>
    <col min="1" max="1" width="44" customWidth="1"/>
    <col min="2" max="2" width="35.33203125" bestFit="1" customWidth="1"/>
    <col min="3" max="3" width="37.109375" customWidth="1"/>
    <col min="4" max="4" width="39.6640625" style="1" customWidth="1"/>
    <col min="5" max="5" width="47" style="1" bestFit="1" customWidth="1"/>
    <col min="6" max="7" width="31.33203125" style="1" bestFit="1" customWidth="1"/>
    <col min="8" max="8" width="32" style="1" bestFit="1" customWidth="1"/>
    <col min="9" max="9" width="25" style="1" bestFit="1" customWidth="1"/>
    <col min="10" max="10" width="25.6640625" style="1" bestFit="1" customWidth="1"/>
    <col min="11" max="11" width="14.5546875" style="1" bestFit="1" customWidth="1"/>
    <col min="12" max="12" width="16.33203125" bestFit="1" customWidth="1"/>
    <col min="13" max="13" width="24.6640625" bestFit="1" customWidth="1"/>
    <col min="14" max="14" width="26.88671875" bestFit="1" customWidth="1"/>
    <col min="15" max="15" width="25.6640625" bestFit="1" customWidth="1"/>
    <col min="16" max="16" width="28.5546875" bestFit="1" customWidth="1"/>
    <col min="17" max="17" width="29" bestFit="1" customWidth="1"/>
    <col min="18" max="19" width="23.109375" bestFit="1" customWidth="1"/>
    <col min="20" max="21" width="23.6640625" bestFit="1" customWidth="1"/>
    <col min="22" max="23" width="21.33203125" bestFit="1" customWidth="1"/>
    <col min="24" max="25" width="24.109375" bestFit="1" customWidth="1"/>
    <col min="26" max="27" width="24.109375" customWidth="1"/>
    <col min="28" max="29" width="18.6640625" bestFit="1" customWidth="1"/>
    <col min="30" max="30" width="20.33203125" bestFit="1" customWidth="1"/>
    <col min="31" max="32" width="22.33203125" customWidth="1"/>
    <col min="33" max="35" width="22.33203125" bestFit="1" customWidth="1"/>
    <col min="36" max="36" width="20.33203125" bestFit="1" customWidth="1"/>
    <col min="37" max="37" width="38.88671875" customWidth="1"/>
    <col min="38" max="38" width="27.44140625" customWidth="1"/>
    <col min="39" max="39" width="14.5546875" bestFit="1" customWidth="1"/>
    <col min="40" max="40" width="12.88671875" style="26" bestFit="1" customWidth="1"/>
    <col min="41" max="41" width="14.5546875" bestFit="1" customWidth="1"/>
    <col min="42" max="42" width="22.44140625" bestFit="1" customWidth="1"/>
    <col min="43" max="43" width="13.5546875" bestFit="1" customWidth="1"/>
  </cols>
  <sheetData>
    <row r="1" spans="1:43" x14ac:dyDescent="0.3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780</v>
      </c>
    </row>
    <row r="2" spans="1:43" ht="18.75" customHeight="1" x14ac:dyDescent="0.3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3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3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3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3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3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28.8" x14ac:dyDescent="0.3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x14ac:dyDescent="0.3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3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3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3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3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3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3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3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3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3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3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3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3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3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3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3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3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3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3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3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3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3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3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x14ac:dyDescent="0.3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3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3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28.8" x14ac:dyDescent="0.3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x14ac:dyDescent="0.3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x14ac:dyDescent="0.3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28.8" x14ac:dyDescent="0.3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3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3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3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x14ac:dyDescent="0.3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x14ac:dyDescent="0.3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3.2" x14ac:dyDescent="0.3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3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3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x14ac:dyDescent="0.3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3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3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3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3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3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3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3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Flavors'!D:D),_xlfn.XLOOKUP("What's The First Flavor You Want? ",[1]Sheet1!$1:$1,[1]Sheet1!54:54))</f>
        <v>0</v>
      </c>
      <c r="G54" s="31">
        <f>IF(COUNTIF('Premade Flavors'!$A:$A, $C54) &gt; 0,_xlfn.XLOOKUP($C54,'Premade Flavors'!$A:$A,'Premade Flavors'!E:E),_xlfn.XLOOKUP("What's the Second Flavor You Want?",[1]Sheet1!$1:$1,[1]Sheet1!54:54))</f>
        <v>0</v>
      </c>
      <c r="H54" s="31">
        <f>IF(COUNTIF('Premade Flavors'!$A:$A, $C54) &gt; 0,_xlfn.XLOOKUP($C54,'Premade Flavors'!$A:$A,'Premade Flavors'!F:F),_xlfn.XLOOKUP("What's The First Mix In That You Want? ",[1]Sheet1!$1:$1,[1]Sheet1!54:54))</f>
        <v>0</v>
      </c>
      <c r="I54" s="31">
        <f>IF(COUNTIF('Premade Flavors'!$A:$A, $C54) &gt; 0,_xlfn.XLOOKUP($C54,'Premade Flavors'!$A:$A,'Premade Flavors'!G:G),IF([2]Sheet1!W54=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Flavors'!K:K),_xlfn.XLOOKUP("How Strong Do You Want The First Flavor?",[1]Sheet1!$1:$1,[1]Sheet1!54:54))</f>
        <v>0</v>
      </c>
      <c r="N54" s="45">
        <f>IF(COUNTIF('Premade Flavors'!$A:$A, $C54) &gt; 0,_xlfn.XLOOKUP($C54,'Premade Flavors'!$A:$A,'Premade Flavors'!L:L),_xlfn.XLOOKUP("How Strong Do You Want The Second Flavor?",[1]Sheet1!$1:$1,[1]Sheet1!54:54))</f>
        <v>0</v>
      </c>
      <c r="O54" s="45">
        <f>IF(COUNTIF('Premade Flavors'!$A:$A, $C54) &gt; 0,_xlfn.XLOOKUP($C54,'Premade Flavors'!$A:$A,'Premade Flavors'!M:M),_xlfn.XLOOKUP("How Dense Should the Mix Ins Be?",[1]Sheet1!$1:$1,[1]Sheet1!54:54))</f>
        <v>0</v>
      </c>
      <c r="P54" s="45">
        <f>IF(COUNTIF('Premade Flavors'!$A:$A, $C54) &gt; 0,_xlfn.XLOOKUP($C54,'Premade Flavors'!$A:$A,'Premade Flavors'!N:N),_xlfn.XLOOKUP("How Much Of The First Sweetner? ",[1]Sheet1!$1:$1,[1]Sheet1!54:54))</f>
        <v>0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3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3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3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3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3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6.1401083316762115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19</v>
      </c>
      <c r="AO59" s="40">
        <f>ROUNDUP(((AJ59+Specs!$R$2+Specs!$S$2+_xlfn.XLOOKUP($L59,Specs!A:A,Specs!V:V,0))*Specs!$N$2),0)</f>
        <v>15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3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3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7.8354303244831582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22</v>
      </c>
      <c r="AO61" s="40">
        <f>ROUNDUP(((AJ61+Specs!$R$2+Specs!$S$2+_xlfn.XLOOKUP($L61,Specs!A:A,Specs!V:V,0))*Specs!$N$2),0)</f>
        <v>18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3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5.2532300473771931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17</v>
      </c>
      <c r="AO62" s="40">
        <f>ROUNDUP(((AJ62+Specs!$R$2+Specs!$S$2+_xlfn.XLOOKUP($L62,Specs!A:A,Specs!V:V,0))*Specs!$N$2),0)</f>
        <v>13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3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795</v>
      </c>
    </row>
    <row r="64" spans="1:44" x14ac:dyDescent="0.3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28.8" x14ac:dyDescent="0.3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 t="str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Heavy Cream</v>
      </c>
      <c r="E65" s="31" t="str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Half and Half</v>
      </c>
      <c r="F65" s="31" t="str">
        <f>IF(COUNTIF('Premade Flavors'!$A:$A, $C65) &gt; 0,_xlfn.XLOOKUP($C65,'Premade Flavors'!$A:$A,'Premade Flavors'!D:D),_xlfn.XLOOKUP("What's The First Flavor You Want? ",[1]Sheet1!$1:$1,[1]Sheet1!65:65))</f>
        <v>Bourbon Vanilla Bean Paste</v>
      </c>
      <c r="G65" s="31" t="str">
        <f>IF(COUNTIF('Premade Flavors'!$A:$A, $C65) &gt; 0,_xlfn.XLOOKUP($C65,'Premade Flavors'!$A:$A,'Premade Flavors'!E:E),_xlfn.XLOOKUP("What's the Second Flavor You Want?",[1]Sheet1!$1:$1,[1]Sheet1!65:65))</f>
        <v>Strawberries</v>
      </c>
      <c r="H65" s="31" t="str">
        <f>IF(COUNTIF('Premade Flavors'!$A:$A, $C65) &gt; 0,_xlfn.XLOOKUP($C65,'Premade Flavors'!$A:$A,'Premade Flavors'!F:F),_xlfn.XLOOKUP("What's The First Mix In That You Want? ",[1]Sheet1!$1:$1,[1]Sheet1!65:65))</f>
        <v>Strawberries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 t="str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Sugar</v>
      </c>
      <c r="K65" s="31"/>
      <c r="L65" s="77" t="str">
        <f>_xlfn.XLOOKUP("How Much Ice Cream Do You Want?",[1]Sheet1!$1:$1,[1]Sheet1!65:65)</f>
        <v>Quart</v>
      </c>
      <c r="M65" s="45" t="str">
        <f>IF(COUNTIF('Premade Flavors'!$A:$A, $C65) &gt; 0,_xlfn.XLOOKUP($C65,'Premade Flavors'!$A:$A,'Premade Flavors'!K:K),_xlfn.XLOOKUP("How Strong Do You Want The First Flavor?",[1]Sheet1!$1:$1,[1]Sheet1!65:65))</f>
        <v>Light (For pastes and extracts)</v>
      </c>
      <c r="N65" s="45" t="str">
        <f>IF(COUNTIF('Premade Flavors'!$A:$A, $C65) &gt; 0,_xlfn.XLOOKUP($C65,'Premade Flavors'!$A:$A,'Premade Flavors'!L:L),_xlfn.XLOOKUP("How Strong Do You Want The Second Flavor?",[1]Sheet1!$1:$1,[1]Sheet1!65:65))</f>
        <v>Extra Heavy</v>
      </c>
      <c r="O65" s="45" t="str">
        <f>IF(COUNTIF('Premade Flavors'!$A:$A, $C65) &gt; 0,_xlfn.XLOOKUP($C65,'Premade Flavors'!$A:$A,'Premade Flavors'!M:M),_xlfn.XLOOKUP("How Dense Should the Mix Ins Be?",[1]Sheet1!$1:$1,[1]Sheet1!65:65))</f>
        <v>Light (15%)</v>
      </c>
      <c r="P65" s="45" t="str">
        <f>IF(COUNTIF('Premade Flavors'!$A:$A, $C65) &gt; 0,_xlfn.XLOOKUP($C65,'Premade Flavors'!$A:$A,'Premade Flavors'!N:N),_xlfn.XLOOKUP("How Much Of The First Sweetner? ",[1]Sheet1!$1:$1,[1]Sheet1!65:65))</f>
        <v>1:1 Sweet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402.00600000000003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201.00300000000001</v>
      </c>
      <c r="T65" s="30">
        <f>_xlfn.XLOOKUP($M65,Specs!$D:$D,Specs!$E:$E,0)*15*_xlfn.XLOOKUP($L65,Specs!$A:$A,Specs!$C:$C,0)</f>
        <v>15</v>
      </c>
      <c r="U65" s="30">
        <f>_xlfn.XLOOKUP($N65,Specs!$D:$D,Specs!$E:$E,0)*15*_xlfn.XLOOKUP($L65,Specs!$A:$A,Specs!$C:$C,0)</f>
        <v>180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98.147500000000008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100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0.8616107999999999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2129.6493055555557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129.22115902777779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124.45009999999999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185.02538194444449</v>
      </c>
      <c r="AF65" s="38">
        <f>$AE65 / (_xlfn.XLOOKUP($L65,Specs!A:A,Specs!B:B,0))</f>
        <v>0.19558708450786944</v>
      </c>
      <c r="AG65" s="37">
        <f>60* ($AB65 / _xlfn.XLOOKUP($L65,Specs!A:A,Specs!B:B,0))</f>
        <v>135.07289464411559</v>
      </c>
      <c r="AH65" s="37">
        <f>60* (AC65 / _xlfn.XLOOKUP($L65,Specs!$A:$A,Specs!$B:$B,0))</f>
        <v>8.1958451814658222</v>
      </c>
      <c r="AI65" s="37">
        <f>60* (AE65 / _xlfn.XLOOKUP($L65,Specs!$A:$A,Specs!$B:$B,0))</f>
        <v>11.735225070472167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4.0807554708256077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11</v>
      </c>
      <c r="AO65" s="40">
        <f>ROUNDUP(((AJ65+Specs!$R$2+Specs!$S$2+_xlfn.XLOOKUP($L65,Specs!A:A,Specs!V:V,0))*Specs!$N$2),0)</f>
        <v>11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3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Flavors'!D:D),_xlfn.XLOOKUP("What's The First Flavor You Want? ",[1]Sheet1!$1:$1,[1]Sheet1!66:66))</f>
        <v>0</v>
      </c>
      <c r="G66" s="31">
        <f>IF(COUNTIF('Premade Flavors'!$A:$A, $C66) &gt; 0,_xlfn.XLOOKUP($C66,'Premade Flavors'!$A:$A,'Premade Flavors'!E:E),_xlfn.XLOOKUP("What's the Second Flavor You Want?",[1]Sheet1!$1:$1,[1]Sheet1!66:66))</f>
        <v>0</v>
      </c>
      <c r="H66" s="31">
        <f>IF(COUNTIF('Premade Flavors'!$A:$A, $C66) &gt; 0,_xlfn.XLOOKUP($C66,'Premade Flavors'!$A:$A,'Premade Flavors'!F:F),_xlfn.XLOOKUP("What's The First Mix In That You Want? ",[1]Sheet1!$1:$1,[1]Sheet1!66:66))</f>
        <v>0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Flavors'!K:K),_xlfn.XLOOKUP("How Strong Do You Want The First Flavor?",[1]Sheet1!$1:$1,[1]Sheet1!66:66))</f>
        <v>0</v>
      </c>
      <c r="N66" s="45">
        <f>IF(COUNTIF('Premade Flavors'!$A:$A, $C66) &gt; 0,_xlfn.XLOOKUP($C66,'Premade Flavors'!$A:$A,'Premade Flavors'!L:L),_xlfn.XLOOKUP("How Strong Do You Want The Second Flavor?",[1]Sheet1!$1:$1,[1]Sheet1!66:66))</f>
        <v>0</v>
      </c>
      <c r="O66" s="45">
        <f>IF(COUNTIF('Premade Flavors'!$A:$A, $C66) &gt; 0,_xlfn.XLOOKUP($C66,'Premade Flavors'!$A:$A,'Premade Flavors'!M:M),_xlfn.XLOOKUP("How Dense Should the Mix Ins Be?",[1]Sheet1!$1:$1,[1]Sheet1!66:66))</f>
        <v>0</v>
      </c>
      <c r="P66" s="45">
        <f>IF(COUNTIF('Premade Flavors'!$A:$A, $C66) &gt; 0,_xlfn.XLOOKUP($C66,'Premade Flavors'!$A:$A,'Premade Flavors'!N:N),_xlfn.XLOOKUP("How Much Of The First Sweetner? ",[1]Sheet1!$1:$1,[1]Sheet1!66:66))</f>
        <v>0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211</v>
      </c>
    </row>
    <row r="67" spans="1:43" x14ac:dyDescent="0.3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3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10.124998082951103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24</v>
      </c>
      <c r="AO68" s="40">
        <f>ROUNDUP(((AJ68+Specs!$R$2+Specs!$S$2+_xlfn.XLOOKUP($L68,Specs!A:A,Specs!V:V,0))*Specs!$N$2),0)</f>
        <v>24</v>
      </c>
      <c r="AP68" s="30" t="s">
        <v>211</v>
      </c>
    </row>
    <row r="69" spans="1:43" x14ac:dyDescent="0.3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3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10.598475709119828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32</v>
      </c>
      <c r="AO70" s="40">
        <f>ROUNDUP(((AJ70+Specs!$R$2+Specs!$S$2+_xlfn.XLOOKUP($L70,Specs!A:A,Specs!V:V,0))*Specs!$N$2),0)</f>
        <v>24</v>
      </c>
      <c r="AP70" s="30" t="s">
        <v>211</v>
      </c>
    </row>
    <row r="71" spans="1:43" x14ac:dyDescent="0.3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3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3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3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3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3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3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3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3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3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3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3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3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3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3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3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3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3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3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3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3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3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3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3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3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3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3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3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3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3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3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3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3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3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3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3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3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3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3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3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3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3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3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3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3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3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3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3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3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3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3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3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3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3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3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3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3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3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3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3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3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3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3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3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3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3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3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3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3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3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3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3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3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3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3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3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3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3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3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3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3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3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3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3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3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3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3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3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3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3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3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3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3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3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3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3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3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3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3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3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3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3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3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3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3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3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3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3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3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3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3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3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3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3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3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3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3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3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3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3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3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3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3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3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3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3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3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3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3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3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3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3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3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3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3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3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3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3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3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3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3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3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3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3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3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3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3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3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3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3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3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3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3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3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3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3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3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3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3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3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3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3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3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3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3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3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3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3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3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3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3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3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3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3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3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3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3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3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3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3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3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3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3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3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3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3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3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3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3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3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3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3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3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3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3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3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3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3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3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3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3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3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3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3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3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3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3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3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3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3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3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3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3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3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3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3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3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3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3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3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3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3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3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3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3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3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3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3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3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3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3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3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3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3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3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P46:P48 P306:P1048576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opLeftCell="T1" zoomScale="92" zoomScaleNormal="80" workbookViewId="0">
      <selection activeCell="AA7" sqref="AA7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871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844</v>
      </c>
    </row>
    <row r="2" spans="1:38" x14ac:dyDescent="0.3">
      <c r="A2" s="26" t="s">
        <v>849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3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3">
      <c r="A4" t="s">
        <v>850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3">
      <c r="A5" s="49" t="s">
        <v>857</v>
      </c>
      <c r="B5" s="31" t="s">
        <v>62</v>
      </c>
      <c r="C5" s="31" t="s">
        <v>65</v>
      </c>
      <c r="D5" s="31" t="s">
        <v>867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3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220.80300000000003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110.40150000000001</v>
      </c>
      <c r="R6">
        <f t="shared" ref="R6" si="1">P6+Q6</f>
        <v>331.20450000000005</v>
      </c>
      <c r="S6">
        <f>_xlfn.XLOOKUP($K6,Specs!$D:$D,Specs!$E:$E,0)*15*_xlfn.XLOOKUP($J6,Specs!$A:$A,Specs!$C:$C,0)</f>
        <v>7.5</v>
      </c>
      <c r="T6">
        <f>_xlfn.XLOOKUP($L6,Specs!$D:$D,Specs!$E:$E,0)*15*_xlfn.XLOOKUP($J6,Specs!$A:$A,Specs!$C:$C,0)</f>
        <v>60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23.650000000000002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0.40644540000000001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1098.6794511278197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65.025477819548868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50.539852819548869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68.489358928571434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4.6110365493144059</v>
      </c>
      <c r="AJ6" s="10">
        <f>ROUNDUP((AI6+Specs!$R$2+Specs!$S$2+_xlfn.XLOOKUP($J6,Specs!A:A,Specs!V:V,0))*Specs!$N$2,0)</f>
        <v>11</v>
      </c>
    </row>
    <row r="7" spans="1:38" x14ac:dyDescent="0.3">
      <c r="A7" s="52" t="s">
        <v>872</v>
      </c>
      <c r="B7" s="31" t="s">
        <v>62</v>
      </c>
      <c r="C7" s="31" t="s">
        <v>65</v>
      </c>
      <c r="D7" s="31" t="s">
        <v>0</v>
      </c>
      <c r="E7" s="31" t="s">
        <v>487</v>
      </c>
      <c r="F7" s="31" t="s">
        <v>407</v>
      </c>
      <c r="G7" s="31"/>
      <c r="H7" s="31" t="s">
        <v>2</v>
      </c>
      <c r="I7" s="31"/>
      <c r="J7" s="30" t="s">
        <v>4</v>
      </c>
      <c r="K7" t="s">
        <v>451</v>
      </c>
      <c r="L7" s="30" t="s">
        <v>452</v>
      </c>
      <c r="M7" s="30" t="s">
        <v>157</v>
      </c>
      <c r="N7" s="30" t="s">
        <v>449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189.58500000000001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94.792500000000004</v>
      </c>
      <c r="R7">
        <f>P7+Q7</f>
        <v>284.3775</v>
      </c>
      <c r="S7">
        <f>_xlfn.XLOOKUP($K7,Specs!$D:$D,Specs!$E:$E,0)*15*_xlfn.XLOOKUP($J7,Specs!$A:$A,Specs!$C:$C,0)</f>
        <v>7.5</v>
      </c>
      <c r="T7">
        <f>_xlfn.XLOOKUP($L7,Specs!$D:$D,Specs!$E:$E,0)*15*_xlfn.XLOOKUP($J7,Specs!$A:$A,Specs!$C:$C,0)</f>
        <v>60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39.416666666666671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12.5</v>
      </c>
      <c r="X7">
        <f>_xlfn.XLOOKUP($O7,Specs!F:F,Specs!G:G,0)*100*_xlfn.XLOOKUP($J7,Specs!A:A,Specs!C:C,0)</f>
        <v>0</v>
      </c>
      <c r="Y7" s="4">
        <f>($P7+$Q7+$S7+$W7+$X7)*IF(ISNUMBER(SEARCH("Fat Free",$B7)),0.0036,0.0012)</f>
        <v>0.36525299999999994</v>
      </c>
      <c r="Z7" s="5">
        <f>CEILING(CONVERT(($P7+$Q7+$S7+$W7+$X7)*IF(ISNUMBER(SEARCH("Fat Free",$B7)),0.0036,0.0012),"ml","tsp"),0.25)</f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1465.8295833333334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93.802458333333334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69.659750000000003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98.964479166666663</v>
      </c>
      <c r="AE7" s="8">
        <f>$AD7 / (_xlfn.XLOOKUP($J7,Specs!A:A,Specs!B:B,0))</f>
        <v>0.20922722868217053</v>
      </c>
      <c r="AF7" s="7">
        <f>60* ($AA7 / _xlfn.XLOOKUP($J7,Specs!$A:$A,Specs!$B:$B,0))</f>
        <v>185.94032769556028</v>
      </c>
      <c r="AG7" s="7">
        <f>60* (AB7 / _xlfn.XLOOKUP($J7,Specs!$A:$A,Specs!$B:$B,0))</f>
        <v>11.898831923890064</v>
      </c>
      <c r="AH7" s="7">
        <f>60* (AD7 / _xlfn.XLOOKUP($J7,Specs!$A:$A,Specs!$B:$B,0))</f>
        <v>12.553633720930232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3.7620324074746581</v>
      </c>
      <c r="AJ7" s="10">
        <f>ROUNDUP((AI7+Specs!$R$2+Specs!$S$2+_xlfn.XLOOKUP($J7,Specs!A:A,Specs!V:V,0))*Specs!$N$2,0)</f>
        <v>9</v>
      </c>
      <c r="AK7" s="39"/>
      <c r="AL7" s="40"/>
    </row>
    <row r="8" spans="1:38" x14ac:dyDescent="0.3">
      <c r="A8" s="26"/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3">
      <c r="A9" s="26" t="s">
        <v>846</v>
      </c>
      <c r="J9" s="2"/>
      <c r="K9" s="2"/>
      <c r="L9" s="2"/>
      <c r="M9" s="2"/>
      <c r="N9" s="2"/>
      <c r="O9" s="2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8" x14ac:dyDescent="0.3">
      <c r="A10" t="s">
        <v>359</v>
      </c>
      <c r="B10" s="1" t="s">
        <v>62</v>
      </c>
      <c r="C10" s="1" t="s">
        <v>65</v>
      </c>
      <c r="D10" s="1" t="s">
        <v>0</v>
      </c>
      <c r="H10" s="1" t="s">
        <v>1</v>
      </c>
      <c r="J10" t="s">
        <v>4</v>
      </c>
      <c r="K10" t="s">
        <v>451</v>
      </c>
      <c r="L10" t="s">
        <v>44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307.23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153.61500000000001</v>
      </c>
      <c r="R10">
        <f t="shared" ref="R10" si="2">P10+Q10</f>
        <v>460.84500000000003</v>
      </c>
      <c r="S10">
        <f>_xlfn.XLOOKUP($K10,Specs!$D:$D,Specs!$E:$E,0)*15*_xlfn.XLOOKUP($J10,Specs!$A:$A,Specs!$C:$C,0)</f>
        <v>7.5</v>
      </c>
      <c r="T10">
        <f>_xlfn.XLOOKUP($L10,Specs!$D:$D,Specs!$E:$E,0)*15*_xlfn.XLOOKUP($J10,Specs!$A:$A,Specs!$C:$C,0)</f>
        <v>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50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0.62201399999999996</v>
      </c>
      <c r="Z10" s="5">
        <f>CEILING(CONVERT(($P10+$Q10+$S10+$W10+$X10)*IF(ISNUMBER(SEARCH("Fat Free",$B10)),0.0036,0.0012),"ml","tsp"),0.25)</f>
        <v>0.25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1444.92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59.6205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59.6205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140.81375000000003</v>
      </c>
      <c r="AE10" s="8">
        <f>$AD10 / (_xlfn.XLOOKUP($J10,Specs!A:A,Specs!B:B,0))</f>
        <v>0.29770348837209309</v>
      </c>
      <c r="AF10" s="7">
        <f>60* ($AA10 / _xlfn.XLOOKUP($J10,Specs!$A:$A,Specs!$B:$B,0))</f>
        <v>183.2879492600423</v>
      </c>
      <c r="AG10" s="7">
        <f>60* (AB10 / _xlfn.XLOOKUP($J10,Specs!$A:$A,Specs!$B:$B,0))</f>
        <v>7.5628541226215642</v>
      </c>
      <c r="AH10" s="7">
        <f>60* (AD10 / _xlfn.XLOOKUP($J10,Specs!$A:$A,Specs!$B:$B,0))</f>
        <v>17.862209302325585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2.2451208268259872</v>
      </c>
      <c r="AJ10" s="10">
        <f>ROUNDUP((AI10+Specs!$R$2+Specs!$S$2+_xlfn.XLOOKUP($J10,Specs!A:A,Specs!V:V,0))*Specs!$N$2,0)</f>
        <v>6</v>
      </c>
    </row>
    <row r="11" spans="1:38" x14ac:dyDescent="0.3">
      <c r="A11" t="s">
        <v>148</v>
      </c>
      <c r="B11" s="1" t="s">
        <v>62</v>
      </c>
      <c r="C11" s="1" t="s">
        <v>65</v>
      </c>
      <c r="D11" s="1" t="s">
        <v>0</v>
      </c>
      <c r="E11" s="1" t="s">
        <v>96</v>
      </c>
      <c r="H11" s="1" t="s">
        <v>1</v>
      </c>
      <c r="J11" t="s">
        <v>341</v>
      </c>
      <c r="K11" t="s">
        <v>46</v>
      </c>
      <c r="L11" t="s">
        <v>453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712.80000000000007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356.40000000000003</v>
      </c>
      <c r="R11">
        <f>P11+Q11</f>
        <v>1069.2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180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1.59504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4465.2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249.08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249.08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380.82</v>
      </c>
      <c r="AE11" s="8">
        <f>$AD11 / (_xlfn.XLOOKUP($J11,Specs!A:A,Specs!B:B,0))</f>
        <v>0.28849999999999998</v>
      </c>
      <c r="AF11" s="7">
        <f>60* ($AA11 / _xlfn.XLOOKUP($J11,Specs!$A:$A,Specs!$B:$B,0))</f>
        <v>202.96363636363637</v>
      </c>
      <c r="AG11" s="7">
        <f>60* (AB11 / _xlfn.XLOOKUP($J11,Specs!$A:$A,Specs!$B:$B,0))</f>
        <v>11.321818181818182</v>
      </c>
      <c r="AH11" s="7">
        <f>60* (AD11 / _xlfn.XLOOKUP($J11,Specs!$A:$A,Specs!$B:$B,0))</f>
        <v>17.309999999999999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10.954194749922294</v>
      </c>
      <c r="AJ11" s="10">
        <f>ROUNDUP((AI11+Specs!$R$2+Specs!$S$2+_xlfn.XLOOKUP($J11,Specs!A:A,Specs!V:V,0))*Specs!$N$2,0)</f>
        <v>26</v>
      </c>
    </row>
    <row r="12" spans="1:38" x14ac:dyDescent="0.3">
      <c r="A12" t="s">
        <v>427</v>
      </c>
      <c r="B12" s="1" t="s">
        <v>62</v>
      </c>
      <c r="C12" s="1" t="s">
        <v>65</v>
      </c>
      <c r="D12" s="1" t="s">
        <v>249</v>
      </c>
      <c r="H12" s="1" t="s">
        <v>1</v>
      </c>
      <c r="J12" t="s">
        <v>341</v>
      </c>
      <c r="K12" t="s">
        <v>46</v>
      </c>
      <c r="L12" t="s">
        <v>44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831.6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415.8</v>
      </c>
      <c r="R12">
        <f t="shared" ref="R12" si="3">P12+Q12</f>
        <v>1247.4000000000001</v>
      </c>
      <c r="S12">
        <f>_xlfn.XLOOKUP($K12,Specs!$D:$D,Specs!$E:$E,0)*15*_xlfn.XLOOKUP($J12,Specs!$A:$A,Specs!$C:$C,0)</f>
        <v>60</v>
      </c>
      <c r="T12">
        <f>_xlfn.XLOOKUP($L12,Specs!$D:$D,Specs!$E:$E,0)*15*_xlfn.XLOOKUP($J12,Specs!$A:$A,Specs!$C:$C,0)</f>
        <v>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0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200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1.80888</v>
      </c>
      <c r="Z12" s="5">
        <f>CEILING(CONVERT(($P12+$Q12+$S12+$W12+$X12)*IF(ISNUMBER(SEARCH("Fat Free",$B12)),0.0036,0.0012),"ml","tsp"),0.25)</f>
        <v>0.5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4228.971428571429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213.86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213.86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389.72142857142859</v>
      </c>
      <c r="AE12" s="8">
        <f>$AD12 / (_xlfn.XLOOKUP($J12,Specs!A:A,Specs!B:B,0))</f>
        <v>0.2952435064935065</v>
      </c>
      <c r="AF12" s="7">
        <f>60* ($AA12 / _xlfn.XLOOKUP($J12,Specs!$A:$A,Specs!$B:$B,0))</f>
        <v>192.22597402597407</v>
      </c>
      <c r="AG12" s="7">
        <f>60* (AB12 / _xlfn.XLOOKUP($J12,Specs!$A:$A,Specs!$B:$B,0))</f>
        <v>9.7209090909090925</v>
      </c>
      <c r="AH12" s="7">
        <f>60* (AD12 / _xlfn.XLOOKUP($J12,Specs!$A:$A,Specs!$B:$B,0))</f>
        <v>17.714610389610389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7.3421894914249926</v>
      </c>
      <c r="AJ12" s="10">
        <f>ROUNDUP((AI12+Specs!$R$2+Specs!$S$2+_xlfn.XLOOKUP($J12,Specs!A:A,Specs!V:V,0))*Specs!$N$2,0)</f>
        <v>19</v>
      </c>
    </row>
    <row r="13" spans="1:38" x14ac:dyDescent="0.3">
      <c r="A13" t="s">
        <v>777</v>
      </c>
      <c r="B13" s="1" t="s">
        <v>62</v>
      </c>
      <c r="C13" s="1" t="s">
        <v>65</v>
      </c>
      <c r="D13" s="1" t="s">
        <v>0</v>
      </c>
      <c r="E13" s="1" t="s">
        <v>102</v>
      </c>
      <c r="F13" s="1" t="s">
        <v>102</v>
      </c>
      <c r="H13" s="1" t="s">
        <v>1</v>
      </c>
      <c r="J13" t="s">
        <v>43</v>
      </c>
      <c r="K13" t="s">
        <v>451</v>
      </c>
      <c r="L13" t="s">
        <v>48</v>
      </c>
      <c r="M13" t="s">
        <v>155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402.00600000000003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201.00300000000001</v>
      </c>
      <c r="R13">
        <f>P13+Q13</f>
        <v>603.00900000000001</v>
      </c>
      <c r="S13">
        <f>_xlfn.XLOOKUP($K13,Specs!$D:$D,Specs!$E:$E,0)*15*_xlfn.XLOOKUP($J13,Specs!$A:$A,Specs!$C:$C,0)</f>
        <v>15</v>
      </c>
      <c r="T13">
        <f>_xlfn.XLOOKUP($L13,Specs!$D:$D,Specs!$E:$E,0)*15*_xlfn.XLOOKUP($J13,Specs!$A:$A,Specs!$C:$C,0)</f>
        <v>180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98.147500000000008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100</v>
      </c>
      <c r="X13">
        <f>_xlfn.XLOOKUP($O13,Specs!F:F,Specs!G:G,0)*100*_xlfn.XLOOKUP($J13,Specs!A:A,Specs!C:C,0)</f>
        <v>0</v>
      </c>
      <c r="Y13" s="4">
        <f>($P13+$Q13+$S13+$W13+$X13)*IF(ISNUMBER(SEARCH("Fat Free",$B13)),0.0036,0.0012)</f>
        <v>0.8616107999999999</v>
      </c>
      <c r="Z13" s="5">
        <f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2129.6493055555557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129.22115902777779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124.45009999999999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185.02538194444449</v>
      </c>
      <c r="AE13" s="8">
        <f>$AD13 / (_xlfn.XLOOKUP($J13,Specs!A:A,Specs!B:B,0))</f>
        <v>0.19558708450786944</v>
      </c>
      <c r="AF13" s="7">
        <f>60* ($AA13 / _xlfn.XLOOKUP($J13,Specs!$A:$A,Specs!$B:$B,0))</f>
        <v>135.07289464411559</v>
      </c>
      <c r="AG13" s="7">
        <f>60* (AB13 / _xlfn.XLOOKUP($J13,Specs!$A:$A,Specs!$B:$B,0))</f>
        <v>8.1958451814658222</v>
      </c>
      <c r="AH13" s="7">
        <f>60* (AD13 / _xlfn.XLOOKUP($J13,Specs!$A:$A,Specs!$B:$B,0))</f>
        <v>11.735225070472167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4.0807554708256077</v>
      </c>
      <c r="AJ13" s="10">
        <f>ROUNDUP((AI13+Specs!$R$2+Specs!$S$2+_xlfn.XLOOKUP($J13,Specs!A:A,Specs!V:V,0))*Specs!$N$2,0)</f>
        <v>11</v>
      </c>
    </row>
    <row r="14" spans="1:38" x14ac:dyDescent="0.3">
      <c r="A14" t="s">
        <v>509</v>
      </c>
      <c r="B14" s="1" t="s">
        <v>62</v>
      </c>
      <c r="C14" s="1" t="s">
        <v>65</v>
      </c>
      <c r="D14" s="1" t="s">
        <v>0</v>
      </c>
      <c r="F14" s="1" t="s">
        <v>3</v>
      </c>
      <c r="H14" s="1" t="s">
        <v>1</v>
      </c>
      <c r="J14" t="s">
        <v>4</v>
      </c>
      <c r="K14" t="s">
        <v>451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229.185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114.5925</v>
      </c>
      <c r="R14">
        <f t="shared" ref="R14:R19" si="4">P14+Q14</f>
        <v>343.77750000000003</v>
      </c>
      <c r="S14">
        <f>_xlfn.XLOOKUP($K14,Specs!$D:$D,Specs!$E:$E,0)*15*_xlfn.XLOOKUP($J14,Specs!$A:$A,Specs!$C:$C,0)</f>
        <v>7.5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47.300000000000004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50</v>
      </c>
      <c r="X14">
        <f>_xlfn.XLOOKUP($O14,Specs!F:F,Specs!G:G,0)*100*_xlfn.XLOOKUP($J14,Specs!A:A,Specs!C:C,0)</f>
        <v>0</v>
      </c>
      <c r="Y14" s="4">
        <f t="shared" ref="Y14" si="5">($P14+$Q14+$S14+$W14+$X14)*IF(ISNUMBER(SEARCH("Fat Free",$B14)),0.0036,0.0012)</f>
        <v>0.48153299999999999</v>
      </c>
      <c r="Z14" s="5">
        <f t="shared" ref="Z14" si="6">CEILING(CONVERT(($P14+$Q14+$S14+$W14+$X14)*IF(ISNUMBER(SEARCH("Fat Free",$B14)),0.0036,0.0012),"ml","tsp"),0.25)</f>
        <v>0.25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1355.3282352941178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77.796220588235286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58.319749999999999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114.78136029411765</v>
      </c>
      <c r="AE14" s="8">
        <f>$AD14 / (_xlfn.XLOOKUP($J14,Specs!A:A,Specs!B:B,0))</f>
        <v>0.24266672366621067</v>
      </c>
      <c r="AF14" s="7">
        <f>60* (AA14 / _xlfn.XLOOKUP($J14,Specs!$A:$A,Specs!$B:$B,0))</f>
        <v>171.92324337768937</v>
      </c>
      <c r="AG14" s="7">
        <f>60* (AB14 / _xlfn.XLOOKUP($J14,Specs!$A:$A,Specs!$B:$B,0))</f>
        <v>9.868442357915681</v>
      </c>
      <c r="AH14" s="7">
        <f>60* (AD14 / _xlfn.XLOOKUP($J14,Specs!$A:$A,Specs!$B:$B,0))</f>
        <v>14.56000341997264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2.1558988802929879</v>
      </c>
      <c r="AJ14" s="10">
        <f>ROUNDUP((AI14+Specs!$R$2+Specs!$S$2+_xlfn.XLOOKUP($J14,Specs!A:A,Specs!V:V,0))*Specs!$N$2,0)</f>
        <v>6</v>
      </c>
    </row>
    <row r="15" spans="1:38" x14ac:dyDescent="0.3">
      <c r="A15" t="s">
        <v>847</v>
      </c>
      <c r="B15" s="1" t="s">
        <v>62</v>
      </c>
      <c r="C15" s="1" t="s">
        <v>65</v>
      </c>
      <c r="D15" s="1" t="s">
        <v>98</v>
      </c>
      <c r="F15" s="1" t="s">
        <v>423</v>
      </c>
      <c r="H15" s="1" t="s">
        <v>1</v>
      </c>
      <c r="J15" t="s">
        <v>341</v>
      </c>
      <c r="K15" t="s">
        <v>46</v>
      </c>
      <c r="M15" t="s">
        <v>157</v>
      </c>
      <c r="N15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613.80000000000007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306.90000000000003</v>
      </c>
      <c r="R15">
        <f t="shared" si="4"/>
        <v>920.7</v>
      </c>
      <c r="S15">
        <f>_xlfn.XLOOKUP($K15,Specs!$D:$D,Specs!$E:$E,0)*15*_xlfn.XLOOKUP($J15,Specs!$A:$A,Specs!$C:$C,0)</f>
        <v>60</v>
      </c>
      <c r="T15">
        <f>_xlfn.XLOOKUP($L15,Specs!$D:$D,Specs!$E:$E,0)*15*_xlfn.XLOOKUP($J15,Specs!$A:$A,Specs!$C:$C,0)</f>
        <v>0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207.625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200</v>
      </c>
      <c r="X15">
        <f>_xlfn.XLOOKUP($O15,Specs!F:F,Specs!G:G,0)*100*_xlfn.XLOOKUP($J15,Specs!A:A,Specs!C:C,0)</f>
        <v>0</v>
      </c>
      <c r="Y15" s="4">
        <f t="shared" ref="Y15:Y18" si="7">($P15+$Q15+$S15+$W15+$X15)*IF(ISNUMBER(SEARCH("Fat Free",$B15)),0.0036,0.0012)</f>
        <v>1.4168399999999999</v>
      </c>
      <c r="Z15" s="5">
        <f t="shared" ref="Z15:Z18" si="8">CEILING(CONVERT(($P15+$Q15+$S15+$W15+$X15)*IF(ISNUMBER(SEARCH("Fat Free",$B15)),0.0036,0.0012),"ml","tsp"),0.25)</f>
        <v>0.5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4521.7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347.73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210.23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340.45</v>
      </c>
      <c r="AE15" s="8">
        <f>$AD15 / (_xlfn.XLOOKUP($J15,Specs!A:A,Specs!B:B,0))</f>
        <v>0.25791666666666668</v>
      </c>
      <c r="AF15" s="7">
        <f>60* ($AA15 / _xlfn.XLOOKUP($J15,Specs!$A:$A,Specs!$B:$B,0))</f>
        <v>205.53181818181818</v>
      </c>
      <c r="AG15" s="7">
        <f>60* (AB15 / _xlfn.XLOOKUP($J15,Specs!$A:$A,Specs!$B:$B,0))</f>
        <v>15.805909090909093</v>
      </c>
      <c r="AH15" s="7">
        <f>60* (AD15 / _xlfn.XLOOKUP($J15,Specs!$A:$A,Specs!$B:$B,0))</f>
        <v>15.475000000000001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8.7288072050138243</v>
      </c>
      <c r="AJ15" s="10">
        <f>ROUNDUP((AI15+Specs!$R$2+Specs!$S$2+_xlfn.XLOOKUP($J15,Specs!A:A,Specs!V:V,0))*Specs!$N$2,0)</f>
        <v>21</v>
      </c>
    </row>
    <row r="16" spans="1:38" x14ac:dyDescent="0.3">
      <c r="A16" s="75" t="s">
        <v>773</v>
      </c>
      <c r="B16" s="31" t="s">
        <v>62</v>
      </c>
      <c r="C16" s="31" t="s">
        <v>65</v>
      </c>
      <c r="D16" s="31" t="s">
        <v>99</v>
      </c>
      <c r="E16" s="31" t="s">
        <v>0</v>
      </c>
      <c r="F16" s="31" t="s">
        <v>126</v>
      </c>
      <c r="G16" s="31"/>
      <c r="H16" s="31" t="s">
        <v>1</v>
      </c>
      <c r="I16" s="31"/>
      <c r="J16" s="30" t="s">
        <v>4</v>
      </c>
      <c r="K16" s="30" t="s">
        <v>176</v>
      </c>
      <c r="L16" s="30" t="s">
        <v>176</v>
      </c>
      <c r="M16" s="30" t="s">
        <v>155</v>
      </c>
      <c r="N16" s="30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262.87800000000004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131.43900000000002</v>
      </c>
      <c r="R16">
        <f>P16+Q16</f>
        <v>394.31700000000006</v>
      </c>
      <c r="S16">
        <f>_xlfn.XLOOKUP($K16,Specs!$D:$D,Specs!$E:$E,0)*15*_xlfn.XLOOKUP($J16,Specs!$A:$A,Specs!$C:$C,0)</f>
        <v>1.875</v>
      </c>
      <c r="T16">
        <f>_xlfn.XLOOKUP($L16,Specs!$D:$D,Specs!$E:$E,0)*15*_xlfn.XLOOKUP($J16,Specs!$A:$A,Specs!$C:$C,0)</f>
        <v>1.875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44.343750000000007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50</v>
      </c>
      <c r="X16">
        <f>_xlfn.XLOOKUP($O16,Specs!F:F,Specs!G:G,0)*100*_xlfn.XLOOKUP($J16,Specs!A:A,Specs!C:C,0)</f>
        <v>0</v>
      </c>
      <c r="Y16" s="4">
        <f>($P16+$Q16+$S16+$W16+$X16)*IF(ISNUMBER(SEARCH("Fat Free",$B16)),0.0036,0.0012)</f>
        <v>0.53543040000000008</v>
      </c>
      <c r="Z16" s="5">
        <f>CEILING(CONVERT(($P16+$Q16+$S16+$W16+$X16)*IF(ISNUMBER(SEARCH("Fat Free",$B16)),0.0036,0.0012),"ml","tsp"),0.25)</f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1492.5370000000003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58.700050000000005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55.7438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139.70137500000004</v>
      </c>
      <c r="AE16" s="8">
        <f>$AD16 / (_xlfn.XLOOKUP($J16,Specs!A:A,Specs!B:B,0))</f>
        <v>0.29535174418604659</v>
      </c>
      <c r="AF16" s="7">
        <f>60* ($AA16 / _xlfn.XLOOKUP($J16,Specs!$A:$A,Specs!$B:$B,0))</f>
        <v>189.3281606765328</v>
      </c>
      <c r="AG16" s="7">
        <f>60* (AB16 / _xlfn.XLOOKUP($J16,Specs!$A:$A,Specs!$B:$B,0))</f>
        <v>7.4460951374207189</v>
      </c>
      <c r="AH16" s="7">
        <f>60* (AD16 / _xlfn.XLOOKUP($J16,Specs!$A:$A,Specs!$B:$B,0))</f>
        <v>17.721104651162797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2.7855904875076267</v>
      </c>
      <c r="AJ16" s="10">
        <f>ROUNDUP((AI16+Specs!$R$2+Specs!$S$2+_xlfn.XLOOKUP($J16,Specs!A:A,Specs!V:V,0))*Specs!$N$2,0)</f>
        <v>7</v>
      </c>
      <c r="AK16" s="39"/>
      <c r="AL16" s="40"/>
    </row>
    <row r="17" spans="1:38" x14ac:dyDescent="0.3">
      <c r="A17" t="s">
        <v>252</v>
      </c>
      <c r="B17" s="1" t="s">
        <v>62</v>
      </c>
      <c r="C17" s="1" t="s">
        <v>65</v>
      </c>
      <c r="D17" s="1" t="s">
        <v>0</v>
      </c>
      <c r="F17" s="1" t="s">
        <v>250</v>
      </c>
      <c r="H17" s="1" t="s">
        <v>1</v>
      </c>
      <c r="J17" t="s">
        <v>43</v>
      </c>
      <c r="K17" t="s">
        <v>451</v>
      </c>
      <c r="M17" t="s">
        <v>157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458.37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229.185</v>
      </c>
      <c r="R17">
        <f t="shared" si="4"/>
        <v>687.55500000000006</v>
      </c>
      <c r="S17">
        <f>_xlfn.XLOOKUP($K17,Specs!$D:$D,Specs!$E:$E,0)*15*_xlfn.XLOOKUP($J17,Specs!$A:$A,Specs!$C:$C,0)</f>
        <v>15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236.5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100</v>
      </c>
      <c r="X17">
        <f>_xlfn.XLOOKUP($O17,Specs!F:F,Specs!G:G,0)*100*_xlfn.XLOOKUP($J17,Specs!A:A,Specs!C:C,0)</f>
        <v>0</v>
      </c>
      <c r="Y17" s="4">
        <f t="shared" si="7"/>
        <v>0.96306599999999998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3393.0161762771322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185.41687338303001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116.6395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258.04996409778556</v>
      </c>
      <c r="AE17" s="8">
        <f>$AD17 / (_xlfn.XLOOKUP($J17,Specs!A:A,Specs!B:B,0))</f>
        <v>0.27278008889829342</v>
      </c>
      <c r="AF17" s="7">
        <f>60* ($AA17 / _xlfn.XLOOKUP($J17,Specs!$A:$A,Specs!$B:$B,0))</f>
        <v>215.20187164548409</v>
      </c>
      <c r="AG17" s="7">
        <f>60* (AB17 / _xlfn.XLOOKUP($J17,Specs!$A:$A,Specs!$B:$B,0))</f>
        <v>11.760055394272516</v>
      </c>
      <c r="AH17" s="7">
        <f>60* (AD17 / _xlfn.XLOOKUP($J17,Specs!$A:$A,Specs!$B:$B,0))</f>
        <v>16.366805333897606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4.7164120861017098</v>
      </c>
      <c r="AJ17" s="10">
        <f>ROUNDUP((AI17+Specs!$R$2+Specs!$S$2+_xlfn.XLOOKUP($J17,Specs!A:A,Specs!V:V,0))*Specs!$N$2,0)</f>
        <v>12</v>
      </c>
    </row>
    <row r="18" spans="1:38" x14ac:dyDescent="0.3">
      <c r="A18" t="s">
        <v>444</v>
      </c>
      <c r="B18" s="1" t="s">
        <v>62</v>
      </c>
      <c r="C18" s="1" t="s">
        <v>65</v>
      </c>
      <c r="D18" s="1" t="s">
        <v>0</v>
      </c>
      <c r="E18" s="1" t="s">
        <v>8</v>
      </c>
      <c r="F18" s="1" t="s">
        <v>416</v>
      </c>
      <c r="H18" s="1" t="s">
        <v>1</v>
      </c>
      <c r="J18" t="s">
        <v>4</v>
      </c>
      <c r="K18" t="s">
        <v>451</v>
      </c>
      <c r="M18" t="s">
        <v>155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260.40300000000002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130.20150000000001</v>
      </c>
      <c r="R18">
        <f t="shared" si="4"/>
        <v>390.60450000000003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59.125000000000007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si="7"/>
        <v>0.53772540000000002</v>
      </c>
      <c r="Z18" s="5">
        <f t="shared" si="8"/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1427.1036666666669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89.58505000000001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58.840050000000005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119.351375</v>
      </c>
      <c r="AE18" s="8">
        <f>$AD18 / (_xlfn.XLOOKUP($J18,Specs!A:A,Specs!B:B,0))</f>
        <v>0.25232848837209304</v>
      </c>
      <c r="AF18" s="7">
        <f>60* ($AA18 / _xlfn.XLOOKUP($J18,Specs!$A:$A,Specs!$B:$B,0))</f>
        <v>181.02794926004231</v>
      </c>
      <c r="AG18" s="7">
        <f>60* (AB18 / _xlfn.XLOOKUP($J18,Specs!$A:$A,Specs!$B:$B,0))</f>
        <v>11.363854122621566</v>
      </c>
      <c r="AH18" s="7">
        <f>60* (AD18 / _xlfn.XLOOKUP($J18,Specs!$A:$A,Specs!$B:$B,0))</f>
        <v>15.139709302325583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2.6103698418171692</v>
      </c>
      <c r="AJ18" s="10">
        <f>ROUNDUP((AI18+Specs!$R$2+Specs!$S$2+_xlfn.XLOOKUP($J18,Specs!A:A,Specs!V:V,0))*Specs!$N$2,0)</f>
        <v>7</v>
      </c>
    </row>
    <row r="19" spans="1:38" ht="16.8" x14ac:dyDescent="0.4">
      <c r="A19" s="22" t="s">
        <v>758</v>
      </c>
      <c r="B19" s="1" t="s">
        <v>62</v>
      </c>
      <c r="C19" s="1" t="s">
        <v>65</v>
      </c>
      <c r="D19" s="1" t="s">
        <v>249</v>
      </c>
      <c r="F19" s="1" t="s">
        <v>270</v>
      </c>
      <c r="G19" s="1" t="s">
        <v>268</v>
      </c>
      <c r="H19" s="1" t="s">
        <v>1</v>
      </c>
      <c r="J19" t="s">
        <v>4</v>
      </c>
      <c r="K19" t="s">
        <v>451</v>
      </c>
      <c r="M19" t="s">
        <v>157</v>
      </c>
      <c r="N19" t="s">
        <v>174</v>
      </c>
      <c r="P19">
        <f>(_xlfn.XLOOKUP($J19,Specs!A:A,Specs!B:B,0)-$S19-$T19-(($U19/MAX(1,_xlfn.XLOOKUP($F19,'Solid Mix In Nutrition'!A:A,'Solid Mix In Nutrition'!I:I,1)))*240)-(($V19/MAX(1,_xlfn.XLOOKUP($G19,'Solid Mix In Nutrition'!A:A,'Solid Mix In Nutrition'!I:I,1)))*240))*0.66</f>
        <v>229.185</v>
      </c>
      <c r="Q19">
        <f>(_xlfn.XLOOKUP($J19,Specs!A:A,Specs!B:B,0)-$S19-$T19-(($U19/MAX(1,_xlfn.XLOOKUP($F19,'Solid Mix In Nutrition'!A:A,'Solid Mix In Nutrition'!I:I,1)))*240)-(($V19/MAX(1,_xlfn.XLOOKUP($G19,'Solid Mix In Nutrition'!A:A,'Solid Mix In Nutrition'!I:I,1)))*240))*0.33</f>
        <v>114.5925</v>
      </c>
      <c r="R19">
        <f t="shared" si="4"/>
        <v>343.77750000000003</v>
      </c>
      <c r="S19">
        <f>_xlfn.XLOOKUP($K19,Specs!$D:$D,Specs!$E:$E,0)*15*_xlfn.XLOOKUP($J19,Specs!$A:$A,Specs!$C:$C,0)</f>
        <v>7.5</v>
      </c>
      <c r="T19">
        <f>_xlfn.XLOOKUP($L19,Specs!$D:$D,Specs!$E:$E,0)*15*_xlfn.XLOOKUP($J19,Specs!$A:$A,Specs!$C:$C,0)</f>
        <v>0</v>
      </c>
      <c r="U19">
        <f>( ((_xlfn.XLOOKUP($M19,Specs!$H:$H,Specs!$I:$I,0)*_xlfn.XLOOKUP($J19,Specs!$A:$A,Specs!$B:$B,0))/240) *_xlfn.XLOOKUP($F19,'Solid Mix In Nutrition'!A:A,'Solid Mix In Nutrition'!I:I,0)) *IF(AND(NOT($G19=0), COUNTA($G19)),0.5,1)</f>
        <v>33.996875000000003</v>
      </c>
      <c r="V19">
        <f>( ((_xlfn.XLOOKUP($M19,Specs!$H:$H,Specs!$I:$I,0)*_xlfn.XLOOKUP($J19,Specs!$A:$A,Specs!$B:$B,0))/240) *_xlfn.XLOOKUP($G19,'Solid Mix In Nutrition'!A:A,'Solid Mix In Nutrition'!I:I,0)) *IF(AND(NOT($G19=0), COUNTA($G19)),0.5,0)</f>
        <v>9.8541666666666679</v>
      </c>
      <c r="W19">
        <f>_xlfn.XLOOKUP($N19,Specs!F:F,Specs!G:G,0)*100*_xlfn.XLOOKUP($J19,Specs!A:A,Specs!C:C,0)</f>
        <v>50</v>
      </c>
      <c r="X19">
        <f>_xlfn.XLOOKUP($O19,Specs!F:F,Specs!G:G,0)*100*_xlfn.XLOOKUP($J19,Specs!A:A,Specs!C:C,0)</f>
        <v>0</v>
      </c>
      <c r="Y19" s="4">
        <f t="shared" ref="Y19" si="9">($P19+$Q19+$S19+$W19+$X19)*IF(ISNUMBER(SEARCH("Fat Free",$B19)),0.0036,0.0012)</f>
        <v>0.48153299999999999</v>
      </c>
      <c r="Z19" s="5">
        <f t="shared" ref="Z19" si="10">CEILING(CONVERT(($P19+$Q19+$S19+$W19+$X19)*IF(ISNUMBER(SEARCH("Fat Free",$B19)),0.0036,0.0012),"ml","tsp"),0.25)</f>
        <v>0.25</v>
      </c>
      <c r="AA19" s="6">
        <f>(($P19 / 240) * _xlfn.XLOOKUP($B19,'Milk Types Nutrition Per Cup'!A:A,'Milk Types Nutrition Per Cup'!B:B,0)) +(($Q19 / 240)  * _xlfn.XLOOKUP($C19,'Milk Types Nutrition Per Cup'!A:A,'Milk Types Nutrition Per Cup'!B:B,0)) +(($S19 / 15)  * _xlfn.XLOOKUP($D19,'Liquid Mix In Nutrition'!A:A,'Liquid Mix In Nutrition'!B:B,0))+(($T19 / 15)  * _xlfn.XLOOKUP($E19,'Liquid Mix In Nutrition'!A:A,'Liquid Mix In Nutrition'!B:B,0))+(($U19 /MAX(1, _xlfn.XLOOKUP($F19,'Solid Mix In Nutrition'!A:A,'Solid Mix In Nutrition'!I:I,1)))  * _xlfn.XLOOKUP($F19,'Solid Mix In Nutrition'!A:A,'Solid Mix In Nutrition'!B:B,0))+(($V19 / MAX(1, _xlfn.XLOOKUP($G19,'Solid Mix In Nutrition'!A:A,'Solid Mix In Nutrition'!I:I,1))))+(($W19 / 100)  * _xlfn.XLOOKUP($H19,'Sweetener Mix In Nutrition'!A:A,'Sweetener Mix In Nutrition'!B:B,0))+(($X19 / 100)  * _xlfn.XLOOKUP($I19,'Sweetener Mix In Nutrition'!A:A,'Sweetener Mix In Nutrition'!B:B,0))</f>
        <v>1320.8256398809524</v>
      </c>
      <c r="AB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Nutrition'!E:E,0))+(($U19 / MAX(1, _xlfn.XLOOKUP($F19,'Solid Mix In Nutrition'!A:A,'Solid Mix In Nutrition'!I:I,1)))  * _xlfn.XLOOKUP($F19,'Solid Mix In Nutrition'!A:A,'Solid Mix In Nutrition'!E:E,0))+(($V19 / MAX(1, _xlfn.XLOOKUP($G19,'Solid Mix In Nutrition'!A:A,'Solid Mix In Nutrition'!I:I,1)))  * _xlfn.XLOOKUP($G19,'Solid Mix In Nutrition'!A:A,'Solid Mix In Nutrition'!G:G,0))+(($W19 / 100)  * _xlfn.XLOOKUP($H19,'Sweetener Mix In Nutrition'!A:A,'Sweetener Mix In Nutrition'!E:E,0))+(($X19 / 100)  * _xlfn.XLOOKUP($I19,'Sweetener Mix In Nutrition'!A:A,'Sweetener Mix In Nutrition'!E:E,0))</f>
        <v>56.498517224702383</v>
      </c>
      <c r="AC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Nutrition'!E:E,0))+(($W19 / 100)  * _xlfn.XLOOKUP($H19,'Sweetener Mix In Nutrition'!A:A,'Sweetener Mix In Nutrition'!E:E,0))+(($X19 / 100)  * _xlfn.XLOOKUP($I19,'Sweetener Mix In Nutrition'!A:A,'Sweetener Mix In Nutrition'!E:E,0))</f>
        <v>53.819749999999999</v>
      </c>
      <c r="AD19" s="7">
        <f>(($P19 / 240) * _xlfn.XLOOKUP($B19,'Milk Types Nutrition Per Cup'!A:A,'Milk Types Nutrition Per Cup'!C:C,0)) +(($Q19 / 240)  * _xlfn.XLOOKUP($C19,'Milk Types Nutrition Per Cup'!A:A,'Milk Types Nutrition Per Cup'!C:C,0)) +(($S19 / 15)  * _xlfn.XLOOKUP($D19,'Liquid Mix In Nutrition'!A:A,'Liquid Mix In Nutrition'!C:C,0))+(($T19 / 15)  * _xlfn.XLOOKUP($E19,'Liquid Mix In Nutrition'!A:A,'Liquid Mix In Nutrition'!C:C,0))+(($U19 / MAX(1, _xlfn.XLOOKUP($F19,'Solid Mix In Nutrition'!A:A,'Solid Mix In Nutrition'!I:I,1)))  * _xlfn.XLOOKUP($F19,'Solid Mix In Nutrition'!A:A,'Solid Mix In Nutrition'!C:C,0))+(($V19 / MAX(1, _xlfn.XLOOKUP($G19,'Solid Mix In Nutrition'!A:A,'Solid Mix In Nutrition'!I:I,1)))  * _xlfn.XLOOKUP($G19,'Solid Mix In Nutrition'!A:A,'Solid Mix In Nutrition'!C:C,0))+(($W19 / 100)  * _xlfn.XLOOKUP($H19,'Sweetener Mix In Nutrition'!A:A,'Sweetener Mix In Nutrition'!C:C,0))+(($X19 / 100)  * _xlfn.XLOOKUP($I19,'Sweetener Mix In Nutrition'!A:A,'Sweetener Mix In Nutrition'!C:C,0))</f>
        <v>123.11299107142858</v>
      </c>
      <c r="AE19" s="8">
        <f>$AD19 / (_xlfn.XLOOKUP($J19,Specs!A:A,Specs!B:B,0))</f>
        <v>0.2602811650558744</v>
      </c>
      <c r="AF19" s="7">
        <f>60* ($AA19 / _xlfn.XLOOKUP($J19,Specs!$A:$A,Specs!$B:$B,0))</f>
        <v>167.54659279673814</v>
      </c>
      <c r="AG19" s="7">
        <f>60* (AB19 / _xlfn.XLOOKUP($J19,Specs!$A:$A,Specs!$B:$B,0))</f>
        <v>7.1668309375943826</v>
      </c>
      <c r="AH19" s="7">
        <f>60* (AD19 / _xlfn.XLOOKUP($J19,Specs!$A:$A,Specs!$B:$B,0))</f>
        <v>15.616869903352464</v>
      </c>
      <c r="AI19" s="9">
        <f>(($P19 / 240) * _xlfn.XLOOKUP($B19,'Milk Types Nutrition Per Cup'!A:A,'Milk Types Nutrition Per Cup'!F:F,0)) +(($Q19 / 240)  * _xlfn.XLOOKUP($C19,'Milk Types Nutrition Per Cup'!A:A,'Milk Types Nutrition Per Cup'!F:F,0)) +(($S19 / 15)  * _xlfn.XLOOKUP($D19,'Liquid Mix In Nutrition'!A:A,'Liquid Mix In Nutrition'!F:F,0))+(($T19 / 15)  * _xlfn.XLOOKUP($E19,'Liquid Mix In Nutrition'!A:A,'Liquid Mix In Nutrition'!F:F,0))+(($U19 / MAX(1, _xlfn.XLOOKUP($F19,'Solid Mix In Nutrition'!A:A,'Solid Mix In Nutrition'!I:I,1)))  * _xlfn.XLOOKUP($F19,'Solid Mix In Nutrition'!A:A,'Solid Mix In Nutrition'!F:F,0))+(($V19 / MAX(1, _xlfn.XLOOKUP($G19,'Solid Mix In Nutrition'!A:A,'Solid Mix In Nutrition'!I:I,1)))  * _xlfn.XLOOKUP($G19,'Solid Mix In Nutrition'!A:A,'Solid Mix In Nutrition'!F:F,0))+(($W19 / 100)  * _xlfn.XLOOKUP($H19,'Sweetener Mix In Nutrition'!A:A,'Sweetener Mix In Nutrition'!F:F,0))+(($X19 / 100)  * _xlfn.XLOOKUP($I19,'Sweetener Mix In Nutrition'!A:A,'Sweetener Mix In Nutrition'!F:F,0))</f>
        <v>3.0700541658381058</v>
      </c>
      <c r="AJ19" s="10">
        <f>ROUNDUP((AI19+Specs!$R$2+Specs!$S$2+_xlfn.XLOOKUP($J19,Specs!A:A,Specs!V:V,0))*Specs!$N$2,0)</f>
        <v>8</v>
      </c>
    </row>
    <row r="20" spans="1:38" x14ac:dyDescent="0.3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3">
      <c r="A21" s="26" t="s">
        <v>853</v>
      </c>
      <c r="Y21" s="4"/>
      <c r="Z21" s="5"/>
      <c r="AA21" s="6"/>
      <c r="AB21" s="6"/>
      <c r="AC21" s="6"/>
      <c r="AD21" s="7"/>
      <c r="AE21" s="8"/>
      <c r="AF21" s="7"/>
      <c r="AG21" s="7"/>
      <c r="AH21" s="7"/>
      <c r="AI21" s="9"/>
      <c r="AJ21" s="10"/>
    </row>
    <row r="22" spans="1:38" x14ac:dyDescent="0.3">
      <c r="A22" t="s">
        <v>299</v>
      </c>
      <c r="B22" s="1" t="s">
        <v>66</v>
      </c>
      <c r="C22" s="1" t="s">
        <v>284</v>
      </c>
      <c r="D22" s="1" t="s">
        <v>0</v>
      </c>
      <c r="E22" s="1" t="s">
        <v>96</v>
      </c>
      <c r="H22" s="1" t="s">
        <v>133</v>
      </c>
      <c r="J22" t="s">
        <v>4</v>
      </c>
      <c r="K22" t="s">
        <v>451</v>
      </c>
      <c r="L22" t="s">
        <v>46</v>
      </c>
      <c r="N22" t="s">
        <v>159</v>
      </c>
      <c r="O22" t="s">
        <v>44</v>
      </c>
      <c r="P22">
        <f>(_xlfn.XLOOKUP($J22,Specs!A:A,Specs!B:B,0)-$S22-$T22-(($U22/MAX(1,_xlfn.XLOOKUP($F22,'Solid Mix In Nutrition'!A:A,'Solid Mix In Nutrition'!I:I,1)))*240)-(($V22/MAX(1,_xlfn.XLOOKUP($G22,'Solid Mix In Nutrition'!A:A,'Solid Mix In Nutrition'!I:I,1)))*240))*0.66</f>
        <v>297.33000000000004</v>
      </c>
      <c r="Q22">
        <f>(_xlfn.XLOOKUP($J22,Specs!A:A,Specs!B:B,0)-$S22-$T22-(($U22/MAX(1,_xlfn.XLOOKUP($F22,'Solid Mix In Nutrition'!A:A,'Solid Mix In Nutrition'!I:I,1)))*240)-(($V22/MAX(1,_xlfn.XLOOKUP($G22,'Solid Mix In Nutrition'!A:A,'Solid Mix In Nutrition'!I:I,1)))*240))*0.33</f>
        <v>148.66500000000002</v>
      </c>
      <c r="R22">
        <f>P22+Q22</f>
        <v>445.99500000000006</v>
      </c>
      <c r="S22">
        <f>_xlfn.XLOOKUP($K22,Specs!$D:$D,Specs!$E:$E,0)*15*_xlfn.XLOOKUP($J22,Specs!$A:$A,Specs!$C:$C,0)</f>
        <v>7.5</v>
      </c>
      <c r="T22">
        <f>_xlfn.XLOOKUP($L22,Specs!$D:$D,Specs!$E:$E,0)*15*_xlfn.XLOOKUP($J22,Specs!$A:$A,Specs!$C:$C,0)</f>
        <v>15</v>
      </c>
      <c r="U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V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W22">
        <f>_xlfn.XLOOKUP($N22,Specs!F:F,Specs!G:G,0)*100*_xlfn.XLOOKUP($J22,Specs!A:A,Specs!C:C,0)</f>
        <v>25</v>
      </c>
      <c r="X22">
        <f>_xlfn.XLOOKUP($O22,Specs!F:F,Specs!G:G,0)*100*_xlfn.XLOOKUP($J22,Specs!A:A,Specs!C:C,0)</f>
        <v>0</v>
      </c>
      <c r="Y22" s="4">
        <f>($P22+$Q22+$S22+$W22+$X22)*IF(ISNUMBER(SEARCH("Fat Free",$B22)),0.0036,0.0012)</f>
        <v>1.7225820000000003</v>
      </c>
      <c r="Z22" s="5">
        <f>CEILING(CONVERT(($P22+$Q22+$S22+$W22+$X22)*IF(ISNUMBER(SEARCH("Fat Free",$B22)),0.0036,0.0012),"ml","tsp"),0.25)</f>
        <v>0.5</v>
      </c>
      <c r="AA22" s="6">
        <f>(($P22 / 240) * _xlfn.XLOOKUP($B22,'Milk Types Nutrition Per Cup'!A:A,'Milk Types Nutrition Per Cup'!B:B,0)) +(($Q22 / 240)  * _xlfn.XLOOKUP($C22,'Milk Types Nutrition Per Cup'!A:A,'Milk Types Nutrition Per Cup'!B:B,0)) +(($S22 / 15)  * _xlfn.XLOOKUP($D22,'Liquid Mix In Nutrition'!A:A,'Liquid Mix In Nutrition'!B:B,0))+(($T22 / 15)  * _xlfn.XLOOKUP($E22,'Liquid Mix In Nutrition'!A:A,'Liquid Mix In Nutrition'!B:B,0))+(($U22 /MAX(1, _xlfn.XLOOKUP($F22,'Solid Mix In Nutrition'!A:A,'Solid Mix In Nutrition'!I:I,1)))  * _xlfn.XLOOKUP($F22,'Solid Mix In Nutrition'!A:A,'Solid Mix In Nutrition'!B:B,0))+(($V22 / MAX(1, _xlfn.XLOOKUP($G22,'Solid Mix In Nutrition'!A:A,'Solid Mix In Nutrition'!I:I,1))))+(($W22 / 100)  * _xlfn.XLOOKUP($H22,'Sweetener Mix In Nutrition'!A:A,'Sweetener Mix In Nutrition'!B:B,0))+(($X22 / 100)  * _xlfn.XLOOKUP($I22,'Sweetener Mix In Nutrition'!A:A,'Sweetener Mix In Nutrition'!B:B,0))</f>
        <v>399.60750000000007</v>
      </c>
      <c r="AB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Nutrition'!E:E,0))+(($U22 / MAX(1, _xlfn.XLOOKUP($F22,'Solid Mix In Nutrition'!A:A,'Solid Mix In Nutrition'!I:I,1)))  * _xlfn.XLOOKUP($F22,'Solid Mix In Nutrition'!A:A,'Solid Mix In Nutrition'!E:E,0))+(($V22 / MAX(1, _xlfn.XLOOKUP($G22,'Solid Mix In Nutrition'!A:A,'Solid Mix In Nutrition'!I:I,1)))  * _xlfn.XLOOKUP($G22,'Solid Mix In Nutrition'!A:A,'Solid Mix In Nutrition'!G:G,0))+(($W22 / 100)  * _xlfn.XLOOKUP($H22,'Sweetener Mix In Nutrition'!A:A,'Sweetener Mix In Nutrition'!E:E,0))+(($X22 / 100)  * _xlfn.XLOOKUP($I22,'Sweetener Mix In Nutrition'!A:A,'Sweetener Mix In Nutrition'!E:E,0))</f>
        <v>39.288500000000006</v>
      </c>
      <c r="AC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Nutrition'!E:E,0))+(($W22 / 100)  * _xlfn.XLOOKUP($H22,'Sweetener Mix In Nutrition'!A:A,'Sweetener Mix In Nutrition'!E:E,0))+(($X22 / 100)  * _xlfn.XLOOKUP($I22,'Sweetener Mix In Nutrition'!A:A,'Sweetener Mix In Nutrition'!E:E,0))</f>
        <v>39.288500000000006</v>
      </c>
      <c r="AD22" s="7">
        <f>(($P22 / 240) * _xlfn.XLOOKUP($B22,'Milk Types Nutrition Per Cup'!A:A,'Milk Types Nutrition Per Cup'!C:C,0)) +(($Q22 / 240)  * _xlfn.XLOOKUP($C22,'Milk Types Nutrition Per Cup'!A:A,'Milk Types Nutrition Per Cup'!C:C,0)) +(($S22 / 15)  * _xlfn.XLOOKUP($D22,'Liquid Mix In Nutrition'!A:A,'Liquid Mix In Nutrition'!C:C,0))+(($T22 / 15)  * _xlfn.XLOOKUP($E22,'Liquid Mix In Nutrition'!A:A,'Liquid Mix In Nutrition'!C:C,0))+(($U22 / MAX(1, _xlfn.XLOOKUP($F22,'Solid Mix In Nutrition'!A:A,'Solid Mix In Nutrition'!I:I,1)))  * _xlfn.XLOOKUP($F22,'Solid Mix In Nutrition'!A:A,'Solid Mix In Nutrition'!C:C,0))+(($V22 / MAX(1, _xlfn.XLOOKUP($G22,'Solid Mix In Nutrition'!A:A,'Solid Mix In Nutrition'!I:I,1)))  * _xlfn.XLOOKUP($G22,'Solid Mix In Nutrition'!A:A,'Solid Mix In Nutrition'!C:C,0))+(($W22 / 100)  * _xlfn.XLOOKUP($H22,'Sweetener Mix In Nutrition'!A:A,'Sweetener Mix In Nutrition'!C:C,0))+(($X22 / 100)  * _xlfn.XLOOKUP($I22,'Sweetener Mix In Nutrition'!A:A,'Sweetener Mix In Nutrition'!C:C,0))</f>
        <v>4.51</v>
      </c>
      <c r="AE22" s="8">
        <f>$AD22 / (_xlfn.XLOOKUP($J22,Specs!A:A,Specs!B:B,0))</f>
        <v>9.5348837209302314E-3</v>
      </c>
      <c r="AF22" s="7">
        <f>60* ($AA22 / _xlfn.XLOOKUP($J22,Specs!$A:$A,Specs!$B:$B,0))</f>
        <v>50.690169133192398</v>
      </c>
      <c r="AG22" s="7">
        <f>60* (AB22 / _xlfn.XLOOKUP($J22,Specs!$A:$A,Specs!$B:$B,0))</f>
        <v>4.9837420718816077</v>
      </c>
      <c r="AH22" s="7">
        <f>60* (AD22 / _xlfn.XLOOKUP($J22,Specs!$A:$A,Specs!$B:$B,0))</f>
        <v>0.5720930232558139</v>
      </c>
      <c r="AI22" s="9">
        <f>(($P22 / 240) * _xlfn.XLOOKUP($B22,'Milk Types Nutrition Per Cup'!A:A,'Milk Types Nutrition Per Cup'!F:F,0)) +(($Q22 / 240)  * _xlfn.XLOOKUP($C22,'Milk Types Nutrition Per Cup'!A:A,'Milk Types Nutrition Per Cup'!F:F,0)) +(($S22 / 15)  * _xlfn.XLOOKUP($D22,'Liquid Mix In Nutrition'!A:A,'Liquid Mix In Nutrition'!F:F,0))+(($T22 / 15)  * _xlfn.XLOOKUP($E22,'Liquid Mix In Nutrition'!A:A,'Liquid Mix In Nutrition'!F:F,0))+(($U22 / MAX(1, _xlfn.XLOOKUP($F22,'Solid Mix In Nutrition'!A:A,'Solid Mix In Nutrition'!I:I,1)))  * _xlfn.XLOOKUP($F22,'Solid Mix In Nutrition'!A:A,'Solid Mix In Nutrition'!F:F,0))+(($V22 / MAX(1, _xlfn.XLOOKUP($G22,'Solid Mix In Nutrition'!A:A,'Solid Mix In Nutrition'!I:I,1)))  * _xlfn.XLOOKUP($G22,'Solid Mix In Nutrition'!A:A,'Solid Mix In Nutrition'!F:F,0))+(($W22 / 100)  * _xlfn.XLOOKUP($H22,'Sweetener Mix In Nutrition'!A:A,'Sweetener Mix In Nutrition'!F:F,0))+(($X22 / 100)  * _xlfn.XLOOKUP($I22,'Sweetener Mix In Nutrition'!A:A,'Sweetener Mix In Nutrition'!F:F,0))</f>
        <v>2.9893207263866635</v>
      </c>
      <c r="AJ22" s="10">
        <f>ROUNDUP((AI22+Specs!$R$2+Specs!$S$2+_xlfn.XLOOKUP($J22,Specs!A:A,Specs!V:V,0))*Specs!$N$2,0)</f>
        <v>8</v>
      </c>
    </row>
    <row r="23" spans="1:38" x14ac:dyDescent="0.3"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3">
      <c r="A24" t="s">
        <v>854</v>
      </c>
      <c r="Y24" s="4"/>
      <c r="Z24" s="5"/>
      <c r="AA24" s="6"/>
      <c r="AB24" s="6"/>
      <c r="AC24" s="6"/>
      <c r="AD24" s="7"/>
      <c r="AE24" s="8"/>
      <c r="AF24" s="7"/>
      <c r="AG24" s="7"/>
      <c r="AH24" s="7"/>
      <c r="AI24" s="9"/>
      <c r="AJ24" s="10"/>
    </row>
    <row r="25" spans="1:38" x14ac:dyDescent="0.3">
      <c r="A25" t="s">
        <v>401</v>
      </c>
      <c r="B25" s="1" t="s">
        <v>62</v>
      </c>
      <c r="C25" s="1" t="s">
        <v>65</v>
      </c>
      <c r="D25" s="1" t="s">
        <v>0</v>
      </c>
      <c r="F25" s="1" t="s">
        <v>416</v>
      </c>
      <c r="H25" s="1" t="s">
        <v>132</v>
      </c>
      <c r="J25" t="s">
        <v>4</v>
      </c>
      <c r="K25" t="s">
        <v>451</v>
      </c>
      <c r="M25" t="s">
        <v>155</v>
      </c>
      <c r="N25" t="s">
        <v>449</v>
      </c>
      <c r="P25">
        <f>(_xlfn.XLOOKUP($J25,Specs!A:A,Specs!B:B,0)-$S25-$T25-(($U25/MAX(1,_xlfn.XLOOKUP($F25,'Solid Mix In Nutrition'!A:A,'Solid Mix In Nutrition'!I:I,1)))*240)-(($V25/MAX(1,_xlfn.XLOOKUP($G25,'Solid Mix In Nutrition'!A:A,'Solid Mix In Nutrition'!I:I,1)))*240))*0.66</f>
        <v>260.40300000000002</v>
      </c>
      <c r="Q25">
        <f>(_xlfn.XLOOKUP($J25,Specs!A:A,Specs!B:B,0)-$S25-$T25-(($U25/MAX(1,_xlfn.XLOOKUP($F25,'Solid Mix In Nutrition'!A:A,'Solid Mix In Nutrition'!I:I,1)))*240)-(($V25/MAX(1,_xlfn.XLOOKUP($G25,'Solid Mix In Nutrition'!A:A,'Solid Mix In Nutrition'!I:I,1)))*240))*0.33</f>
        <v>130.20150000000001</v>
      </c>
      <c r="R25">
        <f t="shared" ref="R25" si="11">P25+Q25</f>
        <v>390.60450000000003</v>
      </c>
      <c r="S25">
        <f>_xlfn.XLOOKUP($K25,Specs!$D:$D,Specs!$E:$E,0)*15*_xlfn.XLOOKUP($J25,Specs!$A:$A,Specs!$C:$C,0)</f>
        <v>7.5</v>
      </c>
      <c r="T25">
        <f>_xlfn.XLOOKUP($L25,Specs!$D:$D,Specs!$E:$E,0)*15*_xlfn.XLOOKUP($J25,Specs!$A:$A,Specs!$C:$C,0)</f>
        <v>0</v>
      </c>
      <c r="U25">
        <f>( ((_xlfn.XLOOKUP($M25,Specs!$H:$H,Specs!$I:$I,0)*_xlfn.XLOOKUP($J25,Specs!$A:$A,Specs!$B:$B,0))/240) *_xlfn.XLOOKUP($F25,'Solid Mix In Nutrition'!A:A,'Solid Mix In Nutrition'!I:I,0)) *IF(AND(NOT($G25=0), COUNTA($G25)),0.5,1)</f>
        <v>59.125000000000007</v>
      </c>
      <c r="V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W25">
        <f>_xlfn.XLOOKUP($N25,Specs!F:F,Specs!G:G,0)*100*_xlfn.XLOOKUP($J25,Specs!A:A,Specs!C:C,0)</f>
        <v>12.5</v>
      </c>
      <c r="X25">
        <f>_xlfn.XLOOKUP($O25,Specs!F:F,Specs!G:G,0)*100*_xlfn.XLOOKUP($J25,Specs!A:A,Specs!C:C,0)</f>
        <v>0</v>
      </c>
      <c r="Y25" s="4">
        <f>($P25+$Q25+$S25+$W25+$X25)*IF(ISNUMBER(SEARCH("Fat Free",$B25)),0.0036,0.0012)</f>
        <v>0.49272539999999998</v>
      </c>
      <c r="Z25" s="5">
        <f>CEILING(CONVERT(($P25+$Q25+$S25+$W25+$X25)*IF(ISNUMBER(SEARCH("Fat Free",$B25)),0.0036,0.0012),"ml","tsp"),0.25)</f>
        <v>0.25</v>
      </c>
      <c r="AA25" s="6">
        <f>(($P25 / 240) * _xlfn.XLOOKUP($B25,'Milk Types Nutrition Per Cup'!A:A,'Milk Types Nutrition Per Cup'!B:B,0)) +(($Q25 / 240)  * _xlfn.XLOOKUP($C25,'Milk Types Nutrition Per Cup'!A:A,'Milk Types Nutrition Per Cup'!B:B,0)) +(($S25 / 15)  * _xlfn.XLOOKUP($D25,'Liquid Mix In Nutrition'!A:A,'Liquid Mix In Nutrition'!B:B,0))+(($T25 / 15)  * _xlfn.XLOOKUP($E25,'Liquid Mix In Nutrition'!A:A,'Liquid Mix In Nutrition'!B:B,0))+(($U25 /MAX(1, _xlfn.XLOOKUP($F25,'Solid Mix In Nutrition'!A:A,'Solid Mix In Nutrition'!I:I,1)))  * _xlfn.XLOOKUP($F25,'Solid Mix In Nutrition'!A:A,'Solid Mix In Nutrition'!B:B,0))+(($V25 / MAX(1, _xlfn.XLOOKUP($G25,'Solid Mix In Nutrition'!A:A,'Solid Mix In Nutrition'!I:I,1))))+(($W25 / 100)  * _xlfn.XLOOKUP($H25,'Sweetener Mix In Nutrition'!A:A,'Sweetener Mix In Nutrition'!B:B,0))+(($X25 / 100)  * _xlfn.XLOOKUP($I25,'Sweetener Mix In Nutrition'!A:A,'Sweetener Mix In Nutrition'!B:B,0))</f>
        <v>1233.6036666666669</v>
      </c>
      <c r="AB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Nutrition'!E:E,0))+(($U25 / MAX(1, _xlfn.XLOOKUP($F25,'Solid Mix In Nutrition'!A:A,'Solid Mix In Nutrition'!I:I,1)))  * _xlfn.XLOOKUP($F25,'Solid Mix In Nutrition'!A:A,'Solid Mix In Nutrition'!E:E,0))+(($V25 / MAX(1, _xlfn.XLOOKUP($G25,'Solid Mix In Nutrition'!A:A,'Solid Mix In Nutrition'!I:I,1)))  * _xlfn.XLOOKUP($G25,'Solid Mix In Nutrition'!A:A,'Solid Mix In Nutrition'!G:G,0))+(($W25 / 100)  * _xlfn.XLOOKUP($H25,'Sweetener Mix In Nutrition'!A:A,'Sweetener Mix In Nutrition'!E:E,0))+(($X25 / 100)  * _xlfn.XLOOKUP($I25,'Sweetener Mix In Nutrition'!A:A,'Sweetener Mix In Nutrition'!E:E,0))</f>
        <v>39.58505000000001</v>
      </c>
      <c r="AC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Nutrition'!E:E,0))+(($W25 / 100)  * _xlfn.XLOOKUP($H25,'Sweetener Mix In Nutrition'!A:A,'Sweetener Mix In Nutrition'!E:E,0))+(($X25 / 100)  * _xlfn.XLOOKUP($I25,'Sweetener Mix In Nutrition'!A:A,'Sweetener Mix In Nutrition'!E:E,0))</f>
        <v>8.8400500000000015</v>
      </c>
      <c r="AD25" s="7">
        <f>(($P25 / 240) * _xlfn.XLOOKUP($B25,'Milk Types Nutrition Per Cup'!A:A,'Milk Types Nutrition Per Cup'!C:C,0)) +(($Q25 / 240)  * _xlfn.XLOOKUP($C25,'Milk Types Nutrition Per Cup'!A:A,'Milk Types Nutrition Per Cup'!C:C,0)) +(($S25 / 15)  * _xlfn.XLOOKUP($D25,'Liquid Mix In Nutrition'!A:A,'Liquid Mix In Nutrition'!C:C,0))+(($T25 / 15)  * _xlfn.XLOOKUP($E25,'Liquid Mix In Nutrition'!A:A,'Liquid Mix In Nutrition'!C:C,0))+(($U25 / MAX(1, _xlfn.XLOOKUP($F25,'Solid Mix In Nutrition'!A:A,'Solid Mix In Nutrition'!I:I,1)))  * _xlfn.XLOOKUP($F25,'Solid Mix In Nutrition'!A:A,'Solid Mix In Nutrition'!C:C,0))+(($V25 / MAX(1, _xlfn.XLOOKUP($G25,'Solid Mix In Nutrition'!A:A,'Solid Mix In Nutrition'!I:I,1)))  * _xlfn.XLOOKUP($G25,'Solid Mix In Nutrition'!A:A,'Solid Mix In Nutrition'!C:C,0))+(($W25 / 100)  * _xlfn.XLOOKUP($H25,'Sweetener Mix In Nutrition'!A:A,'Sweetener Mix In Nutrition'!C:C,0))+(($X25 / 100)  * _xlfn.XLOOKUP($I25,'Sweetener Mix In Nutrition'!A:A,'Sweetener Mix In Nutrition'!C:C,0))</f>
        <v>119.351375</v>
      </c>
      <c r="AE25" s="8">
        <f>$AD25 / (_xlfn.XLOOKUP($J25,Specs!A:A,Specs!B:B,0))</f>
        <v>0.25232848837209304</v>
      </c>
      <c r="AF25" s="7">
        <f>60* ($AA25 / _xlfn.XLOOKUP($J25,Specs!$A:$A,Specs!$B:$B,0))</f>
        <v>156.48249471458777</v>
      </c>
      <c r="AG25" s="7">
        <f>60* (AB25 / _xlfn.XLOOKUP($J25,Specs!$A:$A,Specs!$B:$B,0))</f>
        <v>5.0213594080338275</v>
      </c>
      <c r="AH25" s="7">
        <f>60* (AD25 / _xlfn.XLOOKUP($J25,Specs!$A:$A,Specs!$B:$B,0))</f>
        <v>15.139709302325583</v>
      </c>
      <c r="AI25" s="9">
        <f>(($P25 / 240) * _xlfn.XLOOKUP($B25,'Milk Types Nutrition Per Cup'!A:A,'Milk Types Nutrition Per Cup'!F:F,0)) +(($Q25 / 240)  * _xlfn.XLOOKUP($C25,'Milk Types Nutrition Per Cup'!A:A,'Milk Types Nutrition Per Cup'!F:F,0)) +(($S25 / 15)  * _xlfn.XLOOKUP($D25,'Liquid Mix In Nutrition'!A:A,'Liquid Mix In Nutrition'!F:F,0))+(($T25 / 15)  * _xlfn.XLOOKUP($E25,'Liquid Mix In Nutrition'!A:A,'Liquid Mix In Nutrition'!F:F,0))+(($U25 / MAX(1, _xlfn.XLOOKUP($F25,'Solid Mix In Nutrition'!A:A,'Solid Mix In Nutrition'!I:I,1)))  * _xlfn.XLOOKUP($F25,'Solid Mix In Nutrition'!A:A,'Solid Mix In Nutrition'!F:F,0))+(($V25 / MAX(1, _xlfn.XLOOKUP($G25,'Solid Mix In Nutrition'!A:A,'Solid Mix In Nutrition'!I:I,1)))  * _xlfn.XLOOKUP($G25,'Solid Mix In Nutrition'!A:A,'Solid Mix In Nutrition'!F:F,0))+(($W25 / 100)  * _xlfn.XLOOKUP($H25,'Sweetener Mix In Nutrition'!A:A,'Sweetener Mix In Nutrition'!F:F,0))+(($X25 / 100)  * _xlfn.XLOOKUP($I25,'Sweetener Mix In Nutrition'!A:A,'Sweetener Mix In Nutrition'!F:F,0))</f>
        <v>2.5279552883441814</v>
      </c>
      <c r="AJ25" s="10">
        <f>ROUNDUP((AI25+Specs!$R$2+Specs!$S$2+_xlfn.XLOOKUP($J25,Specs!A:A,Specs!V:V,0))*Specs!$N$2,0)</f>
        <v>7</v>
      </c>
    </row>
    <row r="26" spans="1:38" x14ac:dyDescent="0.3"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</row>
    <row r="27" spans="1:38" x14ac:dyDescent="0.3">
      <c r="A27" s="124" t="s">
        <v>852</v>
      </c>
      <c r="B27" s="122"/>
      <c r="C27" s="122"/>
      <c r="D27" s="122"/>
      <c r="E27" s="122"/>
      <c r="F27" s="122"/>
      <c r="G27" s="122"/>
      <c r="H27" s="122"/>
      <c r="I27" s="122"/>
      <c r="Y27" s="4"/>
      <c r="Z27" s="5"/>
      <c r="AA27" s="6"/>
      <c r="AB27" s="6"/>
      <c r="AC27" s="6"/>
      <c r="AD27" s="7"/>
      <c r="AE27" s="8"/>
      <c r="AF27" s="7"/>
      <c r="AG27" s="7"/>
      <c r="AH27" s="7"/>
      <c r="AI27" s="9"/>
      <c r="AJ27" s="10"/>
      <c r="AK27" s="123"/>
      <c r="AL27" s="10"/>
    </row>
    <row r="28" spans="1:38" x14ac:dyDescent="0.3">
      <c r="A28" t="s">
        <v>812</v>
      </c>
      <c r="B28" s="1" t="s">
        <v>71</v>
      </c>
      <c r="C28" s="1" t="s">
        <v>178</v>
      </c>
      <c r="D28" s="1" t="s">
        <v>0</v>
      </c>
      <c r="H28" s="1" t="s">
        <v>1</v>
      </c>
      <c r="J28" t="s">
        <v>4</v>
      </c>
      <c r="K28" t="s">
        <v>46</v>
      </c>
      <c r="L28" t="s">
        <v>44</v>
      </c>
      <c r="N28" t="s">
        <v>174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302.28000000000003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151.14000000000001</v>
      </c>
      <c r="R28">
        <f t="shared" ref="R28" si="12">P28+Q28</f>
        <v>453.42000000000007</v>
      </c>
      <c r="S28">
        <f>_xlfn.XLOOKUP($K28,Specs!$D:$D,Specs!$E:$E,0)*15*_xlfn.XLOOKUP($J28,Specs!$A:$A,Specs!$C:$C,0)</f>
        <v>15</v>
      </c>
      <c r="T28">
        <f>_xlfn.XLOOKUP($L28,Specs!$D:$D,Specs!$E:$E,0)*15*_xlfn.XLOOKUP($J28,Specs!$A:$A,Specs!$C:$C,0)</f>
        <v>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0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0.62210399999999999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1296.48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59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59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105.798</v>
      </c>
      <c r="AE28" s="8">
        <f>$AD28 / (_xlfn.XLOOKUP($J28,Specs!A:A,Specs!B:B,0))</f>
        <v>0.22367441860465118</v>
      </c>
      <c r="AF28" s="7">
        <f>60* ($AA28 / _xlfn.XLOOKUP($J28,Specs!$A:$A,Specs!$B:$B,0))</f>
        <v>164.45835095137423</v>
      </c>
      <c r="AG28" s="7">
        <f>60* (AB28 / _xlfn.XLOOKUP($J28,Specs!$A:$A,Specs!$B:$B,0))</f>
        <v>7.4841437632135301</v>
      </c>
      <c r="AH28" s="7">
        <f>60* (AD28 / _xlfn.XLOOKUP($J28,Specs!$A:$A,Specs!$B:$B,0))</f>
        <v>13.42046511627907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4.2986930409955235</v>
      </c>
      <c r="AJ28" s="10">
        <f>ROUNDUP((AI28+Specs!$R$2+Specs!$S$2+_xlfn.XLOOKUP($J28,Specs!A:A,Specs!V:V,0))*Specs!$N$2,0)</f>
        <v>10</v>
      </c>
    </row>
    <row r="29" spans="1:38" x14ac:dyDescent="0.3">
      <c r="A29" t="s">
        <v>851</v>
      </c>
      <c r="B29" s="1" t="s">
        <v>71</v>
      </c>
      <c r="C29" s="1" t="s">
        <v>178</v>
      </c>
      <c r="D29" s="1" t="s">
        <v>0</v>
      </c>
      <c r="F29" s="1" t="s">
        <v>3</v>
      </c>
      <c r="H29" s="1" t="s">
        <v>1</v>
      </c>
      <c r="J29" t="s">
        <v>341</v>
      </c>
      <c r="K29" t="s">
        <v>46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455.40000000000003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227.70000000000002</v>
      </c>
      <c r="R29">
        <f t="shared" ref="R29" si="13">P29+Q29</f>
        <v>683.1</v>
      </c>
      <c r="S29">
        <f>_xlfn.XLOOKUP($K29,Specs!$D:$D,Specs!$E:$E,0)*15*_xlfn.XLOOKUP($J29,Specs!$A:$A,Specs!$C:$C,0)</f>
        <v>60</v>
      </c>
      <c r="T29">
        <f>_xlfn.XLOOKUP($L29,Specs!$D:$D,Specs!$E:$E,0)*15*_xlfn.XLOOKUP($J29,Specs!$A:$A,Specs!$C:$C,0)</f>
        <v>240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132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50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0.9517199999999999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2588.5764705882357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140.35294117647061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86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186.56647058823532</v>
      </c>
      <c r="AE29" s="8">
        <f>$AD29 / (_xlfn.XLOOKUP($J29,Specs!A:A,Specs!B:B,0))</f>
        <v>0.14133823529411765</v>
      </c>
      <c r="AF29" s="7">
        <f>60* ($AA29 / _xlfn.XLOOKUP($J29,Specs!$A:$A,Specs!$B:$B,0))</f>
        <v>117.66256684491981</v>
      </c>
      <c r="AG29" s="7">
        <f>60* (AB29 / _xlfn.XLOOKUP($J29,Specs!$A:$A,Specs!$B:$B,0))</f>
        <v>6.3796791443850269</v>
      </c>
      <c r="AH29" s="7">
        <f>60* (AD29 / _xlfn.XLOOKUP($J29,Specs!$A:$A,Specs!$B:$B,0))</f>
        <v>8.480294117647059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9.2376966333093584</v>
      </c>
      <c r="AJ29" s="10">
        <f>ROUNDUP((AI29+Specs!$R$2+Specs!$S$2+_xlfn.XLOOKUP($J29,Specs!A:A,Specs!V:V,0))*Specs!$N$2,0)</f>
        <v>22</v>
      </c>
    </row>
    <row r="30" spans="1:38" x14ac:dyDescent="0.3">
      <c r="A30" t="s">
        <v>422</v>
      </c>
      <c r="B30" s="1" t="s">
        <v>71</v>
      </c>
      <c r="C30" s="1" t="s">
        <v>65</v>
      </c>
      <c r="D30" s="1" t="s">
        <v>0</v>
      </c>
      <c r="E30" s="1" t="s">
        <v>237</v>
      </c>
      <c r="F30" s="1" t="s">
        <v>102</v>
      </c>
      <c r="H30" s="1" t="s">
        <v>1</v>
      </c>
      <c r="J30" t="s">
        <v>4</v>
      </c>
      <c r="K30" t="s">
        <v>451</v>
      </c>
      <c r="L30" t="s">
        <v>452</v>
      </c>
      <c r="M30" t="s">
        <v>157</v>
      </c>
      <c r="N30" t="s">
        <v>449</v>
      </c>
      <c r="P30">
        <f>(_xlfn.XLOOKUP($J30,Specs!A:A,Specs!B:B,0)-$S30-$T30-(($U30/MAX(1,_xlfn.XLOOKUP($F30,'Solid Mix In Nutrition'!A:A,'Solid Mix In Nutrition'!I:I,1)))*240)-(($V30/MAX(1,_xlfn.XLOOKUP($G30,'Solid Mix In Nutrition'!A:A,'Solid Mix In Nutrition'!I:I,1)))*240))*0.66</f>
        <v>189.58500000000001</v>
      </c>
      <c r="Q30">
        <f>(_xlfn.XLOOKUP($J30,Specs!A:A,Specs!B:B,0)-$S30-$T30-(($U30/MAX(1,_xlfn.XLOOKUP($F30,'Solid Mix In Nutrition'!A:A,'Solid Mix In Nutrition'!I:I,1)))*240)-(($V30/MAX(1,_xlfn.XLOOKUP($G30,'Solid Mix In Nutrition'!A:A,'Solid Mix In Nutrition'!I:I,1)))*240))*0.33</f>
        <v>94.792500000000004</v>
      </c>
      <c r="R30">
        <f>P30+Q30</f>
        <v>284.3775</v>
      </c>
      <c r="S30">
        <f>_xlfn.XLOOKUP($K30,Specs!$D:$D,Specs!$E:$E,0)*15*_xlfn.XLOOKUP($J30,Specs!$A:$A,Specs!$C:$C,0)</f>
        <v>7.5</v>
      </c>
      <c r="T30">
        <f>_xlfn.XLOOKUP($L30,Specs!$D:$D,Specs!$E:$E,0)*15*_xlfn.XLOOKUP($J30,Specs!$A:$A,Specs!$C:$C,0)</f>
        <v>60</v>
      </c>
      <c r="U30">
        <f>( ((_xlfn.XLOOKUP($M30,Specs!$H:$H,Specs!$I:$I,0)*_xlfn.XLOOKUP($J30,Specs!$A:$A,Specs!$B:$B,0))/240) *_xlfn.XLOOKUP($F30,'Solid Mix In Nutrition'!A:A,'Solid Mix In Nutrition'!I:I,0)) *IF(AND(NOT($G30=0), COUNTA($G30)),0.5,1)</f>
        <v>81.78958333333334</v>
      </c>
      <c r="V30">
        <f>( ((_xlfn.XLOOKUP($M30,Specs!$H:$H,Specs!$I:$I,0)*_xlfn.XLOOKUP($J30,Specs!$A:$A,Specs!$B:$B,0))/240) *_xlfn.XLOOKUP($G30,'Solid Mix In Nutrition'!A:A,'Solid Mix In Nutrition'!I:I,0)) *IF(AND(NOT($G30=0), COUNTA($G30)),0.5,0)</f>
        <v>0</v>
      </c>
      <c r="W30">
        <f>_xlfn.XLOOKUP($N30,Specs!F:F,Specs!G:G,0)*100*_xlfn.XLOOKUP($J30,Specs!A:A,Specs!C:C,0)</f>
        <v>12.5</v>
      </c>
      <c r="X30">
        <f>_xlfn.XLOOKUP($O30,Specs!F:F,Specs!G:G,0)*100*_xlfn.XLOOKUP($J30,Specs!A:A,Specs!C:C,0)</f>
        <v>0</v>
      </c>
      <c r="Y30" s="4">
        <f>($P30+$Q30+$S30+$W30+$X30)*IF(ISNUMBER(SEARCH("Fat Free",$B30)),0.0036,0.0012)</f>
        <v>0.36525299999999994</v>
      </c>
      <c r="Z30" s="5">
        <f>CEILING(CONVERT(($P30+$Q30+$S30+$W30+$X30)*IF(ISNUMBER(SEARCH("Fat Free",$B30)),0.0036,0.0012),"ml","tsp"),0.25)</f>
        <v>0.25</v>
      </c>
      <c r="AA30" s="6">
        <f>(($P30 / 240) * _xlfn.XLOOKUP($B30,'Milk Types Nutrition Per Cup'!A:A,'Milk Types Nutrition Per Cup'!B:B,0)) +(($Q30 / 240)  * _xlfn.XLOOKUP($C30,'Milk Types Nutrition Per Cup'!A:A,'Milk Types Nutrition Per Cup'!B:B,0)) +(($S30 / 15)  * _xlfn.XLOOKUP($D30,'Liquid Mix In Nutrition'!A:A,'Liquid Mix In Nutrition'!B:B,0))+(($T30 / 15)  * _xlfn.XLOOKUP($E30,'Liquid Mix In Nutrition'!A:A,'Liquid Mix In Nutrition'!B:B,0))+(($U30 /MAX(1, _xlfn.XLOOKUP($F30,'Solid Mix In Nutrition'!A:A,'Solid Mix In Nutrition'!I:I,1)))  * _xlfn.XLOOKUP($F30,'Solid Mix In Nutrition'!A:A,'Solid Mix In Nutrition'!B:B,0))+(($V30 / MAX(1, _xlfn.XLOOKUP($G30,'Solid Mix In Nutrition'!A:A,'Solid Mix In Nutrition'!I:I,1))))+(($W30 / 100)  * _xlfn.XLOOKUP($H30,'Sweetener Mix In Nutrition'!A:A,'Sweetener Mix In Nutrition'!B:B,0))+(($X30 / 100)  * _xlfn.XLOOKUP($I30,'Sweetener Mix In Nutrition'!A:A,'Sweetener Mix In Nutrition'!B:B,0))</f>
        <v>792.3744212962963</v>
      </c>
      <c r="AB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Nutrition'!E:E,0))+(($U30 / MAX(1, _xlfn.XLOOKUP($F30,'Solid Mix In Nutrition'!A:A,'Solid Mix In Nutrition'!I:I,1)))  * _xlfn.XLOOKUP($F30,'Solid Mix In Nutrition'!A:A,'Solid Mix In Nutrition'!E:E,0))+(($V30 / MAX(1, _xlfn.XLOOKUP($G30,'Solid Mix In Nutrition'!A:A,'Solid Mix In Nutrition'!I:I,1)))  * _xlfn.XLOOKUP($G30,'Solid Mix In Nutrition'!A:A,'Solid Mix In Nutrition'!G:G,0))+(($W30 / 100)  * _xlfn.XLOOKUP($H30,'Sweetener Mix In Nutrition'!A:A,'Sweetener Mix In Nutrition'!E:E,0))+(($X30 / 100)  * _xlfn.XLOOKUP($I30,'Sweetener Mix In Nutrition'!A:A,'Sweetener Mix In Nutrition'!E:E,0))</f>
        <v>24.135632523148146</v>
      </c>
      <c r="AC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Nutrition'!E:E,0))+(($W30 / 100)  * _xlfn.XLOOKUP($H30,'Sweetener Mix In Nutrition'!A:A,'Sweetener Mix In Nutrition'!E:E,0))+(($X30 / 100)  * _xlfn.XLOOKUP($I30,'Sweetener Mix In Nutrition'!A:A,'Sweetener Mix In Nutrition'!E:E,0))</f>
        <v>20.159750000000003</v>
      </c>
      <c r="AD30" s="7">
        <f>(($P30 / 240) * _xlfn.XLOOKUP($B30,'Milk Types Nutrition Per Cup'!A:A,'Milk Types Nutrition Per Cup'!C:C,0)) +(($Q30 / 240)  * _xlfn.XLOOKUP($C30,'Milk Types Nutrition Per Cup'!A:A,'Milk Types Nutrition Per Cup'!C:C,0)) +(($S30 / 15)  * _xlfn.XLOOKUP($D30,'Liquid Mix In Nutrition'!A:A,'Liquid Mix In Nutrition'!C:C,0))+(($T30 / 15)  * _xlfn.XLOOKUP($E30,'Liquid Mix In Nutrition'!A:A,'Liquid Mix In Nutrition'!C:C,0))+(($U30 / MAX(1, _xlfn.XLOOKUP($F30,'Solid Mix In Nutrition'!A:A,'Solid Mix In Nutrition'!I:I,1)))  * _xlfn.XLOOKUP($F30,'Solid Mix In Nutrition'!A:A,'Solid Mix In Nutrition'!C:C,0))+(($V30 / MAX(1, _xlfn.XLOOKUP($G30,'Solid Mix In Nutrition'!A:A,'Solid Mix In Nutrition'!I:I,1)))  * _xlfn.XLOOKUP($G30,'Solid Mix In Nutrition'!A:A,'Solid Mix In Nutrition'!C:C,0))+(($W30 / 100)  * _xlfn.XLOOKUP($H30,'Sweetener Mix In Nutrition'!A:A,'Sweetener Mix In Nutrition'!C:C,0))+(($X30 / 100)  * _xlfn.XLOOKUP($I30,'Sweetener Mix In Nutrition'!A:A,'Sweetener Mix In Nutrition'!C:C,0))</f>
        <v>68.16181828703705</v>
      </c>
      <c r="AE30" s="8">
        <f>$AD30 / (_xlfn.XLOOKUP($J30,Specs!A:A,Specs!B:B,0))</f>
        <v>0.14410532407407411</v>
      </c>
      <c r="AF30" s="7">
        <f>60* ($AA30 / _xlfn.XLOOKUP($J30,Specs!$A:$A,Specs!$B:$B,0))</f>
        <v>100.51261158092554</v>
      </c>
      <c r="AG30" s="7">
        <f>60* (AB30 / _xlfn.XLOOKUP($J30,Specs!$A:$A,Specs!$B:$B,0))</f>
        <v>3.0616024342259807</v>
      </c>
      <c r="AH30" s="7">
        <f>60* (AD30 / _xlfn.XLOOKUP($J30,Specs!$A:$A,Specs!$B:$B,0))</f>
        <v>8.6463194444444476</v>
      </c>
      <c r="AI30" s="9">
        <f>(($P30 / 240) * _xlfn.XLOOKUP($B30,'Milk Types Nutrition Per Cup'!A:A,'Milk Types Nutrition Per Cup'!F:F,0)) +(($Q30 / 240)  * _xlfn.XLOOKUP($C30,'Milk Types Nutrition Per Cup'!A:A,'Milk Types Nutrition Per Cup'!F:F,0)) +(($S30 / 15)  * _xlfn.XLOOKUP($D30,'Liquid Mix In Nutrition'!A:A,'Liquid Mix In Nutrition'!F:F,0))+(($T30 / 15)  * _xlfn.XLOOKUP($E30,'Liquid Mix In Nutrition'!A:A,'Liquid Mix In Nutrition'!F:F,0))+(($U30 / MAX(1, _xlfn.XLOOKUP($F30,'Solid Mix In Nutrition'!A:A,'Solid Mix In Nutrition'!I:I,1)))  * _xlfn.XLOOKUP($F30,'Solid Mix In Nutrition'!A:A,'Solid Mix In Nutrition'!F:F,0))+(($V30 / MAX(1, _xlfn.XLOOKUP($G30,'Solid Mix In Nutrition'!A:A,'Solid Mix In Nutrition'!I:I,1)))  * _xlfn.XLOOKUP($G30,'Solid Mix In Nutrition'!A:A,'Solid Mix In Nutrition'!F:F,0))+(($W30 / 100)  * _xlfn.XLOOKUP($H30,'Sweetener Mix In Nutrition'!A:A,'Sweetener Mix In Nutrition'!F:F,0))+(($X30 / 100)  * _xlfn.XLOOKUP($I30,'Sweetener Mix In Nutrition'!A:A,'Sweetener Mix In Nutrition'!F:F,0))</f>
        <v>2.5142496799012046</v>
      </c>
      <c r="AJ30" s="10">
        <f>ROUNDUP((AI30+Specs!$R$2+Specs!$S$2+_xlfn.XLOOKUP($J30,Specs!A:A,Specs!V:V,0))*Specs!$N$2,0)</f>
        <v>7</v>
      </c>
    </row>
    <row r="31" spans="1:38" x14ac:dyDescent="0.3"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</row>
    <row r="32" spans="1:38" x14ac:dyDescent="0.3">
      <c r="A32" s="120" t="s">
        <v>856</v>
      </c>
      <c r="B32" s="31"/>
      <c r="C32" s="31"/>
      <c r="D32" s="31"/>
      <c r="E32" s="31"/>
      <c r="F32" s="31"/>
      <c r="G32" s="31"/>
      <c r="H32" s="31"/>
      <c r="I32" s="31"/>
      <c r="J32" s="30"/>
      <c r="L32" s="30"/>
      <c r="M32" s="30"/>
      <c r="N32" s="30"/>
      <c r="Y32" s="4"/>
      <c r="Z32" s="5"/>
      <c r="AA32" s="6"/>
      <c r="AB32" s="6"/>
      <c r="AC32" s="6"/>
      <c r="AD32" s="7"/>
      <c r="AE32" s="8"/>
      <c r="AF32" s="7"/>
      <c r="AG32" s="7"/>
      <c r="AH32" s="7"/>
      <c r="AI32" s="9"/>
      <c r="AJ32" s="10"/>
      <c r="AK32" s="39"/>
      <c r="AL32" s="40"/>
    </row>
    <row r="33" spans="1:38" x14ac:dyDescent="0.3">
      <c r="A33" s="121" t="s">
        <v>637</v>
      </c>
      <c r="B33" s="31" t="s">
        <v>62</v>
      </c>
      <c r="C33" s="31" t="s">
        <v>637</v>
      </c>
      <c r="D33" s="31" t="s">
        <v>177</v>
      </c>
      <c r="E33" s="31"/>
      <c r="F33" s="31"/>
      <c r="G33" s="31"/>
      <c r="H33" s="31" t="s">
        <v>1</v>
      </c>
      <c r="I33" s="31"/>
      <c r="J33" s="30" t="s">
        <v>4</v>
      </c>
      <c r="K33" t="s">
        <v>451</v>
      </c>
      <c r="L33" s="30" t="s">
        <v>44</v>
      </c>
      <c r="M33" s="30" t="s">
        <v>44</v>
      </c>
      <c r="N33" s="30" t="s">
        <v>159</v>
      </c>
      <c r="P33">
        <f>(_xlfn.XLOOKUP($J33,Specs!A:A,Specs!B:B,0)-$S33-$T33-(($U33/MAX(1,_xlfn.XLOOKUP($F33,'Solid Mix In Nutrition'!A:A,'Solid Mix In Nutrition'!I:I,1)))*240)-(($V33/MAX(1,_xlfn.XLOOKUP($G33,'Solid Mix In Nutrition'!A:A,'Solid Mix In Nutrition'!I:I,1)))*240))*0.66</f>
        <v>307.23</v>
      </c>
      <c r="Q33">
        <f>(_xlfn.XLOOKUP($J33,Specs!A:A,Specs!B:B,0)-$S33-$T33-(($U33/MAX(1,_xlfn.XLOOKUP($F33,'Solid Mix In Nutrition'!A:A,'Solid Mix In Nutrition'!I:I,1)))*240)-(($V33/MAX(1,_xlfn.XLOOKUP($G33,'Solid Mix In Nutrition'!A:A,'Solid Mix In Nutrition'!I:I,1)))*240))*0.33</f>
        <v>153.61500000000001</v>
      </c>
      <c r="R33">
        <f>P33+Q33</f>
        <v>460.84500000000003</v>
      </c>
      <c r="S33">
        <f>_xlfn.XLOOKUP($K33,Specs!$D:$D,Specs!$E:$E,0)*15*_xlfn.XLOOKUP($J33,Specs!$A:$A,Specs!$C:$C,0)</f>
        <v>7.5</v>
      </c>
      <c r="T33">
        <f>_xlfn.XLOOKUP($L33,Specs!$D:$D,Specs!$E:$E,0)*15*_xlfn.XLOOKUP($J33,Specs!$A:$A,Specs!$C:$C,0)</f>
        <v>0</v>
      </c>
      <c r="U33">
        <f>( ((_xlfn.XLOOKUP($M33,Specs!$H:$H,Specs!$I:$I,0)*_xlfn.XLOOKUP($J33,Specs!$A:$A,Specs!$B:$B,0))/240) *_xlfn.XLOOKUP($F33,'Solid Mix In Nutrition'!A:A,'Solid Mix In Nutrition'!I:I,0)) *IF(AND(NOT($G33=0), COUNTA($G33)),0.5,1)</f>
        <v>0</v>
      </c>
      <c r="V33">
        <f>( ((_xlfn.XLOOKUP($M33,Specs!$H:$H,Specs!$I:$I,0)*_xlfn.XLOOKUP($J33,Specs!$A:$A,Specs!$B:$B,0))/240) *_xlfn.XLOOKUP($G33,'Solid Mix In Nutrition'!A:A,'Solid Mix In Nutrition'!I:I,0)) *IF(AND(NOT($G33=0), COUNTA($G33)),0.5,0)</f>
        <v>0</v>
      </c>
      <c r="W33">
        <f>_xlfn.XLOOKUP($N33,Specs!F:F,Specs!G:G,0)*100*_xlfn.XLOOKUP($J33,Specs!A:A,Specs!C:C,0)</f>
        <v>25</v>
      </c>
      <c r="X33">
        <f>_xlfn.XLOOKUP($O33,Specs!F:F,Specs!G:G,0)*100*_xlfn.XLOOKUP($J33,Specs!A:A,Specs!C:C,0)</f>
        <v>0</v>
      </c>
      <c r="Y33" s="4">
        <f>($P33+$Q33+$S33+$W33+$X33)*IF(ISNUMBER(SEARCH("Fat Free",$B33)),0.0036,0.0012)</f>
        <v>0.59201399999999993</v>
      </c>
      <c r="Z33" s="5">
        <f>CEILING(CONVERT(($P33+$Q33+$S33+$W33+$X33)*IF(ISNUMBER(SEARCH("Fat Free",$B33)),0.0036,0.0012),"ml","tsp"),0.25)</f>
        <v>0.25</v>
      </c>
      <c r="AA33" s="6">
        <f>(($P33 / 240) * _xlfn.XLOOKUP($B33,'Milk Types Nutrition Per Cup'!A:A,'Milk Types Nutrition Per Cup'!B:B,0)) +(($Q33 / 240)  * _xlfn.XLOOKUP($C33,'Milk Types Nutrition Per Cup'!A:A,'Milk Types Nutrition Per Cup'!B:B,0)) +(($S33 / 15)  * _xlfn.XLOOKUP($D33,'Liquid Mix In Nutrition'!A:A,'Liquid Mix In Nutrition'!B:B,0))+(($T33 / 15)  * _xlfn.XLOOKUP($E33,'Liquid Mix In Nutrition'!A:A,'Liquid Mix In Nutrition'!B:B,0))+(($U33 /MAX(1, _xlfn.XLOOKUP($F33,'Solid Mix In Nutrition'!A:A,'Solid Mix In Nutrition'!I:I,1)))  * _xlfn.XLOOKUP($F33,'Solid Mix In Nutrition'!A:A,'Solid Mix In Nutrition'!B:B,0))+(($V33 / MAX(1, _xlfn.XLOOKUP($G33,'Solid Mix In Nutrition'!A:A,'Solid Mix In Nutrition'!I:I,1))))+(($W33 / 100)  * _xlfn.XLOOKUP($H33,'Sweetener Mix In Nutrition'!A:A,'Sweetener Mix In Nutrition'!B:B,0))+(($X33 / 100)  * _xlfn.XLOOKUP($I33,'Sweetener Mix In Nutrition'!A:A,'Sweetener Mix In Nutrition'!B:B,0))</f>
        <v>1387.5225000000003</v>
      </c>
      <c r="AB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Nutrition'!E:E,0))+(($U33 / MAX(1, _xlfn.XLOOKUP($F33,'Solid Mix In Nutrition'!A:A,'Solid Mix In Nutrition'!I:I,1)))  * _xlfn.XLOOKUP($F33,'Solid Mix In Nutrition'!A:A,'Solid Mix In Nutrition'!E:E,0))+(($V33 / MAX(1, _xlfn.XLOOKUP($G33,'Solid Mix In Nutrition'!A:A,'Solid Mix In Nutrition'!I:I,1)))  * _xlfn.XLOOKUP($G33,'Solid Mix In Nutrition'!A:A,'Solid Mix In Nutrition'!G:G,0))+(($W33 / 100)  * _xlfn.XLOOKUP($H33,'Sweetener Mix In Nutrition'!A:A,'Sweetener Mix In Nutrition'!E:E,0))+(($X33 / 100)  * _xlfn.XLOOKUP($I33,'Sweetener Mix In Nutrition'!A:A,'Sweetener Mix In Nutrition'!E:E,0))</f>
        <v>48.412125000000003</v>
      </c>
      <c r="AC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Nutrition'!E:E,0))+(($W33 / 100)  * _xlfn.XLOOKUP($H33,'Sweetener Mix In Nutrition'!A:A,'Sweetener Mix In Nutrition'!E:E,0))+(($X33 / 100)  * _xlfn.XLOOKUP($I33,'Sweetener Mix In Nutrition'!A:A,'Sweetener Mix In Nutrition'!E:E,0))</f>
        <v>48.412125000000003</v>
      </c>
      <c r="AD33" s="7">
        <f>(($P33 / 240) * _xlfn.XLOOKUP($B33,'Milk Types Nutrition Per Cup'!A:A,'Milk Types Nutrition Per Cup'!C:C,0)) +(($Q33 / 240)  * _xlfn.XLOOKUP($C33,'Milk Types Nutrition Per Cup'!A:A,'Milk Types Nutrition Per Cup'!C:C,0)) +(($S33 / 15)  * _xlfn.XLOOKUP($D33,'Liquid Mix In Nutrition'!A:A,'Liquid Mix In Nutrition'!C:C,0))+(($T33 / 15)  * _xlfn.XLOOKUP($E33,'Liquid Mix In Nutrition'!A:A,'Liquid Mix In Nutrition'!C:C,0))+(($U33 / MAX(1, _xlfn.XLOOKUP($F33,'Solid Mix In Nutrition'!A:A,'Solid Mix In Nutrition'!I:I,1)))  * _xlfn.XLOOKUP($F33,'Solid Mix In Nutrition'!A:A,'Solid Mix In Nutrition'!C:C,0))+(($V33 / MAX(1, _xlfn.XLOOKUP($G33,'Solid Mix In Nutrition'!A:A,'Solid Mix In Nutrition'!I:I,1)))  * _xlfn.XLOOKUP($G33,'Solid Mix In Nutrition'!A:A,'Solid Mix In Nutrition'!C:C,0))+(($W33 / 100)  * _xlfn.XLOOKUP($H33,'Sweetener Mix In Nutrition'!A:A,'Sweetener Mix In Nutrition'!C:C,0))+(($X33 / 100)  * _xlfn.XLOOKUP($I33,'Sweetener Mix In Nutrition'!A:A,'Sweetener Mix In Nutrition'!C:C,0))</f>
        <v>134.41312500000004</v>
      </c>
      <c r="AE33" s="8">
        <f>$AD33 / (_xlfn.XLOOKUP($J33,Specs!A:A,Specs!B:B,0))</f>
        <v>0.28417151162790705</v>
      </c>
      <c r="AF33" s="7">
        <f>60* ($AA33 / _xlfn.XLOOKUP($J33,Specs!$A:$A,Specs!$B:$B,0))</f>
        <v>176.00708245243132</v>
      </c>
      <c r="AG33" s="7">
        <f>60* (AB33 / _xlfn.XLOOKUP($J33,Specs!$A:$A,Specs!$B:$B,0))</f>
        <v>6.1410729386892182</v>
      </c>
      <c r="AH33" s="7">
        <f>60* (AD33 / _xlfn.XLOOKUP($J33,Specs!$A:$A,Specs!$B:$B,0))</f>
        <v>17.050290697674424</v>
      </c>
      <c r="AI33" s="9">
        <f>(($P33 / 240) * _xlfn.XLOOKUP($B33,'Milk Types Nutrition Per Cup'!A:A,'Milk Types Nutrition Per Cup'!F:F,0)) +(($Q33 / 240)  * _xlfn.XLOOKUP($C33,'Milk Types Nutrition Per Cup'!A:A,'Milk Types Nutrition Per Cup'!F:F,0)) +(($S33 / 15)  * _xlfn.XLOOKUP($D33,'Liquid Mix In Nutrition'!A:A,'Liquid Mix In Nutrition'!F:F,0))+(($T33 / 15)  * _xlfn.XLOOKUP($E33,'Liquid Mix In Nutrition'!A:A,'Liquid Mix In Nutrition'!F:F,0))+(($U33 / MAX(1, _xlfn.XLOOKUP($F33,'Solid Mix In Nutrition'!A:A,'Solid Mix In Nutrition'!I:I,1)))  * _xlfn.XLOOKUP($F33,'Solid Mix In Nutrition'!A:A,'Solid Mix In Nutrition'!F:F,0))+(($V33 / MAX(1, _xlfn.XLOOKUP($G33,'Solid Mix In Nutrition'!A:A,'Solid Mix In Nutrition'!I:I,1)))  * _xlfn.XLOOKUP($G33,'Solid Mix In Nutrition'!A:A,'Solid Mix In Nutrition'!F:F,0))+(($W33 / 100)  * _xlfn.XLOOKUP($H33,'Sweetener Mix In Nutrition'!A:A,'Sweetener Mix In Nutrition'!F:F,0))+(($X33 / 100)  * _xlfn.XLOOKUP($I33,'Sweetener Mix In Nutrition'!A:A,'Sweetener Mix In Nutrition'!F:F,0))</f>
        <v>3.010270326664231</v>
      </c>
      <c r="AJ33" s="10">
        <f>ROUNDUP((AI33+Specs!$R$2+Specs!$S$2+_xlfn.XLOOKUP($J33,Specs!A:A,Specs!V:V,0))*Specs!$N$2,0)</f>
        <v>8</v>
      </c>
      <c r="AK33" s="39"/>
      <c r="AL33" s="40"/>
    </row>
    <row r="34" spans="1:38" x14ac:dyDescent="0.3"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3">
      <c r="A35" s="125" t="s">
        <v>855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3">
      <c r="A36" s="52" t="s">
        <v>845</v>
      </c>
      <c r="B36" s="31"/>
      <c r="C36" s="31"/>
      <c r="D36" s="31"/>
      <c r="E36" s="31"/>
      <c r="F36" s="31"/>
      <c r="G36" s="31"/>
      <c r="H36" s="31"/>
      <c r="I36" s="31"/>
      <c r="J36" s="30"/>
      <c r="L36" s="30"/>
      <c r="M36" s="30"/>
      <c r="N36" s="30"/>
      <c r="Y36" s="4"/>
      <c r="Z36" s="5"/>
      <c r="AA36" s="6"/>
      <c r="AB36" s="6"/>
      <c r="AC36" s="6"/>
      <c r="AD36" s="7"/>
      <c r="AE36" s="8"/>
      <c r="AF36" s="7"/>
      <c r="AG36" s="7"/>
      <c r="AH36" s="7"/>
      <c r="AI36" s="9"/>
      <c r="AJ36" s="10"/>
    </row>
    <row r="37" spans="1:38" x14ac:dyDescent="0.3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ref="R37:R39" si="14">P37+Q37</f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ref="Y37:Y39" si="15">($P37+$Q37+$S37+$W37+$X37)*IF(ISNUMBER(SEARCH("Fat Free",$B37)),0.0036,0.0012)</f>
        <v>1.4075699999999998</v>
      </c>
      <c r="Z37" s="5">
        <f t="shared" ref="Z37:Z39" si="16">CEILING(CONVERT(($P37+$Q37+$S37+$W37+$X37)*IF(ISNUMBER(SEARCH("Fat Free",$B37)),0.0036,0.0012),"ml","tsp"),0.25)</f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3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3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3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3">
      <c r="A41" s="118" t="s">
        <v>848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3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3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3">
      <c r="A44" s="52" t="s">
        <v>872</v>
      </c>
      <c r="B44" s="31" t="s">
        <v>62</v>
      </c>
      <c r="C44" s="31" t="s">
        <v>65</v>
      </c>
      <c r="D44" s="31" t="s">
        <v>873</v>
      </c>
      <c r="E44" s="31" t="s">
        <v>487</v>
      </c>
      <c r="F44" s="31" t="s">
        <v>407</v>
      </c>
      <c r="G44" s="31"/>
      <c r="H44" s="31" t="s">
        <v>2</v>
      </c>
      <c r="I44" s="31"/>
      <c r="J44" s="30" t="s">
        <v>4</v>
      </c>
      <c r="K44" t="s">
        <v>10</v>
      </c>
      <c r="L44" s="30" t="s">
        <v>10</v>
      </c>
      <c r="M44" s="30" t="s">
        <v>157</v>
      </c>
      <c r="N44" s="30" t="s">
        <v>449</v>
      </c>
      <c r="P44">
        <f>(_xlfn.XLOOKUP($J44,Specs!A:A,Specs!B:B,0)-$S44-$T44-(($U44/MAX(1,_xlfn.XLOOKUP($F44,'Solid Mix In Nutrition'!A:A,'Solid Mix In Nutrition'!I:I,1)))*240)-(($V44/MAX(1,_xlfn.XLOOKUP($G44,'Solid Mix In Nutrition'!A:A,'Solid Mix In Nutrition'!I:I,1)))*240))*0.66</f>
        <v>194.535</v>
      </c>
      <c r="Q44">
        <f>(_xlfn.XLOOKUP($J44,Specs!A:A,Specs!B:B,0)-$S44-$T44-(($U44/MAX(1,_xlfn.XLOOKUP($F44,'Solid Mix In Nutrition'!A:A,'Solid Mix In Nutrition'!I:I,1)))*240)-(($V44/MAX(1,_xlfn.XLOOKUP($G44,'Solid Mix In Nutrition'!A:A,'Solid Mix In Nutrition'!I:I,1)))*240))*0.33</f>
        <v>97.267499999999998</v>
      </c>
      <c r="R44">
        <f>P44+Q44</f>
        <v>291.80250000000001</v>
      </c>
      <c r="S44">
        <f>_xlfn.XLOOKUP($K44,Specs!$D:$D,Specs!$E:$E,0)*15*_xlfn.XLOOKUP($J44,Specs!$A:$A,Specs!$C:$C,0)</f>
        <v>30</v>
      </c>
      <c r="T44">
        <f>_xlfn.XLOOKUP($L44,Specs!$D:$D,Specs!$E:$E,0)*15*_xlfn.XLOOKUP($J44,Specs!$A:$A,Specs!$C:$C,0)</f>
        <v>30</v>
      </c>
      <c r="U44">
        <f>( ((_xlfn.XLOOKUP($M44,Specs!$H:$H,Specs!$I:$I,0)*_xlfn.XLOOKUP($J44,Specs!$A:$A,Specs!$B:$B,0))/240) *_xlfn.XLOOKUP($F44,'Solid Mix In Nutrition'!A:A,'Solid Mix In Nutrition'!I:I,0)) *IF(AND(NOT($G44=0), COUNTA($G44)),0.5,1)</f>
        <v>39.416666666666671</v>
      </c>
      <c r="V44">
        <f>( ((_xlfn.XLOOKUP($M44,Specs!$H:$H,Specs!$I:$I,0)*_xlfn.XLOOKUP($J44,Specs!$A:$A,Specs!$B:$B,0))/240) *_xlfn.XLOOKUP($G44,'Solid Mix In Nutrition'!A:A,'Solid Mix In Nutrition'!I:I,0)) *IF(AND(NOT($G44=0), COUNTA($G44)),0.5,0)</f>
        <v>0</v>
      </c>
      <c r="W44">
        <f>_xlfn.XLOOKUP($N44,Specs!F:F,Specs!G:G,0)*100*_xlfn.XLOOKUP($J44,Specs!A:A,Specs!C:C,0)</f>
        <v>12.5</v>
      </c>
      <c r="X44">
        <f>_xlfn.XLOOKUP($O44,Specs!F:F,Specs!G:G,0)*100*_xlfn.XLOOKUP($J44,Specs!A:A,Specs!C:C,0)</f>
        <v>0</v>
      </c>
      <c r="Y44" s="4">
        <f>($P44+$Q44+$S44+$W44+$X44)*IF(ISNUMBER(SEARCH("Fat Free",$B44)),0.0036,0.0012)</f>
        <v>0.40116299999999999</v>
      </c>
      <c r="Z44" s="5">
        <f>CEILING(CONVERT(($P44+$Q44+$S44+$W44+$X44)*IF(ISNUMBER(SEARCH("Fat Free",$B44)),0.0036,0.0012),"ml","tsp"),0.25)</f>
        <v>0.25</v>
      </c>
      <c r="AA44" s="6">
        <f>(($P44 / 240) * _xlfn.XLOOKUP($B44,'Milk Types Nutrition Per Cup'!A:A,'Milk Types Nutrition Per Cup'!B:B,0)) +(($Q44 / 240)  * _xlfn.XLOOKUP($C44,'Milk Types Nutrition Per Cup'!A:A,'Milk Types Nutrition Per Cup'!B:B,0)) +(($S44 / 15)  * _xlfn.XLOOKUP($D44,'Liquid Mix In Nutrition'!A:A,'Liquid Mix In Nutrition'!B:B,0))+(($T44 / 15)  * _xlfn.XLOOKUP($E44,'Liquid Mix In Nutrition'!A:A,'Liquid Mix In Nutrition'!B:B,0))+(($U44 /MAX(1, _xlfn.XLOOKUP($F44,'Solid Mix In Nutrition'!A:A,'Solid Mix In Nutrition'!I:I,1)))  * _xlfn.XLOOKUP($F44,'Solid Mix In Nutrition'!A:A,'Solid Mix In Nutrition'!B:B,0))+(($V44 / MAX(1, _xlfn.XLOOKUP($G44,'Solid Mix In Nutrition'!A:A,'Solid Mix In Nutrition'!I:I,1))))+(($W44 / 100)  * _xlfn.XLOOKUP($H44,'Sweetener Mix In Nutrition'!A:A,'Sweetener Mix In Nutrition'!B:B,0))+(($X44 / 100)  * _xlfn.XLOOKUP($I44,'Sweetener Mix In Nutrition'!A:A,'Sweetener Mix In Nutrition'!B:B,0))</f>
        <v>1385.6295833333334</v>
      </c>
      <c r="AB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Nutrition'!E:E,0))+(($U44 / MAX(1, _xlfn.XLOOKUP($F44,'Solid Mix In Nutrition'!A:A,'Solid Mix In Nutrition'!I:I,1)))  * _xlfn.XLOOKUP($F44,'Solid Mix In Nutrition'!A:A,'Solid Mix In Nutrition'!E:E,0))+(($V44 / MAX(1, _xlfn.XLOOKUP($G44,'Solid Mix In Nutrition'!A:A,'Solid Mix In Nutrition'!I:I,1)))  * _xlfn.XLOOKUP($G44,'Solid Mix In Nutrition'!A:A,'Solid Mix In Nutrition'!G:G,0))+(($W44 / 100)  * _xlfn.XLOOKUP($H44,'Sweetener Mix In Nutrition'!A:A,'Sweetener Mix In Nutrition'!E:E,0))+(($X44 / 100)  * _xlfn.XLOOKUP($I44,'Sweetener Mix In Nutrition'!A:A,'Sweetener Mix In Nutrition'!E:E,0))</f>
        <v>64.634958333333344</v>
      </c>
      <c r="AC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Nutrition'!E:E,0))+(($W44 / 100)  * _xlfn.XLOOKUP($H44,'Sweetener Mix In Nutrition'!A:A,'Sweetener Mix In Nutrition'!E:E,0))+(($X44 / 100)  * _xlfn.XLOOKUP($I44,'Sweetener Mix In Nutrition'!A:A,'Sweetener Mix In Nutrition'!E:E,0))</f>
        <v>40.492249999999999</v>
      </c>
      <c r="AD44" s="7">
        <f>(($P44 / 240) * _xlfn.XLOOKUP($B44,'Milk Types Nutrition Per Cup'!A:A,'Milk Types Nutrition Per Cup'!C:C,0)) +(($Q44 / 240)  * _xlfn.XLOOKUP($C44,'Milk Types Nutrition Per Cup'!A:A,'Milk Types Nutrition Per Cup'!C:C,0)) +(($S44 / 15)  * _xlfn.XLOOKUP($D44,'Liquid Mix In Nutrition'!A:A,'Liquid Mix In Nutrition'!C:C,0))+(($T44 / 15)  * _xlfn.XLOOKUP($E44,'Liquid Mix In Nutrition'!A:A,'Liquid Mix In Nutrition'!C:C,0))+(($U44 / MAX(1, _xlfn.XLOOKUP($F44,'Solid Mix In Nutrition'!A:A,'Solid Mix In Nutrition'!I:I,1)))  * _xlfn.XLOOKUP($F44,'Solid Mix In Nutrition'!A:A,'Solid Mix In Nutrition'!C:C,0))+(($V44 / MAX(1, _xlfn.XLOOKUP($G44,'Solid Mix In Nutrition'!A:A,'Solid Mix In Nutrition'!I:I,1)))  * _xlfn.XLOOKUP($G44,'Solid Mix In Nutrition'!A:A,'Solid Mix In Nutrition'!C:C,0))+(($W44 / 100)  * _xlfn.XLOOKUP($H44,'Sweetener Mix In Nutrition'!A:A,'Sweetener Mix In Nutrition'!C:C,0))+(($X44 / 100)  * _xlfn.XLOOKUP($I44,'Sweetener Mix In Nutrition'!A:A,'Sweetener Mix In Nutrition'!C:C,0))</f>
        <v>101.23322916666666</v>
      </c>
      <c r="AE44" s="8">
        <f>$AD44 / (_xlfn.XLOOKUP($J44,Specs!A:A,Specs!B:B,0))</f>
        <v>0.21402374031007751</v>
      </c>
      <c r="AF44" s="7">
        <f>60* ($AA44 / _xlfn.XLOOKUP($J44,Specs!$A:$A,Specs!$B:$B,0))</f>
        <v>175.76696617336154</v>
      </c>
      <c r="AG44" s="7">
        <f>60* (AB44 / _xlfn.XLOOKUP($J44,Specs!$A:$A,Specs!$B:$B,0))</f>
        <v>8.1989376321353085</v>
      </c>
      <c r="AH44" s="7">
        <f>60* (AD44 / _xlfn.XLOOKUP($J44,Specs!$A:$A,Specs!$B:$B,0))</f>
        <v>12.841424418604651</v>
      </c>
      <c r="AI44" s="9">
        <f>(($P44 / 240) * _xlfn.XLOOKUP($B44,'Milk Types Nutrition Per Cup'!A:A,'Milk Types Nutrition Per Cup'!F:F,0)) +(($Q44 / 240)  * _xlfn.XLOOKUP($C44,'Milk Types Nutrition Per Cup'!A:A,'Milk Types Nutrition Per Cup'!F:F,0)) +(($S44 / 15)  * _xlfn.XLOOKUP($D44,'Liquid Mix In Nutrition'!A:A,'Liquid Mix In Nutrition'!F:F,0))+(($T44 / 15)  * _xlfn.XLOOKUP($E44,'Liquid Mix In Nutrition'!A:A,'Liquid Mix In Nutrition'!F:F,0))+(($U44 / MAX(1, _xlfn.XLOOKUP($F44,'Solid Mix In Nutrition'!A:A,'Solid Mix In Nutrition'!I:I,1)))  * _xlfn.XLOOKUP($F44,'Solid Mix In Nutrition'!A:A,'Solid Mix In Nutrition'!F:F,0))+(($V44 / MAX(1, _xlfn.XLOOKUP($G44,'Solid Mix In Nutrition'!A:A,'Solid Mix In Nutrition'!I:I,1)))  * _xlfn.XLOOKUP($G44,'Solid Mix In Nutrition'!A:A,'Solid Mix In Nutrition'!F:F,0))+(($W44 / 100)  * _xlfn.XLOOKUP($H44,'Sweetener Mix In Nutrition'!A:A,'Sweetener Mix In Nutrition'!F:F,0))+(($X44 / 100)  * _xlfn.XLOOKUP($I44,'Sweetener Mix In Nutrition'!A:A,'Sweetener Mix In Nutrition'!F:F,0))</f>
        <v>3.9999472797180586</v>
      </c>
      <c r="AJ44" s="10">
        <f>ROUNDUP((AI44+Specs!$R$2+Specs!$S$2+_xlfn.XLOOKUP($J44,Specs!A:A,Specs!V:V,0))*Specs!$N$2,0)</f>
        <v>10</v>
      </c>
      <c r="AK44" s="39"/>
      <c r="AL44" s="40"/>
    </row>
    <row r="45" spans="1:38" x14ac:dyDescent="0.3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3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SUM(AJ7:AJ39)</f>
        <v>248</v>
      </c>
    </row>
    <row r="47" spans="1:38" x14ac:dyDescent="0.3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3">
      <c r="AK49" s="10">
        <f>SUM(AI7:AI39)</f>
        <v>97.793256346755612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H44:H264 H42 H3:H7 H17 H18:I18 H10:I16 H19:H34 H25:I33 I6:I7 I35:I44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I3:I7 I13 I17:I34 I44:I47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B3:C7 B10:C44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J3:J7 J10:J67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N37 N10:O36 N42:O42 N38:O38 O45:O109 N3:O7 N39:N43 N45:N234 N44:O44</xm:sqref>
        </x14:dataValidation>
        <x14:dataValidation type="list" allowBlank="1" showInputMessage="1" xr:uid="{4B47FA7D-6001-431C-9804-6004245A2850}">
          <x14:formula1>
            <xm:f>Specs!$D:$D</xm:f>
          </x14:formula1>
          <xm:sqref>K3:L7 K10:L53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M3:M7 M10:M54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F32:H33 F27:H27 F44:G52 F10:G36 F3:G7 F16:H16 F5:H7 F37:H44</xm:sqref>
        </x14:dataValidation>
        <x14:dataValidation type="list" allowBlank="1" xr:uid="{7DFA5BDD-2A1B-41D3-AB24-623AFC67DD51}">
          <x14:formula1>
            <xm:f>'Liquid Mix In Nutrition'!$A:$A</xm:f>
          </x14:formula1>
          <xm:sqref>D48:D53 E17 D25:E33 D18:E18 D10:E16 E19:E27 E3:E7 E32:E53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D3:D7 D13 D17:D34 D44:D47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D16 D27 D32:D33 D5:D7 D35:D44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4.4" x14ac:dyDescent="0.3"/>
  <cols>
    <col min="1" max="1" width="10.6640625" bestFit="1" customWidth="1"/>
    <col min="3" max="3" width="21.88671875" bestFit="1" customWidth="1"/>
    <col min="4" max="4" width="28.6640625" bestFit="1" customWidth="1"/>
    <col min="6" max="6" width="28.6640625" bestFit="1" customWidth="1"/>
    <col min="8" max="8" width="12.6640625" bestFit="1" customWidth="1"/>
    <col min="11" max="11" width="26.33203125" bestFit="1" customWidth="1"/>
    <col min="12" max="12" width="34" customWidth="1"/>
    <col min="15" max="15" width="34.6640625" bestFit="1" customWidth="1"/>
    <col min="17" max="17" width="15.5546875" bestFit="1" customWidth="1"/>
    <col min="18" max="18" width="25.5546875" bestFit="1" customWidth="1"/>
    <col min="19" max="19" width="14.6640625" bestFit="1" customWidth="1"/>
    <col min="20" max="20" width="17" bestFit="1" customWidth="1"/>
  </cols>
  <sheetData>
    <row r="1" spans="1:22" x14ac:dyDescent="0.3">
      <c r="B1" t="s">
        <v>860</v>
      </c>
      <c r="C1" t="s">
        <v>859</v>
      </c>
      <c r="D1" t="s">
        <v>866</v>
      </c>
      <c r="F1" t="s">
        <v>864</v>
      </c>
      <c r="H1" t="s">
        <v>865</v>
      </c>
      <c r="K1" t="s">
        <v>149</v>
      </c>
      <c r="L1" t="s">
        <v>151</v>
      </c>
      <c r="N1" t="s">
        <v>172</v>
      </c>
      <c r="Q1" s="26" t="s">
        <v>858</v>
      </c>
      <c r="R1" t="s">
        <v>862</v>
      </c>
      <c r="S1" t="s">
        <v>863</v>
      </c>
      <c r="T1" t="s">
        <v>206</v>
      </c>
      <c r="V1" t="s">
        <v>418</v>
      </c>
    </row>
    <row r="2" spans="1:22" x14ac:dyDescent="0.3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3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3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861</v>
      </c>
      <c r="V4" s="9">
        <v>1.37</v>
      </c>
    </row>
    <row r="5" spans="1:22" x14ac:dyDescent="0.3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3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3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3">
      <c r="D8" t="s">
        <v>452</v>
      </c>
      <c r="E8">
        <v>8</v>
      </c>
    </row>
    <row r="9" spans="1:22" x14ac:dyDescent="0.3">
      <c r="D9" t="s">
        <v>48</v>
      </c>
      <c r="E9">
        <v>12</v>
      </c>
    </row>
    <row r="10" spans="1:22" x14ac:dyDescent="0.3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8"/>
  <sheetViews>
    <sheetView zoomScale="70" zoomScaleNormal="70" workbookViewId="0">
      <selection activeCell="M82" sqref="M82"/>
    </sheetView>
  </sheetViews>
  <sheetFormatPr defaultRowHeight="14.4" x14ac:dyDescent="0.3"/>
  <cols>
    <col min="1" max="1" width="83.88671875" bestFit="1" customWidth="1"/>
    <col min="2" max="2" width="31.88671875" style="1" bestFit="1" customWidth="1"/>
    <col min="3" max="3" width="27.33203125" style="1" bestFit="1" customWidth="1"/>
    <col min="4" max="5" width="31.33203125" style="1" bestFit="1" customWidth="1"/>
    <col min="6" max="6" width="41.109375" style="1" bestFit="1" customWidth="1"/>
    <col min="7" max="7" width="45.109375" style="1" bestFit="1" customWidth="1"/>
    <col min="8" max="8" width="25" style="1" bestFit="1" customWidth="1"/>
    <col min="9" max="9" width="25.6640625" style="1" bestFit="1" customWidth="1"/>
    <col min="10" max="10" width="14.5546875" style="1" bestFit="1" customWidth="1"/>
    <col min="11" max="11" width="16.33203125" bestFit="1" customWidth="1"/>
    <col min="12" max="12" width="29.6640625" bestFit="1" customWidth="1"/>
    <col min="13" max="13" width="26.88671875" bestFit="1" customWidth="1"/>
    <col min="14" max="14" width="31.5546875" bestFit="1" customWidth="1"/>
    <col min="15" max="15" width="28.5546875" bestFit="1" customWidth="1"/>
    <col min="16" max="16" width="29" bestFit="1" customWidth="1"/>
    <col min="17" max="18" width="23.109375" bestFit="1" customWidth="1"/>
    <col min="19" max="19" width="23.109375" customWidth="1"/>
    <col min="20" max="21" width="23.6640625" bestFit="1" customWidth="1"/>
    <col min="22" max="24" width="21.33203125" bestFit="1" customWidth="1"/>
    <col min="25" max="26" width="24.109375" bestFit="1" customWidth="1"/>
    <col min="27" max="28" width="24.109375" customWidth="1"/>
    <col min="29" max="29" width="18.6640625" style="58" bestFit="1" customWidth="1"/>
    <col min="30" max="30" width="18.6640625" bestFit="1" customWidth="1"/>
    <col min="31" max="31" width="20.33203125" bestFit="1" customWidth="1"/>
    <col min="32" max="34" width="22.33203125" customWidth="1"/>
    <col min="35" max="35" width="22.33203125" style="55" bestFit="1" customWidth="1"/>
    <col min="36" max="38" width="22.33203125" bestFit="1" customWidth="1"/>
    <col min="39" max="39" width="11" bestFit="1" customWidth="1"/>
    <col min="40" max="40" width="20.33203125" bestFit="1" customWidth="1"/>
  </cols>
  <sheetData>
    <row r="1" spans="1:40" x14ac:dyDescent="0.3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789</v>
      </c>
      <c r="AI1" s="53" t="s">
        <v>41</v>
      </c>
      <c r="AJ1" s="31" t="s">
        <v>188</v>
      </c>
      <c r="AK1" s="31" t="s">
        <v>189</v>
      </c>
      <c r="AL1" s="31" t="s">
        <v>790</v>
      </c>
      <c r="AM1" s="31" t="s">
        <v>42</v>
      </c>
      <c r="AN1" s="31" t="s">
        <v>173</v>
      </c>
    </row>
    <row r="2" spans="1:40" x14ac:dyDescent="0.3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3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3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3.0272379642328815</v>
      </c>
      <c r="AN4" s="40">
        <f>(AM4+Specs!$R$2+Specs!$S$2)*Specs!$N$2</f>
        <v>6.8344759284657632</v>
      </c>
    </row>
    <row r="5" spans="1:40" x14ac:dyDescent="0.3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3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3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3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5.5180868143508857</v>
      </c>
      <c r="AN8" s="40">
        <f>(AM8+Specs!$R$2+Specs!$S$2)*Specs!$N$2</f>
        <v>11.816173628701771</v>
      </c>
    </row>
    <row r="9" spans="1:40" x14ac:dyDescent="0.3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2.3111733681818869</v>
      </c>
      <c r="AN9" s="40">
        <f>(AM9+Specs!$R$2+Specs!$S$2)*Specs!$N$2</f>
        <v>5.402346736363774</v>
      </c>
    </row>
    <row r="10" spans="1:40" x14ac:dyDescent="0.3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3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3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3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3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3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0</v>
      </c>
      <c r="R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0</v>
      </c>
      <c r="S15" s="30">
        <f t="shared" si="2"/>
        <v>0</v>
      </c>
      <c r="T15" s="30">
        <f>_xlfn.XLOOKUP($L15,Specs!$D:$D,Specs!$E:$E,0)*15*_xlfn.XLOOKUP($K15,Specs!$A:$A,Specs!$C:$C,0)</f>
        <v>0</v>
      </c>
      <c r="U15" s="30">
        <f>_xlfn.XLOOKUP($M15,Specs!$D:$D,Specs!$E:$E,0)*15*_xlfn.XLOOKUP($K15,Specs!$A:$A,Specs!$C:$C,0)</f>
        <v>0</v>
      </c>
      <c r="V15" s="30">
        <f>( ((_xlfn.XLOOKUP($N15,Specs!$H:$H,Specs!$I:$I,0)*_xlfn.XLOOKUP($K15,Specs!$A:$A,Specs!$B:$B,0))/240) *_xlfn.XLOOKUP($F15,'Solid Mix In Nutrition'!A:A,'Solid Mix In Nutrition'!I:I,0)) *IF(AND(NOT($G15=0), COUNTA($G15)),0.5,1)</f>
        <v>0</v>
      </c>
      <c r="W15" s="30">
        <f>( ((_xlfn.XLOOKUP($N15,Specs!$H:$H,Specs!$I:$I,0)*_xlfn.XLOOKUP($K15,Specs!$A:$A,Specs!$B:$B,0))/240) *_xlfn.XLOOKUP($G15,'Solid Mix In Nutrition'!A:A,'Solid Mix In Nutrition'!I:I,0)) *IF(AND(NOT($G15=0), COUNTA($G15)),0.5,0)</f>
        <v>0</v>
      </c>
      <c r="X15" s="30">
        <f>( ((_xlfn.XLOOKUP($N15,Specs!$H:$H,Specs!$I:$I,0)*_xlfn.XLOOKUP($K15,Specs!$A:$A,Specs!$B:$B,0))/240) *_xlfn.XLOOKUP($G15,'Solid Mix In Nutrition'!$A:$A,'Solid Mix In Nutrition'!$I:$I,0)) *IF(AND(NOT($H15=0), COUNTA($H15)),0.3,0)</f>
        <v>0</v>
      </c>
      <c r="Y15" s="30">
        <f>_xlfn.XLOOKUP($O15,Specs!F:F,Specs!G:G,0)*_xlfn.XLOOKUP($I15,'Sweetener Mix In Nutrition'!A:A,'Sweetener Mix In Nutrition'!I:I,0)*_xlfn.XLOOKUP($K15,Specs!A:A,Specs!C:C,0)</f>
        <v>0</v>
      </c>
      <c r="Z15" s="30">
        <f>_xlfn.XLOOKUP($P15,Specs!F:F,Specs!G:G,0)*_xlfn.XLOOKUP($J15,'Sweetener Mix In Nutrition'!A:A,'Sweetener Mix In Nutrition'!I:I,0)*_xlfn.XLOOKUP($K15,Specs!A:A,Specs!C:C,0)</f>
        <v>0</v>
      </c>
      <c r="AA15" s="34">
        <f t="shared" si="0"/>
        <v>0</v>
      </c>
      <c r="AB15" s="35">
        <f t="shared" si="1"/>
        <v>0</v>
      </c>
      <c r="AC15" s="57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0</v>
      </c>
      <c r="AD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0</v>
      </c>
      <c r="AE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0</v>
      </c>
      <c r="AF15" s="37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0</v>
      </c>
      <c r="AG15" s="38" t="e">
        <f>$AF15 / (_xlfn.XLOOKUP($K15,Specs!A:A,Specs!B:B,0))</f>
        <v>#DIV/0!</v>
      </c>
      <c r="AH15" s="37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0</v>
      </c>
      <c r="AI15" s="54" t="e">
        <f>60* ($AC15 / _xlfn.XLOOKUP($K15,Specs!$A:$A,Specs!$B:$B,0))</f>
        <v>#DIV/0!</v>
      </c>
      <c r="AJ15" s="37" t="e">
        <f>60* (AD15 / _xlfn.XLOOKUP($K15,Specs!$A:$A,Specs!$B:$B,0))</f>
        <v>#DIV/0!</v>
      </c>
      <c r="AK15" s="37" t="e">
        <f>60* (AF15 / _xlfn.XLOOKUP($K15,Specs!$A:$A,Specs!$B:$B,0))</f>
        <v>#DIV/0!</v>
      </c>
      <c r="AL15" s="37" t="e">
        <f>60* (AH15 / _xlfn.XLOOKUP($K15,Specs!$A:$A,Specs!$B:$B,0))</f>
        <v>#DIV/0!</v>
      </c>
      <c r="AM15" s="39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0</v>
      </c>
      <c r="AN15" s="40">
        <f>(AM15+Specs!$R$2+Specs!$S$2)*Specs!$N$2</f>
        <v>0.78</v>
      </c>
    </row>
    <row r="16" spans="1:40" x14ac:dyDescent="0.3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3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t="e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#VALUE!</v>
      </c>
      <c r="R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0</v>
      </c>
      <c r="S17" s="30" t="e">
        <f t="shared" si="2"/>
        <v>#VALUE!</v>
      </c>
      <c r="T17" s="30">
        <f>_xlfn.XLOOKUP($L17,Specs!$D:$D,Specs!$E:$E,0)*15*_xlfn.XLOOKUP($K17,Specs!$A:$A,Specs!$C:$C,0)</f>
        <v>0</v>
      </c>
      <c r="U17" s="30">
        <f>_xlfn.XLOOKUP($M17,Specs!$D:$D,Specs!$E:$E,0)*15*_xlfn.XLOOKUP($K17,Specs!$A:$A,Specs!$C:$C,0)</f>
        <v>0</v>
      </c>
      <c r="V17" s="30">
        <f>( ((_xlfn.XLOOKUP($N17,Specs!$H:$H,Specs!$I:$I,0)*_xlfn.XLOOKUP($K17,Specs!$A:$A,Specs!$B:$B,0))/240) *_xlfn.XLOOKUP($F17,'Solid Mix In Nutrition'!A:A,'Solid Mix In Nutrition'!I:I,0)) *IF(AND(NOT($G17=0), COUNTA($G17)),0.5,1)</f>
        <v>0</v>
      </c>
      <c r="W17" s="30">
        <f>( ((_xlfn.XLOOKUP($N17,Specs!$H:$H,Specs!$I:$I,0)*_xlfn.XLOOKUP($K17,Specs!$A:$A,Specs!$B:$B,0))/240) *_xlfn.XLOOKUP($G17,'Solid Mix In Nutrition'!A:A,'Solid Mix In Nutrition'!I:I,0)) *IF(AND(NOT($G17=0), COUNTA($G17)),0.5,0)</f>
        <v>0</v>
      </c>
      <c r="X17" s="30">
        <f>( ((_xlfn.XLOOKUP($N17,Specs!$H:$H,Specs!$I:$I,0)*_xlfn.XLOOKUP($K17,Specs!$A:$A,Specs!$B:$B,0))/240) *_xlfn.XLOOKUP($G17,'Solid Mix In Nutrition'!$A:$A,'Solid Mix In Nutrition'!$I:$I,0)) *IF(AND(NOT($H17=0), COUNTA($H17)),0.3,0)</f>
        <v>0</v>
      </c>
      <c r="Y17" s="30">
        <f>_xlfn.XLOOKUP($O17,Specs!F:F,Specs!G:G,0)*_xlfn.XLOOKUP($I17,'Sweetener Mix In Nutrition'!A:A,'Sweetener Mix In Nutrition'!I:I,0)*_xlfn.XLOOKUP($K17,Specs!A:A,Specs!C:C,0)</f>
        <v>0</v>
      </c>
      <c r="Z17" s="30">
        <f>_xlfn.XLOOKUP($P17,Specs!F:F,Specs!G:G,0)*_xlfn.XLOOKUP($J17,'Sweetener Mix In Nutrition'!A:A,'Sweetener Mix In Nutrition'!I:I,0)*_xlfn.XLOOKUP($K17,Specs!A:A,Specs!C:C,0)</f>
        <v>0</v>
      </c>
      <c r="AA17" s="34" t="e">
        <f t="shared" si="0"/>
        <v>#VALUE!</v>
      </c>
      <c r="AB17" s="35" t="e">
        <f t="shared" si="1"/>
        <v>#VALUE!</v>
      </c>
      <c r="AC17" s="57" t="e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#VALUE!</v>
      </c>
      <c r="AD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#VALUE!</v>
      </c>
      <c r="AE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#VALUE!</v>
      </c>
      <c r="AF17" s="37" t="e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#VALUE!</v>
      </c>
      <c r="AG17" s="38" t="e">
        <f>$AF17 / (_xlfn.XLOOKUP($K17,Specs!A:A,Specs!B:B,0))</f>
        <v>#VALUE!</v>
      </c>
      <c r="AH17" s="37" t="e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#VALUE!</v>
      </c>
      <c r="AI17" s="54" t="e">
        <f>60* ($AC17 / _xlfn.XLOOKUP($K17,Specs!$A:$A,Specs!$B:$B,0))</f>
        <v>#VALUE!</v>
      </c>
      <c r="AJ17" s="37" t="e">
        <f>60* (AD17 / _xlfn.XLOOKUP($K17,Specs!$A:$A,Specs!$B:$B,0))</f>
        <v>#VALUE!</v>
      </c>
      <c r="AK17" s="37" t="e">
        <f>60* (AF17 / _xlfn.XLOOKUP($K17,Specs!$A:$A,Specs!$B:$B,0))</f>
        <v>#VALUE!</v>
      </c>
      <c r="AL17" s="37" t="e">
        <f>60* (AH17 / _xlfn.XLOOKUP($K17,Specs!$A:$A,Specs!$B:$B,0))</f>
        <v>#VALUE!</v>
      </c>
      <c r="AM17" s="39" t="e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#VALUE!</v>
      </c>
      <c r="AN17" s="40" t="e">
        <f>(AM17+Specs!$R$2+Specs!$S$2)*Specs!$N$2</f>
        <v>#VALUE!</v>
      </c>
    </row>
    <row r="18" spans="1:40" x14ac:dyDescent="0.3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>
        <f>_xlfn.XLOOKUP($O18,Specs!F:F,Specs!G:G,0)*_xlfn.XLOOKUP($I18,'Sweetener Mix In Nutrition'!A:A,'Sweetener Mix In Nutrition'!I:I,0)*_xlfn.XLOOKUP($K18,Specs!A:A,Specs!C:C,0)</f>
        <v>0</v>
      </c>
      <c r="Z18" s="30">
        <f>_xlfn.XLOOKUP($P18,Specs!F:F,Specs!G:G,0)*_xlfn.XLOOKUP($J18,'Sweetener Mix In Nutrition'!A:A,'Sweetener Mix In Nutrition'!I:I,0)*_xlfn.XLOOKUP($K18,Specs!A:A,Specs!C:C,0)</f>
        <v>0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3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>
        <f>_xlfn.XLOOKUP($M19,Specs!$D:$D,Specs!$E:$E,0)*15*_xlfn.XLOOKUP($K19,Specs!$A:$A,Specs!$C:$C,0)</f>
        <v>0</v>
      </c>
      <c r="V19" s="30">
        <f>( ((_xlfn.XLOOKUP($N19,Specs!$H:$H,Specs!$I:$I,0)*_xlfn.XLOOKUP($K19,Specs!$A:$A,Specs!$B:$B,0))/240) *_xlfn.XLOOKUP($F19,'Solid Mix In Nutrition'!A:A,'Solid Mix In Nutrition'!I:I,0)) *IF(AND(NOT($G19=0), COUNTA($G19)),0.5,1)</f>
        <v>0</v>
      </c>
      <c r="W19" s="30">
        <f>( ((_xlfn.XLOOKUP($N19,Specs!$H:$H,Specs!$I:$I,0)*_xlfn.XLOOKUP($K19,Specs!$A:$A,Specs!$B:$B,0))/240) *_xlfn.XLOOKUP($G19,'Solid Mix In Nutrition'!A:A,'Solid Mix In Nutrition'!I:I,0)) *IF(AND(NOT($G19=0), COUNTA($G19)),0.5,0)</f>
        <v>0</v>
      </c>
      <c r="X19" s="30">
        <f>( ((_xlfn.XLOOKUP($N19,Specs!$H:$H,Specs!$I:$I,0)*_xlfn.XLOOKUP($K19,Specs!$A:$A,Specs!$B:$B,0))/240) *_xlfn.XLOOKUP($G19,'Solid Mix In Nutrition'!$A:$A,'Solid Mix In Nutrition'!$I:$I,0)) *IF(AND(NOT($H19=0), COUNTA($H19)),0.3,0)</f>
        <v>0</v>
      </c>
      <c r="Y19" s="30">
        <f>_xlfn.XLOOKUP($O19,Specs!F:F,Specs!G:G,0)*_xlfn.XLOOKUP($I19,'Sweetener Mix In Nutrition'!A:A,'Sweetener Mix In Nutrition'!I:I,0)*_xlfn.XLOOKUP($K19,Specs!A:A,Specs!C:C,0)</f>
        <v>0</v>
      </c>
      <c r="Z19" s="30">
        <f>_xlfn.XLOOKUP($P19,Specs!F:F,Specs!G:G,0)*_xlfn.XLOOKUP($J19,'Sweetener Mix In Nutrition'!A:A,'Sweetener Mix In Nutrition'!I:I,0)*_xlfn.XLOOKUP($K19,Specs!A:A,Specs!C:C,0)</f>
        <v>0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3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3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3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3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3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3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3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3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3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3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3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3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3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3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3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3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3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3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3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3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3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3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3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3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0</v>
      </c>
      <c r="R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0</v>
      </c>
      <c r="S44" s="30">
        <f t="shared" ref="S44:S52" si="12">Q44+R44</f>
        <v>0</v>
      </c>
      <c r="T44" s="30">
        <f>_xlfn.XLOOKUP($L44,Specs!$D:$D,Specs!$E:$E,0)*15*_xlfn.XLOOKUP($K44,Specs!$A:$A,Specs!$C:$C,0)</f>
        <v>0</v>
      </c>
      <c r="U44" s="30">
        <f>_xlfn.XLOOKUP($M44,Specs!$D:$D,Specs!$E:$E,0)*15*_xlfn.XLOOKUP($K44,Specs!$A:$A,Specs!$C:$C,0)</f>
        <v>0</v>
      </c>
      <c r="V44" s="30">
        <f>( ((_xlfn.XLOOKUP($N44,Specs!$H:$H,Specs!$I:$I,0)*_xlfn.XLOOKUP($K44,Specs!$A:$A,Specs!$B:$B,0))/240) *_xlfn.XLOOKUP($F44,'Solid Mix In Nutrition'!A:A,'Solid Mix In Nutrition'!I:I,0)) *IF(AND(NOT($G44=0), COUNTA($G44)),0.33,1)</f>
        <v>0</v>
      </c>
      <c r="W44" s="30">
        <f>( ((_xlfn.XLOOKUP($N44,Specs!$H:$H,Specs!$I:$I,0)*_xlfn.XLOOKUP($K44,Specs!$A:$A,Specs!$B:$B,0))/240) *_xlfn.XLOOKUP($G44,'Solid Mix In Nutrition'!A:A,'Solid Mix In Nutrition'!I:I,0)) *IF(AND(NOT($G44=0), COUNTA($G44)),0.33,0)</f>
        <v>0</v>
      </c>
      <c r="X44" s="30">
        <f>( ((_xlfn.XLOOKUP($N44,Specs!$H:$H,Specs!$I:$I,0)*_xlfn.XLOOKUP($K44,Specs!$A:$A,Specs!$B:$B,0))/240) *_xlfn.XLOOKUP($G44,'Solid Mix In Nutrition'!$A:$A,'Solid Mix In Nutrition'!$I:$I,0)) *IF(AND(NOT($H44=0), COUNTA($H44)),0.33,0)</f>
        <v>0</v>
      </c>
      <c r="Y44" s="30">
        <f>_xlfn.XLOOKUP($O44,Specs!F:F,Specs!G:G,0)*_xlfn.XLOOKUP($I44,'Sweetener Mix In Nutrition'!A:A,'Sweetener Mix In Nutrition'!I:I,0)*_xlfn.XLOOKUP($K44,Specs!A:A,Specs!C:C,0)</f>
        <v>0</v>
      </c>
      <c r="Z44" s="30">
        <f>_xlfn.XLOOKUP($P44,Specs!F:F,Specs!G:G,0)*_xlfn.XLOOKUP($J44,'Sweetener Mix In Nutrition'!A:A,'Sweetener Mix In Nutrition'!I:I,0)*_xlfn.XLOOKUP($K44,Specs!A:A,Specs!C:C,0)</f>
        <v>0</v>
      </c>
      <c r="AA44" s="34">
        <f t="shared" si="4"/>
        <v>0</v>
      </c>
      <c r="AB44" s="35">
        <f t="shared" si="5"/>
        <v>0</v>
      </c>
      <c r="AC44" s="57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0</v>
      </c>
      <c r="AD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0</v>
      </c>
      <c r="AE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0</v>
      </c>
      <c r="AF44" s="37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0</v>
      </c>
      <c r="AG44" s="38" t="e">
        <f>$AF44 / (_xlfn.XLOOKUP($K44,Specs!A:A,Specs!B:B,0))</f>
        <v>#DIV/0!</v>
      </c>
      <c r="AH44" s="37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0</v>
      </c>
      <c r="AI44" s="54" t="e">
        <f>60* ($AC44 / _xlfn.XLOOKUP($K44,Specs!$A:$A,Specs!$B:$B,0))</f>
        <v>#DIV/0!</v>
      </c>
      <c r="AJ44" s="37" t="e">
        <f>60* (AD44 / _xlfn.XLOOKUP($K44,Specs!$A:$A,Specs!$B:$B,0))</f>
        <v>#DIV/0!</v>
      </c>
      <c r="AK44" s="37" t="e">
        <f>60* (AF44 / _xlfn.XLOOKUP($K44,Specs!$A:$A,Specs!$B:$B,0))</f>
        <v>#DIV/0!</v>
      </c>
      <c r="AL44" s="37" t="e">
        <f>60* (AH44 / _xlfn.XLOOKUP($K44,Specs!$A:$A,Specs!$B:$B,0))</f>
        <v>#DIV/0!</v>
      </c>
      <c r="AM44" s="39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0</v>
      </c>
      <c r="AN44" s="40">
        <f>(AM44+Specs!$R$2+Specs!$S$2)*Specs!$N$2</f>
        <v>0.78</v>
      </c>
    </row>
    <row r="45" spans="1:40" x14ac:dyDescent="0.3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3.5355390991451654</v>
      </c>
      <c r="AN45" s="40">
        <f>(AM45+Specs!$R$2+Specs!$S$2)*Specs!$N$2</f>
        <v>7.851078198290331</v>
      </c>
    </row>
    <row r="46" spans="1:40" x14ac:dyDescent="0.3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3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0</v>
      </c>
      <c r="R47" s="30" t="e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#VALUE!</v>
      </c>
      <c r="S47" s="30" t="e">
        <f t="shared" si="12"/>
        <v>#VALUE!</v>
      </c>
      <c r="T47" s="30">
        <f>_xlfn.XLOOKUP($L47,Specs!$D:$D,Specs!$E:$E,0)*15*_xlfn.XLOOKUP($K47,Specs!$A:$A,Specs!$C:$C,0)</f>
        <v>0</v>
      </c>
      <c r="U47" s="30">
        <f>_xlfn.XLOOKUP($M47,Specs!$D:$D,Specs!$E:$E,0)*15*_xlfn.XLOOKUP($K47,Specs!$A:$A,Specs!$C:$C,0)</f>
        <v>0</v>
      </c>
      <c r="V47" s="30">
        <f>( ((_xlfn.XLOOKUP($N47,Specs!$H:$H,Specs!$I:$I,0)*_xlfn.XLOOKUP($K47,Specs!$A:$A,Specs!$B:$B,0))/240) *_xlfn.XLOOKUP($F47,'Solid Mix In Nutrition'!A:A,'Solid Mix In Nutrition'!I:I,0)) *IF(AND(NOT($G47=0), COUNTA($G47)),0.33,1)</f>
        <v>0</v>
      </c>
      <c r="W47" s="30">
        <f>( ((_xlfn.XLOOKUP($N47,Specs!$H:$H,Specs!$I:$I,0)*_xlfn.XLOOKUP($K47,Specs!$A:$A,Specs!$B:$B,0))/240) *_xlfn.XLOOKUP($G47,'Solid Mix In Nutrition'!A:A,'Solid Mix In Nutrition'!I:I,0)) *IF(AND(NOT($G47=0), COUNTA($G47)),0.33,0)</f>
        <v>0</v>
      </c>
      <c r="X47" s="30">
        <f>( ((_xlfn.XLOOKUP($N47,Specs!$H:$H,Specs!$I:$I,0)*_xlfn.XLOOKUP($K47,Specs!$A:$A,Specs!$B:$B,0))/240) *_xlfn.XLOOKUP($G47,'Solid Mix In Nutrition'!$A:$A,'Solid Mix In Nutrition'!$I:$I,0)) *IF(AND(NOT($H47=0), COUNTA($H47)),0.33,0)</f>
        <v>0</v>
      </c>
      <c r="Y47" s="30">
        <f>_xlfn.XLOOKUP($O47,Specs!F:F,Specs!G:G,0)*_xlfn.XLOOKUP($I47,'Sweetener Mix In Nutrition'!A:A,'Sweetener Mix In Nutrition'!I:I,0)*_xlfn.XLOOKUP($K47,Specs!A:A,Specs!C:C,0)</f>
        <v>0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3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3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3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>
        <f>_xlfn.XLOOKUP($L50,Specs!$D:$D,Specs!$E:$E,0)*15*_xlfn.XLOOKUP($K50,Specs!$A:$A,Specs!$C:$C,0)</f>
        <v>0</v>
      </c>
      <c r="U50" s="30" t="e">
        <f>_xlfn.XLOOKUP($M50,Specs!$D:$D,Specs!$E:$E,0)*15*_xlfn.XLOOKUP($K50,Specs!$A:$A,Specs!$C:$C,0)</f>
        <v>#VALUE!</v>
      </c>
      <c r="V50" s="30">
        <f>( ((_xlfn.XLOOKUP($N50,Specs!$H:$H,Specs!$I:$I,0)*_xlfn.XLOOKUP($K50,Specs!$A:$A,Specs!$B:$B,0))/240) *_xlfn.XLOOKUP($F50,'Solid Mix In Nutrition'!A:A,'Solid Mix In Nutrition'!I:I,0)) *IF(AND(NOT($G50=0), COUNTA($G50)),0.33,1)</f>
        <v>0</v>
      </c>
      <c r="W50" s="30">
        <f>( ((_xlfn.XLOOKUP($N50,Specs!$H:$H,Specs!$I:$I,0)*_xlfn.XLOOKUP($K50,Specs!$A:$A,Specs!$B:$B,0))/240) *_xlfn.XLOOKUP($G50,'Solid Mix In Nutrition'!A:A,'Solid Mix In Nutrition'!I:I,0)) *IF(AND(NOT($G50=0), COUNTA($G50)),0.33,0)</f>
        <v>0</v>
      </c>
      <c r="X50" s="30">
        <f>( ((_xlfn.XLOOKUP($N50,Specs!$H:$H,Specs!$I:$I,0)*_xlfn.XLOOKUP($K50,Specs!$A:$A,Specs!$B:$B,0))/240) *_xlfn.XLOOKUP($G50,'Solid Mix In Nutrition'!$A:$A,'Solid Mix In Nutrition'!$I:$I,0)) *IF(AND(NOT($H50=0), COUNTA($H50)),0.33,0)</f>
        <v>0</v>
      </c>
      <c r="Y50" s="30">
        <f>_xlfn.XLOOKUP($O50,Specs!F:F,Specs!G:G,0)*_xlfn.XLOOKUP($I50,'Sweetener Mix In Nutrition'!A:A,'Sweetener Mix In Nutrition'!I:I,0)*_xlfn.XLOOKUP($K50,Specs!A:A,Specs!C:C,0)</f>
        <v>0</v>
      </c>
      <c r="Z50" s="30">
        <f>_xlfn.XLOOKUP($P50,Specs!F:F,Specs!G:G,0)*_xlfn.XLOOKUP($J50,'Sweetener Mix In Nutrition'!A:A,'Sweetener Mix In Nutrition'!I:I,0)*_xlfn.XLOOKUP($K50,Specs!A:A,Specs!C:C,0)</f>
        <v>0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3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3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0</v>
      </c>
      <c r="R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0</v>
      </c>
      <c r="S52" s="30">
        <f t="shared" si="12"/>
        <v>0</v>
      </c>
      <c r="T52" s="30">
        <f>_xlfn.XLOOKUP($L52,Specs!$D:$D,Specs!$E:$E,0)*15*_xlfn.XLOOKUP($K52,Specs!$A:$A,Specs!$C:$C,0)</f>
        <v>0</v>
      </c>
      <c r="U52" s="30">
        <f>_xlfn.XLOOKUP($M52,Specs!$D:$D,Specs!$E:$E,0)*15*_xlfn.XLOOKUP($K52,Specs!$A:$A,Specs!$C:$C,0)</f>
        <v>0</v>
      </c>
      <c r="V52" s="30">
        <f>( ((_xlfn.XLOOKUP($N52,Specs!$H:$H,Specs!$I:$I,0)*_xlfn.XLOOKUP($K52,Specs!$A:$A,Specs!$B:$B,0))/240) *_xlfn.XLOOKUP($F52,'Solid Mix In Nutrition'!A:A,'Solid Mix In Nutrition'!I:I,0)) *IF(AND(NOT($G52=0), COUNTA($G52)),0.33,1)</f>
        <v>0</v>
      </c>
      <c r="W52" s="30">
        <f>( ((_xlfn.XLOOKUP($N52,Specs!$H:$H,Specs!$I:$I,0)*_xlfn.XLOOKUP($K52,Specs!$A:$A,Specs!$B:$B,0))/240) *_xlfn.XLOOKUP($G52,'Solid Mix In Nutrition'!A:A,'Solid Mix In Nutrition'!I:I,0)) *IF(AND(NOT($G52=0), COUNTA($G52)),0.33,0)</f>
        <v>0</v>
      </c>
      <c r="X52" s="30">
        <f>( ((_xlfn.XLOOKUP($N52,Specs!$H:$H,Specs!$I:$I,0)*_xlfn.XLOOKUP($K52,Specs!$A:$A,Specs!$B:$B,0))/240) *_xlfn.XLOOKUP($G52,'Solid Mix In Nutrition'!$A:$A,'Solid Mix In Nutrition'!$I:$I,0)) *IF(AND(NOT($H52=0), COUNTA($H52)),0.33,0)</f>
        <v>0</v>
      </c>
      <c r="Y52" s="30">
        <f>_xlfn.XLOOKUP($O52,Specs!F:F,Specs!G:G,0)*_xlfn.XLOOKUP($I52,'Sweetener Mix In Nutrition'!A:A,'Sweetener Mix In Nutrition'!I:I,0)*_xlfn.XLOOKUP($K52,Specs!A:A,Specs!C:C,0)</f>
        <v>0</v>
      </c>
      <c r="Z52" s="30">
        <f>_xlfn.XLOOKUP($P52,Specs!F:F,Specs!G:G,0)*_xlfn.XLOOKUP($J52,'Sweetener Mix In Nutrition'!A:A,'Sweetener Mix In Nutrition'!I:I,0)*_xlfn.XLOOKUP($K52,Specs!A:A,Specs!C:C,0)</f>
        <v>0</v>
      </c>
      <c r="AA52" s="34">
        <f t="shared" si="4"/>
        <v>0</v>
      </c>
      <c r="AB52" s="35">
        <f t="shared" si="5"/>
        <v>0</v>
      </c>
      <c r="AC52" s="57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0</v>
      </c>
      <c r="AD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0</v>
      </c>
      <c r="AE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0</v>
      </c>
      <c r="AF52" s="37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0</v>
      </c>
      <c r="AG52" s="38" t="e">
        <f>$AF52 / (_xlfn.XLOOKUP($K52,Specs!A:A,Specs!B:B,0))</f>
        <v>#VALUE!</v>
      </c>
      <c r="AH52" s="37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0</v>
      </c>
      <c r="AI52" s="54" t="e">
        <f>60* ($AC52 / _xlfn.XLOOKUP($K52,Specs!$A:$A,Specs!$B:$B,0))</f>
        <v>#DIV/0!</v>
      </c>
      <c r="AJ52" s="37" t="e">
        <f>60* (AD52 / _xlfn.XLOOKUP($K52,Specs!$A:$A,Specs!$B:$B,0))</f>
        <v>#DIV/0!</v>
      </c>
      <c r="AK52" s="37" t="e">
        <f>60* (AF52 / _xlfn.XLOOKUP($K52,Specs!$A:$A,Specs!$B:$B,0))</f>
        <v>#DIV/0!</v>
      </c>
      <c r="AL52" s="37" t="e">
        <f>60* (AH52 / _xlfn.XLOOKUP($K52,Specs!$A:$A,Specs!$B:$B,0))</f>
        <v>#DIV/0!</v>
      </c>
      <c r="AM52" s="39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0</v>
      </c>
      <c r="AN52" s="40">
        <f>(AM52+Specs!$R$2+Specs!$S$2)*Specs!$N$2</f>
        <v>0.78</v>
      </c>
    </row>
    <row r="53" spans="1:40" x14ac:dyDescent="0.3">
      <c r="Q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0</v>
      </c>
      <c r="R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0</v>
      </c>
      <c r="AH53" s="37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0</v>
      </c>
      <c r="AL53" s="37" t="e">
        <f>60* (AH53 / _xlfn.XLOOKUP($K53,Specs!$A:$A,Specs!$B:$B,0))</f>
        <v>#DIV/0!</v>
      </c>
    </row>
    <row r="54" spans="1:40" ht="16.5" customHeight="1" x14ac:dyDescent="0.3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3">
      <c r="B55" s="31" t="s">
        <v>71</v>
      </c>
      <c r="Q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0</v>
      </c>
      <c r="R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0</v>
      </c>
      <c r="AH55" s="37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0</v>
      </c>
      <c r="AL55" s="37" t="e">
        <f>60* (AH55 / _xlfn.XLOOKUP($K55,Specs!$A:$A,Specs!$B:$B,0))</f>
        <v>#DIV/0!</v>
      </c>
    </row>
    <row r="56" spans="1:40" ht="16.5" customHeight="1" x14ac:dyDescent="0.3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3">
      <c r="Q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0</v>
      </c>
      <c r="R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0</v>
      </c>
      <c r="AH57" s="37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0</v>
      </c>
      <c r="AL57" s="37" t="e">
        <f>60* (AH57 / _xlfn.XLOOKUP($K57,Specs!$A:$A,Specs!$B:$B,0))</f>
        <v>#DIV/0!</v>
      </c>
    </row>
    <row r="58" spans="1:40" x14ac:dyDescent="0.3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3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3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3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1" si="24">($Q61+$R61+$T61+$Y61+$Z61)*IF(ISNUMBER(SEARCH("Fat Free",$B61)),0.0036,0.0012)</f>
        <v>2.633778</v>
      </c>
      <c r="AB61" s="35">
        <f t="shared" ref="AB61:AB71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3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3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6.4148859945902759</v>
      </c>
      <c r="AN63" s="40">
        <f>(AM63+Specs!$R$2+Specs!$S$2)*Specs!$N$2</f>
        <v>13.609771989180551</v>
      </c>
    </row>
    <row r="64" spans="1:40" x14ac:dyDescent="0.3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3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3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3">
      <c r="A68" t="s">
        <v>786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3">
      <c r="A69" t="s">
        <v>787</v>
      </c>
      <c r="B69" s="1" t="s">
        <v>782</v>
      </c>
      <c r="C69" s="1" t="s">
        <v>784</v>
      </c>
      <c r="D69" s="1" t="s">
        <v>0</v>
      </c>
      <c r="E69" s="1" t="s">
        <v>788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ref="S69" si="27">Q69+R69</f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3">
      <c r="A70" t="s">
        <v>791</v>
      </c>
      <c r="B70" s="1" t="s">
        <v>782</v>
      </c>
      <c r="C70" s="1" t="s">
        <v>284</v>
      </c>
      <c r="D70" s="1" t="s">
        <v>474</v>
      </c>
      <c r="E70" s="1" t="s">
        <v>788</v>
      </c>
      <c r="K70" t="s">
        <v>4</v>
      </c>
      <c r="L70" t="s">
        <v>452</v>
      </c>
      <c r="M70" t="s">
        <v>46</v>
      </c>
      <c r="N70" t="s">
        <v>44</v>
      </c>
      <c r="O70" t="s">
        <v>44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262.68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131.34</v>
      </c>
      <c r="S70" s="30">
        <f t="shared" ref="S70" si="28">Q70+R70</f>
        <v>394.02</v>
      </c>
      <c r="T70" s="30">
        <f>_xlfn.XLOOKUP($L70,Specs!$D:$D,Specs!$E:$E,0)*15*_xlfn.XLOOKUP($K70,Specs!$A:$A,Specs!$C:$C,0)</f>
        <v>60</v>
      </c>
      <c r="U70" s="30">
        <f>_xlfn.XLOOKUP($M70,Specs!$D:$D,Specs!$E:$E,0)*15*_xlfn.XLOOKUP($K70,Specs!$A:$A,Specs!$C:$C,0)</f>
        <v>15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0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0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0.54482399999999997</v>
      </c>
      <c r="AB70" s="35">
        <f t="shared" si="25"/>
        <v>0.25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307.55724637681158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26.036028985507247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26.036028985507247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2.2207246376811596</v>
      </c>
      <c r="AG70" s="38">
        <f>$AF70 / (_xlfn.XLOOKUP($K70,Specs!A:A,Specs!B:B,0))</f>
        <v>4.694978092349175E-3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40.622086956521741</v>
      </c>
      <c r="AI70" s="54">
        <f>60* ($AC70 / _xlfn.XLOOKUP($K70,Specs!$A:$A,Specs!$B:$B,0))</f>
        <v>39.013604191561718</v>
      </c>
      <c r="AJ70" s="37">
        <f>60* (AD70 / _xlfn.XLOOKUP($K70,Specs!$A:$A,Specs!$B:$B,0))</f>
        <v>3.3026675245886574</v>
      </c>
      <c r="AK70" s="37">
        <f>60* (AF70 / _xlfn.XLOOKUP($K70,Specs!$A:$A,Specs!$B:$B,0))</f>
        <v>0.28169868554095051</v>
      </c>
      <c r="AL70" s="37">
        <f>60* (AH70 / _xlfn.XLOOKUP($K70,Specs!$A:$A,Specs!$B:$B,0))</f>
        <v>5.1529074363452523</v>
      </c>
      <c r="AM70" s="39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3.5876029904922913</v>
      </c>
      <c r="AN70" s="40">
        <f>(AM70+Specs!$R$2+Specs!$S$2)*Specs!$N$2</f>
        <v>7.9552059809845828</v>
      </c>
    </row>
    <row r="71" spans="1:40" x14ac:dyDescent="0.3">
      <c r="A71" s="74" t="s">
        <v>792</v>
      </c>
      <c r="B71" s="1" t="s">
        <v>793</v>
      </c>
      <c r="C71" s="1" t="s">
        <v>284</v>
      </c>
      <c r="D71" s="1" t="s">
        <v>0</v>
      </c>
      <c r="K71" t="s">
        <v>341</v>
      </c>
      <c r="L71" t="s">
        <v>451</v>
      </c>
      <c r="M71" t="s">
        <v>44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851.40000000000009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425.70000000000005</v>
      </c>
      <c r="S71" s="30">
        <f t="shared" ref="S71" si="29">Q71+R71</f>
        <v>1277.1000000000001</v>
      </c>
      <c r="T71" s="30">
        <f>_xlfn.XLOOKUP($L71,Specs!$D:$D,Specs!$E:$E,0)*15*_xlfn.XLOOKUP($K71,Specs!$A:$A,Specs!$C:$C,0)</f>
        <v>30</v>
      </c>
      <c r="U71" s="30">
        <f>_xlfn.XLOOKUP($M71,Specs!$D:$D,Specs!$E:$E,0)*15*_xlfn.XLOOKUP($K71,Specs!$A:$A,Specs!$C:$C,0)</f>
        <v>0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1.5685200000000001</v>
      </c>
      <c r="AB71" s="35">
        <f t="shared" si="25"/>
        <v>0.5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1367.1000000000001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195.375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195.375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21.285000000000004</v>
      </c>
      <c r="AG71" s="38">
        <f>$AF71 / (_xlfn.XLOOKUP($K71,Specs!A:A,Specs!B:B,0))</f>
        <v>1.6125000000000004E-2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63.855000000000004</v>
      </c>
      <c r="AI71" s="54">
        <f>60* ($AC71 / _xlfn.XLOOKUP($K71,Specs!$A:$A,Specs!$B:$B,0))</f>
        <v>62.140909090909105</v>
      </c>
      <c r="AJ71" s="37">
        <f>60* (AD71 / _xlfn.XLOOKUP($K71,Specs!$A:$A,Specs!$B:$B,0))</f>
        <v>8.8806818181818183</v>
      </c>
      <c r="AK71" s="37">
        <f>60* (AF71 / _xlfn.XLOOKUP($K71,Specs!$A:$A,Specs!$B:$B,0))</f>
        <v>0.96750000000000025</v>
      </c>
      <c r="AL71" s="37">
        <f>60* (AH71 / _xlfn.XLOOKUP($K71,Specs!$A:$A,Specs!$B:$B,0))</f>
        <v>2.9024999999999999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3.6335129653517333</v>
      </c>
      <c r="AN71" s="40">
        <f>(AM71+Specs!$R$2+Specs!$S$2)*Specs!$N$2</f>
        <v>8.0470259307034659</v>
      </c>
    </row>
    <row r="72" spans="1:40" x14ac:dyDescent="0.3">
      <c r="A72" s="96" t="s">
        <v>796</v>
      </c>
      <c r="B72" s="1" t="s">
        <v>65</v>
      </c>
      <c r="C72" s="1" t="s">
        <v>75</v>
      </c>
      <c r="D72" s="1" t="s">
        <v>98</v>
      </c>
      <c r="I72" s="1" t="s">
        <v>1</v>
      </c>
      <c r="K72" t="s">
        <v>43</v>
      </c>
      <c r="L72" t="s">
        <v>451</v>
      </c>
      <c r="M72" t="s">
        <v>44</v>
      </c>
      <c r="N72" t="s">
        <v>44</v>
      </c>
      <c r="O72" t="s">
        <v>174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614.46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307.23</v>
      </c>
      <c r="S72" s="30">
        <f>Q72+R72</f>
        <v>921.69</v>
      </c>
      <c r="T72" s="30">
        <f>_xlfn.XLOOKUP($L72,Specs!$D:$D,Specs!$E:$E,0)*15*_xlfn.XLOOKUP($K72,Specs!$A:$A,Specs!$C:$C,0)</f>
        <v>15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100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>($Q72+$R72+$T72+$Y72+$Z72)*IF(ISNUMBER(SEARCH("Fat Free",$B72)),0.0036,0.0012)</f>
        <v>1.2440279999999999</v>
      </c>
      <c r="AB72" s="35">
        <f>CEILING(CONVERT(($Q72+$R72+$T72+$Y72+$Z72)*IF(ISNUMBER(SEARCH("Fat Free",$B72)),0.0036,0.0012),"ml","tsp"),0.25)</f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1206.2800000000002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120.482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120.482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71.687000000000012</v>
      </c>
      <c r="AG72" s="38">
        <f>$AF72 / (_xlfn.XLOOKUP($K72,Specs!A:A,Specs!B:B,0))</f>
        <v>7.5779069767441878E-2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20.482000000000003</v>
      </c>
      <c r="AI72" s="54">
        <f>60* ($AC72 / _xlfn.XLOOKUP($K72,Specs!$A:$A,Specs!$B:$B,0))</f>
        <v>76.508245243128968</v>
      </c>
      <c r="AJ72" s="37">
        <f>60* (AD72 / _xlfn.XLOOKUP($K72,Specs!$A:$A,Specs!$B:$B,0))</f>
        <v>7.6415644820295983</v>
      </c>
      <c r="AK72" s="37">
        <f>60* (AF72 / _xlfn.XLOOKUP($K72,Specs!$A:$A,Specs!$B:$B,0))</f>
        <v>4.5467441860465128</v>
      </c>
      <c r="AL72" s="37">
        <f>60* (AH72 / _xlfn.XLOOKUP($K72,Specs!$A:$A,Specs!$B:$B,0))</f>
        <v>1.2990697674418608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2.8182760372661266</v>
      </c>
      <c r="AN72" s="40">
        <f>(AM72+Specs!$R$2+Specs!$S$2)*Specs!$N$2</f>
        <v>6.4165520745322535</v>
      </c>
    </row>
    <row r="73" spans="1:40" x14ac:dyDescent="0.3">
      <c r="A73" s="96" t="s">
        <v>803</v>
      </c>
      <c r="B73" s="1" t="s">
        <v>62</v>
      </c>
      <c r="C73" s="1" t="s">
        <v>65</v>
      </c>
      <c r="D73" s="1" t="s">
        <v>264</v>
      </c>
      <c r="E73" s="1" t="s">
        <v>474</v>
      </c>
      <c r="F73" s="1" t="s">
        <v>139</v>
      </c>
      <c r="I73" s="1" t="s">
        <v>1</v>
      </c>
      <c r="K73" t="s">
        <v>4</v>
      </c>
      <c r="L73" t="s">
        <v>10</v>
      </c>
      <c r="M73" t="s">
        <v>10</v>
      </c>
      <c r="N73" t="s">
        <v>157</v>
      </c>
      <c r="O73" t="s">
        <v>159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194.535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97.267499999999998</v>
      </c>
      <c r="S73" s="30">
        <f>Q73+R73</f>
        <v>291.80250000000001</v>
      </c>
      <c r="T73" s="30">
        <f>_xlfn.XLOOKUP($L73,Specs!$D:$D,Specs!$E:$E,0)*15*_xlfn.XLOOKUP($K73,Specs!$A:$A,Specs!$C:$C,0)</f>
        <v>30</v>
      </c>
      <c r="U73" s="30">
        <f>_xlfn.XLOOKUP($M73,Specs!$D:$D,Specs!$E:$E,0)*15*_xlfn.XLOOKUP($K73,Specs!$A:$A,Specs!$C:$C,0)</f>
        <v>30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61.588541666666671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25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0.41616299999999995</v>
      </c>
      <c r="AB73" s="35">
        <f>CEILING(CONVERT(($Q73+$R73+$T73+$Y73+$Z73)*IF(ISNUMBER(SEARCH("Fat Free",$B73)),0.0036,0.0012),"ml","tsp"),0.25)</f>
        <v>0.25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1297.362222222222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62.991763888888897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42.462249999999997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107.95548611111111</v>
      </c>
      <c r="AG73" s="38">
        <f>$AF73 / (_xlfn.XLOOKUP($K73,Specs!A:A,Specs!B:B,0))</f>
        <v>0.22823570002349072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5.2952013888888896</v>
      </c>
      <c r="AI73" s="54">
        <f>60* ($AC73 / _xlfn.XLOOKUP($K73,Specs!$A:$A,Specs!$B:$B,0))</f>
        <v>164.57026074700491</v>
      </c>
      <c r="AJ73" s="37">
        <f>60* (AD73 / _xlfn.XLOOKUP($K73,Specs!$A:$A,Specs!$B:$B,0))</f>
        <v>7.9904985905567303</v>
      </c>
      <c r="AK73" s="37">
        <f>60* (AF73 / _xlfn.XLOOKUP($K73,Specs!$A:$A,Specs!$B:$B,0))</f>
        <v>13.694142001409443</v>
      </c>
      <c r="AL73" s="37">
        <f>60* (AH73 / _xlfn.XLOOKUP($K73,Specs!$A:$A,Specs!$B:$B,0))</f>
        <v>0.67169573643410863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3.3018221388606275</v>
      </c>
      <c r="AN73" s="40">
        <f>(AM73+Specs!$R$2+Specs!$S$2)*Specs!$N$2</f>
        <v>7.3836442777212552</v>
      </c>
    </row>
    <row r="74" spans="1:40" x14ac:dyDescent="0.3">
      <c r="A74" s="96"/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0</v>
      </c>
    </row>
    <row r="75" spans="1:40" x14ac:dyDescent="0.3">
      <c r="A75" s="96" t="s">
        <v>811</v>
      </c>
      <c r="B75" s="1" t="s">
        <v>65</v>
      </c>
      <c r="C75" s="1" t="s">
        <v>75</v>
      </c>
      <c r="D75" s="1" t="s">
        <v>0</v>
      </c>
      <c r="E75" s="1" t="s">
        <v>5</v>
      </c>
      <c r="I75" s="1" t="s">
        <v>1</v>
      </c>
      <c r="K75" t="s">
        <v>341</v>
      </c>
      <c r="L75" t="s">
        <v>451</v>
      </c>
      <c r="M75" t="s">
        <v>10</v>
      </c>
      <c r="N75" t="s">
        <v>44</v>
      </c>
      <c r="O75" t="s">
        <v>449</v>
      </c>
      <c r="Q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Nutrition'!I:I,1)))*240))*0.66</f>
        <v>851.40000000000009</v>
      </c>
      <c r="R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Nutrition'!I:I,1)))*240))*0.33</f>
        <v>425.70000000000005</v>
      </c>
      <c r="S75" s="30">
        <f>Q75+R75</f>
        <v>1277.1000000000001</v>
      </c>
      <c r="T75" s="30">
        <f>_xlfn.XLOOKUP($L75,Specs!$D:$D,Specs!$E:$E,0)*15*_xlfn.XLOOKUP($K75,Specs!$A:$A,Specs!$C:$C,0)</f>
        <v>30</v>
      </c>
      <c r="U75" s="30">
        <f>_xlfn.XLOOKUP($M75,Specs!$D:$D,Specs!$E:$E,0)*15*_xlfn.XLOOKUP($K75,Specs!$A:$A,Specs!$C:$C,0)</f>
        <v>120</v>
      </c>
      <c r="V75" s="30">
        <f>( ((_xlfn.XLOOKUP($N75,Specs!$H:$H,Specs!$I:$I,0)*_xlfn.XLOOKUP($K75,Specs!$A:$A,Specs!$B:$B,0))/240) *_xlfn.XLOOKUP($F75,'Solid Mix In Nutrition'!A:A,'Solid Mix In Nutrition'!I:I,0)) *IF(AND(NOT($G75=0), COUNTA($G75)),0.33,1)</f>
        <v>0</v>
      </c>
      <c r="W75" s="30">
        <f>( ((_xlfn.XLOOKUP($N75,Specs!$H:$H,Specs!$I:$I,0)*_xlfn.XLOOKUP($K75,Specs!$A:$A,Specs!$B:$B,0))/240) *_xlfn.XLOOKUP($G75,'Solid Mix In Nutrition'!A:A,'Solid Mix In Nutrition'!I:I,0)) *IF(AND(NOT($G75=0), COUNTA($G75)),0.33,0)</f>
        <v>0</v>
      </c>
      <c r="X75" s="30">
        <f>( ((_xlfn.XLOOKUP($N75,Specs!$H:$H,Specs!$I:$I,0)*_xlfn.XLOOKUP($K75,Specs!$A:$A,Specs!$B:$B,0))/240) *_xlfn.XLOOKUP($G75,'Solid Mix In Nutrition'!$A:$A,'Solid Mix In Nutrition'!$I:$I,0)) *IF(AND(NOT($H75=0), COUNTA($H75)),0.33,0)</f>
        <v>0</v>
      </c>
      <c r="Y75" s="30">
        <f>_xlfn.XLOOKUP($O75,Specs!F:F,Specs!G:G,0)*_xlfn.XLOOKUP($I75,'Sweetener Mix In Nutrition'!A:A,'Sweetener Mix In Nutrition'!I:I,0)*_xlfn.XLOOKUP($K75,Specs!A:A,Specs!C:C,0)</f>
        <v>50</v>
      </c>
      <c r="Z75" s="30">
        <f>_xlfn.XLOOKUP($P75,Specs!F:F,Specs!G:G,0)*_xlfn.XLOOKUP($K75,'Sweetener Mix In Nutrition'!A:A,'Sweetener Mix In Nutrition'!I:I,0)*_xlfn.XLOOKUP($L75,Specs!A:A,Specs!C:C,0)</f>
        <v>0</v>
      </c>
      <c r="AA75" s="34">
        <f>($Q75+$R75+$T75+$Y75+$Z75)*IF(ISNUMBER(SEARCH("Fat Free",$B75)),0.0036,0.0012)</f>
        <v>1.62852</v>
      </c>
      <c r="AB75" s="35">
        <f>CEILING(CONVERT(($Q75+$R75+$T75+$Y75+$Z75)*IF(ISNUMBER(SEARCH("Fat Free",$B75)),0.0036,0.0012),"ml","tsp"),0.25)</f>
        <v>0.5</v>
      </c>
      <c r="AC75" s="57">
        <f>(($Q75 / 240) * _xlfn.XLOOKUP($B75,'Milk Types Nutrition Per Cup'!A:A,'Milk Types Nutrition Per Cup'!B:B,0)) +(($R75 / 240)  * _xlfn.XLOOKUP($C75,'Milk Types Nutrition Per Cup'!A:A,'Milk Types Nutrition Per Cup'!B:B,0)) +(($T75 / 15)  * _xlfn.XLOOKUP($D75,'Liquid Mix In Nutrition'!A:A,'Liquid Mix In Nutrition'!B:B,0))+(($U75 / 15)  * _xlfn.XLOOKUP($E75,'Liquid Mix In Nutrition'!A:A,'Liquid Mix In Nutrition'!B:B,0))+(($V75 /MAX(1, _xlfn.XLOOKUP($F75,'Solid Mix In Nutrition'!A:A,'Solid Mix In Nutrition'!I:I,1)))  * _xlfn.XLOOKUP($F75,'Solid Mix In Nutrition'!A:A,'Solid Mix In Nutrition'!B:B,0))+(($W75 / MAX(1, _xlfn.XLOOKUP($G75,'Solid Mix In Nutrition'!A:A,'Solid Mix In Nutrition'!I:I,1))))+(($Y75 / 100)  * _xlfn.XLOOKUP($I75,'Sweetener Mix In Nutrition'!A:A,'Sweetener Mix In Nutrition'!B:B,0))+(($Z75 / 100)  * _xlfn.XLOOKUP($J75,'Sweetener Mix In Nutrition'!A:A,'Sweetener Mix In Nutrition'!B:B,0))</f>
        <v>2098.6999999999998</v>
      </c>
      <c r="AD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Nutrition'!E:E,0))+(($V75 / MAX(1, _xlfn.XLOOKUP($F75,'Solid Mix In Nutrition'!A:A,'Solid Mix In Nutrition'!I:I,1)))  * _xlfn.XLOOKUP($F75,'Solid Mix In Nutrition'!A:A,'Solid Mix In Nutrition'!E:E,0))+(($W75 / MAX(1, _xlfn.XLOOKUP($G75,'Solid Mix In Nutrition'!A:A,'Solid Mix In Nutrition'!I:I,1)))  * _xlfn.XLOOKUP($G75,'Solid Mix In Nutrition'!A:A,'Solid Mix In Nutrition'!G:G,0))+(($Y75 / 100)  * _xlfn.XLOOKUP($I75,'Sweetener Mix In Nutrition'!A:A,'Sweetener Mix In Nutrition'!E:E,0))+(($Z75 / 100)  * _xlfn.XLOOKUP($J75,'Sweetener Mix In Nutrition'!A:A,'Sweetener Mix In Nutrition'!E:E,0))</f>
        <v>140.38</v>
      </c>
      <c r="AE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Nutrition'!E:E,0))+(($Y75 / 100)  * _xlfn.XLOOKUP($I75,'Sweetener Mix In Nutrition'!A:A,'Sweetener Mix In Nutrition'!E:E,0))+(($Z75 / 100)  * _xlfn.XLOOKUP($J75,'Sweetener Mix In Nutrition'!A:A,'Sweetener Mix In Nutrition'!E:E,0))</f>
        <v>140.38</v>
      </c>
      <c r="AF75" s="37">
        <f>(($Q75 / 240) * _xlfn.XLOOKUP($B75,'Milk Types Nutrition Per Cup'!A:A,'Milk Types Nutrition Per Cup'!C:C,0)) +(($R75 / 240)  * _xlfn.XLOOKUP($C75,'Milk Types Nutrition Per Cup'!A:A,'Milk Types Nutrition Per Cup'!C:C,0)) +(($T75 / 15)  * _xlfn.XLOOKUP($D75,'Liquid Mix In Nutrition'!A:A,'Liquid Mix In Nutrition'!C:C,0))+(($U75 / 15)  * _xlfn.XLOOKUP($E75,'Liquid Mix In Nutrition'!A:A,'Liquid Mix In Nutrition'!C:C,0))+(($V75 / MAX(1, _xlfn.XLOOKUP($F75,'Solid Mix In Nutrition'!A:A,'Solid Mix In Nutrition'!I:I,1)))  * _xlfn.XLOOKUP($F75,'Solid Mix In Nutrition'!A:A,'Solid Mix In Nutrition'!C:C,0))+(($W75 / MAX(1, _xlfn.XLOOKUP($G75,'Solid Mix In Nutrition'!A:A,'Solid Mix In Nutrition'!I:I,1)))  * _xlfn.XLOOKUP($G75,'Solid Mix In Nutrition'!A:A,'Solid Mix In Nutrition'!C:C,0))+(($Y75 / 100)  * _xlfn.XLOOKUP($I75,'Sweetener Mix In Nutrition'!A:A,'Sweetener Mix In Nutrition'!C:C,0))+(($Z75 / 100)  * _xlfn.XLOOKUP($J75,'Sweetener Mix In Nutrition'!A:A,'Sweetener Mix In Nutrition'!C:C,0))</f>
        <v>143.33000000000001</v>
      </c>
      <c r="AG75" s="38">
        <f>$AF75 / (_xlfn.XLOOKUP($K75,Specs!A:A,Specs!B:B,0))</f>
        <v>0.10858333333333334</v>
      </c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32.380000000000003</v>
      </c>
      <c r="AI75" s="54">
        <f>60* ($AC75 / _xlfn.XLOOKUP($K75,Specs!$A:$A,Specs!$B:$B,0))</f>
        <v>95.395454545454541</v>
      </c>
      <c r="AJ75" s="37">
        <f>60* (AD75 / _xlfn.XLOOKUP($K75,Specs!$A:$A,Specs!$B:$B,0))</f>
        <v>6.3809090909090909</v>
      </c>
      <c r="AK75" s="37">
        <f>60* (AF75 / _xlfn.XLOOKUP($K75,Specs!$A:$A,Specs!$B:$B,0))</f>
        <v>6.5150000000000006</v>
      </c>
      <c r="AL75" s="37">
        <f>60* (AH75 / _xlfn.XLOOKUP($K75,Specs!$A:$A,Specs!$B:$B,0))</f>
        <v>1.4718181818181819</v>
      </c>
      <c r="AM75" s="39">
        <f>(($Q75 / 240) * _xlfn.XLOOKUP($B75,'Milk Types Nutrition Per Cup'!A:A,'Milk Types Nutrition Per Cup'!F:F,0)) +(($R75 / 240)  * _xlfn.XLOOKUP($C75,'Milk Types Nutrition Per Cup'!A:A,'Milk Types Nutrition Per Cup'!F:F,0)) +(($T75 / 15)  * _xlfn.XLOOKUP($D75,'Liquid Mix In Nutrition'!A:A,'Liquid Mix In Nutrition'!F:F,0))+(($U75 / 15)  * _xlfn.XLOOKUP($E75,'Liquid Mix In Nutrition'!A:A,'Liquid Mix In Nutrition'!F:F,0))+(($V75 / MAX(1, _xlfn.XLOOKUP($F75,'Solid Mix In Nutrition'!A:A,'Solid Mix In Nutrition'!I:I,1)))  * _xlfn.XLOOKUP($F75,'Solid Mix In Nutrition'!A:A,'Solid Mix In Nutrition'!F:F,0))+(($W75 / MAX(1, _xlfn.XLOOKUP($G75,'Solid Mix In Nutrition'!A:A,'Solid Mix In Nutrition'!I:I,1)))  * _xlfn.XLOOKUP($G75,'Solid Mix In Nutrition'!A:A,'Solid Mix In Nutrition'!F:F,0))+(($Y75 / 100)  * _xlfn.XLOOKUP($I75,'Sweetener Mix In Nutrition'!A:A,'Sweetener Mix In Nutrition'!F:F,0))+(($Z75 / 100)  * _xlfn.XLOOKUP($J75,'Sweetener Mix In Nutrition'!A:A,'Sweetener Mix In Nutrition'!F:F,0))</f>
        <v>5.1259018691072065</v>
      </c>
      <c r="AN75" s="40">
        <f>(AM75+Specs!$R$2+Specs!$S$2)*Specs!$N$2</f>
        <v>11.031803738214412</v>
      </c>
    </row>
    <row r="77" spans="1:40" x14ac:dyDescent="0.3">
      <c r="A77" s="115" t="s">
        <v>813</v>
      </c>
      <c r="B77" s="1" t="s">
        <v>62</v>
      </c>
      <c r="C77" s="1" t="s">
        <v>65</v>
      </c>
      <c r="D77" s="1" t="s">
        <v>98</v>
      </c>
      <c r="E77" s="1" t="s">
        <v>419</v>
      </c>
      <c r="F77" s="1" t="s">
        <v>267</v>
      </c>
      <c r="I77" s="1" t="s">
        <v>137</v>
      </c>
      <c r="K77" t="s">
        <v>4</v>
      </c>
      <c r="L77" t="s">
        <v>451</v>
      </c>
      <c r="M77" t="s">
        <v>176</v>
      </c>
      <c r="N77" t="s">
        <v>157</v>
      </c>
      <c r="O77" t="s">
        <v>175</v>
      </c>
      <c r="Q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Nutrition'!I:I,1)))*240))*0.66</f>
        <v>227.94750000000002</v>
      </c>
      <c r="R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Nutrition'!I:I,1)))*240))*0.33</f>
        <v>113.97375000000001</v>
      </c>
      <c r="S77" s="30">
        <f>Q77+R77</f>
        <v>341.92125000000004</v>
      </c>
      <c r="T77" s="30">
        <f>_xlfn.XLOOKUP($L77,Specs!$D:$D,Specs!$E:$E,0)*15*_xlfn.XLOOKUP($K77,Specs!$A:$A,Specs!$C:$C,0)</f>
        <v>7.5</v>
      </c>
      <c r="U77" s="30">
        <f>_xlfn.XLOOKUP($M77,Specs!$D:$D,Specs!$E:$E,0)*15*_xlfn.XLOOKUP($K77,Specs!$A:$A,Specs!$C:$C,0)</f>
        <v>1.875</v>
      </c>
      <c r="V77" s="30">
        <f>( ((_xlfn.XLOOKUP($N77,Specs!$H:$H,Specs!$I:$I,0)*_xlfn.XLOOKUP($K77,Specs!$A:$A,Specs!$B:$B,0))/240) *_xlfn.XLOOKUP($F77,'Solid Mix In Nutrition'!A:A,'Solid Mix In Nutrition'!I:I,0)) *IF(AND(NOT($G77=0), COUNTA($G77)),0.33,1)</f>
        <v>157.66666666666669</v>
      </c>
      <c r="W77" s="30">
        <f>( ((_xlfn.XLOOKUP($N77,Specs!$H:$H,Specs!$I:$I,0)*_xlfn.XLOOKUP($K77,Specs!$A:$A,Specs!$B:$B,0))/240) *_xlfn.XLOOKUP($G77,'Solid Mix In Nutrition'!A:A,'Solid Mix In Nutrition'!I:I,0)) *IF(AND(NOT($G77=0), COUNTA($G77)),0.33,0)</f>
        <v>0</v>
      </c>
      <c r="X77" s="30">
        <f>( ((_xlfn.XLOOKUP($N77,Specs!$H:$H,Specs!$I:$I,0)*_xlfn.XLOOKUP($K77,Specs!$A:$A,Specs!$B:$B,0))/240) *_xlfn.XLOOKUP($G77,'Solid Mix In Nutrition'!$A:$A,'Solid Mix In Nutrition'!$I:$I,0)) *IF(AND(NOT($H77=0), COUNTA($H77)),0.33,0)</f>
        <v>0</v>
      </c>
      <c r="Y77" s="30">
        <f>_xlfn.XLOOKUP($O77,Specs!F:F,Specs!G:G,0)*_xlfn.XLOOKUP($I77,'Sweetener Mix In Nutrition'!A:A,'Sweetener Mix In Nutrition'!I:I,0)*_xlfn.XLOOKUP($K77,Specs!A:A,Specs!C:C,0)</f>
        <v>100</v>
      </c>
      <c r="Z77" s="30">
        <f>_xlfn.XLOOKUP($P77,Specs!F:F,Specs!G:G,0)*_xlfn.XLOOKUP($K77,'Sweetener Mix In Nutrition'!A:A,'Sweetener Mix In Nutrition'!I:I,0)*_xlfn.XLOOKUP($L77,Specs!A:A,Specs!C:C,0)</f>
        <v>0</v>
      </c>
      <c r="AA77" s="34">
        <f>($Q77+$R77+$T77+$Y77+$Z77)*IF(ISNUMBER(SEARCH("Fat Free",$B77)),0.0036,0.0012)</f>
        <v>0.53930549999999999</v>
      </c>
      <c r="AB77" s="35">
        <f>CEILING(CONVERT(($Q77+$R77+$T77+$Y77+$Z77)*IF(ISNUMBER(SEARCH("Fat Free",$B77)),0.0036,0.0012),"ml","tsp"),0.25)</f>
        <v>0.25</v>
      </c>
      <c r="AC77" s="57">
        <f>(($Q77 / 240) * _xlfn.XLOOKUP($B77,'Milk Types Nutrition Per Cup'!A:A,'Milk Types Nutrition Per Cup'!B:B,0)) +(($R77 / 240)  * _xlfn.XLOOKUP($C77,'Milk Types Nutrition Per Cup'!A:A,'Milk Types Nutrition Per Cup'!B:B,0)) +(($T77 / 15)  * _xlfn.XLOOKUP($D77,'Liquid Mix In Nutrition'!A:A,'Liquid Mix In Nutrition'!B:B,0))+(($U77 / 15)  * _xlfn.XLOOKUP($E77,'Liquid Mix In Nutrition'!A:A,'Liquid Mix In Nutrition'!B:B,0))+(($V77 /MAX(1, _xlfn.XLOOKUP($F77,'Solid Mix In Nutrition'!A:A,'Solid Mix In Nutrition'!I:I,1)))  * _xlfn.XLOOKUP($F77,'Solid Mix In Nutrition'!A:A,'Solid Mix In Nutrition'!B:B,0))+(($W77 / MAX(1, _xlfn.XLOOKUP($G77,'Solid Mix In Nutrition'!A:A,'Solid Mix In Nutrition'!I:I,1))))+(($Y77 / 100)  * _xlfn.XLOOKUP($I77,'Sweetener Mix In Nutrition'!A:A,'Sweetener Mix In Nutrition'!B:B,0))+(($Z77 / 100)  * _xlfn.XLOOKUP($J77,'Sweetener Mix In Nutrition'!A:A,'Sweetener Mix In Nutrition'!B:B,0))</f>
        <v>1939.9200727187429</v>
      </c>
      <c r="AD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Nutrition'!E:E,0))+(($V77 / MAX(1, _xlfn.XLOOKUP($F77,'Solid Mix In Nutrition'!A:A,'Solid Mix In Nutrition'!I:I,1)))  * _xlfn.XLOOKUP($F77,'Solid Mix In Nutrition'!A:A,'Solid Mix In Nutrition'!E:E,0))+(($W77 / MAX(1, _xlfn.XLOOKUP($G77,'Solid Mix In Nutrition'!A:A,'Solid Mix In Nutrition'!I:I,1)))  * _xlfn.XLOOKUP($G77,'Solid Mix In Nutrition'!A:A,'Solid Mix In Nutrition'!G:G,0))+(($Y77 / 100)  * _xlfn.XLOOKUP($I77,'Sweetener Mix In Nutrition'!A:A,'Sweetener Mix In Nutrition'!E:E,0))+(($Z77 / 100)  * _xlfn.XLOOKUP($J77,'Sweetener Mix In Nutrition'!A:A,'Sweetener Mix In Nutrition'!E:E,0))</f>
        <v>146.35786649659866</v>
      </c>
      <c r="AE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Nutrition'!E:E,0))+(($Y77 / 100)  * _xlfn.XLOOKUP($I77,'Sweetener Mix In Nutrition'!A:A,'Sweetener Mix In Nutrition'!E:E,0))+(($Z77 / 100)  * _xlfn.XLOOKUP($J77,'Sweetener Mix In Nutrition'!A:A,'Sweetener Mix In Nutrition'!E:E,0))</f>
        <v>100.924125</v>
      </c>
      <c r="AF77" s="37">
        <f>(($Q77 / 240) * _xlfn.XLOOKUP($B77,'Milk Types Nutrition Per Cup'!A:A,'Milk Types Nutrition Per Cup'!C:C,0)) +(($R77 / 240)  * _xlfn.XLOOKUP($C77,'Milk Types Nutrition Per Cup'!A:A,'Milk Types Nutrition Per Cup'!C:C,0)) +(($T77 / 15)  * _xlfn.XLOOKUP($D77,'Liquid Mix In Nutrition'!A:A,'Liquid Mix In Nutrition'!C:C,0))+(($U77 / 15)  * _xlfn.XLOOKUP($E77,'Liquid Mix In Nutrition'!A:A,'Liquid Mix In Nutrition'!C:C,0))+(($V77 / MAX(1, _xlfn.XLOOKUP($F77,'Solid Mix In Nutrition'!A:A,'Solid Mix In Nutrition'!I:I,1)))  * _xlfn.XLOOKUP($F77,'Solid Mix In Nutrition'!A:A,'Solid Mix In Nutrition'!C:C,0))+(($W77 / MAX(1, _xlfn.XLOOKUP($G77,'Solid Mix In Nutrition'!A:A,'Solid Mix In Nutrition'!I:I,1)))  * _xlfn.XLOOKUP($G77,'Solid Mix In Nutrition'!A:A,'Solid Mix In Nutrition'!C:C,0))+(($Y77 / 100)  * _xlfn.XLOOKUP($I77,'Sweetener Mix In Nutrition'!A:A,'Sweetener Mix In Nutrition'!C:C,0))+(($Z77 / 100)  * _xlfn.XLOOKUP($J77,'Sweetener Mix In Nutrition'!A:A,'Sweetener Mix In Nutrition'!C:C,0))</f>
        <v>125.66163301958716</v>
      </c>
      <c r="AG77" s="38">
        <f>$AF77 / (_xlfn.XLOOKUP($K77,Specs!A:A,Specs!B:B,0))</f>
        <v>0.26566941441773184</v>
      </c>
      <c r="AH77" s="37">
        <f>(($Q77 / 240) * _xlfn.XLOOKUP($B77,'Milk Types Nutrition Per Cup'!A:A,'Milk Types Nutrition Per Cup'!D:D,0)) +(($R77 / 240)  * _xlfn.XLOOKUP($C77,'Milk Types Nutrition Per Cup'!A:A,'Milk Types Nutrition Per Cup'!D:D,0)) +(($T77 / 15)  * _xlfn.XLOOKUP($D77,'Liquid Mix In Nutrition'!A:A,'Liquid Mix In Nutrition'!D:D,0))+(($U77 / 15)  * _xlfn.XLOOKUP($E77,'Liquid Mix In Nutrition'!A:A,'Liquid Mix In Nutrition'!D:D,0))+(($V77 / MAX(1, _xlfn.XLOOKUP($F77,'Solid Mix In Nutrition'!A:A,'Solid Mix In Nutrition'!I:I,1)))  * _xlfn.XLOOKUP($F77,'Solid Mix In Nutrition'!A:A,'Solid Mix In Nutrition'!D:D,0))+(($W77 / MAX(1, _xlfn.XLOOKUP($G77,'Solid Mix In Nutrition'!A:A,'Solid Mix In Nutrition'!I:I,1)))  * _xlfn.XLOOKUP($G77,'Solid Mix In Nutrition'!A:A,'Solid Mix In Nutrition'!D:D,0))+(($Y77 / 100)  * _xlfn.XLOOKUP($I77,'Sweetener Mix In Nutrition'!A:A,'Sweetener Mix In Nutrition'!D:D,0))+(($Z77 / 100)  * _xlfn.XLOOKUP($J77,'Sweetener Mix In Nutrition'!A:A,'Sweetener Mix In Nutrition'!D:D,0))</f>
        <v>14.390863212526391</v>
      </c>
      <c r="AI77" s="54">
        <f>60* ($AC77 / _xlfn.XLOOKUP($K77,Specs!$A:$A,Specs!$B:$B,0))</f>
        <v>246.07865615882574</v>
      </c>
      <c r="AJ77" s="37">
        <f>60* (AD77 / _xlfn.XLOOKUP($K77,Specs!$A:$A,Specs!$B:$B,0))</f>
        <v>18.565479893860292</v>
      </c>
      <c r="AK77" s="37">
        <f>60* (AF77 / _xlfn.XLOOKUP($K77,Specs!$A:$A,Specs!$B:$B,0))</f>
        <v>15.94016486506391</v>
      </c>
      <c r="AL77" s="37">
        <f>60* (AH77 / _xlfn.XLOOKUP($K77,Specs!$A:$A,Specs!$B:$B,0))</f>
        <v>1.825479477276075</v>
      </c>
      <c r="AM77" s="39">
        <f>(($Q77 / 240) * _xlfn.XLOOKUP($B77,'Milk Types Nutrition Per Cup'!A:A,'Milk Types Nutrition Per Cup'!F:F,0)) +(($R77 / 240)  * _xlfn.XLOOKUP($C77,'Milk Types Nutrition Per Cup'!A:A,'Milk Types Nutrition Per Cup'!F:F,0)) +(($T77 / 15)  * _xlfn.XLOOKUP($D77,'Liquid Mix In Nutrition'!A:A,'Liquid Mix In Nutrition'!F:F,0))+(($U77 / 15)  * _xlfn.XLOOKUP($E77,'Liquid Mix In Nutrition'!A:A,'Liquid Mix In Nutrition'!F:F,0))+(($V77 / MAX(1, _xlfn.XLOOKUP($F77,'Solid Mix In Nutrition'!A:A,'Solid Mix In Nutrition'!I:I,1)))  * _xlfn.XLOOKUP($F77,'Solid Mix In Nutrition'!A:A,'Solid Mix In Nutrition'!F:F,0))+(($W77 / MAX(1, _xlfn.XLOOKUP($G77,'Solid Mix In Nutrition'!A:A,'Solid Mix In Nutrition'!I:I,1)))  * _xlfn.XLOOKUP($G77,'Solid Mix In Nutrition'!A:A,'Solid Mix In Nutrition'!F:F,0))+(($Y77 / 100)  * _xlfn.XLOOKUP($I77,'Sweetener Mix In Nutrition'!A:A,'Sweetener Mix In Nutrition'!F:F,0))+(($Z77 / 100)  * _xlfn.XLOOKUP($J77,'Sweetener Mix In Nutrition'!A:A,'Sweetener Mix In Nutrition'!F:F,0))</f>
        <v>3.1866151394539206</v>
      </c>
      <c r="AN77" s="40">
        <f>(AM77+Specs!$R$2+Specs!$S$2)*Specs!$N$2</f>
        <v>7.1532302789078415</v>
      </c>
    </row>
    <row r="78" spans="1:40" x14ac:dyDescent="0.3">
      <c r="A78" s="115" t="s">
        <v>814</v>
      </c>
      <c r="B78" s="1" t="s">
        <v>637</v>
      </c>
      <c r="C78" s="1" t="s">
        <v>62</v>
      </c>
      <c r="D78" s="1" t="s">
        <v>0</v>
      </c>
      <c r="E78" s="1" t="s">
        <v>84</v>
      </c>
      <c r="I78" s="1" t="s">
        <v>1</v>
      </c>
      <c r="J78" s="1" t="s">
        <v>2</v>
      </c>
      <c r="K78" t="s">
        <v>341</v>
      </c>
      <c r="L78" t="s">
        <v>451</v>
      </c>
      <c r="M78" t="s">
        <v>451</v>
      </c>
      <c r="N78" t="s">
        <v>44</v>
      </c>
      <c r="O78" t="s">
        <v>449</v>
      </c>
      <c r="P78" t="s">
        <v>449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831.6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415.8</v>
      </c>
      <c r="S78" s="30">
        <f>Q78+R78</f>
        <v>1247.4000000000001</v>
      </c>
      <c r="T78" s="30">
        <f>_xlfn.XLOOKUP($L78,Specs!$D:$D,Specs!$E:$E,0)*15*_xlfn.XLOOKUP($K78,Specs!$A:$A,Specs!$C:$C,0)</f>
        <v>30</v>
      </c>
      <c r="U78" s="30">
        <f>_xlfn.XLOOKUP($M78,Specs!$D:$D,Specs!$E:$E,0)*15*_xlfn.XLOOKUP($K78,Specs!$A:$A,Specs!$C:$C,0)</f>
        <v>30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0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50</v>
      </c>
      <c r="Z78" s="30">
        <f>_xlfn.XLOOKUP($P78,Specs!F:F,Specs!G:G,0)*_xlfn.XLOOKUP($J78,'Sweetener Mix In Nutrition'!A:A,'Sweetener Mix In Nutrition'!I:I,0)*_xlfn.XLOOKUP($K78,Specs!A:A,Specs!C:C,0)</f>
        <v>50</v>
      </c>
      <c r="AA78" s="34">
        <f>($Q78+$R78+$T78+$Y78+$Z78)*IF(ISNUMBER(SEARCH("Fat Free",$B78)),0.0036,0.0012)</f>
        <v>1.6528799999999999</v>
      </c>
      <c r="AB78" s="35">
        <f>CEILING(CONVERT(($Q78+$R78+$T78+$Y78+$Z78)*IF(ISNUMBER(SEARCH("Fat Free",$B78)),0.0036,0.0012),"ml","tsp"),0.25)</f>
        <v>0.5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3273.4000000000005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235.81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235.81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228.69000000000003</v>
      </c>
      <c r="AG78" s="38">
        <f>$AF78 / (_xlfn.XLOOKUP($K78,Specs!A:A,Specs!B:B,0))</f>
        <v>0.17325000000000002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41.580000000000005</v>
      </c>
      <c r="AI78" s="54">
        <f>60* ($AC78 / _xlfn.XLOOKUP($K78,Specs!$A:$A,Specs!$B:$B,0))</f>
        <v>148.79090909090911</v>
      </c>
      <c r="AJ78" s="37">
        <f>60* (AD78 / _xlfn.XLOOKUP($K78,Specs!$A:$A,Specs!$B:$B,0))</f>
        <v>10.718636363636364</v>
      </c>
      <c r="AK78" s="37">
        <f>60* (AF78 / _xlfn.XLOOKUP($K78,Specs!$A:$A,Specs!$B:$B,0))</f>
        <v>10.395000000000001</v>
      </c>
      <c r="AL78" s="37">
        <f>60* (AH78 / _xlfn.XLOOKUP($K78,Specs!$A:$A,Specs!$B:$B,0))</f>
        <v>1.8900000000000003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10.771124445391861</v>
      </c>
      <c r="AN78" s="40">
        <f>(AM78+Specs!$R$2+Specs!$S$2)*Specs!$N$2</f>
        <v>22.322248890783719</v>
      </c>
    </row>
    <row r="79" spans="1:40" x14ac:dyDescent="0.3">
      <c r="A79" s="115" t="s">
        <v>815</v>
      </c>
      <c r="B79" s="1" t="s">
        <v>62</v>
      </c>
      <c r="C79" s="1" t="s">
        <v>65</v>
      </c>
      <c r="D79" s="1" t="s">
        <v>517</v>
      </c>
      <c r="E79" s="1" t="s">
        <v>817</v>
      </c>
      <c r="F79" s="1" t="s">
        <v>267</v>
      </c>
      <c r="I79" s="1" t="s">
        <v>137</v>
      </c>
      <c r="K79" t="s">
        <v>4</v>
      </c>
      <c r="L79" t="s">
        <v>452</v>
      </c>
      <c r="M79" t="s">
        <v>451</v>
      </c>
      <c r="N79" t="s">
        <v>44</v>
      </c>
      <c r="O79" t="s">
        <v>175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267.63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133.815</v>
      </c>
      <c r="S79" s="30">
        <f>Q79+R79</f>
        <v>401.44499999999999</v>
      </c>
      <c r="T79" s="30">
        <f>_xlfn.XLOOKUP($L79,Specs!$D:$D,Specs!$E:$E,0)*15*_xlfn.XLOOKUP($K79,Specs!$A:$A,Specs!$C:$C,0)</f>
        <v>60</v>
      </c>
      <c r="U79" s="30">
        <f>_xlfn.XLOOKUP($M79,Specs!$D:$D,Specs!$E:$E,0)*15*_xlfn.XLOOKUP($K79,Specs!$A:$A,Specs!$C:$C,0)</f>
        <v>7.5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100</v>
      </c>
      <c r="Z79" s="30">
        <f>_xlfn.XLOOKUP($P79,Specs!F:F,Specs!G:G,0)*_xlfn.XLOOKUP($K79,'Sweetener Mix In Nutrition'!A:A,'Sweetener Mix In Nutrition'!I:I,0)*_xlfn.XLOOKUP($L79,Specs!A:A,Specs!C:C,0)</f>
        <v>0</v>
      </c>
      <c r="AA79" s="34">
        <f>($Q79+$R79+$T79+$Y79+$Z79)*IF(ISNUMBER(SEARCH("Fat Free",$B79)),0.0036,0.0012)</f>
        <v>0.67373399999999983</v>
      </c>
      <c r="AB79" s="35">
        <f>CEILING(CONVERT(($Q79+$R79+$T79+$Y79+$Z79)*IF(ISNUMBER(SEARCH("Fat Free",$B79)),0.0036,0.0012),"ml","tsp"),0.25)</f>
        <v>0.25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1587.52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136.09734210526318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136.09734210526318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122.66374999999999</v>
      </c>
      <c r="AG79" s="38">
        <f>$AF79 / (_xlfn.XLOOKUP($K79,Specs!A:A,Specs!B:B,0))</f>
        <v>0.2593313953488372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4.4604999999999997</v>
      </c>
      <c r="AI79" s="54">
        <f>60* ($AC79 / _xlfn.XLOOKUP($K79,Specs!$A:$A,Specs!$B:$B,0))</f>
        <v>201.37674418604652</v>
      </c>
      <c r="AJ79" s="37">
        <f>60* (AD79 / _xlfn.XLOOKUP($K79,Specs!$A:$A,Specs!$B:$B,0))</f>
        <v>17.263933459441418</v>
      </c>
      <c r="AK79" s="37">
        <f>60* (AF79 / _xlfn.XLOOKUP($K79,Specs!$A:$A,Specs!$B:$B,0))</f>
        <v>15.559883720930232</v>
      </c>
      <c r="AL79" s="37">
        <f>60* (AH79 / _xlfn.XLOOKUP($K79,Specs!$A:$A,Specs!$B:$B,0))</f>
        <v>0.56581395348837205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2.6527651254144025</v>
      </c>
      <c r="AN79" s="40">
        <f>(AM79+Specs!$R$2+Specs!$S$2)*Specs!$N$2</f>
        <v>6.0855302508288052</v>
      </c>
    </row>
    <row r="80" spans="1:40" x14ac:dyDescent="0.3">
      <c r="A80" s="115" t="s">
        <v>816</v>
      </c>
      <c r="B80" s="1" t="s">
        <v>62</v>
      </c>
      <c r="C80" s="1" t="s">
        <v>65</v>
      </c>
      <c r="D80" s="1" t="s">
        <v>0</v>
      </c>
      <c r="E80" s="1" t="s">
        <v>484</v>
      </c>
      <c r="I80" s="1" t="s">
        <v>1</v>
      </c>
      <c r="K80" t="s">
        <v>4</v>
      </c>
      <c r="L80" t="s">
        <v>451</v>
      </c>
      <c r="M80" t="s">
        <v>451</v>
      </c>
      <c r="N80" t="s">
        <v>44</v>
      </c>
      <c r="O80" t="s">
        <v>159</v>
      </c>
      <c r="P80" t="s">
        <v>449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302.28000000000003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151.14000000000001</v>
      </c>
      <c r="S80" s="30">
        <f>Q80+R80</f>
        <v>453.42000000000007</v>
      </c>
      <c r="T80" s="30">
        <f>_xlfn.XLOOKUP($L80,Specs!$D:$D,Specs!$E:$E,0)*15*_xlfn.XLOOKUP($K80,Specs!$A:$A,Specs!$C:$C,0)</f>
        <v>7.5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25</v>
      </c>
      <c r="Z80" s="30">
        <f>_xlfn.XLOOKUP($P80,Specs!F:F,Specs!G:G,0)*_xlfn.XLOOKUP($J80,'Sweetener Mix In Nutrition'!A:A,'Sweetener Mix In Nutrition'!I:I,0)*_xlfn.XLOOKUP($K80,Specs!A:A,Specs!C:C,0)</f>
        <v>0</v>
      </c>
      <c r="AA80" s="34">
        <f>($Q80+$R80+$T80+$Y80+$Z80)*IF(ISNUMBER(SEARCH("Fat Free",$B80)),0.0036,0.0012)</f>
        <v>0.58310400000000007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1328.3700000000001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34.537999999999997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34.537999999999997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138.54500000000002</v>
      </c>
      <c r="AG80" s="38">
        <f>$AF80 / (_xlfn.XLOOKUP($K80,Specs!A:A,Specs!B:B,0))</f>
        <v>0.29290697674418609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5.0380000000000003</v>
      </c>
      <c r="AI80" s="54">
        <f>60* ($AC80 / _xlfn.XLOOKUP($K80,Specs!$A:$A,Specs!$B:$B,0))</f>
        <v>168.5035940803383</v>
      </c>
      <c r="AJ80" s="37">
        <f>60* (AD80 / _xlfn.XLOOKUP($K80,Specs!$A:$A,Specs!$B:$B,0))</f>
        <v>4.381141649048625</v>
      </c>
      <c r="AK80" s="37">
        <f>60* (AF80 / _xlfn.XLOOKUP($K80,Specs!$A:$A,Specs!$B:$B,0))</f>
        <v>17.574418604651164</v>
      </c>
      <c r="AL80" s="37">
        <f>60* (AH80 / _xlfn.XLOOKUP($K80,Specs!$A:$A,Specs!$B:$B,0))</f>
        <v>0.6390697674418605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2.2312864581954672</v>
      </c>
      <c r="AN80" s="40">
        <f>(AM80+Specs!$R$2+Specs!$S$2)*Specs!$N$2</f>
        <v>5.2425729163909347</v>
      </c>
    </row>
    <row r="81" spans="1:40" x14ac:dyDescent="0.3"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0</v>
      </c>
    </row>
    <row r="82" spans="1:40" x14ac:dyDescent="0.3">
      <c r="A82" s="115" t="s">
        <v>822</v>
      </c>
      <c r="B82" s="1" t="s">
        <v>62</v>
      </c>
      <c r="C82" s="1" t="s">
        <v>65</v>
      </c>
      <c r="D82" s="1" t="s">
        <v>0</v>
      </c>
      <c r="E82" s="1" t="s">
        <v>821</v>
      </c>
      <c r="F82" s="1" t="s">
        <v>102</v>
      </c>
      <c r="G82" s="1" t="s">
        <v>124</v>
      </c>
      <c r="I82" s="1" t="s">
        <v>1</v>
      </c>
      <c r="K82" t="s">
        <v>4</v>
      </c>
      <c r="L82" t="s">
        <v>451</v>
      </c>
      <c r="M82" t="s">
        <v>10</v>
      </c>
      <c r="N82" t="s">
        <v>157</v>
      </c>
      <c r="O82" t="s">
        <v>449</v>
      </c>
      <c r="P82" t="s">
        <v>44</v>
      </c>
      <c r="Q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Nutrition'!I:I,1)))*240))*0.66</f>
        <v>235.92030000000003</v>
      </c>
      <c r="R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Nutrition'!I:I,1)))*240))*0.33</f>
        <v>117.96015000000001</v>
      </c>
      <c r="S82" s="30">
        <f>Q82+R82</f>
        <v>353.88045000000005</v>
      </c>
      <c r="T82" s="30">
        <f>_xlfn.XLOOKUP($L82,Specs!$D:$D,Specs!$E:$E,0)*15*_xlfn.XLOOKUP($K82,Specs!$A:$A,Specs!$C:$C,0)</f>
        <v>7.5</v>
      </c>
      <c r="U82" s="30">
        <f>_xlfn.XLOOKUP($M82,Specs!$D:$D,Specs!$E:$E,0)*15*_xlfn.XLOOKUP($K82,Specs!$A:$A,Specs!$C:$C,0)</f>
        <v>30</v>
      </c>
      <c r="V82" s="30">
        <f>( ((_xlfn.XLOOKUP($N82,Specs!$H:$H,Specs!$I:$I,0)*_xlfn.XLOOKUP($K82,Specs!$A:$A,Specs!$B:$B,0))/240) *_xlfn.XLOOKUP($F82,'Solid Mix In Nutrition'!A:A,'Solid Mix In Nutrition'!I:I,0)) *IF(AND(NOT($G82=0), COUNTA($G82)),0.33,1)</f>
        <v>26.990562500000003</v>
      </c>
      <c r="W82" s="30">
        <f>( ((_xlfn.XLOOKUP($N82,Specs!$H:$H,Specs!$I:$I,0)*_xlfn.XLOOKUP($K82,Specs!$A:$A,Specs!$B:$B,0))/240) *_xlfn.XLOOKUP($G82,'Solid Mix In Nutrition'!A:A,'Solid Mix In Nutrition'!I:I,0)) *IF(AND(NOT($G82=0), COUNTA($G82)),0.33,0)</f>
        <v>30.892812500000005</v>
      </c>
      <c r="X82" s="30">
        <f>( ((_xlfn.XLOOKUP($N82,Specs!$H:$H,Specs!$I:$I,0)*_xlfn.XLOOKUP($K82,Specs!$A:$A,Specs!$B:$B,0))/240) *_xlfn.XLOOKUP($G82,'Solid Mix In Nutrition'!$A:$A,'Solid Mix In Nutrition'!$I:$I,0)) *IF(AND(NOT($H82=0), COUNTA($H82)),0.33,0)</f>
        <v>0</v>
      </c>
      <c r="Y82" s="30">
        <f>_xlfn.XLOOKUP($O82,Specs!F:F,Specs!G:G,0)*_xlfn.XLOOKUP($I82,'Sweetener Mix In Nutrition'!A:A,'Sweetener Mix In Nutrition'!I:I,0)*_xlfn.XLOOKUP($K82,Specs!A:A,Specs!C:C,0)</f>
        <v>12.5</v>
      </c>
      <c r="Z82" s="30">
        <f>_xlfn.XLOOKUP($P82,Specs!F:F,Specs!G:G,0)*_xlfn.XLOOKUP($J82,'Sweetener Mix In Nutrition'!A:A,'Sweetener Mix In Nutrition'!I:I,0)*_xlfn.XLOOKUP($K82,Specs!A:A,Specs!C:C,0)</f>
        <v>0</v>
      </c>
      <c r="AA82" s="34">
        <f>($Q82+$R82+$T82+$Y82+$Z82)*IF(ISNUMBER(SEARCH("Fat Free",$B82)),0.0036,0.0012)</f>
        <v>0.44865654000000005</v>
      </c>
      <c r="AB82" s="35">
        <f>CEILING(CONVERT(($Q82+$R82+$T82+$Y82+$Z82)*IF(ISNUMBER(SEARCH("Fat Free",$B82)),0.0036,0.0012),"ml","tsp"),0.25)</f>
        <v>0.25</v>
      </c>
      <c r="AC82" s="57">
        <f>(($Q82 / 240) * _xlfn.XLOOKUP($B82,'Milk Types Nutrition Per Cup'!A:A,'Milk Types Nutrition Per Cup'!B:B,0)) +(($R82 / 240)  * _xlfn.XLOOKUP($C82,'Milk Types Nutrition Per Cup'!A:A,'Milk Types Nutrition Per Cup'!B:B,0)) +(($T82 / 15)  * _xlfn.XLOOKUP($D82,'Liquid Mix In Nutrition'!A:A,'Liquid Mix In Nutrition'!B:B,0))+(($U82 / 15)  * _xlfn.XLOOKUP($E82,'Liquid Mix In Nutrition'!A:A,'Liquid Mix In Nutrition'!B:B,0))+(($V82 /MAX(1, _xlfn.XLOOKUP($F82,'Solid Mix In Nutrition'!A:A,'Solid Mix In Nutrition'!I:I,1)))  * _xlfn.XLOOKUP($F82,'Solid Mix In Nutrition'!A:A,'Solid Mix In Nutrition'!B:B,0))+(($W82 / MAX(1, _xlfn.XLOOKUP($G82,'Solid Mix In Nutrition'!A:A,'Solid Mix In Nutrition'!I:I,1))))+(($Y82 / 100)  * _xlfn.XLOOKUP($I82,'Sweetener Mix In Nutrition'!A:A,'Sweetener Mix In Nutrition'!B:B,0))+(($Z82 / 100)  * _xlfn.XLOOKUP($J82,'Sweetener Mix In Nutrition'!A:A,'Sweetener Mix In Nutrition'!B:B,0))</f>
        <v>1199.0255088753388</v>
      </c>
      <c r="AD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Nutrition'!E:E,0))+(($V82 / MAX(1, _xlfn.XLOOKUP($F82,'Solid Mix In Nutrition'!A:A,'Solid Mix In Nutrition'!I:I,1)))  * _xlfn.XLOOKUP($F82,'Solid Mix In Nutrition'!A:A,'Solid Mix In Nutrition'!E:E,0))+(($W82 / MAX(1, _xlfn.XLOOKUP($G82,'Solid Mix In Nutrition'!A:A,'Solid Mix In Nutrition'!I:I,1)))  * _xlfn.XLOOKUP($G82,'Solid Mix In Nutrition'!A:A,'Solid Mix In Nutrition'!G:G,0))+(($Y82 / 100)  * _xlfn.XLOOKUP($I82,'Sweetener Mix In Nutrition'!A:A,'Sweetener Mix In Nutrition'!E:E,0))+(($Z82 / 100)  * _xlfn.XLOOKUP($J82,'Sweetener Mix In Nutrition'!A:A,'Sweetener Mix In Nutrition'!E:E,0))</f>
        <v>66.146485257029127</v>
      </c>
      <c r="AE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Nutrition'!E:E,0))+(($Y82 / 100)  * _xlfn.XLOOKUP($I82,'Sweetener Mix In Nutrition'!A:A,'Sweetener Mix In Nutrition'!E:E,0))+(($Z82 / 100)  * _xlfn.XLOOKUP($J82,'Sweetener Mix In Nutrition'!A:A,'Sweetener Mix In Nutrition'!E:E,0))</f>
        <v>64.834444024390237</v>
      </c>
      <c r="AF82" s="37">
        <f>(($Q82 / 240) * _xlfn.XLOOKUP($B82,'Milk Types Nutrition Per Cup'!A:A,'Milk Types Nutrition Per Cup'!C:C,0)) +(($R82 / 240)  * _xlfn.XLOOKUP($C82,'Milk Types Nutrition Per Cup'!A:A,'Milk Types Nutrition Per Cup'!C:C,0)) +(($T82 / 15)  * _xlfn.XLOOKUP($D82,'Liquid Mix In Nutrition'!A:A,'Liquid Mix In Nutrition'!C:C,0))+(($U82 / 15)  * _xlfn.XLOOKUP($E82,'Liquid Mix In Nutrition'!A:A,'Liquid Mix In Nutrition'!C:C,0))+(($V82 / MAX(1, _xlfn.XLOOKUP($F82,'Solid Mix In Nutrition'!A:A,'Solid Mix In Nutrition'!I:I,1)))  * _xlfn.XLOOKUP($F82,'Solid Mix In Nutrition'!A:A,'Solid Mix In Nutrition'!C:C,0))+(($W82 / MAX(1, _xlfn.XLOOKUP($G82,'Solid Mix In Nutrition'!A:A,'Solid Mix In Nutrition'!I:I,1)))  * _xlfn.XLOOKUP($G82,'Solid Mix In Nutrition'!A:A,'Solid Mix In Nutrition'!C:C,0))+(($Y82 / 100)  * _xlfn.XLOOKUP($I82,'Sweetener Mix In Nutrition'!A:A,'Sweetener Mix In Nutrition'!C:C,0))+(($Z82 / 100)  * _xlfn.XLOOKUP($J82,'Sweetener Mix In Nutrition'!A:A,'Sweetener Mix In Nutrition'!C:C,0))</f>
        <v>108.33518628472224</v>
      </c>
      <c r="AG82" s="38">
        <f>$AF82 / (_xlfn.XLOOKUP($K82,Specs!A:A,Specs!B:B,0))</f>
        <v>0.22903844880490959</v>
      </c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4.3795894618055566</v>
      </c>
      <c r="AI82" s="54">
        <f>60* ($AC82 / _xlfn.XLOOKUP($K82,Specs!$A:$A,Specs!$B:$B,0))</f>
        <v>152.09625905395418</v>
      </c>
      <c r="AJ82" s="37">
        <f>60* (AD82 / _xlfn.XLOOKUP($K82,Specs!$A:$A,Specs!$B:$B,0))</f>
        <v>8.3906746626252602</v>
      </c>
      <c r="AK82" s="37">
        <f>60* (AF82 / _xlfn.XLOOKUP($K82,Specs!$A:$A,Specs!$B:$B,0))</f>
        <v>13.742306928294575</v>
      </c>
      <c r="AL82" s="37">
        <f>60* (AH82 / _xlfn.XLOOKUP($K82,Specs!$A:$A,Specs!$B:$B,0))</f>
        <v>0.55555046027131794</v>
      </c>
      <c r="AM82" s="39">
        <f>(($Q82 / 240) * _xlfn.XLOOKUP($B82,'Milk Types Nutrition Per Cup'!A:A,'Milk Types Nutrition Per Cup'!F:F,0)) +(($R82 / 240)  * _xlfn.XLOOKUP($C82,'Milk Types Nutrition Per Cup'!A:A,'Milk Types Nutrition Per Cup'!F:F,0)) +(($T82 / 15)  * _xlfn.XLOOKUP($D82,'Liquid Mix In Nutrition'!A:A,'Liquid Mix In Nutrition'!F:F,0))+(($U82 / 15)  * _xlfn.XLOOKUP($E82,'Liquid Mix In Nutrition'!A:A,'Liquid Mix In Nutrition'!F:F,0))+(($V82 / MAX(1, _xlfn.XLOOKUP($F82,'Solid Mix In Nutrition'!A:A,'Solid Mix In Nutrition'!I:I,1)))  * _xlfn.XLOOKUP($F82,'Solid Mix In Nutrition'!A:A,'Solid Mix In Nutrition'!F:F,0))+(($W82 / MAX(1, _xlfn.XLOOKUP($G82,'Solid Mix In Nutrition'!A:A,'Solid Mix In Nutrition'!I:I,1)))  * _xlfn.XLOOKUP($G82,'Solid Mix In Nutrition'!A:A,'Solid Mix In Nutrition'!F:F,0))+(($Y82 / 100)  * _xlfn.XLOOKUP($I82,'Sweetener Mix In Nutrition'!A:A,'Sweetener Mix In Nutrition'!F:F,0))+(($Z82 / 100)  * _xlfn.XLOOKUP($J82,'Sweetener Mix In Nutrition'!A:A,'Sweetener Mix In Nutrition'!F:F,0))</f>
        <v>4.0066527666902427</v>
      </c>
      <c r="AN82" s="40">
        <f>(AM82+Specs!$R$2+Specs!$S$2)*Specs!$N$2</f>
        <v>8.7933055333804848</v>
      </c>
    </row>
    <row r="83" spans="1:40" x14ac:dyDescent="0.3"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0</v>
      </c>
    </row>
    <row r="84" spans="1:40" x14ac:dyDescent="0.3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3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3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3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3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3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3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3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3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3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3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3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3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3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3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I66:J75 I82:J82 I80:I246 J80:J1048576 I77:J80 J1:J64 I2:I64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B82:C82 B77:C80 B66:C73 B58:C64 B75:C75 C1:C52 B2:B51 B56:C56 B55</xm:sqref>
        </x14:dataValidation>
        <x14:dataValidation type="list" allowBlank="1" showInputMessage="1" xr:uid="{32EC30D9-F141-4124-A93C-7BF3ADE074B6}">
          <x14:formula1>
            <xm:f>Specs!$F:$F</xm:f>
          </x14:formula1>
          <xm:sqref>I247:I256 O66:P75 P1:P64 O78:P78 O2:O64 O80:P80 P77:P1048576 O77:O216 O82:P82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K75 K58:K64 K66:K73 K77:K80 K82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N75 N58:N64 N66:N73 N77:N80 N82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L75:M75 L58:M64 L66:M73 L77:M80 L82:M82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F82:G82 F77:G80 F75:G75 F64:G64 F66:G73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D77:E80 D66:E73 D64:E64 D75:E75 D82:E82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3"/>
  <sheetViews>
    <sheetView zoomScale="106" workbookViewId="0">
      <selection activeCell="B9" sqref="B9"/>
    </sheetView>
  </sheetViews>
  <sheetFormatPr defaultRowHeight="14.4" x14ac:dyDescent="0.3"/>
  <cols>
    <col min="1" max="1" width="29.6640625" bestFit="1" customWidth="1"/>
    <col min="2" max="2" width="11.6640625" bestFit="1" customWidth="1"/>
    <col min="3" max="3" width="12" bestFit="1" customWidth="1"/>
    <col min="4" max="4" width="18.6640625" bestFit="1" customWidth="1"/>
    <col min="5" max="6" width="12" bestFit="1" customWidth="1"/>
    <col min="7" max="7" width="14" bestFit="1" customWidth="1"/>
    <col min="8" max="8" width="14.44140625" bestFit="1" customWidth="1"/>
    <col min="15" max="15" width="60.88671875" bestFit="1" customWidth="1"/>
    <col min="16" max="16" width="25.6640625" bestFit="1" customWidth="1"/>
    <col min="17" max="17" width="23.33203125" bestFit="1" customWidth="1"/>
  </cols>
  <sheetData>
    <row r="1" spans="1:17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3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3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3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3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3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3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3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778</v>
      </c>
      <c r="P8" t="s">
        <v>178</v>
      </c>
      <c r="Q8" t="s">
        <v>779</v>
      </c>
    </row>
    <row r="9" spans="1:17" x14ac:dyDescent="0.3">
      <c r="A9" t="s">
        <v>274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3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3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3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3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3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3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3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3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3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3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3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3">
      <c r="A21" t="s">
        <v>782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783</v>
      </c>
    </row>
    <row r="22" spans="1:10" x14ac:dyDescent="0.3">
      <c r="A22" t="s">
        <v>784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785</v>
      </c>
    </row>
    <row r="23" spans="1:10" x14ac:dyDescent="0.3">
      <c r="A23" t="s">
        <v>793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H23">
        <v>946</v>
      </c>
      <c r="I23" t="s">
        <v>232</v>
      </c>
    </row>
  </sheetData>
  <conditionalFormatting sqref="F2: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3"/>
  <sheetViews>
    <sheetView tabSelected="1" zoomScaleNormal="100" workbookViewId="0">
      <selection activeCell="E1" sqref="E1"/>
    </sheetView>
  </sheetViews>
  <sheetFormatPr defaultRowHeight="14.4" x14ac:dyDescent="0.3"/>
  <cols>
    <col min="1" max="1" width="48.6640625" bestFit="1" customWidth="1"/>
    <col min="6" max="6" width="11" bestFit="1" customWidth="1"/>
    <col min="7" max="7" width="8.5546875" bestFit="1" customWidth="1"/>
    <col min="8" max="8" width="16" bestFit="1" customWidth="1"/>
    <col min="9" max="9" width="25.109375" bestFit="1" customWidth="1"/>
    <col min="10" max="10" width="43.6640625" bestFit="1" customWidth="1"/>
  </cols>
  <sheetData>
    <row r="1" spans="1:16" x14ac:dyDescent="0.3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3">
      <c r="A2" s="26" t="s">
        <v>834</v>
      </c>
    </row>
    <row r="3" spans="1:16" x14ac:dyDescent="0.3">
      <c r="A3" t="s">
        <v>250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16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3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3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3">
      <c r="B6" s="6"/>
      <c r="C6" s="6"/>
      <c r="D6" s="6"/>
      <c r="E6" s="6"/>
      <c r="F6" s="10"/>
      <c r="G6" s="9"/>
    </row>
    <row r="7" spans="1:16" x14ac:dyDescent="0.3">
      <c r="A7" s="26" t="s">
        <v>833</v>
      </c>
      <c r="B7" s="6"/>
      <c r="C7" s="6"/>
      <c r="D7" s="6"/>
      <c r="E7" s="6"/>
      <c r="F7" s="10"/>
      <c r="G7" s="9"/>
    </row>
    <row r="8" spans="1:16" x14ac:dyDescent="0.3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>$G8*($I8/$H8)</f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3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3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>$G10*($I10/$H10)</f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3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3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3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3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3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3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3">
      <c r="B17" s="6"/>
      <c r="C17" s="6"/>
      <c r="D17" s="6"/>
      <c r="E17" s="6"/>
      <c r="F17" s="10"/>
      <c r="G17" s="9"/>
    </row>
    <row r="18" spans="1:16" x14ac:dyDescent="0.3">
      <c r="A18" s="26" t="s">
        <v>825</v>
      </c>
    </row>
    <row r="19" spans="1:16" x14ac:dyDescent="0.3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ref="F19:F23" si="1">$G19*($I19/$H19)</f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3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1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3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1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3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1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3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1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3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>$G25*($I24/$H24)</f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3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>$G28*($I25/$H25)</f>
        <v>2.1674765432098764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3">
      <c r="A26" s="26"/>
      <c r="B26" s="6"/>
      <c r="C26" s="6"/>
      <c r="D26" s="6"/>
      <c r="E26" s="6"/>
      <c r="F26" s="10"/>
      <c r="G26" s="9"/>
      <c r="H26" s="6"/>
    </row>
    <row r="27" spans="1:16" x14ac:dyDescent="0.3">
      <c r="A27" s="26" t="s">
        <v>835</v>
      </c>
      <c r="B27" s="6"/>
      <c r="C27" s="6"/>
      <c r="D27" s="6"/>
      <c r="E27" s="6"/>
      <c r="F27" s="10"/>
      <c r="G27" s="9"/>
      <c r="H27" s="6"/>
    </row>
    <row r="28" spans="1:16" x14ac:dyDescent="0.3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>$G29*($I28/$H28)</f>
        <v>6.5261681978798594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3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>$G32*($I29/$H29)</f>
        <v>5.7711943462897537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3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>$G65*($I30/$H30)</f>
        <v>3.5892345132743366</v>
      </c>
      <c r="G30" s="9"/>
      <c r="H30">
        <v>226</v>
      </c>
      <c r="I30">
        <v>190</v>
      </c>
      <c r="J30" t="s">
        <v>820</v>
      </c>
      <c r="P30" t="s">
        <v>125</v>
      </c>
    </row>
    <row r="31" spans="1:16" x14ac:dyDescent="0.3">
      <c r="B31" s="6"/>
      <c r="C31" s="6"/>
      <c r="D31" s="6"/>
      <c r="E31" s="6"/>
      <c r="F31" s="10"/>
      <c r="G31" s="9"/>
    </row>
    <row r="32" spans="1:16" x14ac:dyDescent="0.3">
      <c r="A32" s="26" t="s">
        <v>836</v>
      </c>
      <c r="G32" s="9">
        <f>7.95*1.07</f>
        <v>8.5065000000000008</v>
      </c>
      <c r="I32">
        <v>151</v>
      </c>
      <c r="J32" t="s">
        <v>424</v>
      </c>
    </row>
    <row r="33" spans="1:16" x14ac:dyDescent="0.3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3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>$G34*($I34/$H34)</f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3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>$G35*($I35/$H35)</f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3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3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>$G37*($I37/$H37)</f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3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>$G38*($I38/$H38)</f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3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>$G54*($I39/$H39)</f>
        <v>0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3">
      <c r="B40" s="6"/>
      <c r="C40" s="6"/>
      <c r="D40" s="6"/>
      <c r="E40" s="6"/>
      <c r="F40" s="10"/>
      <c r="G40" s="9"/>
    </row>
    <row r="41" spans="1:16" ht="14.25" customHeight="1" x14ac:dyDescent="0.3">
      <c r="A41" s="26" t="s">
        <v>837</v>
      </c>
      <c r="B41" s="6"/>
      <c r="C41" s="6"/>
      <c r="D41" s="6"/>
      <c r="E41" s="6"/>
      <c r="F41" s="10"/>
      <c r="G41" s="9"/>
    </row>
    <row r="42" spans="1:16" x14ac:dyDescent="0.3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>$G43*($I42/$H42)</f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3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>$G44*($I43/$H43)</f>
        <v>1.3617841598435563</v>
      </c>
      <c r="H43">
        <f>'Recipe Converters'!M13</f>
        <v>392.5</v>
      </c>
      <c r="I43">
        <v>240</v>
      </c>
    </row>
    <row r="44" spans="1:16" x14ac:dyDescent="0.3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>$G46*($I44/$H44)</f>
        <v>0.73481114368290867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3">
      <c r="B45" s="6"/>
      <c r="C45" s="6"/>
      <c r="D45" s="6"/>
      <c r="E45" s="6"/>
      <c r="F45" s="10"/>
      <c r="G45" s="10"/>
    </row>
    <row r="46" spans="1:16" x14ac:dyDescent="0.3">
      <c r="A46" s="26" t="s">
        <v>838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3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>$G47*($I47/$H47)</f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3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>$G48*($I48/$H48)</f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3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>$G50*($I49/$H49)</f>
        <v>1.6561082352941181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3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>$G51*($I50/$H50)</f>
        <v>5.4351446808510646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3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>$G53*($I51/$H51)</f>
        <v>0.5233813131313132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3">
      <c r="B52" s="6"/>
      <c r="C52" s="6"/>
      <c r="D52" s="6"/>
      <c r="E52" s="6"/>
      <c r="F52" s="10"/>
      <c r="G52" s="9"/>
    </row>
    <row r="53" spans="1:16" x14ac:dyDescent="0.3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3">
      <c r="A54" s="26" t="s">
        <v>832</v>
      </c>
      <c r="B54" s="6"/>
      <c r="C54" s="6"/>
      <c r="D54" s="6"/>
      <c r="E54" s="6"/>
      <c r="F54" s="10"/>
      <c r="G54" s="9"/>
    </row>
    <row r="55" spans="1:16" x14ac:dyDescent="0.3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ref="F55:F60" si="2">$G56*($I55/$H55)</f>
        <v>1.5643400000000001</v>
      </c>
      <c r="G55" s="9"/>
      <c r="H55">
        <v>150</v>
      </c>
      <c r="I55">
        <v>170</v>
      </c>
    </row>
    <row r="56" spans="1:16" x14ac:dyDescent="0.3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2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3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2"/>
        <v>3.6002352941176472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3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2"/>
        <v>1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3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2"/>
        <v>0.75057352941176481</v>
      </c>
      <c r="G59" s="9">
        <v>1.7</v>
      </c>
      <c r="H59">
        <v>340</v>
      </c>
      <c r="I59">
        <v>150</v>
      </c>
    </row>
    <row r="60" spans="1:16" x14ac:dyDescent="0.3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2"/>
        <v>6.5794509803921573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3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>$G64*($I61/$H61)</f>
        <v>3.4225069767441862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3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>$G73*($I62/$H62)</f>
        <v>1.6608540000000003</v>
      </c>
      <c r="H62">
        <v>200</v>
      </c>
      <c r="I62">
        <v>156</v>
      </c>
    </row>
    <row r="63" spans="1:16" x14ac:dyDescent="0.3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>$G63*($I63/$H63)</f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3">
      <c r="A64" s="26" t="s">
        <v>839</v>
      </c>
      <c r="G64" s="9">
        <f>5.29*1.07</f>
        <v>5.6603000000000003</v>
      </c>
    </row>
    <row r="65" spans="1:10" x14ac:dyDescent="0.3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>$G39*($I65/$H65)</f>
        <v>1.0660220309810673</v>
      </c>
      <c r="G65" s="9">
        <f>3.99*1.07</f>
        <v>4.2693000000000003</v>
      </c>
      <c r="H65">
        <v>581</v>
      </c>
      <c r="I65">
        <v>116</v>
      </c>
    </row>
    <row r="67" spans="1:10" x14ac:dyDescent="0.3">
      <c r="A67" s="26" t="s">
        <v>840</v>
      </c>
    </row>
    <row r="68" spans="1:10" x14ac:dyDescent="0.3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>$G69*($I68/$H68)</f>
        <v>6.5689439999999992</v>
      </c>
      <c r="G68" s="9">
        <f>2.97*1.07</f>
        <v>3.1779000000000006</v>
      </c>
      <c r="H68">
        <v>1000</v>
      </c>
      <c r="I68">
        <v>240</v>
      </c>
    </row>
    <row r="69" spans="1:10" x14ac:dyDescent="0.3">
      <c r="G69" s="9">
        <f>25.58*1.07</f>
        <v>27.3706</v>
      </c>
    </row>
    <row r="71" spans="1:10" x14ac:dyDescent="0.3">
      <c r="A71" s="26" t="s">
        <v>841</v>
      </c>
    </row>
    <row r="72" spans="1:10" x14ac:dyDescent="0.3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>$G72*($I72/$H72)</f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3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>$G68*($I73/$H73)</f>
        <v>2.8526031496062996</v>
      </c>
      <c r="G73" s="9">
        <f>1.99*1.07</f>
        <v>2.1293000000000002</v>
      </c>
      <c r="H73">
        <v>127</v>
      </c>
      <c r="I73">
        <v>114</v>
      </c>
    </row>
  </sheetData>
  <conditionalFormatting sqref="F72:F73 F68 F65 F19:F31 F33:F63 F3:F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34" workbookViewId="0">
      <selection activeCell="B45" sqref="B45"/>
    </sheetView>
  </sheetViews>
  <sheetFormatPr defaultRowHeight="14.4" x14ac:dyDescent="0.3"/>
  <cols>
    <col min="1" max="1" width="39.33203125" customWidth="1"/>
    <col min="2" max="5" width="12" bestFit="1" customWidth="1"/>
    <col min="6" max="6" width="12.33203125" bestFit="1" customWidth="1"/>
    <col min="7" max="7" width="12.33203125" style="9" bestFit="1" customWidth="1"/>
    <col min="8" max="8" width="17.33203125" bestFit="1" customWidth="1"/>
    <col min="9" max="9" width="20.33203125" bestFit="1" customWidth="1"/>
  </cols>
  <sheetData>
    <row r="1" spans="1:10" x14ac:dyDescent="0.3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3">
      <c r="A2" s="26" t="s">
        <v>823</v>
      </c>
    </row>
    <row r="3" spans="1:10" x14ac:dyDescent="0.3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3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3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3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3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3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3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3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3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3">
      <c r="A13" s="26" t="s">
        <v>824</v>
      </c>
    </row>
    <row r="14" spans="1:10" x14ac:dyDescent="0.3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3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3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3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3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3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3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3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3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3">
      <c r="A23" t="s">
        <v>460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3">
      <c r="A25" s="26" t="s">
        <v>825</v>
      </c>
    </row>
    <row r="26" spans="1:15" x14ac:dyDescent="0.3">
      <c r="A26" t="s">
        <v>461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3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462</v>
      </c>
    </row>
    <row r="28" spans="1:15" x14ac:dyDescent="0.3">
      <c r="A28" t="s">
        <v>373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372</v>
      </c>
    </row>
    <row r="29" spans="1:15" x14ac:dyDescent="0.3">
      <c r="A29" t="s">
        <v>374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3">
      <c r="A30" t="s">
        <v>375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870</v>
      </c>
    </row>
    <row r="31" spans="1:15" x14ac:dyDescent="0.3">
      <c r="A31" t="s">
        <v>867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388</v>
      </c>
    </row>
    <row r="32" spans="1:15" x14ac:dyDescent="0.3">
      <c r="A32" t="s">
        <v>868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475</v>
      </c>
    </row>
    <row r="33" spans="1:9" x14ac:dyDescent="0.3">
      <c r="A33" t="s">
        <v>776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775</v>
      </c>
    </row>
    <row r="34" spans="1:9" x14ac:dyDescent="0.3">
      <c r="A34" t="s">
        <v>517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518</v>
      </c>
    </row>
    <row r="35" spans="1:9" x14ac:dyDescent="0.3">
      <c r="A35" t="s">
        <v>240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241</v>
      </c>
    </row>
    <row r="36" spans="1:9" x14ac:dyDescent="0.3">
      <c r="A36" t="s">
        <v>336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3">
      <c r="A37" t="s">
        <v>404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405</v>
      </c>
    </row>
    <row r="38" spans="1:9" x14ac:dyDescent="0.3">
      <c r="A38" t="s">
        <v>245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3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3">
      <c r="A40" t="s">
        <v>821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3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3">
      <c r="A42" t="s">
        <v>794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3">
      <c r="F43" s="9"/>
    </row>
    <row r="44" spans="1:9" x14ac:dyDescent="0.3">
      <c r="A44" s="26" t="s">
        <v>826</v>
      </c>
    </row>
    <row r="45" spans="1:9" x14ac:dyDescent="0.3">
      <c r="A45" t="s">
        <v>264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3">
      <c r="A47" s="26" t="s">
        <v>827</v>
      </c>
    </row>
    <row r="48" spans="1:9" x14ac:dyDescent="0.3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3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3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3">
      <c r="A52" s="26" t="s">
        <v>828</v>
      </c>
    </row>
    <row r="53" spans="1:9" x14ac:dyDescent="0.3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3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3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3">
      <c r="A57" s="26" t="s">
        <v>829</v>
      </c>
    </row>
    <row r="58" spans="1:9" x14ac:dyDescent="0.3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3">
      <c r="A59" t="s">
        <v>247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248</v>
      </c>
    </row>
    <row r="60" spans="1:9" x14ac:dyDescent="0.3">
      <c r="A60" t="s">
        <v>233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232</v>
      </c>
    </row>
    <row r="61" spans="1:9" x14ac:dyDescent="0.3">
      <c r="A61" t="s">
        <v>234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3">
      <c r="A62" t="s">
        <v>873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874</v>
      </c>
    </row>
    <row r="64" spans="1:9" x14ac:dyDescent="0.3">
      <c r="A64" s="26" t="s">
        <v>830</v>
      </c>
    </row>
    <row r="65" spans="1:10" x14ac:dyDescent="0.3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762</v>
      </c>
    </row>
    <row r="66" spans="1:10" x14ac:dyDescent="0.3">
      <c r="A66" t="s">
        <v>263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3">
      <c r="A67" s="73" t="s">
        <v>487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3">
      <c r="A68" s="73" t="s">
        <v>486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3">
      <c r="A69" t="s">
        <v>330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370</v>
      </c>
    </row>
    <row r="70" spans="1:10" x14ac:dyDescent="0.3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869</v>
      </c>
    </row>
    <row r="71" spans="1:10" x14ac:dyDescent="0.3">
      <c r="A71" s="73" t="s">
        <v>769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762</v>
      </c>
    </row>
    <row r="73" spans="1:10" x14ac:dyDescent="0.3">
      <c r="A73" s="26" t="s">
        <v>831</v>
      </c>
    </row>
    <row r="74" spans="1:10" x14ac:dyDescent="0.3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3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3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232</v>
      </c>
      <c r="J76" t="s">
        <v>762</v>
      </c>
    </row>
    <row r="77" spans="1:10" x14ac:dyDescent="0.3">
      <c r="A77" t="s">
        <v>766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3">
      <c r="A78" s="26" t="s">
        <v>832</v>
      </c>
    </row>
    <row r="79" spans="1:10" x14ac:dyDescent="0.3">
      <c r="A79" t="s">
        <v>265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3">
      <c r="A80" t="s">
        <v>788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4.4" x14ac:dyDescent="0.3"/>
  <cols>
    <col min="1" max="1" width="34.6640625" bestFit="1" customWidth="1"/>
    <col min="6" max="6" width="12" bestFit="1" customWidth="1"/>
    <col min="7" max="7" width="11.33203125" customWidth="1"/>
    <col min="8" max="8" width="13.33203125" bestFit="1" customWidth="1"/>
    <col min="9" max="9" width="26.33203125" bestFit="1" customWidth="1"/>
    <col min="10" max="10" width="70.44140625" bestFit="1" customWidth="1"/>
  </cols>
  <sheetData>
    <row r="1" spans="1:11" x14ac:dyDescent="0.3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3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3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3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3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3">
      <c r="A7" s="26" t="s">
        <v>842</v>
      </c>
      <c r="K7">
        <f>8.29/4</f>
        <v>2.0724999999999998</v>
      </c>
    </row>
    <row r="8" spans="1:11" x14ac:dyDescent="0.3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3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3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3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3">
      <c r="A13" s="26" t="s">
        <v>843</v>
      </c>
    </row>
    <row r="14" spans="1:11" x14ac:dyDescent="0.3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3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3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3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3">
      <c r="A18" s="26" t="s">
        <v>818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4.4" x14ac:dyDescent="0.3"/>
  <cols>
    <col min="1" max="1" width="24.6640625" bestFit="1" customWidth="1"/>
    <col min="4" max="4" width="12" bestFit="1" customWidth="1"/>
    <col min="6" max="6" width="35.6640625" bestFit="1" customWidth="1"/>
    <col min="8" max="8" width="17.33203125" customWidth="1"/>
    <col min="9" max="9" width="7.88671875" bestFit="1" customWidth="1"/>
    <col min="12" max="12" width="33.33203125" bestFit="1" customWidth="1"/>
    <col min="14" max="14" width="12" bestFit="1" customWidth="1"/>
    <col min="15" max="15" width="11" bestFit="1" customWidth="1"/>
    <col min="16" max="16" width="26.88671875" bestFit="1" customWidth="1"/>
    <col min="17" max="17" width="17.109375" bestFit="1" customWidth="1"/>
    <col min="18" max="18" width="14.88671875" bestFit="1" customWidth="1"/>
    <col min="22" max="22" width="20.88671875" bestFit="1" customWidth="1"/>
    <col min="30" max="30" width="17.6640625" bestFit="1" customWidth="1"/>
    <col min="33" max="33" width="22.44140625" customWidth="1"/>
    <col min="37" max="37" width="34.6640625" bestFit="1" customWidth="1"/>
    <col min="38" max="38" width="28.6640625" bestFit="1" customWidth="1"/>
    <col min="39" max="39" width="13" bestFit="1" customWidth="1"/>
    <col min="40" max="40" width="18.109375" bestFit="1" customWidth="1"/>
    <col min="41" max="41" width="34.33203125" bestFit="1" customWidth="1"/>
    <col min="46" max="46" width="17.44140625" bestFit="1" customWidth="1"/>
  </cols>
  <sheetData>
    <row r="1" spans="1:50" x14ac:dyDescent="0.3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3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3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3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3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3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3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3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0.401576175102066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3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0.401576175102066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3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0.401576175102066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3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3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1.7654106036504249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3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794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3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3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3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3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3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3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3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3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3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3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3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3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3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3">
      <c r="F27" t="s">
        <v>347</v>
      </c>
      <c r="G27">
        <v>110</v>
      </c>
      <c r="H27" s="27">
        <f>G27*($H$28/$G$28)</f>
        <v>18.284960422163589</v>
      </c>
    </row>
    <row r="28" spans="1:33" x14ac:dyDescent="0.3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3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3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3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3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3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3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3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3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3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3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6.4" x14ac:dyDescent="0.3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6.4" x14ac:dyDescent="0.3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26.4" x14ac:dyDescent="0.3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3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ht="26.4" x14ac:dyDescent="0.3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800</v>
      </c>
      <c r="P43" s="28" t="s">
        <v>395</v>
      </c>
      <c r="Q43" s="28">
        <v>122</v>
      </c>
      <c r="R43">
        <f t="shared" si="15"/>
        <v>30.5</v>
      </c>
    </row>
    <row r="44" spans="1:27" x14ac:dyDescent="0.3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801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9.6" x14ac:dyDescent="0.3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802</v>
      </c>
      <c r="M45">
        <v>420</v>
      </c>
      <c r="N45">
        <f>M45*(N46/M46)</f>
        <v>62.543478260869563</v>
      </c>
    </row>
    <row r="46" spans="1:27" ht="39.6" x14ac:dyDescent="0.3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6.4" x14ac:dyDescent="0.3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6.4" x14ac:dyDescent="0.3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6" x14ac:dyDescent="0.3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6.4" x14ac:dyDescent="0.3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9.6" x14ac:dyDescent="0.3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3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3">
      <c r="L53" t="s">
        <v>437</v>
      </c>
      <c r="M53">
        <v>100</v>
      </c>
      <c r="N53">
        <f t="shared" si="18"/>
        <v>25</v>
      </c>
    </row>
    <row r="54" spans="1:14" x14ac:dyDescent="0.3">
      <c r="L54" t="s">
        <v>435</v>
      </c>
      <c r="M54">
        <v>40</v>
      </c>
      <c r="N54">
        <f t="shared" si="18"/>
        <v>10</v>
      </c>
    </row>
    <row r="55" spans="1:14" ht="15" thickBot="1" x14ac:dyDescent="0.35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8.2" thickBot="1" x14ac:dyDescent="0.35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" thickBot="1" x14ac:dyDescent="0.35">
      <c r="A57" s="87" t="s">
        <v>553</v>
      </c>
      <c r="B57" s="87">
        <v>113</v>
      </c>
      <c r="C57" s="12">
        <f>B57*($C$74/$B$74)</f>
        <v>35.198837088568169</v>
      </c>
    </row>
    <row r="58" spans="1:14" ht="15" thickBot="1" x14ac:dyDescent="0.35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" thickBot="1" x14ac:dyDescent="0.35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" thickBot="1" x14ac:dyDescent="0.35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" thickBot="1" x14ac:dyDescent="0.35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" thickBot="1" x14ac:dyDescent="0.35">
      <c r="A62" s="87" t="s">
        <v>560</v>
      </c>
      <c r="B62" s="87">
        <v>5.2</v>
      </c>
      <c r="C62" s="12">
        <f t="shared" si="19"/>
        <v>1.6197694943411902</v>
      </c>
    </row>
    <row r="63" spans="1:14" ht="15" thickBot="1" x14ac:dyDescent="0.35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" thickBot="1" x14ac:dyDescent="0.35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" thickBot="1" x14ac:dyDescent="0.35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" thickBot="1" x14ac:dyDescent="0.35">
      <c r="A66" s="87" t="s">
        <v>187</v>
      </c>
      <c r="B66" s="87">
        <v>312.5</v>
      </c>
      <c r="C66" s="12">
        <f t="shared" si="19"/>
        <v>97.341916727234988</v>
      </c>
      <c r="F66" t="s">
        <v>808</v>
      </c>
      <c r="G66">
        <v>66</v>
      </c>
      <c r="H66">
        <f t="shared" ref="H66:H76" si="20">G66*($H$77/$G$77)</f>
        <v>16.5</v>
      </c>
    </row>
    <row r="67" spans="1:17" ht="15" thickBot="1" x14ac:dyDescent="0.35">
      <c r="A67" s="87"/>
      <c r="B67" s="87"/>
      <c r="C67" s="12"/>
      <c r="F67" t="s">
        <v>804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" thickBot="1" x14ac:dyDescent="0.35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" thickBot="1" x14ac:dyDescent="0.35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" thickBot="1" x14ac:dyDescent="0.35">
      <c r="A70" s="87" t="s">
        <v>555</v>
      </c>
      <c r="B70" s="87">
        <v>50</v>
      </c>
      <c r="C70" s="12">
        <f t="shared" si="19"/>
        <v>15.574706676357597</v>
      </c>
      <c r="F70" t="s">
        <v>805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" thickBot="1" x14ac:dyDescent="0.35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" thickBot="1" x14ac:dyDescent="0.35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" thickBot="1" x14ac:dyDescent="0.35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3">
      <c r="A74" s="89" t="s">
        <v>567</v>
      </c>
      <c r="B74">
        <f>SUM(B57:B73)</f>
        <v>963.09999999999991</v>
      </c>
      <c r="C74">
        <f>300</f>
        <v>300</v>
      </c>
      <c r="F74" t="s">
        <v>806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3">
      <c r="B75" t="s">
        <v>616</v>
      </c>
      <c r="F75" t="s">
        <v>810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" thickBot="1" x14ac:dyDescent="0.35">
      <c r="A76" t="s">
        <v>550</v>
      </c>
      <c r="F76" t="s">
        <v>807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8.2" thickBot="1" x14ac:dyDescent="0.35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" thickBot="1" x14ac:dyDescent="0.35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" thickBot="1" x14ac:dyDescent="0.35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809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" thickBot="1" x14ac:dyDescent="0.35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" thickBot="1" x14ac:dyDescent="0.35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" thickBot="1" x14ac:dyDescent="0.35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" thickBot="1" x14ac:dyDescent="0.35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" thickBot="1" x14ac:dyDescent="0.35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" thickBot="1" x14ac:dyDescent="0.35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" thickBot="1" x14ac:dyDescent="0.35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" thickBot="1" x14ac:dyDescent="0.35">
      <c r="A87" s="88" t="s">
        <v>565</v>
      </c>
      <c r="B87" s="87"/>
      <c r="C87" s="12"/>
      <c r="L87" t="s">
        <v>504</v>
      </c>
    </row>
    <row r="88" spans="1:14" ht="15" thickBot="1" x14ac:dyDescent="0.35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" thickBot="1" x14ac:dyDescent="0.35">
      <c r="A89" s="87" t="s">
        <v>555</v>
      </c>
      <c r="B89" s="87">
        <v>50</v>
      </c>
      <c r="C89" s="12">
        <f t="shared" si="22"/>
        <v>12.248287315756695</v>
      </c>
    </row>
    <row r="90" spans="1:14" ht="15" thickBot="1" x14ac:dyDescent="0.35">
      <c r="A90" s="87" t="s">
        <v>187</v>
      </c>
      <c r="B90" s="87">
        <v>42</v>
      </c>
      <c r="C90" s="12">
        <f t="shared" si="22"/>
        <v>10.288561345235625</v>
      </c>
    </row>
    <row r="91" spans="1:14" ht="15" thickBot="1" x14ac:dyDescent="0.35">
      <c r="A91" s="87" t="s">
        <v>560</v>
      </c>
      <c r="B91" s="87">
        <v>1.3</v>
      </c>
      <c r="C91" s="12">
        <f t="shared" si="22"/>
        <v>0.31845547020967407</v>
      </c>
    </row>
    <row r="92" spans="1:14" ht="15" thickBot="1" x14ac:dyDescent="0.35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3">
      <c r="A93" s="89" t="s">
        <v>567</v>
      </c>
      <c r="B93">
        <f>SUM(B78:B92)</f>
        <v>963.4</v>
      </c>
      <c r="C93">
        <f>236</f>
        <v>236</v>
      </c>
    </row>
    <row r="99" spans="1:3" x14ac:dyDescent="0.3">
      <c r="A99" t="s">
        <v>763</v>
      </c>
    </row>
    <row r="100" spans="1:3" x14ac:dyDescent="0.3">
      <c r="A100" t="s">
        <v>764</v>
      </c>
      <c r="B100">
        <v>432</v>
      </c>
      <c r="C100">
        <f>B100*($C$104/$B$104)</f>
        <v>23.670070699135902</v>
      </c>
    </row>
    <row r="101" spans="1:3" x14ac:dyDescent="0.3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3">
      <c r="A102" t="s">
        <v>765</v>
      </c>
      <c r="B102">
        <v>120</v>
      </c>
      <c r="C102">
        <f t="shared" si="24"/>
        <v>6.575019638648862</v>
      </c>
    </row>
    <row r="103" spans="1:3" x14ac:dyDescent="0.3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3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4.4" x14ac:dyDescent="0.3"/>
  <cols>
    <col min="1" max="1" width="37.44140625" bestFit="1" customWidth="1"/>
    <col min="2" max="2" width="18.44140625" bestFit="1" customWidth="1"/>
    <col min="3" max="3" width="16.33203125" bestFit="1" customWidth="1"/>
    <col min="4" max="4" width="13.44140625" bestFit="1" customWidth="1"/>
    <col min="5" max="5" width="11.33203125" bestFit="1" customWidth="1"/>
  </cols>
  <sheetData>
    <row r="1" spans="1:5" x14ac:dyDescent="0.3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3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3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3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3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3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4.4" x14ac:dyDescent="0.3"/>
  <cols>
    <col min="1" max="1" width="22.33203125" bestFit="1" customWidth="1"/>
    <col min="2" max="2" width="34.6640625" customWidth="1"/>
    <col min="3" max="3" width="35.88671875" customWidth="1"/>
    <col min="4" max="4" width="26.109375" bestFit="1" customWidth="1"/>
    <col min="5" max="5" width="23.5546875" customWidth="1"/>
    <col min="6" max="6" width="19.88671875" customWidth="1"/>
    <col min="7" max="7" width="24.44140625" customWidth="1"/>
    <col min="8" max="8" width="20.44140625" customWidth="1"/>
    <col min="9" max="9" width="20" customWidth="1"/>
  </cols>
  <sheetData>
    <row r="1" spans="1:10" ht="15" thickBot="1" x14ac:dyDescent="0.35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5.8" thickBot="1" x14ac:dyDescent="0.35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8.2" thickBot="1" x14ac:dyDescent="0.35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15" thickBot="1" x14ac:dyDescent="0.35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2" thickBot="1" x14ac:dyDescent="0.35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" thickBot="1" x14ac:dyDescent="0.35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" thickBot="1" x14ac:dyDescent="0.35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2" thickBot="1" x14ac:dyDescent="0.35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" thickBot="1" x14ac:dyDescent="0.35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8.2" thickBot="1" x14ac:dyDescent="0.35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" thickBot="1" x14ac:dyDescent="0.35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8.2" thickBot="1" x14ac:dyDescent="0.35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" thickBot="1" x14ac:dyDescent="0.35"/>
    <row r="15" spans="1:10" ht="15" thickBot="1" x14ac:dyDescent="0.35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" thickBot="1" x14ac:dyDescent="0.35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" thickBot="1" x14ac:dyDescent="0.35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" thickBot="1" x14ac:dyDescent="0.35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8.2" thickBot="1" x14ac:dyDescent="0.35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" thickBot="1" x14ac:dyDescent="0.35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" thickBot="1" x14ac:dyDescent="0.35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" thickBot="1" x14ac:dyDescent="0.35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" thickBot="1" x14ac:dyDescent="0.35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" thickBot="1" x14ac:dyDescent="0.35">
      <c r="E24" s="87" t="s">
        <v>563</v>
      </c>
      <c r="F24" s="87" t="s">
        <v>562</v>
      </c>
    </row>
    <row r="25" spans="1:6" ht="15" thickBot="1" x14ac:dyDescent="0.35">
      <c r="B25" s="93" t="s">
        <v>626</v>
      </c>
      <c r="C25">
        <v>2600</v>
      </c>
      <c r="E25" s="87" t="s">
        <v>581</v>
      </c>
      <c r="F25" s="87" t="s">
        <v>614</v>
      </c>
    </row>
    <row r="26" spans="1:6" ht="28.2" thickBot="1" x14ac:dyDescent="0.35">
      <c r="B26" s="93" t="s">
        <v>627</v>
      </c>
      <c r="E26" s="87" t="s">
        <v>583</v>
      </c>
      <c r="F26" s="87" t="s">
        <v>615</v>
      </c>
    </row>
    <row r="27" spans="1:6" x14ac:dyDescent="0.3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3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3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3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3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3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3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3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3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3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5.0559105766883627</v>
      </c>
      <c r="AJ3" s="10">
        <f>(AI3+Specs!$R$2+Specs!$S$2)*Specs!$N$2</f>
        <v>10.891821153376725</v>
      </c>
    </row>
    <row r="4" spans="1:36" x14ac:dyDescent="0.3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3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3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3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3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3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9" width="23.6640625" bestFit="1" customWidth="1"/>
    <col min="20" max="21" width="21.33203125" bestFit="1" customWidth="1"/>
    <col min="22" max="23" width="24.109375" bestFit="1" customWidth="1"/>
    <col min="24" max="25" width="24.109375" customWidth="1"/>
    <col min="26" max="27" width="18.6640625" bestFit="1" customWidth="1"/>
    <col min="28" max="28" width="20.33203125" bestFit="1" customWidth="1"/>
    <col min="29" max="30" width="22.33203125" customWidth="1"/>
    <col min="31" max="33" width="22.33203125" bestFit="1" customWidth="1"/>
    <col min="34" max="34" width="11" bestFit="1" customWidth="1"/>
    <col min="35" max="35" width="20.33203125" bestFit="1" customWidth="1"/>
  </cols>
  <sheetData>
    <row r="1" spans="1:35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3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3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3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3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3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3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3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3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3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3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3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3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3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3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3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 t="e">
        <f>( ((_xlfn.XLOOKUP($M16,Specs!$H:$H,Specs!$I:$I,0)*_xlfn.XLOOKUP($J16,Specs!$A:$A,Specs!$B:$B,0))/240) *_xlfn.XLOOKUP($G16,'Solid Mix In Nutrition'!A:A,'Solid Mix In Nutrition'!I:I,0)) *IF(AND(NOT($G16=0), COUNTA($G16)),0.5,0)</f>
        <v>#VALUE!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3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#VALUE!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3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#VALUE!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3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 t="e">
        <f>( ((_xlfn.XLOOKUP($M19,Specs!$H:$H,Specs!$I:$I,0)*_xlfn.XLOOKUP($J19,Specs!$A:$A,Specs!$B:$B,0))/240) *_xlfn.XLOOKUP($G19,'Solid Mix In Nutrition'!A:A,'Solid Mix In Nutrition'!I:I,0)) *IF(AND(NOT($G19=0), COUNTA($G19)),0.5,0)</f>
        <v>#VALUE!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3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 t="e">
        <f>( ((_xlfn.XLOOKUP($M20,Specs!$H:$H,Specs!$I:$I,0)*_xlfn.XLOOKUP($J20,Specs!$A:$A,Specs!$B:$B,0))/240) *_xlfn.XLOOKUP($F20,'Solid Mix In Nutrition'!A:A,'Solid Mix In Nutrition'!I:I,0)) *IF(AND(NOT($G20=0), COUNTA($G20)),0.5,1)</f>
        <v>#VALUE!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3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#VALUE!</v>
      </c>
      <c r="AE21" s="7" t="e">
        <f>60* ($Z21 / _xlfn.XLOOKUP($J21,Specs!$A:$A,Specs!$B:$B,0))</f>
        <v>#VALUE!</v>
      </c>
      <c r="AF21" s="7" t="e">
        <f>60* (AA21 / _xlfn.XLOOKUP($J21,Specs!$A:$A,Specs!$B:$B,0))</f>
        <v>#DIV/0!</v>
      </c>
      <c r="AG21" s="7" t="e">
        <f>60* (AC21 / _xlfn.XLOOKUP($J21,Specs!$A:$A,Specs!$B:$B,0))</f>
        <v>#VALUE!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3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3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 t="e">
        <f>( ((_xlfn.XLOOKUP($M23,Specs!$H:$H,Specs!$I:$I,0)*_xlfn.XLOOKUP($J23,Specs!$A:$A,Specs!$B:$B,0))/240) *_xlfn.XLOOKUP($F23,'Solid Mix In Nutrition'!A:A,'Solid Mix In Nutrition'!I:I,0)) *IF(AND(NOT($G23=0), COUNTA($G23)),0.5,1)</f>
        <v>#VALUE!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3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 t="e">
        <f>( ((_xlfn.XLOOKUP($M24,Specs!$H:$H,Specs!$I:$I,0)*_xlfn.XLOOKUP($J24,Specs!$A:$A,Specs!$B:$B,0))/240) *_xlfn.XLOOKUP($G24,'Solid Mix In Nutrition'!A:A,'Solid Mix In Nutrition'!I:I,0)) *IF(AND(NOT($G24=0), COUNTA($G24)),0.5,0)</f>
        <v>#VALUE!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3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9" width="23.6640625" bestFit="1" customWidth="1"/>
    <col min="20" max="21" width="21.33203125" bestFit="1" customWidth="1"/>
    <col min="22" max="23" width="24.109375" bestFit="1" customWidth="1"/>
    <col min="24" max="25" width="24.109375" customWidth="1"/>
    <col min="26" max="27" width="18.6640625" bestFit="1" customWidth="1"/>
    <col min="28" max="28" width="20.33203125" bestFit="1" customWidth="1"/>
    <col min="29" max="30" width="22.33203125" customWidth="1"/>
    <col min="31" max="33" width="22.33203125" bestFit="1" customWidth="1"/>
    <col min="34" max="34" width="11" bestFit="1" customWidth="1"/>
    <col min="35" max="35" width="20.33203125" bestFit="1" customWidth="1"/>
  </cols>
  <sheetData>
    <row r="1" spans="1:35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3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3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3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3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3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3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3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3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3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3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3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3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3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3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3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3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3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3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3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 t="e">
        <f>( ((_xlfn.XLOOKUP($M20,Specs!$H:$H,Specs!$I:$I,0)*_xlfn.XLOOKUP($J20,Specs!$A:$A,Specs!$B:$B,0))/240) *_xlfn.XLOOKUP($G20,'Solid Mix In Nutrition'!A:A,'Solid Mix In Nutrition'!I:I,0)) *IF(AND(NOT($G20=0), COUNTA($G20)),0.5,0)</f>
        <v>#VALUE!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3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#VALUE!</v>
      </c>
      <c r="AE21" s="7" t="e">
        <f>60* ($Z21 / _xlfn.XLOOKUP($J21,Specs!$A:$A,Specs!$B:$B,0))</f>
        <v>#VALUE!</v>
      </c>
      <c r="AF21" s="7" t="e">
        <f>60* (AA21 / _xlfn.XLOOKUP($J21,Specs!$A:$A,Specs!$B:$B,0))</f>
        <v>#DIV/0!</v>
      </c>
      <c r="AG21" s="7" t="e">
        <f>60* (AC21 / _xlfn.XLOOKUP($J21,Specs!$A:$A,Specs!$B:$B,0))</f>
        <v>#VALUE!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3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 t="e">
        <f>( ((_xlfn.XLOOKUP($M22,Specs!$H:$H,Specs!$I:$I,0)*_xlfn.XLOOKUP($J22,Specs!$A:$A,Specs!$B:$B,0))/240) *_xlfn.XLOOKUP($F22,'Solid Mix In Nutrition'!A:A,'Solid Mix In Nutrition'!I:I,0)) *IF(AND(NOT($G22=0), COUNTA($G22)),0.5,1)</f>
        <v>#VALUE!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3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3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#VALUE!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#VALUE!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3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6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3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3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3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3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3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3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3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3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3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3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3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3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3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3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3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3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3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3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4.4" x14ac:dyDescent="0.3"/>
  <cols>
    <col min="1" max="1" width="66.33203125" bestFit="1" customWidth="1"/>
    <col min="2" max="2" width="19.88671875" style="1" bestFit="1" customWidth="1"/>
    <col min="3" max="3" width="16" style="1" bestFit="1" customWidth="1"/>
    <col min="4" max="5" width="31.33203125" style="1" bestFit="1" customWidth="1"/>
    <col min="6" max="6" width="41.109375" style="1" bestFit="1" customWidth="1"/>
    <col min="7" max="7" width="25" style="1" bestFit="1" customWidth="1"/>
    <col min="8" max="8" width="25.6640625" style="1" bestFit="1" customWidth="1"/>
    <col min="9" max="9" width="14.5546875" style="1" bestFit="1" customWidth="1"/>
    <col min="10" max="10" width="16.33203125" bestFit="1" customWidth="1"/>
    <col min="11" max="11" width="29.6640625" bestFit="1" customWidth="1"/>
    <col min="12" max="12" width="26.88671875" bestFit="1" customWidth="1"/>
    <col min="13" max="13" width="25.6640625" bestFit="1" customWidth="1"/>
    <col min="14" max="14" width="28.5546875" bestFit="1" customWidth="1"/>
    <col min="15" max="15" width="29" bestFit="1" customWidth="1"/>
    <col min="16" max="17" width="23.109375" bestFit="1" customWidth="1"/>
    <col min="18" max="18" width="23.109375" customWidth="1"/>
    <col min="19" max="20" width="23.6640625" bestFit="1" customWidth="1"/>
    <col min="21" max="22" width="21.33203125" bestFit="1" customWidth="1"/>
    <col min="23" max="24" width="24.109375" bestFit="1" customWidth="1"/>
    <col min="25" max="26" width="24.109375" customWidth="1"/>
    <col min="27" max="28" width="18.6640625" bestFit="1" customWidth="1"/>
    <col min="29" max="29" width="20.33203125" bestFit="1" customWidth="1"/>
    <col min="30" max="31" width="22.33203125" customWidth="1"/>
    <col min="32" max="34" width="22.33203125" bestFit="1" customWidth="1"/>
    <col min="35" max="35" width="11" bestFit="1" customWidth="1"/>
    <col min="36" max="36" width="20.33203125" bestFit="1" customWidth="1"/>
  </cols>
  <sheetData>
    <row r="1" spans="1:38" x14ac:dyDescent="0.3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3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3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3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3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3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3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3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3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3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3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3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4.4" x14ac:dyDescent="0.3"/>
  <cols>
    <col min="1" max="1" width="83.88671875" bestFit="1" customWidth="1"/>
    <col min="2" max="2" width="31.88671875" style="1" bestFit="1" customWidth="1"/>
    <col min="3" max="3" width="27.33203125" style="1" bestFit="1" customWidth="1"/>
    <col min="4" max="5" width="31.33203125" style="1" bestFit="1" customWidth="1"/>
    <col min="6" max="6" width="41.109375" style="1" bestFit="1" customWidth="1"/>
    <col min="7" max="7" width="45.109375" style="1" bestFit="1" customWidth="1"/>
    <col min="8" max="8" width="25" style="1" bestFit="1" customWidth="1"/>
    <col min="9" max="9" width="25.6640625" style="1" bestFit="1" customWidth="1"/>
    <col min="10" max="10" width="14.5546875" style="1" bestFit="1" customWidth="1"/>
    <col min="11" max="11" width="16.33203125" bestFit="1" customWidth="1"/>
    <col min="12" max="12" width="29.6640625" bestFit="1" customWidth="1"/>
    <col min="13" max="13" width="26.88671875" bestFit="1" customWidth="1"/>
    <col min="14" max="14" width="31.5546875" bestFit="1" customWidth="1"/>
    <col min="15" max="15" width="28.5546875" bestFit="1" customWidth="1"/>
    <col min="16" max="16" width="29" bestFit="1" customWidth="1"/>
    <col min="17" max="18" width="23.109375" bestFit="1" customWidth="1"/>
    <col min="19" max="19" width="23.109375" customWidth="1"/>
    <col min="20" max="21" width="23.6640625" bestFit="1" customWidth="1"/>
    <col min="22" max="24" width="21.33203125" bestFit="1" customWidth="1"/>
    <col min="25" max="26" width="24.109375" bestFit="1" customWidth="1"/>
    <col min="27" max="28" width="24.109375" customWidth="1"/>
    <col min="29" max="29" width="18.6640625" style="58" bestFit="1" customWidth="1"/>
    <col min="30" max="30" width="18.6640625" bestFit="1" customWidth="1"/>
    <col min="31" max="31" width="20.33203125" bestFit="1" customWidth="1"/>
    <col min="32" max="33" width="22.33203125" customWidth="1"/>
    <col min="34" max="34" width="22.33203125" style="55" bestFit="1" customWidth="1"/>
    <col min="35" max="36" width="22.33203125" bestFit="1" customWidth="1"/>
    <col min="37" max="37" width="11" bestFit="1" customWidth="1"/>
    <col min="38" max="38" width="20.33203125" bestFit="1" customWidth="1"/>
  </cols>
  <sheetData>
    <row r="1" spans="1:38" x14ac:dyDescent="0.3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3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3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3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3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5.7077383702892464</v>
      </c>
      <c r="AL5" s="40">
        <f>(AK5+Specs!$R$2+Specs!$S$2)*Specs!$N$2</f>
        <v>12.195476740578492</v>
      </c>
    </row>
    <row r="6" spans="1:38" x14ac:dyDescent="0.3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3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3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3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3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3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3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3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3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3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3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3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3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3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3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3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3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3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3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3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3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3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3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3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3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3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3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3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3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3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3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3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3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3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3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3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3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3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3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3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3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3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3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3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3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3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3">
      <c r="B55" s="31"/>
    </row>
    <row r="56" spans="1:38" ht="16.5" customHeight="1" x14ac:dyDescent="0.3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3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3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3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3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3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3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3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3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3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3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3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Solid Mix In Nutrition</vt:lpstr>
      <vt:lpstr>Liquid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2025-01-11T06:00:31Z</dcterms:modified>
  <cp:category/>
  <cp:contentStatus/>
</cp:coreProperties>
</file>